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7888F75-7437-4B63-BA4A-E8D155F29F3B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8" i="1" l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59" i="1" l="1"/>
</calcChain>
</file>

<file path=xl/sharedStrings.xml><?xml version="1.0" encoding="utf-8"?>
<sst xmlns="http://schemas.openxmlformats.org/spreadsheetml/2006/main" count="82" uniqueCount="79">
  <si>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</si>
  <si>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</si>
  <si>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</si>
  <si>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</si>
  <si>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</si>
  <si>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</si>
  <si>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</si>
  <si>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</si>
  <si>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</si>
  <si>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</si>
  <si>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</si>
  <si>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</si>
  <si>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</si>
  <si>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</si>
  <si>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</si>
  <si>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</si>
  <si>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</si>
  <si>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</si>
  <si>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</si>
  <si>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</si>
  <si>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</si>
  <si>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</si>
  <si>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</si>
  <si>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</si>
  <si>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</si>
  <si>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</si>
  <si>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</si>
  <si>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</si>
  <si>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</si>
  <si>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</si>
  <si>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</si>
  <si>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</si>
  <si>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</si>
  <si>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</si>
  <si>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</si>
  <si>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</si>
  <si>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</si>
  <si>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</si>
  <si>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</si>
  <si>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</si>
  <si>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</si>
  <si>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</si>
  <si>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</si>
  <si>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</si>
  <si>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</si>
  <si>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</si>
  <si>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</si>
  <si>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</si>
  <si>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</si>
  <si>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</si>
  <si>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</si>
  <si>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</si>
  <si>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</si>
  <si>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</si>
  <si>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</si>
  <si>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</si>
  <si>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</si>
  <si>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</si>
  <si>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</si>
  <si>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</si>
  <si>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</si>
  <si>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</si>
  <si>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</si>
  <si>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</si>
  <si>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</si>
  <si>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</si>
  <si>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</si>
  <si>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</si>
  <si>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</si>
  <si>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</si>
  <si>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</si>
  <si>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</si>
  <si>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</si>
  <si>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</si>
  <si>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</si>
  <si>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</si>
  <si>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</si>
  <si>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Сыр полутвердый Российский, цилиндр, 1/4, пленка с логотипом ЮКМП, массовая доля жира в сухом веществе 50%</t>
  </si>
  <si>
    <t>Новое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</si>
</sst>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6" fillId="0" borderId="1" xfId="0" applyNumberFormat="1" applyFont="1" applyBorder="1"/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7" fillId="2" borderId="1" xfId="0" applyNumberFormat="1" applyFont="1" applyFill="1" applyBorder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7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5" fillId="2" borderId="1" xfId="0" applyFont="1" applyFill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10" fillId="0" borderId="1" xfId="0" applyFont="1" applyBorder="1" applyAlignment="1">
      <alignment horizontal="center" vertical="center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3" fillId="2" borderId="1" xfId="0" applyFont="1" applyFill="1" applyBorder="1" applyAlignment="1">
      <alignment horizontal="left"/>
    </xf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2" fontId="7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3" topLeftCell="A37" activePane="bottomLeft" state="frozen"/>
      <selection pane="bottomLeft" activeCell="G61" sqref="G61"/>
    </sheetView>
  </sheetViews>
  <sheetFormatPr defaultColWidth="8.7109375" defaultRowHeight="12.75"/>
  <cols>
    <col min="1" max="1" width="10" style="3" customWidth="1"/>
    <col min="2" max="2" width="90.85546875" style="3" customWidth="1"/>
    <col min="3" max="3" width="18.140625" style="3" customWidth="1"/>
    <col min="4" max="5" width="21.5703125" style="4" customWidth="1"/>
    <col min="6" max="6" width="16.7109375" style="3" bestFit="1" customWidth="1"/>
    <col min="7" max="7" width="24.85546875" style="3" customWidth="1"/>
    <col min="8" max="8" width="16.28515625" style="3" customWidth="1"/>
    <col min="9" max="9" width="40.7109375" style="3" bestFit="1" customWidth="1"/>
    <col min="10" max="10" width="34.85546875" style="3" customWidth="1"/>
    <col min="11" max="16384" width="8.7109375" style="3"/>
  </cols>
  <sheetData>
    <row r="1" spans="1:9">
      <c r="A1" s="6"/>
      <c r="B1" s="6"/>
      <c r="C1" s="6"/>
      <c r="D1" s="10" t="s">
        <v>0</v>
      </c>
      <c r="E1" s="8"/>
      <c r="F1" s="6"/>
      <c r="G1" s="6"/>
      <c r="H1" s="6"/>
      <c r="I1" s="6"/>
    </row>
    <row r="2" spans="1:9" ht="38.25">
      <c r="A2" s="6" t="s">
        <v>41</v>
      </c>
      <c r="B2" s="5" t="s">
        <v>78</v>
      </c>
      <c r="C2" s="6"/>
      <c r="D2" s="7" t="s">
        <v>9</v>
      </c>
      <c r="E2" s="7" t="s">
        <v>10</v>
      </c>
      <c r="F2" s="6"/>
      <c r="G2" s="6"/>
      <c r="H2" s="6"/>
      <c r="I2" s="6"/>
    </row>
    <row r="3" spans="1:9">
      <c r="A3" s="20" t="s">
        <v>1</v>
      </c>
      <c r="B3" s="20" t="s">
        <v>2</v>
      </c>
      <c r="C3" s="20" t="s">
        <v>3</v>
      </c>
      <c r="D3" s="21" t="s">
        <v>4</v>
      </c>
      <c r="E3" s="21" t="s">
        <v>5</v>
      </c>
      <c r="F3" s="20" t="s">
        <v>6</v>
      </c>
      <c r="G3" s="22" t="s">
        <v>11</v>
      </c>
      <c r="H3" s="9" t="s">
        <v>7</v>
      </c>
      <c r="I3" s="9" t="s">
        <v>8</v>
      </c>
    </row>
    <row r="4" spans="1:9" ht="25.5">
      <c r="A4" s="1">
        <v>5038435</v>
      </c>
      <c r="B4" s="23" t="s">
        <v>30</v>
      </c>
      <c r="C4" s="15">
        <v>10</v>
      </c>
      <c r="D4" s="16">
        <v>170</v>
      </c>
      <c r="E4" s="16"/>
      <c r="F4" s="9">
        <f>D4/C4</f>
        <v>17</v>
      </c>
      <c r="G4" s="14">
        <v>0.18</v>
      </c>
      <c r="H4" s="9">
        <f>G4*D4</f>
        <v>30.599999999999998</v>
      </c>
      <c r="I4" s="9"/>
    </row>
    <row r="5" spans="1:9">
      <c r="A5" s="1">
        <v>8785204</v>
      </c>
      <c r="B5" s="14" t="s">
        <v>43</v>
      </c>
      <c r="C5" s="15">
        <v>5</v>
      </c>
      <c r="D5" s="16"/>
      <c r="E5" s="16"/>
      <c r="F5" s="9">
        <f>E5/16.5</f>
        <v>0</v>
      </c>
      <c r="G5" s="14">
        <v>3.2</v>
      </c>
      <c r="H5" s="9">
        <f>E5</f>
        <v>0</v>
      </c>
      <c r="I5" s="9"/>
    </row>
    <row r="6" spans="1:9" s="19" customFormat="1" ht="25.5">
      <c r="A6" s="18">
        <v>8783323</v>
      </c>
      <c r="B6" s="24" t="s">
        <v>77</v>
      </c>
      <c r="C6" s="25">
        <v>8</v>
      </c>
      <c r="D6" s="26"/>
      <c r="E6" s="16">
        <v>45</v>
      </c>
      <c r="F6" s="27">
        <f>E5/15</f>
        <v>0</v>
      </c>
      <c r="G6" s="28">
        <v>1.8</v>
      </c>
      <c r="H6" s="27">
        <f>E6</f>
        <v>45</v>
      </c>
      <c r="I6" s="27"/>
    </row>
    <row r="7" spans="1:9" ht="25.5">
      <c r="A7" s="1">
        <v>5038459</v>
      </c>
      <c r="B7" s="23" t="s">
        <v>28</v>
      </c>
      <c r="C7" s="15">
        <v>10</v>
      </c>
      <c r="D7" s="16"/>
      <c r="E7" s="16"/>
      <c r="F7" s="9">
        <f>D7/C7</f>
        <v>0</v>
      </c>
      <c r="G7" s="14">
        <v>0.18</v>
      </c>
      <c r="H7" s="9">
        <f>G7*D7</f>
        <v>0</v>
      </c>
      <c r="I7" s="9"/>
    </row>
    <row r="8" spans="1:9" ht="25.5">
      <c r="A8" s="1">
        <v>5038411</v>
      </c>
      <c r="B8" s="23" t="s">
        <v>29</v>
      </c>
      <c r="C8" s="15">
        <v>10</v>
      </c>
      <c r="D8" s="16">
        <v>220</v>
      </c>
      <c r="E8" s="16"/>
      <c r="F8" s="9">
        <f>D8/C8</f>
        <v>22</v>
      </c>
      <c r="G8" s="14">
        <v>0.18</v>
      </c>
      <c r="H8" s="9">
        <f>G8*D8</f>
        <v>39.6</v>
      </c>
      <c r="I8" s="9"/>
    </row>
    <row r="9" spans="1:9" ht="25.5">
      <c r="A9" s="13">
        <v>8785242</v>
      </c>
      <c r="B9" s="23" t="s">
        <v>42</v>
      </c>
      <c r="C9" s="15">
        <v>5</v>
      </c>
      <c r="D9" s="16"/>
      <c r="E9" s="16"/>
      <c r="F9" s="9">
        <f>E9/16.5</f>
        <v>0</v>
      </c>
      <c r="G9" s="9">
        <v>3.5</v>
      </c>
      <c r="H9" s="9">
        <f>E9</f>
        <v>0</v>
      </c>
      <c r="I9" s="9" t="s">
        <v>13</v>
      </c>
    </row>
    <row r="10" spans="1:9" ht="25.5">
      <c r="A10" s="1">
        <v>5038398</v>
      </c>
      <c r="B10" s="23" t="s">
        <v>31</v>
      </c>
      <c r="C10" s="15">
        <v>10</v>
      </c>
      <c r="D10" s="16"/>
      <c r="E10" s="16"/>
      <c r="F10" s="9">
        <f>D10/C10</f>
        <v>0</v>
      </c>
      <c r="G10" s="14">
        <v>0.18</v>
      </c>
      <c r="H10" s="9">
        <f>G10*D10</f>
        <v>0</v>
      </c>
      <c r="I10" s="9"/>
    </row>
    <row r="11" spans="1:9">
      <c r="A11" s="1">
        <v>5039609</v>
      </c>
      <c r="B11" s="14" t="s">
        <v>38</v>
      </c>
      <c r="C11" s="15">
        <v>8</v>
      </c>
      <c r="D11" s="16"/>
      <c r="E11" s="16"/>
      <c r="F11" s="9">
        <f>D11/C11</f>
        <v>0</v>
      </c>
      <c r="G11" s="14">
        <v>0.4</v>
      </c>
      <c r="H11" s="9">
        <f>G11*D11</f>
        <v>0</v>
      </c>
      <c r="I11" s="9"/>
    </row>
    <row r="12" spans="1:9" ht="25.5">
      <c r="A12" s="13">
        <v>8785259</v>
      </c>
      <c r="B12" s="23" t="s">
        <v>47</v>
      </c>
      <c r="C12" s="15">
        <v>5</v>
      </c>
      <c r="D12" s="16"/>
      <c r="E12" s="16"/>
      <c r="F12" s="9">
        <f>E12/16.5</f>
        <v>0</v>
      </c>
      <c r="G12" s="9">
        <v>3.5</v>
      </c>
      <c r="H12" s="9">
        <f>E12</f>
        <v>0</v>
      </c>
      <c r="I12" s="9"/>
    </row>
    <row r="13" spans="1:9" ht="25.5">
      <c r="A13" s="13">
        <v>5038855</v>
      </c>
      <c r="B13" s="29" t="s">
        <v>36</v>
      </c>
      <c r="C13" s="15">
        <v>10</v>
      </c>
      <c r="D13" s="16"/>
      <c r="E13" s="16"/>
      <c r="F13" s="9">
        <f t="shared" ref="F13:F25" si="0">D13/C13</f>
        <v>0</v>
      </c>
      <c r="G13" s="14">
        <v>0.2</v>
      </c>
      <c r="H13" s="9">
        <f t="shared" ref="H13:H25" si="1">G13*D13</f>
        <v>0</v>
      </c>
      <c r="I13" s="9"/>
    </row>
    <row r="14" spans="1:9">
      <c r="A14" s="13">
        <v>5039647</v>
      </c>
      <c r="B14" s="30" t="s">
        <v>39</v>
      </c>
      <c r="C14" s="15">
        <v>8</v>
      </c>
      <c r="D14" s="16"/>
      <c r="E14" s="16"/>
      <c r="F14" s="9">
        <f t="shared" si="0"/>
        <v>0</v>
      </c>
      <c r="G14" s="14">
        <v>0.4</v>
      </c>
      <c r="H14" s="9">
        <f t="shared" si="1"/>
        <v>0</v>
      </c>
      <c r="I14" s="9"/>
    </row>
    <row r="15" spans="1:9" ht="25.5">
      <c r="A15" s="13">
        <v>5038831</v>
      </c>
      <c r="B15" s="23" t="s">
        <v>34</v>
      </c>
      <c r="C15" s="31">
        <v>10</v>
      </c>
      <c r="D15" s="16"/>
      <c r="E15" s="16"/>
      <c r="F15" s="9">
        <f t="shared" si="0"/>
        <v>0</v>
      </c>
      <c r="G15" s="14">
        <v>0.18</v>
      </c>
      <c r="H15" s="9">
        <f t="shared" si="1"/>
        <v>0</v>
      </c>
      <c r="I15" s="9"/>
    </row>
    <row r="16" spans="1:9">
      <c r="A16" s="13">
        <v>5039623</v>
      </c>
      <c r="B16" s="14" t="s">
        <v>40</v>
      </c>
      <c r="C16" s="31">
        <v>8</v>
      </c>
      <c r="D16" s="16"/>
      <c r="E16" s="16"/>
      <c r="F16" s="9">
        <f t="shared" si="0"/>
        <v>0</v>
      </c>
      <c r="G16" s="14">
        <v>0.4</v>
      </c>
      <c r="H16" s="9">
        <f t="shared" si="1"/>
        <v>0</v>
      </c>
      <c r="I16" s="9"/>
    </row>
    <row r="17" spans="1:9">
      <c r="A17" s="13">
        <v>1018950</v>
      </c>
      <c r="B17" s="14" t="s">
        <v>35</v>
      </c>
      <c r="C17" s="15">
        <v>10</v>
      </c>
      <c r="D17" s="16">
        <v>700</v>
      </c>
      <c r="E17" s="16"/>
      <c r="F17" s="9">
        <f t="shared" si="0"/>
        <v>70</v>
      </c>
      <c r="G17" s="14">
        <v>0.18</v>
      </c>
      <c r="H17" s="9">
        <f t="shared" si="1"/>
        <v>126</v>
      </c>
      <c r="I17" s="9"/>
    </row>
    <row r="18" spans="1:9">
      <c r="A18" s="13">
        <v>1018967</v>
      </c>
      <c r="B18" s="14" t="s">
        <v>37</v>
      </c>
      <c r="C18" s="15">
        <v>10</v>
      </c>
      <c r="D18" s="16">
        <v>800</v>
      </c>
      <c r="E18" s="16"/>
      <c r="F18" s="9">
        <f t="shared" si="0"/>
        <v>80</v>
      </c>
      <c r="G18" s="14">
        <v>0.18</v>
      </c>
      <c r="H18" s="9">
        <f t="shared" si="1"/>
        <v>144</v>
      </c>
      <c r="I18" s="9"/>
    </row>
    <row r="19" spans="1:9">
      <c r="A19" s="13">
        <v>8444194</v>
      </c>
      <c r="B19" s="32" t="s">
        <v>15</v>
      </c>
      <c r="C19" s="15">
        <v>6</v>
      </c>
      <c r="D19" s="16">
        <v>150</v>
      </c>
      <c r="E19" s="16"/>
      <c r="F19" s="9">
        <f t="shared" si="0"/>
        <v>25</v>
      </c>
      <c r="G19" s="14">
        <v>0.1</v>
      </c>
      <c r="H19" s="9">
        <f t="shared" si="1"/>
        <v>15</v>
      </c>
      <c r="I19" s="9"/>
    </row>
    <row r="20" spans="1:9">
      <c r="A20" s="13">
        <v>8444187</v>
      </c>
      <c r="B20" s="32" t="s">
        <v>16</v>
      </c>
      <c r="C20" s="15">
        <v>6</v>
      </c>
      <c r="D20" s="16"/>
      <c r="E20" s="16"/>
      <c r="F20" s="9">
        <f t="shared" si="0"/>
        <v>0</v>
      </c>
      <c r="G20" s="14">
        <v>0.1</v>
      </c>
      <c r="H20" s="9">
        <f t="shared" si="1"/>
        <v>0</v>
      </c>
      <c r="I20" s="9"/>
    </row>
    <row r="21" spans="1:9">
      <c r="A21" s="13">
        <v>8444163</v>
      </c>
      <c r="B21" s="32" t="s">
        <v>17</v>
      </c>
      <c r="C21" s="15">
        <v>8</v>
      </c>
      <c r="D21" s="16">
        <v>24</v>
      </c>
      <c r="E21" s="16"/>
      <c r="F21" s="9">
        <f t="shared" si="0"/>
        <v>3</v>
      </c>
      <c r="G21" s="14">
        <v>0.1</v>
      </c>
      <c r="H21" s="9">
        <f t="shared" si="1"/>
        <v>2.4000000000000004</v>
      </c>
      <c r="I21" s="9"/>
    </row>
    <row r="22" spans="1:9">
      <c r="A22" s="13">
        <v>8444170</v>
      </c>
      <c r="B22" s="32" t="s">
        <v>60</v>
      </c>
      <c r="C22" s="15">
        <v>8</v>
      </c>
      <c r="D22" s="16"/>
      <c r="E22" s="16"/>
      <c r="F22" s="9">
        <f t="shared" si="0"/>
        <v>0</v>
      </c>
      <c r="G22" s="14">
        <v>0.1</v>
      </c>
      <c r="H22" s="9">
        <f t="shared" si="1"/>
        <v>0</v>
      </c>
      <c r="I22" s="9"/>
    </row>
    <row r="23" spans="1:9">
      <c r="A23" s="13">
        <v>9988377</v>
      </c>
      <c r="B23" s="32" t="s">
        <v>18</v>
      </c>
      <c r="C23" s="15">
        <v>16</v>
      </c>
      <c r="D23" s="16"/>
      <c r="E23" s="16"/>
      <c r="F23" s="9">
        <f t="shared" si="0"/>
        <v>0</v>
      </c>
      <c r="G23" s="14">
        <v>0.14000000000000001</v>
      </c>
      <c r="H23" s="9">
        <f t="shared" si="1"/>
        <v>0</v>
      </c>
      <c r="I23" s="9"/>
    </row>
    <row r="24" spans="1:9">
      <c r="A24" s="13">
        <v>9988391</v>
      </c>
      <c r="B24" s="32" t="s">
        <v>19</v>
      </c>
      <c r="C24" s="15">
        <v>16</v>
      </c>
      <c r="D24" s="16">
        <v>128</v>
      </c>
      <c r="E24" s="16"/>
      <c r="F24" s="9">
        <f t="shared" si="0"/>
        <v>8</v>
      </c>
      <c r="G24" s="14">
        <v>0.14000000000000001</v>
      </c>
      <c r="H24" s="9">
        <f t="shared" si="1"/>
        <v>17.920000000000002</v>
      </c>
      <c r="I24" s="9"/>
    </row>
    <row r="25" spans="1:9">
      <c r="A25" s="13">
        <v>5034819</v>
      </c>
      <c r="B25" s="32" t="s">
        <v>20</v>
      </c>
      <c r="C25" s="15">
        <v>6</v>
      </c>
      <c r="D25" s="16"/>
      <c r="E25" s="16"/>
      <c r="F25" s="9">
        <f t="shared" si="0"/>
        <v>0</v>
      </c>
      <c r="G25" s="14">
        <v>0.18</v>
      </c>
      <c r="H25" s="9">
        <f t="shared" si="1"/>
        <v>0</v>
      </c>
      <c r="I25" s="9"/>
    </row>
    <row r="26" spans="1:9">
      <c r="A26" s="13">
        <v>2981244</v>
      </c>
      <c r="B26" s="32" t="s">
        <v>21</v>
      </c>
      <c r="C26" s="15">
        <v>6</v>
      </c>
      <c r="D26" s="16"/>
      <c r="E26" s="16"/>
      <c r="F26" s="9">
        <f>E26/7.8</f>
        <v>0</v>
      </c>
      <c r="G26" s="14">
        <v>1.3</v>
      </c>
      <c r="H26" s="9">
        <f>E26</f>
        <v>0</v>
      </c>
      <c r="I26" s="9" t="s">
        <v>14</v>
      </c>
    </row>
    <row r="27" spans="1:9">
      <c r="A27" s="13">
        <v>8785198</v>
      </c>
      <c r="B27" s="32" t="s">
        <v>22</v>
      </c>
      <c r="C27" s="15">
        <v>5</v>
      </c>
      <c r="D27" s="16"/>
      <c r="E27" s="16"/>
      <c r="F27" s="9">
        <f>E27/16.5</f>
        <v>0</v>
      </c>
      <c r="G27" s="14">
        <v>3.2</v>
      </c>
      <c r="H27" s="9">
        <f>E27</f>
        <v>0</v>
      </c>
      <c r="I27" s="9" t="s">
        <v>13</v>
      </c>
    </row>
    <row r="28" spans="1:9">
      <c r="A28" s="13">
        <v>9988452</v>
      </c>
      <c r="B28" s="32" t="s">
        <v>23</v>
      </c>
      <c r="C28" s="15">
        <v>8</v>
      </c>
      <c r="D28" s="16"/>
      <c r="E28" s="16"/>
      <c r="F28" s="9">
        <f t="shared" ref="F28:F42" si="2">D28/C28</f>
        <v>0</v>
      </c>
      <c r="G28" s="14">
        <v>0.4</v>
      </c>
      <c r="H28" s="9">
        <f t="shared" ref="H28:H33" si="3">G28*D28</f>
        <v>0</v>
      </c>
      <c r="I28" s="9"/>
    </row>
    <row r="29" spans="1:9">
      <c r="A29" s="13">
        <v>9988476</v>
      </c>
      <c r="B29" s="32" t="s">
        <v>24</v>
      </c>
      <c r="C29" s="15">
        <v>28</v>
      </c>
      <c r="D29" s="16"/>
      <c r="E29" s="16"/>
      <c r="F29" s="9">
        <f t="shared" si="2"/>
        <v>0</v>
      </c>
      <c r="G29" s="14">
        <v>0.4</v>
      </c>
      <c r="H29" s="9">
        <f t="shared" si="3"/>
        <v>0</v>
      </c>
      <c r="I29" s="9"/>
    </row>
    <row r="30" spans="1:9">
      <c r="A30" s="13">
        <v>9988681</v>
      </c>
      <c r="B30" s="32" t="s">
        <v>32</v>
      </c>
      <c r="C30" s="15">
        <v>16</v>
      </c>
      <c r="D30" s="16"/>
      <c r="E30" s="16"/>
      <c r="F30" s="9">
        <f t="shared" si="2"/>
        <v>0</v>
      </c>
      <c r="G30" s="14">
        <v>0.18</v>
      </c>
      <c r="H30" s="9">
        <f t="shared" si="3"/>
        <v>0</v>
      </c>
      <c r="I30" s="9"/>
    </row>
    <row r="31" spans="1:9">
      <c r="A31" s="13">
        <v>9988438</v>
      </c>
      <c r="B31" s="32" t="s">
        <v>25</v>
      </c>
      <c r="C31" s="15">
        <v>16</v>
      </c>
      <c r="D31" s="16">
        <v>128</v>
      </c>
      <c r="E31" s="16"/>
      <c r="F31" s="9">
        <f t="shared" si="2"/>
        <v>8</v>
      </c>
      <c r="G31" s="14">
        <v>0.18</v>
      </c>
      <c r="H31" s="9">
        <f t="shared" si="3"/>
        <v>23.04</v>
      </c>
      <c r="I31" s="9"/>
    </row>
    <row r="32" spans="1:9">
      <c r="A32" s="13">
        <v>9988445</v>
      </c>
      <c r="B32" s="32" t="s">
        <v>26</v>
      </c>
      <c r="C32" s="15">
        <v>16</v>
      </c>
      <c r="D32" s="16">
        <v>240</v>
      </c>
      <c r="E32" s="16"/>
      <c r="F32" s="9">
        <f t="shared" si="2"/>
        <v>15</v>
      </c>
      <c r="G32" s="14">
        <v>0.18</v>
      </c>
      <c r="H32" s="9">
        <f t="shared" si="3"/>
        <v>43.199999999999996</v>
      </c>
      <c r="I32" s="9"/>
    </row>
    <row r="33" spans="1:9">
      <c r="A33" s="13">
        <v>9988421</v>
      </c>
      <c r="B33" s="32" t="s">
        <v>27</v>
      </c>
      <c r="C33" s="15">
        <v>16</v>
      </c>
      <c r="D33" s="16">
        <v>64</v>
      </c>
      <c r="E33" s="16"/>
      <c r="F33" s="9">
        <f t="shared" si="2"/>
        <v>4</v>
      </c>
      <c r="G33" s="14">
        <v>0.14000000000000001</v>
      </c>
      <c r="H33" s="9">
        <f t="shared" si="3"/>
        <v>8.9600000000000009</v>
      </c>
      <c r="I33" s="9"/>
    </row>
    <row r="34" spans="1:9">
      <c r="A34" s="13">
        <v>9988674</v>
      </c>
      <c r="B34" s="32" t="s">
        <v>33</v>
      </c>
      <c r="C34" s="15">
        <v>16</v>
      </c>
      <c r="D34" s="16"/>
      <c r="E34" s="16"/>
      <c r="F34" s="9">
        <f t="shared" si="2"/>
        <v>0</v>
      </c>
      <c r="G34" s="14">
        <v>0.18</v>
      </c>
      <c r="H34" s="9">
        <f>D34*G34</f>
        <v>0</v>
      </c>
      <c r="I34" s="9"/>
    </row>
    <row r="35" spans="1:9">
      <c r="A35" s="33">
        <v>8444903</v>
      </c>
      <c r="B35" s="34" t="s">
        <v>44</v>
      </c>
      <c r="C35" s="15">
        <v>8</v>
      </c>
      <c r="D35" s="16"/>
      <c r="E35" s="16"/>
      <c r="F35" s="9">
        <f t="shared" si="2"/>
        <v>0</v>
      </c>
      <c r="G35" s="14">
        <v>0.1</v>
      </c>
      <c r="H35" s="9">
        <f>D35*G35</f>
        <v>0</v>
      </c>
      <c r="I35" s="9"/>
    </row>
    <row r="36" spans="1:9">
      <c r="A36" s="33">
        <v>8444910</v>
      </c>
      <c r="B36" s="34" t="s">
        <v>45</v>
      </c>
      <c r="C36" s="15">
        <v>8</v>
      </c>
      <c r="D36" s="16">
        <v>16</v>
      </c>
      <c r="E36" s="16"/>
      <c r="F36" s="9">
        <f t="shared" si="2"/>
        <v>2</v>
      </c>
      <c r="G36" s="14">
        <v>0.1</v>
      </c>
      <c r="H36" s="9">
        <f>D36*G36</f>
        <v>1.6</v>
      </c>
      <c r="I36" s="9"/>
    </row>
    <row r="37" spans="1:9">
      <c r="A37" s="33">
        <v>8444927</v>
      </c>
      <c r="B37" s="34" t="s">
        <v>46</v>
      </c>
      <c r="C37" s="15">
        <v>8</v>
      </c>
      <c r="D37" s="16"/>
      <c r="E37" s="16"/>
      <c r="F37" s="9">
        <f t="shared" si="2"/>
        <v>0</v>
      </c>
      <c r="G37" s="14">
        <v>0.1</v>
      </c>
      <c r="H37" s="9">
        <f>D37*G37</f>
        <v>0</v>
      </c>
      <c r="I37" s="9"/>
    </row>
    <row r="38" spans="1:9">
      <c r="A38" s="35">
        <v>8445160</v>
      </c>
      <c r="B38" s="36" t="s">
        <v>75</v>
      </c>
      <c r="C38" s="15">
        <v>8</v>
      </c>
      <c r="D38" s="16"/>
      <c r="E38" s="16"/>
      <c r="F38" s="9">
        <f t="shared" si="2"/>
        <v>0</v>
      </c>
      <c r="G38" s="14">
        <v>0.1</v>
      </c>
      <c r="H38" s="9">
        <f>G38*D38</f>
        <v>0</v>
      </c>
      <c r="I38" s="9"/>
    </row>
    <row r="39" spans="1:9">
      <c r="A39" s="35">
        <v>8445177</v>
      </c>
      <c r="B39" s="36" t="s">
        <v>76</v>
      </c>
      <c r="C39" s="15">
        <v>8</v>
      </c>
      <c r="D39" s="16"/>
      <c r="E39" s="16"/>
      <c r="F39" s="9">
        <f t="shared" si="2"/>
        <v>0</v>
      </c>
      <c r="G39" s="14">
        <v>0.1</v>
      </c>
      <c r="H39" s="9">
        <f>G39*D39</f>
        <v>0</v>
      </c>
      <c r="I39" s="9"/>
    </row>
    <row r="40" spans="1:9" s="12" customFormat="1">
      <c r="A40" s="33">
        <v>6600454</v>
      </c>
      <c r="B40" s="34" t="s">
        <v>49</v>
      </c>
      <c r="C40" s="37">
        <v>12</v>
      </c>
      <c r="D40" s="38"/>
      <c r="E40" s="16"/>
      <c r="F40" s="39">
        <f t="shared" si="2"/>
        <v>0</v>
      </c>
      <c r="G40" s="40">
        <v>0.125</v>
      </c>
      <c r="H40" s="39">
        <f>D40*G40</f>
        <v>0</v>
      </c>
      <c r="I40" s="39"/>
    </row>
    <row r="41" spans="1:9" s="12" customFormat="1" ht="11.25" customHeight="1">
      <c r="A41" s="33">
        <v>6600447</v>
      </c>
      <c r="B41" s="34" t="s">
        <v>48</v>
      </c>
      <c r="C41" s="37">
        <v>12</v>
      </c>
      <c r="D41" s="38"/>
      <c r="E41" s="16"/>
      <c r="F41" s="39">
        <f t="shared" si="2"/>
        <v>0</v>
      </c>
      <c r="G41" s="40">
        <v>0.125</v>
      </c>
      <c r="H41" s="39">
        <f>D41*G41</f>
        <v>0</v>
      </c>
      <c r="I41" s="39"/>
    </row>
    <row r="42" spans="1:9" s="17" customFormat="1">
      <c r="A42" s="13" t="s">
        <v>66</v>
      </c>
      <c r="B42" s="14" t="s">
        <v>67</v>
      </c>
      <c r="C42" s="15">
        <v>10</v>
      </c>
      <c r="D42" s="16">
        <v>40</v>
      </c>
      <c r="E42" s="16"/>
      <c r="F42" s="9">
        <f t="shared" si="2"/>
        <v>4</v>
      </c>
      <c r="G42" s="14">
        <v>0.2</v>
      </c>
      <c r="H42" s="9">
        <f>G42*D42</f>
        <v>8</v>
      </c>
      <c r="I42" s="9"/>
    </row>
    <row r="43" spans="1:9" s="17" customFormat="1">
      <c r="A43" s="13" t="s">
        <v>68</v>
      </c>
      <c r="B43" s="14" t="s">
        <v>69</v>
      </c>
      <c r="C43" s="15">
        <v>4</v>
      </c>
      <c r="D43" s="16"/>
      <c r="E43" s="16"/>
      <c r="F43" s="9">
        <f>E43/15</f>
        <v>0</v>
      </c>
      <c r="G43" s="14">
        <v>3.5</v>
      </c>
      <c r="H43" s="9">
        <f>E43</f>
        <v>0</v>
      </c>
      <c r="I43" s="9" t="s">
        <v>70</v>
      </c>
    </row>
    <row r="44" spans="1:9" s="17" customFormat="1">
      <c r="A44" s="13" t="s">
        <v>71</v>
      </c>
      <c r="B44" s="14" t="s">
        <v>72</v>
      </c>
      <c r="C44" s="15">
        <v>10</v>
      </c>
      <c r="D44" s="16">
        <v>200</v>
      </c>
      <c r="E44" s="16"/>
      <c r="F44" s="9">
        <f>D44/C44</f>
        <v>20</v>
      </c>
      <c r="G44" s="14">
        <v>0.2</v>
      </c>
      <c r="H44" s="9">
        <f>G44*D44</f>
        <v>40</v>
      </c>
      <c r="I44" s="9"/>
    </row>
    <row r="45" spans="1:9" s="17" customFormat="1">
      <c r="A45" s="13" t="s">
        <v>73</v>
      </c>
      <c r="B45" s="14" t="s">
        <v>74</v>
      </c>
      <c r="C45" s="15">
        <v>4</v>
      </c>
      <c r="D45" s="16"/>
      <c r="E45" s="16">
        <v>60</v>
      </c>
      <c r="F45" s="9">
        <f>E45/15</f>
        <v>4</v>
      </c>
      <c r="G45" s="14">
        <v>3.5</v>
      </c>
      <c r="H45" s="9">
        <f>E45</f>
        <v>60</v>
      </c>
      <c r="I45" s="9" t="s">
        <v>70</v>
      </c>
    </row>
    <row r="46" spans="1:9">
      <c r="A46" s="13">
        <v>7100108</v>
      </c>
      <c r="B46" s="32" t="s">
        <v>50</v>
      </c>
      <c r="C46" s="15">
        <v>12</v>
      </c>
      <c r="D46" s="16"/>
      <c r="E46" s="16"/>
      <c r="F46" s="9">
        <f>D46/C46</f>
        <v>0</v>
      </c>
      <c r="G46" s="14">
        <v>0.2</v>
      </c>
      <c r="H46" s="9">
        <f>D46*G46</f>
        <v>0</v>
      </c>
      <c r="I46" s="9"/>
    </row>
    <row r="47" spans="1:9">
      <c r="A47" s="13">
        <v>7100139</v>
      </c>
      <c r="B47" s="32" t="s">
        <v>51</v>
      </c>
      <c r="C47" s="15">
        <v>8</v>
      </c>
      <c r="D47" s="16"/>
      <c r="E47" s="16"/>
      <c r="F47" s="9">
        <f>E47/20</f>
        <v>0</v>
      </c>
      <c r="G47" s="14">
        <v>2.5</v>
      </c>
      <c r="H47" s="9">
        <f>E47</f>
        <v>0</v>
      </c>
      <c r="I47" s="9" t="s">
        <v>52</v>
      </c>
    </row>
    <row r="48" spans="1:9">
      <c r="A48" s="13">
        <v>7100740</v>
      </c>
      <c r="B48" s="32" t="s">
        <v>53</v>
      </c>
      <c r="C48" s="15">
        <v>12</v>
      </c>
      <c r="D48" s="16"/>
      <c r="E48" s="16"/>
      <c r="F48" s="9">
        <f>D48/C48</f>
        <v>0</v>
      </c>
      <c r="G48" s="14">
        <v>0.2</v>
      </c>
      <c r="H48" s="9">
        <f>D48*G48</f>
        <v>0</v>
      </c>
      <c r="I48" s="9"/>
    </row>
    <row r="49" spans="1:9">
      <c r="A49" s="13">
        <v>7100726</v>
      </c>
      <c r="B49" s="32" t="s">
        <v>54</v>
      </c>
      <c r="C49" s="15">
        <v>8</v>
      </c>
      <c r="D49" s="16"/>
      <c r="E49" s="16"/>
      <c r="F49" s="9">
        <f>E49/20</f>
        <v>0</v>
      </c>
      <c r="G49" s="14">
        <v>2.5</v>
      </c>
      <c r="H49" s="9">
        <f>E49</f>
        <v>0</v>
      </c>
      <c r="I49" s="9" t="s">
        <v>52</v>
      </c>
    </row>
    <row r="50" spans="1:9">
      <c r="A50" s="13">
        <v>4421584</v>
      </c>
      <c r="B50" s="32" t="s">
        <v>56</v>
      </c>
      <c r="C50" s="15">
        <v>12</v>
      </c>
      <c r="D50" s="16"/>
      <c r="E50" s="16"/>
      <c r="F50" s="9">
        <f>D50/C50</f>
        <v>0</v>
      </c>
      <c r="G50" s="14">
        <v>0.18</v>
      </c>
      <c r="H50" s="9">
        <f>G50*D50</f>
        <v>0</v>
      </c>
      <c r="I50" s="9"/>
    </row>
    <row r="51" spans="1:9">
      <c r="A51" s="13">
        <v>4421577</v>
      </c>
      <c r="B51" s="32" t="s">
        <v>55</v>
      </c>
      <c r="C51" s="15">
        <v>12</v>
      </c>
      <c r="D51" s="16"/>
      <c r="E51" s="16"/>
      <c r="F51" s="9">
        <f>D51/C51</f>
        <v>0</v>
      </c>
      <c r="G51" s="14">
        <v>0.18</v>
      </c>
      <c r="H51" s="9">
        <f>G51*D51</f>
        <v>0</v>
      </c>
      <c r="I51" s="9"/>
    </row>
    <row r="52" spans="1:9">
      <c r="A52" s="13">
        <v>9985949</v>
      </c>
      <c r="B52" s="32" t="s">
        <v>57</v>
      </c>
      <c r="C52" s="15">
        <v>10</v>
      </c>
      <c r="D52" s="16"/>
      <c r="E52" s="16"/>
      <c r="F52" s="9">
        <f>D52/C52</f>
        <v>0</v>
      </c>
      <c r="G52" s="41">
        <v>1</v>
      </c>
      <c r="H52" s="9">
        <f>G52*D52</f>
        <v>0</v>
      </c>
      <c r="I52" s="9"/>
    </row>
    <row r="53" spans="1:9">
      <c r="A53" s="13">
        <v>8786928</v>
      </c>
      <c r="B53" s="32" t="s">
        <v>58</v>
      </c>
      <c r="C53" s="15">
        <v>4</v>
      </c>
      <c r="D53" s="16"/>
      <c r="E53" s="16"/>
      <c r="F53" s="9">
        <f>E53/6</f>
        <v>0</v>
      </c>
      <c r="G53" s="14">
        <v>1.5</v>
      </c>
      <c r="H53" s="9">
        <f>E53</f>
        <v>0</v>
      </c>
      <c r="I53" s="9" t="s">
        <v>59</v>
      </c>
    </row>
    <row r="54" spans="1:9">
      <c r="A54" s="13">
        <v>6948270</v>
      </c>
      <c r="B54" s="32" t="s">
        <v>61</v>
      </c>
      <c r="C54" s="15">
        <v>12</v>
      </c>
      <c r="D54" s="16"/>
      <c r="E54" s="16"/>
      <c r="F54" s="9">
        <f>D54/C54</f>
        <v>0</v>
      </c>
      <c r="G54" s="14">
        <v>0.372</v>
      </c>
      <c r="H54" s="9">
        <f>G54*D54</f>
        <v>0</v>
      </c>
      <c r="I54" s="9"/>
    </row>
    <row r="55" spans="1:9">
      <c r="A55" s="13">
        <v>6948287</v>
      </c>
      <c r="B55" s="32" t="s">
        <v>62</v>
      </c>
      <c r="C55" s="15">
        <v>12</v>
      </c>
      <c r="D55" s="16">
        <v>360</v>
      </c>
      <c r="E55" s="16"/>
      <c r="F55" s="9">
        <f>D55/C55</f>
        <v>30</v>
      </c>
      <c r="G55" s="14">
        <v>0.74399999999999999</v>
      </c>
      <c r="H55" s="9">
        <f>G55*D55</f>
        <v>267.83999999999997</v>
      </c>
      <c r="I55" s="9"/>
    </row>
    <row r="56" spans="1:9">
      <c r="A56" s="13">
        <v>6948256</v>
      </c>
      <c r="B56" s="32" t="s">
        <v>63</v>
      </c>
      <c r="C56" s="15">
        <v>12</v>
      </c>
      <c r="D56" s="16">
        <v>180</v>
      </c>
      <c r="E56" s="16"/>
      <c r="F56" s="9">
        <f>D56/C56</f>
        <v>15</v>
      </c>
      <c r="G56" s="14">
        <v>0.372</v>
      </c>
      <c r="H56" s="9">
        <f>G56*D56</f>
        <v>66.959999999999994</v>
      </c>
      <c r="I56" s="9"/>
    </row>
    <row r="57" spans="1:9">
      <c r="A57" s="13">
        <v>6948263</v>
      </c>
      <c r="B57" s="32" t="s">
        <v>64</v>
      </c>
      <c r="C57" s="15">
        <v>12</v>
      </c>
      <c r="D57" s="16">
        <v>216</v>
      </c>
      <c r="E57" s="16"/>
      <c r="F57" s="9">
        <f>D57/C57</f>
        <v>18</v>
      </c>
      <c r="G57" s="14">
        <v>0.74399999999999999</v>
      </c>
      <c r="H57" s="9">
        <f>G57*D57</f>
        <v>160.70400000000001</v>
      </c>
      <c r="I57" s="9"/>
    </row>
    <row r="58" spans="1:9">
      <c r="A58" s="13">
        <v>6948249</v>
      </c>
      <c r="B58" s="32" t="s">
        <v>65</v>
      </c>
      <c r="C58" s="15">
        <v>12</v>
      </c>
      <c r="D58" s="16"/>
      <c r="E58" s="16"/>
      <c r="F58" s="9">
        <f>D58/C58</f>
        <v>0</v>
      </c>
      <c r="G58" s="14">
        <v>0.82499999999999996</v>
      </c>
      <c r="H58" s="9">
        <f>G58*D58</f>
        <v>0</v>
      </c>
      <c r="I58" s="9"/>
    </row>
    <row r="59" spans="1:9">
      <c r="A59" s="6"/>
      <c r="B59" s="11" t="s">
        <v>12</v>
      </c>
      <c r="C59" s="6"/>
      <c r="D59" s="8"/>
      <c r="E59" s="8"/>
      <c r="F59" s="6"/>
      <c r="G59" s="6"/>
      <c r="H59" s="2">
        <f>SUM(H4:H58)</f>
        <v>1100.8239999999998</v>
      </c>
      <c r="I59" s="6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2026-07-02T07:15:06Z</dcterms:modified>
</cp:coreProperties>
</file>