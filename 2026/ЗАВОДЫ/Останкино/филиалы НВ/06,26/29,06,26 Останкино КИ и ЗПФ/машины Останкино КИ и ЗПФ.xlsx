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9,06,26 Останкино КИ и ЗПФ\"/>
    </mc:Choice>
  </mc:AlternateContent>
  <xr:revisionPtr revIDLastSave="0" documentId="13_ncr:1_{E69828B8-6DD2-4191-AB65-BFBA52554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G6" i="1"/>
  <c r="E8" i="1"/>
  <c r="E5" i="1"/>
  <c r="G8" i="1"/>
  <c r="G7" i="1"/>
  <c r="G5" i="1"/>
  <c r="D8" i="1" l="1"/>
  <c r="D3" i="1" l="1"/>
  <c r="D4" i="1"/>
  <c r="D5" i="1"/>
  <c r="D6" i="1"/>
  <c r="D7" i="1"/>
  <c r="D9" i="1"/>
  <c r="D10" i="1"/>
  <c r="D2" i="1"/>
  <c r="H4" i="1" l="1"/>
  <c r="H3" i="1"/>
  <c r="E11" i="1" l="1"/>
  <c r="E14" i="1" s="1"/>
  <c r="F11" i="1"/>
  <c r="F14" i="1" s="1"/>
  <c r="G11" i="1"/>
  <c r="G14" i="1" s="1"/>
  <c r="D11" i="1"/>
  <c r="H5" i="1"/>
  <c r="H6" i="1"/>
  <c r="H7" i="1"/>
  <c r="H8" i="1"/>
  <c r="H9" i="1"/>
  <c r="H10" i="1"/>
  <c r="H2" i="1"/>
  <c r="H11" i="1" l="1"/>
</calcChain>
</file>

<file path=xl/sharedStrings.xml><?xml version="1.0" encoding="utf-8"?>
<sst xmlns="http://schemas.openxmlformats.org/spreadsheetml/2006/main" count="23" uniqueCount="21">
  <si>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</si>
  <si>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</si>
  <si>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</si>
  <si>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</si>
  <si>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</si>
  <si>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</si>
  <si>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</si>
  <si>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</si>
  <si>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</si>
  <si>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</si>
  <si>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</si>
  <si>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</si>
  <si>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</si>
  <si>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</si>
  <si>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КИ</t>
  </si>
  <si>
    <t>ЗПФ</t>
  </si>
  <si>
    <t>ЗПФ+КИ</t>
  </si>
  <si>
    <t>машина с Крымом 04,07</t>
  </si>
  <si>
    <t>машина 05,07</t>
  </si>
  <si>
    <t>машина 06,07</t>
  </si>
  <si>
    <t>Мариуполь+Бердянск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</si>
</sst>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L10" sqref="L10"/>
    </sheetView>
  </sheetViews>
  <sheetFormatPr defaultRowHeight="15" x14ac:dyDescent="0.25"/>
  <cols>
    <col min="1" max="1" width="19.7109375" bestFit="1" customWidth="1"/>
    <col min="2" max="3" width="8.7109375" customWidth="1"/>
    <col min="4" max="4" width="13.7109375" bestFit="1" customWidth="1"/>
    <col min="5" max="7" width="9.85546875" bestFit="1" customWidth="1"/>
    <col min="8" max="8" width="8.140625" bestFit="1" customWidth="1"/>
  </cols>
  <sheetData>
    <row r="1" spans="1:9" s="6" customFormat="1" ht="45" x14ac:dyDescent="0.25">
      <c r="A1" s="5" t="s">
        <v>9</v>
      </c>
      <c r="B1" s="5" t="s">
        <v>14</v>
      </c>
      <c r="C1" s="5" t="s">
        <v>15</v>
      </c>
      <c r="D1" s="5" t="s">
        <v>10</v>
      </c>
      <c r="E1" s="5" t="s">
        <v>17</v>
      </c>
      <c r="F1" s="5" t="s">
        <v>18</v>
      </c>
      <c r="G1" s="5" t="s">
        <v>19</v>
      </c>
      <c r="H1" s="5" t="s">
        <v>11</v>
      </c>
    </row>
    <row r="2" spans="1:9" x14ac:dyDescent="0.25">
      <c r="A2" s="2" t="s">
        <v>0</v>
      </c>
      <c r="B2" s="2"/>
      <c r="C2" s="2"/>
      <c r="D2" s="2">
        <f>C2+B2</f>
        <v>0</v>
      </c>
      <c r="E2" s="2"/>
      <c r="F2" s="2"/>
      <c r="G2" s="2"/>
      <c r="H2" s="2">
        <f>D2-E2-F2-G2</f>
        <v>0</v>
      </c>
    </row>
    <row r="3" spans="1:9" x14ac:dyDescent="0.25">
      <c r="A3" s="2" t="s">
        <v>6</v>
      </c>
      <c r="B3" s="2"/>
      <c r="C3" s="2"/>
      <c r="D3" s="2">
        <f t="shared" ref="D3:D10" si="0">C3+B3</f>
        <v>0</v>
      </c>
      <c r="E3" s="2"/>
      <c r="F3" s="2"/>
      <c r="G3" s="2"/>
      <c r="H3" s="2">
        <f t="shared" ref="H3" si="1">D3-E3-F3-G3</f>
        <v>0</v>
      </c>
    </row>
    <row r="4" spans="1:9" x14ac:dyDescent="0.25">
      <c r="A4" s="2" t="s">
        <v>5</v>
      </c>
      <c r="B4" s="2">
        <v>1592</v>
      </c>
      <c r="C4" s="2"/>
      <c r="D4" s="2">
        <f t="shared" si="0"/>
        <v>1592</v>
      </c>
      <c r="E4" s="2"/>
      <c r="F4" s="2">
        <v>1592</v>
      </c>
      <c r="G4" s="2"/>
      <c r="H4" s="2">
        <f>D4-E4-F4-G4</f>
        <v>0</v>
      </c>
    </row>
    <row r="5" spans="1:9" x14ac:dyDescent="0.25">
      <c r="A5" s="2" t="s">
        <v>1</v>
      </c>
      <c r="B5" s="2">
        <v>4452</v>
      </c>
      <c r="C5" s="2">
        <v>208</v>
      </c>
      <c r="D5" s="2">
        <f t="shared" si="0"/>
        <v>4660</v>
      </c>
      <c r="E5" s="2">
        <f>2245</f>
        <v>2245</v>
      </c>
      <c r="F5" s="2"/>
      <c r="G5" s="2">
        <f>2206+208</f>
        <v>2414</v>
      </c>
      <c r="H5" s="2">
        <f>D5-E5-F5-G5</f>
        <v>1</v>
      </c>
      <c r="I5" s="7" t="s">
        <v>20</v>
      </c>
    </row>
    <row r="6" spans="1:9" x14ac:dyDescent="0.25">
      <c r="A6" s="2" t="s">
        <v>2</v>
      </c>
      <c r="B6" s="2">
        <v>8793</v>
      </c>
      <c r="C6" s="12">
        <v>111</v>
      </c>
      <c r="D6" s="2">
        <f t="shared" si="0"/>
        <v>8904</v>
      </c>
      <c r="E6" s="2"/>
      <c r="F6" s="2">
        <v>4479</v>
      </c>
      <c r="G6" s="2">
        <f>4309+111</f>
        <v>4420</v>
      </c>
      <c r="H6" s="2">
        <f>D6-E6-F6-G6</f>
        <v>5</v>
      </c>
    </row>
    <row r="7" spans="1:9" x14ac:dyDescent="0.25">
      <c r="A7" s="2" t="s">
        <v>3</v>
      </c>
      <c r="B7" s="2">
        <v>8485</v>
      </c>
      <c r="C7" s="12">
        <v>182</v>
      </c>
      <c r="D7" s="2">
        <f t="shared" si="0"/>
        <v>8667</v>
      </c>
      <c r="E7" s="2"/>
      <c r="F7" s="2">
        <f>4350</f>
        <v>4350</v>
      </c>
      <c r="G7" s="2">
        <f>4135+182</f>
        <v>4317</v>
      </c>
      <c r="H7" s="2">
        <f>D7-E7-F7-G7</f>
        <v>0</v>
      </c>
    </row>
    <row r="8" spans="1:9" x14ac:dyDescent="0.25">
      <c r="A8" s="2" t="s">
        <v>4</v>
      </c>
      <c r="B8" s="2">
        <v>6545</v>
      </c>
      <c r="C8" s="2">
        <v>484</v>
      </c>
      <c r="D8" s="2">
        <f t="shared" si="0"/>
        <v>7029</v>
      </c>
      <c r="E8" s="2">
        <f>3355</f>
        <v>3355</v>
      </c>
      <c r="F8" s="2"/>
      <c r="G8" s="2">
        <f>3189+484</f>
        <v>3673</v>
      </c>
      <c r="H8" s="2">
        <f>D8-E8-F8-G8</f>
        <v>1</v>
      </c>
    </row>
    <row r="9" spans="1:9" x14ac:dyDescent="0.25">
      <c r="A9" s="2" t="s">
        <v>8</v>
      </c>
      <c r="B9" s="2"/>
      <c r="C9" s="2"/>
      <c r="D9" s="2">
        <f t="shared" si="0"/>
        <v>0</v>
      </c>
      <c r="E9" s="2"/>
      <c r="F9" s="2"/>
      <c r="G9" s="2"/>
      <c r="H9" s="2">
        <f t="shared" ref="H9:H10" si="2">D9-E9-F9-G9</f>
        <v>0</v>
      </c>
    </row>
    <row r="10" spans="1:9" x14ac:dyDescent="0.25">
      <c r="A10" s="2" t="s">
        <v>7</v>
      </c>
      <c r="B10" s="2"/>
      <c r="C10" s="2"/>
      <c r="D10" s="2">
        <f t="shared" si="0"/>
        <v>0</v>
      </c>
      <c r="E10" s="2"/>
      <c r="F10" s="2"/>
      <c r="G10" s="2"/>
      <c r="H10" s="2">
        <f t="shared" si="2"/>
        <v>0</v>
      </c>
    </row>
    <row r="11" spans="1:9" s="1" customFormat="1" x14ac:dyDescent="0.25">
      <c r="A11" s="4" t="s">
        <v>13</v>
      </c>
      <c r="B11" s="4"/>
      <c r="C11" s="4"/>
      <c r="D11" s="4">
        <f>SUM(D2:D10)</f>
        <v>30852</v>
      </c>
      <c r="E11" s="4">
        <f>SUM(E2:E10)</f>
        <v>5600</v>
      </c>
      <c r="F11" s="4">
        <f>SUM(F2:F10)</f>
        <v>10421</v>
      </c>
      <c r="G11" s="4">
        <f>SUM(G2:G10)</f>
        <v>14824</v>
      </c>
      <c r="H11" s="4">
        <f>SUM(H2:H10)</f>
        <v>7</v>
      </c>
    </row>
    <row r="12" spans="1:9" ht="15.75" thickBot="1" x14ac:dyDescent="0.3">
      <c r="E12" t="s">
        <v>14</v>
      </c>
      <c r="F12" t="s">
        <v>14</v>
      </c>
      <c r="G12" s="8" t="s">
        <v>16</v>
      </c>
    </row>
    <row r="13" spans="1:9" ht="15.75" thickBot="1" x14ac:dyDescent="0.3">
      <c r="E13" s="9" t="s">
        <v>12</v>
      </c>
      <c r="F13" s="10"/>
      <c r="G13" s="11"/>
    </row>
    <row r="14" spans="1:9" x14ac:dyDescent="0.25">
      <c r="E14" s="3">
        <f>IF(ROUNDUP(E11/500,0)&gt;32,32,ROUNDUP(E11/500,0))</f>
        <v>12</v>
      </c>
      <c r="F14" s="3">
        <f t="shared" ref="F14:G14" si="3">IF(ROUNDUP(F11/500,0)&gt;32,32,ROUNDUP(F11/500,0))</f>
        <v>21</v>
      </c>
      <c r="G14" s="3">
        <f t="shared" si="3"/>
        <v>30</v>
      </c>
    </row>
  </sheetData>
  <mergeCells count="1">
    <mergeCell ref="E13:G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2026-07-05T06:21:17Z</dcterms:modified>
</cp:coreProperties>
</file>