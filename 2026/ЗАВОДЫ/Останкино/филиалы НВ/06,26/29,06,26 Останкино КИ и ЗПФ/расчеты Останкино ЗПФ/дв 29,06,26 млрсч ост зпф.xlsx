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BFE13996-8E58-415B-8059-9362D416FC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Sheet!$A$3:$X$16</definedName>
  </definedNames>
  <calcPr calcId="191029"/>
</workbook>
</file>

<file path=xl/calcChain.xml><?xml version="1.0" encoding="utf-8"?>
<calcChain xmlns="http://schemas.openxmlformats.org/spreadsheetml/2006/main">
  <c r="X9" i="1" l="1"/>
  <c r="X6" i="1"/>
  <c r="P7" i="1"/>
  <c r="X7" i="1" s="1"/>
  <c r="P8" i="1"/>
  <c r="X8" i="1" s="1"/>
  <c r="P9" i="1"/>
  <c r="P10" i="1"/>
  <c r="X10" i="1" s="1"/>
  <c r="P11" i="1"/>
  <c r="P12" i="1"/>
  <c r="X12" i="1" s="1"/>
  <c r="P13" i="1"/>
  <c r="X13" i="1" s="1"/>
  <c r="P14" i="1"/>
  <c r="X14" i="1" s="1"/>
  <c r="P15" i="1"/>
  <c r="T15" i="1" s="1"/>
  <c r="P16" i="1"/>
  <c r="P6" i="1"/>
  <c r="X15" i="1"/>
  <c r="O5" i="1"/>
  <c r="X16" i="1" l="1"/>
  <c r="L6" i="1"/>
  <c r="L14" i="1"/>
  <c r="L16" i="1"/>
  <c r="L13" i="1"/>
  <c r="L12" i="1"/>
  <c r="L11" i="1"/>
  <c r="L8" i="1"/>
  <c r="L9" i="1"/>
  <c r="L15" i="1"/>
  <c r="L10" i="1"/>
  <c r="L7" i="1"/>
  <c r="U8" i="1"/>
  <c r="U15" i="1"/>
  <c r="U7" i="1"/>
  <c r="U11" i="1"/>
  <c r="T10" i="1"/>
  <c r="U9" i="1"/>
  <c r="U16" i="1"/>
  <c r="U14" i="1"/>
  <c r="U13" i="1"/>
  <c r="U12" i="1"/>
  <c r="U6" i="1"/>
  <c r="T14" i="1"/>
  <c r="T7" i="1"/>
  <c r="U10" i="1"/>
  <c r="T8" i="1"/>
  <c r="T6" i="1"/>
  <c r="T16" i="1"/>
  <c r="T13" i="1"/>
  <c r="T12" i="1"/>
  <c r="T9" i="1"/>
  <c r="V5" i="1"/>
  <c r="R5" i="1"/>
  <c r="N5" i="1"/>
  <c r="M5" i="1"/>
  <c r="K5" i="1"/>
  <c r="T11" i="1" l="1"/>
  <c r="X11" i="1"/>
  <c r="F5" i="1"/>
  <c r="E5" i="1"/>
  <c r="P5" i="1" l="1"/>
  <c r="L5" i="1"/>
  <c r="Q5" i="1" l="1"/>
  <c r="X5" i="1" l="1"/>
</calcChain>
</file>

<file path=xl/sharedStrings.xml><?xml version="1.0" encoding="utf-8"?>
<sst xmlns="http://schemas.openxmlformats.org/spreadsheetml/2006/main" count="51" uniqueCount="40">
  <si>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</si>
  <si>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</si>
  <si>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</si>
  <si>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</si>
  <si>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</si>
  <si>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</si>
  <si>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</si>
  <si>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</si>
  <si>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</si>
  <si>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</si>
  <si>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</si>
  <si>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</si>
  <si>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</si>
  <si>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</si>
  <si>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</si>
  <si>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</si>
  <si>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</si>
  <si>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</si>
  <si>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</si>
  <si>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</si>
  <si>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</si>
  <si>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</si>
  <si>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</si>
  <si>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</si>
  <si>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</si>
  <si>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>5579 БЛИНЧ.КРУГЛЫЕ С САД.ЯБЛОК.пл.1/420 зам. ОСТАНКИНО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</si>
  <si>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</si>
  <si>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</si>
  <si>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</si>
  <si>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</si>
  <si>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</si>
  <si>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</si>
  <si>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</si>
  <si>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</si>
  <si>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</si>
  <si>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</si>
  <si>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</si>
  <si>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</si>
  <si>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29,06,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</si>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</sst>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64" fontId="1" fillId="0" borderId="0" xfId="1" applyNumberFormat="1"/>
    <xf numFmtId="164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164" fontId="0" fillId="0" borderId="0" xfId="0" applyNumberFormat="1"/>
    <xf numFmtId="164" fontId="4" fillId="0" borderId="0" xfId="1" applyNumberFormat="1" applyFont="1"/>
    <xf numFmtId="164" fontId="0" fillId="0" borderId="1" xfId="0" applyNumberFormat="1" applyBorder="1"/>
    <xf numFmtId="164" fontId="1" fillId="0" borderId="1" xfId="1" applyNumberFormat="1" applyBorder="1"/>
    <xf numFmtId="2" fontId="1" fillId="0" borderId="0" xfId="1" applyNumberFormat="1"/>
    <xf numFmtId="2" fontId="2" fillId="2" borderId="0" xfId="1" applyNumberFormat="1" applyFont="1" applyFill="1"/>
    <xf numFmtId="2" fontId="0" fillId="0" borderId="0" xfId="0" applyNumberFormat="1"/>
    <xf numFmtId="164" fontId="5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W20" sqref="W20"/>
    </sheetView>
  </sheetViews>
  <sheetFormatPr defaultColWidth="9" defaultRowHeight="15"/>
  <cols>
    <col min="1" max="1" width="60" style="6" customWidth="1"/>
    <col min="2" max="2" width="3" style="6" customWidth="1"/>
    <col min="3" max="4" width="6" style="6" customWidth="1"/>
    <col min="5" max="6" width="7" style="6" customWidth="1"/>
    <col min="7" max="7" width="5" style="12" customWidth="1"/>
    <col min="8" max="8" width="5" style="6" customWidth="1"/>
    <col min="9" max="9" width="8.42578125" style="6" customWidth="1"/>
    <col min="10" max="10" width="1" style="6" customWidth="1"/>
    <col min="11" max="12" width="3.85546875" style="6" customWidth="1"/>
    <col min="13" max="14" width="0.42578125" style="6" customWidth="1"/>
    <col min="15" max="15" width="6.85546875" style="6" customWidth="1"/>
    <col min="16" max="18" width="7" style="6" customWidth="1"/>
    <col min="19" max="19" width="21" style="6" customWidth="1"/>
    <col min="20" max="21" width="5" style="6" customWidth="1"/>
    <col min="22" max="22" width="6" style="6" customWidth="1"/>
    <col min="23" max="23" width="28.7109375" style="6" customWidth="1"/>
    <col min="24" max="24" width="7" style="6" customWidth="1"/>
    <col min="25" max="40" width="3" style="6" customWidth="1"/>
    <col min="41" max="16384" width="9" style="6"/>
  </cols>
  <sheetData>
    <row r="1" spans="1:40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1"/>
      <c r="B2" s="1"/>
      <c r="C2" s="1"/>
      <c r="D2" s="1"/>
      <c r="E2" s="1"/>
      <c r="F2" s="1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4" t="s">
        <v>16</v>
      </c>
      <c r="R3" s="5" t="s">
        <v>17</v>
      </c>
      <c r="S3" s="5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7" t="s">
        <v>38</v>
      </c>
      <c r="P4" s="7" t="s">
        <v>38</v>
      </c>
      <c r="Q4" s="1"/>
      <c r="R4" s="1"/>
      <c r="S4" s="1"/>
      <c r="T4" s="1"/>
      <c r="U4" s="1"/>
      <c r="V4" s="7" t="s">
        <v>37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/>
      <c r="B5" s="1"/>
      <c r="C5" s="1"/>
      <c r="D5" s="1"/>
      <c r="E5" s="3">
        <f>SUM(E6:E401)</f>
        <v>0</v>
      </c>
      <c r="F5" s="3">
        <f>SUM(F6:F401)</f>
        <v>241.09399999999999</v>
      </c>
      <c r="G5" s="10"/>
      <c r="H5" s="1"/>
      <c r="I5" s="1"/>
      <c r="J5" s="1"/>
      <c r="K5" s="3">
        <f>SUM(K6:K401)</f>
        <v>0</v>
      </c>
      <c r="L5" s="3">
        <f t="shared" ref="L5:R5" si="0">SUM(L6:L401)</f>
        <v>0</v>
      </c>
      <c r="M5" s="3">
        <f t="shared" si="0"/>
        <v>0</v>
      </c>
      <c r="N5" s="3">
        <f t="shared" si="0"/>
        <v>0</v>
      </c>
      <c r="O5" s="3">
        <f t="shared" si="0"/>
        <v>900</v>
      </c>
      <c r="P5" s="3">
        <f t="shared" si="0"/>
        <v>0</v>
      </c>
      <c r="Q5" s="3">
        <f t="shared" si="0"/>
        <v>0</v>
      </c>
      <c r="R5" s="3">
        <f t="shared" si="0"/>
        <v>0</v>
      </c>
      <c r="S5" s="1"/>
      <c r="T5" s="1"/>
      <c r="U5" s="1"/>
      <c r="V5" s="3">
        <f>SUM(V6:V401)</f>
        <v>0</v>
      </c>
      <c r="W5" s="1"/>
      <c r="X5" s="3">
        <f>SUM(X6:X401)</f>
        <v>0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" t="s">
        <v>25</v>
      </c>
      <c r="B6" s="1" t="s">
        <v>24</v>
      </c>
      <c r="C6" s="1">
        <v>122</v>
      </c>
      <c r="D6" s="1"/>
      <c r="E6" s="1"/>
      <c r="F6" s="1">
        <v>122</v>
      </c>
      <c r="G6" s="10">
        <v>0.42</v>
      </c>
      <c r="H6" s="1"/>
      <c r="I6" s="1"/>
      <c r="J6" s="1"/>
      <c r="K6" s="1"/>
      <c r="L6" s="1">
        <f>E6-K6</f>
        <v>0</v>
      </c>
      <c r="M6" s="1"/>
      <c r="N6" s="1"/>
      <c r="O6" s="1"/>
      <c r="P6" s="6">
        <f>E6/5</f>
        <v>0</v>
      </c>
      <c r="Q6" s="8"/>
      <c r="R6" s="9"/>
      <c r="S6" s="1"/>
      <c r="T6" s="1" t="e">
        <f>(F6+O6+Q6)/P6</f>
        <v>#DIV/0!</v>
      </c>
      <c r="U6" s="1" t="e">
        <f>(F6+O6)/P6</f>
        <v>#DIV/0!</v>
      </c>
      <c r="V6" s="1">
        <v>0</v>
      </c>
      <c r="W6" s="13" t="s">
        <v>39</v>
      </c>
      <c r="X6" s="1">
        <f>Q6*G6</f>
        <v>0</v>
      </c>
      <c r="Y6" s="1"/>
      <c r="Z6" s="1"/>
      <c r="AF6" s="1"/>
      <c r="AG6" s="1"/>
      <c r="AH6" s="1"/>
      <c r="AJ6" s="1"/>
      <c r="AK6" s="1"/>
      <c r="AL6" s="1"/>
      <c r="AM6" s="1"/>
      <c r="AN6" s="1"/>
    </row>
    <row r="7" spans="1:40">
      <c r="A7" s="1" t="s">
        <v>26</v>
      </c>
      <c r="B7" s="1" t="s">
        <v>27</v>
      </c>
      <c r="C7" s="1"/>
      <c r="D7" s="1"/>
      <c r="E7" s="1"/>
      <c r="F7" s="1"/>
      <c r="G7" s="10">
        <v>1</v>
      </c>
      <c r="H7" s="1"/>
      <c r="I7" s="1"/>
      <c r="J7" s="1"/>
      <c r="K7" s="1"/>
      <c r="L7" s="1">
        <f t="shared" ref="L7:L16" si="1">E7-K7</f>
        <v>0</v>
      </c>
      <c r="M7" s="1"/>
      <c r="N7" s="1"/>
      <c r="O7" s="1">
        <v>100</v>
      </c>
      <c r="P7" s="6">
        <f t="shared" ref="P7:P16" si="2">E7/5</f>
        <v>0</v>
      </c>
      <c r="Q7" s="8"/>
      <c r="R7" s="9"/>
      <c r="S7" s="1"/>
      <c r="T7" s="1" t="e">
        <f t="shared" ref="T7:T16" si="3">(F7+O7+Q7)/P7</f>
        <v>#DIV/0!</v>
      </c>
      <c r="U7" s="1" t="e">
        <f t="shared" ref="U7:U16" si="4">(F7+O7)/P7</f>
        <v>#DIV/0!</v>
      </c>
      <c r="V7" s="1">
        <v>0</v>
      </c>
      <c r="W7" s="1"/>
      <c r="X7" s="1">
        <f t="shared" ref="X7:X11" si="5">Q7*G7</f>
        <v>0</v>
      </c>
      <c r="Y7" s="1"/>
      <c r="Z7" s="1"/>
      <c r="AF7" s="1"/>
      <c r="AG7" s="1"/>
      <c r="AH7" s="1"/>
      <c r="AJ7" s="1"/>
      <c r="AK7" s="1"/>
      <c r="AL7" s="1"/>
      <c r="AM7" s="1"/>
      <c r="AN7" s="1"/>
    </row>
    <row r="8" spans="1:40">
      <c r="A8" s="1" t="s">
        <v>28</v>
      </c>
      <c r="B8" s="1" t="s">
        <v>27</v>
      </c>
      <c r="C8" s="1">
        <v>9.4E-2</v>
      </c>
      <c r="D8" s="1"/>
      <c r="E8" s="1"/>
      <c r="F8" s="1">
        <v>9.4E-2</v>
      </c>
      <c r="G8" s="10">
        <v>1</v>
      </c>
      <c r="H8" s="1"/>
      <c r="I8" s="1"/>
      <c r="J8" s="1"/>
      <c r="K8" s="1"/>
      <c r="L8" s="1">
        <f t="shared" si="1"/>
        <v>0</v>
      </c>
      <c r="M8" s="1"/>
      <c r="N8" s="1"/>
      <c r="O8" s="1">
        <v>100</v>
      </c>
      <c r="P8" s="6">
        <f t="shared" si="2"/>
        <v>0</v>
      </c>
      <c r="Q8" s="8"/>
      <c r="R8" s="9"/>
      <c r="S8" s="1"/>
      <c r="T8" s="1" t="e">
        <f t="shared" si="3"/>
        <v>#DIV/0!</v>
      </c>
      <c r="U8" s="1" t="e">
        <f t="shared" si="4"/>
        <v>#DIV/0!</v>
      </c>
      <c r="V8" s="1">
        <v>0</v>
      </c>
      <c r="W8" s="1"/>
      <c r="X8" s="1">
        <f t="shared" si="5"/>
        <v>0</v>
      </c>
      <c r="Y8" s="1"/>
      <c r="Z8" s="1"/>
      <c r="AF8" s="1"/>
      <c r="AG8" s="1"/>
      <c r="AH8" s="1"/>
      <c r="AJ8" s="1"/>
      <c r="AK8" s="1"/>
      <c r="AL8" s="1"/>
      <c r="AM8" s="1"/>
      <c r="AN8" s="1"/>
    </row>
    <row r="9" spans="1:40">
      <c r="A9" s="1" t="s">
        <v>29</v>
      </c>
      <c r="B9" s="1" t="s">
        <v>24</v>
      </c>
      <c r="C9" s="1">
        <v>119</v>
      </c>
      <c r="D9" s="1"/>
      <c r="E9" s="1"/>
      <c r="F9" s="1">
        <v>119</v>
      </c>
      <c r="G9" s="10">
        <v>0.42</v>
      </c>
      <c r="H9" s="1"/>
      <c r="I9" s="1"/>
      <c r="J9" s="1"/>
      <c r="K9" s="1"/>
      <c r="L9" s="1">
        <f t="shared" si="1"/>
        <v>0</v>
      </c>
      <c r="M9" s="1"/>
      <c r="N9" s="1"/>
      <c r="O9" s="1"/>
      <c r="P9" s="6">
        <f t="shared" si="2"/>
        <v>0</v>
      </c>
      <c r="Q9" s="8"/>
      <c r="R9" s="9"/>
      <c r="S9" s="1"/>
      <c r="T9" s="1" t="e">
        <f t="shared" si="3"/>
        <v>#DIV/0!</v>
      </c>
      <c r="U9" s="1" t="e">
        <f t="shared" si="4"/>
        <v>#DIV/0!</v>
      </c>
      <c r="V9" s="1">
        <v>0</v>
      </c>
      <c r="W9" s="13" t="s">
        <v>39</v>
      </c>
      <c r="X9" s="1">
        <f t="shared" si="5"/>
        <v>0</v>
      </c>
      <c r="Y9" s="1"/>
      <c r="Z9" s="1"/>
      <c r="AF9" s="1"/>
      <c r="AG9" s="1"/>
      <c r="AH9" s="1"/>
      <c r="AJ9" s="1"/>
      <c r="AK9" s="1"/>
      <c r="AL9" s="1"/>
      <c r="AM9" s="1"/>
      <c r="AN9" s="1"/>
    </row>
    <row r="10" spans="1:40">
      <c r="A10" s="1" t="s">
        <v>30</v>
      </c>
      <c r="B10" s="1" t="s">
        <v>24</v>
      </c>
      <c r="C10" s="1"/>
      <c r="D10" s="1"/>
      <c r="E10" s="1"/>
      <c r="F10" s="1"/>
      <c r="G10" s="10">
        <v>0.3</v>
      </c>
      <c r="H10" s="1"/>
      <c r="I10" s="1"/>
      <c r="J10" s="1"/>
      <c r="K10" s="1"/>
      <c r="L10" s="1">
        <f t="shared" si="1"/>
        <v>0</v>
      </c>
      <c r="M10" s="1"/>
      <c r="N10" s="1"/>
      <c r="O10" s="1">
        <v>100</v>
      </c>
      <c r="P10" s="6">
        <f t="shared" si="2"/>
        <v>0</v>
      </c>
      <c r="Q10" s="8"/>
      <c r="R10" s="9"/>
      <c r="S10" s="1"/>
      <c r="T10" s="1" t="e">
        <f t="shared" si="3"/>
        <v>#DIV/0!</v>
      </c>
      <c r="U10" s="1" t="e">
        <f t="shared" si="4"/>
        <v>#DIV/0!</v>
      </c>
      <c r="V10" s="1">
        <v>0</v>
      </c>
      <c r="W10" s="1"/>
      <c r="X10" s="1">
        <f t="shared" si="5"/>
        <v>0</v>
      </c>
      <c r="Y10" s="1"/>
      <c r="Z10" s="1"/>
      <c r="AF10" s="1"/>
      <c r="AG10" s="1"/>
      <c r="AH10" s="1"/>
      <c r="AJ10" s="1"/>
      <c r="AK10" s="1"/>
      <c r="AL10" s="1"/>
      <c r="AM10" s="1"/>
      <c r="AN10" s="1"/>
    </row>
    <row r="11" spans="1:40">
      <c r="A11" s="1" t="s">
        <v>31</v>
      </c>
      <c r="B11" s="1" t="s">
        <v>24</v>
      </c>
      <c r="C11" s="1"/>
      <c r="D11" s="1"/>
      <c r="E11" s="1"/>
      <c r="F11" s="1"/>
      <c r="G11" s="10">
        <v>0.3</v>
      </c>
      <c r="H11" s="1"/>
      <c r="I11" s="1"/>
      <c r="J11" s="1"/>
      <c r="K11" s="1"/>
      <c r="L11" s="1">
        <f t="shared" si="1"/>
        <v>0</v>
      </c>
      <c r="M11" s="1"/>
      <c r="N11" s="1"/>
      <c r="O11" s="1">
        <v>100</v>
      </c>
      <c r="P11" s="6">
        <f t="shared" si="2"/>
        <v>0</v>
      </c>
      <c r="Q11" s="8"/>
      <c r="R11" s="9"/>
      <c r="S11" s="1"/>
      <c r="T11" s="1" t="e">
        <f t="shared" si="3"/>
        <v>#DIV/0!</v>
      </c>
      <c r="U11" s="1" t="e">
        <f t="shared" si="4"/>
        <v>#DIV/0!</v>
      </c>
      <c r="V11" s="1">
        <v>0</v>
      </c>
      <c r="W11" s="1"/>
      <c r="X11" s="1">
        <f t="shared" si="5"/>
        <v>0</v>
      </c>
      <c r="Y11" s="1"/>
      <c r="Z11" s="1"/>
      <c r="AF11" s="1"/>
      <c r="AG11" s="1"/>
      <c r="AH11" s="1"/>
      <c r="AJ11" s="1"/>
      <c r="AK11" s="1"/>
      <c r="AL11" s="1"/>
      <c r="AM11" s="1"/>
      <c r="AN11" s="1"/>
    </row>
    <row r="12" spans="1:40">
      <c r="A12" s="1" t="s">
        <v>32</v>
      </c>
      <c r="B12" s="1" t="s">
        <v>24</v>
      </c>
      <c r="C12" s="1"/>
      <c r="D12" s="1"/>
      <c r="E12" s="1"/>
      <c r="F12" s="1"/>
      <c r="G12" s="10">
        <v>0.35</v>
      </c>
      <c r="H12" s="1"/>
      <c r="I12" s="1"/>
      <c r="J12" s="1"/>
      <c r="K12" s="1"/>
      <c r="L12" s="1">
        <f t="shared" si="1"/>
        <v>0</v>
      </c>
      <c r="M12" s="1"/>
      <c r="N12" s="1"/>
      <c r="O12" s="1">
        <v>100</v>
      </c>
      <c r="P12" s="6">
        <f t="shared" si="2"/>
        <v>0</v>
      </c>
      <c r="Q12" s="8"/>
      <c r="R12" s="9"/>
      <c r="S12" s="1"/>
      <c r="T12" s="1" t="e">
        <f t="shared" si="3"/>
        <v>#DIV/0!</v>
      </c>
      <c r="U12" s="1" t="e">
        <f t="shared" si="4"/>
        <v>#DIV/0!</v>
      </c>
      <c r="V12" s="1">
        <v>0</v>
      </c>
      <c r="W12" s="1"/>
      <c r="X12" s="1">
        <f t="shared" ref="X12:X16" si="6">Q12*G12</f>
        <v>0</v>
      </c>
      <c r="Y12" s="1"/>
      <c r="Z12" s="1"/>
      <c r="AF12" s="1"/>
      <c r="AG12" s="1"/>
      <c r="AH12" s="1"/>
      <c r="AJ12" s="1"/>
      <c r="AK12" s="1"/>
      <c r="AL12" s="1"/>
      <c r="AM12" s="1"/>
      <c r="AN12" s="1"/>
    </row>
    <row r="13" spans="1:40">
      <c r="A13" s="1" t="s">
        <v>33</v>
      </c>
      <c r="B13" s="1" t="s">
        <v>24</v>
      </c>
      <c r="C13" s="1"/>
      <c r="D13" s="1"/>
      <c r="E13" s="1"/>
      <c r="F13" s="1"/>
      <c r="G13" s="10">
        <v>0.3</v>
      </c>
      <c r="H13" s="1"/>
      <c r="I13" s="1"/>
      <c r="J13" s="1"/>
      <c r="K13" s="1"/>
      <c r="L13" s="1">
        <f t="shared" si="1"/>
        <v>0</v>
      </c>
      <c r="M13" s="1"/>
      <c r="N13" s="1"/>
      <c r="O13" s="1">
        <v>100</v>
      </c>
      <c r="P13" s="6">
        <f t="shared" si="2"/>
        <v>0</v>
      </c>
      <c r="Q13" s="8"/>
      <c r="R13" s="9"/>
      <c r="S13" s="1"/>
      <c r="T13" s="1" t="e">
        <f t="shared" si="3"/>
        <v>#DIV/0!</v>
      </c>
      <c r="U13" s="1" t="e">
        <f t="shared" si="4"/>
        <v>#DIV/0!</v>
      </c>
      <c r="V13" s="1">
        <v>0</v>
      </c>
      <c r="W13" s="1"/>
      <c r="X13" s="1">
        <f t="shared" si="6"/>
        <v>0</v>
      </c>
      <c r="Y13" s="1"/>
      <c r="Z13" s="1"/>
      <c r="AF13" s="1"/>
      <c r="AG13" s="1"/>
      <c r="AH13" s="1"/>
      <c r="AJ13" s="1"/>
      <c r="AK13" s="1"/>
      <c r="AL13" s="1"/>
      <c r="AM13" s="1"/>
      <c r="AN13" s="1"/>
    </row>
    <row r="14" spans="1:40">
      <c r="A14" s="1" t="s">
        <v>34</v>
      </c>
      <c r="B14" s="1" t="s">
        <v>24</v>
      </c>
      <c r="C14" s="1"/>
      <c r="D14" s="1"/>
      <c r="E14" s="1"/>
      <c r="F14" s="1"/>
      <c r="G14" s="10">
        <v>0.35</v>
      </c>
      <c r="H14" s="1"/>
      <c r="I14" s="1"/>
      <c r="J14" s="1"/>
      <c r="K14" s="1"/>
      <c r="L14" s="1">
        <f t="shared" si="1"/>
        <v>0</v>
      </c>
      <c r="M14" s="1"/>
      <c r="N14" s="1"/>
      <c r="O14" s="1">
        <v>100</v>
      </c>
      <c r="P14" s="6">
        <f t="shared" si="2"/>
        <v>0</v>
      </c>
      <c r="Q14" s="8"/>
      <c r="R14" s="9"/>
      <c r="S14" s="1"/>
      <c r="T14" s="1" t="e">
        <f t="shared" si="3"/>
        <v>#DIV/0!</v>
      </c>
      <c r="U14" s="1" t="e">
        <f t="shared" si="4"/>
        <v>#DIV/0!</v>
      </c>
      <c r="V14" s="1">
        <v>0</v>
      </c>
      <c r="W14" s="1"/>
      <c r="X14" s="1">
        <f t="shared" si="6"/>
        <v>0</v>
      </c>
      <c r="Y14" s="1"/>
      <c r="Z14" s="1"/>
      <c r="AF14" s="1"/>
      <c r="AG14" s="1"/>
      <c r="AH14" s="1"/>
      <c r="AJ14" s="1"/>
      <c r="AK14" s="1"/>
      <c r="AL14" s="1"/>
      <c r="AM14" s="1"/>
      <c r="AN14" s="1"/>
    </row>
    <row r="15" spans="1:40">
      <c r="A15" s="1" t="s">
        <v>35</v>
      </c>
      <c r="B15" s="1" t="s">
        <v>24</v>
      </c>
      <c r="C15" s="1"/>
      <c r="D15" s="1"/>
      <c r="E15" s="1"/>
      <c r="F15" s="1"/>
      <c r="G15" s="10">
        <v>0.3</v>
      </c>
      <c r="H15" s="1"/>
      <c r="I15" s="1"/>
      <c r="J15" s="1"/>
      <c r="K15" s="1"/>
      <c r="L15" s="1">
        <f t="shared" si="1"/>
        <v>0</v>
      </c>
      <c r="M15" s="1"/>
      <c r="N15" s="1"/>
      <c r="O15" s="1"/>
      <c r="P15" s="6">
        <f t="shared" si="2"/>
        <v>0</v>
      </c>
      <c r="Q15" s="8"/>
      <c r="R15" s="9"/>
      <c r="S15" s="1"/>
      <c r="T15" s="1" t="e">
        <f t="shared" si="3"/>
        <v>#DIV/0!</v>
      </c>
      <c r="U15" s="1" t="e">
        <f t="shared" si="4"/>
        <v>#DIV/0!</v>
      </c>
      <c r="V15" s="1">
        <v>0</v>
      </c>
      <c r="W15" s="1"/>
      <c r="X15" s="1">
        <f t="shared" si="6"/>
        <v>0</v>
      </c>
      <c r="Y15" s="1"/>
      <c r="Z15" s="1"/>
      <c r="AF15" s="1"/>
      <c r="AG15" s="1"/>
      <c r="AH15" s="1"/>
      <c r="AJ15" s="1"/>
      <c r="AK15" s="1"/>
      <c r="AL15" s="1"/>
      <c r="AM15" s="1"/>
      <c r="AN15" s="1"/>
    </row>
    <row r="16" spans="1:40">
      <c r="A16" s="1" t="s">
        <v>36</v>
      </c>
      <c r="B16" s="1" t="s">
        <v>24</v>
      </c>
      <c r="C16" s="1"/>
      <c r="D16" s="1"/>
      <c r="E16" s="1"/>
      <c r="F16" s="1"/>
      <c r="G16" s="10">
        <v>0.7</v>
      </c>
      <c r="H16" s="1"/>
      <c r="I16" s="1"/>
      <c r="J16" s="1"/>
      <c r="K16" s="1"/>
      <c r="L16" s="1">
        <f t="shared" si="1"/>
        <v>0</v>
      </c>
      <c r="M16" s="1"/>
      <c r="N16" s="1"/>
      <c r="O16" s="1">
        <v>200</v>
      </c>
      <c r="P16" s="6">
        <f t="shared" si="2"/>
        <v>0</v>
      </c>
      <c r="Q16" s="8"/>
      <c r="R16" s="9"/>
      <c r="S16" s="1"/>
      <c r="T16" s="1" t="e">
        <f t="shared" si="3"/>
        <v>#DIV/0!</v>
      </c>
      <c r="U16" s="1" t="e">
        <f t="shared" si="4"/>
        <v>#DIV/0!</v>
      </c>
      <c r="V16" s="1">
        <v>0</v>
      </c>
      <c r="W16" s="1"/>
      <c r="X16" s="1">
        <f t="shared" si="6"/>
        <v>0</v>
      </c>
      <c r="Y16" s="1"/>
      <c r="Z16" s="1"/>
      <c r="AF16" s="1"/>
      <c r="AG16" s="1"/>
      <c r="AH16" s="1"/>
      <c r="AJ16" s="1"/>
      <c r="AK16" s="1"/>
      <c r="AL16" s="1"/>
      <c r="AM16" s="1"/>
      <c r="AN16" s="1"/>
    </row>
    <row r="17" spans="1:40">
      <c r="A17" s="1"/>
      <c r="B17" s="1"/>
      <c r="C17" s="1"/>
      <c r="D17" s="1"/>
      <c r="E17" s="1"/>
      <c r="F17" s="1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/>
      <c r="B18" s="1"/>
      <c r="C18" s="1"/>
      <c r="D18" s="1"/>
      <c r="E18" s="1"/>
      <c r="F18" s="1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/>
      <c r="B19" s="1"/>
      <c r="C19" s="1"/>
      <c r="D19" s="1"/>
      <c r="E19" s="1"/>
      <c r="F19" s="1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/>
      <c r="B20" s="1"/>
      <c r="C20" s="1"/>
      <c r="D20" s="1"/>
      <c r="E20" s="1"/>
      <c r="F20" s="1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/>
      <c r="B21" s="1"/>
      <c r="C21" s="1"/>
      <c r="D21" s="1"/>
      <c r="E21" s="1"/>
      <c r="F21" s="1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"/>
      <c r="B22" s="1"/>
      <c r="C22" s="1"/>
      <c r="D22" s="1"/>
      <c r="E22" s="1"/>
      <c r="F22" s="1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"/>
      <c r="B23" s="1"/>
      <c r="C23" s="1"/>
      <c r="D23" s="1"/>
      <c r="E23" s="1"/>
      <c r="F23" s="1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"/>
      <c r="B24" s="1"/>
      <c r="C24" s="1"/>
      <c r="D24" s="1"/>
      <c r="E24" s="1"/>
      <c r="F24" s="1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"/>
      <c r="B25" s="1"/>
      <c r="C25" s="1"/>
      <c r="D25" s="1"/>
      <c r="E25" s="1"/>
      <c r="F25" s="1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"/>
      <c r="B26" s="1"/>
      <c r="C26" s="1"/>
      <c r="D26" s="1"/>
      <c r="E26" s="1"/>
      <c r="F26" s="1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"/>
      <c r="B27" s="1"/>
      <c r="C27" s="1"/>
      <c r="D27" s="1"/>
      <c r="E27" s="1"/>
      <c r="F27" s="1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"/>
      <c r="B29" s="1"/>
      <c r="C29" s="1"/>
      <c r="D29" s="1"/>
      <c r="E29" s="1"/>
      <c r="F29" s="1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1"/>
      <c r="B30" s="1"/>
      <c r="C30" s="1"/>
      <c r="D30" s="1"/>
      <c r="E30" s="1"/>
      <c r="F30" s="1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>
      <c r="A31" s="1"/>
      <c r="B31" s="1"/>
      <c r="C31" s="1"/>
      <c r="D31" s="1"/>
      <c r="E31" s="1"/>
      <c r="F31" s="1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"/>
      <c r="B32" s="1"/>
      <c r="C32" s="1"/>
      <c r="D32" s="1"/>
      <c r="E32" s="1"/>
      <c r="F32" s="1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1"/>
      <c r="B33" s="1"/>
      <c r="C33" s="1"/>
      <c r="D33" s="1"/>
      <c r="E33" s="1"/>
      <c r="F33" s="1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1"/>
      <c r="B34" s="1"/>
      <c r="C34" s="1"/>
      <c r="D34" s="1"/>
      <c r="E34" s="1"/>
      <c r="F34" s="1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"/>
      <c r="B35" s="1"/>
      <c r="C35" s="1"/>
      <c r="D35" s="1"/>
      <c r="E35" s="1"/>
      <c r="F35" s="1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1"/>
      <c r="B36" s="1"/>
      <c r="C36" s="1"/>
      <c r="D36" s="1"/>
      <c r="E36" s="1"/>
      <c r="F36" s="1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1"/>
      <c r="B37" s="1"/>
      <c r="C37" s="1"/>
      <c r="D37" s="1"/>
      <c r="E37" s="1"/>
      <c r="F37" s="1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"/>
      <c r="B38" s="1"/>
      <c r="C38" s="1"/>
      <c r="D38" s="1"/>
      <c r="E38" s="1"/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1"/>
      <c r="B39" s="1"/>
      <c r="C39" s="1"/>
      <c r="D39" s="1"/>
      <c r="E39" s="1"/>
      <c r="F39" s="1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/>
      <c r="B40" s="1"/>
      <c r="C40" s="1"/>
      <c r="D40" s="1"/>
      <c r="E40" s="1"/>
      <c r="F40" s="1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"/>
      <c r="B41" s="1"/>
      <c r="C41" s="1"/>
      <c r="D41" s="1"/>
      <c r="E41" s="1"/>
      <c r="F41" s="1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1"/>
      <c r="B43" s="1"/>
      <c r="C43" s="1"/>
      <c r="D43" s="1"/>
      <c r="E43" s="1"/>
      <c r="F43" s="1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/>
      <c r="B44" s="1"/>
      <c r="C44" s="1"/>
      <c r="D44" s="1"/>
      <c r="E44" s="1"/>
      <c r="F44" s="1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/>
      <c r="B45" s="1"/>
      <c r="C45" s="1"/>
      <c r="D45" s="1"/>
      <c r="E45" s="1"/>
      <c r="F45" s="1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/>
      <c r="B46" s="1"/>
      <c r="C46" s="1"/>
      <c r="D46" s="1"/>
      <c r="E46" s="1"/>
      <c r="F46" s="1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1"/>
      <c r="B48" s="1"/>
      <c r="C48" s="1"/>
      <c r="D48" s="1"/>
      <c r="E48" s="1"/>
      <c r="F48" s="1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"/>
      <c r="B49" s="1"/>
      <c r="C49" s="1"/>
      <c r="D49" s="1"/>
      <c r="E49" s="1"/>
      <c r="F49" s="1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"/>
      <c r="B50" s="1"/>
      <c r="C50" s="1"/>
      <c r="D50" s="1"/>
      <c r="E50" s="1"/>
      <c r="F50" s="1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1"/>
      <c r="B51" s="1"/>
      <c r="C51" s="1"/>
      <c r="D51" s="1"/>
      <c r="E51" s="1"/>
      <c r="F51" s="1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"/>
      <c r="B52" s="1"/>
      <c r="C52" s="1"/>
      <c r="D52" s="1"/>
      <c r="E52" s="1"/>
      <c r="F52" s="1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"/>
      <c r="B53" s="1"/>
      <c r="C53" s="1"/>
      <c r="D53" s="1"/>
      <c r="E53" s="1"/>
      <c r="F53" s="1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1"/>
      <c r="B54" s="1"/>
      <c r="C54" s="1"/>
      <c r="D54" s="1"/>
      <c r="E54" s="1"/>
      <c r="F54" s="1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"/>
      <c r="B55" s="1"/>
      <c r="C55" s="1"/>
      <c r="D55" s="1"/>
      <c r="E55" s="1"/>
      <c r="F55" s="1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1"/>
      <c r="B57" s="1"/>
      <c r="C57" s="1"/>
      <c r="D57" s="1"/>
      <c r="E57" s="1"/>
      <c r="F57" s="1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"/>
      <c r="B58" s="1"/>
      <c r="C58" s="1"/>
      <c r="D58" s="1"/>
      <c r="E58" s="1"/>
      <c r="F58" s="1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1"/>
      <c r="B60" s="1"/>
      <c r="C60" s="1"/>
      <c r="D60" s="1"/>
      <c r="E60" s="1"/>
      <c r="F60" s="1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"/>
      <c r="B62" s="1"/>
      <c r="C62" s="1"/>
      <c r="D62" s="1"/>
      <c r="E62" s="1"/>
      <c r="F62" s="1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>
      <c r="A63" s="1"/>
      <c r="B63" s="1"/>
      <c r="C63" s="1"/>
      <c r="D63" s="1"/>
      <c r="E63" s="1"/>
      <c r="F63" s="1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"/>
      <c r="B64" s="1"/>
      <c r="C64" s="1"/>
      <c r="D64" s="1"/>
      <c r="E64" s="1"/>
      <c r="F64" s="1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1"/>
      <c r="B96" s="1"/>
      <c r="C96" s="1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>
      <c r="A98" s="1"/>
      <c r="B98" s="1"/>
      <c r="C98" s="1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1"/>
      <c r="B99" s="1"/>
      <c r="C99" s="1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1"/>
      <c r="B100" s="1"/>
      <c r="C100" s="1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>
      <c r="A101" s="1"/>
      <c r="B101" s="1"/>
      <c r="C101" s="1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1"/>
      <c r="B102" s="1"/>
      <c r="C102" s="1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1"/>
      <c r="B103" s="1"/>
      <c r="C103" s="1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>
      <c r="A104" s="1"/>
      <c r="B104" s="1"/>
      <c r="C104" s="1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1"/>
      <c r="B105" s="1"/>
      <c r="C105" s="1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1"/>
      <c r="B106" s="1"/>
      <c r="C106" s="1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>
      <c r="A107" s="1"/>
      <c r="B107" s="1"/>
      <c r="C107" s="1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1"/>
      <c r="B108" s="1"/>
      <c r="C108" s="1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1"/>
      <c r="B109" s="1"/>
      <c r="C109" s="1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>
      <c r="A110" s="1"/>
      <c r="B110" s="1"/>
      <c r="C110" s="1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1"/>
      <c r="B111" s="1"/>
      <c r="C111" s="1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1"/>
      <c r="B112" s="1"/>
      <c r="C112" s="1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>
      <c r="A113" s="1"/>
      <c r="B113" s="1"/>
      <c r="C113" s="1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1"/>
      <c r="B114" s="1"/>
      <c r="C114" s="1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1"/>
      <c r="B115" s="1"/>
      <c r="C115" s="1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>
      <c r="A116" s="1"/>
      <c r="B116" s="1"/>
      <c r="C116" s="1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"/>
      <c r="B117" s="1"/>
      <c r="C117" s="1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1"/>
      <c r="B118" s="1"/>
      <c r="C118" s="1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>
      <c r="A119" s="1"/>
      <c r="B119" s="1"/>
      <c r="C119" s="1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>
      <c r="A120" s="1"/>
      <c r="B120" s="1"/>
      <c r="C120" s="1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>
      <c r="A121" s="1"/>
      <c r="B121" s="1"/>
      <c r="C121" s="1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>
      <c r="A122" s="1"/>
      <c r="B122" s="1"/>
      <c r="C122" s="1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>
      <c r="A123" s="1"/>
      <c r="B123" s="1"/>
      <c r="C123" s="1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>
      <c r="A124" s="1"/>
      <c r="B124" s="1"/>
      <c r="C124" s="1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>
      <c r="A125" s="1"/>
      <c r="B125" s="1"/>
      <c r="C125" s="1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>
      <c r="A126" s="1"/>
      <c r="B126" s="1"/>
      <c r="C126" s="1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>
      <c r="A127" s="1"/>
      <c r="B127" s="1"/>
      <c r="C127" s="1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>
      <c r="A128" s="1"/>
      <c r="B128" s="1"/>
      <c r="C128" s="1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>
      <c r="A129" s="1"/>
      <c r="B129" s="1"/>
      <c r="C129" s="1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>
      <c r="A130" s="1"/>
      <c r="B130" s="1"/>
      <c r="C130" s="1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>
      <c r="A131" s="1"/>
      <c r="B131" s="1"/>
      <c r="C131" s="1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>
      <c r="A132" s="1"/>
      <c r="B132" s="1"/>
      <c r="C132" s="1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>
      <c r="A133" s="1"/>
      <c r="B133" s="1"/>
      <c r="C133" s="1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>
      <c r="A134" s="1"/>
      <c r="B134" s="1"/>
      <c r="C134" s="1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>
      <c r="A135" s="1"/>
      <c r="B135" s="1"/>
      <c r="C135" s="1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>
      <c r="A136" s="1"/>
      <c r="B136" s="1"/>
      <c r="C136" s="1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>
      <c r="A137" s="1"/>
      <c r="B137" s="1"/>
      <c r="C137" s="1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>
      <c r="A138" s="1"/>
      <c r="B138" s="1"/>
      <c r="C138" s="1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>
      <c r="A139" s="1"/>
      <c r="B139" s="1"/>
      <c r="C139" s="1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>
      <c r="A140" s="1"/>
      <c r="B140" s="1"/>
      <c r="C140" s="1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>
      <c r="A141" s="1"/>
      <c r="B141" s="1"/>
      <c r="C141" s="1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>
      <c r="A142" s="1"/>
      <c r="B142" s="1"/>
      <c r="C142" s="1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>
      <c r="A143" s="1"/>
      <c r="B143" s="1"/>
      <c r="C143" s="1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>
      <c r="A144" s="1"/>
      <c r="B144" s="1"/>
      <c r="C144" s="1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>
      <c r="A145" s="1"/>
      <c r="B145" s="1"/>
      <c r="C145" s="1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>
      <c r="A146" s="1"/>
      <c r="B146" s="1"/>
      <c r="C146" s="1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>
      <c r="A147" s="1"/>
      <c r="B147" s="1"/>
      <c r="C147" s="1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>
      <c r="A148" s="1"/>
      <c r="B148" s="1"/>
      <c r="C148" s="1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>
      <c r="A149" s="1"/>
      <c r="B149" s="1"/>
      <c r="C149" s="1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>
      <c r="A150" s="1"/>
      <c r="B150" s="1"/>
      <c r="C150" s="1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>
      <c r="A151" s="1"/>
      <c r="B151" s="1"/>
      <c r="C151" s="1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>
      <c r="A152" s="1"/>
      <c r="B152" s="1"/>
      <c r="C152" s="1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>
      <c r="A153" s="1"/>
      <c r="B153" s="1"/>
      <c r="C153" s="1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>
      <c r="A154" s="1"/>
      <c r="B154" s="1"/>
      <c r="C154" s="1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>
      <c r="A155" s="1"/>
      <c r="B155" s="1"/>
      <c r="C155" s="1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>
      <c r="A156" s="1"/>
      <c r="B156" s="1"/>
      <c r="C156" s="1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>
      <c r="A157" s="1"/>
      <c r="B157" s="1"/>
      <c r="C157" s="1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>
      <c r="A158" s="1"/>
      <c r="B158" s="1"/>
      <c r="C158" s="1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>
      <c r="A159" s="1"/>
      <c r="B159" s="1"/>
      <c r="C159" s="1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>
      <c r="A160" s="1"/>
      <c r="B160" s="1"/>
      <c r="C160" s="1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>
      <c r="A161" s="1"/>
      <c r="B161" s="1"/>
      <c r="C161" s="1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>
      <c r="A162" s="1"/>
      <c r="B162" s="1"/>
      <c r="C162" s="1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>
      <c r="A163" s="1"/>
      <c r="B163" s="1"/>
      <c r="C163" s="1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>
      <c r="A164" s="1"/>
      <c r="B164" s="1"/>
      <c r="C164" s="1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>
      <c r="A165" s="1"/>
      <c r="B165" s="1"/>
      <c r="C165" s="1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>
      <c r="A166" s="1"/>
      <c r="B166" s="1"/>
      <c r="C166" s="1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>
      <c r="A167" s="1"/>
      <c r="B167" s="1"/>
      <c r="C167" s="1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>
      <c r="A168" s="1"/>
      <c r="B168" s="1"/>
      <c r="C168" s="1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>
      <c r="A169" s="1"/>
      <c r="B169" s="1"/>
      <c r="C169" s="1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>
      <c r="A170" s="1"/>
      <c r="B170" s="1"/>
      <c r="C170" s="1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>
      <c r="A171" s="1"/>
      <c r="B171" s="1"/>
      <c r="C171" s="1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>
      <c r="A172" s="1"/>
      <c r="B172" s="1"/>
      <c r="C172" s="1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>
      <c r="A173" s="1"/>
      <c r="B173" s="1"/>
      <c r="C173" s="1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>
      <c r="A174" s="1"/>
      <c r="B174" s="1"/>
      <c r="C174" s="1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>
      <c r="A175" s="1"/>
      <c r="B175" s="1"/>
      <c r="C175" s="1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>
      <c r="A176" s="1"/>
      <c r="B176" s="1"/>
      <c r="C176" s="1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>
      <c r="A177" s="1"/>
      <c r="B177" s="1"/>
      <c r="C177" s="1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>
      <c r="A178" s="1"/>
      <c r="B178" s="1"/>
      <c r="C178" s="1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>
      <c r="A179" s="1"/>
      <c r="B179" s="1"/>
      <c r="C179" s="1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>
      <c r="A180" s="1"/>
      <c r="B180" s="1"/>
      <c r="C180" s="1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>
      <c r="A181" s="1"/>
      <c r="B181" s="1"/>
      <c r="C181" s="1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>
      <c r="A182" s="1"/>
      <c r="B182" s="1"/>
      <c r="C182" s="1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>
      <c r="A183" s="1"/>
      <c r="B183" s="1"/>
      <c r="C183" s="1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>
      <c r="A184" s="1"/>
      <c r="B184" s="1"/>
      <c r="C184" s="1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>
      <c r="A185" s="1"/>
      <c r="B185" s="1"/>
      <c r="C185" s="1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>
      <c r="A186" s="1"/>
      <c r="B186" s="1"/>
      <c r="C186" s="1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>
      <c r="A187" s="1"/>
      <c r="B187" s="1"/>
      <c r="C187" s="1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>
      <c r="A188" s="1"/>
      <c r="B188" s="1"/>
      <c r="C188" s="1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>
      <c r="A189" s="1"/>
      <c r="B189" s="1"/>
      <c r="C189" s="1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>
      <c r="A190" s="1"/>
      <c r="B190" s="1"/>
      <c r="C190" s="1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>
      <c r="A191" s="1"/>
      <c r="B191" s="1"/>
      <c r="C191" s="1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>
      <c r="A192" s="1"/>
      <c r="B192" s="1"/>
      <c r="C192" s="1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>
      <c r="A193" s="1"/>
      <c r="B193" s="1"/>
      <c r="C193" s="1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>
      <c r="A194" s="1"/>
      <c r="B194" s="1"/>
      <c r="C194" s="1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>
      <c r="A195" s="1"/>
      <c r="B195" s="1"/>
      <c r="C195" s="1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>
      <c r="A196" s="1"/>
      <c r="B196" s="1"/>
      <c r="C196" s="1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>
      <c r="A197" s="1"/>
      <c r="B197" s="1"/>
      <c r="C197" s="1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>
      <c r="A198" s="1"/>
      <c r="B198" s="1"/>
      <c r="C198" s="1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>
      <c r="A199" s="1"/>
      <c r="B199" s="1"/>
      <c r="C199" s="1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>
      <c r="A200" s="1"/>
      <c r="B200" s="1"/>
      <c r="C200" s="1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>
      <c r="A201" s="1"/>
      <c r="B201" s="1"/>
      <c r="C201" s="1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>
      <c r="A202" s="1"/>
      <c r="B202" s="1"/>
      <c r="C202" s="1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>
      <c r="A203" s="1"/>
      <c r="B203" s="1"/>
      <c r="C203" s="1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>
      <c r="A204" s="1"/>
      <c r="B204" s="1"/>
      <c r="C204" s="1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>
      <c r="A205" s="1"/>
      <c r="B205" s="1"/>
      <c r="C205" s="1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>
      <c r="A206" s="1"/>
      <c r="B206" s="1"/>
      <c r="C206" s="1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>
      <c r="A207" s="1"/>
      <c r="B207" s="1"/>
      <c r="C207" s="1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>
      <c r="A208" s="1"/>
      <c r="B208" s="1"/>
      <c r="C208" s="1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>
      <c r="A209" s="1"/>
      <c r="B209" s="1"/>
      <c r="C209" s="1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>
      <c r="A210" s="1"/>
      <c r="B210" s="1"/>
      <c r="C210" s="1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>
      <c r="A211" s="1"/>
      <c r="B211" s="1"/>
      <c r="C211" s="1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>
      <c r="A212" s="1"/>
      <c r="B212" s="1"/>
      <c r="C212" s="1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>
      <c r="A213" s="1"/>
      <c r="B213" s="1"/>
      <c r="C213" s="1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>
      <c r="A214" s="1"/>
      <c r="B214" s="1"/>
      <c r="C214" s="1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>
      <c r="A215" s="1"/>
      <c r="B215" s="1"/>
      <c r="C215" s="1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>
      <c r="A216" s="1"/>
      <c r="B216" s="1"/>
      <c r="C216" s="1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>
      <c r="A217" s="1"/>
      <c r="B217" s="1"/>
      <c r="C217" s="1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>
      <c r="A218" s="1"/>
      <c r="B218" s="1"/>
      <c r="C218" s="1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>
      <c r="A219" s="1"/>
      <c r="B219" s="1"/>
      <c r="C219" s="1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>
      <c r="A220" s="1"/>
      <c r="B220" s="1"/>
      <c r="C220" s="1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>
      <c r="A221" s="1"/>
      <c r="B221" s="1"/>
      <c r="C221" s="1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>
      <c r="A222" s="1"/>
      <c r="B222" s="1"/>
      <c r="C222" s="1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>
      <c r="A223" s="1"/>
      <c r="B223" s="1"/>
      <c r="C223" s="1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>
      <c r="A224" s="1"/>
      <c r="B224" s="1"/>
      <c r="C224" s="1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>
      <c r="A225" s="1"/>
      <c r="B225" s="1"/>
      <c r="C225" s="1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>
      <c r="A226" s="1"/>
      <c r="B226" s="1"/>
      <c r="C226" s="1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>
      <c r="A227" s="1"/>
      <c r="B227" s="1"/>
      <c r="C227" s="1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>
      <c r="A228" s="1"/>
      <c r="B228" s="1"/>
      <c r="C228" s="1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>
      <c r="A229" s="1"/>
      <c r="B229" s="1"/>
      <c r="C229" s="1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>
      <c r="A230" s="1"/>
      <c r="B230" s="1"/>
      <c r="C230" s="1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>
      <c r="A231" s="1"/>
      <c r="B231" s="1"/>
      <c r="C231" s="1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>
      <c r="A232" s="1"/>
      <c r="B232" s="1"/>
      <c r="C232" s="1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>
      <c r="A233" s="1"/>
      <c r="B233" s="1"/>
      <c r="C233" s="1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>
      <c r="A234" s="1"/>
      <c r="B234" s="1"/>
      <c r="C234" s="1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>
      <c r="A235" s="1"/>
      <c r="B235" s="1"/>
      <c r="C235" s="1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>
      <c r="A236" s="1"/>
      <c r="B236" s="1"/>
      <c r="C236" s="1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>
      <c r="A237" s="1"/>
      <c r="B237" s="1"/>
      <c r="C237" s="1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>
      <c r="A238" s="1"/>
      <c r="B238" s="1"/>
      <c r="C238" s="1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>
      <c r="A239" s="1"/>
      <c r="B239" s="1"/>
      <c r="C239" s="1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>
      <c r="A240" s="1"/>
      <c r="B240" s="1"/>
      <c r="C240" s="1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>
      <c r="A241" s="1"/>
      <c r="B241" s="1"/>
      <c r="C241" s="1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>
      <c r="A242" s="1"/>
      <c r="B242" s="1"/>
      <c r="C242" s="1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>
      <c r="A243" s="1"/>
      <c r="B243" s="1"/>
      <c r="C243" s="1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>
      <c r="A244" s="1"/>
      <c r="B244" s="1"/>
      <c r="C244" s="1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>
      <c r="A245" s="1"/>
      <c r="B245" s="1"/>
      <c r="C245" s="1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>
      <c r="A246" s="1"/>
      <c r="B246" s="1"/>
      <c r="C246" s="1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>
      <c r="A247" s="1"/>
      <c r="B247" s="1"/>
      <c r="C247" s="1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>
      <c r="A248" s="1"/>
      <c r="B248" s="1"/>
      <c r="C248" s="1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>
      <c r="A249" s="1"/>
      <c r="B249" s="1"/>
      <c r="C249" s="1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>
      <c r="A250" s="1"/>
      <c r="B250" s="1"/>
      <c r="C250" s="1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>
      <c r="A251" s="1"/>
      <c r="B251" s="1"/>
      <c r="C251" s="1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>
      <c r="A252" s="1"/>
      <c r="B252" s="1"/>
      <c r="C252" s="1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>
      <c r="A253" s="1"/>
      <c r="B253" s="1"/>
      <c r="C253" s="1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>
      <c r="A254" s="1"/>
      <c r="B254" s="1"/>
      <c r="C254" s="1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>
      <c r="A255" s="1"/>
      <c r="B255" s="1"/>
      <c r="C255" s="1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>
      <c r="A256" s="1"/>
      <c r="B256" s="1"/>
      <c r="C256" s="1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>
      <c r="A257" s="1"/>
      <c r="B257" s="1"/>
      <c r="C257" s="1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>
      <c r="A258" s="1"/>
      <c r="B258" s="1"/>
      <c r="C258" s="1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>
      <c r="A259" s="1"/>
      <c r="B259" s="1"/>
      <c r="C259" s="1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>
      <c r="A260" s="1"/>
      <c r="B260" s="1"/>
      <c r="C260" s="1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>
      <c r="A261" s="1"/>
      <c r="B261" s="1"/>
      <c r="C261" s="1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>
      <c r="A262" s="1"/>
      <c r="B262" s="1"/>
      <c r="C262" s="1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>
      <c r="A263" s="1"/>
      <c r="B263" s="1"/>
      <c r="C263" s="1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>
      <c r="A264" s="1"/>
      <c r="B264" s="1"/>
      <c r="C264" s="1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>
      <c r="A265" s="1"/>
      <c r="B265" s="1"/>
      <c r="C265" s="1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>
      <c r="A266" s="1"/>
      <c r="B266" s="1"/>
      <c r="C266" s="1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>
      <c r="A267" s="1"/>
      <c r="B267" s="1"/>
      <c r="C267" s="1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>
      <c r="A268" s="1"/>
      <c r="B268" s="1"/>
      <c r="C268" s="1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>
      <c r="A269" s="1"/>
      <c r="B269" s="1"/>
      <c r="C269" s="1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>
      <c r="A270" s="1"/>
      <c r="B270" s="1"/>
      <c r="C270" s="1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>
      <c r="A271" s="1"/>
      <c r="B271" s="1"/>
      <c r="C271" s="1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>
      <c r="A272" s="1"/>
      <c r="B272" s="1"/>
      <c r="C272" s="1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>
      <c r="A273" s="1"/>
      <c r="B273" s="1"/>
      <c r="C273" s="1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>
      <c r="A274" s="1"/>
      <c r="B274" s="1"/>
      <c r="C274" s="1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>
      <c r="A275" s="1"/>
      <c r="B275" s="1"/>
      <c r="C275" s="1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>
      <c r="A276" s="1"/>
      <c r="B276" s="1"/>
      <c r="C276" s="1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>
      <c r="A277" s="1"/>
      <c r="B277" s="1"/>
      <c r="C277" s="1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>
      <c r="A278" s="1"/>
      <c r="B278" s="1"/>
      <c r="C278" s="1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>
      <c r="A279" s="1"/>
      <c r="B279" s="1"/>
      <c r="C279" s="1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>
      <c r="A280" s="1"/>
      <c r="B280" s="1"/>
      <c r="C280" s="1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>
      <c r="A281" s="1"/>
      <c r="B281" s="1"/>
      <c r="C281" s="1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>
      <c r="A282" s="1"/>
      <c r="B282" s="1"/>
      <c r="C282" s="1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>
      <c r="A283" s="1"/>
      <c r="B283" s="1"/>
      <c r="C283" s="1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>
      <c r="A284" s="1"/>
      <c r="B284" s="1"/>
      <c r="C284" s="1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>
      <c r="A285" s="1"/>
      <c r="B285" s="1"/>
      <c r="C285" s="1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>
      <c r="A286" s="1"/>
      <c r="B286" s="1"/>
      <c r="C286" s="1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>
      <c r="A287" s="1"/>
      <c r="B287" s="1"/>
      <c r="C287" s="1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>
      <c r="A288" s="1"/>
      <c r="B288" s="1"/>
      <c r="C288" s="1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>
      <c r="A289" s="1"/>
      <c r="B289" s="1"/>
      <c r="C289" s="1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>
      <c r="A290" s="1"/>
      <c r="B290" s="1"/>
      <c r="C290" s="1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>
      <c r="A291" s="1"/>
      <c r="B291" s="1"/>
      <c r="C291" s="1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>
      <c r="A292" s="1"/>
      <c r="B292" s="1"/>
      <c r="C292" s="1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>
      <c r="A293" s="1"/>
      <c r="B293" s="1"/>
      <c r="C293" s="1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>
      <c r="A294" s="1"/>
      <c r="B294" s="1"/>
      <c r="C294" s="1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>
      <c r="A295" s="1"/>
      <c r="B295" s="1"/>
      <c r="C295" s="1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>
      <c r="A296" s="1"/>
      <c r="B296" s="1"/>
      <c r="C296" s="1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>
      <c r="A297" s="1"/>
      <c r="B297" s="1"/>
      <c r="C297" s="1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>
      <c r="A298" s="1"/>
      <c r="B298" s="1"/>
      <c r="C298" s="1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>
      <c r="A299" s="1"/>
      <c r="B299" s="1"/>
      <c r="C299" s="1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>
      <c r="A300" s="1"/>
      <c r="B300" s="1"/>
      <c r="C300" s="1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>
      <c r="A301" s="1"/>
      <c r="B301" s="1"/>
      <c r="C301" s="1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>
      <c r="A302" s="1"/>
      <c r="B302" s="1"/>
      <c r="C302" s="1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>
      <c r="A303" s="1"/>
      <c r="B303" s="1"/>
      <c r="C303" s="1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>
      <c r="A304" s="1"/>
      <c r="B304" s="1"/>
      <c r="C304" s="1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>
      <c r="A305" s="1"/>
      <c r="B305" s="1"/>
      <c r="C305" s="1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>
      <c r="A306" s="1"/>
      <c r="B306" s="1"/>
      <c r="C306" s="1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>
      <c r="A307" s="1"/>
      <c r="B307" s="1"/>
      <c r="C307" s="1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>
      <c r="A308" s="1"/>
      <c r="B308" s="1"/>
      <c r="C308" s="1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>
      <c r="A309" s="1"/>
      <c r="B309" s="1"/>
      <c r="C309" s="1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>
      <c r="A310" s="1"/>
      <c r="B310" s="1"/>
      <c r="C310" s="1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>
      <c r="A311" s="1"/>
      <c r="B311" s="1"/>
      <c r="C311" s="1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>
      <c r="A312" s="1"/>
      <c r="B312" s="1"/>
      <c r="C312" s="1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>
      <c r="A313" s="1"/>
      <c r="B313" s="1"/>
      <c r="C313" s="1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>
      <c r="A314" s="1"/>
      <c r="B314" s="1"/>
      <c r="C314" s="1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>
      <c r="A315" s="1"/>
      <c r="B315" s="1"/>
      <c r="C315" s="1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>
      <c r="A316" s="1"/>
      <c r="B316" s="1"/>
      <c r="C316" s="1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>
      <c r="A317" s="1"/>
      <c r="B317" s="1"/>
      <c r="C317" s="1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>
      <c r="A318" s="1"/>
      <c r="B318" s="1"/>
      <c r="C318" s="1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>
      <c r="A319" s="1"/>
      <c r="B319" s="1"/>
      <c r="C319" s="1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>
      <c r="A320" s="1"/>
      <c r="B320" s="1"/>
      <c r="C320" s="1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>
      <c r="A321" s="1"/>
      <c r="B321" s="1"/>
      <c r="C321" s="1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>
      <c r="A322" s="1"/>
      <c r="B322" s="1"/>
      <c r="C322" s="1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>
      <c r="A323" s="1"/>
      <c r="B323" s="1"/>
      <c r="C323" s="1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>
      <c r="A324" s="1"/>
      <c r="B324" s="1"/>
      <c r="C324" s="1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>
      <c r="A325" s="1"/>
      <c r="B325" s="1"/>
      <c r="C325" s="1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>
      <c r="A326" s="1"/>
      <c r="B326" s="1"/>
      <c r="C326" s="1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>
      <c r="A327" s="1"/>
      <c r="B327" s="1"/>
      <c r="C327" s="1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>
      <c r="A328" s="1"/>
      <c r="B328" s="1"/>
      <c r="C328" s="1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>
      <c r="A329" s="1"/>
      <c r="B329" s="1"/>
      <c r="C329" s="1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>
      <c r="A330" s="1"/>
      <c r="B330" s="1"/>
      <c r="C330" s="1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>
      <c r="A331" s="1"/>
      <c r="B331" s="1"/>
      <c r="C331" s="1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>
      <c r="A332" s="1"/>
      <c r="B332" s="1"/>
      <c r="C332" s="1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>
      <c r="A333" s="1"/>
      <c r="B333" s="1"/>
      <c r="C333" s="1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>
      <c r="A334" s="1"/>
      <c r="B334" s="1"/>
      <c r="C334" s="1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>
      <c r="A335" s="1"/>
      <c r="B335" s="1"/>
      <c r="C335" s="1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>
      <c r="A336" s="1"/>
      <c r="B336" s="1"/>
      <c r="C336" s="1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>
      <c r="A337" s="1"/>
      <c r="B337" s="1"/>
      <c r="C337" s="1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>
      <c r="A338" s="1"/>
      <c r="B338" s="1"/>
      <c r="C338" s="1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>
      <c r="A339" s="1"/>
      <c r="B339" s="1"/>
      <c r="C339" s="1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>
      <c r="A340" s="1"/>
      <c r="B340" s="1"/>
      <c r="C340" s="1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>
      <c r="A341" s="1"/>
      <c r="B341" s="1"/>
      <c r="C341" s="1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>
      <c r="A342" s="1"/>
      <c r="B342" s="1"/>
      <c r="C342" s="1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>
      <c r="A343" s="1"/>
      <c r="B343" s="1"/>
      <c r="C343" s="1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>
      <c r="A344" s="1"/>
      <c r="B344" s="1"/>
      <c r="C344" s="1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>
      <c r="A345" s="1"/>
      <c r="B345" s="1"/>
      <c r="C345" s="1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>
      <c r="A346" s="1"/>
      <c r="B346" s="1"/>
      <c r="C346" s="1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>
      <c r="A347" s="1"/>
      <c r="B347" s="1"/>
      <c r="C347" s="1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>
      <c r="A348" s="1"/>
      <c r="B348" s="1"/>
      <c r="C348" s="1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>
      <c r="A349" s="1"/>
      <c r="B349" s="1"/>
      <c r="C349" s="1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>
      <c r="A350" s="1"/>
      <c r="B350" s="1"/>
      <c r="C350" s="1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>
      <c r="A351" s="1"/>
      <c r="B351" s="1"/>
      <c r="C351" s="1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>
      <c r="A352" s="1"/>
      <c r="B352" s="1"/>
      <c r="C352" s="1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>
      <c r="A353" s="1"/>
      <c r="B353" s="1"/>
      <c r="C353" s="1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>
      <c r="A354" s="1"/>
      <c r="B354" s="1"/>
      <c r="C354" s="1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>
      <c r="A355" s="1"/>
      <c r="B355" s="1"/>
      <c r="C355" s="1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>
      <c r="A356" s="1"/>
      <c r="B356" s="1"/>
      <c r="C356" s="1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>
      <c r="A357" s="1"/>
      <c r="B357" s="1"/>
      <c r="C357" s="1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>
      <c r="A358" s="1"/>
      <c r="B358" s="1"/>
      <c r="C358" s="1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>
      <c r="A359" s="1"/>
      <c r="B359" s="1"/>
      <c r="C359" s="1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>
      <c r="A360" s="1"/>
      <c r="B360" s="1"/>
      <c r="C360" s="1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>
      <c r="A361" s="1"/>
      <c r="B361" s="1"/>
      <c r="C361" s="1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>
      <c r="A362" s="1"/>
      <c r="B362" s="1"/>
      <c r="C362" s="1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>
      <c r="A363" s="1"/>
      <c r="B363" s="1"/>
      <c r="C363" s="1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>
      <c r="A364" s="1"/>
      <c r="B364" s="1"/>
      <c r="C364" s="1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>
      <c r="A365" s="1"/>
      <c r="B365" s="1"/>
      <c r="C365" s="1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>
      <c r="A366" s="1"/>
      <c r="B366" s="1"/>
      <c r="C366" s="1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>
      <c r="A367" s="1"/>
      <c r="B367" s="1"/>
      <c r="C367" s="1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>
      <c r="A368" s="1"/>
      <c r="B368" s="1"/>
      <c r="C368" s="1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>
      <c r="A369" s="1"/>
      <c r="B369" s="1"/>
      <c r="C369" s="1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>
      <c r="A370" s="1"/>
      <c r="B370" s="1"/>
      <c r="C370" s="1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>
      <c r="A371" s="1"/>
      <c r="B371" s="1"/>
      <c r="C371" s="1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>
      <c r="A372" s="1"/>
      <c r="B372" s="1"/>
      <c r="C372" s="1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>
      <c r="A373" s="1"/>
      <c r="B373" s="1"/>
      <c r="C373" s="1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>
      <c r="A374" s="1"/>
      <c r="B374" s="1"/>
      <c r="C374" s="1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>
      <c r="A375" s="1"/>
      <c r="B375" s="1"/>
      <c r="C375" s="1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>
      <c r="A376" s="1"/>
      <c r="B376" s="1"/>
      <c r="C376" s="1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>
      <c r="A377" s="1"/>
      <c r="B377" s="1"/>
      <c r="C377" s="1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>
      <c r="A378" s="1"/>
      <c r="B378" s="1"/>
      <c r="C378" s="1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>
      <c r="A379" s="1"/>
      <c r="B379" s="1"/>
      <c r="C379" s="1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>
      <c r="A380" s="1"/>
      <c r="B380" s="1"/>
      <c r="C380" s="1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>
      <c r="A381" s="1"/>
      <c r="B381" s="1"/>
      <c r="C381" s="1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>
      <c r="A382" s="1"/>
      <c r="B382" s="1"/>
      <c r="C382" s="1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>
      <c r="A383" s="1"/>
      <c r="B383" s="1"/>
      <c r="C383" s="1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>
      <c r="A384" s="1"/>
      <c r="B384" s="1"/>
      <c r="C384" s="1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>
      <c r="A385" s="1"/>
      <c r="B385" s="1"/>
      <c r="C385" s="1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>
      <c r="A386" s="1"/>
      <c r="B386" s="1"/>
      <c r="C386" s="1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>
      <c r="A387" s="1"/>
      <c r="B387" s="1"/>
      <c r="C387" s="1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>
      <c r="A388" s="1"/>
      <c r="B388" s="1"/>
      <c r="C388" s="1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>
      <c r="A389" s="1"/>
      <c r="B389" s="1"/>
      <c r="C389" s="1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>
      <c r="A390" s="1"/>
      <c r="B390" s="1"/>
      <c r="C390" s="1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>
      <c r="A391" s="1"/>
      <c r="B391" s="1"/>
      <c r="C391" s="1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>
      <c r="A392" s="1"/>
      <c r="B392" s="1"/>
      <c r="C392" s="1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>
      <c r="A393" s="1"/>
      <c r="B393" s="1"/>
      <c r="C393" s="1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>
      <c r="A394" s="1"/>
      <c r="B394" s="1"/>
      <c r="C394" s="1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>
      <c r="A395" s="1"/>
      <c r="B395" s="1"/>
      <c r="C395" s="1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>
      <c r="A396" s="1"/>
      <c r="B396" s="1"/>
      <c r="C396" s="1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>
      <c r="A397" s="1"/>
      <c r="B397" s="1"/>
      <c r="C397" s="1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>
      <c r="A398" s="1"/>
      <c r="B398" s="1"/>
      <c r="C398" s="1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>
      <c r="A399" s="1"/>
      <c r="B399" s="1"/>
      <c r="C399" s="1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>
      <c r="A400" s="1"/>
      <c r="B400" s="1"/>
      <c r="C400" s="1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>
      <c r="A401" s="1"/>
      <c r="B401" s="1"/>
      <c r="C401" s="1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</sheetData>
  <autoFilter ref="A3:X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2026-01-27T09:49:00Z</dcterms:created>
  <dcterms:modified xsi:type="dcterms:W3CDTF">2026-06-29T14:30:13Z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