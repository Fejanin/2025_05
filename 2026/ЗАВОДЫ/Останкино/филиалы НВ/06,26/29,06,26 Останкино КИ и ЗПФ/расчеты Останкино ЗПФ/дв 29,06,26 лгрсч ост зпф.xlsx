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6,26\29,06,26 Останкино КИ и ЗПФ\расчеты Останкино ЗПФ\"/>
    </mc:Choice>
  </mc:AlternateContent>
  <xr:revisionPtr revIDLastSave="0" documentId="13_ncr:1_{AD92F0B9-DA92-4935-9CCE-736FBE164E9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Sheet!$A$3:$X$16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9" i="1" l="1"/>
  <c r="X6" i="1"/>
  <c r="E7" i="1"/>
  <c r="P7" i="1" s="1"/>
  <c r="X7" i="1" s="1"/>
  <c r="E8" i="1"/>
  <c r="P8" i="1" s="1"/>
  <c r="X8" i="1" s="1"/>
  <c r="P9" i="1"/>
  <c r="E10" i="1"/>
  <c r="P10" i="1" s="1"/>
  <c r="X10" i="1" s="1"/>
  <c r="E11" i="1"/>
  <c r="P11" i="1" s="1"/>
  <c r="E12" i="1"/>
  <c r="P12" i="1" s="1"/>
  <c r="X12" i="1" s="1"/>
  <c r="E13" i="1"/>
  <c r="P13" i="1" s="1"/>
  <c r="X13" i="1" s="1"/>
  <c r="E14" i="1"/>
  <c r="P14" i="1" s="1"/>
  <c r="X14" i="1" s="1"/>
  <c r="P15" i="1"/>
  <c r="T15" i="1" s="1"/>
  <c r="E16" i="1"/>
  <c r="P16" i="1" s="1"/>
  <c r="P6" i="1"/>
  <c r="K7" i="1"/>
  <c r="K8" i="1"/>
  <c r="K9" i="1"/>
  <c r="K10" i="1"/>
  <c r="K11" i="1"/>
  <c r="K12" i="1"/>
  <c r="K13" i="1"/>
  <c r="K14" i="1"/>
  <c r="K15" i="1"/>
  <c r="K16" i="1"/>
  <c r="K6" i="1"/>
  <c r="X15" i="1"/>
  <c r="O5" i="1"/>
  <c r="X16" i="1" l="1"/>
  <c r="L6" i="1"/>
  <c r="L14" i="1"/>
  <c r="L16" i="1"/>
  <c r="L13" i="1"/>
  <c r="L12" i="1"/>
  <c r="L11" i="1"/>
  <c r="L8" i="1"/>
  <c r="L9" i="1"/>
  <c r="L15" i="1"/>
  <c r="L10" i="1"/>
  <c r="L7" i="1"/>
  <c r="U8" i="1"/>
  <c r="U15" i="1"/>
  <c r="U7" i="1"/>
  <c r="U11" i="1"/>
  <c r="T10" i="1"/>
  <c r="U9" i="1"/>
  <c r="U16" i="1"/>
  <c r="U14" i="1"/>
  <c r="U13" i="1"/>
  <c r="U12" i="1"/>
  <c r="U6" i="1"/>
  <c r="T14" i="1"/>
  <c r="T7" i="1"/>
  <c r="U10" i="1"/>
  <c r="T8" i="1"/>
  <c r="T6" i="1"/>
  <c r="T16" i="1"/>
  <c r="T13" i="1"/>
  <c r="T12" i="1"/>
  <c r="T9" i="1"/>
  <c r="V5" i="1"/>
  <c r="R5" i="1"/>
  <c r="N5" i="1"/>
  <c r="M5" i="1"/>
  <c r="K5" i="1"/>
  <c r="T11" i="1" l="1"/>
  <c r="X11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<sst xmlns="http://schemas.openxmlformats.org/spreadsheetml/2006/main" count="56" uniqueCount="41">
  <si>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</si>
  <si>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</si>
  <si>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</si>
  <si>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</si>
  <si>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</si>
  <si>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</si>
  <si>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</si>
  <si>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</si>
  <si>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</si>
  <si>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</si>
  <si>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</si>
  <si>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</si>
  <si>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</si>
  <si>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</si>
  <si>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</si>
  <si>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</si>
  <si>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</si>
  <si>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</si>
  <si>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</si>
  <si>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</si>
  <si>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</si>
  <si>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</si>
  <si>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</si>
  <si>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</si>
  <si>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</si>
  <si>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</si>
  <si>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</si>
  <si>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</si>
  <si>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</si>
  <si>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</si>
  <si>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</si>
  <si>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</si>
  <si>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</si>
  <si>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</si>
  <si>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</si>
  <si>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</si>
  <si>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</si>
  <si>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</si>
  <si>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</t>
  </si>
  <si>
    <t>нужно увеличить продажи!!!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</si>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</sst>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1" fillId="5" borderId="0" xfId="1" applyNumberFormat="1" applyFill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9;&#1072;&#1082;&#1072;&#1079;&#1072;&#1085;&#1086;-&#1086;&#1090;&#1075;&#1088;&#1091;&#1078;&#1077;&#1085;&#1086;%20&#1051;&#1091;&#1075;&#1072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87;&#1088;&#1086;&#1076;&#1072;&#1078;&#1080;%20&#1051;&#1091;&#1075;&#1072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Останкино</v>
          </cell>
          <cell r="E6">
            <v>16031.955</v>
          </cell>
        </row>
        <row r="7">
          <cell r="A7" t="str">
            <v>Останкино ООО</v>
          </cell>
          <cell r="E7">
            <v>16031.955</v>
          </cell>
        </row>
        <row r="8">
          <cell r="A8" t="str">
            <v>ООО Останкино-Краснодар</v>
          </cell>
          <cell r="E8">
            <v>5647.7550000000001</v>
          </cell>
        </row>
        <row r="9">
          <cell r="A9" t="str">
            <v>3287 САЛЯМИ ИТАЛЬЯНСКАЯ с/к в/у ОСТАНКИНО</v>
          </cell>
          <cell r="E9">
            <v>4.9000000000000004</v>
          </cell>
        </row>
        <row r="10">
          <cell r="A10" t="str">
            <v>4063 МЯСНАЯ Папа может вар п/о_Л   ОСТАНКИНО</v>
          </cell>
          <cell r="E10">
            <v>774.5</v>
          </cell>
        </row>
        <row r="11">
          <cell r="A11" t="str">
            <v>4117 ЭКСТРА Папа может с/к в/у_Л   ОСТАНКИНО</v>
          </cell>
          <cell r="E11">
            <v>27.2</v>
          </cell>
        </row>
        <row r="12">
          <cell r="A12" t="str">
            <v>4574 Мясная со шпиком Папа может вар п/о ОСТАНКИНО</v>
          </cell>
          <cell r="E12">
            <v>279.5</v>
          </cell>
        </row>
        <row r="13">
          <cell r="A13" t="str">
            <v>4813 ФИЛЕЙНАЯ Папа может вар п/о_Л   ОСТАНКИНО</v>
          </cell>
          <cell r="E13">
            <v>340.6</v>
          </cell>
        </row>
        <row r="14">
          <cell r="A14" t="str">
            <v>5452 ВЕТЧ.МЯСНАЯ Папа может п/о    ОСТАНКИНО</v>
          </cell>
          <cell r="E14">
            <v>83.75</v>
          </cell>
        </row>
        <row r="15">
          <cell r="A15" t="str">
            <v>5544 Сервелат Финский в/к в/у_45с НОВАЯ ОСТАНКИНО</v>
          </cell>
          <cell r="E15">
            <v>355.5</v>
          </cell>
        </row>
        <row r="16">
          <cell r="A16" t="str">
            <v>5708 ПОСОЛЬСКАЯ Папа может с/к в/у ОСТАНКИНО</v>
          </cell>
          <cell r="E16">
            <v>31.1</v>
          </cell>
        </row>
        <row r="17">
          <cell r="A17" t="str">
            <v>5851 ЭКСТРА Папа может вар п/о   ОСТАНКИНО</v>
          </cell>
          <cell r="E17">
            <v>391.85500000000002</v>
          </cell>
        </row>
        <row r="18">
          <cell r="A18" t="str">
            <v>6008 САЛО СОЛЕНОЕ С ЧЕРНЫМ ПЕРЦЕМ мл/к в/у ОСТАНКИНО</v>
          </cell>
          <cell r="E18">
            <v>11.6</v>
          </cell>
        </row>
        <row r="19">
          <cell r="A19" t="str">
            <v>6220 ГОВЯЖЬЯ папа может вар п/о  Останкино</v>
          </cell>
          <cell r="E19">
            <v>233.95</v>
          </cell>
        </row>
        <row r="20">
          <cell r="A20" t="str">
            <v>6303 Мясные Папа может сос п/о мгс 1,5*3  Останкино</v>
          </cell>
          <cell r="E20">
            <v>360.9</v>
          </cell>
        </row>
        <row r="21">
          <cell r="A21" t="str">
            <v>6498 МОЛОЧНАЯ Папа может вар п/о  ОСТАНКИНО</v>
          </cell>
          <cell r="E21">
            <v>133.9</v>
          </cell>
        </row>
        <row r="22">
          <cell r="A22" t="str">
            <v>6527 ШПИКАЧКИ СОЧНЫЕ ПМ сар б/о мгс 1*3 45с ОСТАНКИНО</v>
          </cell>
          <cell r="E22">
            <v>114.8</v>
          </cell>
        </row>
        <row r="23">
          <cell r="A23" t="str">
            <v>6550 МЯСНЫЕ Папа может сар б/о мгс 1*3 О 45с  Останкино</v>
          </cell>
          <cell r="E23">
            <v>173.2</v>
          </cell>
        </row>
        <row r="24">
          <cell r="A24" t="str">
            <v>6608 С ГОВЯДИНОЙ ОРИГИН. сар б/о мгс 1*3_45с  ОСТАНКИНО</v>
          </cell>
          <cell r="E24">
            <v>238.1</v>
          </cell>
        </row>
        <row r="25">
          <cell r="A25" t="str">
            <v>6620 РЕБРЫШКИ к/в в/у_30с  Останкино</v>
          </cell>
          <cell r="E25">
            <v>64.3</v>
          </cell>
        </row>
        <row r="26">
          <cell r="A26" t="str">
            <v>6661 СОЧНЫЙ ГРИЛЬ ПМ сос п/о мгс 1,5*4_Маяк Останкино</v>
          </cell>
          <cell r="E26">
            <v>269.7</v>
          </cell>
        </row>
        <row r="27">
          <cell r="A27" t="str">
            <v>6829  МОЛОЧНЫЕ КЛАССИЧЕСКИЕ сос п/о мгс 2*4 С  Останккино</v>
          </cell>
          <cell r="E27">
            <v>365.9</v>
          </cell>
        </row>
        <row r="28">
          <cell r="A28" t="str">
            <v>6955 СОЧНЫЕ Папа может сос п/о мгс 1,5*4 А  Останкино</v>
          </cell>
          <cell r="E28">
            <v>36</v>
          </cell>
        </row>
        <row r="29">
          <cell r="A29" t="str">
            <v>7001 КЛАССИЧЕСКИЕ Папа может сар б/о мгс 1*3  Останкино</v>
          </cell>
          <cell r="E29">
            <v>59</v>
          </cell>
        </row>
        <row r="30">
          <cell r="A30" t="str">
            <v>7070 СОЧНЫЕ ПМ сос п/о 1,5*4_А_50с  Останкино</v>
          </cell>
          <cell r="E30">
            <v>456.1</v>
          </cell>
        </row>
        <row r="31">
          <cell r="A31" t="str">
            <v>7075 МОЛОЧ.ПРЕМИУМ ПМ сос п/о мгс 1,5*4_О_50с  Останкино</v>
          </cell>
          <cell r="E31">
            <v>72.5</v>
          </cell>
        </row>
        <row r="32">
          <cell r="A32" t="str">
            <v>7082 СЛИВОЧНЫЕ ПМ сос п/о мгс 1,5*4_50с  Останкино</v>
          </cell>
          <cell r="E32">
            <v>26</v>
          </cell>
        </row>
        <row r="33">
          <cell r="A33" t="str">
            <v>7083 СЛИВОЧНЫЕ ПМ сос п/о мгс 1.5*4_А_50с  ОСТАНКИНО</v>
          </cell>
          <cell r="E33">
            <v>190.3</v>
          </cell>
        </row>
        <row r="34">
          <cell r="A34" t="str">
            <v>7131 БАЛЫКОВАЯ в/к в/у 0,84кг  Останкино</v>
          </cell>
          <cell r="E34">
            <v>2</v>
          </cell>
        </row>
        <row r="35">
          <cell r="A35" t="str">
            <v>7157 СЕРВЕЛАТ ЗЕРНИСТЫЙ ПМ в/к в/у_50с  Останкино</v>
          </cell>
          <cell r="E35">
            <v>240.6</v>
          </cell>
        </row>
        <row r="36">
          <cell r="A36" t="str">
            <v>7166 СЕРВЕЛАТ ОХОТНИЧИЙ ПМ в/к в/у_50с  Останкино</v>
          </cell>
          <cell r="E36">
            <v>302.2</v>
          </cell>
        </row>
        <row r="37">
          <cell r="A37" t="str">
            <v>БОНУС_6954 СОЧНЫЕ Папа может сос п/о мгс 1.5*4_Х5  ОСТАНКИНО</v>
          </cell>
          <cell r="E37">
            <v>7.8</v>
          </cell>
        </row>
        <row r="38">
          <cell r="A38" t="str">
            <v>ООО Останкино-Краснодар (ШТ)</v>
          </cell>
          <cell r="E38">
            <v>9492</v>
          </cell>
        </row>
        <row r="39">
          <cell r="A39" t="str">
            <v>3215 ВЕТЧ.МЯСНАЯ Папа может п/о 0.4кг 8шт.    ОСТАНКИНО</v>
          </cell>
          <cell r="E39">
            <v>127</v>
          </cell>
        </row>
        <row r="40">
          <cell r="A40" t="str">
            <v>3986 Ароматная с/к в/у 1/250 ОСТАНКИНО</v>
          </cell>
          <cell r="E40">
            <v>59</v>
          </cell>
        </row>
        <row r="41">
          <cell r="A41" t="str">
            <v>4993 САЛЯМИ ИТАЛЬЯНСКАЯ с/к в/у 1/250*8_120c ОСТАНКИНО</v>
          </cell>
          <cell r="E41">
            <v>82</v>
          </cell>
        </row>
        <row r="42">
          <cell r="A42" t="str">
            <v>5483 ЭКСТРА Папа может с/к в/у 1/250 8шт.   ОСТАНКИНО</v>
          </cell>
          <cell r="E42">
            <v>77</v>
          </cell>
        </row>
        <row r="43">
          <cell r="A43" t="str">
            <v>5495 ВЕТЧ.С ИНДЕЙКОЙ Папа может п/о 400*6  Останкино</v>
          </cell>
          <cell r="E43">
            <v>143</v>
          </cell>
        </row>
        <row r="44">
          <cell r="A44" t="str">
            <v>5706 АРОМАТНАЯ Папа может с/к в/у 1/250 8шт.  ОСТАНКИНО</v>
          </cell>
          <cell r="E44">
            <v>8</v>
          </cell>
        </row>
        <row r="45">
          <cell r="A45" t="str">
            <v>5819 Сосиски Папа может 400г Мясные  ОСТАНКИНО</v>
          </cell>
          <cell r="E45">
            <v>93</v>
          </cell>
        </row>
        <row r="46">
          <cell r="A46" t="str">
            <v>5931 ОХОТНИЧЬЯ Папа может с/к в/у 1/220 8шт.   ОСТАНКИНО</v>
          </cell>
          <cell r="E46">
            <v>543</v>
          </cell>
        </row>
        <row r="47">
          <cell r="A47" t="str">
            <v>6208 ДЫМОВИЦА ИЗ ЛОПАТКИ ПМ к/в с/н в/у 1/150  Останкино</v>
          </cell>
          <cell r="E47">
            <v>33</v>
          </cell>
        </row>
        <row r="48">
          <cell r="A48" t="str">
            <v>6221 НЕОПОЛИТАНСКИЙ ДУЭТ с/к с/н мгс 1/90  Останкино</v>
          </cell>
          <cell r="E48">
            <v>218</v>
          </cell>
        </row>
        <row r="49">
          <cell r="A49" t="str">
            <v>6228 МЯСНОЕ АССОРТИ к/з с/н мгс 1/90 10шт  Останкино</v>
          </cell>
          <cell r="E49">
            <v>145</v>
          </cell>
        </row>
        <row r="50">
          <cell r="A50" t="str">
            <v>6279 КОРЕЙКА ПО-ОСТ.к/в в/с с/н в/у 1/150_45с  Останкино</v>
          </cell>
          <cell r="E50">
            <v>169</v>
          </cell>
        </row>
        <row r="51">
          <cell r="A51" t="str">
            <v>6324 ДОКТОРСКАЯ ГОСТ вар п/о 0,4кг 8шт  Останкино</v>
          </cell>
          <cell r="E51">
            <v>50</v>
          </cell>
        </row>
        <row r="52">
          <cell r="A52" t="str">
            <v>6325 ДОКТОРСКАЯ ПРЕМИУМ вар п/о 0.4кг 8шт.  ОСТАНКИНО</v>
          </cell>
          <cell r="E52">
            <v>89</v>
          </cell>
        </row>
        <row r="53">
          <cell r="A53" t="str">
            <v>6333 МЯСНАЯ Папа может вар п/о 0.4кг 8шт.  ОСТАНКИНО</v>
          </cell>
          <cell r="E53">
            <v>253</v>
          </cell>
        </row>
        <row r="54">
          <cell r="A54" t="str">
            <v>6353 ЭКСТРА Папа может вар п/о 0.4кг 8шт.  ОСТАНКИНО</v>
          </cell>
          <cell r="E54">
            <v>192</v>
          </cell>
        </row>
        <row r="55">
          <cell r="A55" t="str">
            <v>6392 ФИЛЕЙНАЯ Папа может вар п/о 0,4кг  ОСТАНКИНО</v>
          </cell>
          <cell r="E55">
            <v>180</v>
          </cell>
        </row>
        <row r="56">
          <cell r="A56" t="str">
            <v>6448 Свинина Останкино 100г Мадера с/к в/у нарезка  ОСТАНКИНО</v>
          </cell>
          <cell r="E56">
            <v>7</v>
          </cell>
        </row>
        <row r="57">
          <cell r="A57" t="str">
            <v>6453 ЭКСТРА Папа может с/к с/н в/у 1/100 14шт.   ОСТАНКИНО</v>
          </cell>
          <cell r="E57">
            <v>322</v>
          </cell>
        </row>
        <row r="58">
          <cell r="A58" t="str">
            <v>6454 АРОМАТНАЯ с/к с/н в/у 1/100 10шт.  ОСТАНКИНО</v>
          </cell>
          <cell r="E58">
            <v>355</v>
          </cell>
        </row>
        <row r="59">
          <cell r="A59" t="str">
            <v>6459 СЕРВЕЛАТ ШВЕЙЦАРСК. в/к с/н в/у 1/100*10  Останкино</v>
          </cell>
          <cell r="E59">
            <v>42</v>
          </cell>
        </row>
        <row r="60">
          <cell r="A60" t="str">
            <v>6475 Сосиски Папа может 400г С сыром  ОСТАНКИНО</v>
          </cell>
          <cell r="E60">
            <v>122</v>
          </cell>
        </row>
        <row r="61">
          <cell r="A61" t="str">
            <v>6495 ВЕТЧ.МРАМОРНАЯ в/у срез 0,3кг 6шт_45с  Останкино</v>
          </cell>
          <cell r="E61">
            <v>86</v>
          </cell>
        </row>
        <row r="62">
          <cell r="A62" t="str">
            <v>6602 БАВАРСКИЕ ПМ сос ц/о мгс 0,35кг 8шт  Останкино</v>
          </cell>
          <cell r="E62">
            <v>137</v>
          </cell>
        </row>
        <row r="63">
          <cell r="A63" t="str">
            <v>6609 С ГОВЯДИНОЙ ПМ сар б/о мгс 0,4 кг_45с</v>
          </cell>
          <cell r="E63">
            <v>6</v>
          </cell>
        </row>
        <row r="64">
          <cell r="A64" t="str">
            <v>6616 МОЛОЧНЫЕ КЛАССИЧЕСКИЕ сос п/о в/у 0,3 кг  Останкино</v>
          </cell>
          <cell r="E64">
            <v>203</v>
          </cell>
        </row>
        <row r="65">
          <cell r="A65" t="str">
            <v>6697 СЕРВЕЛАТ ФИНСКИЙ ПМ в/к в/у 0,35кг 8шт  ОСТАНКИНО</v>
          </cell>
          <cell r="E65">
            <v>354</v>
          </cell>
        </row>
        <row r="66">
          <cell r="A66" t="str">
            <v>6701 СЕРВЕЛАТ ШВАРЦЕР ПМ в/к в/у 0.28кг 8шт.  ОСТАНКИНО</v>
          </cell>
          <cell r="E66">
            <v>6</v>
          </cell>
        </row>
        <row r="67">
          <cell r="A67" t="str">
            <v>6713 СОЧНЫЙ ГРИЛЬ ПМ сос п/о мгс 0,41кг 8 шт.  ОСТАНКИНО</v>
          </cell>
          <cell r="E67">
            <v>233</v>
          </cell>
        </row>
        <row r="68">
          <cell r="A68" t="str">
            <v>6724 МОЛОЧНЫЕ ПМ сос п/о мгс 0,41кг 10шт  Останкино</v>
          </cell>
          <cell r="E68">
            <v>197</v>
          </cell>
        </row>
        <row r="69">
          <cell r="A69" t="str">
            <v>6765 РУБЛЕНЫЕ сос ц/о мгс 0,36кг 6шт  Останкино</v>
          </cell>
          <cell r="E69">
            <v>212</v>
          </cell>
        </row>
        <row r="70">
          <cell r="A70" t="str">
            <v>6787 СЕРВЕЛАТ КРЕМЛЕВСКИЙ в/к в/у 0,33кг 8шт  Останкино</v>
          </cell>
          <cell r="E70">
            <v>87</v>
          </cell>
        </row>
        <row r="71">
          <cell r="A71" t="str">
            <v>6793 БАЛЫКОВАЯ в/к в/у 0,33кг 8шт  Останкино</v>
          </cell>
          <cell r="E71">
            <v>98</v>
          </cell>
        </row>
        <row r="72">
          <cell r="A72" t="str">
            <v>6797 С ИНДЕЙКОЙ Папа может вар п/о 0,4кг 8шт. ОСТАНКИНО</v>
          </cell>
          <cell r="E72">
            <v>78</v>
          </cell>
        </row>
        <row r="73">
          <cell r="A73" t="str">
            <v>6804 СЕРВЕЛАТ КРЕМЛЕВСКИЙ в/к в/у 0,66кг 8шт  Останкино</v>
          </cell>
          <cell r="E73">
            <v>48</v>
          </cell>
        </row>
        <row r="74">
          <cell r="A74" t="str">
            <v>6807 СЕРВЕЛАТ ЕВРОПЕЙСКИЙ в/к в/у 0,33кг 8шт  Останкино</v>
          </cell>
          <cell r="E74">
            <v>29</v>
          </cell>
        </row>
        <row r="75">
          <cell r="A75" t="str">
            <v>6834 ПОСОЛЬСКАЯ с/к с/н в/у 1/100 10шт  Останкино</v>
          </cell>
          <cell r="E75">
            <v>27</v>
          </cell>
        </row>
        <row r="76">
          <cell r="A76" t="str">
            <v>6837 ФИЛЕЙНЫЕ Папа Может сос ц/о мгс 0,4кг  Останкино</v>
          </cell>
          <cell r="E76">
            <v>111</v>
          </cell>
        </row>
        <row r="77">
          <cell r="A77" t="str">
            <v>6925 ВЕТЧ.КЛАССИЧЕСКАЯ в/у 0,6кг 8шт. ОСТАНКИНО</v>
          </cell>
          <cell r="E77">
            <v>11</v>
          </cell>
        </row>
        <row r="78">
          <cell r="A78" t="str">
            <v>6967 БУРГУНДИЯ Папа может с/к в/у 1/250 8шт  Останкино</v>
          </cell>
          <cell r="E78">
            <v>31</v>
          </cell>
        </row>
        <row r="79">
          <cell r="A79" t="str">
            <v>7059 ШПИКАЧКИ СОЧНЫЕ С БЕК. п/о мгс 0,3кг 60с ОСТАНКИНО</v>
          </cell>
          <cell r="E79">
            <v>189</v>
          </cell>
        </row>
        <row r="80">
          <cell r="A80" t="str">
            <v>7066 СОЧНЫЕ ПМ сос п/о мгс 0,41кг 10шт 50с  Останкино</v>
          </cell>
          <cell r="E80">
            <v>433</v>
          </cell>
        </row>
        <row r="81">
          <cell r="A81" t="str">
            <v>7073 МОЛОЧ.ПРЕМИУМ ПМ сос п/о в/у 1/350_50с  Останкино</v>
          </cell>
          <cell r="E81">
            <v>69</v>
          </cell>
        </row>
        <row r="82">
          <cell r="A82" t="str">
            <v>7080 СЛИВОЧНЫЕ ПМ сос п/о мгс 0,41кг 10шт 50с  Останкино</v>
          </cell>
          <cell r="E82">
            <v>291</v>
          </cell>
        </row>
        <row r="83">
          <cell r="A83" t="str">
            <v>7090 СВИНИНА ПО-ДОМ.к/в мл/к в/у 0,3кг_50с  Останкино</v>
          </cell>
          <cell r="E83">
            <v>102</v>
          </cell>
        </row>
        <row r="84">
          <cell r="A84" t="str">
            <v>7103 БЕКОН Останкино с/к с/н в/у 1/180_50с  Останкино</v>
          </cell>
          <cell r="E84">
            <v>314</v>
          </cell>
        </row>
        <row r="85">
          <cell r="A85" t="str">
            <v>7147 САЛЬЧИЧОН Останкино с/к в/у 1/220 8 шт  Останкино</v>
          </cell>
          <cell r="E85">
            <v>2</v>
          </cell>
        </row>
        <row r="86">
          <cell r="A86" t="str">
            <v>7154 СЕРВЕЛАТ ЗЕРНИСТЫЙ ПМ в/к в/у 0,35кг_50с  Останкино</v>
          </cell>
          <cell r="E86">
            <v>525</v>
          </cell>
        </row>
        <row r="87">
          <cell r="A87" t="str">
            <v>7169 СЕРВЕЛАТ ОХОТНИЧИЙ ПМ в/к в/у 0,35кг_50с  Останкино</v>
          </cell>
          <cell r="E87">
            <v>294</v>
          </cell>
        </row>
        <row r="88">
          <cell r="A88" t="str">
            <v>7187 ГРУДИНКА ПРЕМИУМ к/в мл/к в/у 0,3кг_50с  Останкино</v>
          </cell>
          <cell r="E88">
            <v>68</v>
          </cell>
        </row>
        <row r="89">
          <cell r="A89" t="str">
            <v>7231 КЛАССИЧЕСКАЯ ПМ вар п/о 0,3кг 8 шт_209к  Останкино</v>
          </cell>
          <cell r="E89">
            <v>56</v>
          </cell>
        </row>
        <row r="90">
          <cell r="A90" t="str">
            <v>7232 БОЯNСКАЯ ПМ п/к в/у 0,28кг 8шт_209к  Останкино</v>
          </cell>
          <cell r="E90">
            <v>219</v>
          </cell>
        </row>
        <row r="91">
          <cell r="A91" t="str">
            <v>7236 СЕРВЕЛАТ КАРЕЛЬСКИЙ в/к в/у 0,28кг_209к  Останкино</v>
          </cell>
          <cell r="E91">
            <v>232</v>
          </cell>
        </row>
        <row r="92">
          <cell r="A92" t="str">
            <v>7237 СЕРВЕЛАТ ШВАРЦЕР ПМ в/к в/у 0,28кг_209к  Останкино</v>
          </cell>
          <cell r="E92">
            <v>77</v>
          </cell>
        </row>
        <row r="93">
          <cell r="A93" t="str">
            <v>7241 САЛЯМИ Папа может п/к в/у 0,28кг ОСТАНКИНО</v>
          </cell>
          <cell r="E93">
            <v>441</v>
          </cell>
        </row>
        <row r="94">
          <cell r="A94" t="str">
            <v>7255 МЯСНЫЕ С ГОВЯД.ПМ сос п/о мгс 0.4кг 6шт.  ОСТАНКИНО</v>
          </cell>
          <cell r="E94">
            <v>271</v>
          </cell>
        </row>
        <row r="95">
          <cell r="A95" t="str">
            <v>7271 МЯСНЫЕ С ГОВЯДИНОЙ ПМ сос п/о мгс 1.5*4  ОСТАНКИНО</v>
          </cell>
          <cell r="E95">
            <v>21</v>
          </cell>
        </row>
        <row r="96">
          <cell r="A96" t="str">
            <v>7276 СЛИВОЧНЫЕ ПМ сос п/о мгс 0,3кг 7шт  Останкино</v>
          </cell>
          <cell r="E96">
            <v>43</v>
          </cell>
        </row>
        <row r="97">
          <cell r="A97" t="str">
            <v>7284 ДЛЯ ДЕТЕЙ сос п/о мгс 0,33кг 6шт  Останкино</v>
          </cell>
          <cell r="E97">
            <v>43</v>
          </cell>
        </row>
        <row r="98">
          <cell r="A98" t="str">
            <v>7288 БАЛЫК с/к с/н в/у 1/100 10шт ОСТАНКИНО</v>
          </cell>
          <cell r="E98">
            <v>58</v>
          </cell>
        </row>
        <row r="99">
          <cell r="A99" t="str">
            <v>7332 БОЯРСКАЯ ПМ п/к в/у 0,28кг ОСТАНКИНО</v>
          </cell>
          <cell r="E99">
            <v>13</v>
          </cell>
        </row>
        <row r="100">
          <cell r="A100" t="str">
            <v>7333 СЕРВЕЛАТ ОХОТНИЧИЙ ПМ в/к в/у 0,28кг ОСТАНКИНО</v>
          </cell>
          <cell r="E100">
            <v>11</v>
          </cell>
        </row>
        <row r="101">
          <cell r="A101" t="str">
            <v>7343 СЕЙЧАС СЕЗОН ПМ вар п/о 0,4кг ОСТАНКИНО</v>
          </cell>
          <cell r="E101">
            <v>43</v>
          </cell>
        </row>
        <row r="102">
          <cell r="A102" t="str">
            <v>7371 БРЕСТСКИЕ сос п/о в/у 0,3кг 8шт. ОСТАНКИНО</v>
          </cell>
          <cell r="E102">
            <v>49</v>
          </cell>
        </row>
        <row r="103">
          <cell r="A103" t="str">
            <v>7382  САЛЯМИ МЕЛКОЗЕРНЕНАЯ с/к в/у1/120 8шт.  ОСТАНКИНО</v>
          </cell>
          <cell r="E103">
            <v>129</v>
          </cell>
        </row>
        <row r="104">
          <cell r="A104" t="str">
            <v>7461 ДЛЯ ДЕТЕЙ Папа Может сос п/о мгс 0,33кг ОСТАНКИНО</v>
          </cell>
          <cell r="E104">
            <v>68</v>
          </cell>
        </row>
        <row r="105">
          <cell r="A105" t="str">
            <v>7489 СЫРРРВЕЛАТ Папа Может в/к в/у 0,28кг 8шт. ОСТАНКИНО</v>
          </cell>
          <cell r="E105">
            <v>38</v>
          </cell>
        </row>
        <row r="106">
          <cell r="A106" t="str">
            <v>7523 ГОВЯЖЬЯ Папа Может вар п/о 0,4кг 6шт. ОСТАНКИНО</v>
          </cell>
          <cell r="E106">
            <v>72</v>
          </cell>
        </row>
        <row r="107">
          <cell r="A107" t="str">
            <v>7539 ДОКТОРСКАЯ ГОСТ вар п/о 0,35кг ОСТАНКИНО</v>
          </cell>
          <cell r="E107">
            <v>20</v>
          </cell>
        </row>
        <row r="108">
          <cell r="A108" t="str">
            <v>7603 БАЛЫКОВАЯ в/к в/у 0.33кг 8шт. ОСТАНКИНО</v>
          </cell>
          <cell r="E108">
            <v>20</v>
          </cell>
        </row>
        <row r="109">
          <cell r="A109" t="str">
            <v>БОНУС_6087 СОЧНЫЕ ПМ сос п/о мгс 0,41кг 10шт.  ОСТАНКИНО</v>
          </cell>
          <cell r="E109">
            <v>18</v>
          </cell>
        </row>
        <row r="110">
          <cell r="A110" t="str">
            <v>Останкино Заморозка</v>
          </cell>
          <cell r="E110">
            <v>730</v>
          </cell>
        </row>
        <row r="111">
          <cell r="A111" t="str">
            <v>5579 БЛИНЧ.КРУГЛЫЕ С САД.ЯБЛОК.пл.1/420 зам. ОСТАНКИНО</v>
          </cell>
          <cell r="E111">
            <v>13</v>
          </cell>
        </row>
        <row r="112">
          <cell r="A112" t="str">
            <v>5754 БЛИНЧ.КРУГЛЫЕ С МЯСОМ 4,5кг зам. ПМ ОСТАНКИНО</v>
          </cell>
          <cell r="E112">
            <v>40.5</v>
          </cell>
        </row>
        <row r="113">
          <cell r="A113" t="str">
            <v>5755 БЛИНЧ.КРУГЛЫЕ С ТВОРОГОМ 4,5кг зам. ПМ ОСТАНКИНО</v>
          </cell>
          <cell r="E113">
            <v>4.5</v>
          </cell>
        </row>
        <row r="114">
          <cell r="A114" t="str">
            <v>5897 БЛИНЧ.КРУГЛЫЕ С ГРУШЕЙ пл.1/420 зам.   ОСТАНКИНО</v>
          </cell>
          <cell r="E114">
            <v>43</v>
          </cell>
        </row>
        <row r="115">
          <cell r="A115" t="str">
            <v>6148 БЛИНЧ.КРУГЛЫЕ С ВЕТЧ.И СЫР. ПМ 1/300 зам. ОСТАНКИНО</v>
          </cell>
          <cell r="E115">
            <v>85</v>
          </cell>
        </row>
        <row r="116">
          <cell r="A116" t="str">
            <v>6149 БЛИНЧ.КРУГЛЫЕ С ПЕЧЕНЬЮ ПМ 1/300 зам. ОСТАНКИНО</v>
          </cell>
          <cell r="E116">
            <v>75</v>
          </cell>
        </row>
        <row r="117">
          <cell r="A117" t="str">
            <v>6168 Блинчики с мясом пл. 1/350 зам. ОСТАНКИНО</v>
          </cell>
          <cell r="E117">
            <v>96</v>
          </cell>
        </row>
        <row r="118">
          <cell r="A118" t="str">
            <v>6202 БЛИНЧ.КРУГЛЫЕ С ТВОРОГОМ ПМ 1/300 зам. ОСТАНКИНО</v>
          </cell>
          <cell r="E118">
            <v>48</v>
          </cell>
        </row>
        <row r="119">
          <cell r="A119" t="str">
            <v>6209 Блинчики с куриным мясом пл. 1/350 зам. ОСТАНКИНО</v>
          </cell>
          <cell r="E119">
            <v>102</v>
          </cell>
        </row>
        <row r="120">
          <cell r="A120" t="str">
            <v>6819 БЛИНЧ.КРУГЛЫЕ С САД.ЯБЛОК. пл. 1/300 зам. ОСТАНКИНО</v>
          </cell>
          <cell r="E120">
            <v>34</v>
          </cell>
        </row>
        <row r="121">
          <cell r="A121" t="str">
            <v>7216 СОЧНЫЕ СО СЛ.МАСЛ.ПМ пельм пл.0.7кг зам. ОСТАНКИНО</v>
          </cell>
          <cell r="E121">
            <v>189</v>
          </cell>
        </row>
        <row r="122">
          <cell r="A122" t="str">
            <v>Останкино КОРОВИНО (ВЕС)</v>
          </cell>
          <cell r="E122">
            <v>85.2</v>
          </cell>
        </row>
        <row r="123">
          <cell r="A123" t="str">
            <v>6861 ДОМАШНИЙ РЕЦЕПТ Коровино вар п/о  Останкино</v>
          </cell>
          <cell r="E123">
            <v>28.9</v>
          </cell>
        </row>
        <row r="124">
          <cell r="A124" t="str">
            <v>6862 ДОМАШНИЙ РЕЦЕПТ СО ШПИК. Коровино вар п/о  Останкино</v>
          </cell>
          <cell r="E124">
            <v>3.9</v>
          </cell>
        </row>
        <row r="125">
          <cell r="A125" t="str">
            <v>6866 ВЕТЧ.НЕЖНАЯ Коровино п/о_Маяк  Останкино</v>
          </cell>
          <cell r="E125">
            <v>52.4</v>
          </cell>
        </row>
        <row r="126">
          <cell r="A126" t="str">
            <v>Останкино КОРОВИНО (ШТ)</v>
          </cell>
          <cell r="E126">
            <v>73</v>
          </cell>
        </row>
        <row r="127">
          <cell r="A127" t="str">
            <v>7149 БАЛЫКОВАЯ Коровино п/к в/у 0,84кг_50с  Останкино</v>
          </cell>
          <cell r="E127">
            <v>73</v>
          </cell>
        </row>
        <row r="128">
          <cell r="A128" t="str">
            <v>Останкино СЫР</v>
          </cell>
          <cell r="E128">
            <v>4</v>
          </cell>
        </row>
        <row r="129">
          <cell r="A129" t="str">
            <v>Сыр Боккончини копченый 40% 100 гр.  ОСТАНКИНО</v>
          </cell>
          <cell r="E129">
            <v>2</v>
          </cell>
        </row>
        <row r="130">
          <cell r="A130" t="str">
            <v>Сыр Косичка сырная 45% 100г/8шт Папа Может Останкино</v>
          </cell>
          <cell r="E130">
            <v>1</v>
          </cell>
        </row>
        <row r="131">
          <cell r="A131" t="str">
            <v>Сыр рассольный жирный Чечил копченый 43% 100 гр  Останкино</v>
          </cell>
          <cell r="E13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E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>
            <v>49.6</v>
          </cell>
          <cell r="E7">
            <v>124</v>
          </cell>
        </row>
        <row r="8">
          <cell r="A8" t="str">
            <v>3287 САЛЯМИ ИТАЛЬЯНСКАЯ с/к в/у ОСТАНКИНО</v>
          </cell>
          <cell r="D8">
            <v>4.335</v>
          </cell>
          <cell r="E8">
            <v>4.335</v>
          </cell>
        </row>
        <row r="9">
          <cell r="A9" t="str">
            <v>3986 Ароматная с/к в/у 1/250 ОСТАНКИНО</v>
          </cell>
          <cell r="D9">
            <v>14.25</v>
          </cell>
          <cell r="E9">
            <v>57</v>
          </cell>
        </row>
        <row r="10">
          <cell r="A10" t="str">
            <v>4063 МЯСНАЯ Папа может вар п/о_Л   ОСТАНКИНО</v>
          </cell>
          <cell r="D10">
            <v>790.19200000000001</v>
          </cell>
          <cell r="E10">
            <v>790.19200000000001</v>
          </cell>
        </row>
        <row r="11">
          <cell r="A11" t="str">
            <v>4117 ЭКСТРА Папа может с/к в/у_Л   ОСТАНКИНО</v>
          </cell>
          <cell r="D11">
            <v>25.277000000000001</v>
          </cell>
          <cell r="E11">
            <v>25.277000000000001</v>
          </cell>
        </row>
        <row r="12">
          <cell r="A12" t="str">
            <v>4574 Мясная со шпиком Папа может вар п/о ОСТАНКИНО</v>
          </cell>
          <cell r="D12">
            <v>206.10599999999999</v>
          </cell>
          <cell r="E12">
            <v>206.10599999999999</v>
          </cell>
        </row>
        <row r="13">
          <cell r="A13" t="str">
            <v>4813 ФИЛЕЙНАЯ Папа может вар п/о_Л   ОСТАНКИНО</v>
          </cell>
          <cell r="D13">
            <v>337.30500000000001</v>
          </cell>
          <cell r="E13">
            <v>337.30500000000001</v>
          </cell>
        </row>
        <row r="14">
          <cell r="A14" t="str">
            <v>4993 САЛЯМИ ИТАЛЬЯНСКАЯ с/к в/у 1/250*8_120c ОСТАНКИНО</v>
          </cell>
          <cell r="D14">
            <v>19.75</v>
          </cell>
          <cell r="E14">
            <v>79</v>
          </cell>
        </row>
        <row r="15">
          <cell r="A15" t="str">
            <v>5452 ВЕТЧ.МЯСНАЯ Папа может п/о    ОСТАНКИНО</v>
          </cell>
          <cell r="D15">
            <v>83.614000000000004</v>
          </cell>
          <cell r="E15">
            <v>83.614000000000004</v>
          </cell>
        </row>
        <row r="16">
          <cell r="A16" t="str">
            <v>5483 ЭКСТРА Папа может с/к в/у 1/250 8шт.   ОСТАНКИНО</v>
          </cell>
          <cell r="D16">
            <v>19.25</v>
          </cell>
          <cell r="E16">
            <v>77</v>
          </cell>
        </row>
        <row r="17">
          <cell r="A17" t="str">
            <v>5495 ВЕТЧ.С ИНДЕЙКОЙ Папа может п/о 400*6  Останкино</v>
          </cell>
          <cell r="D17">
            <v>56.8</v>
          </cell>
          <cell r="E17">
            <v>142</v>
          </cell>
        </row>
        <row r="18">
          <cell r="A18" t="str">
            <v>5544 Сервелат Финский в/к в/у_45с НОВАЯ ОСТАНКИНО</v>
          </cell>
          <cell r="D18">
            <v>259.67</v>
          </cell>
          <cell r="E18">
            <v>259.67</v>
          </cell>
        </row>
        <row r="19">
          <cell r="A19" t="str">
            <v>5708 ПОСОЛЬСКАЯ Папа может с/к в/у ОСТАНКИНО</v>
          </cell>
          <cell r="D19">
            <v>30.259</v>
          </cell>
          <cell r="E19">
            <v>30.259</v>
          </cell>
        </row>
        <row r="20">
          <cell r="A20" t="str">
            <v>5754 БЛИНЧ.КРУГЛЫЕ С МЯСОМ 4,5кг зам. ПМ ОСТАНКИНО</v>
          </cell>
          <cell r="D20">
            <v>31.712</v>
          </cell>
          <cell r="E20">
            <v>31.712</v>
          </cell>
        </row>
        <row r="21">
          <cell r="A21" t="str">
            <v>5755 БЛИНЧ.КРУГЛЫЕ С ТВОРОГОМ 4,5кг зам. ПМ ОСТАНКИНО</v>
          </cell>
          <cell r="D21">
            <v>4.5</v>
          </cell>
          <cell r="E21">
            <v>4.5</v>
          </cell>
        </row>
        <row r="22">
          <cell r="A22" t="str">
            <v>5819 Сосиски Папа может 400г Мясные  ОСТАНКИНО</v>
          </cell>
          <cell r="D22">
            <v>35.200000000000003</v>
          </cell>
          <cell r="E22">
            <v>88</v>
          </cell>
        </row>
        <row r="23">
          <cell r="A23" t="str">
            <v>5851 ЭКСТРА Папа может вар п/о   ОСТАНКИНО</v>
          </cell>
          <cell r="D23">
            <v>263.113</v>
          </cell>
          <cell r="E23">
            <v>263.113</v>
          </cell>
        </row>
        <row r="24">
          <cell r="A24" t="str">
            <v>5931 ОХОТНИЧЬЯ Папа может с/к в/у 1/220 8шт.   ОСТАНКИНО</v>
          </cell>
          <cell r="D24">
            <v>33.659999999999997</v>
          </cell>
          <cell r="E24">
            <v>153</v>
          </cell>
        </row>
        <row r="25">
          <cell r="A25" t="str">
            <v>6008 САЛО СОЛЕНОЕ С ЧЕРНЫМ ПЕРЦЕМ мл/к в/у ОСТАНКИНО</v>
          </cell>
          <cell r="D25">
            <v>12.32</v>
          </cell>
          <cell r="E25">
            <v>12.32</v>
          </cell>
        </row>
        <row r="26">
          <cell r="A26" t="str">
            <v>6148 БЛИНЧ.КРУГЛЫЕ С ВЕТЧ.И СЫР. ПМ 1/300 зам. ОСТАНКИНО</v>
          </cell>
          <cell r="D26">
            <v>21.9</v>
          </cell>
          <cell r="E26">
            <v>73</v>
          </cell>
        </row>
        <row r="27">
          <cell r="A27" t="str">
            <v>6149 БЛИНЧ.КРУГЛЫЕ С ПЕЧЕНЬЮ ПМ 1/300 зам. ОСТАНКИНО</v>
          </cell>
          <cell r="D27">
            <v>17.100000000000001</v>
          </cell>
          <cell r="E27">
            <v>57</v>
          </cell>
        </row>
        <row r="28">
          <cell r="A28" t="str">
            <v>6168 Блинчики с мясом пл. 1/350 зам. ОСТАНКИНО</v>
          </cell>
          <cell r="D28">
            <v>21.7</v>
          </cell>
          <cell r="E28">
            <v>62</v>
          </cell>
        </row>
        <row r="29">
          <cell r="A29" t="str">
            <v>6202 БЛИНЧ.КРУГЛЫЕ С ТВОРОГОМ ПМ 1/300 зам. ОСТАНКИНО</v>
          </cell>
          <cell r="D29">
            <v>12.9</v>
          </cell>
          <cell r="E29">
            <v>43</v>
          </cell>
        </row>
        <row r="30">
          <cell r="A30" t="str">
            <v>6208 ДЫМОВИЦА ИЗ ЛОПАТКИ ПМ к/в с/н в/у 1/150  Останкино</v>
          </cell>
          <cell r="D30">
            <v>3.75</v>
          </cell>
          <cell r="E30">
            <v>25</v>
          </cell>
        </row>
        <row r="31">
          <cell r="A31" t="str">
            <v>6209 Блинчики с куриным мясом пл. 1/350 зам. ОСТАНКИНО</v>
          </cell>
          <cell r="D31">
            <v>25.2</v>
          </cell>
          <cell r="E31">
            <v>72</v>
          </cell>
        </row>
        <row r="32">
          <cell r="A32" t="str">
            <v>6220 ГОВЯЖЬЯ папа может вар п/о  Останкино</v>
          </cell>
          <cell r="D32">
            <v>240.71299999999999</v>
          </cell>
          <cell r="E32">
            <v>240.71299999999999</v>
          </cell>
        </row>
        <row r="33">
          <cell r="A33" t="str">
            <v>6221 НЕОПОЛИТАНСКИЙ ДУЭТ с/к с/н мгс 1/90  Останкино</v>
          </cell>
          <cell r="D33">
            <v>17.91</v>
          </cell>
          <cell r="E33">
            <v>199</v>
          </cell>
        </row>
        <row r="34">
          <cell r="A34" t="str">
            <v>6228 МЯСНОЕ АССОРТИ к/з с/н мгс 1/90 10шт  Останкино</v>
          </cell>
          <cell r="D34">
            <v>11.16</v>
          </cell>
          <cell r="E34">
            <v>124</v>
          </cell>
        </row>
        <row r="35">
          <cell r="A35" t="str">
            <v>6279 КОРЕЙКА ПО-ОСТ.к/в в/с с/н в/у 1/150_45с  Останкино</v>
          </cell>
          <cell r="D35">
            <v>23.55</v>
          </cell>
          <cell r="E35">
            <v>157</v>
          </cell>
        </row>
        <row r="36">
          <cell r="A36" t="str">
            <v>6303 Мясные Папа может сос п/о мгс 1,5*3  Останкино</v>
          </cell>
          <cell r="D36">
            <v>358.88099999999997</v>
          </cell>
          <cell r="E36">
            <v>358.88099999999997</v>
          </cell>
        </row>
        <row r="37">
          <cell r="A37" t="str">
            <v>6325 ДОКТОРСКАЯ ПРЕМИУМ вар п/о 0.4кг 8шт.  ОСТАНКИНО</v>
          </cell>
          <cell r="D37">
            <v>34.4</v>
          </cell>
          <cell r="E37">
            <v>86</v>
          </cell>
        </row>
        <row r="38">
          <cell r="A38" t="str">
            <v>6333 МЯСНАЯ Папа может вар п/о 0.4кг 8шт.  ОСТАНКИНО</v>
          </cell>
          <cell r="D38">
            <v>99.2</v>
          </cell>
          <cell r="E38">
            <v>248</v>
          </cell>
        </row>
        <row r="39">
          <cell r="A39" t="str">
            <v>6353 ЭКСТРА Папа может вар п/о 0.4кг 8шт.  ОСТАНКИНО</v>
          </cell>
          <cell r="D39">
            <v>75.599999999999994</v>
          </cell>
          <cell r="E39">
            <v>189</v>
          </cell>
        </row>
        <row r="40">
          <cell r="A40" t="str">
            <v>6392 ФИЛЕЙНАЯ Папа может вар п/о 0,4кг  ОСТАНКИНО</v>
          </cell>
          <cell r="D40">
            <v>69.2</v>
          </cell>
          <cell r="E40">
            <v>173</v>
          </cell>
        </row>
        <row r="41">
          <cell r="A41" t="str">
            <v>6453 ЭКСТРА Папа может с/к с/н в/у 1/100 14шт.   ОСТАНКИНО</v>
          </cell>
          <cell r="D41">
            <v>31.1</v>
          </cell>
          <cell r="E41">
            <v>311</v>
          </cell>
        </row>
        <row r="42">
          <cell r="A42" t="str">
            <v>6454 АРОМАТНАЯ с/к с/н в/у 1/100 10шт.  ОСТАНКИНО</v>
          </cell>
          <cell r="D42">
            <v>33.299999999999997</v>
          </cell>
          <cell r="E42">
            <v>333</v>
          </cell>
        </row>
        <row r="43">
          <cell r="A43" t="str">
            <v>6459 СЕРВЕЛАТ ШВЕЙЦАРСК. в/к с/н в/у 1/100*10  Останкино</v>
          </cell>
          <cell r="D43">
            <v>3.7</v>
          </cell>
          <cell r="E43">
            <v>37</v>
          </cell>
        </row>
        <row r="44">
          <cell r="A44" t="str">
            <v>6475 Сосиски Папа может 400г С сыром  ОСТАНКИНО</v>
          </cell>
          <cell r="D44">
            <v>26.4</v>
          </cell>
          <cell r="E44">
            <v>66</v>
          </cell>
        </row>
        <row r="45">
          <cell r="A45" t="str">
            <v>6495 ВЕТЧ.МРАМОРНАЯ в/у срез 0,3кг 6шт_45с  Останкино</v>
          </cell>
          <cell r="D45">
            <v>24</v>
          </cell>
          <cell r="E45">
            <v>80</v>
          </cell>
        </row>
        <row r="46">
          <cell r="A46" t="str">
            <v>6498 МОЛОЧНАЯ Папа может вар п/о  ОСТАНКИНО</v>
          </cell>
          <cell r="D46">
            <v>128.148</v>
          </cell>
          <cell r="E46">
            <v>128.148</v>
          </cell>
        </row>
        <row r="47">
          <cell r="A47" t="str">
            <v>6527 ШПИКАЧКИ СОЧНЫЕ ПМ сар б/о мгс 1*3 45с ОСТАНКИНО</v>
          </cell>
          <cell r="D47">
            <v>118.57</v>
          </cell>
          <cell r="E47">
            <v>118.57</v>
          </cell>
        </row>
        <row r="48">
          <cell r="A48" t="str">
            <v>6550 МЯСНЫЕ Папа может сар б/о мгс 1*3 О 45с  Останкино</v>
          </cell>
          <cell r="D48">
            <v>148.078</v>
          </cell>
          <cell r="E48">
            <v>148.078</v>
          </cell>
        </row>
        <row r="49">
          <cell r="A49" t="str">
            <v>6602 БАВАРСКИЕ ПМ сос ц/о мгс 0,35кг 8шт  Останкино</v>
          </cell>
          <cell r="D49">
            <v>36.75</v>
          </cell>
          <cell r="E49">
            <v>105</v>
          </cell>
        </row>
        <row r="50">
          <cell r="A50" t="str">
            <v>6608 С ГОВЯДИНОЙ ОРИГИН. сар б/о мгс 1*3_45с  ОСТАНКИНО</v>
          </cell>
          <cell r="D50">
            <v>224.79</v>
          </cell>
          <cell r="E50">
            <v>224.79</v>
          </cell>
        </row>
        <row r="51">
          <cell r="A51" t="str">
            <v>6616 МОЛОЧНЫЕ КЛАССИЧЕСКИЕ сос п/о в/у 0,3 кг  Останкино</v>
          </cell>
          <cell r="D51">
            <v>31.8</v>
          </cell>
          <cell r="E51">
            <v>106</v>
          </cell>
        </row>
        <row r="52">
          <cell r="A52" t="str">
            <v>6620 РЕБРЫШКИ к/в в/у_30с  Останкино</v>
          </cell>
          <cell r="D52">
            <v>65.001999999999995</v>
          </cell>
          <cell r="E52">
            <v>65.001999999999995</v>
          </cell>
        </row>
        <row r="53">
          <cell r="A53" t="str">
            <v>6661 СОЧНЫЙ ГРИЛЬ ПМ сос п/о мгс 1,5*4_Маяк Останкино</v>
          </cell>
          <cell r="D53">
            <v>263.93900000000002</v>
          </cell>
          <cell r="E53">
            <v>263.93900000000002</v>
          </cell>
        </row>
        <row r="54">
          <cell r="A54" t="str">
            <v>6697 СЕРВЕЛАТ ФИНСКИЙ ПМ в/к в/у 0,35кг 8шт  ОСТАНКИНО</v>
          </cell>
          <cell r="D54">
            <v>115.15</v>
          </cell>
          <cell r="E54">
            <v>329</v>
          </cell>
        </row>
        <row r="55">
          <cell r="A55" t="str">
            <v>6713 СОЧНЫЙ ГРИЛЬ ПМ сос п/о мгс 0,41кг 8 шт.  ОСТАНКИНО</v>
          </cell>
          <cell r="D55">
            <v>84.87</v>
          </cell>
          <cell r="E55">
            <v>207</v>
          </cell>
        </row>
        <row r="56">
          <cell r="A56" t="str">
            <v>6724 МОЛОЧНЫЕ ПМ сос п/о мгс 0,41кг 10шт  Останкино</v>
          </cell>
          <cell r="D56">
            <v>73.39</v>
          </cell>
          <cell r="E56">
            <v>179</v>
          </cell>
        </row>
        <row r="57">
          <cell r="A57" t="str">
            <v>6765 РУБЛЕНЫЕ сос ц/о мгс 0,36кг 6шт  Останкино</v>
          </cell>
          <cell r="D57">
            <v>74.88</v>
          </cell>
          <cell r="E57">
            <v>208</v>
          </cell>
        </row>
        <row r="58">
          <cell r="A58" t="str">
            <v>6787 СЕРВЕЛАТ КРЕМЛЕВСКИЙ в/к в/у 0,33кг 8шт  Останкино</v>
          </cell>
          <cell r="D58">
            <v>26.4</v>
          </cell>
          <cell r="E58">
            <v>80</v>
          </cell>
        </row>
        <row r="59">
          <cell r="A59" t="str">
            <v>6793 БАЛЫКОВАЯ в/к в/у 0,33кг 8шт  Останкино</v>
          </cell>
          <cell r="D59">
            <v>-0.99</v>
          </cell>
          <cell r="E59">
            <v>-3</v>
          </cell>
        </row>
        <row r="60">
          <cell r="A60" t="str">
            <v>6797 С ИНДЕЙКОЙ Папа может вар п/о 0,4кг 8шт. ОСТАНКИНО</v>
          </cell>
          <cell r="D60">
            <v>20</v>
          </cell>
          <cell r="E60">
            <v>50</v>
          </cell>
        </row>
        <row r="61">
          <cell r="A61" t="str">
            <v>6807 СЕРВЕЛАТ ЕВРОПЕЙСКИЙ в/к в/у 0,33кг 8шт  Останкино</v>
          </cell>
          <cell r="D61">
            <v>7.59</v>
          </cell>
          <cell r="E61">
            <v>23</v>
          </cell>
        </row>
        <row r="62">
          <cell r="A62" t="str">
            <v>6829  МОЛОЧНЫЕ КЛАССИЧЕСКИЕ сос п/о мгс 2*4 С  Останккино</v>
          </cell>
          <cell r="D62">
            <v>239.68700000000001</v>
          </cell>
          <cell r="E62">
            <v>239.68700000000001</v>
          </cell>
        </row>
        <row r="63">
          <cell r="A63" t="str">
            <v>6834 ПОСОЛЬСКАЯ с/к с/н в/у 1/100 10шт  Останкино</v>
          </cell>
          <cell r="D63">
            <v>2.1</v>
          </cell>
          <cell r="E63">
            <v>21</v>
          </cell>
        </row>
        <row r="64">
          <cell r="A64" t="str">
            <v>6837 ФИЛЕЙНЫЕ Папа Может сос ц/о мгс 0,4кг  Останкино</v>
          </cell>
          <cell r="D64">
            <v>42.8</v>
          </cell>
          <cell r="E64">
            <v>107</v>
          </cell>
        </row>
        <row r="65">
          <cell r="A65" t="str">
            <v>6861 ДОМАШНИЙ РЕЦЕПТ Коровино вар п/о  Останкино</v>
          </cell>
          <cell r="D65">
            <v>31.286999999999999</v>
          </cell>
          <cell r="E65">
            <v>31.286999999999999</v>
          </cell>
        </row>
        <row r="66">
          <cell r="A66" t="str">
            <v>6866 ВЕТЧ.НЕЖНАЯ Коровино п/о_Маяк  Останкино</v>
          </cell>
          <cell r="D66">
            <v>30.07</v>
          </cell>
          <cell r="E66">
            <v>30.07</v>
          </cell>
        </row>
        <row r="67">
          <cell r="A67" t="str">
            <v>6967 БУРГУНДИЯ Папа может с/к в/у 1/250 8шт  Останкино</v>
          </cell>
          <cell r="D67">
            <v>7.75</v>
          </cell>
          <cell r="E67">
            <v>31</v>
          </cell>
        </row>
        <row r="68">
          <cell r="A68" t="str">
            <v>7001 КЛАССИЧЕСКИЕ Папа может сар б/о мгс 1*3  Останкино</v>
          </cell>
          <cell r="D68">
            <v>54.8</v>
          </cell>
          <cell r="E68">
            <v>54.8</v>
          </cell>
        </row>
        <row r="69">
          <cell r="A69" t="str">
            <v>7059 ШПИКАЧКИ СОЧНЫЕ С БЕК. п/о мгс 0,3кг 60с ОСТАНКИНО</v>
          </cell>
          <cell r="D69">
            <v>55.8</v>
          </cell>
          <cell r="E69">
            <v>186</v>
          </cell>
        </row>
        <row r="70">
          <cell r="A70" t="str">
            <v>7066 СОЧНЫЕ ПМ сос п/о мгс 0,41кг 10шт 50с  Останкино</v>
          </cell>
          <cell r="D70">
            <v>172.2</v>
          </cell>
          <cell r="E70">
            <v>420</v>
          </cell>
        </row>
        <row r="71">
          <cell r="A71" t="str">
            <v>7070 СОЧНЫЕ ПМ сос п/о 1,5*4_А_50с  Останкино</v>
          </cell>
          <cell r="D71">
            <v>421.74</v>
          </cell>
          <cell r="E71">
            <v>421.74</v>
          </cell>
        </row>
        <row r="72">
          <cell r="A72" t="str">
            <v>7073 МОЛОЧ.ПРЕМИУМ ПМ сос п/о в/у 1/350_50с  Останкино</v>
          </cell>
          <cell r="D72">
            <v>22.05</v>
          </cell>
          <cell r="E72">
            <v>63</v>
          </cell>
        </row>
        <row r="73">
          <cell r="A73" t="str">
            <v>7075 МОЛОЧ.ПРЕМИУМ ПМ сос п/о мгс 1,5*4_О_50с  Останкино</v>
          </cell>
          <cell r="D73">
            <v>77.308000000000007</v>
          </cell>
          <cell r="E73">
            <v>77.308000000000007</v>
          </cell>
        </row>
        <row r="74">
          <cell r="A74" t="str">
            <v>7080 СЛИВОЧНЫЕ ПМ сос п/о мгс 0,41кг 10шт 50с  Останкино</v>
          </cell>
          <cell r="D74">
            <v>116.03</v>
          </cell>
          <cell r="E74">
            <v>283</v>
          </cell>
        </row>
        <row r="75">
          <cell r="A75" t="str">
            <v>7083 СЛИВОЧНЫЕ ПМ сос п/о мгс 1.5*4_А_50с  ОСТАНКИНО</v>
          </cell>
          <cell r="D75">
            <v>201.423</v>
          </cell>
          <cell r="E75">
            <v>201.423</v>
          </cell>
        </row>
        <row r="76">
          <cell r="A76" t="str">
            <v>7090 СВИНИНА ПО-ДОМ.к/в мл/к в/у 0,3кг_50с  Останкино</v>
          </cell>
          <cell r="D76">
            <v>28.8</v>
          </cell>
          <cell r="E76">
            <v>96</v>
          </cell>
        </row>
        <row r="77">
          <cell r="A77" t="str">
            <v>7103 БЕКОН Останкино с/к с/н в/у 1/180_50с  Останкино</v>
          </cell>
          <cell r="D77">
            <v>48.96</v>
          </cell>
          <cell r="E77">
            <v>272</v>
          </cell>
        </row>
        <row r="78">
          <cell r="A78" t="str">
            <v>7149 БАЛЫКОВАЯ Коровино п/к в/у 0,84кг_50с  Останкино</v>
          </cell>
          <cell r="D78">
            <v>51.24</v>
          </cell>
          <cell r="E78">
            <v>61</v>
          </cell>
        </row>
        <row r="79">
          <cell r="A79" t="str">
            <v>7154 СЕРВЕЛАТ ЗЕРНИСТЫЙ ПМ в/к в/у 0,35кг_50с  Останкино</v>
          </cell>
          <cell r="D79">
            <v>76.650000000000006</v>
          </cell>
          <cell r="E79">
            <v>219</v>
          </cell>
        </row>
        <row r="80">
          <cell r="A80" t="str">
            <v>7157 СЕРВЕЛАТ ЗЕРНИСТЫЙ ПМ в/к в/у_50с  Останкино</v>
          </cell>
          <cell r="D80">
            <v>169.042</v>
          </cell>
          <cell r="E80">
            <v>169.042</v>
          </cell>
        </row>
        <row r="81">
          <cell r="A81" t="str">
            <v>7166 СЕРВЕЛАТ ОХОТНИЧИЙ ПМ в/к в/у_50с  Останкино</v>
          </cell>
          <cell r="D81">
            <v>285.35000000000002</v>
          </cell>
          <cell r="E81">
            <v>285.35000000000002</v>
          </cell>
        </row>
        <row r="82">
          <cell r="A82" t="str">
            <v>7169 СЕРВЕЛАТ ОХОТНИЧИЙ ПМ в/к в/у 0,35кг_50с  Останкино</v>
          </cell>
          <cell r="D82">
            <v>98.35</v>
          </cell>
          <cell r="E82">
            <v>281</v>
          </cell>
        </row>
        <row r="83">
          <cell r="A83" t="str">
            <v>7187 ГРУДИНКА ПРЕМИУМ к/в мл/к в/у 0,3кг_50с  Останкино</v>
          </cell>
          <cell r="D83">
            <v>11.1</v>
          </cell>
          <cell r="E83">
            <v>37</v>
          </cell>
        </row>
        <row r="84">
          <cell r="A84" t="str">
            <v>7216 СОЧНЫЕ СО СЛ.МАСЛ.ПМ пельм пл.0.7кг зам. ОСТАНКИНО</v>
          </cell>
          <cell r="D84">
            <v>92.4</v>
          </cell>
          <cell r="E84">
            <v>132</v>
          </cell>
        </row>
        <row r="85">
          <cell r="A85" t="str">
            <v>7231 КЛАССИЧЕСКАЯ ПМ вар п/о 0,3кг 8 шт_209к  Останкино</v>
          </cell>
          <cell r="D85">
            <v>9.9</v>
          </cell>
          <cell r="E85">
            <v>33</v>
          </cell>
        </row>
        <row r="86">
          <cell r="A86" t="str">
            <v>7232 БОЯNСКАЯ ПМ п/к в/у 0,28кг 8шт_209к  Останкино</v>
          </cell>
          <cell r="D86">
            <v>59.92</v>
          </cell>
          <cell r="E86">
            <v>214</v>
          </cell>
        </row>
        <row r="87">
          <cell r="A87" t="str">
            <v>7236 СЕРВЕЛАТ КАРЕЛЬСКИЙ в/к в/у 0,28кг_209к  Останкино</v>
          </cell>
          <cell r="D87">
            <v>42.28</v>
          </cell>
          <cell r="E87">
            <v>151</v>
          </cell>
        </row>
        <row r="88">
          <cell r="A88" t="str">
            <v>7237 СЕРВЕЛАТ ШВАРЦЕР ПМ в/к в/у 0,28кг_209к  Останкино</v>
          </cell>
          <cell r="D88">
            <v>16.8</v>
          </cell>
          <cell r="E88">
            <v>60</v>
          </cell>
        </row>
        <row r="89">
          <cell r="A89" t="str">
            <v>7241 САЛЯМИ Папа может п/к в/у 0,28кг ОСТАНКИНО</v>
          </cell>
          <cell r="D89">
            <v>116.2</v>
          </cell>
          <cell r="E89">
            <v>415</v>
          </cell>
        </row>
        <row r="90">
          <cell r="A90" t="str">
            <v>7255 МЯСНЫЕ С ГОВЯД.ПМ сос п/о мгс 0.4кг 6шт.  ОСТАНКИНО</v>
          </cell>
          <cell r="D90">
            <v>87.2</v>
          </cell>
          <cell r="E90">
            <v>218</v>
          </cell>
        </row>
        <row r="91">
          <cell r="A91" t="str">
            <v>7276 СЛИВОЧНЫЕ ПМ сос п/о мгс 0,3кг 7шт  Останкино</v>
          </cell>
          <cell r="D91">
            <v>11.4</v>
          </cell>
          <cell r="E91">
            <v>38</v>
          </cell>
        </row>
        <row r="92">
          <cell r="A92" t="str">
            <v>7284 ДЛЯ ДЕТЕЙ сос п/о мгс 0,33кг 6шт  Останкино</v>
          </cell>
          <cell r="D92">
            <v>10.56</v>
          </cell>
          <cell r="E92">
            <v>32</v>
          </cell>
        </row>
        <row r="93">
          <cell r="A93" t="str">
            <v>7288 БАЛЫК с/к с/н в/у 1/100 10шт ОСТАНКИНО</v>
          </cell>
          <cell r="D93">
            <v>4</v>
          </cell>
          <cell r="E93">
            <v>40</v>
          </cell>
        </row>
        <row r="94">
          <cell r="A94" t="str">
            <v>7343 СЕЙЧАС СЕЗОН ПМ вар п/о 0,4кг ОСТАНКИНО</v>
          </cell>
          <cell r="D94">
            <v>16.8</v>
          </cell>
          <cell r="E94">
            <v>42</v>
          </cell>
        </row>
        <row r="95">
          <cell r="A95" t="str">
            <v>7371 БРЕСТСКИЕ сос п/о в/у 0,3кг 8шт. ОСТАНКИНО</v>
          </cell>
          <cell r="D95">
            <v>13.8</v>
          </cell>
          <cell r="E95">
            <v>46</v>
          </cell>
        </row>
        <row r="96">
          <cell r="A96" t="str">
            <v>7382  САЛЯМИ МЕЛКОЗЕРНЕНАЯ с/к в/у1/120 8шт.  ОСТАНКИНО</v>
          </cell>
          <cell r="D96">
            <v>14.64</v>
          </cell>
          <cell r="E96">
            <v>122</v>
          </cell>
        </row>
        <row r="97">
          <cell r="A97" t="str">
            <v>7461 ДЛЯ ДЕТЕЙ Папа Может сос п/о мгс 0,33кг ОСТАНКИНО</v>
          </cell>
          <cell r="D97">
            <v>3.3</v>
          </cell>
          <cell r="E97">
            <v>10</v>
          </cell>
        </row>
        <row r="98">
          <cell r="A98" t="str">
            <v>7489 СЫРРРВЕЛАТ Папа Может в/к в/у 0,28кг 8шт. ОСТАНКИНО</v>
          </cell>
          <cell r="D98">
            <v>9.8000000000000007</v>
          </cell>
          <cell r="E98">
            <v>35</v>
          </cell>
        </row>
        <row r="99">
          <cell r="A99" t="str">
            <v>7523 ГОВЯЖЬЯ Папа Может вар п/о 0,4кг 6шт. ОСТАНКИНО</v>
          </cell>
          <cell r="D99">
            <v>4.8</v>
          </cell>
          <cell r="E99">
            <v>12</v>
          </cell>
        </row>
        <row r="100">
          <cell r="A100" t="str">
            <v>7539 ДОКТОРСКАЯ ГОСТ вар п/о 0,35кг ОСТАНКИНО</v>
          </cell>
          <cell r="D100">
            <v>6.65</v>
          </cell>
          <cell r="E100">
            <v>19</v>
          </cell>
        </row>
        <row r="101">
          <cell r="A101" t="str">
            <v>7603 БАЛЫКОВАЯ в/к в/у 0.33кг 8шт. ОСТАНКИНО</v>
          </cell>
          <cell r="D101">
            <v>5.61</v>
          </cell>
          <cell r="E101">
            <v>17</v>
          </cell>
        </row>
        <row r="102">
          <cell r="A102" t="str">
            <v>Итого</v>
          </cell>
          <cell r="D102">
            <v>7617.5410000000002</v>
          </cell>
          <cell r="E102">
            <v>13159.231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0.570312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40</v>
      </c>
      <c r="R3" s="5" t="s">
        <v>16</v>
      </c>
      <c r="S3" s="5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36</v>
      </c>
      <c r="P4" s="7" t="s">
        <v>37</v>
      </c>
      <c r="Q4" s="1" t="s">
        <v>36</v>
      </c>
      <c r="R4" s="1"/>
      <c r="S4" s="1"/>
      <c r="T4" s="1"/>
      <c r="U4" s="1"/>
      <c r="V4" s="7" t="s">
        <v>36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475.21199999999999</v>
      </c>
      <c r="F5" s="3">
        <f>SUM(F6:F401)</f>
        <v>2039.288</v>
      </c>
      <c r="G5" s="10"/>
      <c r="H5" s="1"/>
      <c r="I5" s="1"/>
      <c r="J5" s="1"/>
      <c r="K5" s="3">
        <f>SUM(K6:K401)</f>
        <v>730</v>
      </c>
      <c r="L5" s="3">
        <f t="shared" ref="L5:R5" si="0">SUM(L6:L401)</f>
        <v>-254.78800000000001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95.042399999999986</v>
      </c>
      <c r="Q5" s="3">
        <f t="shared" si="0"/>
        <v>260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182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24</v>
      </c>
      <c r="B6" s="1" t="s">
        <v>23</v>
      </c>
      <c r="C6" s="1"/>
      <c r="D6" s="1">
        <v>1</v>
      </c>
      <c r="E6" s="1"/>
      <c r="F6" s="1"/>
      <c r="G6" s="10">
        <v>0.42</v>
      </c>
      <c r="H6" s="1"/>
      <c r="I6" s="1"/>
      <c r="J6" s="1"/>
      <c r="K6" s="1">
        <f>VLOOKUP(A6,[1]TDSheet!$A:$E,5,0)</f>
        <v>13</v>
      </c>
      <c r="L6" s="1">
        <f>E6-K6</f>
        <v>-13</v>
      </c>
      <c r="M6" s="1"/>
      <c r="N6" s="1"/>
      <c r="O6" s="1"/>
      <c r="P6" s="6">
        <f>E6/5</f>
        <v>0</v>
      </c>
      <c r="Q6" s="8"/>
      <c r="R6" s="9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"/>
      <c r="X6" s="1">
        <f>Q6*G6</f>
        <v>0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25</v>
      </c>
      <c r="B7" s="1" t="s">
        <v>26</v>
      </c>
      <c r="C7" s="1">
        <v>207</v>
      </c>
      <c r="D7" s="1"/>
      <c r="E7" s="1">
        <f>VLOOKUP(A7,[2]TDSheet!$A:$F,5,0)</f>
        <v>31.712</v>
      </c>
      <c r="F7" s="1">
        <v>175.28800000000001</v>
      </c>
      <c r="G7" s="10">
        <v>1</v>
      </c>
      <c r="H7" s="1"/>
      <c r="I7" s="1"/>
      <c r="J7" s="1"/>
      <c r="K7" s="1">
        <f>VLOOKUP(A7,[1]TDSheet!$A:$E,5,0)</f>
        <v>40.5</v>
      </c>
      <c r="L7" s="1">
        <f t="shared" ref="L7:L16" si="1">E7-K7</f>
        <v>-8.7880000000000003</v>
      </c>
      <c r="M7" s="1"/>
      <c r="N7" s="1"/>
      <c r="O7" s="1"/>
      <c r="P7" s="6">
        <f t="shared" ref="P7:P16" si="2">E7/5</f>
        <v>6.3423999999999996</v>
      </c>
      <c r="Q7" s="8"/>
      <c r="R7" s="9"/>
      <c r="S7" s="1"/>
      <c r="T7" s="1">
        <f t="shared" ref="T7:T16" si="3">(F7+O7+Q7)/P7</f>
        <v>27.637487386478309</v>
      </c>
      <c r="U7" s="1">
        <f t="shared" ref="U7:U16" si="4">(F7+O7)/P7</f>
        <v>27.637487386478309</v>
      </c>
      <c r="V7" s="1">
        <v>0</v>
      </c>
      <c r="W7" s="13" t="s">
        <v>38</v>
      </c>
      <c r="X7" s="1">
        <f t="shared" ref="X7:X11" si="5">Q7*G7</f>
        <v>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27</v>
      </c>
      <c r="B8" s="1" t="s">
        <v>26</v>
      </c>
      <c r="C8" s="1">
        <v>319.5</v>
      </c>
      <c r="D8" s="1"/>
      <c r="E8" s="1">
        <f>VLOOKUP(A8,[2]TDSheet!$A:$F,5,0)</f>
        <v>4.5</v>
      </c>
      <c r="F8" s="1">
        <v>315</v>
      </c>
      <c r="G8" s="10">
        <v>1</v>
      </c>
      <c r="H8" s="1"/>
      <c r="I8" s="1"/>
      <c r="J8" s="1"/>
      <c r="K8" s="1">
        <f>VLOOKUP(A8,[1]TDSheet!$A:$E,5,0)</f>
        <v>4.5</v>
      </c>
      <c r="L8" s="1">
        <f t="shared" si="1"/>
        <v>0</v>
      </c>
      <c r="M8" s="1"/>
      <c r="N8" s="1"/>
      <c r="O8" s="1"/>
      <c r="P8" s="6">
        <f t="shared" si="2"/>
        <v>0.9</v>
      </c>
      <c r="Q8" s="8"/>
      <c r="R8" s="9"/>
      <c r="S8" s="1"/>
      <c r="T8" s="1">
        <f t="shared" si="3"/>
        <v>350</v>
      </c>
      <c r="U8" s="1">
        <f t="shared" si="4"/>
        <v>350</v>
      </c>
      <c r="V8" s="1">
        <v>0</v>
      </c>
      <c r="W8" s="14" t="s">
        <v>39</v>
      </c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28</v>
      </c>
      <c r="B9" s="1" t="s">
        <v>23</v>
      </c>
      <c r="C9" s="1"/>
      <c r="D9" s="1">
        <v>1</v>
      </c>
      <c r="E9" s="1"/>
      <c r="F9" s="1"/>
      <c r="G9" s="10">
        <v>0.42</v>
      </c>
      <c r="H9" s="1"/>
      <c r="I9" s="1"/>
      <c r="J9" s="1"/>
      <c r="K9" s="1">
        <f>VLOOKUP(A9,[1]TDSheet!$A:$E,5,0)</f>
        <v>43</v>
      </c>
      <c r="L9" s="1">
        <f t="shared" si="1"/>
        <v>-43</v>
      </c>
      <c r="M9" s="1"/>
      <c r="N9" s="1"/>
      <c r="O9" s="1"/>
      <c r="P9" s="6">
        <f t="shared" si="2"/>
        <v>0</v>
      </c>
      <c r="Q9" s="8"/>
      <c r="R9" s="9"/>
      <c r="S9" s="1"/>
      <c r="T9" s="1" t="e">
        <f t="shared" si="3"/>
        <v>#DIV/0!</v>
      </c>
      <c r="U9" s="1" t="e">
        <f t="shared" si="4"/>
        <v>#DIV/0!</v>
      </c>
      <c r="V9" s="1">
        <v>0</v>
      </c>
      <c r="W9" s="1"/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29</v>
      </c>
      <c r="B10" s="1" t="s">
        <v>23</v>
      </c>
      <c r="C10" s="1">
        <v>285</v>
      </c>
      <c r="D10" s="1">
        <v>10</v>
      </c>
      <c r="E10" s="1">
        <f>VLOOKUP(A10,[2]TDSheet!$A:$F,5,0)</f>
        <v>73</v>
      </c>
      <c r="F10" s="1">
        <v>212</v>
      </c>
      <c r="G10" s="10">
        <v>0.3</v>
      </c>
      <c r="H10" s="1"/>
      <c r="I10" s="1"/>
      <c r="J10" s="1"/>
      <c r="K10" s="1">
        <f>VLOOKUP(A10,[1]TDSheet!$A:$E,5,0)</f>
        <v>85</v>
      </c>
      <c r="L10" s="1">
        <f t="shared" si="1"/>
        <v>-12</v>
      </c>
      <c r="M10" s="1"/>
      <c r="N10" s="1"/>
      <c r="O10" s="1"/>
      <c r="P10" s="6">
        <f t="shared" si="2"/>
        <v>14.6</v>
      </c>
      <c r="Q10" s="8"/>
      <c r="R10" s="9"/>
      <c r="S10" s="1"/>
      <c r="T10" s="1">
        <f t="shared" si="3"/>
        <v>14.520547945205481</v>
      </c>
      <c r="U10" s="1">
        <f t="shared" si="4"/>
        <v>14.520547945205481</v>
      </c>
      <c r="V10" s="1">
        <v>0</v>
      </c>
      <c r="W10" s="1"/>
      <c r="X10" s="1">
        <f t="shared" si="5"/>
        <v>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30</v>
      </c>
      <c r="B11" s="1" t="s">
        <v>23</v>
      </c>
      <c r="C11" s="1">
        <v>437</v>
      </c>
      <c r="D11" s="1">
        <v>15</v>
      </c>
      <c r="E11" s="1">
        <f>VLOOKUP(A11,[2]TDSheet!$A:$F,5,0)</f>
        <v>57</v>
      </c>
      <c r="F11" s="1">
        <v>380</v>
      </c>
      <c r="G11" s="10">
        <v>0.3</v>
      </c>
      <c r="H11" s="1"/>
      <c r="I11" s="1"/>
      <c r="J11" s="1"/>
      <c r="K11" s="1">
        <f>VLOOKUP(A11,[1]TDSheet!$A:$E,5,0)</f>
        <v>75</v>
      </c>
      <c r="L11" s="1">
        <f t="shared" si="1"/>
        <v>-18</v>
      </c>
      <c r="M11" s="1"/>
      <c r="N11" s="1"/>
      <c r="O11" s="1"/>
      <c r="P11" s="6">
        <f t="shared" si="2"/>
        <v>11.4</v>
      </c>
      <c r="Q11" s="8"/>
      <c r="R11" s="9"/>
      <c r="S11" s="1"/>
      <c r="T11" s="1">
        <f t="shared" si="3"/>
        <v>33.333333333333336</v>
      </c>
      <c r="U11" s="1">
        <f t="shared" si="4"/>
        <v>33.333333333333336</v>
      </c>
      <c r="V11" s="1">
        <v>0</v>
      </c>
      <c r="W11" s="13" t="s">
        <v>38</v>
      </c>
      <c r="X11" s="1">
        <f t="shared" si="5"/>
        <v>0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31</v>
      </c>
      <c r="B12" s="1" t="s">
        <v>23</v>
      </c>
      <c r="C12" s="1">
        <v>387</v>
      </c>
      <c r="D12" s="1">
        <v>30</v>
      </c>
      <c r="E12" s="1">
        <f>VLOOKUP(A12,[2]TDSheet!$A:$F,5,0)</f>
        <v>62</v>
      </c>
      <c r="F12" s="1">
        <v>325</v>
      </c>
      <c r="G12" s="10">
        <v>0.35</v>
      </c>
      <c r="H12" s="1"/>
      <c r="I12" s="1"/>
      <c r="J12" s="1"/>
      <c r="K12" s="1">
        <f>VLOOKUP(A12,[1]TDSheet!$A:$E,5,0)</f>
        <v>96</v>
      </c>
      <c r="L12" s="1">
        <f t="shared" si="1"/>
        <v>-34</v>
      </c>
      <c r="M12" s="1"/>
      <c r="N12" s="1"/>
      <c r="O12" s="1"/>
      <c r="P12" s="6">
        <f t="shared" si="2"/>
        <v>12.4</v>
      </c>
      <c r="Q12" s="8"/>
      <c r="R12" s="9"/>
      <c r="S12" s="1"/>
      <c r="T12" s="1">
        <f t="shared" si="3"/>
        <v>26.209677419354836</v>
      </c>
      <c r="U12" s="1">
        <f t="shared" si="4"/>
        <v>26.209677419354836</v>
      </c>
      <c r="V12" s="1">
        <v>0</v>
      </c>
      <c r="W12" s="13" t="s">
        <v>38</v>
      </c>
      <c r="X12" s="1">
        <f t="shared" ref="X12:X16" si="6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32</v>
      </c>
      <c r="B13" s="1" t="s">
        <v>23</v>
      </c>
      <c r="C13" s="1">
        <v>269</v>
      </c>
      <c r="D13" s="1"/>
      <c r="E13" s="1">
        <f>VLOOKUP(A13,[2]TDSheet!$A:$F,5,0)</f>
        <v>43</v>
      </c>
      <c r="F13" s="1">
        <v>226</v>
      </c>
      <c r="G13" s="10">
        <v>0.3</v>
      </c>
      <c r="H13" s="1"/>
      <c r="I13" s="1"/>
      <c r="J13" s="1"/>
      <c r="K13" s="1">
        <f>VLOOKUP(A13,[1]TDSheet!$A:$E,5,0)</f>
        <v>48</v>
      </c>
      <c r="L13" s="1">
        <f t="shared" si="1"/>
        <v>-5</v>
      </c>
      <c r="M13" s="1"/>
      <c r="N13" s="1"/>
      <c r="O13" s="1"/>
      <c r="P13" s="6">
        <f t="shared" si="2"/>
        <v>8.6</v>
      </c>
      <c r="Q13" s="8"/>
      <c r="R13" s="9"/>
      <c r="S13" s="1"/>
      <c r="T13" s="1">
        <f t="shared" si="3"/>
        <v>26.279069767441861</v>
      </c>
      <c r="U13" s="1">
        <f t="shared" si="4"/>
        <v>26.279069767441861</v>
      </c>
      <c r="V13" s="1">
        <v>0</v>
      </c>
      <c r="W13" s="13" t="s">
        <v>38</v>
      </c>
      <c r="X13" s="1">
        <f t="shared" si="6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33</v>
      </c>
      <c r="B14" s="1" t="s">
        <v>23</v>
      </c>
      <c r="C14" s="1">
        <v>420</v>
      </c>
      <c r="D14" s="1">
        <v>30</v>
      </c>
      <c r="E14" s="1">
        <f>VLOOKUP(A14,[2]TDSheet!$A:$F,5,0)</f>
        <v>72</v>
      </c>
      <c r="F14" s="1">
        <v>348</v>
      </c>
      <c r="G14" s="10">
        <v>0.35</v>
      </c>
      <c r="H14" s="1"/>
      <c r="I14" s="1"/>
      <c r="J14" s="1"/>
      <c r="K14" s="1">
        <f>VLOOKUP(A14,[1]TDSheet!$A:$E,5,0)</f>
        <v>102</v>
      </c>
      <c r="L14" s="1">
        <f t="shared" si="1"/>
        <v>-30</v>
      </c>
      <c r="M14" s="1"/>
      <c r="N14" s="1"/>
      <c r="O14" s="1"/>
      <c r="P14" s="6">
        <f t="shared" si="2"/>
        <v>14.4</v>
      </c>
      <c r="Q14" s="8"/>
      <c r="R14" s="9"/>
      <c r="S14" s="1"/>
      <c r="T14" s="1">
        <f t="shared" si="3"/>
        <v>24.166666666666664</v>
      </c>
      <c r="U14" s="1">
        <f t="shared" si="4"/>
        <v>24.166666666666664</v>
      </c>
      <c r="V14" s="1">
        <v>0</v>
      </c>
      <c r="W14" s="13" t="s">
        <v>38</v>
      </c>
      <c r="X14" s="1">
        <f t="shared" si="6"/>
        <v>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34</v>
      </c>
      <c r="B15" s="1" t="s">
        <v>23</v>
      </c>
      <c r="C15" s="1"/>
      <c r="D15" s="1"/>
      <c r="E15" s="1"/>
      <c r="F15" s="1"/>
      <c r="G15" s="10">
        <v>0.3</v>
      </c>
      <c r="H15" s="1"/>
      <c r="I15" s="1"/>
      <c r="J15" s="1"/>
      <c r="K15" s="1">
        <f>VLOOKUP(A15,[1]TDSheet!$A:$E,5,0)</f>
        <v>34</v>
      </c>
      <c r="L15" s="1">
        <f t="shared" si="1"/>
        <v>-34</v>
      </c>
      <c r="M15" s="1"/>
      <c r="N15" s="1"/>
      <c r="O15" s="1"/>
      <c r="P15" s="6">
        <f t="shared" si="2"/>
        <v>0</v>
      </c>
      <c r="Q15" s="8"/>
      <c r="R15" s="9"/>
      <c r="S15" s="1"/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6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35</v>
      </c>
      <c r="B16" s="1" t="s">
        <v>23</v>
      </c>
      <c r="C16" s="1">
        <v>204</v>
      </c>
      <c r="D16" s="1">
        <v>40</v>
      </c>
      <c r="E16" s="1">
        <f>VLOOKUP(A16,[2]TDSheet!$A:$F,5,0)</f>
        <v>132</v>
      </c>
      <c r="F16" s="1">
        <v>58</v>
      </c>
      <c r="G16" s="10">
        <v>0.7</v>
      </c>
      <c r="H16" s="1"/>
      <c r="I16" s="1"/>
      <c r="J16" s="1"/>
      <c r="K16" s="1">
        <f>VLOOKUP(A16,[1]TDSheet!$A:$E,5,0)</f>
        <v>189</v>
      </c>
      <c r="L16" s="1">
        <f t="shared" si="1"/>
        <v>-57</v>
      </c>
      <c r="M16" s="1"/>
      <c r="N16" s="1"/>
      <c r="O16" s="1"/>
      <c r="P16" s="6">
        <f t="shared" si="2"/>
        <v>26.4</v>
      </c>
      <c r="Q16" s="8">
        <v>260</v>
      </c>
      <c r="R16" s="9"/>
      <c r="S16" s="1"/>
      <c r="T16" s="1">
        <f t="shared" si="3"/>
        <v>12.045454545454547</v>
      </c>
      <c r="U16" s="1">
        <f t="shared" si="4"/>
        <v>2.1969696969696972</v>
      </c>
      <c r="V16" s="1">
        <v>0</v>
      </c>
      <c r="W16" s="1"/>
      <c r="X16" s="1">
        <f t="shared" si="6"/>
        <v>182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2026-07-06T05:50:27Z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