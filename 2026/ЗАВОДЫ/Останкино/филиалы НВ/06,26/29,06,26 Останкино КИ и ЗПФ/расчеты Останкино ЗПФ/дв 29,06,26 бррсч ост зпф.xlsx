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"/>
    </mc:Choice>
  </mc:AlternateContent>
  <xr:revisionPtr revIDLastSave="0" documentId="13_ncr:1_{F8C0EA0C-4471-409D-AC3C-8EB22E32D1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  <externalReference r:id="rId3"/>
  </externalReferences>
  <definedNames>
    <definedName name="_xlnm._FilterDatabase" localSheetId="0" hidden="1">Sheet!$A$3:$X$16</definedName>
  </definedNames>
  <calcPr calcId="191029"/>
</workbook>
</file>

<file path=xl/calcChain.xml><?xml version="1.0" encoding="utf-8"?>
<calcChain xmlns="http://schemas.openxmlformats.org/spreadsheetml/2006/main">
  <c r="P8" i="1" l="1"/>
  <c r="P16" i="1"/>
  <c r="P6" i="1"/>
  <c r="L6" i="1"/>
  <c r="E7" i="1"/>
  <c r="P7" i="1" s="1"/>
  <c r="E9" i="1"/>
  <c r="P9" i="1" s="1"/>
  <c r="E10" i="1"/>
  <c r="P10" i="1" s="1"/>
  <c r="E11" i="1"/>
  <c r="P11" i="1" s="1"/>
  <c r="E12" i="1"/>
  <c r="P12" i="1" s="1"/>
  <c r="E13" i="1"/>
  <c r="P13" i="1" s="1"/>
  <c r="E14" i="1"/>
  <c r="P14" i="1" s="1"/>
  <c r="E15" i="1"/>
  <c r="P15" i="1" s="1"/>
  <c r="K7" i="1"/>
  <c r="K8" i="1"/>
  <c r="L8" i="1" s="1"/>
  <c r="K9" i="1"/>
  <c r="K10" i="1"/>
  <c r="K11" i="1"/>
  <c r="K12" i="1"/>
  <c r="K13" i="1"/>
  <c r="K14" i="1"/>
  <c r="K15" i="1"/>
  <c r="K16" i="1"/>
  <c r="L16" i="1" s="1"/>
  <c r="O5" i="1"/>
  <c r="U14" i="1" l="1"/>
  <c r="U15" i="1"/>
  <c r="Q13" i="1"/>
  <c r="U13" i="1"/>
  <c r="U12" i="1"/>
  <c r="Q12" i="1"/>
  <c r="Q11" i="1"/>
  <c r="U11" i="1"/>
  <c r="U10" i="1"/>
  <c r="Q10" i="1"/>
  <c r="U9" i="1"/>
  <c r="U7" i="1"/>
  <c r="U6" i="1"/>
  <c r="U16" i="1"/>
  <c r="U8" i="1"/>
  <c r="L13" i="1"/>
  <c r="L15" i="1"/>
  <c r="L14" i="1"/>
  <c r="L11" i="1"/>
  <c r="L10" i="1"/>
  <c r="L12" i="1"/>
  <c r="L9" i="1"/>
  <c r="L7" i="1"/>
  <c r="V5" i="1"/>
  <c r="R5" i="1"/>
  <c r="N5" i="1"/>
  <c r="M5" i="1"/>
  <c r="K5" i="1"/>
  <c r="T6" i="1" l="1"/>
  <c r="X6" i="1"/>
  <c r="T16" i="1"/>
  <c r="X16" i="1"/>
  <c r="T7" i="1"/>
  <c r="X7" i="1"/>
  <c r="T11" i="1"/>
  <c r="X11" i="1"/>
  <c r="T13" i="1"/>
  <c r="X13" i="1"/>
  <c r="T12" i="1"/>
  <c r="X12" i="1"/>
  <c r="T9" i="1"/>
  <c r="X9" i="1"/>
  <c r="T10" i="1"/>
  <c r="X10" i="1"/>
  <c r="T15" i="1"/>
  <c r="X15" i="1"/>
  <c r="T14" i="1"/>
  <c r="X14" i="1"/>
  <c r="T8" i="1"/>
  <c r="X8" i="1"/>
  <c r="F5" i="1"/>
  <c r="E5" i="1"/>
  <c r="P5" i="1" l="1"/>
  <c r="L5" i="1"/>
  <c r="Q5" i="1" l="1"/>
  <c r="X5" i="1" l="1"/>
</calcChain>
</file>

<file path=xl/sharedStrings.xml><?xml version="1.0" encoding="utf-8"?>
<sst xmlns="http://schemas.openxmlformats.org/spreadsheetml/2006/main" count="55" uniqueCount="40">
  <si>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</si>
  <si>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</si>
  <si>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</si>
  <si>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</si>
  <si>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</si>
  <si>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</si>
  <si>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</si>
  <si>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</si>
  <si>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</si>
  <si>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</si>
  <si>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</si>
  <si>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</si>
  <si>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</si>
  <si>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</si>
  <si>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</si>
  <si>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</si>
  <si>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</si>
  <si>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</si>
  <si>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</si>
  <si>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</si>
  <si>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</si>
  <si>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</si>
  <si>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</si>
  <si>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</si>
  <si>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шт</t>
  </si>
  <si>
    <t>5579 БЛИНЧ.КРУГЛЫЕ С САД.ЯБЛОК.пл.1/420 зам. ОСТАНКИНО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</si>
  <si>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</si>
  <si>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</si>
  <si>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</si>
  <si>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</si>
  <si>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</si>
  <si>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</si>
  <si>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</si>
  <si>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</si>
  <si>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</si>
  <si>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</si>
  <si>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</si>
  <si>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нет</t>
  </si>
  <si>
    <t>29,06,</t>
  </si>
  <si>
    <t>нужно увеличить продажи!!!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</si>
</sst>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6">
    <font>
      <sz val="11"/>
      <color theme="1"/>
      <name val="Calibri"/>
      <charset val="134"/>
      <scheme val="minor"/>
    </font>
    <font>
      <sz val="10"/>
      <name val="Arial"/>
      <charset val="134"/>
    </font>
    <font>
      <b/>
      <sz val="11"/>
      <name val="Calibri"/>
      <charset val="134"/>
    </font>
    <font>
      <b/>
      <sz val="11"/>
      <color rgb="FFFF0000"/>
      <name val="Calibri"/>
      <charset val="13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  <bgColor indexed="64"/>
      </patternFill>
    </fill>
    <fill>
      <patternFill patternType="solid">
        <fgColor rgb="FF758CE0"/>
        <bgColor indexed="64"/>
      </patternFill>
    </fill>
    <fill>
      <patternFill patternType="solid">
        <fgColor rgb="FF13E22E"/>
        <bgColor rgb="FF13E22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164" fontId="1" fillId="0" borderId="0" xfId="1" applyNumberFormat="1"/>
    <xf numFmtId="164" fontId="2" fillId="2" borderId="0" xfId="1" applyNumberFormat="1" applyFont="1" applyFill="1"/>
    <xf numFmtId="164" fontId="1" fillId="3" borderId="0" xfId="1" applyNumberFormat="1" applyFill="1"/>
    <xf numFmtId="164" fontId="3" fillId="2" borderId="0" xfId="1" applyNumberFormat="1" applyFont="1" applyFill="1"/>
    <xf numFmtId="164" fontId="2" fillId="4" borderId="0" xfId="1" applyNumberFormat="1" applyFont="1" applyFill="1"/>
    <xf numFmtId="164" fontId="0" fillId="0" borderId="0" xfId="0" applyNumberFormat="1"/>
    <xf numFmtId="165" fontId="1" fillId="0" borderId="0" xfId="1" applyNumberFormat="1"/>
    <xf numFmtId="165" fontId="2" fillId="2" borderId="0" xfId="1" applyNumberFormat="1" applyFont="1" applyFill="1"/>
    <xf numFmtId="165" fontId="0" fillId="0" borderId="0" xfId="0" applyNumberFormat="1"/>
    <xf numFmtId="164" fontId="5" fillId="0" borderId="0" xfId="1" applyNumberFormat="1" applyFont="1"/>
    <xf numFmtId="164" fontId="0" fillId="0" borderId="1" xfId="0" applyNumberFormat="1" applyBorder="1"/>
    <xf numFmtId="164" fontId="1" fillId="0" borderId="1" xfId="1" applyNumberFormat="1" applyBorder="1"/>
    <xf numFmtId="164" fontId="4" fillId="5" borderId="0" xfId="1" applyNumberFormat="1" applyFont="1" applyFill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Father\Work\2025_05\&#1056;&#1040;&#1041;&#1054;&#1063;&#1048;&#1049;%20&#1057;&#1058;&#1054;&#1051;\&#1088;&#1072;&#1089;&#1095;&#1077;&#1090;&#1099;%20&#1054;&#1089;&#1090;&#1072;&#1085;&#1082;&#1080;&#1085;&#1086;%20&#1047;&#1055;&#1060;\&#1041;&#1077;&#1088;&#1076;&#1103;&#1085;&#1089;&#1082;\&#1087;&#1088;&#1086;&#1076;&#1072;&#1078;&#1080;%20&#1041;&#1077;&#1088;&#1076;&#1103;&#1085;&#1089;&#1082;%2023,06,26-29,06,26.xlsx" TargetMode="External"/><Relationship Id="rId1" Type="http://schemas.openxmlformats.org/officeDocument/2006/relationships/externalLinkPath" Target="&#1041;&#1077;&#1088;&#1076;&#1103;&#1085;&#1089;&#1082;/&#1087;&#1088;&#1086;&#1076;&#1072;&#1078;&#1080;%20&#1041;&#1077;&#1088;&#1076;&#1103;&#1085;&#1089;&#1082;%2023,06,26-29,06,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Father\Work\2025_05\&#1056;&#1040;&#1041;&#1054;&#1063;&#1048;&#1049;%20&#1057;&#1058;&#1054;&#1051;\&#1088;&#1072;&#1089;&#1095;&#1077;&#1090;&#1099;%20&#1054;&#1089;&#1090;&#1072;&#1085;&#1082;&#1080;&#1085;&#1086;%20&#1047;&#1055;&#1060;\&#1041;&#1077;&#1088;&#1076;&#1103;&#1085;&#1089;&#1082;\&#1079;&#1072;&#1082;&#1072;&#1079;&#1072;&#1085;&#1086;-&#1086;&#1090;&#1075;&#1088;&#1091;&#1078;&#1077;&#1085;&#1086;%20&#1041;&#1077;&#1088;&#1076;&#1103;&#1085;&#1089;&#1082;%2023,06,26-29,06,26.xlsx" TargetMode="External"/><Relationship Id="rId1" Type="http://schemas.openxmlformats.org/officeDocument/2006/relationships/externalLinkPath" Target="&#1041;&#1077;&#1088;&#1076;&#1103;&#1085;&#1089;&#1082;/&#1079;&#1072;&#1082;&#1072;&#1079;&#1072;&#1085;&#1086;-&#1086;&#1090;&#1075;&#1088;&#1091;&#1078;&#1077;&#1085;&#1086;%20&#1041;&#1077;&#1088;&#1076;&#1103;&#1085;&#1089;&#1082;%2023,06,26-29,06,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23.06.2026 - 29.06.2026</v>
          </cell>
        </row>
        <row r="3">
          <cell r="A3" t="str">
            <v>Отбор:</v>
          </cell>
          <cell r="C3" t="str">
            <v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Заморозка"</v>
          </cell>
        </row>
        <row r="5">
          <cell r="A5" t="str">
            <v>Номенклатура</v>
          </cell>
          <cell r="D5" t="str">
            <v>Номенклатура.Код</v>
          </cell>
          <cell r="F5" t="str">
            <v>кол-во</v>
          </cell>
        </row>
        <row r="6">
          <cell r="F6" t="str">
            <v>Вес</v>
          </cell>
          <cell r="G6" t="str">
            <v>Количество</v>
          </cell>
        </row>
        <row r="7">
          <cell r="A7" t="str">
            <v>5754 БЛИНЧ.КРУГЛЫЕ С МЯСОМ 4,5кг зам. ПМ ОСТАНКИНО</v>
          </cell>
          <cell r="D7" t="str">
            <v>00-ko011529</v>
          </cell>
          <cell r="F7">
            <v>4.5979999999999999</v>
          </cell>
          <cell r="G7">
            <v>4.5979999999999999</v>
          </cell>
        </row>
        <row r="8">
          <cell r="A8" t="str">
            <v>5897 БЛИНЧ.КРУГЛЫЕ С ГРУШЕЙ пл.1/420 зам.   ОСТАНКИНО</v>
          </cell>
          <cell r="D8" t="str">
            <v>00-00006237</v>
          </cell>
          <cell r="F8">
            <v>2.94</v>
          </cell>
          <cell r="G8">
            <v>7</v>
          </cell>
        </row>
        <row r="9">
          <cell r="A9" t="str">
            <v>6148 БЛИНЧ.КРУГЛЫЕ С ВЕТЧ.И СЫР. ПМ 1/300 зам. ОСТАНКИНО</v>
          </cell>
          <cell r="D9" t="str">
            <v>00-ko011526</v>
          </cell>
          <cell r="F9">
            <v>11.1</v>
          </cell>
          <cell r="G9">
            <v>37</v>
          </cell>
        </row>
        <row r="10">
          <cell r="A10" t="str">
            <v>6149 БЛИНЧ.КРУГЛЫЕ С ПЕЧЕНЬЮ ПМ 1/300 зам. ОСТАНКИНО</v>
          </cell>
          <cell r="D10" t="str">
            <v>00-ko011527</v>
          </cell>
          <cell r="F10">
            <v>15.3</v>
          </cell>
          <cell r="G10">
            <v>51</v>
          </cell>
        </row>
        <row r="11">
          <cell r="A11" t="str">
            <v>6168 Блинчики с мясом пл. 1/350 зам. ОСТАНКИНО</v>
          </cell>
          <cell r="D11" t="str">
            <v>00-ko011525</v>
          </cell>
          <cell r="F11">
            <v>31.85</v>
          </cell>
          <cell r="G11">
            <v>91</v>
          </cell>
        </row>
        <row r="12">
          <cell r="A12" t="str">
            <v>6202 БЛИНЧ.КРУГЛЫЕ С ТВОРОГОМ ПМ 1/300 зам. ОСТАНКИНО</v>
          </cell>
          <cell r="D12" t="str">
            <v>00-ko011528</v>
          </cell>
          <cell r="F12">
            <v>27</v>
          </cell>
          <cell r="G12">
            <v>90</v>
          </cell>
        </row>
        <row r="13">
          <cell r="A13" t="str">
            <v>6209 Блинчики с куриным мясом пл. 1/350 зам. ОСТАНКИНО</v>
          </cell>
          <cell r="D13" t="str">
            <v>00-ko011524</v>
          </cell>
          <cell r="F13">
            <v>5.25</v>
          </cell>
          <cell r="G13">
            <v>15</v>
          </cell>
        </row>
        <row r="14">
          <cell r="A14" t="str">
            <v>6819 БЛИНЧ.КРУГЛЫЕ С САД.ЯБЛОК. пл. 1/300 зам. ОСТАНКИНО</v>
          </cell>
          <cell r="D14" t="str">
            <v>00-ko011532</v>
          </cell>
          <cell r="F14">
            <v>1.5</v>
          </cell>
          <cell r="G14">
            <v>5</v>
          </cell>
        </row>
        <row r="15">
          <cell r="A15" t="str">
            <v>Итого</v>
          </cell>
          <cell r="F15">
            <v>99.537999999999997</v>
          </cell>
          <cell r="G15">
            <v>300.59800000000001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23.06.2026 - 29.06.2026</v>
          </cell>
        </row>
        <row r="4">
          <cell r="A4" t="str">
            <v>Документ.Склад</v>
          </cell>
          <cell r="E4" t="str">
            <v>по заказам</v>
          </cell>
        </row>
        <row r="5">
          <cell r="A5" t="str">
            <v>Номенклатура</v>
          </cell>
          <cell r="E5" t="str">
            <v>Заказано</v>
          </cell>
        </row>
        <row r="6">
          <cell r="A6" t="str">
            <v>АСП Бердянск Заморозка</v>
          </cell>
          <cell r="E6">
            <v>12693.2</v>
          </cell>
        </row>
        <row r="7">
          <cell r="A7" t="str">
            <v>Останкино ООО</v>
          </cell>
          <cell r="E7">
            <v>404.5</v>
          </cell>
        </row>
        <row r="8">
          <cell r="A8" t="str">
            <v>Останкино (соусы, майонезы)</v>
          </cell>
          <cell r="E8">
            <v>2</v>
          </cell>
        </row>
        <row r="9">
          <cell r="A9" t="str">
            <v>6948270 Майонез провансаль классич.Папа может 372гр с массовой долей жирн. 67% Останкино</v>
          </cell>
          <cell r="E9">
            <v>2</v>
          </cell>
        </row>
        <row r="10">
          <cell r="A10" t="str">
            <v>Останкино Заморозка</v>
          </cell>
          <cell r="E10">
            <v>402.5</v>
          </cell>
        </row>
        <row r="11">
          <cell r="A11" t="str">
            <v>5754 БЛИНЧ.КРУГЛЫЕ С МЯСОМ 4,5кг зам. ПМ ОСТАНКИНО</v>
          </cell>
          <cell r="E11">
            <v>5.5</v>
          </cell>
        </row>
        <row r="12">
          <cell r="A12" t="str">
            <v>5755 БЛИНЧ.КРУГЛЫЕ С ТВОРОГОМ 4,5кг зам. ПМ ОСТАНКИНО</v>
          </cell>
          <cell r="E12">
            <v>5</v>
          </cell>
        </row>
        <row r="13">
          <cell r="A13" t="str">
            <v>5897 БЛИНЧ.КРУГЛЫЕ С ГРУШЕЙ пл.1/420 зам.   ОСТАНКИНО</v>
          </cell>
          <cell r="E13">
            <v>9</v>
          </cell>
        </row>
        <row r="14">
          <cell r="A14" t="str">
            <v>6148 БЛИНЧ.КРУГЛЫЕ С ВЕТЧ.И СЫР. ПМ 1/300 зам. ОСТАНКИНО</v>
          </cell>
          <cell r="E14">
            <v>43</v>
          </cell>
        </row>
        <row r="15">
          <cell r="A15" t="str">
            <v>6149 БЛИНЧ.КРУГЛЫЕ С ПЕЧЕНЬЮ ПМ 1/300 зам. ОСТАНКИНО</v>
          </cell>
          <cell r="E15">
            <v>51</v>
          </cell>
        </row>
        <row r="16">
          <cell r="A16" t="str">
            <v>6168 Блинчики с мясом пл. 1/350 зам. ОСТАНКИНО</v>
          </cell>
          <cell r="E16">
            <v>98</v>
          </cell>
        </row>
        <row r="17">
          <cell r="A17" t="str">
            <v>6202 БЛИНЧ.КРУГЛЫЕ С ТВОРОГОМ ПМ 1/300 зам. ОСТАНКИНО</v>
          </cell>
          <cell r="E17">
            <v>94</v>
          </cell>
        </row>
        <row r="18">
          <cell r="A18" t="str">
            <v>6209 Блинчики с куриным мясом пл. 1/350 зам. ОСТАНКИНО</v>
          </cell>
          <cell r="E18">
            <v>81</v>
          </cell>
        </row>
        <row r="19">
          <cell r="A19" t="str">
            <v>6819 БЛИНЧ.КРУГЛЫЕ С САД.ЯБЛОК. пл. 1/300 зам. ОСТАНКИНО</v>
          </cell>
          <cell r="E19">
            <v>6</v>
          </cell>
        </row>
        <row r="20">
          <cell r="A20" t="str">
            <v>7216 СОЧНЫЕ СО СЛ.МАСЛ.ПМ пельм пл.0.7кг зам. ОСТАНКИНО</v>
          </cell>
          <cell r="E20">
            <v>10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01"/>
  <sheetViews>
    <sheetView tabSelected="1" zoomScale="85" zoomScaleNormal="85" workbookViewId="0">
      <pane xSplit="2" ySplit="5" topLeftCell="C6" activePane="bottomRight" state="frozen"/>
      <selection pane="topRight"/>
      <selection pane="bottomLeft"/>
      <selection pane="bottomRight" activeCell="T24" sqref="T24"/>
    </sheetView>
  </sheetViews>
  <sheetFormatPr defaultColWidth="9" defaultRowHeight="15"/>
  <cols>
    <col min="1" max="1" width="60" style="6" customWidth="1"/>
    <col min="2" max="2" width="3" style="6" customWidth="1"/>
    <col min="3" max="4" width="6" style="6" customWidth="1"/>
    <col min="5" max="6" width="7" style="6" customWidth="1"/>
    <col min="7" max="7" width="5" style="9" customWidth="1"/>
    <col min="8" max="8" width="5" style="6" customWidth="1"/>
    <col min="9" max="9" width="8.42578125" style="6" customWidth="1"/>
    <col min="10" max="10" width="1" style="6" customWidth="1"/>
    <col min="11" max="12" width="7" style="6" customWidth="1"/>
    <col min="13" max="14" width="0.42578125" style="6" customWidth="1"/>
    <col min="15" max="15" width="7.140625" style="6" customWidth="1"/>
    <col min="16" max="18" width="7" style="6" customWidth="1"/>
    <col min="19" max="19" width="21" style="6" customWidth="1"/>
    <col min="20" max="21" width="5" style="6" customWidth="1"/>
    <col min="22" max="22" width="6" style="6" customWidth="1"/>
    <col min="23" max="23" width="28.7109375" style="6" customWidth="1"/>
    <col min="24" max="24" width="7" style="6" customWidth="1"/>
    <col min="25" max="40" width="3" style="6" customWidth="1"/>
    <col min="41" max="16384" width="9" style="6"/>
  </cols>
  <sheetData>
    <row r="1" spans="1:40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4" t="s">
        <v>16</v>
      </c>
      <c r="R3" s="5" t="s">
        <v>17</v>
      </c>
      <c r="S3" s="5" t="s">
        <v>18</v>
      </c>
      <c r="T3" s="2" t="s">
        <v>19</v>
      </c>
      <c r="U3" s="2" t="s">
        <v>20</v>
      </c>
      <c r="V3" s="2" t="s">
        <v>21</v>
      </c>
      <c r="W3" s="2" t="s">
        <v>22</v>
      </c>
      <c r="X3" s="2" t="s">
        <v>23</v>
      </c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0" t="s">
        <v>38</v>
      </c>
      <c r="P4" s="10" t="s">
        <v>38</v>
      </c>
      <c r="Q4" s="1"/>
      <c r="R4" s="1"/>
      <c r="S4" s="1"/>
      <c r="T4" s="1"/>
      <c r="U4" s="1"/>
      <c r="V4" s="10" t="s">
        <v>37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>
      <c r="A5" s="1"/>
      <c r="B5" s="1"/>
      <c r="C5" s="1"/>
      <c r="D5" s="1"/>
      <c r="E5" s="3">
        <f>SUM(E6:E401)</f>
        <v>300.59800000000001</v>
      </c>
      <c r="F5" s="3">
        <f>SUM(F6:F401)</f>
        <v>861.49800000000005</v>
      </c>
      <c r="G5" s="7"/>
      <c r="H5" s="1"/>
      <c r="I5" s="1"/>
      <c r="J5" s="1"/>
      <c r="K5" s="3">
        <f t="shared" ref="K5:R5" si="0">SUM(K6:K401)</f>
        <v>402.5</v>
      </c>
      <c r="L5" s="3">
        <f t="shared" si="0"/>
        <v>-101.902</v>
      </c>
      <c r="M5" s="3">
        <f t="shared" si="0"/>
        <v>0</v>
      </c>
      <c r="N5" s="3">
        <f t="shared" si="0"/>
        <v>0</v>
      </c>
      <c r="O5" s="3">
        <f t="shared" si="0"/>
        <v>1100</v>
      </c>
      <c r="P5" s="3">
        <f t="shared" si="0"/>
        <v>60.119599999999998</v>
      </c>
      <c r="Q5" s="3">
        <f t="shared" si="0"/>
        <v>378</v>
      </c>
      <c r="R5" s="3">
        <f t="shared" si="0"/>
        <v>0</v>
      </c>
      <c r="S5" s="1"/>
      <c r="T5" s="1"/>
      <c r="U5" s="1"/>
      <c r="V5" s="3">
        <f>SUM(V6:V401)</f>
        <v>0</v>
      </c>
      <c r="W5" s="1"/>
      <c r="X5" s="3">
        <f>SUM(X6:X401)</f>
        <v>121.35</v>
      </c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>
      <c r="A6" s="1" t="s">
        <v>25</v>
      </c>
      <c r="B6" s="1" t="s">
        <v>24</v>
      </c>
      <c r="C6" s="1">
        <v>224</v>
      </c>
      <c r="D6" s="1">
        <v>1</v>
      </c>
      <c r="E6" s="1"/>
      <c r="F6" s="6">
        <v>224</v>
      </c>
      <c r="G6" s="7">
        <v>0.42</v>
      </c>
      <c r="H6" s="1"/>
      <c r="I6" s="1"/>
      <c r="J6" s="1"/>
      <c r="K6" s="1"/>
      <c r="L6" s="1">
        <f>E6-K6</f>
        <v>0</v>
      </c>
      <c r="M6" s="1"/>
      <c r="N6" s="1"/>
      <c r="O6" s="1"/>
      <c r="P6" s="6">
        <f>E6/5</f>
        <v>0</v>
      </c>
      <c r="Q6" s="11"/>
      <c r="R6" s="12"/>
      <c r="S6" s="1"/>
      <c r="T6" s="1" t="e">
        <f>(F6+O6+Q6)/P6</f>
        <v>#DIV/0!</v>
      </c>
      <c r="U6" s="1" t="e">
        <f>(F6+O6)/P6</f>
        <v>#DIV/0!</v>
      </c>
      <c r="V6" s="1">
        <v>0</v>
      </c>
      <c r="W6" s="13" t="s">
        <v>39</v>
      </c>
      <c r="X6" s="1">
        <f>Q6*G6</f>
        <v>0</v>
      </c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:40">
      <c r="A7" s="1" t="s">
        <v>26</v>
      </c>
      <c r="B7" s="1" t="s">
        <v>27</v>
      </c>
      <c r="C7" s="1">
        <v>104.54</v>
      </c>
      <c r="D7" s="1"/>
      <c r="E7" s="1">
        <f>VLOOKUP(A7,[1]TDSheet!$A:$G,7,0)</f>
        <v>4.5979999999999999</v>
      </c>
      <c r="F7" s="6">
        <v>90.762</v>
      </c>
      <c r="G7" s="7">
        <v>1</v>
      </c>
      <c r="H7" s="1"/>
      <c r="I7" s="1"/>
      <c r="J7" s="1"/>
      <c r="K7" s="1">
        <f>VLOOKUP(A7,[2]TDSheet!$A:$E,5,0)</f>
        <v>5.5</v>
      </c>
      <c r="L7" s="1">
        <f t="shared" ref="L7:L16" si="1">E7-K7</f>
        <v>-0.90200000000000014</v>
      </c>
      <c r="M7" s="1"/>
      <c r="N7" s="1"/>
      <c r="O7" s="1">
        <v>100</v>
      </c>
      <c r="P7" s="6">
        <f t="shared" ref="P7:P16" si="2">E7/5</f>
        <v>0.91959999999999997</v>
      </c>
      <c r="Q7" s="11"/>
      <c r="R7" s="12"/>
      <c r="S7" s="1"/>
      <c r="T7" s="1">
        <f t="shared" ref="T7:T16" si="3">(F7+O7+Q7)/P7</f>
        <v>207.44019138755982</v>
      </c>
      <c r="U7" s="1">
        <f t="shared" ref="U7:U16" si="4">(F7+O7)/P7</f>
        <v>207.44019138755982</v>
      </c>
      <c r="V7" s="1">
        <v>0</v>
      </c>
      <c r="W7" s="13" t="s">
        <v>39</v>
      </c>
      <c r="X7" s="1">
        <f t="shared" ref="X7:X16" si="5">Q7*G7</f>
        <v>0</v>
      </c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1:40">
      <c r="A8" s="1" t="s">
        <v>28</v>
      </c>
      <c r="B8" s="1" t="s">
        <v>27</v>
      </c>
      <c r="C8" s="1">
        <v>266.32600000000002</v>
      </c>
      <c r="D8" s="1"/>
      <c r="E8" s="1"/>
      <c r="F8" s="6">
        <v>261.73599999999999</v>
      </c>
      <c r="G8" s="7">
        <v>1</v>
      </c>
      <c r="H8" s="1"/>
      <c r="I8" s="1"/>
      <c r="J8" s="1"/>
      <c r="K8" s="1">
        <f>VLOOKUP(A8,[2]TDSheet!$A:$E,5,0)</f>
        <v>5</v>
      </c>
      <c r="L8" s="1">
        <f t="shared" si="1"/>
        <v>-5</v>
      </c>
      <c r="M8" s="1"/>
      <c r="N8" s="1"/>
      <c r="O8" s="1">
        <v>100</v>
      </c>
      <c r="P8" s="6">
        <f t="shared" si="2"/>
        <v>0</v>
      </c>
      <c r="Q8" s="11"/>
      <c r="R8" s="12"/>
      <c r="S8" s="1"/>
      <c r="T8" s="1" t="e">
        <f t="shared" si="3"/>
        <v>#DIV/0!</v>
      </c>
      <c r="U8" s="1" t="e">
        <f t="shared" si="4"/>
        <v>#DIV/0!</v>
      </c>
      <c r="V8" s="1">
        <v>0</v>
      </c>
      <c r="W8" s="13" t="s">
        <v>39</v>
      </c>
      <c r="X8" s="1">
        <f t="shared" si="5"/>
        <v>0</v>
      </c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>
      <c r="A9" s="1" t="s">
        <v>29</v>
      </c>
      <c r="B9" s="1" t="s">
        <v>24</v>
      </c>
      <c r="C9" s="1">
        <v>146</v>
      </c>
      <c r="D9" s="1"/>
      <c r="E9" s="1">
        <f>VLOOKUP(A9,[1]TDSheet!$A:$G,7,0)</f>
        <v>7</v>
      </c>
      <c r="F9" s="6">
        <v>131</v>
      </c>
      <c r="G9" s="7">
        <v>0.42</v>
      </c>
      <c r="H9" s="1"/>
      <c r="I9" s="1"/>
      <c r="J9" s="1"/>
      <c r="K9" s="1">
        <f>VLOOKUP(A9,[2]TDSheet!$A:$E,5,0)</f>
        <v>9</v>
      </c>
      <c r="L9" s="1">
        <f t="shared" si="1"/>
        <v>-2</v>
      </c>
      <c r="M9" s="1"/>
      <c r="N9" s="1"/>
      <c r="O9" s="1"/>
      <c r="P9" s="6">
        <f t="shared" si="2"/>
        <v>1.4</v>
      </c>
      <c r="Q9" s="11"/>
      <c r="R9" s="12"/>
      <c r="S9" s="1"/>
      <c r="T9" s="1">
        <f t="shared" si="3"/>
        <v>93.571428571428584</v>
      </c>
      <c r="U9" s="1">
        <f t="shared" si="4"/>
        <v>93.571428571428584</v>
      </c>
      <c r="V9" s="1">
        <v>0</v>
      </c>
      <c r="W9" s="13" t="s">
        <v>39</v>
      </c>
      <c r="X9" s="1">
        <f t="shared" si="5"/>
        <v>0</v>
      </c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>
      <c r="A10" s="1" t="s">
        <v>30</v>
      </c>
      <c r="B10" s="1" t="s">
        <v>24</v>
      </c>
      <c r="C10" s="1">
        <v>26</v>
      </c>
      <c r="D10" s="1">
        <v>1</v>
      </c>
      <c r="E10" s="1">
        <f>VLOOKUP(A10,[1]TDSheet!$A:$G,7,0)</f>
        <v>37</v>
      </c>
      <c r="F10" s="6">
        <v>-11</v>
      </c>
      <c r="G10" s="7">
        <v>0.3</v>
      </c>
      <c r="H10" s="1"/>
      <c r="I10" s="1"/>
      <c r="J10" s="1"/>
      <c r="K10" s="1">
        <f>VLOOKUP(A10,[2]TDSheet!$A:$E,5,0)</f>
        <v>43</v>
      </c>
      <c r="L10" s="1">
        <f t="shared" si="1"/>
        <v>-6</v>
      </c>
      <c r="M10" s="1"/>
      <c r="N10" s="1"/>
      <c r="O10" s="1">
        <v>100</v>
      </c>
      <c r="P10" s="6">
        <f t="shared" si="2"/>
        <v>7.4</v>
      </c>
      <c r="Q10" s="11">
        <f t="shared" ref="Q10:Q13" si="6">15*P10-O10-F10</f>
        <v>22</v>
      </c>
      <c r="R10" s="12"/>
      <c r="S10" s="1"/>
      <c r="T10" s="1">
        <f t="shared" si="3"/>
        <v>15</v>
      </c>
      <c r="U10" s="1">
        <f t="shared" si="4"/>
        <v>12.027027027027026</v>
      </c>
      <c r="V10" s="1">
        <v>0</v>
      </c>
      <c r="W10" s="1"/>
      <c r="X10" s="1">
        <f t="shared" si="5"/>
        <v>6.6</v>
      </c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>
      <c r="A11" s="1" t="s">
        <v>31</v>
      </c>
      <c r="B11" s="1" t="s">
        <v>24</v>
      </c>
      <c r="C11" s="1">
        <v>56</v>
      </c>
      <c r="D11" s="1"/>
      <c r="E11" s="1">
        <f>VLOOKUP(A11,[1]TDSheet!$A:$G,7,0)</f>
        <v>51</v>
      </c>
      <c r="F11" s="6">
        <v>5</v>
      </c>
      <c r="G11" s="7">
        <v>0.3</v>
      </c>
      <c r="H11" s="1"/>
      <c r="I11" s="1"/>
      <c r="J11" s="1"/>
      <c r="K11" s="1">
        <f>VLOOKUP(A11,[2]TDSheet!$A:$E,5,0)</f>
        <v>51</v>
      </c>
      <c r="L11" s="1">
        <f t="shared" si="1"/>
        <v>0</v>
      </c>
      <c r="M11" s="1"/>
      <c r="N11" s="1"/>
      <c r="O11" s="1">
        <v>100</v>
      </c>
      <c r="P11" s="6">
        <f t="shared" si="2"/>
        <v>10.199999999999999</v>
      </c>
      <c r="Q11" s="11">
        <f t="shared" si="6"/>
        <v>48</v>
      </c>
      <c r="R11" s="12"/>
      <c r="S11" s="1"/>
      <c r="T11" s="1">
        <f t="shared" si="3"/>
        <v>15.000000000000002</v>
      </c>
      <c r="U11" s="1">
        <f t="shared" si="4"/>
        <v>10.294117647058824</v>
      </c>
      <c r="V11" s="1">
        <v>0</v>
      </c>
      <c r="W11" s="1"/>
      <c r="X11" s="1">
        <f t="shared" si="5"/>
        <v>14.399999999999999</v>
      </c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>
      <c r="A12" s="1" t="s">
        <v>32</v>
      </c>
      <c r="B12" s="1" t="s">
        <v>24</v>
      </c>
      <c r="C12" s="1">
        <v>106</v>
      </c>
      <c r="D12" s="1"/>
      <c r="E12" s="1">
        <f>VLOOKUP(A12,[1]TDSheet!$A:$G,7,0)</f>
        <v>91</v>
      </c>
      <c r="F12" s="6">
        <v>14</v>
      </c>
      <c r="G12" s="7">
        <v>0.35</v>
      </c>
      <c r="H12" s="1"/>
      <c r="I12" s="1"/>
      <c r="J12" s="1"/>
      <c r="K12" s="1">
        <f>VLOOKUP(A12,[2]TDSheet!$A:$E,5,0)</f>
        <v>98</v>
      </c>
      <c r="L12" s="1">
        <f t="shared" si="1"/>
        <v>-7</v>
      </c>
      <c r="M12" s="1"/>
      <c r="N12" s="1"/>
      <c r="O12" s="1">
        <v>100</v>
      </c>
      <c r="P12" s="6">
        <f t="shared" si="2"/>
        <v>18.2</v>
      </c>
      <c r="Q12" s="11">
        <f t="shared" si="6"/>
        <v>159</v>
      </c>
      <c r="R12" s="12"/>
      <c r="S12" s="1"/>
      <c r="T12" s="1">
        <f t="shared" si="3"/>
        <v>15</v>
      </c>
      <c r="U12" s="1">
        <f t="shared" si="4"/>
        <v>6.2637362637362637</v>
      </c>
      <c r="V12" s="1">
        <v>0</v>
      </c>
      <c r="W12" s="1"/>
      <c r="X12" s="1">
        <f t="shared" si="5"/>
        <v>55.65</v>
      </c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pans="1:40">
      <c r="A13" s="1" t="s">
        <v>33</v>
      </c>
      <c r="B13" s="1" t="s">
        <v>24</v>
      </c>
      <c r="C13" s="1">
        <v>124</v>
      </c>
      <c r="D13" s="1"/>
      <c r="E13" s="1">
        <f>VLOOKUP(A13,[1]TDSheet!$A:$G,7,0)</f>
        <v>90</v>
      </c>
      <c r="F13" s="6">
        <v>21</v>
      </c>
      <c r="G13" s="7">
        <v>0.3</v>
      </c>
      <c r="H13" s="1"/>
      <c r="I13" s="1"/>
      <c r="J13" s="1"/>
      <c r="K13" s="1">
        <f>VLOOKUP(A13,[2]TDSheet!$A:$E,5,0)</f>
        <v>94</v>
      </c>
      <c r="L13" s="1">
        <f t="shared" si="1"/>
        <v>-4</v>
      </c>
      <c r="M13" s="1"/>
      <c r="N13" s="1"/>
      <c r="O13" s="1">
        <v>100</v>
      </c>
      <c r="P13" s="6">
        <f t="shared" si="2"/>
        <v>18</v>
      </c>
      <c r="Q13" s="11">
        <f t="shared" si="6"/>
        <v>149</v>
      </c>
      <c r="R13" s="12"/>
      <c r="S13" s="1"/>
      <c r="T13" s="1">
        <f t="shared" si="3"/>
        <v>15</v>
      </c>
      <c r="U13" s="1">
        <f t="shared" si="4"/>
        <v>6.7222222222222223</v>
      </c>
      <c r="V13" s="1">
        <v>0</v>
      </c>
      <c r="W13" s="1"/>
      <c r="X13" s="1">
        <f t="shared" si="5"/>
        <v>44.699999999999996</v>
      </c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0">
      <c r="A14" s="1" t="s">
        <v>34</v>
      </c>
      <c r="B14" s="1" t="s">
        <v>24</v>
      </c>
      <c r="C14" s="1">
        <v>6</v>
      </c>
      <c r="D14" s="1"/>
      <c r="E14" s="1">
        <f>VLOOKUP(A14,[1]TDSheet!$A:$G,7,0)</f>
        <v>15</v>
      </c>
      <c r="F14" s="6">
        <v>-9</v>
      </c>
      <c r="G14" s="7">
        <v>0.35</v>
      </c>
      <c r="H14" s="1"/>
      <c r="I14" s="1"/>
      <c r="J14" s="1"/>
      <c r="K14" s="1">
        <f>VLOOKUP(A14,[2]TDSheet!$A:$E,5,0)</f>
        <v>81</v>
      </c>
      <c r="L14" s="1">
        <f t="shared" si="1"/>
        <v>-66</v>
      </c>
      <c r="M14" s="1"/>
      <c r="N14" s="1"/>
      <c r="O14" s="1">
        <v>100</v>
      </c>
      <c r="P14" s="6">
        <f t="shared" si="2"/>
        <v>3</v>
      </c>
      <c r="Q14" s="11"/>
      <c r="R14" s="12"/>
      <c r="S14" s="1"/>
      <c r="T14" s="1">
        <f t="shared" si="3"/>
        <v>30.333333333333332</v>
      </c>
      <c r="U14" s="1">
        <f t="shared" si="4"/>
        <v>30.333333333333332</v>
      </c>
      <c r="V14" s="1">
        <v>0</v>
      </c>
      <c r="W14" s="1"/>
      <c r="X14" s="1">
        <f t="shared" si="5"/>
        <v>0</v>
      </c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1:40">
      <c r="A15" s="1" t="s">
        <v>35</v>
      </c>
      <c r="B15" s="1" t="s">
        <v>24</v>
      </c>
      <c r="C15" s="1">
        <v>129</v>
      </c>
      <c r="D15" s="1"/>
      <c r="E15" s="1">
        <f>VLOOKUP(A15,[1]TDSheet!$A:$G,7,0)</f>
        <v>5</v>
      </c>
      <c r="F15" s="6">
        <v>117</v>
      </c>
      <c r="G15" s="7">
        <v>0.3</v>
      </c>
      <c r="H15" s="1"/>
      <c r="I15" s="1"/>
      <c r="J15" s="1"/>
      <c r="K15" s="1">
        <f>VLOOKUP(A15,[2]TDSheet!$A:$E,5,0)</f>
        <v>6</v>
      </c>
      <c r="L15" s="1">
        <f t="shared" si="1"/>
        <v>-1</v>
      </c>
      <c r="M15" s="1"/>
      <c r="N15" s="1"/>
      <c r="O15" s="1"/>
      <c r="P15" s="6">
        <f t="shared" si="2"/>
        <v>1</v>
      </c>
      <c r="Q15" s="11"/>
      <c r="R15" s="12"/>
      <c r="S15" s="1"/>
      <c r="T15" s="1">
        <f t="shared" si="3"/>
        <v>117</v>
      </c>
      <c r="U15" s="1">
        <f t="shared" si="4"/>
        <v>117</v>
      </c>
      <c r="V15" s="1">
        <v>0</v>
      </c>
      <c r="W15" s="13" t="s">
        <v>39</v>
      </c>
      <c r="X15" s="1">
        <f t="shared" si="5"/>
        <v>0</v>
      </c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1:40">
      <c r="A16" s="1" t="s">
        <v>36</v>
      </c>
      <c r="B16" s="1" t="s">
        <v>24</v>
      </c>
      <c r="C16" s="1">
        <v>17</v>
      </c>
      <c r="E16" s="1"/>
      <c r="F16" s="6">
        <v>17</v>
      </c>
      <c r="G16" s="7">
        <v>0.7</v>
      </c>
      <c r="H16" s="1"/>
      <c r="I16" s="1"/>
      <c r="J16" s="1"/>
      <c r="K16" s="1">
        <f>VLOOKUP(A16,[2]TDSheet!$A:$E,5,0)</f>
        <v>10</v>
      </c>
      <c r="L16" s="1">
        <f t="shared" si="1"/>
        <v>-10</v>
      </c>
      <c r="M16" s="1"/>
      <c r="N16" s="1"/>
      <c r="O16" s="1">
        <v>400</v>
      </c>
      <c r="P16" s="6">
        <f t="shared" si="2"/>
        <v>0</v>
      </c>
      <c r="Q16" s="11"/>
      <c r="R16" s="12"/>
      <c r="S16" s="1"/>
      <c r="T16" s="1" t="e">
        <f t="shared" si="3"/>
        <v>#DIV/0!</v>
      </c>
      <c r="U16" s="1" t="e">
        <f t="shared" si="4"/>
        <v>#DIV/0!</v>
      </c>
      <c r="V16" s="1">
        <v>0</v>
      </c>
      <c r="W16" s="13" t="s">
        <v>39</v>
      </c>
      <c r="X16" s="1">
        <f t="shared" si="5"/>
        <v>0</v>
      </c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pans="1:40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40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0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:40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spans="1:40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spans="1:40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spans="1:40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 spans="1:40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 spans="1:40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spans="1:40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spans="1:40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spans="1:40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spans="1:40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spans="1:40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spans="1:40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spans="1:40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pans="1:40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spans="1:40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spans="1:40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0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spans="1:40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spans="1:40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 spans="1:40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</row>
    <row r="51" spans="1:40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 spans="1:40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</row>
    <row r="53" spans="1:40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</row>
    <row r="54" spans="1:40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 spans="1:40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</row>
    <row r="56" spans="1:40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</row>
    <row r="57" spans="1:40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 spans="1:40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 spans="1:40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 spans="1:40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 spans="1:40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 spans="1:40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 spans="1:40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 spans="1:40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 spans="1:40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 spans="1:40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 spans="1:40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 spans="1:40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 spans="1:40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 spans="1:40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 spans="1:40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 spans="1:40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 spans="1:40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 spans="1:40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 spans="1:40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 spans="1:40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 spans="1:40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 spans="1:40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 spans="1:40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 spans="1:40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 spans="1:40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 spans="1:40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 spans="1:40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 spans="1:40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 spans="1:40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 spans="1:40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 spans="1:40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 spans="1:40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 spans="1:40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 spans="1:40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 spans="1:40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 spans="1:40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 spans="1:40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  <row r="95" spans="1:40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 spans="1:40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  <row r="97" spans="1:40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</row>
    <row r="98" spans="1:40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</row>
    <row r="99" spans="1:40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</row>
    <row r="100" spans="1:40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</row>
    <row r="101" spans="1:40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</row>
    <row r="102" spans="1:40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</row>
    <row r="103" spans="1:40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</row>
    <row r="104" spans="1:40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</row>
    <row r="105" spans="1:40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</row>
    <row r="106" spans="1:40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</row>
    <row r="107" spans="1:40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</row>
    <row r="108" spans="1:40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</row>
    <row r="109" spans="1:40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</row>
    <row r="110" spans="1:40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</row>
    <row r="111" spans="1:40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</row>
    <row r="112" spans="1:40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</row>
    <row r="113" spans="1:40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</row>
    <row r="114" spans="1:40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</row>
    <row r="115" spans="1:40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</row>
    <row r="116" spans="1:40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</row>
    <row r="117" spans="1:40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</row>
    <row r="118" spans="1:40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</row>
    <row r="119" spans="1:40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</row>
    <row r="120" spans="1:40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</row>
    <row r="121" spans="1:40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</row>
    <row r="122" spans="1:40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</row>
    <row r="123" spans="1:40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</row>
    <row r="124" spans="1:40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</row>
    <row r="125" spans="1:40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</row>
    <row r="126" spans="1:40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</row>
    <row r="127" spans="1:40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</row>
    <row r="128" spans="1:40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</row>
    <row r="129" spans="1:40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</row>
    <row r="130" spans="1:40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</row>
    <row r="131" spans="1:40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</row>
    <row r="132" spans="1:40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</row>
    <row r="133" spans="1:40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</row>
    <row r="134" spans="1:40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</row>
    <row r="135" spans="1:40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</row>
    <row r="136" spans="1:40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</row>
    <row r="137" spans="1:40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</row>
    <row r="138" spans="1:40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</row>
    <row r="139" spans="1:40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</row>
    <row r="140" spans="1:40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</row>
    <row r="141" spans="1:40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</row>
    <row r="142" spans="1:40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</row>
    <row r="143" spans="1:40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</row>
    <row r="144" spans="1:40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</row>
    <row r="145" spans="1:40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</row>
    <row r="146" spans="1:40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</row>
    <row r="147" spans="1:40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</row>
    <row r="148" spans="1:40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</row>
    <row r="149" spans="1:40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</row>
    <row r="150" spans="1:40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</row>
    <row r="151" spans="1:40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</row>
    <row r="152" spans="1:40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</row>
    <row r="153" spans="1:40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</row>
    <row r="154" spans="1:40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</row>
    <row r="155" spans="1:40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</row>
    <row r="156" spans="1:40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</row>
    <row r="157" spans="1:40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</row>
    <row r="158" spans="1:40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</row>
    <row r="159" spans="1:40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</row>
    <row r="160" spans="1:40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</row>
    <row r="161" spans="1:40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</row>
    <row r="162" spans="1:40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</row>
    <row r="163" spans="1:40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</row>
    <row r="164" spans="1:40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</row>
    <row r="165" spans="1:40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</row>
    <row r="166" spans="1:40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</row>
    <row r="167" spans="1:40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</row>
    <row r="168" spans="1:40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</row>
    <row r="169" spans="1:40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</row>
    <row r="170" spans="1:40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</row>
    <row r="171" spans="1:40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</row>
    <row r="172" spans="1:40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</row>
    <row r="173" spans="1:40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</row>
    <row r="174" spans="1:40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</row>
    <row r="175" spans="1:40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</row>
    <row r="176" spans="1:40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</row>
    <row r="177" spans="1:40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</row>
    <row r="178" spans="1:40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</row>
    <row r="179" spans="1:40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</row>
    <row r="180" spans="1:40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</row>
    <row r="181" spans="1:40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</row>
    <row r="182" spans="1:40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</row>
    <row r="183" spans="1:40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</row>
    <row r="184" spans="1:40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</row>
    <row r="185" spans="1:40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</row>
    <row r="186" spans="1:40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</row>
    <row r="187" spans="1:40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</row>
    <row r="188" spans="1:40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</row>
    <row r="189" spans="1:40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</row>
    <row r="190" spans="1:40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</row>
    <row r="191" spans="1:40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</row>
    <row r="192" spans="1:40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</row>
    <row r="193" spans="1:40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</row>
    <row r="194" spans="1:40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</row>
    <row r="195" spans="1:40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</row>
    <row r="196" spans="1:40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</row>
    <row r="197" spans="1:40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</row>
    <row r="198" spans="1:40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</row>
    <row r="199" spans="1:40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</row>
    <row r="200" spans="1:40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</row>
    <row r="201" spans="1:40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</row>
    <row r="202" spans="1:40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</row>
    <row r="203" spans="1:40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</row>
    <row r="204" spans="1:40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</row>
    <row r="205" spans="1:40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</row>
    <row r="206" spans="1:40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</row>
    <row r="207" spans="1:40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</row>
    <row r="208" spans="1:40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</row>
    <row r="209" spans="1:40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</row>
    <row r="210" spans="1:40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</row>
    <row r="211" spans="1:40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</row>
    <row r="212" spans="1:40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</row>
    <row r="213" spans="1:40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</row>
    <row r="214" spans="1:40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</row>
    <row r="215" spans="1:40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</row>
    <row r="216" spans="1:40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</row>
    <row r="217" spans="1:40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</row>
    <row r="218" spans="1:40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</row>
    <row r="219" spans="1:40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</row>
    <row r="220" spans="1:40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</row>
    <row r="221" spans="1:40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</row>
    <row r="222" spans="1:40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</row>
    <row r="223" spans="1:40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</row>
    <row r="224" spans="1:40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</row>
    <row r="225" spans="1:40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</row>
    <row r="226" spans="1:40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</row>
    <row r="227" spans="1:40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</row>
    <row r="228" spans="1:40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</row>
    <row r="229" spans="1:40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</row>
    <row r="230" spans="1:40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</row>
    <row r="231" spans="1:40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</row>
    <row r="232" spans="1:40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</row>
    <row r="233" spans="1:40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</row>
    <row r="234" spans="1:40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</row>
    <row r="235" spans="1:40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</row>
    <row r="236" spans="1:40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</row>
    <row r="237" spans="1:40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</row>
    <row r="238" spans="1:40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</row>
    <row r="239" spans="1:40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</row>
    <row r="240" spans="1:40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</row>
    <row r="241" spans="1:40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</row>
    <row r="242" spans="1:40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</row>
    <row r="243" spans="1:40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</row>
    <row r="244" spans="1:40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</row>
    <row r="245" spans="1:40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</row>
    <row r="246" spans="1:40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</row>
    <row r="247" spans="1:40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</row>
    <row r="248" spans="1:40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</row>
    <row r="249" spans="1:40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</row>
    <row r="250" spans="1:40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</row>
    <row r="251" spans="1:40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</row>
    <row r="252" spans="1:40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</row>
    <row r="253" spans="1:40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</row>
    <row r="254" spans="1:40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</row>
    <row r="255" spans="1:40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</row>
    <row r="256" spans="1:40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</row>
    <row r="257" spans="1:40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</row>
    <row r="258" spans="1:40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</row>
    <row r="259" spans="1:40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</row>
    <row r="260" spans="1:40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</row>
    <row r="261" spans="1:40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</row>
    <row r="262" spans="1:40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</row>
    <row r="263" spans="1:40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</row>
    <row r="264" spans="1:40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</row>
    <row r="265" spans="1:40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</row>
    <row r="266" spans="1:40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</row>
    <row r="267" spans="1:40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</row>
    <row r="268" spans="1:40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</row>
    <row r="269" spans="1:40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</row>
    <row r="270" spans="1:40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</row>
    <row r="271" spans="1:40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</row>
    <row r="272" spans="1:40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</row>
    <row r="273" spans="1:40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</row>
    <row r="274" spans="1:40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</row>
    <row r="275" spans="1:40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</row>
    <row r="276" spans="1:40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</row>
    <row r="277" spans="1:40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</row>
    <row r="278" spans="1:40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</row>
    <row r="279" spans="1:40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</row>
    <row r="280" spans="1:40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</row>
    <row r="281" spans="1:40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</row>
    <row r="282" spans="1:40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</row>
    <row r="283" spans="1:40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</row>
    <row r="284" spans="1:40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</row>
    <row r="285" spans="1:40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</row>
    <row r="286" spans="1:40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</row>
    <row r="287" spans="1:40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</row>
    <row r="288" spans="1:40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</row>
    <row r="289" spans="1:40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</row>
    <row r="290" spans="1:40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</row>
    <row r="291" spans="1:40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</row>
    <row r="292" spans="1:40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</row>
    <row r="293" spans="1:40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</row>
    <row r="294" spans="1:40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</row>
    <row r="295" spans="1:40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</row>
    <row r="296" spans="1:40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</row>
    <row r="297" spans="1:40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</row>
    <row r="298" spans="1:40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</row>
    <row r="299" spans="1:40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</row>
    <row r="300" spans="1:40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</row>
    <row r="301" spans="1:40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</row>
    <row r="302" spans="1:40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</row>
    <row r="303" spans="1:40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</row>
    <row r="304" spans="1:40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</row>
    <row r="305" spans="1:40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</row>
    <row r="306" spans="1:40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</row>
    <row r="307" spans="1:40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</row>
    <row r="308" spans="1:40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</row>
    <row r="309" spans="1:40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</row>
    <row r="310" spans="1:40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</row>
    <row r="311" spans="1:40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</row>
    <row r="312" spans="1:40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</row>
    <row r="313" spans="1:40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</row>
    <row r="314" spans="1:40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</row>
    <row r="315" spans="1:40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</row>
    <row r="316" spans="1:40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</row>
    <row r="317" spans="1:40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</row>
    <row r="318" spans="1:40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</row>
    <row r="319" spans="1:40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</row>
    <row r="320" spans="1:40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</row>
    <row r="321" spans="1:40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</row>
    <row r="322" spans="1:40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</row>
    <row r="323" spans="1:40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</row>
    <row r="324" spans="1:40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</row>
    <row r="325" spans="1:40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</row>
    <row r="326" spans="1:40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</row>
    <row r="327" spans="1:40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</row>
    <row r="328" spans="1:40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</row>
    <row r="329" spans="1:40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</row>
    <row r="330" spans="1:40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</row>
    <row r="331" spans="1:40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</row>
    <row r="332" spans="1:40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</row>
    <row r="333" spans="1:40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</row>
    <row r="334" spans="1:40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</row>
    <row r="335" spans="1:40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</row>
    <row r="336" spans="1:40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</row>
    <row r="337" spans="1:40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</row>
    <row r="338" spans="1:40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</row>
    <row r="339" spans="1:40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</row>
    <row r="340" spans="1:40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</row>
    <row r="341" spans="1:40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</row>
    <row r="342" spans="1:40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</row>
    <row r="343" spans="1:40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</row>
    <row r="344" spans="1:40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</row>
    <row r="345" spans="1:40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</row>
    <row r="346" spans="1:40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</row>
    <row r="347" spans="1:40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</row>
    <row r="348" spans="1:40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</row>
    <row r="349" spans="1:40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</row>
    <row r="350" spans="1:40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</row>
    <row r="351" spans="1:40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</row>
    <row r="352" spans="1:40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</row>
    <row r="353" spans="1:40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</row>
    <row r="354" spans="1:40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</row>
    <row r="355" spans="1:40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</row>
    <row r="356" spans="1:40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</row>
    <row r="357" spans="1:40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</row>
    <row r="358" spans="1:40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</row>
    <row r="359" spans="1:40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</row>
    <row r="360" spans="1:40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</row>
    <row r="361" spans="1:40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</row>
    <row r="362" spans="1:40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</row>
    <row r="363" spans="1:40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</row>
    <row r="364" spans="1:40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</row>
    <row r="365" spans="1:40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</row>
    <row r="366" spans="1:40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</row>
    <row r="367" spans="1:40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</row>
    <row r="368" spans="1:40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</row>
    <row r="369" spans="1:40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</row>
    <row r="370" spans="1:40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</row>
    <row r="371" spans="1:40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</row>
    <row r="372" spans="1:40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</row>
    <row r="373" spans="1:40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</row>
    <row r="374" spans="1:40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</row>
    <row r="375" spans="1:40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</row>
    <row r="376" spans="1:40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</row>
    <row r="377" spans="1:40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</row>
    <row r="378" spans="1:40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</row>
    <row r="379" spans="1:40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</row>
    <row r="380" spans="1:40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</row>
    <row r="381" spans="1:40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</row>
    <row r="382" spans="1:40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</row>
    <row r="383" spans="1:40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</row>
    <row r="384" spans="1:40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</row>
    <row r="385" spans="1:40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</row>
    <row r="386" spans="1:40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</row>
    <row r="387" spans="1:40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</row>
    <row r="388" spans="1:40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</row>
    <row r="389" spans="1:40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</row>
    <row r="390" spans="1:40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</row>
    <row r="391" spans="1:40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</row>
    <row r="392" spans="1:40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</row>
    <row r="393" spans="1:40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</row>
    <row r="394" spans="1:40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</row>
    <row r="395" spans="1:40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</row>
    <row r="396" spans="1:40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</row>
    <row r="397" spans="1:40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</row>
    <row r="398" spans="1:40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</row>
    <row r="399" spans="1:40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</row>
    <row r="400" spans="1:40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</row>
    <row r="401" spans="1:40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</row>
  </sheetData>
  <autoFilter ref="A3:X16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2026-01-27T09:49:00Z</dcterms:created>
  <dcterms:modified xsi:type="dcterms:W3CDTF">2026-06-29T13:33:44Z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85F17CF64C014896925AE42A039CA1C8_12</vt:lpwstr>
  </property>
  <property fmtid="{D5CDD505-2E9C-101B-9397-08002B2CF9AE}" pid="3" name="KSOProductBuildVer">
    <vt:lpwstr>1049-12.2.0.23196</vt:lpwstr>
  </property>
</Properties>
</file>