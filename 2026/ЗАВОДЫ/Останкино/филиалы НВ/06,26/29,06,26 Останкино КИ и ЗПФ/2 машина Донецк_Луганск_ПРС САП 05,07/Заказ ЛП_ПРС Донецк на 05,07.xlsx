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2 машина Донецк_Луганск_ПРС САП 05,07\"/>
    </mc:Choice>
  </mc:AlternateContent>
  <xr:revisionPtr revIDLastSave="0" documentId="13_ncr:1_{9BB24AB8-0E76-48F8-BAF3-29156CE4DF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162" i="1" l="1"/>
  <c r="G161" i="1"/>
  <c r="G160" i="1"/>
  <c r="G159" i="1"/>
  <c r="G158" i="1"/>
  <c r="G157" i="1"/>
  <c r="G156" i="1"/>
  <c r="G155" i="1"/>
  <c r="G154" i="1"/>
  <c r="G153" i="1"/>
  <c r="G150" i="1"/>
  <c r="G149" i="1"/>
  <c r="G148" i="1"/>
  <c r="G147" i="1"/>
  <c r="G142" i="1"/>
  <c r="G138" i="1"/>
  <c r="G137" i="1"/>
  <c r="G136" i="1"/>
  <c r="G135" i="1"/>
  <c r="G134" i="1"/>
  <c r="G133" i="1"/>
  <c r="G132" i="1"/>
  <c r="G131" i="1"/>
  <c r="G130" i="1"/>
  <c r="G129" i="1"/>
  <c r="G128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6" i="1"/>
  <c r="G79" i="1"/>
  <c r="G78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34" i="1"/>
  <c r="G33" i="1"/>
  <c r="G32" i="1"/>
  <c r="G31" i="1"/>
  <c r="G30" i="1"/>
  <c r="G29" i="1"/>
  <c r="G28" i="1"/>
  <c r="G27" i="1"/>
  <c r="G26" i="1"/>
  <c r="G23" i="1"/>
  <c r="G22" i="1"/>
  <c r="G152" i="1"/>
  <c r="G146" i="1"/>
  <c r="G145" i="1"/>
  <c r="G144" i="1"/>
  <c r="G143" i="1"/>
  <c r="G141" i="1"/>
  <c r="G139" i="1"/>
  <c r="G127" i="1"/>
  <c r="G126" i="1"/>
  <c r="G110" i="1"/>
  <c r="G109" i="1"/>
  <c r="G108" i="1"/>
  <c r="G107" i="1"/>
  <c r="G88" i="1"/>
  <c r="G87" i="1"/>
  <c r="G85" i="1"/>
  <c r="G84" i="1"/>
  <c r="G83" i="1"/>
  <c r="G82" i="1"/>
  <c r="G81" i="1"/>
  <c r="G77" i="1"/>
  <c r="G76" i="1"/>
  <c r="G75" i="1"/>
  <c r="G74" i="1"/>
  <c r="G73" i="1"/>
  <c r="G47" i="1"/>
  <c r="G46" i="1"/>
  <c r="G45" i="1"/>
  <c r="G44" i="1"/>
  <c r="G43" i="1"/>
  <c r="G42" i="1"/>
  <c r="G41" i="1"/>
  <c r="G40" i="1"/>
  <c r="G39" i="1"/>
  <c r="G38" i="1"/>
  <c r="G37" i="1"/>
  <c r="G36" i="1"/>
  <c r="G25" i="1"/>
  <c r="G24" i="1"/>
  <c r="G20" i="1"/>
  <c r="G19" i="1"/>
  <c r="G18" i="1"/>
  <c r="G17" i="1"/>
  <c r="G16" i="1"/>
  <c r="G15" i="1"/>
  <c r="G14" i="1"/>
  <c r="G13" i="1"/>
  <c r="G11" i="1"/>
  <c r="A104" i="1"/>
  <c r="A105" i="1"/>
  <c r="A70" i="1"/>
  <c r="A71" i="1"/>
  <c r="A156" i="1" l="1"/>
  <c r="A162" i="1"/>
  <c r="A161" i="1"/>
  <c r="A160" i="1"/>
  <c r="A159" i="1"/>
  <c r="A158" i="1"/>
  <c r="A157" i="1"/>
  <c r="A155" i="1"/>
  <c r="A154" i="1"/>
  <c r="A153" i="1"/>
  <c r="A152" i="1"/>
  <c r="A150" i="1"/>
  <c r="A149" i="1"/>
  <c r="A148" i="1"/>
  <c r="A147" i="1"/>
  <c r="A146" i="1"/>
  <c r="A145" i="1"/>
  <c r="A144" i="1"/>
  <c r="A143" i="1"/>
  <c r="A142" i="1"/>
  <c r="A141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79" i="1"/>
  <c r="A78" i="1"/>
  <c r="A77" i="1"/>
  <c r="A76" i="1"/>
  <c r="A75" i="1"/>
  <c r="A74" i="1"/>
  <c r="A73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11" i="1"/>
  <c r="K5" i="1"/>
  <c r="K6" i="1"/>
  <c r="K7" i="1"/>
  <c r="E163" i="1"/>
  <c r="G12" i="1"/>
  <c r="G21" i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<sst xmlns="http://schemas.openxmlformats.org/spreadsheetml/2006/main" count="641" uniqueCount="195">
  <si>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</si>
  <si>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</si>
  <si>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</si>
  <si>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</si>
  <si>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</si>
  <si>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</si>
  <si>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</si>
  <si>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</si>
  <si>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</si>
  <si>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</si>
  <si>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</si>
  <si>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</si>
  <si>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</si>
  <si>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</si>
  <si>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</si>
  <si>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</si>
  <si>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</si>
  <si>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</si>
  <si>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</si>
  <si>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</si>
  <si>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</si>
  <si>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</si>
  <si>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</si>
  <si>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</si>
  <si>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</si>
  <si>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</si>
  <si>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</si>
  <si>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</si>
  <si>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</si>
  <si>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</si>
  <si>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</si>
  <si>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</si>
  <si>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</si>
  <si>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</si>
  <si>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</si>
  <si>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</si>
  <si>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</si>
  <si>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</si>
  <si>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</si>
  <si>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</si>
  <si>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</si>
  <si>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</si>
  <si>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</si>
  <si>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</si>
  <si>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</si>
  <si>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</si>
  <si>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</si>
  <si>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</si>
  <si>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</si>
  <si>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</si>
  <si>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</si>
  <si>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</si>
  <si>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</si>
  <si>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</si>
  <si>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</si>
  <si>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</si>
  <si>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</si>
  <si>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</si>
  <si>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</si>
  <si>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</si>
  <si>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</si>
  <si>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</si>
  <si>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</si>
  <si>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</si>
  <si>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</si>
  <si>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</si>
  <si>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</si>
  <si>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</si>
  <si>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</si>
  <si>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</si>
  <si>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</si>
  <si>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</si>
  <si>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</si>
  <si>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</si>
  <si>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</si>
  <si>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</si>
  <si>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</si>
  <si>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</si>
  <si>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</si>
  <si>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</si>
  <si>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</si>
  <si>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</si>
  <si>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</si>
  <si>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</si>
  <si>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</si>
  <si>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</si>
  <si>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</si>
  <si>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</si>
  <si>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</si>
  <si>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</si>
  <si>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</si>
  <si>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</si>
  <si>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</si>
  <si>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</si>
  <si>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</si>
  <si>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</si>
  <si>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</si>
  <si>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</si>
  <si>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</si>
  <si>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</si>
  <si>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</si>
  <si>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</si>
  <si>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</si>
  <si>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</si>
  <si>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</si>
  <si>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</si>
  <si>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</si>
  <si>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</si>
  <si>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</si>
  <si>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</si>
  <si>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</si>
  <si>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</si>
  <si>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</si>
  <si>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</si>
  <si>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</si>
  <si>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</si>
  <si>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</si>
  <si>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</si>
  <si>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</si>
  <si>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</si>
  <si>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</si>
  <si>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</si>
  <si>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</si>
  <si>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</si>
  <si>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</si>
  <si>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</si>
  <si>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</si>
  <si>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</si>
  <si>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</si>
  <si>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</si>
  <si>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</si>
  <si>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</si>
  <si>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</si>
  <si>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</si>
  <si>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</si>
  <si>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</si>
  <si>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</si>
  <si>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</si>
  <si>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</si>
  <si>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</si>
  <si>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</si>
  <si>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</si>
  <si>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</si>
  <si>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</si>
  <si>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</si>
  <si>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</si>
  <si>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</si>
  <si>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</si>
  <si>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</si>
  <si>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</si>
  <si>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</si>
  <si>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</si>
  <si>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</si>
  <si>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</si>
  <si>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</si>
  <si>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</si>
  <si>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</si>
  <si>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</si>
  <si>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</si>
  <si>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</si>
  <si>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</si>
  <si>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</si>
  <si>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</si>
  <si>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</si>
  <si>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</si>
  <si>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</si>
  <si>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</si>
  <si>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</si>
  <si>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</si>
  <si>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</si>
  <si>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</si>
  <si>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</si>
  <si>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</si>
  <si>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</si>
  <si>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</si>
  <si>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</si>
  <si>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</si>
  <si>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</si>
  <si>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</si>
  <si>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</si>
  <si>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</si>
  <si>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</si>
  <si>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</si>
  <si>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</si>
  <si>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</si>
  <si>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</si>
  <si>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</si>
  <si>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</si>
  <si>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</si>
  <si>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</si>
  <si>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</si>
  <si>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</si>
  <si>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БАЛЫК с/к с/н в/у 1/100 10шт.</t>
  </si>
  <si>
    <t>ООО "Логистикдон"</t>
  </si>
  <si>
    <t>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</si>
</sst>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1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1" fontId="21" fillId="0" borderId="8" xfId="0" applyNumberFormat="1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1" fontId="27" fillId="0" borderId="8" xfId="0" applyNumberFormat="1" applyFont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165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687"/>
  <sheetViews>
    <sheetView tabSelected="1" zoomScale="80" zoomScaleNormal="80" workbookViewId="0">
      <pane ySplit="9" topLeftCell="A152" activePane="bottomLeft" state="frozen"/>
      <selection pane="bottomLeft" activeCell="I6" sqref="I6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14" width="8.85546875" customWidth="1"/>
  </cols>
  <sheetData>
    <row r="1" spans="1:50" ht="27" customHeight="1" thickTop="1" thickBot="1" x14ac:dyDescent="0.3">
      <c r="C1" s="1" t="s">
        <v>0</v>
      </c>
      <c r="D1" s="41">
        <v>130438384</v>
      </c>
      <c r="E1" s="112" t="s">
        <v>193</v>
      </c>
      <c r="F1" s="113"/>
      <c r="G1" s="113"/>
      <c r="H1" s="113"/>
      <c r="I1" s="113"/>
      <c r="J1" s="114"/>
      <c r="K1">
        <v>130438384</v>
      </c>
      <c r="L1" t="s">
        <v>172</v>
      </c>
    </row>
    <row r="2" spans="1:50" ht="16.5" customHeight="1" thickTop="1" thickBot="1" x14ac:dyDescent="0.3">
      <c r="K2">
        <v>130438644</v>
      </c>
      <c r="L2" t="s">
        <v>173</v>
      </c>
    </row>
    <row r="3" spans="1:50" ht="19.5" customHeight="1" thickTop="1" thickBot="1" x14ac:dyDescent="0.3">
      <c r="B3" s="32"/>
      <c r="C3" s="7" t="s">
        <v>1</v>
      </c>
      <c r="D3" s="111">
        <v>46208</v>
      </c>
      <c r="E3" s="7" t="s">
        <v>2</v>
      </c>
      <c r="F3" s="111">
        <f>D3+3</f>
        <v>46211</v>
      </c>
      <c r="G3" s="115" t="s">
        <v>194</v>
      </c>
      <c r="H3" s="113"/>
      <c r="I3" s="113"/>
      <c r="J3" s="114"/>
      <c r="K3"/>
    </row>
    <row r="4" spans="1:50" ht="15.75" customHeight="1" thickTop="1" x14ac:dyDescent="0.25">
      <c r="K4"/>
    </row>
    <row r="5" spans="1:50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50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50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50" ht="16.5" customHeight="1" thickTop="1" thickBot="1" x14ac:dyDescent="0.3"/>
    <row r="9" spans="1:50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</row>
    <row r="10" spans="1:50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50" s="15" customFormat="1" ht="16.5" customHeight="1" thickTop="1" x14ac:dyDescent="0.25">
      <c r="A11" s="55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29"/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5" customFormat="1" ht="16.5" customHeight="1" x14ac:dyDescent="0.25">
      <c r="A12" s="55" t="str">
        <f t="shared" ref="A12:A75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5" customFormat="1" ht="16.5" customHeight="1" x14ac:dyDescent="0.25">
      <c r="A13" s="55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2">E13</f>
        <v>0</v>
      </c>
      <c r="H13" s="14">
        <v>4.05</v>
      </c>
      <c r="I13" s="14">
        <v>60</v>
      </c>
      <c r="J13" s="29"/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15" customFormat="1" ht="16.5" customHeight="1" x14ac:dyDescent="0.25">
      <c r="A14" s="55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2"/>
        <v>0</v>
      </c>
      <c r="H14" s="14">
        <v>4.05</v>
      </c>
      <c r="I14" s="14">
        <v>60</v>
      </c>
      <c r="J14" s="29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15" customFormat="1" ht="16.5" customHeight="1" x14ac:dyDescent="0.25">
      <c r="A15" s="55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6.5" customHeight="1" x14ac:dyDescent="0.25">
      <c r="A16" s="55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2"/>
        <v>0</v>
      </c>
      <c r="H16" s="14">
        <v>4.05</v>
      </c>
      <c r="I16" s="14">
        <v>60</v>
      </c>
      <c r="J16" s="29"/>
    </row>
    <row r="17" spans="1:10" ht="16.5" customHeight="1" x14ac:dyDescent="0.25">
      <c r="A17" s="55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5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2"/>
        <v>0</v>
      </c>
      <c r="H18" s="14">
        <v>4</v>
      </c>
      <c r="I18" s="14">
        <v>60</v>
      </c>
      <c r="J18" s="29"/>
    </row>
    <row r="19" spans="1:10" ht="16.5" customHeight="1" x14ac:dyDescent="0.25">
      <c r="A19" s="55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</row>
    <row r="20" spans="1:10" ht="16.5" customHeight="1" x14ac:dyDescent="0.25">
      <c r="A20" s="55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</row>
    <row r="21" spans="1:10" ht="16.5" customHeight="1" x14ac:dyDescent="0.25">
      <c r="A21" s="5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</row>
    <row r="22" spans="1:10" ht="16.5" customHeight="1" x14ac:dyDescent="0.25">
      <c r="A22" s="55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190</v>
      </c>
      <c r="F22" s="23">
        <v>0.4</v>
      </c>
      <c r="G22" s="23">
        <f t="shared" ref="G22:G23" si="3">E22*F22</f>
        <v>76</v>
      </c>
      <c r="H22" s="14">
        <v>3.2</v>
      </c>
      <c r="I22" s="14">
        <v>60</v>
      </c>
      <c r="J22" s="29"/>
    </row>
    <row r="23" spans="1:10" ht="16.5" customHeight="1" x14ac:dyDescent="0.25">
      <c r="A23" s="55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3"/>
        <v>0</v>
      </c>
      <c r="H23" s="14">
        <v>3.2</v>
      </c>
      <c r="I23" s="14">
        <v>60</v>
      </c>
      <c r="J23" s="29"/>
    </row>
    <row r="24" spans="1:10" ht="16.5" customHeight="1" x14ac:dyDescent="0.25">
      <c r="A24" s="55" t="str">
        <f t="shared" si="1"/>
        <v>7303</v>
      </c>
      <c r="B24" s="54" t="s">
        <v>112</v>
      </c>
      <c r="C24" s="51" t="s">
        <v>22</v>
      </c>
      <c r="D24" s="52">
        <v>1001010857303</v>
      </c>
      <c r="E24" s="24"/>
      <c r="F24" s="56">
        <v>1.35</v>
      </c>
      <c r="G24" s="23">
        <f t="shared" ref="G24:G25" si="4">E24</f>
        <v>0</v>
      </c>
      <c r="H24" s="29">
        <v>4.05</v>
      </c>
      <c r="I24" s="29">
        <v>60</v>
      </c>
      <c r="J24" s="29"/>
    </row>
    <row r="25" spans="1:10" ht="16.5" customHeight="1" x14ac:dyDescent="0.25">
      <c r="A25" s="55" t="str">
        <f t="shared" si="1"/>
        <v>8014</v>
      </c>
      <c r="B25" s="54" t="s">
        <v>113</v>
      </c>
      <c r="C25" s="51" t="s">
        <v>22</v>
      </c>
      <c r="D25" s="52">
        <v>1001010108014</v>
      </c>
      <c r="E25" s="24"/>
      <c r="F25" s="56">
        <v>1.35</v>
      </c>
      <c r="G25" s="23">
        <f t="shared" si="4"/>
        <v>0</v>
      </c>
      <c r="H25" s="29">
        <v>5.4</v>
      </c>
      <c r="I25" s="29">
        <v>60</v>
      </c>
      <c r="J25" s="29"/>
    </row>
    <row r="26" spans="1:10" ht="16.5" customHeight="1" x14ac:dyDescent="0.25">
      <c r="A26" s="55" t="str">
        <f t="shared" si="1"/>
        <v>6353</v>
      </c>
      <c r="B26" s="54" t="s">
        <v>30</v>
      </c>
      <c r="C26" s="51" t="s">
        <v>20</v>
      </c>
      <c r="D26" s="52">
        <v>1001012506353</v>
      </c>
      <c r="E26" s="24">
        <v>125</v>
      </c>
      <c r="F26" s="56">
        <v>0.4</v>
      </c>
      <c r="G26" s="23">
        <f t="shared" ref="G26:G34" si="5">E26*F26</f>
        <v>50</v>
      </c>
      <c r="H26" s="29">
        <v>3.2</v>
      </c>
      <c r="I26" s="29">
        <v>60</v>
      </c>
      <c r="J26" s="29"/>
    </row>
    <row r="27" spans="1:10" ht="16.5" customHeight="1" x14ac:dyDescent="0.25">
      <c r="A27" s="55" t="str">
        <f t="shared" si="1"/>
        <v>7523</v>
      </c>
      <c r="B27" s="54" t="s">
        <v>105</v>
      </c>
      <c r="C27" s="51" t="s">
        <v>20</v>
      </c>
      <c r="D27" s="52">
        <v>1001012427523</v>
      </c>
      <c r="E27" s="24"/>
      <c r="F27" s="56">
        <v>0.4</v>
      </c>
      <c r="G27" s="23">
        <f t="shared" si="5"/>
        <v>0</v>
      </c>
      <c r="H27" s="29">
        <v>2.4</v>
      </c>
      <c r="I27" s="29">
        <v>60</v>
      </c>
      <c r="J27" s="53" t="s">
        <v>166</v>
      </c>
    </row>
    <row r="28" spans="1:10" ht="16.5" customHeight="1" x14ac:dyDescent="0.25">
      <c r="A28" s="55" t="str">
        <f t="shared" si="1"/>
        <v>6340</v>
      </c>
      <c r="B28" s="54" t="s">
        <v>26</v>
      </c>
      <c r="C28" s="51" t="s">
        <v>20</v>
      </c>
      <c r="D28" s="52">
        <v>1001012816340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29"/>
    </row>
    <row r="29" spans="1:10" ht="16.5" customHeight="1" x14ac:dyDescent="0.25">
      <c r="A29" s="55" t="str">
        <f t="shared" si="1"/>
        <v>6341</v>
      </c>
      <c r="B29" s="54" t="s">
        <v>27</v>
      </c>
      <c r="C29" s="51" t="s">
        <v>20</v>
      </c>
      <c r="D29" s="52">
        <v>1001012816341</v>
      </c>
      <c r="E29" s="24"/>
      <c r="F29" s="23">
        <v>0.5</v>
      </c>
      <c r="G29" s="23">
        <f t="shared" si="5"/>
        <v>0</v>
      </c>
      <c r="H29" s="14">
        <v>4</v>
      </c>
      <c r="I29" s="14">
        <v>60</v>
      </c>
      <c r="J29" s="29"/>
    </row>
    <row r="30" spans="1:10" ht="16.5" customHeight="1" x14ac:dyDescent="0.25">
      <c r="A30" s="55" t="str">
        <f t="shared" si="1"/>
        <v>6333</v>
      </c>
      <c r="B30" s="54" t="s">
        <v>23</v>
      </c>
      <c r="C30" s="51" t="s">
        <v>20</v>
      </c>
      <c r="D30" s="52">
        <v>1001012486333</v>
      </c>
      <c r="E30" s="24">
        <v>140</v>
      </c>
      <c r="F30" s="23">
        <v>0.4</v>
      </c>
      <c r="G30" s="23">
        <f t="shared" si="5"/>
        <v>56</v>
      </c>
      <c r="H30" s="14">
        <v>3.2</v>
      </c>
      <c r="I30" s="14">
        <v>60</v>
      </c>
      <c r="J30" s="29"/>
    </row>
    <row r="31" spans="1:10" ht="16.5" customHeight="1" x14ac:dyDescent="0.25">
      <c r="A31" s="55" t="str">
        <f t="shared" si="1"/>
        <v>6392</v>
      </c>
      <c r="B31" s="54" t="s">
        <v>109</v>
      </c>
      <c r="C31" s="51" t="s">
        <v>20</v>
      </c>
      <c r="D31" s="52">
        <v>1001012566392</v>
      </c>
      <c r="E31" s="24">
        <v>165</v>
      </c>
      <c r="F31" s="23">
        <v>0.4</v>
      </c>
      <c r="G31" s="23">
        <f t="shared" si="5"/>
        <v>66</v>
      </c>
      <c r="H31" s="14">
        <v>3.2</v>
      </c>
      <c r="I31" s="14">
        <v>60</v>
      </c>
      <c r="J31" s="29"/>
    </row>
    <row r="32" spans="1:10" ht="16.5" customHeight="1" x14ac:dyDescent="0.25">
      <c r="A32" s="55" t="str">
        <f t="shared" si="1"/>
        <v>7343</v>
      </c>
      <c r="B32" s="54" t="s">
        <v>31</v>
      </c>
      <c r="C32" s="51" t="s">
        <v>20</v>
      </c>
      <c r="D32" s="52">
        <v>1001016747343</v>
      </c>
      <c r="E32" s="24">
        <v>120</v>
      </c>
      <c r="F32" s="23">
        <v>0.4</v>
      </c>
      <c r="G32" s="23">
        <f t="shared" si="5"/>
        <v>48</v>
      </c>
      <c r="H32" s="14">
        <v>3.2</v>
      </c>
      <c r="I32" s="14">
        <v>60</v>
      </c>
      <c r="J32" s="29"/>
    </row>
    <row r="33" spans="1:10" ht="16.5" customHeight="1" x14ac:dyDescent="0.25">
      <c r="A33" s="55" t="str">
        <f t="shared" si="1"/>
        <v>6797</v>
      </c>
      <c r="B33" s="54" t="s">
        <v>114</v>
      </c>
      <c r="C33" s="51" t="s">
        <v>20</v>
      </c>
      <c r="D33" s="52">
        <v>1001015026797</v>
      </c>
      <c r="E33" s="24"/>
      <c r="F33" s="56">
        <v>0.4</v>
      </c>
      <c r="G33" s="23">
        <f t="shared" si="5"/>
        <v>0</v>
      </c>
      <c r="H33" s="29">
        <v>3.2</v>
      </c>
      <c r="I33" s="29">
        <v>60</v>
      </c>
      <c r="J33" s="29"/>
    </row>
    <row r="34" spans="1:10" ht="16.5" customHeight="1" thickBot="1" x14ac:dyDescent="0.3">
      <c r="A34" s="55" t="str">
        <f t="shared" si="1"/>
        <v>7231</v>
      </c>
      <c r="B34" s="54" t="s">
        <v>33</v>
      </c>
      <c r="C34" s="51" t="s">
        <v>20</v>
      </c>
      <c r="D34" s="52">
        <v>1001013957231</v>
      </c>
      <c r="E34" s="24">
        <v>200</v>
      </c>
      <c r="F34" s="56">
        <v>0.3</v>
      </c>
      <c r="G34" s="23">
        <f t="shared" si="5"/>
        <v>60</v>
      </c>
      <c r="H34" s="29">
        <v>2.4</v>
      </c>
      <c r="I34" s="29">
        <v>60</v>
      </c>
      <c r="J34" s="29"/>
    </row>
    <row r="35" spans="1:10" ht="16.5" customHeight="1" thickTop="1" thickBot="1" x14ac:dyDescent="0.3">
      <c r="A35" s="48" t="s">
        <v>104</v>
      </c>
      <c r="B35" s="43" t="s">
        <v>36</v>
      </c>
      <c r="C35" s="43"/>
      <c r="D35" s="43"/>
      <c r="E35" s="43"/>
      <c r="F35" s="42"/>
      <c r="G35" s="43"/>
      <c r="H35" s="43"/>
      <c r="I35" s="43"/>
      <c r="J35" s="44"/>
    </row>
    <row r="36" spans="1:10" ht="16.5" customHeight="1" thickTop="1" x14ac:dyDescent="0.25">
      <c r="A36" s="55" t="str">
        <f t="shared" si="1"/>
        <v>6767</v>
      </c>
      <c r="B36" s="54" t="s">
        <v>43</v>
      </c>
      <c r="C36" s="51" t="s">
        <v>22</v>
      </c>
      <c r="D36" s="52">
        <v>1001023696767</v>
      </c>
      <c r="E36" s="24"/>
      <c r="F36" s="56">
        <v>1.04</v>
      </c>
      <c r="G36" s="23">
        <f t="shared" ref="G36:G47" si="6">E36</f>
        <v>0</v>
      </c>
      <c r="H36" s="29">
        <v>4.16</v>
      </c>
      <c r="I36" s="29">
        <v>45</v>
      </c>
      <c r="J36" s="29"/>
    </row>
    <row r="37" spans="1:10" ht="16.5" customHeight="1" x14ac:dyDescent="0.25">
      <c r="A37" s="55" t="str">
        <f t="shared" si="1"/>
        <v>6761</v>
      </c>
      <c r="B37" s="54" t="s">
        <v>52</v>
      </c>
      <c r="C37" s="51" t="s">
        <v>22</v>
      </c>
      <c r="D37" s="52">
        <v>1001020836761</v>
      </c>
      <c r="E37" s="24"/>
      <c r="F37" s="56">
        <v>1</v>
      </c>
      <c r="G37" s="23">
        <f t="shared" si="6"/>
        <v>0</v>
      </c>
      <c r="H37" s="29">
        <v>4</v>
      </c>
      <c r="I37" s="29">
        <v>30</v>
      </c>
      <c r="J37" s="29"/>
    </row>
    <row r="38" spans="1:10" ht="16.5" customHeight="1" x14ac:dyDescent="0.25">
      <c r="A38" s="55" t="str">
        <f t="shared" si="1"/>
        <v>6764</v>
      </c>
      <c r="B38" s="54" t="s">
        <v>48</v>
      </c>
      <c r="C38" s="51" t="s">
        <v>22</v>
      </c>
      <c r="D38" s="52">
        <v>1001020846764</v>
      </c>
      <c r="E38" s="24"/>
      <c r="F38" s="56">
        <v>1</v>
      </c>
      <c r="G38" s="23">
        <f t="shared" si="6"/>
        <v>0</v>
      </c>
      <c r="H38" s="29">
        <v>4</v>
      </c>
      <c r="I38" s="29">
        <v>45</v>
      </c>
      <c r="J38" s="29"/>
    </row>
    <row r="39" spans="1:10" ht="16.5" customHeight="1" x14ac:dyDescent="0.25">
      <c r="A39" s="55" t="str">
        <f t="shared" si="1"/>
        <v>6254</v>
      </c>
      <c r="B39" s="54" t="s">
        <v>162</v>
      </c>
      <c r="C39" s="51" t="s">
        <v>22</v>
      </c>
      <c r="D39" s="52">
        <v>1001022556254</v>
      </c>
      <c r="E39" s="24"/>
      <c r="F39" s="56">
        <v>1.5</v>
      </c>
      <c r="G39" s="23">
        <f t="shared" si="6"/>
        <v>0</v>
      </c>
      <c r="H39" s="29">
        <v>3</v>
      </c>
      <c r="I39" s="29">
        <v>45</v>
      </c>
      <c r="J39" s="29"/>
    </row>
    <row r="40" spans="1:10" ht="16.5" customHeight="1" x14ac:dyDescent="0.25">
      <c r="A40" s="55" t="str">
        <f t="shared" si="1"/>
        <v>7075</v>
      </c>
      <c r="B40" s="54" t="s">
        <v>49</v>
      </c>
      <c r="C40" s="51" t="s">
        <v>22</v>
      </c>
      <c r="D40" s="52">
        <v>1001022657075</v>
      </c>
      <c r="E40" s="24"/>
      <c r="F40" s="56">
        <v>1.5</v>
      </c>
      <c r="G40" s="23">
        <f t="shared" si="6"/>
        <v>0</v>
      </c>
      <c r="H40" s="29">
        <v>6</v>
      </c>
      <c r="I40" s="29">
        <v>50</v>
      </c>
      <c r="J40" s="29"/>
    </row>
    <row r="41" spans="1:10" ht="16.5" customHeight="1" x14ac:dyDescent="0.25">
      <c r="A41" s="55" t="str">
        <f t="shared" si="1"/>
        <v>7083</v>
      </c>
      <c r="B41" s="54" t="s">
        <v>160</v>
      </c>
      <c r="C41" s="51" t="s">
        <v>22</v>
      </c>
      <c r="D41" s="52">
        <v>1001022467083</v>
      </c>
      <c r="E41" s="24"/>
      <c r="F41" s="56">
        <v>1.5</v>
      </c>
      <c r="G41" s="23">
        <f t="shared" si="6"/>
        <v>0</v>
      </c>
      <c r="H41" s="29">
        <v>6</v>
      </c>
      <c r="I41" s="29">
        <v>50</v>
      </c>
      <c r="J41" s="29"/>
    </row>
    <row r="42" spans="1:10" ht="16.5" customHeight="1" x14ac:dyDescent="0.25">
      <c r="A42" s="55" t="str">
        <f t="shared" si="1"/>
        <v>6829</v>
      </c>
      <c r="B42" s="54" t="s">
        <v>156</v>
      </c>
      <c r="C42" s="51" t="s">
        <v>22</v>
      </c>
      <c r="D42" s="52">
        <v>1001024976829</v>
      </c>
      <c r="E42" s="24"/>
      <c r="F42" s="56">
        <v>2.1</v>
      </c>
      <c r="G42" s="23">
        <f t="shared" si="6"/>
        <v>0</v>
      </c>
      <c r="H42" s="29">
        <v>8.4</v>
      </c>
      <c r="I42" s="29">
        <v>45</v>
      </c>
      <c r="J42" s="29"/>
    </row>
    <row r="43" spans="1:10" ht="16.5" customHeight="1" x14ac:dyDescent="0.25">
      <c r="A43" s="55" t="str">
        <f t="shared" si="1"/>
        <v>7070</v>
      </c>
      <c r="B43" s="54" t="s">
        <v>44</v>
      </c>
      <c r="C43" s="51" t="s">
        <v>22</v>
      </c>
      <c r="D43" s="52">
        <v>1001022377070</v>
      </c>
      <c r="E43" s="24"/>
      <c r="F43" s="56">
        <v>1.5</v>
      </c>
      <c r="G43" s="23">
        <f t="shared" si="6"/>
        <v>0</v>
      </c>
      <c r="H43" s="29">
        <v>6</v>
      </c>
      <c r="I43" s="29">
        <v>50</v>
      </c>
      <c r="J43" s="29"/>
    </row>
    <row r="44" spans="1:10" ht="16.5" customHeight="1" x14ac:dyDescent="0.25">
      <c r="A44" s="55" t="str">
        <f t="shared" si="1"/>
        <v>7076</v>
      </c>
      <c r="B44" s="54" t="s">
        <v>186</v>
      </c>
      <c r="C44" s="51" t="s">
        <v>22</v>
      </c>
      <c r="D44" s="52">
        <v>1001022657076</v>
      </c>
      <c r="E44" s="24"/>
      <c r="F44" s="56">
        <v>1.5</v>
      </c>
      <c r="G44" s="23">
        <f t="shared" si="6"/>
        <v>0</v>
      </c>
      <c r="H44" s="29">
        <v>6</v>
      </c>
      <c r="I44" s="29">
        <v>50</v>
      </c>
      <c r="J44" s="29"/>
    </row>
    <row r="45" spans="1:10" ht="16.5" customHeight="1" x14ac:dyDescent="0.25">
      <c r="A45" s="55" t="str">
        <f t="shared" si="1"/>
        <v>7271</v>
      </c>
      <c r="B45" s="54" t="s">
        <v>159</v>
      </c>
      <c r="C45" s="51" t="s">
        <v>22</v>
      </c>
      <c r="D45" s="52">
        <v>1001025507271</v>
      </c>
      <c r="E45" s="24"/>
      <c r="F45" s="56">
        <v>1.5</v>
      </c>
      <c r="G45" s="23">
        <f t="shared" si="6"/>
        <v>0</v>
      </c>
      <c r="H45" s="29">
        <v>6</v>
      </c>
      <c r="I45" s="29">
        <v>50</v>
      </c>
      <c r="J45" s="29"/>
    </row>
    <row r="46" spans="1:10" ht="16.5" customHeight="1" x14ac:dyDescent="0.25">
      <c r="A46" s="55" t="str">
        <f t="shared" si="1"/>
        <v>6303</v>
      </c>
      <c r="B46" s="54" t="s">
        <v>158</v>
      </c>
      <c r="C46" s="51" t="s">
        <v>22</v>
      </c>
      <c r="D46" s="52">
        <v>1001022726303</v>
      </c>
      <c r="E46" s="24"/>
      <c r="F46" s="56">
        <v>1.5</v>
      </c>
      <c r="G46" s="23">
        <f t="shared" si="6"/>
        <v>0</v>
      </c>
      <c r="H46" s="29">
        <v>4.5</v>
      </c>
      <c r="I46" s="29">
        <v>45</v>
      </c>
      <c r="J46" s="29"/>
    </row>
    <row r="47" spans="1:10" ht="16.5" customHeight="1" x14ac:dyDescent="0.25">
      <c r="A47" s="55" t="str">
        <f t="shared" si="1"/>
        <v>6661</v>
      </c>
      <c r="B47" s="54" t="s">
        <v>161</v>
      </c>
      <c r="C47" s="51" t="s">
        <v>22</v>
      </c>
      <c r="D47" s="52">
        <v>1001022246661</v>
      </c>
      <c r="E47" s="24"/>
      <c r="F47" s="56">
        <v>1.5</v>
      </c>
      <c r="G47" s="23">
        <f t="shared" si="6"/>
        <v>0</v>
      </c>
      <c r="H47" s="29">
        <v>6</v>
      </c>
      <c r="I47" s="29">
        <v>45</v>
      </c>
      <c r="J47" s="29"/>
    </row>
    <row r="48" spans="1:10" ht="16.5" customHeight="1" x14ac:dyDescent="0.25">
      <c r="A48" s="55" t="str">
        <f t="shared" si="1"/>
        <v>6759</v>
      </c>
      <c r="B48" s="54" t="s">
        <v>41</v>
      </c>
      <c r="C48" s="51" t="s">
        <v>20</v>
      </c>
      <c r="D48" s="52">
        <v>1001020836759</v>
      </c>
      <c r="E48" s="24"/>
      <c r="F48" s="56">
        <v>0.4</v>
      </c>
      <c r="G48" s="23">
        <f t="shared" ref="G48:G71" si="7">E48*F48</f>
        <v>0</v>
      </c>
      <c r="H48" s="29">
        <v>2.8</v>
      </c>
      <c r="I48" s="29">
        <v>30</v>
      </c>
      <c r="J48" s="29"/>
    </row>
    <row r="49" spans="1:10" ht="16.5" customHeight="1" x14ac:dyDescent="0.25">
      <c r="A49" s="55" t="str">
        <f t="shared" si="1"/>
        <v>6762</v>
      </c>
      <c r="B49" s="54" t="s">
        <v>39</v>
      </c>
      <c r="C49" s="51" t="s">
        <v>20</v>
      </c>
      <c r="D49" s="52">
        <v>1001020846762</v>
      </c>
      <c r="E49" s="24"/>
      <c r="F49" s="56">
        <v>0.41</v>
      </c>
      <c r="G49" s="23">
        <f t="shared" si="7"/>
        <v>0</v>
      </c>
      <c r="H49" s="29">
        <v>3.28</v>
      </c>
      <c r="I49" s="29">
        <v>45</v>
      </c>
      <c r="J49" s="29"/>
    </row>
    <row r="50" spans="1:10" ht="16.5" customHeight="1" x14ac:dyDescent="0.25">
      <c r="A50" s="55" t="str">
        <f t="shared" si="1"/>
        <v>6765</v>
      </c>
      <c r="B50" s="54" t="s">
        <v>40</v>
      </c>
      <c r="C50" s="51" t="s">
        <v>20</v>
      </c>
      <c r="D50" s="52">
        <v>1001023696765</v>
      </c>
      <c r="E50" s="24">
        <v>120</v>
      </c>
      <c r="F50" s="56">
        <v>0.36</v>
      </c>
      <c r="G50" s="23">
        <f t="shared" si="7"/>
        <v>43.199999999999996</v>
      </c>
      <c r="H50" s="29">
        <v>2.16</v>
      </c>
      <c r="I50" s="29">
        <v>45</v>
      </c>
      <c r="J50" s="29"/>
    </row>
    <row r="51" spans="1:10" ht="16.5" customHeight="1" x14ac:dyDescent="0.25">
      <c r="A51" s="55" t="str">
        <f t="shared" si="1"/>
        <v>7074</v>
      </c>
      <c r="B51" s="54" t="s">
        <v>157</v>
      </c>
      <c r="C51" s="51" t="s">
        <v>20</v>
      </c>
      <c r="D51" s="52">
        <v>1001022657074</v>
      </c>
      <c r="E51" s="24"/>
      <c r="F51" s="56">
        <v>0.6</v>
      </c>
      <c r="G51" s="23">
        <f t="shared" si="7"/>
        <v>0</v>
      </c>
      <c r="H51" s="29">
        <v>4.8</v>
      </c>
      <c r="I51" s="29">
        <v>50</v>
      </c>
      <c r="J51" s="29"/>
    </row>
    <row r="52" spans="1:10" ht="16.5" customHeight="1" x14ac:dyDescent="0.25">
      <c r="A52" s="55" t="str">
        <f t="shared" si="1"/>
        <v>7123</v>
      </c>
      <c r="B52" s="54" t="s">
        <v>187</v>
      </c>
      <c r="C52" s="51" t="s">
        <v>20</v>
      </c>
      <c r="D52" s="52">
        <v>1001020867123</v>
      </c>
      <c r="E52" s="24"/>
      <c r="F52" s="56">
        <v>0.3</v>
      </c>
      <c r="G52" s="23">
        <f t="shared" si="7"/>
        <v>0</v>
      </c>
      <c r="H52" s="29">
        <v>1.8</v>
      </c>
      <c r="I52" s="29">
        <v>45</v>
      </c>
      <c r="J52" s="29"/>
    </row>
    <row r="53" spans="1:10" ht="16.5" customHeight="1" x14ac:dyDescent="0.25">
      <c r="A53" s="55" t="str">
        <f t="shared" si="1"/>
        <v>5819</v>
      </c>
      <c r="B53" s="54" t="s">
        <v>38</v>
      </c>
      <c r="C53" s="51" t="s">
        <v>20</v>
      </c>
      <c r="D53" s="52">
        <v>1001022725819</v>
      </c>
      <c r="E53" s="24">
        <v>180</v>
      </c>
      <c r="F53" s="56">
        <v>0.4</v>
      </c>
      <c r="G53" s="23">
        <f t="shared" si="7"/>
        <v>72</v>
      </c>
      <c r="H53" s="29">
        <v>3.2</v>
      </c>
      <c r="I53" s="29">
        <v>45</v>
      </c>
      <c r="J53" s="29"/>
    </row>
    <row r="54" spans="1:10" ht="16.5" customHeight="1" x14ac:dyDescent="0.25">
      <c r="A54" s="55" t="str">
        <f t="shared" si="1"/>
        <v>6475</v>
      </c>
      <c r="B54" s="54" t="s">
        <v>45</v>
      </c>
      <c r="C54" s="51" t="s">
        <v>20</v>
      </c>
      <c r="D54" s="52">
        <v>1001025176475</v>
      </c>
      <c r="E54" s="24">
        <v>90</v>
      </c>
      <c r="F54" s="56">
        <v>0.4</v>
      </c>
      <c r="G54" s="23">
        <f t="shared" si="7"/>
        <v>36</v>
      </c>
      <c r="H54" s="29">
        <v>2.4</v>
      </c>
      <c r="I54" s="29">
        <v>45</v>
      </c>
      <c r="J54" s="29"/>
    </row>
    <row r="55" spans="1:10" ht="16.5" customHeight="1" x14ac:dyDescent="0.25">
      <c r="A55" s="55" t="str">
        <f t="shared" si="1"/>
        <v>7284</v>
      </c>
      <c r="B55" s="54" t="s">
        <v>188</v>
      </c>
      <c r="C55" s="51" t="s">
        <v>20</v>
      </c>
      <c r="D55" s="52">
        <v>1001025767284</v>
      </c>
      <c r="E55" s="24"/>
      <c r="F55" s="56">
        <v>0.33</v>
      </c>
      <c r="G55" s="23">
        <f t="shared" si="7"/>
        <v>0</v>
      </c>
      <c r="H55" s="29">
        <v>1.98</v>
      </c>
      <c r="I55" s="29">
        <v>30</v>
      </c>
      <c r="J55" s="29"/>
    </row>
    <row r="56" spans="1:10" ht="16.5" customHeight="1" x14ac:dyDescent="0.25">
      <c r="A56" s="55" t="str">
        <f t="shared" si="1"/>
        <v>7601</v>
      </c>
      <c r="B56" s="54" t="s">
        <v>189</v>
      </c>
      <c r="C56" s="51" t="s">
        <v>20</v>
      </c>
      <c r="D56" s="52">
        <v>1001025767601</v>
      </c>
      <c r="E56" s="24"/>
      <c r="F56" s="56">
        <v>0.26400000000000001</v>
      </c>
      <c r="G56" s="23">
        <f t="shared" si="7"/>
        <v>0</v>
      </c>
      <c r="H56" s="29">
        <v>1.58</v>
      </c>
      <c r="I56" s="29">
        <v>30</v>
      </c>
      <c r="J56" s="29"/>
    </row>
    <row r="57" spans="1:10" ht="16.5" customHeight="1" x14ac:dyDescent="0.25">
      <c r="A57" s="55" t="str">
        <f t="shared" si="1"/>
        <v>7461</v>
      </c>
      <c r="B57" s="54" t="s">
        <v>190</v>
      </c>
      <c r="C57" s="51" t="s">
        <v>20</v>
      </c>
      <c r="D57" s="52">
        <v>1001025767461</v>
      </c>
      <c r="E57" s="24"/>
      <c r="F57" s="56">
        <v>0.33</v>
      </c>
      <c r="G57" s="23">
        <f t="shared" si="7"/>
        <v>0</v>
      </c>
      <c r="H57" s="29">
        <v>1.98</v>
      </c>
      <c r="I57" s="29">
        <v>30</v>
      </c>
      <c r="J57" s="53" t="s">
        <v>169</v>
      </c>
    </row>
    <row r="58" spans="1:10" ht="16.5" customHeight="1" x14ac:dyDescent="0.25">
      <c r="A58" s="55" t="str">
        <f t="shared" si="1"/>
        <v>7371</v>
      </c>
      <c r="B58" s="54" t="s">
        <v>191</v>
      </c>
      <c r="C58" s="51" t="s">
        <v>20</v>
      </c>
      <c r="D58" s="52">
        <v>1001026947371</v>
      </c>
      <c r="E58" s="24"/>
      <c r="F58" s="56">
        <v>0.3</v>
      </c>
      <c r="G58" s="23">
        <f t="shared" si="7"/>
        <v>0</v>
      </c>
      <c r="H58" s="29">
        <v>2.4</v>
      </c>
      <c r="I58" s="29">
        <v>45</v>
      </c>
      <c r="J58" s="29"/>
    </row>
    <row r="59" spans="1:10" ht="16.5" customHeight="1" x14ac:dyDescent="0.25">
      <c r="A59" s="55" t="str">
        <f t="shared" si="1"/>
        <v>6837</v>
      </c>
      <c r="B59" s="54" t="s">
        <v>47</v>
      </c>
      <c r="C59" s="51" t="s">
        <v>20</v>
      </c>
      <c r="D59" s="52">
        <v>1001022556837</v>
      </c>
      <c r="E59" s="24">
        <v>190</v>
      </c>
      <c r="F59" s="56">
        <v>0.4</v>
      </c>
      <c r="G59" s="23">
        <f t="shared" si="7"/>
        <v>76</v>
      </c>
      <c r="H59" s="29">
        <v>2.4</v>
      </c>
      <c r="I59" s="29">
        <v>45</v>
      </c>
      <c r="J59" s="29"/>
    </row>
    <row r="60" spans="1:10" ht="16.5" customHeight="1" x14ac:dyDescent="0.25">
      <c r="A60" s="55" t="str">
        <f t="shared" si="1"/>
        <v>7080</v>
      </c>
      <c r="B60" s="54" t="s">
        <v>53</v>
      </c>
      <c r="C60" s="51" t="s">
        <v>20</v>
      </c>
      <c r="D60" s="52">
        <v>1001022467080</v>
      </c>
      <c r="E60" s="24"/>
      <c r="F60" s="23">
        <v>0.41</v>
      </c>
      <c r="G60" s="23">
        <f t="shared" si="7"/>
        <v>0</v>
      </c>
      <c r="H60" s="14">
        <v>4.0999999999999996</v>
      </c>
      <c r="I60" s="14">
        <v>50</v>
      </c>
      <c r="J60" s="29"/>
    </row>
    <row r="61" spans="1:10" ht="16.5" customHeight="1" x14ac:dyDescent="0.25">
      <c r="A61" s="55" t="str">
        <f t="shared" si="1"/>
        <v>6724</v>
      </c>
      <c r="B61" s="54" t="s">
        <v>51</v>
      </c>
      <c r="C61" s="51" t="s">
        <v>20</v>
      </c>
      <c r="D61" s="52">
        <v>1001020836724</v>
      </c>
      <c r="E61" s="24"/>
      <c r="F61" s="23">
        <v>0.41</v>
      </c>
      <c r="G61" s="23">
        <f t="shared" si="7"/>
        <v>0</v>
      </c>
      <c r="H61" s="14">
        <v>4.0999999999999996</v>
      </c>
      <c r="I61" s="14">
        <v>45</v>
      </c>
      <c r="J61" s="29"/>
    </row>
    <row r="62" spans="1:10" ht="16.5" customHeight="1" x14ac:dyDescent="0.25">
      <c r="A62" s="55" t="str">
        <f t="shared" si="1"/>
        <v>7066</v>
      </c>
      <c r="B62" s="54" t="s">
        <v>55</v>
      </c>
      <c r="C62" s="51" t="s">
        <v>20</v>
      </c>
      <c r="D62" s="52">
        <v>1001022377066</v>
      </c>
      <c r="E62" s="24">
        <v>100</v>
      </c>
      <c r="F62" s="23">
        <v>0.41</v>
      </c>
      <c r="G62" s="23">
        <f t="shared" si="7"/>
        <v>41</v>
      </c>
      <c r="H62" s="14">
        <v>4.0999999999999996</v>
      </c>
      <c r="I62" s="14">
        <v>50</v>
      </c>
      <c r="J62" s="29"/>
    </row>
    <row r="63" spans="1:10" ht="16.5" customHeight="1" x14ac:dyDescent="0.25">
      <c r="A63" s="55" t="str">
        <f t="shared" si="1"/>
        <v>6713</v>
      </c>
      <c r="B63" s="54" t="s">
        <v>46</v>
      </c>
      <c r="C63" s="51" t="s">
        <v>20</v>
      </c>
      <c r="D63" s="52">
        <v>1001022246713</v>
      </c>
      <c r="E63" s="24">
        <v>100</v>
      </c>
      <c r="F63" s="23">
        <v>0.41</v>
      </c>
      <c r="G63" s="23">
        <f t="shared" si="7"/>
        <v>41</v>
      </c>
      <c r="H63" s="14">
        <v>3.28</v>
      </c>
      <c r="I63" s="14">
        <v>45</v>
      </c>
      <c r="J63" s="29"/>
    </row>
    <row r="64" spans="1:10" ht="16.5" customHeight="1" x14ac:dyDescent="0.25">
      <c r="A64" s="55" t="str">
        <f t="shared" si="1"/>
        <v>7255</v>
      </c>
      <c r="B64" s="54" t="s">
        <v>37</v>
      </c>
      <c r="C64" s="51" t="s">
        <v>20</v>
      </c>
      <c r="D64" s="52">
        <v>1001025507255</v>
      </c>
      <c r="E64" s="24">
        <v>180</v>
      </c>
      <c r="F64" s="23">
        <v>0.4</v>
      </c>
      <c r="G64" s="23">
        <f t="shared" si="7"/>
        <v>72</v>
      </c>
      <c r="H64" s="14">
        <v>2.4</v>
      </c>
      <c r="I64" s="14">
        <v>50</v>
      </c>
      <c r="J64" s="29"/>
    </row>
    <row r="65" spans="1:10" ht="16.5" customHeight="1" x14ac:dyDescent="0.25">
      <c r="A65" s="55" t="str">
        <f t="shared" si="1"/>
        <v>6602</v>
      </c>
      <c r="B65" s="54" t="s">
        <v>155</v>
      </c>
      <c r="C65" s="51" t="s">
        <v>20</v>
      </c>
      <c r="D65" s="52">
        <v>1001021966602</v>
      </c>
      <c r="E65" s="24"/>
      <c r="F65" s="23">
        <v>0.35</v>
      </c>
      <c r="G65" s="23">
        <f t="shared" si="7"/>
        <v>0</v>
      </c>
      <c r="H65" s="14">
        <v>2.8</v>
      </c>
      <c r="I65" s="14">
        <v>45</v>
      </c>
      <c r="J65" s="29"/>
    </row>
    <row r="66" spans="1:10" ht="16.5" customHeight="1" x14ac:dyDescent="0.25">
      <c r="A66" s="55" t="str">
        <f t="shared" si="1"/>
        <v>7073</v>
      </c>
      <c r="B66" s="54" t="s">
        <v>50</v>
      </c>
      <c r="C66" s="51" t="s">
        <v>20</v>
      </c>
      <c r="D66" s="52">
        <v>1001022657073</v>
      </c>
      <c r="E66" s="24">
        <v>120</v>
      </c>
      <c r="F66" s="23">
        <v>0.35</v>
      </c>
      <c r="G66" s="23">
        <f t="shared" si="7"/>
        <v>42</v>
      </c>
      <c r="H66" s="14">
        <v>2.8</v>
      </c>
      <c r="I66" s="14">
        <v>50</v>
      </c>
      <c r="J66" s="29"/>
    </row>
    <row r="67" spans="1:10" ht="16.5" customHeight="1" x14ac:dyDescent="0.25">
      <c r="A67" s="55" t="str">
        <f t="shared" si="1"/>
        <v>7276</v>
      </c>
      <c r="B67" s="54" t="s">
        <v>54</v>
      </c>
      <c r="C67" s="51" t="s">
        <v>20</v>
      </c>
      <c r="D67" s="52">
        <v>1001022467276</v>
      </c>
      <c r="E67" s="24">
        <v>240</v>
      </c>
      <c r="F67" s="23">
        <v>0.3</v>
      </c>
      <c r="G67" s="23">
        <f t="shared" si="7"/>
        <v>72</v>
      </c>
      <c r="H67" s="14">
        <v>2.1</v>
      </c>
      <c r="I67" s="14">
        <v>50</v>
      </c>
      <c r="J67" s="29"/>
    </row>
    <row r="68" spans="1:10" ht="16.5" customHeight="1" x14ac:dyDescent="0.25">
      <c r="A68" s="55" t="str">
        <f t="shared" si="1"/>
        <v>6616</v>
      </c>
      <c r="B68" s="54" t="s">
        <v>42</v>
      </c>
      <c r="C68" s="51" t="s">
        <v>20</v>
      </c>
      <c r="D68" s="52">
        <v>1001024976616</v>
      </c>
      <c r="E68" s="24"/>
      <c r="F68" s="23">
        <v>0.3</v>
      </c>
      <c r="G68" s="23">
        <f t="shared" si="7"/>
        <v>0</v>
      </c>
      <c r="H68" s="14">
        <v>2.4</v>
      </c>
      <c r="I68" s="14">
        <v>45</v>
      </c>
      <c r="J68" s="29"/>
    </row>
    <row r="69" spans="1:10" ht="16.5" customHeight="1" x14ac:dyDescent="0.25">
      <c r="A69" s="55" t="str">
        <f t="shared" si="1"/>
        <v>7385</v>
      </c>
      <c r="B69" s="54" t="s">
        <v>163</v>
      </c>
      <c r="C69" s="51" t="s">
        <v>20</v>
      </c>
      <c r="D69" s="52">
        <v>1001027067385</v>
      </c>
      <c r="E69" s="24"/>
      <c r="F69" s="23">
        <v>0.33</v>
      </c>
      <c r="G69" s="23">
        <f t="shared" si="7"/>
        <v>0</v>
      </c>
      <c r="H69" s="14">
        <v>2.64</v>
      </c>
      <c r="I69" s="14">
        <v>45</v>
      </c>
      <c r="J69" s="29"/>
    </row>
    <row r="70" spans="1:10" ht="16.5" customHeight="1" x14ac:dyDescent="0.25">
      <c r="A70" s="55" t="str">
        <f t="shared" si="1"/>
        <v>7044</v>
      </c>
      <c r="B70" s="54" t="s">
        <v>164</v>
      </c>
      <c r="C70" s="51" t="s">
        <v>20</v>
      </c>
      <c r="D70" s="52">
        <v>1001025167044</v>
      </c>
      <c r="E70" s="24"/>
      <c r="F70" s="23">
        <v>0.32</v>
      </c>
      <c r="G70" s="23">
        <f t="shared" si="7"/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5" t="str">
        <f t="shared" si="1"/>
        <v>7460</v>
      </c>
      <c r="B71" s="54" t="s">
        <v>165</v>
      </c>
      <c r="C71" s="51" t="s">
        <v>20</v>
      </c>
      <c r="D71" s="52">
        <v>1001027247460</v>
      </c>
      <c r="E71" s="24"/>
      <c r="F71" s="23">
        <v>0.33</v>
      </c>
      <c r="G71" s="23">
        <f t="shared" si="7"/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8" t="s">
        <v>104</v>
      </c>
      <c r="B72" s="43" t="s">
        <v>56</v>
      </c>
      <c r="C72" s="43"/>
      <c r="D72" s="43"/>
      <c r="E72" s="43"/>
      <c r="F72" s="42"/>
      <c r="G72" s="43"/>
      <c r="H72" s="43"/>
      <c r="I72" s="43"/>
      <c r="J72" s="44"/>
    </row>
    <row r="73" spans="1:10" ht="16.5" customHeight="1" thickTop="1" x14ac:dyDescent="0.25">
      <c r="A73" s="55" t="str">
        <f t="shared" si="1"/>
        <v>6527</v>
      </c>
      <c r="B73" s="85" t="s">
        <v>152</v>
      </c>
      <c r="C73" s="94" t="s">
        <v>22</v>
      </c>
      <c r="D73" s="52">
        <v>1001031076527</v>
      </c>
      <c r="E73" s="24"/>
      <c r="F73" s="56">
        <v>1</v>
      </c>
      <c r="G73" s="23">
        <f t="shared" ref="G73:G77" si="8">E73</f>
        <v>0</v>
      </c>
      <c r="H73" s="29">
        <v>3</v>
      </c>
      <c r="I73" s="29">
        <v>45</v>
      </c>
      <c r="J73" s="29"/>
    </row>
    <row r="74" spans="1:10" ht="16.5" customHeight="1" x14ac:dyDescent="0.25">
      <c r="A74" s="55" t="str">
        <f t="shared" si="1"/>
        <v>6550</v>
      </c>
      <c r="B74" s="85" t="s">
        <v>151</v>
      </c>
      <c r="C74" s="51" t="s">
        <v>22</v>
      </c>
      <c r="D74" s="52">
        <v>1001032736550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</row>
    <row r="75" spans="1:10" ht="16.5" customHeight="1" x14ac:dyDescent="0.25">
      <c r="A75" s="55" t="str">
        <f t="shared" si="1"/>
        <v>6549</v>
      </c>
      <c r="B75" s="85" t="s">
        <v>184</v>
      </c>
      <c r="C75" s="51" t="s">
        <v>22</v>
      </c>
      <c r="D75" s="52">
        <v>1001032736549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</row>
    <row r="76" spans="1:10" ht="16.5" customHeight="1" x14ac:dyDescent="0.25">
      <c r="A76" s="55" t="str">
        <f t="shared" ref="A76:A79" si="9">RIGHT(D76,4)</f>
        <v>7001</v>
      </c>
      <c r="B76" s="85" t="s">
        <v>57</v>
      </c>
      <c r="C76" s="51" t="s">
        <v>22</v>
      </c>
      <c r="D76" s="52">
        <v>1001035937001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</row>
    <row r="77" spans="1:10" ht="16.5" customHeight="1" x14ac:dyDescent="0.25">
      <c r="A77" s="55" t="str">
        <f t="shared" si="9"/>
        <v>6608</v>
      </c>
      <c r="B77" s="85" t="s">
        <v>58</v>
      </c>
      <c r="C77" s="51" t="s">
        <v>22</v>
      </c>
      <c r="D77" s="52">
        <v>1001033856608</v>
      </c>
      <c r="E77" s="24"/>
      <c r="F77" s="23">
        <v>1</v>
      </c>
      <c r="G77" s="23">
        <f t="shared" si="8"/>
        <v>0</v>
      </c>
      <c r="H77" s="14">
        <v>3</v>
      </c>
      <c r="I77" s="14">
        <v>45</v>
      </c>
      <c r="J77" s="29"/>
    </row>
    <row r="78" spans="1:10" ht="16.5" customHeight="1" x14ac:dyDescent="0.25">
      <c r="A78" s="55" t="str">
        <f t="shared" si="9"/>
        <v>7059</v>
      </c>
      <c r="B78" s="85" t="s">
        <v>154</v>
      </c>
      <c r="C78" s="51" t="s">
        <v>20</v>
      </c>
      <c r="D78" s="52">
        <v>1001035277059</v>
      </c>
      <c r="E78" s="24"/>
      <c r="F78" s="23">
        <v>0.3</v>
      </c>
      <c r="G78" s="23">
        <f t="shared" ref="G78:G79" si="10">E78*F78</f>
        <v>0</v>
      </c>
      <c r="H78" s="14">
        <v>2.4</v>
      </c>
      <c r="I78" s="14">
        <v>60</v>
      </c>
      <c r="J78" s="29"/>
    </row>
    <row r="79" spans="1:10" ht="16.5" customHeight="1" thickBot="1" x14ac:dyDescent="0.3">
      <c r="A79" s="55" t="str">
        <f t="shared" si="9"/>
        <v>6609</v>
      </c>
      <c r="B79" s="85" t="s">
        <v>153</v>
      </c>
      <c r="C79" s="51" t="s">
        <v>20</v>
      </c>
      <c r="D79" s="52">
        <v>1001033856609</v>
      </c>
      <c r="E79" s="24"/>
      <c r="F79" s="23">
        <v>0.4</v>
      </c>
      <c r="G79" s="23">
        <f t="shared" si="10"/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8" t="s">
        <v>104</v>
      </c>
      <c r="B80" s="43" t="s">
        <v>59</v>
      </c>
      <c r="C80" s="43"/>
      <c r="D80" s="43"/>
      <c r="E80" s="43"/>
      <c r="F80" s="42"/>
      <c r="G80" s="43"/>
      <c r="H80" s="43"/>
      <c r="I80" s="43"/>
      <c r="J80" s="44"/>
    </row>
    <row r="81" spans="1:10" ht="16.5" customHeight="1" thickTop="1" x14ac:dyDescent="0.25">
      <c r="A81" s="55" t="str">
        <f t="shared" ref="A81:A103" si="11">RIGHT(D81,4)</f>
        <v>7564</v>
      </c>
      <c r="B81" s="54" t="s">
        <v>121</v>
      </c>
      <c r="C81" s="51" t="s">
        <v>22</v>
      </c>
      <c r="D81" s="52">
        <v>1001303637564</v>
      </c>
      <c r="E81" s="24"/>
      <c r="F81" s="23">
        <v>0.84</v>
      </c>
      <c r="G81" s="23">
        <f t="shared" ref="G81:G85" si="12">E81</f>
        <v>0</v>
      </c>
      <c r="H81" s="14">
        <v>5.04</v>
      </c>
      <c r="I81" s="14">
        <v>45</v>
      </c>
      <c r="J81" s="53" t="s">
        <v>170</v>
      </c>
    </row>
    <row r="82" spans="1:10" ht="16.5" customHeight="1" x14ac:dyDescent="0.25">
      <c r="A82" s="55" t="str">
        <f t="shared" si="11"/>
        <v>7133</v>
      </c>
      <c r="B82" s="54" t="s">
        <v>73</v>
      </c>
      <c r="C82" s="51" t="s">
        <v>22</v>
      </c>
      <c r="D82" s="52">
        <v>1001300367133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</row>
    <row r="83" spans="1:10" ht="16.5" customHeight="1" x14ac:dyDescent="0.25">
      <c r="A83" s="55" t="str">
        <f t="shared" si="11"/>
        <v>6946</v>
      </c>
      <c r="B83" s="54" t="s">
        <v>179</v>
      </c>
      <c r="C83" s="51" t="s">
        <v>22</v>
      </c>
      <c r="D83" s="52">
        <v>1001300456946</v>
      </c>
      <c r="E83" s="24"/>
      <c r="F83" s="23">
        <v>0.84</v>
      </c>
      <c r="G83" s="23">
        <f t="shared" si="12"/>
        <v>0</v>
      </c>
      <c r="H83" s="14">
        <v>5.04</v>
      </c>
      <c r="I83" s="14">
        <v>45</v>
      </c>
      <c r="J83" s="29"/>
    </row>
    <row r="84" spans="1:10" ht="16.5" customHeight="1" x14ac:dyDescent="0.25">
      <c r="A84" s="55" t="str">
        <f t="shared" si="11"/>
        <v>7132</v>
      </c>
      <c r="B84" s="54" t="s">
        <v>180</v>
      </c>
      <c r="C84" s="51" t="s">
        <v>22</v>
      </c>
      <c r="D84" s="52">
        <v>1001300517132</v>
      </c>
      <c r="E84" s="24"/>
      <c r="F84" s="56">
        <v>0.84</v>
      </c>
      <c r="G84" s="23">
        <f t="shared" si="12"/>
        <v>0</v>
      </c>
      <c r="H84" s="29">
        <v>5.04</v>
      </c>
      <c r="I84" s="29">
        <v>45</v>
      </c>
      <c r="J84" s="29"/>
    </row>
    <row r="85" spans="1:10" ht="16.5" customHeight="1" x14ac:dyDescent="0.25">
      <c r="A85" s="55" t="str">
        <f t="shared" si="11"/>
        <v>5544</v>
      </c>
      <c r="B85" s="54" t="s">
        <v>72</v>
      </c>
      <c r="C85" s="51" t="s">
        <v>22</v>
      </c>
      <c r="D85" s="52">
        <v>1001051875544</v>
      </c>
      <c r="E85" s="24"/>
      <c r="F85" s="56">
        <v>0.81</v>
      </c>
      <c r="G85" s="23">
        <f t="shared" si="12"/>
        <v>0</v>
      </c>
      <c r="H85" s="29">
        <v>4.8600000000000003</v>
      </c>
      <c r="I85" s="29">
        <v>45</v>
      </c>
      <c r="J85" s="29"/>
    </row>
    <row r="86" spans="1:10" ht="16.5" customHeight="1" x14ac:dyDescent="0.25">
      <c r="A86" s="55" t="str">
        <f t="shared" si="11"/>
        <v>7149</v>
      </c>
      <c r="B86" s="54" t="s">
        <v>19</v>
      </c>
      <c r="C86" s="51" t="s">
        <v>20</v>
      </c>
      <c r="D86" s="52">
        <v>1001303637149</v>
      </c>
      <c r="E86" s="24"/>
      <c r="F86" s="56">
        <v>0.84</v>
      </c>
      <c r="G86" s="23">
        <f>E86*F86</f>
        <v>0</v>
      </c>
      <c r="H86" s="29">
        <v>5.04</v>
      </c>
      <c r="I86" s="29">
        <v>50</v>
      </c>
      <c r="J86" s="29"/>
    </row>
    <row r="87" spans="1:10" ht="16.5" customHeight="1" x14ac:dyDescent="0.25">
      <c r="A87" s="55" t="str">
        <f t="shared" si="11"/>
        <v>7157</v>
      </c>
      <c r="B87" s="54" t="s">
        <v>74</v>
      </c>
      <c r="C87" s="51" t="s">
        <v>22</v>
      </c>
      <c r="D87" s="52">
        <v>1001300387157</v>
      </c>
      <c r="E87" s="24"/>
      <c r="F87" s="56">
        <v>0.63</v>
      </c>
      <c r="G87" s="23">
        <f t="shared" ref="G87:G88" si="13">E87</f>
        <v>0</v>
      </c>
      <c r="H87" s="29">
        <v>5.04</v>
      </c>
      <c r="I87" s="29">
        <v>50</v>
      </c>
      <c r="J87" s="29"/>
    </row>
    <row r="88" spans="1:10" ht="16.5" customHeight="1" x14ac:dyDescent="0.25">
      <c r="A88" s="55" t="str">
        <f t="shared" si="11"/>
        <v>7166</v>
      </c>
      <c r="B88" s="54" t="s">
        <v>71</v>
      </c>
      <c r="C88" s="51" t="s">
        <v>22</v>
      </c>
      <c r="D88" s="52">
        <v>1001303987166</v>
      </c>
      <c r="E88" s="24"/>
      <c r="F88" s="56">
        <v>0.7</v>
      </c>
      <c r="G88" s="23">
        <f t="shared" si="13"/>
        <v>0</v>
      </c>
      <c r="H88" s="29">
        <v>5.6</v>
      </c>
      <c r="I88" s="29">
        <v>50</v>
      </c>
      <c r="J88" s="29"/>
    </row>
    <row r="89" spans="1:10" ht="16.5" customHeight="1" x14ac:dyDescent="0.25">
      <c r="A89" s="55" t="str">
        <f t="shared" si="11"/>
        <v>7603</v>
      </c>
      <c r="B89" s="54" t="s">
        <v>122</v>
      </c>
      <c r="C89" s="51" t="s">
        <v>20</v>
      </c>
      <c r="D89" s="52">
        <v>1001303637603</v>
      </c>
      <c r="E89" s="24"/>
      <c r="F89" s="23">
        <v>0.33</v>
      </c>
      <c r="G89" s="23">
        <f t="shared" ref="G89:G105" si="14">E89*F89</f>
        <v>0</v>
      </c>
      <c r="H89" s="14">
        <v>2.64</v>
      </c>
      <c r="I89" s="14">
        <v>45</v>
      </c>
      <c r="J89" s="53" t="s">
        <v>171</v>
      </c>
    </row>
    <row r="90" spans="1:10" ht="16.5" customHeight="1" x14ac:dyDescent="0.25">
      <c r="A90" s="55" t="str">
        <f t="shared" si="11"/>
        <v>6807</v>
      </c>
      <c r="B90" s="54" t="s">
        <v>75</v>
      </c>
      <c r="C90" s="51" t="s">
        <v>20</v>
      </c>
      <c r="D90" s="52">
        <v>1001300366807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</row>
    <row r="91" spans="1:10" ht="16.5" customHeight="1" x14ac:dyDescent="0.25">
      <c r="A91" s="55" t="str">
        <f t="shared" si="11"/>
        <v>6787</v>
      </c>
      <c r="B91" s="54" t="s">
        <v>65</v>
      </c>
      <c r="C91" s="51" t="s">
        <v>20</v>
      </c>
      <c r="D91" s="52">
        <v>1001300456787</v>
      </c>
      <c r="E91" s="24"/>
      <c r="F91" s="23">
        <v>0.33</v>
      </c>
      <c r="G91" s="23">
        <f t="shared" si="14"/>
        <v>0</v>
      </c>
      <c r="H91" s="14">
        <v>2.64</v>
      </c>
      <c r="I91" s="14">
        <v>45</v>
      </c>
      <c r="J91" s="29"/>
    </row>
    <row r="92" spans="1:10" ht="16.5" customHeight="1" x14ac:dyDescent="0.25">
      <c r="A92" s="55" t="str">
        <f t="shared" si="11"/>
        <v>6697</v>
      </c>
      <c r="B92" s="93" t="s">
        <v>66</v>
      </c>
      <c r="C92" s="51" t="s">
        <v>20</v>
      </c>
      <c r="D92" s="52">
        <v>1001301876697</v>
      </c>
      <c r="E92" s="24">
        <v>180</v>
      </c>
      <c r="F92" s="23">
        <v>0.35</v>
      </c>
      <c r="G92" s="23">
        <f t="shared" si="14"/>
        <v>62.999999999999993</v>
      </c>
      <c r="H92" s="14">
        <v>2.8</v>
      </c>
      <c r="I92" s="14">
        <v>45</v>
      </c>
      <c r="J92" s="29"/>
    </row>
    <row r="93" spans="1:10" ht="16.5" customHeight="1" x14ac:dyDescent="0.25">
      <c r="A93" s="55" t="str">
        <f t="shared" si="11"/>
        <v>7169</v>
      </c>
      <c r="B93" s="93" t="s">
        <v>70</v>
      </c>
      <c r="C93" s="51" t="s">
        <v>20</v>
      </c>
      <c r="D93" s="52">
        <v>1001303987169</v>
      </c>
      <c r="E93" s="24"/>
      <c r="F93" s="23">
        <v>0.35</v>
      </c>
      <c r="G93" s="23">
        <f t="shared" si="14"/>
        <v>0</v>
      </c>
      <c r="H93" s="14">
        <v>2.8</v>
      </c>
      <c r="I93" s="14">
        <v>50</v>
      </c>
      <c r="J93" s="29"/>
    </row>
    <row r="94" spans="1:10" ht="15.75" customHeight="1" x14ac:dyDescent="0.25">
      <c r="A94" s="55" t="str">
        <f t="shared" si="11"/>
        <v>7233</v>
      </c>
      <c r="B94" s="54" t="s">
        <v>181</v>
      </c>
      <c r="C94" s="51" t="s">
        <v>20</v>
      </c>
      <c r="D94" s="52">
        <v>1001303637233</v>
      </c>
      <c r="E94" s="24"/>
      <c r="F94" s="23">
        <v>0.31</v>
      </c>
      <c r="G94" s="23">
        <f t="shared" si="14"/>
        <v>0</v>
      </c>
      <c r="H94" s="14">
        <v>2.48</v>
      </c>
      <c r="I94" s="14">
        <v>45</v>
      </c>
      <c r="J94" s="29"/>
    </row>
    <row r="95" spans="1:10" ht="15.75" customHeight="1" x14ac:dyDescent="0.25">
      <c r="A95" s="55" t="str">
        <f t="shared" si="11"/>
        <v>7236</v>
      </c>
      <c r="B95" s="54" t="s">
        <v>68</v>
      </c>
      <c r="C95" s="51" t="s">
        <v>20</v>
      </c>
      <c r="D95" s="52">
        <v>1001304507236</v>
      </c>
      <c r="E95" s="24">
        <v>120</v>
      </c>
      <c r="F95" s="23">
        <v>0.28000000000000003</v>
      </c>
      <c r="G95" s="23">
        <f t="shared" si="14"/>
        <v>33.6</v>
      </c>
      <c r="H95" s="14">
        <v>2.2400000000000002</v>
      </c>
      <c r="I95" s="14">
        <v>45</v>
      </c>
      <c r="J95" s="50"/>
    </row>
    <row r="96" spans="1:10" ht="15.75" customHeight="1" x14ac:dyDescent="0.25">
      <c r="A96" s="55" t="str">
        <f t="shared" si="11"/>
        <v>7177</v>
      </c>
      <c r="B96" s="54" t="s">
        <v>124</v>
      </c>
      <c r="C96" s="51" t="s">
        <v>20</v>
      </c>
      <c r="D96" s="52">
        <v>1001302347177</v>
      </c>
      <c r="E96" s="24">
        <v>225</v>
      </c>
      <c r="F96" s="23">
        <v>0.35</v>
      </c>
      <c r="G96" s="23">
        <f t="shared" si="14"/>
        <v>78.75</v>
      </c>
      <c r="H96" s="14">
        <v>2.8</v>
      </c>
      <c r="I96" s="14">
        <v>50</v>
      </c>
      <c r="J96" s="50"/>
    </row>
    <row r="97" spans="1:10" ht="15.75" customHeight="1" x14ac:dyDescent="0.25">
      <c r="A97" s="55" t="str">
        <f t="shared" si="11"/>
        <v>7232</v>
      </c>
      <c r="B97" s="54" t="s">
        <v>61</v>
      </c>
      <c r="C97" s="51" t="s">
        <v>20</v>
      </c>
      <c r="D97" s="52">
        <v>1001302277232</v>
      </c>
      <c r="E97" s="24"/>
      <c r="F97" s="23">
        <v>0.28000000000000003</v>
      </c>
      <c r="G97" s="23">
        <f t="shared" si="14"/>
        <v>0</v>
      </c>
      <c r="H97" s="14">
        <v>2.2400000000000002</v>
      </c>
      <c r="I97" s="14">
        <v>50</v>
      </c>
      <c r="J97" s="50"/>
    </row>
    <row r="98" spans="1:10" ht="15.75" customHeight="1" x14ac:dyDescent="0.25">
      <c r="A98" s="55" t="str">
        <f t="shared" si="11"/>
        <v>7154</v>
      </c>
      <c r="B98" s="54" t="s">
        <v>64</v>
      </c>
      <c r="C98" s="51" t="s">
        <v>20</v>
      </c>
      <c r="D98" s="52">
        <v>1001300387154</v>
      </c>
      <c r="E98" s="24">
        <v>125</v>
      </c>
      <c r="F98" s="23">
        <v>0.35</v>
      </c>
      <c r="G98" s="23">
        <f t="shared" si="14"/>
        <v>43.75</v>
      </c>
      <c r="H98" s="14">
        <v>2.8</v>
      </c>
      <c r="I98" s="14">
        <v>50</v>
      </c>
      <c r="J98" s="50"/>
    </row>
    <row r="99" spans="1:10" ht="15.75" customHeight="1" x14ac:dyDescent="0.25">
      <c r="A99" s="55" t="str">
        <f t="shared" si="11"/>
        <v>7238</v>
      </c>
      <c r="B99" s="54" t="s">
        <v>123</v>
      </c>
      <c r="C99" s="51" t="s">
        <v>20</v>
      </c>
      <c r="D99" s="52">
        <v>1001305197238</v>
      </c>
      <c r="E99" s="24"/>
      <c r="F99" s="23">
        <v>0.31</v>
      </c>
      <c r="G99" s="23">
        <f t="shared" si="14"/>
        <v>0</v>
      </c>
      <c r="H99" s="14">
        <v>2.48</v>
      </c>
      <c r="I99" s="14">
        <v>45</v>
      </c>
      <c r="J99" s="50"/>
    </row>
    <row r="100" spans="1:10" ht="15.75" customHeight="1" x14ac:dyDescent="0.25">
      <c r="A100" s="55" t="str">
        <f t="shared" si="11"/>
        <v>7237</v>
      </c>
      <c r="B100" s="54" t="s">
        <v>67</v>
      </c>
      <c r="C100" s="51" t="s">
        <v>20</v>
      </c>
      <c r="D100" s="52">
        <v>1001304497237</v>
      </c>
      <c r="E100" s="24"/>
      <c r="F100" s="23">
        <v>0.28000000000000003</v>
      </c>
      <c r="G100" s="23">
        <f t="shared" si="14"/>
        <v>0</v>
      </c>
      <c r="H100" s="14">
        <v>2.2400000000000002</v>
      </c>
      <c r="I100" s="14">
        <v>45</v>
      </c>
      <c r="J100" s="50"/>
    </row>
    <row r="101" spans="1:10" ht="15.75" customHeight="1" x14ac:dyDescent="0.25">
      <c r="A101" s="55" t="str">
        <f t="shared" si="11"/>
        <v>7241</v>
      </c>
      <c r="B101" s="54" t="s">
        <v>63</v>
      </c>
      <c r="C101" s="51" t="s">
        <v>20</v>
      </c>
      <c r="D101" s="52">
        <v>1001303107241</v>
      </c>
      <c r="E101" s="24">
        <v>115</v>
      </c>
      <c r="F101" s="23">
        <v>0.28000000000000003</v>
      </c>
      <c r="G101" s="23">
        <f t="shared" si="14"/>
        <v>32.200000000000003</v>
      </c>
      <c r="H101" s="14">
        <v>2.2400000000000002</v>
      </c>
      <c r="I101" s="14">
        <v>45</v>
      </c>
      <c r="J101" s="50"/>
    </row>
    <row r="102" spans="1:10" ht="15.75" customHeight="1" x14ac:dyDescent="0.25">
      <c r="A102" s="55" t="str">
        <f t="shared" si="11"/>
        <v>7332</v>
      </c>
      <c r="B102" s="54" t="s">
        <v>62</v>
      </c>
      <c r="C102" s="51" t="s">
        <v>20</v>
      </c>
      <c r="D102" s="52">
        <v>1001301777332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</row>
    <row r="103" spans="1:10" ht="15.75" customHeight="1" x14ac:dyDescent="0.25">
      <c r="A103" s="55" t="str">
        <f t="shared" si="11"/>
        <v>7333</v>
      </c>
      <c r="B103" s="54" t="s">
        <v>69</v>
      </c>
      <c r="C103" s="51" t="s">
        <v>20</v>
      </c>
      <c r="D103" s="52">
        <v>1001303987333</v>
      </c>
      <c r="E103" s="24">
        <v>180</v>
      </c>
      <c r="F103" s="23">
        <v>0.28000000000000003</v>
      </c>
      <c r="G103" s="23">
        <f t="shared" si="14"/>
        <v>50.400000000000006</v>
      </c>
      <c r="H103" s="14">
        <v>2.2400000000000002</v>
      </c>
      <c r="I103" s="14">
        <v>50</v>
      </c>
      <c r="J103" s="50"/>
    </row>
    <row r="104" spans="1:10" ht="15.75" customHeight="1" x14ac:dyDescent="0.25">
      <c r="A104" s="55" t="str">
        <f t="shared" ref="A104:A105" si="15">RIGHT(D104,4)</f>
        <v>6459</v>
      </c>
      <c r="B104" s="54" t="s">
        <v>60</v>
      </c>
      <c r="C104" s="51" t="s">
        <v>20</v>
      </c>
      <c r="D104" s="52">
        <v>1001214196459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0"/>
    </row>
    <row r="105" spans="1:10" ht="15.75" customHeight="1" thickBot="1" x14ac:dyDescent="0.3">
      <c r="A105" s="55" t="str">
        <f t="shared" si="15"/>
        <v>7474</v>
      </c>
      <c r="B105" s="54" t="s">
        <v>126</v>
      </c>
      <c r="C105" s="51" t="s">
        <v>20</v>
      </c>
      <c r="D105" s="52">
        <v>1001216717474</v>
      </c>
      <c r="E105" s="24"/>
      <c r="F105" s="23">
        <v>0.1</v>
      </c>
      <c r="G105" s="23">
        <f t="shared" si="14"/>
        <v>0</v>
      </c>
      <c r="H105" s="14">
        <v>1</v>
      </c>
      <c r="I105" s="14">
        <v>45</v>
      </c>
      <c r="J105" s="50"/>
    </row>
    <row r="106" spans="1:10" ht="16.5" customHeight="1" thickTop="1" thickBot="1" x14ac:dyDescent="0.3">
      <c r="A106" s="48" t="s">
        <v>104</v>
      </c>
      <c r="B106" s="43" t="s">
        <v>76</v>
      </c>
      <c r="C106" s="43"/>
      <c r="D106" s="43"/>
      <c r="E106" s="43"/>
      <c r="F106" s="42"/>
      <c r="G106" s="43"/>
      <c r="H106" s="43"/>
      <c r="I106" s="43"/>
      <c r="J106" s="44"/>
    </row>
    <row r="107" spans="1:10" ht="16.5" customHeight="1" thickTop="1" x14ac:dyDescent="0.25">
      <c r="A107" s="55" t="str">
        <f t="shared" ref="A107:A139" si="16">RIGHT(D107,4)</f>
        <v>0614</v>
      </c>
      <c r="B107" s="54" t="s">
        <v>140</v>
      </c>
      <c r="C107" s="51" t="s">
        <v>22</v>
      </c>
      <c r="D107" s="52">
        <v>1001060720614</v>
      </c>
      <c r="E107" s="24"/>
      <c r="F107" s="56">
        <v>0.52</v>
      </c>
      <c r="G107" s="23">
        <f t="shared" ref="G107:G110" si="17">E107</f>
        <v>0</v>
      </c>
      <c r="H107" s="88">
        <v>3.64</v>
      </c>
      <c r="I107" s="87">
        <v>120</v>
      </c>
      <c r="J107" s="29"/>
    </row>
    <row r="108" spans="1:10" ht="16.5" customHeight="1" x14ac:dyDescent="0.25">
      <c r="A108" s="55" t="str">
        <f t="shared" si="16"/>
        <v>3287</v>
      </c>
      <c r="B108" s="54" t="s">
        <v>90</v>
      </c>
      <c r="C108" s="51" t="s">
        <v>22</v>
      </c>
      <c r="D108" s="52">
        <v>1001060763287</v>
      </c>
      <c r="E108" s="24"/>
      <c r="F108" s="56">
        <v>0.48799999999999999</v>
      </c>
      <c r="G108" s="23">
        <f t="shared" si="17"/>
        <v>0</v>
      </c>
      <c r="H108" s="88">
        <v>3.9</v>
      </c>
      <c r="I108" s="87">
        <v>120</v>
      </c>
      <c r="J108" s="29"/>
    </row>
    <row r="109" spans="1:10" ht="16.5" customHeight="1" x14ac:dyDescent="0.25">
      <c r="A109" s="55" t="str">
        <f t="shared" si="16"/>
        <v>5708</v>
      </c>
      <c r="B109" s="54" t="s">
        <v>80</v>
      </c>
      <c r="C109" s="51" t="s">
        <v>22</v>
      </c>
      <c r="D109" s="52">
        <v>1001063145708</v>
      </c>
      <c r="E109" s="24"/>
      <c r="F109" s="23">
        <v>0.5</v>
      </c>
      <c r="G109" s="23">
        <f t="shared" si="17"/>
        <v>0</v>
      </c>
      <c r="H109" s="86">
        <v>4</v>
      </c>
      <c r="I109" s="14">
        <v>120</v>
      </c>
      <c r="J109" s="29"/>
    </row>
    <row r="110" spans="1:10" ht="16.5" customHeight="1" x14ac:dyDescent="0.25">
      <c r="A110" s="55" t="str">
        <f t="shared" si="16"/>
        <v>4117</v>
      </c>
      <c r="B110" s="54" t="s">
        <v>87</v>
      </c>
      <c r="C110" s="51" t="s">
        <v>22</v>
      </c>
      <c r="D110" s="52">
        <v>1001062504117</v>
      </c>
      <c r="E110" s="24"/>
      <c r="F110" s="23">
        <v>0.49399999999999999</v>
      </c>
      <c r="G110" s="23">
        <f t="shared" si="17"/>
        <v>0</v>
      </c>
      <c r="H110" s="14">
        <v>3.95</v>
      </c>
      <c r="I110" s="14">
        <v>120</v>
      </c>
      <c r="J110" s="29"/>
    </row>
    <row r="111" spans="1:10" ht="16.5" customHeight="1" x14ac:dyDescent="0.25">
      <c r="A111" s="55" t="str">
        <f t="shared" si="16"/>
        <v>7316</v>
      </c>
      <c r="B111" s="54" t="s">
        <v>148</v>
      </c>
      <c r="C111" s="51" t="s">
        <v>20</v>
      </c>
      <c r="D111" s="52">
        <v>1001060727316</v>
      </c>
      <c r="E111" s="24"/>
      <c r="F111" s="23">
        <v>0.54</v>
      </c>
      <c r="G111" s="23">
        <f t="shared" ref="G111:G125" si="18">E111*F111</f>
        <v>0</v>
      </c>
      <c r="H111" s="14">
        <v>3.78</v>
      </c>
      <c r="I111" s="14">
        <v>120</v>
      </c>
      <c r="J111" s="29"/>
    </row>
    <row r="112" spans="1:10" ht="16.5" customHeight="1" x14ac:dyDescent="0.25">
      <c r="A112" s="55" t="str">
        <f t="shared" si="16"/>
        <v>7317</v>
      </c>
      <c r="B112" s="54" t="s">
        <v>146</v>
      </c>
      <c r="C112" s="51" t="s">
        <v>20</v>
      </c>
      <c r="D112" s="52">
        <v>1001066567317</v>
      </c>
      <c r="E112" s="24"/>
      <c r="F112" s="23">
        <v>0.54</v>
      </c>
      <c r="G112" s="23">
        <f t="shared" si="18"/>
        <v>0</v>
      </c>
      <c r="H112" s="14">
        <v>3.78</v>
      </c>
      <c r="I112" s="14">
        <v>120</v>
      </c>
      <c r="J112" s="29"/>
    </row>
    <row r="113" spans="1:10" ht="16.5" customHeight="1" x14ac:dyDescent="0.25">
      <c r="A113" s="55" t="str">
        <f t="shared" si="16"/>
        <v>7143</v>
      </c>
      <c r="B113" s="54" t="s">
        <v>142</v>
      </c>
      <c r="C113" s="51" t="s">
        <v>20</v>
      </c>
      <c r="D113" s="52">
        <v>1001060717143</v>
      </c>
      <c r="E113" s="24"/>
      <c r="F113" s="23">
        <v>0.22</v>
      </c>
      <c r="G113" s="23">
        <f t="shared" si="18"/>
        <v>0</v>
      </c>
      <c r="H113" s="14">
        <v>1.76</v>
      </c>
      <c r="I113" s="14">
        <v>120</v>
      </c>
      <c r="J113" s="29"/>
    </row>
    <row r="114" spans="1:10" ht="16.5" customHeight="1" x14ac:dyDescent="0.25">
      <c r="A114" s="55" t="str">
        <f t="shared" si="16"/>
        <v>7147</v>
      </c>
      <c r="B114" s="54" t="s">
        <v>85</v>
      </c>
      <c r="C114" s="51" t="s">
        <v>20</v>
      </c>
      <c r="D114" s="52">
        <v>1001063237147</v>
      </c>
      <c r="E114" s="24"/>
      <c r="F114" s="23">
        <v>0.22</v>
      </c>
      <c r="G114" s="23">
        <f t="shared" si="18"/>
        <v>0</v>
      </c>
      <c r="H114" s="14">
        <v>1.76</v>
      </c>
      <c r="I114" s="14">
        <v>120</v>
      </c>
      <c r="J114" s="29"/>
    </row>
    <row r="115" spans="1:10" ht="16.5" customHeight="1" x14ac:dyDescent="0.25">
      <c r="A115" s="55" t="str">
        <f t="shared" si="16"/>
        <v>7456</v>
      </c>
      <c r="B115" s="54" t="s">
        <v>143</v>
      </c>
      <c r="C115" s="51" t="s">
        <v>20</v>
      </c>
      <c r="D115" s="52">
        <v>1001063097456</v>
      </c>
      <c r="E115" s="24"/>
      <c r="F115" s="23">
        <v>0.15</v>
      </c>
      <c r="G115" s="23">
        <f t="shared" si="18"/>
        <v>0</v>
      </c>
      <c r="H115" s="14">
        <v>1.8</v>
      </c>
      <c r="I115" s="14">
        <v>90</v>
      </c>
      <c r="J115" s="29"/>
    </row>
    <row r="116" spans="1:10" ht="16.5" customHeight="1" x14ac:dyDescent="0.25">
      <c r="A116" s="55" t="str">
        <f t="shared" si="16"/>
        <v>7318</v>
      </c>
      <c r="B116" s="54" t="s">
        <v>147</v>
      </c>
      <c r="C116" s="51" t="s">
        <v>20</v>
      </c>
      <c r="D116" s="52">
        <v>1001060727318</v>
      </c>
      <c r="E116" s="24"/>
      <c r="F116" s="23">
        <v>0.27</v>
      </c>
      <c r="G116" s="23">
        <f t="shared" si="18"/>
        <v>0</v>
      </c>
      <c r="H116" s="14">
        <v>2.16</v>
      </c>
      <c r="I116" s="14">
        <v>120</v>
      </c>
      <c r="J116" s="29"/>
    </row>
    <row r="117" spans="1:10" ht="16.5" customHeight="1" x14ac:dyDescent="0.25">
      <c r="A117" s="55" t="str">
        <f t="shared" si="16"/>
        <v>3986</v>
      </c>
      <c r="B117" s="54" t="s">
        <v>79</v>
      </c>
      <c r="C117" s="51" t="s">
        <v>20</v>
      </c>
      <c r="D117" s="52">
        <v>1001061973986</v>
      </c>
      <c r="E117" s="24"/>
      <c r="F117" s="23">
        <v>0.25</v>
      </c>
      <c r="G117" s="23">
        <f t="shared" si="18"/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5" t="str">
        <f t="shared" si="16"/>
        <v>7364</v>
      </c>
      <c r="B118" s="54" t="s">
        <v>144</v>
      </c>
      <c r="C118" s="51" t="s">
        <v>20</v>
      </c>
      <c r="D118" s="52">
        <v>1001063217364</v>
      </c>
      <c r="E118" s="24"/>
      <c r="F118" s="23">
        <v>0.22</v>
      </c>
      <c r="G118" s="23">
        <f t="shared" si="18"/>
        <v>0</v>
      </c>
      <c r="H118" s="14">
        <v>1.76</v>
      </c>
      <c r="I118" s="14">
        <v>90</v>
      </c>
      <c r="J118" s="29"/>
    </row>
    <row r="119" spans="1:10" ht="16.5" customHeight="1" x14ac:dyDescent="0.25">
      <c r="A119" s="55" t="str">
        <f t="shared" si="16"/>
        <v>7383</v>
      </c>
      <c r="B119" s="54" t="s">
        <v>145</v>
      </c>
      <c r="C119" s="51" t="s">
        <v>20</v>
      </c>
      <c r="D119" s="52">
        <v>1001065467383</v>
      </c>
      <c r="E119" s="24"/>
      <c r="F119" s="23">
        <v>0.22</v>
      </c>
      <c r="G119" s="23">
        <f t="shared" si="18"/>
        <v>0</v>
      </c>
      <c r="H119" s="14">
        <v>1.76</v>
      </c>
      <c r="I119" s="14">
        <v>90</v>
      </c>
      <c r="J119" s="29"/>
    </row>
    <row r="120" spans="1:10" ht="16.5" customHeight="1" x14ac:dyDescent="0.25">
      <c r="A120" s="55" t="str">
        <f t="shared" si="16"/>
        <v>6967</v>
      </c>
      <c r="B120" s="54" t="s">
        <v>83</v>
      </c>
      <c r="C120" s="51" t="s">
        <v>20</v>
      </c>
      <c r="D120" s="52">
        <v>1001063656967</v>
      </c>
      <c r="E120" s="24"/>
      <c r="F120" s="23">
        <v>0.25</v>
      </c>
      <c r="G120" s="23">
        <f t="shared" si="18"/>
        <v>0</v>
      </c>
      <c r="H120" s="14">
        <v>2</v>
      </c>
      <c r="I120" s="14">
        <v>120</v>
      </c>
      <c r="J120" s="29"/>
    </row>
    <row r="121" spans="1:10" ht="16.5" customHeight="1" x14ac:dyDescent="0.25">
      <c r="A121" s="55" t="str">
        <f t="shared" si="16"/>
        <v>4993</v>
      </c>
      <c r="B121" s="54" t="s">
        <v>139</v>
      </c>
      <c r="C121" s="51" t="s">
        <v>20</v>
      </c>
      <c r="D121" s="52">
        <v>1001060764993</v>
      </c>
      <c r="E121" s="24">
        <v>360</v>
      </c>
      <c r="F121" s="23">
        <v>0.25</v>
      </c>
      <c r="G121" s="23">
        <f t="shared" si="18"/>
        <v>90</v>
      </c>
      <c r="H121" s="14">
        <v>2</v>
      </c>
      <c r="I121" s="14">
        <v>120</v>
      </c>
      <c r="J121" s="29"/>
    </row>
    <row r="122" spans="1:10" ht="16.5" customHeight="1" x14ac:dyDescent="0.25">
      <c r="A122" s="55" t="str">
        <f t="shared" si="16"/>
        <v>6937</v>
      </c>
      <c r="B122" s="54" t="s">
        <v>141</v>
      </c>
      <c r="C122" s="51" t="s">
        <v>20</v>
      </c>
      <c r="D122" s="52">
        <v>1001063106937</v>
      </c>
      <c r="E122" s="24">
        <v>60</v>
      </c>
      <c r="F122" s="23">
        <v>0.25</v>
      </c>
      <c r="G122" s="23">
        <f t="shared" si="18"/>
        <v>15</v>
      </c>
      <c r="H122" s="14">
        <v>2</v>
      </c>
      <c r="I122" s="14">
        <v>120</v>
      </c>
      <c r="J122" s="29"/>
    </row>
    <row r="123" spans="1:10" ht="16.5" customHeight="1" x14ac:dyDescent="0.25">
      <c r="A123" s="55" t="str">
        <f t="shared" si="16"/>
        <v>5483</v>
      </c>
      <c r="B123" s="54" t="s">
        <v>88</v>
      </c>
      <c r="C123" s="51" t="s">
        <v>20</v>
      </c>
      <c r="D123" s="52">
        <v>1001062505483</v>
      </c>
      <c r="E123" s="24">
        <v>200</v>
      </c>
      <c r="F123" s="23">
        <v>0.25</v>
      </c>
      <c r="G123" s="23">
        <f t="shared" si="18"/>
        <v>50</v>
      </c>
      <c r="H123" s="14">
        <v>2</v>
      </c>
      <c r="I123" s="14">
        <v>120</v>
      </c>
      <c r="J123" s="29"/>
    </row>
    <row r="124" spans="1:10" ht="16.5" customHeight="1" x14ac:dyDescent="0.25">
      <c r="A124" s="55" t="str">
        <f t="shared" si="16"/>
        <v>5931</v>
      </c>
      <c r="B124" s="54" t="s">
        <v>77</v>
      </c>
      <c r="C124" s="51" t="s">
        <v>20</v>
      </c>
      <c r="D124" s="52">
        <v>1001060755931</v>
      </c>
      <c r="E124" s="24">
        <v>190</v>
      </c>
      <c r="F124" s="23">
        <v>0.22</v>
      </c>
      <c r="G124" s="23">
        <f t="shared" si="18"/>
        <v>41.8</v>
      </c>
      <c r="H124" s="14">
        <v>1.76</v>
      </c>
      <c r="I124" s="14">
        <v>120</v>
      </c>
      <c r="J124" s="29"/>
    </row>
    <row r="125" spans="1:10" ht="16.5" customHeight="1" x14ac:dyDescent="0.25">
      <c r="A125" s="55" t="str">
        <f t="shared" si="16"/>
        <v>7417</v>
      </c>
      <c r="B125" s="54" t="s">
        <v>149</v>
      </c>
      <c r="C125" s="51" t="s">
        <v>20</v>
      </c>
      <c r="D125" s="52">
        <v>1001307147417</v>
      </c>
      <c r="E125" s="24"/>
      <c r="F125" s="23">
        <v>0.44</v>
      </c>
      <c r="G125" s="23">
        <f t="shared" si="18"/>
        <v>0</v>
      </c>
      <c r="H125" s="14">
        <v>1.76</v>
      </c>
      <c r="I125" s="14">
        <v>90</v>
      </c>
      <c r="J125" s="29"/>
    </row>
    <row r="126" spans="1:10" ht="16.5" customHeight="1" x14ac:dyDescent="0.25">
      <c r="A126" s="55" t="str">
        <f t="shared" si="16"/>
        <v>6832</v>
      </c>
      <c r="B126" s="54" t="s">
        <v>81</v>
      </c>
      <c r="C126" s="51" t="s">
        <v>22</v>
      </c>
      <c r="D126" s="52">
        <v>1001065616832</v>
      </c>
      <c r="E126" s="24"/>
      <c r="F126" s="23">
        <v>0.215</v>
      </c>
      <c r="G126" s="23">
        <f t="shared" ref="G126:G127" si="19">E126</f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5" t="str">
        <f t="shared" si="16"/>
        <v>7299</v>
      </c>
      <c r="B127" s="54" t="s">
        <v>82</v>
      </c>
      <c r="C127" s="51" t="s">
        <v>22</v>
      </c>
      <c r="D127" s="52">
        <v>1001060677299</v>
      </c>
      <c r="E127" s="24"/>
      <c r="F127" s="23">
        <v>0.215</v>
      </c>
      <c r="G127" s="23">
        <f t="shared" si="19"/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5" t="str">
        <f t="shared" si="16"/>
        <v>7386</v>
      </c>
      <c r="B128" s="54" t="s">
        <v>150</v>
      </c>
      <c r="C128" s="51" t="s">
        <v>20</v>
      </c>
      <c r="D128" s="52">
        <v>1001067017386</v>
      </c>
      <c r="E128" s="24"/>
      <c r="F128" s="23">
        <v>0.15</v>
      </c>
      <c r="G128" s="23">
        <f t="shared" ref="G128:G138" si="20">E128*F128</f>
        <v>0</v>
      </c>
      <c r="H128" s="14">
        <v>1.35</v>
      </c>
      <c r="I128" s="14">
        <v>90</v>
      </c>
      <c r="J128" s="29"/>
    </row>
    <row r="129" spans="1:10" ht="16.5" customHeight="1" x14ac:dyDescent="0.25">
      <c r="A129" s="55" t="str">
        <f t="shared" si="16"/>
        <v>5679</v>
      </c>
      <c r="B129" s="54" t="s">
        <v>136</v>
      </c>
      <c r="C129" s="51" t="s">
        <v>20</v>
      </c>
      <c r="D129" s="52">
        <v>1001190765679</v>
      </c>
      <c r="E129" s="24">
        <v>260</v>
      </c>
      <c r="F129" s="23">
        <v>0.15</v>
      </c>
      <c r="G129" s="23">
        <f t="shared" si="20"/>
        <v>39</v>
      </c>
      <c r="H129" s="14">
        <v>1.2</v>
      </c>
      <c r="I129" s="14">
        <v>60</v>
      </c>
      <c r="J129" s="29"/>
    </row>
    <row r="130" spans="1:10" ht="16.5" customHeight="1" x14ac:dyDescent="0.25">
      <c r="A130" s="55" t="str">
        <f t="shared" si="16"/>
        <v>7382</v>
      </c>
      <c r="B130" s="54" t="s">
        <v>84</v>
      </c>
      <c r="C130" s="51" t="s">
        <v>20</v>
      </c>
      <c r="D130" s="52">
        <v>1001203117382</v>
      </c>
      <c r="E130" s="24">
        <v>145</v>
      </c>
      <c r="F130" s="23">
        <v>0.12</v>
      </c>
      <c r="G130" s="23">
        <f t="shared" si="20"/>
        <v>17.399999999999999</v>
      </c>
      <c r="H130" s="14">
        <v>0.96</v>
      </c>
      <c r="I130" s="14">
        <v>60</v>
      </c>
      <c r="J130" s="29"/>
    </row>
    <row r="131" spans="1:10" ht="16.5" customHeight="1" x14ac:dyDescent="0.25">
      <c r="A131" s="55" t="str">
        <f t="shared" si="16"/>
        <v>6454</v>
      </c>
      <c r="B131" s="54" t="s">
        <v>131</v>
      </c>
      <c r="C131" s="51" t="s">
        <v>20</v>
      </c>
      <c r="D131" s="52">
        <v>1001201976454</v>
      </c>
      <c r="E131" s="24"/>
      <c r="F131" s="23">
        <v>0.1</v>
      </c>
      <c r="G131" s="23">
        <f t="shared" si="20"/>
        <v>0</v>
      </c>
      <c r="H131" s="14">
        <v>1</v>
      </c>
      <c r="I131" s="14">
        <v>60</v>
      </c>
      <c r="J131" s="29"/>
    </row>
    <row r="132" spans="1:10" ht="16.5" customHeight="1" x14ac:dyDescent="0.25">
      <c r="A132" s="55" t="str">
        <f t="shared" si="16"/>
        <v>6453</v>
      </c>
      <c r="B132" s="54" t="s">
        <v>182</v>
      </c>
      <c r="C132" s="51" t="s">
        <v>20</v>
      </c>
      <c r="D132" s="52">
        <v>1001202506453</v>
      </c>
      <c r="E132" s="24">
        <v>240</v>
      </c>
      <c r="F132" s="23">
        <v>0.1</v>
      </c>
      <c r="G132" s="23">
        <f t="shared" si="20"/>
        <v>24</v>
      </c>
      <c r="H132" s="14">
        <v>1.4</v>
      </c>
      <c r="I132" s="14">
        <v>60</v>
      </c>
      <c r="J132" s="29"/>
    </row>
    <row r="133" spans="1:10" ht="16.5" customHeight="1" x14ac:dyDescent="0.25">
      <c r="A133" s="55" t="str">
        <f t="shared" si="16"/>
        <v>6221</v>
      </c>
      <c r="B133" s="54" t="s">
        <v>86</v>
      </c>
      <c r="C133" s="51" t="s">
        <v>20</v>
      </c>
      <c r="D133" s="52">
        <v>1001205376221</v>
      </c>
      <c r="E133" s="24">
        <v>120</v>
      </c>
      <c r="F133" s="23">
        <v>0.09</v>
      </c>
      <c r="G133" s="23">
        <f t="shared" si="20"/>
        <v>10.799999999999999</v>
      </c>
      <c r="H133" s="14">
        <v>0.9</v>
      </c>
      <c r="I133" s="14">
        <v>60</v>
      </c>
      <c r="J133" s="29"/>
    </row>
    <row r="134" spans="1:10" ht="16.5" customHeight="1" x14ac:dyDescent="0.25">
      <c r="A134" s="55" t="str">
        <f t="shared" si="16"/>
        <v>6222</v>
      </c>
      <c r="B134" s="54" t="s">
        <v>133</v>
      </c>
      <c r="C134" s="51" t="s">
        <v>20</v>
      </c>
      <c r="D134" s="52">
        <v>1001205386222</v>
      </c>
      <c r="E134" s="24"/>
      <c r="F134" s="23">
        <v>0.09</v>
      </c>
      <c r="G134" s="23">
        <f t="shared" si="20"/>
        <v>0</v>
      </c>
      <c r="H134" s="14">
        <v>0.9</v>
      </c>
      <c r="I134" s="14">
        <v>60</v>
      </c>
      <c r="J134" s="29"/>
    </row>
    <row r="135" spans="1:10" ht="16.5" customHeight="1" x14ac:dyDescent="0.25">
      <c r="A135" s="55" t="str">
        <f t="shared" si="16"/>
        <v>6834</v>
      </c>
      <c r="B135" s="54" t="s">
        <v>132</v>
      </c>
      <c r="C135" s="51" t="s">
        <v>20</v>
      </c>
      <c r="D135" s="52">
        <v>1001203146834</v>
      </c>
      <c r="E135" s="24">
        <v>100</v>
      </c>
      <c r="F135" s="23">
        <v>0.1</v>
      </c>
      <c r="G135" s="23">
        <f t="shared" si="20"/>
        <v>10</v>
      </c>
      <c r="H135" s="14">
        <v>1</v>
      </c>
      <c r="I135" s="14">
        <v>60</v>
      </c>
      <c r="J135" s="29"/>
    </row>
    <row r="136" spans="1:10" ht="16.5" customHeight="1" x14ac:dyDescent="0.25">
      <c r="A136" s="55" t="str">
        <f t="shared" si="16"/>
        <v>6965</v>
      </c>
      <c r="B136" s="54" t="s">
        <v>134</v>
      </c>
      <c r="C136" s="51" t="s">
        <v>20</v>
      </c>
      <c r="D136" s="52">
        <v>1001206356965</v>
      </c>
      <c r="E136" s="24"/>
      <c r="F136" s="23">
        <v>7.0000000000000007E-2</v>
      </c>
      <c r="G136" s="23">
        <f t="shared" si="20"/>
        <v>0</v>
      </c>
      <c r="H136" s="14">
        <v>0.98</v>
      </c>
      <c r="I136" s="14">
        <v>60</v>
      </c>
      <c r="J136" s="29"/>
    </row>
    <row r="137" spans="1:10" ht="16.5" customHeight="1" x14ac:dyDescent="0.25">
      <c r="A137" s="55" t="str">
        <f t="shared" si="16"/>
        <v>6557</v>
      </c>
      <c r="B137" s="54" t="s">
        <v>135</v>
      </c>
      <c r="C137" s="51" t="s">
        <v>20</v>
      </c>
      <c r="D137" s="52">
        <v>1001200756557</v>
      </c>
      <c r="E137" s="24">
        <v>280</v>
      </c>
      <c r="F137" s="23">
        <v>0.1</v>
      </c>
      <c r="G137" s="23">
        <f t="shared" si="20"/>
        <v>28</v>
      </c>
      <c r="H137" s="14">
        <v>1</v>
      </c>
      <c r="I137" s="14">
        <v>60</v>
      </c>
      <c r="J137" s="29"/>
    </row>
    <row r="138" spans="1:10" ht="16.5" customHeight="1" x14ac:dyDescent="0.25">
      <c r="A138" s="55" t="str">
        <f t="shared" si="16"/>
        <v>5677</v>
      </c>
      <c r="B138" s="54" t="s">
        <v>137</v>
      </c>
      <c r="C138" s="51" t="s">
        <v>20</v>
      </c>
      <c r="D138" s="52">
        <v>1001190715677</v>
      </c>
      <c r="E138" s="24"/>
      <c r="F138" s="23">
        <v>0.1</v>
      </c>
      <c r="G138" s="23">
        <f t="shared" si="20"/>
        <v>0</v>
      </c>
      <c r="H138" s="14">
        <v>1</v>
      </c>
      <c r="I138" s="14">
        <v>60</v>
      </c>
      <c r="J138" s="29"/>
    </row>
    <row r="139" spans="1:10" ht="16.5" customHeight="1" thickBot="1" x14ac:dyDescent="0.3">
      <c r="A139" s="55" t="str">
        <f t="shared" si="16"/>
        <v>7414</v>
      </c>
      <c r="B139" s="54" t="s">
        <v>138</v>
      </c>
      <c r="C139" s="51" t="s">
        <v>22</v>
      </c>
      <c r="D139" s="52">
        <v>1001204447414</v>
      </c>
      <c r="E139" s="24"/>
      <c r="F139" s="23">
        <v>1</v>
      </c>
      <c r="G139" s="23">
        <f>E139</f>
        <v>0</v>
      </c>
      <c r="H139" s="14">
        <v>8</v>
      </c>
      <c r="I139" s="14">
        <v>60</v>
      </c>
      <c r="J139" s="29"/>
    </row>
    <row r="140" spans="1:10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</row>
    <row r="141" spans="1:10" ht="16.149999999999999" customHeight="1" thickTop="1" x14ac:dyDescent="0.25">
      <c r="A141" s="55" t="str">
        <f t="shared" ref="A141:A150" si="21">RIGHT(D141,4)</f>
        <v>6470</v>
      </c>
      <c r="B141" s="92" t="s">
        <v>116</v>
      </c>
      <c r="C141" s="51" t="s">
        <v>22</v>
      </c>
      <c r="D141" s="91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</row>
    <row r="142" spans="1:10" ht="16.149999999999999" customHeight="1" x14ac:dyDescent="0.25">
      <c r="A142" s="55" t="str">
        <f t="shared" si="21"/>
        <v>6495</v>
      </c>
      <c r="B142" s="92" t="s">
        <v>95</v>
      </c>
      <c r="C142" s="51" t="s">
        <v>20</v>
      </c>
      <c r="D142" s="52">
        <v>1001092436495</v>
      </c>
      <c r="E142" s="24"/>
      <c r="F142" s="56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149999999999999" customHeight="1" x14ac:dyDescent="0.25">
      <c r="A143" s="55" t="str">
        <f t="shared" si="21"/>
        <v>5452</v>
      </c>
      <c r="B143" s="89" t="s">
        <v>93</v>
      </c>
      <c r="C143" s="51" t="s">
        <v>22</v>
      </c>
      <c r="D143" s="52">
        <v>1001092485452</v>
      </c>
      <c r="E143" s="24"/>
      <c r="F143" s="56">
        <v>1.35</v>
      </c>
      <c r="G143" s="23">
        <f t="shared" ref="G143:G146" si="22">E143</f>
        <v>0</v>
      </c>
      <c r="H143" s="29">
        <v>4.05</v>
      </c>
      <c r="I143" s="29">
        <v>60</v>
      </c>
      <c r="J143" s="29"/>
    </row>
    <row r="144" spans="1:10" ht="16.149999999999999" customHeight="1" x14ac:dyDescent="0.25">
      <c r="A144" s="55" t="str">
        <f t="shared" si="21"/>
        <v>6866</v>
      </c>
      <c r="B144" s="89" t="s">
        <v>92</v>
      </c>
      <c r="C144" s="51" t="s">
        <v>22</v>
      </c>
      <c r="D144" s="52">
        <v>1001095716866</v>
      </c>
      <c r="E144" s="24"/>
      <c r="F144" s="56">
        <v>1.5</v>
      </c>
      <c r="G144" s="23">
        <f t="shared" si="22"/>
        <v>0</v>
      </c>
      <c r="H144" s="29">
        <v>6</v>
      </c>
      <c r="I144" s="29">
        <v>60</v>
      </c>
      <c r="J144" s="29"/>
    </row>
    <row r="145" spans="1:10" ht="16.149999999999999" customHeight="1" x14ac:dyDescent="0.25">
      <c r="A145" s="55" t="str">
        <f t="shared" si="21"/>
        <v>6025</v>
      </c>
      <c r="B145" s="89" t="s">
        <v>118</v>
      </c>
      <c r="C145" s="51" t="s">
        <v>22</v>
      </c>
      <c r="D145" s="52">
        <v>1001094966025</v>
      </c>
      <c r="E145" s="24"/>
      <c r="F145" s="56">
        <v>3</v>
      </c>
      <c r="G145" s="23">
        <f t="shared" si="22"/>
        <v>0</v>
      </c>
      <c r="H145" s="29">
        <v>6</v>
      </c>
      <c r="I145" s="29">
        <v>60</v>
      </c>
      <c r="J145" s="29"/>
    </row>
    <row r="146" spans="1:10" ht="16.149999999999999" customHeight="1" x14ac:dyDescent="0.25">
      <c r="A146" s="55" t="str">
        <f t="shared" si="21"/>
        <v>4584</v>
      </c>
      <c r="B146" s="89" t="s">
        <v>175</v>
      </c>
      <c r="C146" s="51" t="s">
        <v>22</v>
      </c>
      <c r="D146" s="52">
        <v>1001092674584</v>
      </c>
      <c r="E146" s="24"/>
      <c r="F146" s="56">
        <v>2.5</v>
      </c>
      <c r="G146" s="23">
        <f t="shared" si="22"/>
        <v>0</v>
      </c>
      <c r="H146" s="29">
        <v>7.5</v>
      </c>
      <c r="I146" s="29">
        <v>60</v>
      </c>
      <c r="J146" s="29"/>
    </row>
    <row r="147" spans="1:10" ht="16.5" customHeight="1" x14ac:dyDescent="0.25">
      <c r="A147" s="55" t="str">
        <f t="shared" si="21"/>
        <v>3215</v>
      </c>
      <c r="B147" s="54" t="s">
        <v>176</v>
      </c>
      <c r="C147" s="51" t="s">
        <v>20</v>
      </c>
      <c r="D147" s="90">
        <v>1001094053215</v>
      </c>
      <c r="E147" s="24"/>
      <c r="F147" s="56">
        <v>0.4</v>
      </c>
      <c r="G147" s="23">
        <f t="shared" ref="G147:G150" si="23">E147*F147</f>
        <v>0</v>
      </c>
      <c r="H147" s="29">
        <v>3.2</v>
      </c>
      <c r="I147" s="29">
        <v>60</v>
      </c>
      <c r="J147" s="29"/>
    </row>
    <row r="148" spans="1:10" ht="16.5" customHeight="1" x14ac:dyDescent="0.25">
      <c r="A148" s="55" t="str">
        <f t="shared" si="21"/>
        <v>5495</v>
      </c>
      <c r="B148" s="54" t="s">
        <v>94</v>
      </c>
      <c r="C148" s="51" t="s">
        <v>20</v>
      </c>
      <c r="D148" s="90">
        <v>1001093345495</v>
      </c>
      <c r="E148" s="24"/>
      <c r="F148" s="56">
        <v>0.4</v>
      </c>
      <c r="G148" s="23">
        <f t="shared" si="23"/>
        <v>0</v>
      </c>
      <c r="H148" s="29">
        <v>2.4</v>
      </c>
      <c r="I148" s="29">
        <v>60</v>
      </c>
      <c r="J148" s="29"/>
    </row>
    <row r="149" spans="1:10" ht="16.5" customHeight="1" x14ac:dyDescent="0.25">
      <c r="A149" s="55" t="str">
        <f t="shared" si="21"/>
        <v>7377</v>
      </c>
      <c r="B149" s="54" t="s">
        <v>117</v>
      </c>
      <c r="C149" s="51" t="s">
        <v>20</v>
      </c>
      <c r="D149" s="90">
        <v>1001095027377</v>
      </c>
      <c r="E149" s="24"/>
      <c r="F149" s="56">
        <v>0.3</v>
      </c>
      <c r="G149" s="23">
        <f t="shared" si="23"/>
        <v>0</v>
      </c>
      <c r="H149" s="29">
        <v>1.8</v>
      </c>
      <c r="I149" s="29">
        <v>45</v>
      </c>
      <c r="J149" s="29"/>
    </row>
    <row r="150" spans="1:10" ht="15.75" customHeight="1" thickBot="1" x14ac:dyDescent="0.3">
      <c r="A150" s="55" t="str">
        <f t="shared" si="21"/>
        <v>6925</v>
      </c>
      <c r="B150" s="54" t="s">
        <v>103</v>
      </c>
      <c r="C150" s="51" t="s">
        <v>20</v>
      </c>
      <c r="D150" s="90">
        <v>1001095226925</v>
      </c>
      <c r="E150" s="24"/>
      <c r="F150" s="56">
        <v>0.6</v>
      </c>
      <c r="G150" s="23">
        <f t="shared" si="23"/>
        <v>0</v>
      </c>
      <c r="H150" s="29">
        <v>4.8</v>
      </c>
      <c r="I150" s="29">
        <v>45</v>
      </c>
      <c r="J150" s="29"/>
    </row>
    <row r="151" spans="1:10" ht="16.5" customHeight="1" thickTop="1" thickBot="1" x14ac:dyDescent="0.3">
      <c r="A151" s="48" t="s">
        <v>104</v>
      </c>
      <c r="B151" s="43" t="s">
        <v>96</v>
      </c>
      <c r="C151" s="43"/>
      <c r="D151" s="43"/>
      <c r="E151" s="43"/>
      <c r="F151" s="42"/>
      <c r="G151" s="43"/>
      <c r="H151" s="43"/>
      <c r="I151" s="43"/>
      <c r="J151" s="44"/>
    </row>
    <row r="152" spans="1:10" ht="16.5" customHeight="1" thickTop="1" x14ac:dyDescent="0.25">
      <c r="A152" s="55" t="str">
        <f t="shared" ref="A152:A162" si="24">RIGHT(D152,4)</f>
        <v>6620</v>
      </c>
      <c r="B152" s="35" t="s">
        <v>97</v>
      </c>
      <c r="C152" s="51" t="s">
        <v>22</v>
      </c>
      <c r="D152" s="52">
        <v>1001081596620</v>
      </c>
      <c r="E152" s="24"/>
      <c r="F152" s="23">
        <v>1.05</v>
      </c>
      <c r="G152" s="23">
        <f>E152</f>
        <v>0</v>
      </c>
      <c r="H152" s="14">
        <v>3.15</v>
      </c>
      <c r="I152" s="14">
        <v>30</v>
      </c>
      <c r="J152" s="29"/>
    </row>
    <row r="153" spans="1:10" ht="16.5" customHeight="1" x14ac:dyDescent="0.25">
      <c r="A153" s="55" t="str">
        <f t="shared" si="24"/>
        <v>7187</v>
      </c>
      <c r="B153" s="35" t="s">
        <v>101</v>
      </c>
      <c r="C153" s="51" t="s">
        <v>20</v>
      </c>
      <c r="D153" s="52">
        <v>1001085637187</v>
      </c>
      <c r="E153" s="24"/>
      <c r="F153" s="23">
        <v>0.3</v>
      </c>
      <c r="G153" s="23">
        <f t="shared" ref="G153:G162" si="25">E153*F153</f>
        <v>0</v>
      </c>
      <c r="H153" s="14">
        <v>1.8</v>
      </c>
      <c r="I153" s="14">
        <v>50</v>
      </c>
      <c r="J153" s="29"/>
    </row>
    <row r="154" spans="1:10" ht="16.5" customHeight="1" x14ac:dyDescent="0.25">
      <c r="A154" s="55" t="str">
        <f t="shared" si="24"/>
        <v>7090</v>
      </c>
      <c r="B154" s="35" t="s">
        <v>100</v>
      </c>
      <c r="C154" s="51" t="s">
        <v>20</v>
      </c>
      <c r="D154" s="52">
        <v>1001084217090</v>
      </c>
      <c r="E154" s="24">
        <v>165</v>
      </c>
      <c r="F154" s="23">
        <v>0.3</v>
      </c>
      <c r="G154" s="23">
        <f t="shared" si="25"/>
        <v>49.5</v>
      </c>
      <c r="H154" s="14">
        <v>1.8</v>
      </c>
      <c r="I154" s="14">
        <v>50</v>
      </c>
      <c r="J154" s="29"/>
    </row>
    <row r="155" spans="1:10" ht="16.5" customHeight="1" x14ac:dyDescent="0.25">
      <c r="A155" s="55" t="str">
        <f t="shared" si="24"/>
        <v>7103</v>
      </c>
      <c r="B155" s="35" t="s">
        <v>177</v>
      </c>
      <c r="C155" s="51" t="s">
        <v>20</v>
      </c>
      <c r="D155" s="52">
        <v>1001223297103</v>
      </c>
      <c r="E155" s="24"/>
      <c r="F155" s="23">
        <v>0.18</v>
      </c>
      <c r="G155" s="23">
        <f t="shared" si="25"/>
        <v>0</v>
      </c>
      <c r="H155" s="14">
        <v>1.8</v>
      </c>
      <c r="I155" s="14">
        <v>50</v>
      </c>
      <c r="J155" s="29"/>
    </row>
    <row r="156" spans="1:10" ht="16.5" customHeight="1" x14ac:dyDescent="0.25">
      <c r="A156" s="55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>
        <v>220</v>
      </c>
      <c r="F156" s="23">
        <v>0.15</v>
      </c>
      <c r="G156" s="23">
        <f t="shared" si="25"/>
        <v>33</v>
      </c>
      <c r="H156" s="14">
        <v>1.2</v>
      </c>
      <c r="I156" s="14">
        <v>45</v>
      </c>
      <c r="J156" s="29"/>
    </row>
    <row r="157" spans="1:10" ht="16.5" customHeight="1" x14ac:dyDescent="0.25">
      <c r="A157" s="55" t="str">
        <f t="shared" si="24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5"/>
        <v>0</v>
      </c>
      <c r="H157" s="14">
        <v>1.4</v>
      </c>
      <c r="I157" s="14">
        <v>50</v>
      </c>
      <c r="J157" s="29"/>
    </row>
    <row r="158" spans="1:10" ht="16.5" customHeight="1" x14ac:dyDescent="0.25">
      <c r="A158" s="55" t="str">
        <f t="shared" si="24"/>
        <v>6448</v>
      </c>
      <c r="B158" s="35" t="s">
        <v>128</v>
      </c>
      <c r="C158" s="51" t="s">
        <v>20</v>
      </c>
      <c r="D158" s="52">
        <v>1001234146448</v>
      </c>
      <c r="E158" s="24">
        <v>211</v>
      </c>
      <c r="F158" s="23">
        <v>0.1</v>
      </c>
      <c r="G158" s="23">
        <f t="shared" si="25"/>
        <v>21.1</v>
      </c>
      <c r="H158" s="14">
        <v>1</v>
      </c>
      <c r="I158" s="14">
        <v>45</v>
      </c>
      <c r="J158" s="29"/>
    </row>
    <row r="159" spans="1:10" ht="16.5" customHeight="1" x14ac:dyDescent="0.25">
      <c r="A159" s="55" t="str">
        <f t="shared" si="24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5"/>
        <v>0</v>
      </c>
      <c r="H159" s="14">
        <v>0.72</v>
      </c>
      <c r="I159" s="14">
        <v>60</v>
      </c>
      <c r="J159" s="29"/>
    </row>
    <row r="160" spans="1:10" ht="16.5" customHeight="1" x14ac:dyDescent="0.25">
      <c r="A160" s="55" t="str">
        <f t="shared" si="24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5"/>
        <v>0</v>
      </c>
      <c r="H160" s="14">
        <v>1.5</v>
      </c>
      <c r="I160" s="14">
        <v>45</v>
      </c>
      <c r="J160" s="29"/>
    </row>
    <row r="161" spans="1:10" ht="16.5" customHeight="1" x14ac:dyDescent="0.25">
      <c r="A161" s="55" t="str">
        <f t="shared" si="24"/>
        <v>6228</v>
      </c>
      <c r="B161" s="35" t="s">
        <v>89</v>
      </c>
      <c r="C161" s="51" t="s">
        <v>20</v>
      </c>
      <c r="D161" s="52">
        <v>1001225416228</v>
      </c>
      <c r="E161" s="24">
        <v>115</v>
      </c>
      <c r="F161" s="23">
        <v>0.09</v>
      </c>
      <c r="G161" s="23">
        <f t="shared" si="25"/>
        <v>10.35</v>
      </c>
      <c r="H161" s="14">
        <v>0.9</v>
      </c>
      <c r="I161" s="14">
        <v>45</v>
      </c>
      <c r="J161" s="29"/>
    </row>
    <row r="162" spans="1:10" ht="16.5" customHeight="1" thickBot="1" x14ac:dyDescent="0.3">
      <c r="A162" s="55" t="str">
        <f t="shared" si="24"/>
        <v>7288</v>
      </c>
      <c r="B162" s="35" t="s">
        <v>192</v>
      </c>
      <c r="C162" s="51" t="s">
        <v>20</v>
      </c>
      <c r="D162" s="52">
        <v>1001223907288</v>
      </c>
      <c r="E162" s="24"/>
      <c r="F162" s="23">
        <v>0.1</v>
      </c>
      <c r="G162" s="23">
        <f t="shared" si="25"/>
        <v>0</v>
      </c>
      <c r="H162" s="14">
        <v>1</v>
      </c>
      <c r="I162" s="14">
        <v>60</v>
      </c>
      <c r="J162" s="29"/>
    </row>
    <row r="163" spans="1:10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5871</v>
      </c>
      <c r="F163" s="17"/>
      <c r="G163" s="17">
        <f>SUM(G11:G162)</f>
        <v>1592.8500000000001</v>
      </c>
      <c r="H163" s="17"/>
      <c r="I163" s="17"/>
      <c r="J163" s="17"/>
    </row>
    <row r="164" spans="1:10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0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54"/>
      <c r="E172" s="4"/>
      <c r="F172" s="54"/>
      <c r="G172" s="57"/>
      <c r="H172" s="52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6"/>
    <cfRule type="duplicateValues" dxfId="378" priority="7"/>
    <cfRule type="duplicateValues" dxfId="377" priority="8"/>
    <cfRule type="duplicateValues" dxfId="376" priority="9"/>
    <cfRule type="duplicateValues" dxfId="375" priority="10"/>
    <cfRule type="duplicateValues" dxfId="374" priority="1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74">
        <v>4561</v>
      </c>
      <c r="C2" s="62">
        <v>1001010014561</v>
      </c>
      <c r="D2" s="59" t="s">
        <v>111</v>
      </c>
      <c r="E2" s="64"/>
      <c r="F2" s="66" t="s">
        <v>22</v>
      </c>
      <c r="G2" s="67">
        <v>1</v>
      </c>
    </row>
    <row r="3" spans="2:7" ht="21" x14ac:dyDescent="0.25">
      <c r="B3" s="58">
        <v>7536</v>
      </c>
      <c r="C3" s="63">
        <v>1001010017536</v>
      </c>
      <c r="D3" s="65" t="s">
        <v>107</v>
      </c>
      <c r="E3" s="68" t="s">
        <v>115</v>
      </c>
      <c r="F3" s="58" t="s">
        <v>22</v>
      </c>
      <c r="G3" s="69">
        <v>1</v>
      </c>
    </row>
    <row r="4" spans="2:7" ht="21" x14ac:dyDescent="0.25">
      <c r="B4" s="74">
        <v>5851</v>
      </c>
      <c r="C4" s="63">
        <v>1001012505851</v>
      </c>
      <c r="D4" s="64" t="s">
        <v>110</v>
      </c>
      <c r="E4" s="64"/>
      <c r="F4" s="66" t="s">
        <v>22</v>
      </c>
      <c r="G4" s="67">
        <v>1</v>
      </c>
    </row>
    <row r="5" spans="2:7" ht="21" x14ac:dyDescent="0.25">
      <c r="B5" s="74">
        <v>4813</v>
      </c>
      <c r="C5" s="63">
        <v>1001012564813</v>
      </c>
      <c r="D5" s="64" t="s">
        <v>29</v>
      </c>
      <c r="E5" s="64"/>
      <c r="F5" s="66" t="s">
        <v>22</v>
      </c>
      <c r="G5" s="67">
        <v>1</v>
      </c>
    </row>
    <row r="6" spans="2:7" ht="21" x14ac:dyDescent="0.25">
      <c r="B6" s="74">
        <v>4574</v>
      </c>
      <c r="C6" s="63">
        <v>1001012634574</v>
      </c>
      <c r="D6" s="64" t="s">
        <v>24</v>
      </c>
      <c r="E6" s="64"/>
      <c r="F6" s="66" t="s">
        <v>22</v>
      </c>
      <c r="G6" s="67">
        <v>1</v>
      </c>
    </row>
    <row r="7" spans="2:7" ht="21" x14ac:dyDescent="0.25">
      <c r="B7" s="74">
        <v>4063</v>
      </c>
      <c r="C7" s="63">
        <v>1001012484063</v>
      </c>
      <c r="D7" s="64" t="s">
        <v>21</v>
      </c>
      <c r="E7" s="64"/>
      <c r="F7" s="66" t="s">
        <v>22</v>
      </c>
      <c r="G7" s="67">
        <v>1</v>
      </c>
    </row>
    <row r="8" spans="2:7" ht="21" x14ac:dyDescent="0.25">
      <c r="B8" s="74">
        <v>6220</v>
      </c>
      <c r="C8" s="61">
        <v>1001012426220</v>
      </c>
      <c r="D8" s="59" t="s">
        <v>35</v>
      </c>
      <c r="E8" s="64"/>
      <c r="F8" s="66" t="s">
        <v>22</v>
      </c>
      <c r="G8" s="67">
        <v>1</v>
      </c>
    </row>
    <row r="9" spans="2:7" ht="21" x14ac:dyDescent="0.25">
      <c r="B9" s="74">
        <v>6498</v>
      </c>
      <c r="C9" s="62">
        <v>1001012456498</v>
      </c>
      <c r="D9" s="59" t="s">
        <v>34</v>
      </c>
      <c r="E9" s="64"/>
      <c r="F9" s="66" t="s">
        <v>22</v>
      </c>
      <c r="G9" s="67">
        <v>1</v>
      </c>
    </row>
    <row r="10" spans="2:7" ht="21" x14ac:dyDescent="0.25">
      <c r="B10" s="74">
        <v>6861</v>
      </c>
      <c r="C10" s="63">
        <v>1001015646861</v>
      </c>
      <c r="D10" s="64" t="s">
        <v>25</v>
      </c>
      <c r="E10" s="64"/>
      <c r="F10" s="66" t="s">
        <v>22</v>
      </c>
      <c r="G10" s="67">
        <v>1</v>
      </c>
    </row>
    <row r="11" spans="2:7" ht="21" x14ac:dyDescent="0.25">
      <c r="B11" s="74">
        <v>6862</v>
      </c>
      <c r="C11" s="63">
        <v>1001015706862</v>
      </c>
      <c r="D11" s="64" t="s">
        <v>28</v>
      </c>
      <c r="E11" s="64"/>
      <c r="F11" s="66" t="s">
        <v>22</v>
      </c>
      <c r="G11" s="67">
        <v>1</v>
      </c>
    </row>
    <row r="12" spans="2:7" ht="21" x14ac:dyDescent="0.25">
      <c r="B12" s="58">
        <v>7539</v>
      </c>
      <c r="C12" s="62">
        <v>1001010017539</v>
      </c>
      <c r="D12" s="60" t="s">
        <v>106</v>
      </c>
      <c r="E12" s="68" t="s">
        <v>115</v>
      </c>
      <c r="F12" s="58" t="s">
        <v>20</v>
      </c>
      <c r="G12" s="69">
        <v>0.35</v>
      </c>
    </row>
    <row r="13" spans="2:7" ht="21" x14ac:dyDescent="0.25">
      <c r="B13" s="58">
        <v>7334</v>
      </c>
      <c r="C13" s="62">
        <v>1001012637334</v>
      </c>
      <c r="D13" s="59" t="s">
        <v>108</v>
      </c>
      <c r="E13" s="59"/>
      <c r="F13" s="58" t="s">
        <v>20</v>
      </c>
      <c r="G13" s="69">
        <v>0.4</v>
      </c>
    </row>
    <row r="14" spans="2:7" ht="21" x14ac:dyDescent="0.25">
      <c r="B14" s="58">
        <v>6325</v>
      </c>
      <c r="C14" s="95">
        <v>1001010106325</v>
      </c>
      <c r="D14" s="59" t="s">
        <v>32</v>
      </c>
      <c r="E14" s="59"/>
      <c r="F14" s="58" t="s">
        <v>20</v>
      </c>
      <c r="G14" s="69">
        <v>0.4</v>
      </c>
    </row>
    <row r="15" spans="2:7" ht="21" x14ac:dyDescent="0.25">
      <c r="B15" s="58">
        <v>7303</v>
      </c>
      <c r="C15" s="62">
        <v>1001010857303</v>
      </c>
      <c r="D15" s="59" t="s">
        <v>112</v>
      </c>
      <c r="E15" s="59"/>
      <c r="F15" s="58" t="s">
        <v>22</v>
      </c>
      <c r="G15" s="69">
        <v>1</v>
      </c>
    </row>
    <row r="16" spans="2:7" ht="21" x14ac:dyDescent="0.25">
      <c r="B16" s="58">
        <v>8014</v>
      </c>
      <c r="C16" s="62">
        <v>1001010108014</v>
      </c>
      <c r="D16" s="59" t="s">
        <v>113</v>
      </c>
      <c r="E16" s="59"/>
      <c r="F16" s="58" t="s">
        <v>22</v>
      </c>
      <c r="G16" s="69">
        <v>1</v>
      </c>
    </row>
    <row r="17" spans="2:7" ht="21" x14ac:dyDescent="0.25">
      <c r="B17" s="58">
        <v>6353</v>
      </c>
      <c r="C17" s="95">
        <v>1001012506353</v>
      </c>
      <c r="D17" s="59" t="s">
        <v>30</v>
      </c>
      <c r="E17" s="59"/>
      <c r="F17" s="58" t="s">
        <v>20</v>
      </c>
      <c r="G17" s="69">
        <v>0.4</v>
      </c>
    </row>
    <row r="18" spans="2:7" ht="21" x14ac:dyDescent="0.25">
      <c r="B18" s="58">
        <v>7523</v>
      </c>
      <c r="C18" s="61">
        <v>1001012427523</v>
      </c>
      <c r="D18" s="60" t="s">
        <v>105</v>
      </c>
      <c r="E18" s="68" t="s">
        <v>115</v>
      </c>
      <c r="F18" s="66" t="s">
        <v>20</v>
      </c>
      <c r="G18" s="67">
        <v>0.4</v>
      </c>
    </row>
    <row r="19" spans="2:7" ht="21" x14ac:dyDescent="0.25">
      <c r="B19" s="74">
        <v>6340</v>
      </c>
      <c r="C19" s="62">
        <v>1001012816340</v>
      </c>
      <c r="D19" s="59" t="s">
        <v>26</v>
      </c>
      <c r="E19" s="64"/>
      <c r="F19" s="66" t="s">
        <v>20</v>
      </c>
      <c r="G19" s="67">
        <v>0.5</v>
      </c>
    </row>
    <row r="20" spans="2:7" ht="21" x14ac:dyDescent="0.25">
      <c r="B20" s="74">
        <v>6341</v>
      </c>
      <c r="C20" s="62">
        <v>1001012816341</v>
      </c>
      <c r="D20" s="59" t="s">
        <v>27</v>
      </c>
      <c r="E20" s="64"/>
      <c r="F20" s="66" t="s">
        <v>20</v>
      </c>
      <c r="G20" s="67">
        <v>0.5</v>
      </c>
    </row>
    <row r="21" spans="2:7" ht="21" x14ac:dyDescent="0.25">
      <c r="B21" s="58">
        <v>6333</v>
      </c>
      <c r="C21" s="95">
        <v>1001012486333</v>
      </c>
      <c r="D21" s="59" t="s">
        <v>23</v>
      </c>
      <c r="E21" s="59"/>
      <c r="F21" s="58" t="s">
        <v>20</v>
      </c>
      <c r="G21" s="69">
        <v>0.4</v>
      </c>
    </row>
    <row r="22" spans="2:7" ht="21" x14ac:dyDescent="0.25">
      <c r="B22" s="58">
        <v>6392</v>
      </c>
      <c r="C22" s="95">
        <v>1001012566392</v>
      </c>
      <c r="D22" s="59" t="s">
        <v>109</v>
      </c>
      <c r="E22" s="59"/>
      <c r="F22" s="58" t="s">
        <v>20</v>
      </c>
      <c r="G22" s="69">
        <v>0.4</v>
      </c>
    </row>
    <row r="23" spans="2:7" ht="21" x14ac:dyDescent="0.25">
      <c r="B23" s="58">
        <v>7343</v>
      </c>
      <c r="C23" s="62">
        <v>1001016747343</v>
      </c>
      <c r="D23" s="59" t="s">
        <v>31</v>
      </c>
      <c r="E23" s="64"/>
      <c r="F23" s="66" t="s">
        <v>20</v>
      </c>
      <c r="G23" s="67">
        <v>0.4</v>
      </c>
    </row>
    <row r="24" spans="2:7" ht="21" x14ac:dyDescent="0.25">
      <c r="B24" s="58">
        <v>6797</v>
      </c>
      <c r="C24" s="62">
        <v>1001015026797</v>
      </c>
      <c r="D24" s="96" t="s">
        <v>114</v>
      </c>
      <c r="E24" s="96" t="s">
        <v>174</v>
      </c>
      <c r="F24" s="58" t="s">
        <v>20</v>
      </c>
      <c r="G24" s="69">
        <v>0.4</v>
      </c>
    </row>
    <row r="25" spans="2:7" ht="21" x14ac:dyDescent="0.25">
      <c r="B25" s="58">
        <v>7231</v>
      </c>
      <c r="C25" s="62">
        <v>1001013957231</v>
      </c>
      <c r="D25" s="59" t="s">
        <v>33</v>
      </c>
      <c r="E25" s="64"/>
      <c r="F25" s="66" t="s">
        <v>20</v>
      </c>
      <c r="G25" s="67">
        <v>0.3</v>
      </c>
    </row>
    <row r="26" spans="2:7" ht="23.25" x14ac:dyDescent="0.25">
      <c r="B26" s="72"/>
      <c r="C26" s="97"/>
      <c r="D26" s="98" t="s">
        <v>91</v>
      </c>
      <c r="E26" s="99"/>
      <c r="F26" s="100"/>
      <c r="G26" s="101"/>
    </row>
    <row r="27" spans="2:7" ht="21" x14ac:dyDescent="0.25">
      <c r="B27" s="74">
        <v>6470</v>
      </c>
      <c r="C27" s="63">
        <v>1001092436470</v>
      </c>
      <c r="D27" s="64" t="s">
        <v>116</v>
      </c>
      <c r="E27" s="64"/>
      <c r="F27" s="66" t="s">
        <v>22</v>
      </c>
      <c r="G27" s="67">
        <v>1</v>
      </c>
    </row>
    <row r="28" spans="2:7" ht="21" x14ac:dyDescent="0.25">
      <c r="B28" s="58">
        <v>6495</v>
      </c>
      <c r="C28" s="62">
        <v>1001092436495</v>
      </c>
      <c r="D28" s="75" t="s">
        <v>95</v>
      </c>
      <c r="E28" s="64"/>
      <c r="F28" s="66" t="s">
        <v>20</v>
      </c>
      <c r="G28" s="67">
        <v>0.3</v>
      </c>
    </row>
    <row r="29" spans="2:7" ht="21" x14ac:dyDescent="0.25">
      <c r="B29" s="58">
        <v>5452</v>
      </c>
      <c r="C29" s="62">
        <v>1001092485452</v>
      </c>
      <c r="D29" s="75" t="s">
        <v>93</v>
      </c>
      <c r="E29" s="64"/>
      <c r="F29" s="66" t="s">
        <v>22</v>
      </c>
      <c r="G29" s="67">
        <v>1</v>
      </c>
    </row>
    <row r="30" spans="2:7" ht="21" x14ac:dyDescent="0.25">
      <c r="B30" s="74">
        <v>6866</v>
      </c>
      <c r="C30" s="63">
        <v>1001095716866</v>
      </c>
      <c r="D30" s="64" t="s">
        <v>92</v>
      </c>
      <c r="E30" s="64"/>
      <c r="F30" s="66" t="s">
        <v>22</v>
      </c>
      <c r="G30" s="67">
        <v>1</v>
      </c>
    </row>
    <row r="31" spans="2:7" ht="21" x14ac:dyDescent="0.25">
      <c r="B31" s="74">
        <v>6025</v>
      </c>
      <c r="C31" s="63">
        <v>1001094966025</v>
      </c>
      <c r="D31" s="64" t="s">
        <v>118</v>
      </c>
      <c r="E31" s="64"/>
      <c r="F31" s="66" t="s">
        <v>22</v>
      </c>
      <c r="G31" s="67">
        <v>1</v>
      </c>
    </row>
    <row r="32" spans="2:7" ht="21" x14ac:dyDescent="0.25">
      <c r="B32" s="74">
        <v>4584</v>
      </c>
      <c r="C32" s="63">
        <v>1001092674584</v>
      </c>
      <c r="D32" s="64" t="s">
        <v>175</v>
      </c>
      <c r="E32" s="64"/>
      <c r="F32" s="66" t="s">
        <v>22</v>
      </c>
      <c r="G32" s="67">
        <v>1</v>
      </c>
    </row>
    <row r="33" spans="2:7" ht="21" x14ac:dyDescent="0.25">
      <c r="B33" s="58">
        <v>3215</v>
      </c>
      <c r="C33" s="95">
        <v>1001094053215</v>
      </c>
      <c r="D33" s="59" t="s">
        <v>176</v>
      </c>
      <c r="E33" s="59"/>
      <c r="F33" s="58" t="s">
        <v>20</v>
      </c>
      <c r="G33" s="69">
        <v>0.4</v>
      </c>
    </row>
    <row r="34" spans="2:7" ht="21" x14ac:dyDescent="0.25">
      <c r="B34" s="58">
        <v>5495</v>
      </c>
      <c r="C34" s="62">
        <v>1001093345495</v>
      </c>
      <c r="D34" s="75" t="s">
        <v>94</v>
      </c>
      <c r="E34" s="64"/>
      <c r="F34" s="66" t="s">
        <v>20</v>
      </c>
      <c r="G34" s="67">
        <v>0.4</v>
      </c>
    </row>
    <row r="35" spans="2:7" ht="21" x14ac:dyDescent="0.25">
      <c r="B35" s="58">
        <v>7377</v>
      </c>
      <c r="C35" s="62">
        <v>1001095027377</v>
      </c>
      <c r="D35" s="75" t="s">
        <v>117</v>
      </c>
      <c r="E35" s="79"/>
      <c r="F35" s="66" t="s">
        <v>20</v>
      </c>
      <c r="G35" s="67">
        <v>0.3</v>
      </c>
    </row>
    <row r="36" spans="2:7" ht="21" x14ac:dyDescent="0.25">
      <c r="B36" s="58">
        <v>6925</v>
      </c>
      <c r="C36" s="62">
        <v>1001095226925</v>
      </c>
      <c r="D36" s="59" t="s">
        <v>103</v>
      </c>
      <c r="E36" s="76"/>
      <c r="F36" s="58" t="s">
        <v>20</v>
      </c>
      <c r="G36" s="69">
        <v>0.6</v>
      </c>
    </row>
    <row r="37" spans="2:7" ht="23.25" x14ac:dyDescent="0.25">
      <c r="B37" s="102"/>
      <c r="C37" s="103"/>
      <c r="D37" s="104" t="s">
        <v>119</v>
      </c>
      <c r="E37" s="105"/>
      <c r="F37" s="106"/>
      <c r="G37" s="107"/>
    </row>
    <row r="38" spans="2:7" ht="21" x14ac:dyDescent="0.25">
      <c r="B38" s="74">
        <v>6620</v>
      </c>
      <c r="C38" s="63">
        <v>1001081596620</v>
      </c>
      <c r="D38" s="64" t="s">
        <v>97</v>
      </c>
      <c r="E38" s="64"/>
      <c r="F38" s="66" t="s">
        <v>22</v>
      </c>
      <c r="G38" s="67">
        <v>1</v>
      </c>
    </row>
    <row r="39" spans="2:7" ht="21" x14ac:dyDescent="0.25">
      <c r="B39" s="58">
        <v>7187</v>
      </c>
      <c r="C39" s="61">
        <v>1001085637187</v>
      </c>
      <c r="D39" s="59" t="s">
        <v>101</v>
      </c>
      <c r="E39" s="59"/>
      <c r="F39" s="66" t="s">
        <v>20</v>
      </c>
      <c r="G39" s="67">
        <v>0.3</v>
      </c>
    </row>
    <row r="40" spans="2:7" ht="21" x14ac:dyDescent="0.25">
      <c r="B40" s="74">
        <v>7090</v>
      </c>
      <c r="C40" s="63">
        <v>1001084217090</v>
      </c>
      <c r="D40" s="64" t="s">
        <v>100</v>
      </c>
      <c r="E40" s="64"/>
      <c r="F40" s="66" t="s">
        <v>20</v>
      </c>
      <c r="G40" s="67">
        <v>0.3</v>
      </c>
    </row>
    <row r="41" spans="2:7" ht="23.25" x14ac:dyDescent="0.25">
      <c r="B41" s="72"/>
      <c r="C41" s="97"/>
      <c r="D41" s="98" t="s">
        <v>127</v>
      </c>
      <c r="E41" s="99"/>
      <c r="F41" s="100"/>
      <c r="G41" s="101"/>
    </row>
    <row r="42" spans="2:7" ht="23.25" x14ac:dyDescent="0.25">
      <c r="B42" s="58">
        <v>7103</v>
      </c>
      <c r="C42" s="95">
        <v>1001223297103</v>
      </c>
      <c r="D42" s="59" t="s">
        <v>177</v>
      </c>
      <c r="E42" s="108"/>
      <c r="F42" s="58" t="s">
        <v>20</v>
      </c>
      <c r="G42" s="67">
        <v>0.18</v>
      </c>
    </row>
    <row r="43" spans="2:7" ht="21" x14ac:dyDescent="0.25">
      <c r="B43" s="74">
        <v>6279</v>
      </c>
      <c r="C43" s="63">
        <v>1001220286279</v>
      </c>
      <c r="D43" s="64" t="s">
        <v>98</v>
      </c>
      <c r="E43" s="64"/>
      <c r="F43" s="66" t="s">
        <v>20</v>
      </c>
      <c r="G43" s="67">
        <v>0.15</v>
      </c>
    </row>
    <row r="44" spans="2:7" ht="21" x14ac:dyDescent="0.25">
      <c r="B44" s="58">
        <v>7092</v>
      </c>
      <c r="C44" s="62">
        <v>1001223297092</v>
      </c>
      <c r="D44" s="59" t="s">
        <v>78</v>
      </c>
      <c r="E44" s="59"/>
      <c r="F44" s="58" t="s">
        <v>20</v>
      </c>
      <c r="G44" s="69">
        <v>0.14000000000000001</v>
      </c>
    </row>
    <row r="45" spans="2:7" ht="21" x14ac:dyDescent="0.25">
      <c r="B45" s="74">
        <v>6448</v>
      </c>
      <c r="C45" s="63">
        <v>1001234146448</v>
      </c>
      <c r="D45" s="64" t="s">
        <v>128</v>
      </c>
      <c r="E45" s="64"/>
      <c r="F45" s="66" t="s">
        <v>20</v>
      </c>
      <c r="G45" s="67">
        <v>0.1</v>
      </c>
    </row>
    <row r="46" spans="2:7" ht="21" x14ac:dyDescent="0.25">
      <c r="B46" s="58">
        <v>6754</v>
      </c>
      <c r="C46" s="95">
        <v>1001225406754</v>
      </c>
      <c r="D46" s="59" t="s">
        <v>178</v>
      </c>
      <c r="E46" s="59"/>
      <c r="F46" s="58" t="s">
        <v>20</v>
      </c>
      <c r="G46" s="69">
        <v>0.09</v>
      </c>
    </row>
    <row r="47" spans="2:7" ht="23.25" x14ac:dyDescent="0.25">
      <c r="B47" s="58">
        <v>6208</v>
      </c>
      <c r="C47" s="95">
        <v>1001220226208</v>
      </c>
      <c r="D47" s="59" t="s">
        <v>99</v>
      </c>
      <c r="E47" s="108"/>
      <c r="F47" s="58" t="s">
        <v>20</v>
      </c>
      <c r="G47" s="67">
        <v>0.15</v>
      </c>
    </row>
    <row r="48" spans="2:7" ht="23.25" x14ac:dyDescent="0.25">
      <c r="B48" s="58">
        <v>6228</v>
      </c>
      <c r="C48" s="95">
        <v>1001225416228</v>
      </c>
      <c r="D48" s="59" t="s">
        <v>89</v>
      </c>
      <c r="E48" s="108"/>
      <c r="F48" s="58" t="s">
        <v>20</v>
      </c>
      <c r="G48" s="67">
        <v>0.09</v>
      </c>
    </row>
    <row r="49" spans="2:7" ht="21" x14ac:dyDescent="0.25">
      <c r="B49" s="58">
        <v>7288</v>
      </c>
      <c r="C49" s="62">
        <v>1001223907288</v>
      </c>
      <c r="D49" s="59" t="s">
        <v>129</v>
      </c>
      <c r="E49" s="79"/>
      <c r="F49" s="58" t="s">
        <v>20</v>
      </c>
      <c r="G49" s="69">
        <v>0.1</v>
      </c>
    </row>
    <row r="50" spans="2:7" ht="23.25" x14ac:dyDescent="0.25">
      <c r="B50" s="72"/>
      <c r="C50" s="97"/>
      <c r="D50" s="98" t="s">
        <v>120</v>
      </c>
      <c r="E50" s="99"/>
      <c r="F50" s="100"/>
      <c r="G50" s="101"/>
    </row>
    <row r="51" spans="2:7" ht="21" x14ac:dyDescent="0.25">
      <c r="B51" s="58">
        <v>7564</v>
      </c>
      <c r="C51" s="62">
        <v>1001303637564</v>
      </c>
      <c r="D51" s="60" t="s">
        <v>121</v>
      </c>
      <c r="E51" s="60" t="s">
        <v>115</v>
      </c>
      <c r="F51" s="58" t="s">
        <v>22</v>
      </c>
      <c r="G51" s="69">
        <v>1</v>
      </c>
    </row>
    <row r="52" spans="2:7" ht="21" x14ac:dyDescent="0.25">
      <c r="B52" s="58">
        <v>7133</v>
      </c>
      <c r="C52" s="62">
        <v>1001300367133</v>
      </c>
      <c r="D52" s="59" t="s">
        <v>73</v>
      </c>
      <c r="E52" s="64"/>
      <c r="F52" s="66" t="s">
        <v>22</v>
      </c>
      <c r="G52" s="67">
        <v>1</v>
      </c>
    </row>
    <row r="53" spans="2:7" ht="21" x14ac:dyDescent="0.25">
      <c r="B53" s="74">
        <v>6946</v>
      </c>
      <c r="C53" s="63">
        <v>1001300456946</v>
      </c>
      <c r="D53" s="64" t="s">
        <v>179</v>
      </c>
      <c r="E53" s="64"/>
      <c r="F53" s="66" t="s">
        <v>22</v>
      </c>
      <c r="G53" s="67">
        <v>1</v>
      </c>
    </row>
    <row r="54" spans="2:7" ht="21" x14ac:dyDescent="0.25">
      <c r="B54" s="74">
        <v>7132</v>
      </c>
      <c r="C54" s="63">
        <v>1001300517132</v>
      </c>
      <c r="D54" s="64" t="s">
        <v>180</v>
      </c>
      <c r="E54" s="64"/>
      <c r="F54" s="66" t="s">
        <v>22</v>
      </c>
      <c r="G54" s="67">
        <v>1</v>
      </c>
    </row>
    <row r="55" spans="2:7" ht="21" x14ac:dyDescent="0.25">
      <c r="B55" s="74">
        <v>5544</v>
      </c>
      <c r="C55" s="63">
        <v>1001051875544</v>
      </c>
      <c r="D55" s="64" t="s">
        <v>72</v>
      </c>
      <c r="E55" s="64"/>
      <c r="F55" s="66" t="s">
        <v>22</v>
      </c>
      <c r="G55" s="67">
        <v>1</v>
      </c>
    </row>
    <row r="56" spans="2:7" ht="21" x14ac:dyDescent="0.25">
      <c r="B56" s="58">
        <v>7149</v>
      </c>
      <c r="C56" s="61">
        <v>1001303637149</v>
      </c>
      <c r="D56" s="59" t="s">
        <v>19</v>
      </c>
      <c r="E56" s="64"/>
      <c r="F56" s="66" t="s">
        <v>20</v>
      </c>
      <c r="G56" s="67">
        <v>0.84</v>
      </c>
    </row>
    <row r="57" spans="2:7" ht="21" x14ac:dyDescent="0.25">
      <c r="B57" s="58">
        <v>7157</v>
      </c>
      <c r="C57" s="62">
        <v>1001300387157</v>
      </c>
      <c r="D57" s="59" t="s">
        <v>74</v>
      </c>
      <c r="E57" s="64"/>
      <c r="F57" s="66" t="s">
        <v>22</v>
      </c>
      <c r="G57" s="67">
        <v>1</v>
      </c>
    </row>
    <row r="58" spans="2:7" ht="21" x14ac:dyDescent="0.25">
      <c r="B58" s="74">
        <v>7166</v>
      </c>
      <c r="C58" s="63">
        <v>1001303987166</v>
      </c>
      <c r="D58" s="64" t="s">
        <v>71</v>
      </c>
      <c r="E58" s="64"/>
      <c r="F58" s="66" t="s">
        <v>22</v>
      </c>
      <c r="G58" s="67">
        <v>1</v>
      </c>
    </row>
    <row r="59" spans="2:7" ht="21" x14ac:dyDescent="0.25">
      <c r="B59" s="58">
        <v>7603</v>
      </c>
      <c r="C59" s="62">
        <v>1001303637603</v>
      </c>
      <c r="D59" s="60" t="s">
        <v>122</v>
      </c>
      <c r="E59" s="60" t="s">
        <v>115</v>
      </c>
      <c r="F59" s="58" t="s">
        <v>20</v>
      </c>
      <c r="G59" s="69">
        <v>0.33</v>
      </c>
    </row>
    <row r="60" spans="2:7" ht="21" x14ac:dyDescent="0.25">
      <c r="B60" s="74">
        <v>6807</v>
      </c>
      <c r="C60" s="63">
        <v>1001300366807</v>
      </c>
      <c r="D60" s="64" t="s">
        <v>75</v>
      </c>
      <c r="E60" s="64"/>
      <c r="F60" s="66" t="s">
        <v>20</v>
      </c>
      <c r="G60" s="67">
        <v>0.33</v>
      </c>
    </row>
    <row r="61" spans="2:7" ht="21" x14ac:dyDescent="0.25">
      <c r="B61" s="74">
        <v>6787</v>
      </c>
      <c r="C61" s="63">
        <v>1001300456787</v>
      </c>
      <c r="D61" s="64" t="s">
        <v>65</v>
      </c>
      <c r="E61" s="64"/>
      <c r="F61" s="66" t="s">
        <v>20</v>
      </c>
      <c r="G61" s="67">
        <v>0.33</v>
      </c>
    </row>
    <row r="62" spans="2:7" ht="21" x14ac:dyDescent="0.25">
      <c r="B62" s="74">
        <v>6697</v>
      </c>
      <c r="C62" s="63">
        <v>1001301876697</v>
      </c>
      <c r="D62" s="64" t="s">
        <v>66</v>
      </c>
      <c r="E62" s="64"/>
      <c r="F62" s="66" t="s">
        <v>20</v>
      </c>
      <c r="G62" s="67">
        <v>0.35</v>
      </c>
    </row>
    <row r="63" spans="2:7" ht="21" x14ac:dyDescent="0.25">
      <c r="B63" s="74">
        <v>7169</v>
      </c>
      <c r="C63" s="63">
        <v>1001303987169</v>
      </c>
      <c r="D63" s="64" t="s">
        <v>70</v>
      </c>
      <c r="E63" s="64"/>
      <c r="F63" s="66" t="s">
        <v>20</v>
      </c>
      <c r="G63" s="67">
        <v>0.35</v>
      </c>
    </row>
    <row r="64" spans="2:7" ht="21" x14ac:dyDescent="0.25">
      <c r="B64" s="58">
        <v>7233</v>
      </c>
      <c r="C64" s="61">
        <v>1001303637233</v>
      </c>
      <c r="D64" s="59" t="s">
        <v>181</v>
      </c>
      <c r="E64" s="59"/>
      <c r="F64" s="66" t="s">
        <v>20</v>
      </c>
      <c r="G64" s="67">
        <v>0.31</v>
      </c>
    </row>
    <row r="65" spans="2:7" ht="21" x14ac:dyDescent="0.25">
      <c r="B65" s="74">
        <v>7236</v>
      </c>
      <c r="C65" s="63">
        <v>1001304507236</v>
      </c>
      <c r="D65" s="64" t="s">
        <v>68</v>
      </c>
      <c r="E65" s="64"/>
      <c r="F65" s="66" t="s">
        <v>20</v>
      </c>
      <c r="G65" s="67">
        <v>0.28000000000000003</v>
      </c>
    </row>
    <row r="66" spans="2:7" ht="21" x14ac:dyDescent="0.25">
      <c r="B66" s="58">
        <v>7177</v>
      </c>
      <c r="C66" s="61">
        <v>1001302347177</v>
      </c>
      <c r="D66" s="59" t="s">
        <v>124</v>
      </c>
      <c r="E66" s="59"/>
      <c r="F66" s="66" t="s">
        <v>20</v>
      </c>
      <c r="G66" s="67">
        <v>0.35</v>
      </c>
    </row>
    <row r="67" spans="2:7" ht="21" x14ac:dyDescent="0.25">
      <c r="B67" s="74">
        <v>7232</v>
      </c>
      <c r="C67" s="63">
        <v>1001302277232</v>
      </c>
      <c r="D67" s="64" t="s">
        <v>61</v>
      </c>
      <c r="E67" s="64"/>
      <c r="F67" s="66" t="s">
        <v>20</v>
      </c>
      <c r="G67" s="67">
        <v>0.28000000000000003</v>
      </c>
    </row>
    <row r="68" spans="2:7" ht="21" x14ac:dyDescent="0.25">
      <c r="B68" s="58">
        <v>7154</v>
      </c>
      <c r="C68" s="61">
        <v>1001300387154</v>
      </c>
      <c r="D68" s="59" t="s">
        <v>64</v>
      </c>
      <c r="E68" s="59"/>
      <c r="F68" s="66" t="s">
        <v>20</v>
      </c>
      <c r="G68" s="67">
        <v>0.35</v>
      </c>
    </row>
    <row r="69" spans="2:7" ht="21" x14ac:dyDescent="0.25">
      <c r="B69" s="58">
        <v>7238</v>
      </c>
      <c r="C69" s="62">
        <v>1001305197238</v>
      </c>
      <c r="D69" s="59" t="s">
        <v>123</v>
      </c>
      <c r="E69" s="64"/>
      <c r="F69" s="66" t="s">
        <v>20</v>
      </c>
      <c r="G69" s="67">
        <v>0.31</v>
      </c>
    </row>
    <row r="70" spans="2:7" ht="21" x14ac:dyDescent="0.25">
      <c r="B70" s="58">
        <v>7237</v>
      </c>
      <c r="C70" s="62">
        <v>1001304497237</v>
      </c>
      <c r="D70" s="59" t="s">
        <v>67</v>
      </c>
      <c r="E70" s="64"/>
      <c r="F70" s="66" t="s">
        <v>20</v>
      </c>
      <c r="G70" s="67">
        <v>0.28000000000000003</v>
      </c>
    </row>
    <row r="71" spans="2:7" ht="21" x14ac:dyDescent="0.25">
      <c r="B71" s="74">
        <v>7241</v>
      </c>
      <c r="C71" s="63">
        <v>1001303107241</v>
      </c>
      <c r="D71" s="64" t="s">
        <v>63</v>
      </c>
      <c r="E71" s="64"/>
      <c r="F71" s="66" t="s">
        <v>20</v>
      </c>
      <c r="G71" s="67">
        <v>0.28000000000000003</v>
      </c>
    </row>
    <row r="72" spans="2:7" ht="21" x14ac:dyDescent="0.25">
      <c r="B72" s="74">
        <v>7332</v>
      </c>
      <c r="C72" s="63">
        <v>1001301777332</v>
      </c>
      <c r="D72" s="64" t="s">
        <v>62</v>
      </c>
      <c r="E72" s="64"/>
      <c r="F72" s="66" t="s">
        <v>20</v>
      </c>
      <c r="G72" s="67">
        <v>0.28000000000000003</v>
      </c>
    </row>
    <row r="73" spans="2:7" ht="21" x14ac:dyDescent="0.25">
      <c r="B73" s="74">
        <v>7333</v>
      </c>
      <c r="C73" s="63">
        <v>1001303987333</v>
      </c>
      <c r="D73" s="64" t="s">
        <v>69</v>
      </c>
      <c r="E73" s="64"/>
      <c r="F73" s="66" t="s">
        <v>20</v>
      </c>
      <c r="G73" s="67">
        <v>0.28000000000000003</v>
      </c>
    </row>
    <row r="74" spans="2:7" ht="23.25" x14ac:dyDescent="0.25">
      <c r="B74" s="77"/>
      <c r="C74" s="70"/>
      <c r="D74" s="71" t="s">
        <v>125</v>
      </c>
      <c r="E74" s="71"/>
      <c r="F74" s="72"/>
      <c r="G74" s="73"/>
    </row>
    <row r="75" spans="2:7" ht="21" x14ac:dyDescent="0.25">
      <c r="B75" s="58">
        <v>6459</v>
      </c>
      <c r="C75" s="62">
        <v>1001214196459</v>
      </c>
      <c r="D75" s="59" t="s">
        <v>60</v>
      </c>
      <c r="E75" s="59"/>
      <c r="F75" s="58" t="s">
        <v>20</v>
      </c>
      <c r="G75" s="69">
        <v>0.1</v>
      </c>
    </row>
    <row r="76" spans="2:7" ht="21" x14ac:dyDescent="0.25">
      <c r="B76" s="58">
        <v>7474</v>
      </c>
      <c r="C76" s="62">
        <v>1001216717474</v>
      </c>
      <c r="D76" s="59" t="s">
        <v>126</v>
      </c>
      <c r="E76" s="78"/>
      <c r="F76" s="58" t="s">
        <v>20</v>
      </c>
      <c r="G76" s="69">
        <v>0.1</v>
      </c>
    </row>
    <row r="77" spans="2:7" ht="23.25" x14ac:dyDescent="0.25">
      <c r="B77" s="72"/>
      <c r="C77" s="97"/>
      <c r="D77" s="98" t="s">
        <v>130</v>
      </c>
      <c r="E77" s="99"/>
      <c r="F77" s="100"/>
      <c r="G77" s="101"/>
    </row>
    <row r="78" spans="2:7" ht="21" x14ac:dyDescent="0.25">
      <c r="B78" s="58">
        <v>5679</v>
      </c>
      <c r="C78" s="62">
        <v>1001190765679</v>
      </c>
      <c r="D78" s="59" t="s">
        <v>136</v>
      </c>
      <c r="E78" s="59"/>
      <c r="F78" s="58" t="s">
        <v>20</v>
      </c>
      <c r="G78" s="69">
        <v>0.15</v>
      </c>
    </row>
    <row r="79" spans="2:7" ht="21" x14ac:dyDescent="0.25">
      <c r="B79" s="58">
        <v>7382</v>
      </c>
      <c r="C79" s="62">
        <v>1001203117382</v>
      </c>
      <c r="D79" s="59" t="s">
        <v>84</v>
      </c>
      <c r="E79" s="59"/>
      <c r="F79" s="66" t="s">
        <v>20</v>
      </c>
      <c r="G79" s="67">
        <v>0.12</v>
      </c>
    </row>
    <row r="80" spans="2:7" ht="21" x14ac:dyDescent="0.25">
      <c r="B80" s="74">
        <v>6454</v>
      </c>
      <c r="C80" s="63">
        <v>1001201976454</v>
      </c>
      <c r="D80" s="64" t="s">
        <v>131</v>
      </c>
      <c r="E80" s="64"/>
      <c r="F80" s="66" t="s">
        <v>20</v>
      </c>
      <c r="G80" s="67">
        <v>0.1</v>
      </c>
    </row>
    <row r="81" spans="2:7" ht="21" x14ac:dyDescent="0.25">
      <c r="B81" s="74">
        <v>6453</v>
      </c>
      <c r="C81" s="63">
        <v>1001202506453</v>
      </c>
      <c r="D81" s="64" t="s">
        <v>182</v>
      </c>
      <c r="E81" s="64"/>
      <c r="F81" s="66" t="s">
        <v>20</v>
      </c>
      <c r="G81" s="67">
        <v>0.1</v>
      </c>
    </row>
    <row r="82" spans="2:7" ht="21" x14ac:dyDescent="0.25">
      <c r="B82" s="58">
        <v>6221</v>
      </c>
      <c r="C82" s="61">
        <v>1001205376221</v>
      </c>
      <c r="D82" s="59" t="s">
        <v>86</v>
      </c>
      <c r="E82" s="59"/>
      <c r="F82" s="66" t="s">
        <v>20</v>
      </c>
      <c r="G82" s="67">
        <v>0.09</v>
      </c>
    </row>
    <row r="83" spans="2:7" ht="21" x14ac:dyDescent="0.25">
      <c r="B83" s="58">
        <v>6222</v>
      </c>
      <c r="C83" s="61">
        <v>1001205386222</v>
      </c>
      <c r="D83" s="59" t="s">
        <v>133</v>
      </c>
      <c r="E83" s="59"/>
      <c r="F83" s="66" t="s">
        <v>20</v>
      </c>
      <c r="G83" s="67">
        <v>0.09</v>
      </c>
    </row>
    <row r="84" spans="2:7" ht="21" x14ac:dyDescent="0.25">
      <c r="B84" s="58">
        <v>6834</v>
      </c>
      <c r="C84" s="62">
        <v>1001203146834</v>
      </c>
      <c r="D84" s="59" t="s">
        <v>132</v>
      </c>
      <c r="E84" s="59"/>
      <c r="F84" s="58" t="s">
        <v>20</v>
      </c>
      <c r="G84" s="69">
        <v>0.1</v>
      </c>
    </row>
    <row r="85" spans="2:7" ht="21" x14ac:dyDescent="0.25">
      <c r="B85" s="74">
        <v>6965</v>
      </c>
      <c r="C85" s="63">
        <v>1001206356965</v>
      </c>
      <c r="D85" s="64" t="s">
        <v>134</v>
      </c>
      <c r="E85" s="64"/>
      <c r="F85" s="66" t="s">
        <v>20</v>
      </c>
      <c r="G85" s="67">
        <v>7.0000000000000007E-2</v>
      </c>
    </row>
    <row r="86" spans="2:7" ht="21" x14ac:dyDescent="0.25">
      <c r="B86" s="58">
        <v>6557</v>
      </c>
      <c r="C86" s="62">
        <v>1001200756557</v>
      </c>
      <c r="D86" s="59" t="s">
        <v>135</v>
      </c>
      <c r="E86" s="59"/>
      <c r="F86" s="58" t="s">
        <v>20</v>
      </c>
      <c r="G86" s="69">
        <v>0.1</v>
      </c>
    </row>
    <row r="87" spans="2:7" ht="21" x14ac:dyDescent="0.25">
      <c r="B87" s="58">
        <v>5677</v>
      </c>
      <c r="C87" s="62">
        <v>1001190715677</v>
      </c>
      <c r="D87" s="59" t="s">
        <v>137</v>
      </c>
      <c r="E87" s="79"/>
      <c r="F87" s="58" t="s">
        <v>20</v>
      </c>
      <c r="G87" s="69">
        <v>0.1</v>
      </c>
    </row>
    <row r="88" spans="2:7" ht="21" x14ac:dyDescent="0.25">
      <c r="B88" s="58">
        <v>7414</v>
      </c>
      <c r="C88" s="62">
        <v>1001204447414</v>
      </c>
      <c r="D88" s="59" t="s">
        <v>138</v>
      </c>
      <c r="E88" s="79"/>
      <c r="F88" s="58" t="s">
        <v>22</v>
      </c>
      <c r="G88" s="69">
        <v>1</v>
      </c>
    </row>
    <row r="89" spans="2:7" ht="23.25" x14ac:dyDescent="0.25">
      <c r="B89" s="72"/>
      <c r="C89" s="97"/>
      <c r="D89" s="98" t="s">
        <v>76</v>
      </c>
      <c r="E89" s="99"/>
      <c r="F89" s="100"/>
      <c r="G89" s="101"/>
    </row>
    <row r="90" spans="2:7" ht="21" x14ac:dyDescent="0.25">
      <c r="B90" s="58">
        <v>614</v>
      </c>
      <c r="C90" s="62">
        <v>1001060720614</v>
      </c>
      <c r="D90" s="59" t="s">
        <v>140</v>
      </c>
      <c r="E90" s="59"/>
      <c r="F90" s="58" t="s">
        <v>22</v>
      </c>
      <c r="G90" s="69">
        <v>1</v>
      </c>
    </row>
    <row r="91" spans="2:7" ht="21" x14ac:dyDescent="0.25">
      <c r="B91" s="58">
        <v>3287</v>
      </c>
      <c r="C91" s="62">
        <v>1001060763287</v>
      </c>
      <c r="D91" s="59" t="s">
        <v>90</v>
      </c>
      <c r="E91" s="59"/>
      <c r="F91" s="58" t="s">
        <v>22</v>
      </c>
      <c r="G91" s="69">
        <v>1</v>
      </c>
    </row>
    <row r="92" spans="2:7" ht="21" x14ac:dyDescent="0.25">
      <c r="B92" s="74">
        <v>5708</v>
      </c>
      <c r="C92" s="63">
        <v>1001063145708</v>
      </c>
      <c r="D92" s="64" t="s">
        <v>80</v>
      </c>
      <c r="E92" s="64"/>
      <c r="F92" s="66" t="s">
        <v>22</v>
      </c>
      <c r="G92" s="67">
        <v>1</v>
      </c>
    </row>
    <row r="93" spans="2:7" ht="21" x14ac:dyDescent="0.25">
      <c r="B93" s="74">
        <v>4117</v>
      </c>
      <c r="C93" s="63">
        <v>1001062504117</v>
      </c>
      <c r="D93" s="64" t="s">
        <v>87</v>
      </c>
      <c r="E93" s="64"/>
      <c r="F93" s="66" t="s">
        <v>22</v>
      </c>
      <c r="G93" s="67">
        <v>1</v>
      </c>
    </row>
    <row r="94" spans="2:7" ht="21" x14ac:dyDescent="0.25">
      <c r="B94" s="58">
        <v>7316</v>
      </c>
      <c r="C94" s="62">
        <v>1001060727316</v>
      </c>
      <c r="D94" s="59" t="s">
        <v>148</v>
      </c>
      <c r="E94" s="59"/>
      <c r="F94" s="58" t="s">
        <v>20</v>
      </c>
      <c r="G94" s="69">
        <v>0.54</v>
      </c>
    </row>
    <row r="95" spans="2:7" ht="21" x14ac:dyDescent="0.25">
      <c r="B95" s="58">
        <v>7317</v>
      </c>
      <c r="C95" s="62">
        <v>1001066567317</v>
      </c>
      <c r="D95" s="59" t="s">
        <v>146</v>
      </c>
      <c r="E95" s="59"/>
      <c r="F95" s="58" t="s">
        <v>20</v>
      </c>
      <c r="G95" s="69">
        <v>0.54</v>
      </c>
    </row>
    <row r="96" spans="2:7" ht="21" x14ac:dyDescent="0.25">
      <c r="B96" s="58">
        <v>7143</v>
      </c>
      <c r="C96" s="62">
        <v>1001060717143</v>
      </c>
      <c r="D96" s="59" t="s">
        <v>142</v>
      </c>
      <c r="E96" s="59"/>
      <c r="F96" s="58" t="s">
        <v>20</v>
      </c>
      <c r="G96" s="69">
        <v>0.22</v>
      </c>
    </row>
    <row r="97" spans="2:7" ht="21" x14ac:dyDescent="0.25">
      <c r="B97" s="58">
        <v>7147</v>
      </c>
      <c r="C97" s="62">
        <v>1001063237147</v>
      </c>
      <c r="D97" s="59" t="s">
        <v>85</v>
      </c>
      <c r="E97" s="59"/>
      <c r="F97" s="58" t="s">
        <v>20</v>
      </c>
      <c r="G97" s="69">
        <v>0.22</v>
      </c>
    </row>
    <row r="98" spans="2:7" ht="21" x14ac:dyDescent="0.25">
      <c r="B98" s="58">
        <v>7456</v>
      </c>
      <c r="C98" s="62">
        <v>1001063097456</v>
      </c>
      <c r="D98" s="59" t="s">
        <v>143</v>
      </c>
      <c r="E98" s="59"/>
      <c r="F98" s="58" t="s">
        <v>20</v>
      </c>
      <c r="G98" s="69">
        <v>0.15</v>
      </c>
    </row>
    <row r="99" spans="2:7" ht="21" x14ac:dyDescent="0.25">
      <c r="B99" s="58">
        <v>7318</v>
      </c>
      <c r="C99" s="62">
        <v>1001060727318</v>
      </c>
      <c r="D99" s="59" t="s">
        <v>147</v>
      </c>
      <c r="E99" s="59"/>
      <c r="F99" s="58" t="s">
        <v>20</v>
      </c>
      <c r="G99" s="69">
        <v>0.27</v>
      </c>
    </row>
    <row r="100" spans="2:7" ht="21" x14ac:dyDescent="0.25">
      <c r="B100" s="74">
        <v>3986</v>
      </c>
      <c r="C100" s="63">
        <v>1001061973986</v>
      </c>
      <c r="D100" s="64" t="s">
        <v>79</v>
      </c>
      <c r="E100" s="64"/>
      <c r="F100" s="66" t="s">
        <v>20</v>
      </c>
      <c r="G100" s="67">
        <v>0.25</v>
      </c>
    </row>
    <row r="101" spans="2:7" ht="21" x14ac:dyDescent="0.25">
      <c r="B101" s="58">
        <v>7364</v>
      </c>
      <c r="C101" s="62">
        <v>1001063217364</v>
      </c>
      <c r="D101" s="59" t="s">
        <v>144</v>
      </c>
      <c r="E101" s="59"/>
      <c r="F101" s="58" t="s">
        <v>20</v>
      </c>
      <c r="G101" s="69">
        <v>0.22</v>
      </c>
    </row>
    <row r="102" spans="2:7" ht="21" x14ac:dyDescent="0.25">
      <c r="B102" s="58">
        <v>7383</v>
      </c>
      <c r="C102" s="62">
        <v>1001065467383</v>
      </c>
      <c r="D102" s="59" t="s">
        <v>145</v>
      </c>
      <c r="E102" s="59"/>
      <c r="F102" s="58" t="s">
        <v>20</v>
      </c>
      <c r="G102" s="69">
        <v>0.22</v>
      </c>
    </row>
    <row r="103" spans="2:7" ht="21" x14ac:dyDescent="0.25">
      <c r="B103" s="66">
        <v>6967</v>
      </c>
      <c r="C103" s="61">
        <v>1001063656967</v>
      </c>
      <c r="D103" s="64" t="s">
        <v>83</v>
      </c>
      <c r="E103" s="64"/>
      <c r="F103" s="66" t="s">
        <v>20</v>
      </c>
      <c r="G103" s="67">
        <v>0.25</v>
      </c>
    </row>
    <row r="104" spans="2:7" ht="21" x14ac:dyDescent="0.25">
      <c r="B104" s="58">
        <v>4993</v>
      </c>
      <c r="C104" s="62">
        <v>1001060764993</v>
      </c>
      <c r="D104" s="59" t="s">
        <v>139</v>
      </c>
      <c r="E104" s="59"/>
      <c r="F104" s="58" t="s">
        <v>20</v>
      </c>
      <c r="G104" s="69">
        <v>0.25</v>
      </c>
    </row>
    <row r="105" spans="2:7" ht="21" x14ac:dyDescent="0.25">
      <c r="B105" s="58">
        <v>6937</v>
      </c>
      <c r="C105" s="62">
        <v>1001063106937</v>
      </c>
      <c r="D105" s="59" t="s">
        <v>141</v>
      </c>
      <c r="E105" s="59"/>
      <c r="F105" s="58" t="s">
        <v>20</v>
      </c>
      <c r="G105" s="69">
        <v>0.25</v>
      </c>
    </row>
    <row r="106" spans="2:7" ht="21" x14ac:dyDescent="0.25">
      <c r="B106" s="58">
        <v>5483</v>
      </c>
      <c r="C106" s="62">
        <v>1001062505483</v>
      </c>
      <c r="D106" s="59" t="s">
        <v>88</v>
      </c>
      <c r="E106" s="59"/>
      <c r="F106" s="58" t="s">
        <v>20</v>
      </c>
      <c r="G106" s="69">
        <v>0.25</v>
      </c>
    </row>
    <row r="107" spans="2:7" ht="21" x14ac:dyDescent="0.25">
      <c r="B107" s="58">
        <v>5931</v>
      </c>
      <c r="C107" s="62">
        <v>1001060755931</v>
      </c>
      <c r="D107" s="59" t="s">
        <v>77</v>
      </c>
      <c r="E107" s="59"/>
      <c r="F107" s="58" t="s">
        <v>20</v>
      </c>
      <c r="G107" s="69">
        <v>0.22</v>
      </c>
    </row>
    <row r="108" spans="2:7" ht="21" x14ac:dyDescent="0.25">
      <c r="B108" s="58">
        <v>7417</v>
      </c>
      <c r="C108" s="62">
        <v>1001307147417</v>
      </c>
      <c r="D108" s="59" t="s">
        <v>149</v>
      </c>
      <c r="E108" s="59"/>
      <c r="F108" s="69" t="s">
        <v>20</v>
      </c>
      <c r="G108" s="69">
        <v>0.44</v>
      </c>
    </row>
    <row r="109" spans="2:7" ht="21" x14ac:dyDescent="0.25">
      <c r="B109" s="58">
        <v>6832</v>
      </c>
      <c r="C109" s="62">
        <v>1001065616832</v>
      </c>
      <c r="D109" s="59" t="s">
        <v>81</v>
      </c>
      <c r="E109" s="59"/>
      <c r="F109" s="58" t="s">
        <v>22</v>
      </c>
      <c r="G109" s="69">
        <v>1</v>
      </c>
    </row>
    <row r="110" spans="2:7" ht="21" x14ac:dyDescent="0.25">
      <c r="B110" s="58">
        <v>7299</v>
      </c>
      <c r="C110" s="62">
        <v>1001060677299</v>
      </c>
      <c r="D110" s="59" t="s">
        <v>82</v>
      </c>
      <c r="E110" s="59"/>
      <c r="F110" s="58" t="s">
        <v>22</v>
      </c>
      <c r="G110" s="69">
        <v>1</v>
      </c>
    </row>
    <row r="111" spans="2:7" ht="21" x14ac:dyDescent="0.25">
      <c r="B111" s="58">
        <v>7386</v>
      </c>
      <c r="C111" s="62">
        <v>1001067017386</v>
      </c>
      <c r="D111" s="59" t="s">
        <v>150</v>
      </c>
      <c r="E111" s="78"/>
      <c r="F111" s="58" t="s">
        <v>20</v>
      </c>
      <c r="G111" s="69">
        <v>0.15</v>
      </c>
    </row>
    <row r="112" spans="2:7" ht="23.25" x14ac:dyDescent="0.25">
      <c r="B112" s="102"/>
      <c r="C112" s="103"/>
      <c r="D112" s="104" t="s">
        <v>183</v>
      </c>
      <c r="E112" s="105"/>
      <c r="F112" s="106"/>
      <c r="G112" s="107"/>
    </row>
    <row r="113" spans="2:7" ht="21" x14ac:dyDescent="0.25">
      <c r="B113" s="66">
        <v>6527</v>
      </c>
      <c r="C113" s="61">
        <v>1001031076527</v>
      </c>
      <c r="D113" s="64" t="s">
        <v>152</v>
      </c>
      <c r="E113" s="64"/>
      <c r="F113" s="66" t="s">
        <v>22</v>
      </c>
      <c r="G113" s="67">
        <v>1</v>
      </c>
    </row>
    <row r="114" spans="2:7" ht="21" x14ac:dyDescent="0.25">
      <c r="B114" s="74">
        <v>6550</v>
      </c>
      <c r="C114" s="63">
        <v>1001032736550</v>
      </c>
      <c r="D114" s="64" t="s">
        <v>151</v>
      </c>
      <c r="E114" s="64"/>
      <c r="F114" s="66" t="s">
        <v>22</v>
      </c>
      <c r="G114" s="67">
        <v>1</v>
      </c>
    </row>
    <row r="115" spans="2:7" ht="21" x14ac:dyDescent="0.25">
      <c r="B115" s="74">
        <v>6549</v>
      </c>
      <c r="C115" s="63">
        <v>1001032736549</v>
      </c>
      <c r="D115" s="64" t="s">
        <v>184</v>
      </c>
      <c r="E115" s="78"/>
      <c r="F115" s="66" t="s">
        <v>22</v>
      </c>
      <c r="G115" s="67">
        <v>1</v>
      </c>
    </row>
    <row r="116" spans="2:7" ht="21" x14ac:dyDescent="0.25">
      <c r="B116" s="66">
        <v>7001</v>
      </c>
      <c r="C116" s="61">
        <v>1001035937001</v>
      </c>
      <c r="D116" s="64" t="s">
        <v>57</v>
      </c>
      <c r="E116" s="64"/>
      <c r="F116" s="66" t="s">
        <v>22</v>
      </c>
      <c r="G116" s="67">
        <v>1</v>
      </c>
    </row>
    <row r="117" spans="2:7" ht="21" x14ac:dyDescent="0.25">
      <c r="B117" s="74">
        <v>6608</v>
      </c>
      <c r="C117" s="63">
        <v>1001033856608</v>
      </c>
      <c r="D117" s="64" t="s">
        <v>58</v>
      </c>
      <c r="E117" s="64"/>
      <c r="F117" s="66" t="s">
        <v>22</v>
      </c>
      <c r="G117" s="67">
        <v>1</v>
      </c>
    </row>
    <row r="118" spans="2:7" ht="21" x14ac:dyDescent="0.25">
      <c r="B118" s="58">
        <v>7059</v>
      </c>
      <c r="C118" s="80">
        <v>1001035277059</v>
      </c>
      <c r="D118" s="59" t="s">
        <v>154</v>
      </c>
      <c r="E118" s="78"/>
      <c r="F118" s="58" t="s">
        <v>20</v>
      </c>
      <c r="G118" s="69">
        <v>0.3</v>
      </c>
    </row>
    <row r="119" spans="2:7" ht="21" x14ac:dyDescent="0.25">
      <c r="B119" s="58">
        <v>6609</v>
      </c>
      <c r="C119" s="62">
        <v>1001033856609</v>
      </c>
      <c r="D119" s="59" t="s">
        <v>153</v>
      </c>
      <c r="E119" s="59"/>
      <c r="F119" s="58" t="s">
        <v>20</v>
      </c>
      <c r="G119" s="69">
        <v>0.4</v>
      </c>
    </row>
    <row r="120" spans="2:7" ht="23.25" x14ac:dyDescent="0.25">
      <c r="B120" s="72"/>
      <c r="C120" s="97"/>
      <c r="D120" s="98" t="s">
        <v>185</v>
      </c>
      <c r="E120" s="99"/>
      <c r="F120" s="100"/>
      <c r="G120" s="101"/>
    </row>
    <row r="121" spans="2:7" ht="21" x14ac:dyDescent="0.25">
      <c r="B121" s="74">
        <v>6767</v>
      </c>
      <c r="C121" s="63">
        <v>1001023696767</v>
      </c>
      <c r="D121" s="64" t="s">
        <v>43</v>
      </c>
      <c r="E121" s="64"/>
      <c r="F121" s="66" t="s">
        <v>22</v>
      </c>
      <c r="G121" s="67">
        <v>1</v>
      </c>
    </row>
    <row r="122" spans="2:7" ht="21" x14ac:dyDescent="0.25">
      <c r="B122" s="58">
        <v>6761</v>
      </c>
      <c r="C122" s="62">
        <v>1001020836761</v>
      </c>
      <c r="D122" s="59" t="s">
        <v>52</v>
      </c>
      <c r="E122" s="59"/>
      <c r="F122" s="58" t="s">
        <v>22</v>
      </c>
      <c r="G122" s="69">
        <v>1</v>
      </c>
    </row>
    <row r="123" spans="2:7" ht="21" x14ac:dyDescent="0.25">
      <c r="B123" s="58">
        <v>6764</v>
      </c>
      <c r="C123" s="62">
        <v>1001020846764</v>
      </c>
      <c r="D123" s="59" t="s">
        <v>48</v>
      </c>
      <c r="E123" s="59"/>
      <c r="F123" s="58" t="s">
        <v>22</v>
      </c>
      <c r="G123" s="69">
        <v>1</v>
      </c>
    </row>
    <row r="124" spans="2:7" ht="21" x14ac:dyDescent="0.25">
      <c r="B124" s="74">
        <v>6254</v>
      </c>
      <c r="C124" s="63">
        <v>1001022556254</v>
      </c>
      <c r="D124" s="64" t="s">
        <v>162</v>
      </c>
      <c r="E124" s="64"/>
      <c r="F124" s="66" t="s">
        <v>22</v>
      </c>
      <c r="G124" s="67">
        <v>1</v>
      </c>
    </row>
    <row r="125" spans="2:7" ht="21" x14ac:dyDescent="0.25">
      <c r="B125" s="58">
        <v>7075</v>
      </c>
      <c r="C125" s="62">
        <v>1001022657075</v>
      </c>
      <c r="D125" s="59" t="s">
        <v>49</v>
      </c>
      <c r="E125" s="59"/>
      <c r="F125" s="58" t="s">
        <v>22</v>
      </c>
      <c r="G125" s="69">
        <v>1</v>
      </c>
    </row>
    <row r="126" spans="2:7" ht="21" x14ac:dyDescent="0.25">
      <c r="B126" s="66">
        <v>7083</v>
      </c>
      <c r="C126" s="62">
        <v>1001022467083</v>
      </c>
      <c r="D126" s="59" t="s">
        <v>160</v>
      </c>
      <c r="E126" s="64"/>
      <c r="F126" s="58" t="s">
        <v>22</v>
      </c>
      <c r="G126" s="69">
        <v>1</v>
      </c>
    </row>
    <row r="127" spans="2:7" ht="21" x14ac:dyDescent="0.25">
      <c r="B127" s="74">
        <v>6829</v>
      </c>
      <c r="C127" s="63">
        <v>1001024976829</v>
      </c>
      <c r="D127" s="64" t="s">
        <v>156</v>
      </c>
      <c r="E127" s="64"/>
      <c r="F127" s="66" t="s">
        <v>22</v>
      </c>
      <c r="G127" s="67">
        <v>1</v>
      </c>
    </row>
    <row r="128" spans="2:7" ht="21" x14ac:dyDescent="0.25">
      <c r="B128" s="66">
        <v>7070</v>
      </c>
      <c r="C128" s="63">
        <v>1001022377070</v>
      </c>
      <c r="D128" s="64" t="s">
        <v>44</v>
      </c>
      <c r="E128" s="64"/>
      <c r="F128" s="66" t="s">
        <v>22</v>
      </c>
      <c r="G128" s="67">
        <v>1</v>
      </c>
    </row>
    <row r="129" spans="2:7" ht="21" x14ac:dyDescent="0.25">
      <c r="B129" s="74">
        <v>7076</v>
      </c>
      <c r="C129" s="63">
        <v>1001022657076</v>
      </c>
      <c r="D129" s="64" t="s">
        <v>186</v>
      </c>
      <c r="E129" s="64"/>
      <c r="F129" s="66" t="s">
        <v>22</v>
      </c>
      <c r="G129" s="67">
        <v>1</v>
      </c>
    </row>
    <row r="130" spans="2:7" ht="21" x14ac:dyDescent="0.25">
      <c r="B130" s="58">
        <v>7271</v>
      </c>
      <c r="C130" s="62">
        <v>1001025507271</v>
      </c>
      <c r="D130" s="59" t="s">
        <v>159</v>
      </c>
      <c r="E130" s="59"/>
      <c r="F130" s="58" t="s">
        <v>22</v>
      </c>
      <c r="G130" s="69">
        <v>1</v>
      </c>
    </row>
    <row r="131" spans="2:7" ht="21" x14ac:dyDescent="0.25">
      <c r="B131" s="74">
        <v>6303</v>
      </c>
      <c r="C131" s="63">
        <v>1001022726303</v>
      </c>
      <c r="D131" s="64" t="s">
        <v>158</v>
      </c>
      <c r="E131" s="64"/>
      <c r="F131" s="66" t="s">
        <v>22</v>
      </c>
      <c r="G131" s="67">
        <v>1</v>
      </c>
    </row>
    <row r="132" spans="2:7" ht="21" x14ac:dyDescent="0.25">
      <c r="B132" s="74">
        <v>6661</v>
      </c>
      <c r="C132" s="63">
        <v>1001022246661</v>
      </c>
      <c r="D132" s="64" t="s">
        <v>161</v>
      </c>
      <c r="E132" s="64"/>
      <c r="F132" s="66" t="s">
        <v>22</v>
      </c>
      <c r="G132" s="67">
        <v>1</v>
      </c>
    </row>
    <row r="133" spans="2:7" ht="21" x14ac:dyDescent="0.25">
      <c r="B133" s="58">
        <v>6759</v>
      </c>
      <c r="C133" s="62">
        <v>1001020836759</v>
      </c>
      <c r="D133" s="59" t="s">
        <v>41</v>
      </c>
      <c r="E133" s="59"/>
      <c r="F133" s="58" t="s">
        <v>20</v>
      </c>
      <c r="G133" s="69">
        <v>0.4</v>
      </c>
    </row>
    <row r="134" spans="2:7" ht="21" x14ac:dyDescent="0.25">
      <c r="B134" s="58">
        <v>6762</v>
      </c>
      <c r="C134" s="62">
        <v>1001020846762</v>
      </c>
      <c r="D134" s="59" t="s">
        <v>39</v>
      </c>
      <c r="E134" s="59"/>
      <c r="F134" s="58" t="s">
        <v>20</v>
      </c>
      <c r="G134" s="69">
        <v>0.41</v>
      </c>
    </row>
    <row r="135" spans="2:7" ht="21" x14ac:dyDescent="0.25">
      <c r="B135" s="74">
        <v>6765</v>
      </c>
      <c r="C135" s="63">
        <v>1001023696765</v>
      </c>
      <c r="D135" s="64" t="s">
        <v>40</v>
      </c>
      <c r="E135" s="64"/>
      <c r="F135" s="66" t="s">
        <v>20</v>
      </c>
      <c r="G135" s="67">
        <v>0.36</v>
      </c>
    </row>
    <row r="136" spans="2:7" ht="21" x14ac:dyDescent="0.25">
      <c r="B136" s="58">
        <v>7074</v>
      </c>
      <c r="C136" s="61">
        <v>1001022657074</v>
      </c>
      <c r="D136" s="59" t="s">
        <v>157</v>
      </c>
      <c r="E136" s="59"/>
      <c r="F136" s="58" t="s">
        <v>20</v>
      </c>
      <c r="G136" s="69">
        <v>0.6</v>
      </c>
    </row>
    <row r="137" spans="2:7" ht="21" x14ac:dyDescent="0.25">
      <c r="B137" s="58">
        <v>7123</v>
      </c>
      <c r="C137" s="62">
        <v>1001020867123</v>
      </c>
      <c r="D137" s="59" t="s">
        <v>187</v>
      </c>
      <c r="E137" s="64"/>
      <c r="F137" s="66" t="s">
        <v>20</v>
      </c>
      <c r="G137" s="67">
        <v>0.3</v>
      </c>
    </row>
    <row r="138" spans="2:7" ht="21" x14ac:dyDescent="0.25">
      <c r="B138" s="74">
        <v>5819</v>
      </c>
      <c r="C138" s="63">
        <v>1001022725819</v>
      </c>
      <c r="D138" s="64" t="s">
        <v>38</v>
      </c>
      <c r="E138" s="64"/>
      <c r="F138" s="66" t="s">
        <v>20</v>
      </c>
      <c r="G138" s="67">
        <v>0.4</v>
      </c>
    </row>
    <row r="139" spans="2:7" ht="21" x14ac:dyDescent="0.25">
      <c r="B139" s="58">
        <v>6475</v>
      </c>
      <c r="C139" s="61">
        <v>1001025176475</v>
      </c>
      <c r="D139" s="59" t="s">
        <v>45</v>
      </c>
      <c r="E139" s="59"/>
      <c r="F139" s="66" t="s">
        <v>20</v>
      </c>
      <c r="G139" s="67">
        <v>0.4</v>
      </c>
    </row>
    <row r="140" spans="2:7" ht="21" x14ac:dyDescent="0.25">
      <c r="B140" s="81">
        <v>7284</v>
      </c>
      <c r="C140" s="80">
        <v>1001025767284</v>
      </c>
      <c r="D140" s="79" t="s">
        <v>188</v>
      </c>
      <c r="E140" s="79"/>
      <c r="F140" s="109" t="s">
        <v>20</v>
      </c>
      <c r="G140" s="110">
        <v>0.33</v>
      </c>
    </row>
    <row r="141" spans="2:7" ht="21" x14ac:dyDescent="0.25">
      <c r="B141" s="58">
        <v>7601</v>
      </c>
      <c r="C141" s="62">
        <v>1001025767601</v>
      </c>
      <c r="D141" s="59" t="s">
        <v>189</v>
      </c>
      <c r="E141" s="78"/>
      <c r="F141" s="58" t="s">
        <v>20</v>
      </c>
      <c r="G141" s="69">
        <v>0.26</v>
      </c>
    </row>
    <row r="142" spans="2:7" ht="21" x14ac:dyDescent="0.25">
      <c r="B142" s="81">
        <v>7461</v>
      </c>
      <c r="C142" s="82">
        <v>1001025767461</v>
      </c>
      <c r="D142" s="79" t="s">
        <v>190</v>
      </c>
      <c r="E142" s="78"/>
      <c r="F142" s="81" t="s">
        <v>20</v>
      </c>
      <c r="G142" s="84">
        <v>0.33</v>
      </c>
    </row>
    <row r="143" spans="2:7" ht="21" x14ac:dyDescent="0.25">
      <c r="B143" s="58">
        <v>7371</v>
      </c>
      <c r="C143" s="62">
        <v>1001026947371</v>
      </c>
      <c r="D143" s="59" t="s">
        <v>191</v>
      </c>
      <c r="E143" s="76"/>
      <c r="F143" s="58" t="s">
        <v>20</v>
      </c>
      <c r="G143" s="69">
        <v>0.3</v>
      </c>
    </row>
    <row r="144" spans="2:7" ht="21" x14ac:dyDescent="0.25">
      <c r="B144" s="81">
        <v>6837</v>
      </c>
      <c r="C144" s="82">
        <v>1001022556837</v>
      </c>
      <c r="D144" s="79" t="s">
        <v>47</v>
      </c>
      <c r="E144" s="79"/>
      <c r="F144" s="109" t="s">
        <v>20</v>
      </c>
      <c r="G144" s="110">
        <v>0.4</v>
      </c>
    </row>
    <row r="145" spans="2:7" ht="21" x14ac:dyDescent="0.25">
      <c r="B145" s="81">
        <v>7080</v>
      </c>
      <c r="C145" s="82">
        <v>1001022467080</v>
      </c>
      <c r="D145" s="83" t="s">
        <v>53</v>
      </c>
      <c r="E145" s="83"/>
      <c r="F145" s="81" t="s">
        <v>20</v>
      </c>
      <c r="G145" s="84">
        <v>0.41</v>
      </c>
    </row>
    <row r="146" spans="2:7" ht="21" x14ac:dyDescent="0.25">
      <c r="B146" s="58">
        <v>6724</v>
      </c>
      <c r="C146" s="62">
        <v>1001020836724</v>
      </c>
      <c r="D146" s="59" t="s">
        <v>51</v>
      </c>
      <c r="E146" s="59"/>
      <c r="F146" s="58" t="s">
        <v>20</v>
      </c>
      <c r="G146" s="69">
        <v>0.41</v>
      </c>
    </row>
    <row r="147" spans="2:7" ht="21" x14ac:dyDescent="0.25">
      <c r="B147" s="58">
        <v>7066</v>
      </c>
      <c r="C147" s="62">
        <v>1001022377066</v>
      </c>
      <c r="D147" s="59" t="s">
        <v>55</v>
      </c>
      <c r="E147" s="59"/>
      <c r="F147" s="58" t="s">
        <v>20</v>
      </c>
      <c r="G147" s="69">
        <v>0.41</v>
      </c>
    </row>
    <row r="148" spans="2:7" ht="21" x14ac:dyDescent="0.25">
      <c r="B148" s="74">
        <v>6713</v>
      </c>
      <c r="C148" s="61">
        <v>1001022246713</v>
      </c>
      <c r="D148" s="59" t="s">
        <v>46</v>
      </c>
      <c r="E148" s="59"/>
      <c r="F148" s="66" t="s">
        <v>20</v>
      </c>
      <c r="G148" s="67">
        <v>0.41</v>
      </c>
    </row>
    <row r="149" spans="2:7" ht="21" x14ac:dyDescent="0.25">
      <c r="B149" s="58">
        <v>7255</v>
      </c>
      <c r="C149" s="62">
        <v>1001025507255</v>
      </c>
      <c r="D149" s="59" t="s">
        <v>37</v>
      </c>
      <c r="E149" s="64"/>
      <c r="F149" s="58" t="s">
        <v>20</v>
      </c>
      <c r="G149" s="69">
        <v>0.4</v>
      </c>
    </row>
    <row r="150" spans="2:7" ht="21" x14ac:dyDescent="0.25">
      <c r="B150" s="58">
        <v>6602</v>
      </c>
      <c r="C150" s="62">
        <v>1001021966602</v>
      </c>
      <c r="D150" s="59" t="s">
        <v>155</v>
      </c>
      <c r="E150" s="59"/>
      <c r="F150" s="58" t="s">
        <v>20</v>
      </c>
      <c r="G150" s="69">
        <v>0.35</v>
      </c>
    </row>
    <row r="151" spans="2:7" ht="21" x14ac:dyDescent="0.25">
      <c r="B151" s="58">
        <v>7073</v>
      </c>
      <c r="C151" s="62">
        <v>1001022657073</v>
      </c>
      <c r="D151" s="59" t="s">
        <v>50</v>
      </c>
      <c r="E151" s="59"/>
      <c r="F151" s="58" t="s">
        <v>20</v>
      </c>
      <c r="G151" s="69">
        <v>0.35</v>
      </c>
    </row>
    <row r="152" spans="2:7" ht="21" x14ac:dyDescent="0.25">
      <c r="B152" s="81">
        <v>7276</v>
      </c>
      <c r="C152" s="82">
        <v>1001022467276</v>
      </c>
      <c r="D152" s="83" t="s">
        <v>54</v>
      </c>
      <c r="E152" s="83"/>
      <c r="F152" s="81" t="s">
        <v>20</v>
      </c>
      <c r="G152" s="84">
        <v>0.3</v>
      </c>
    </row>
    <row r="153" spans="2:7" ht="21" x14ac:dyDescent="0.25">
      <c r="B153" s="58">
        <v>6616</v>
      </c>
      <c r="C153" s="61">
        <v>1001024976616</v>
      </c>
      <c r="D153" s="59" t="s">
        <v>42</v>
      </c>
      <c r="E153" s="59"/>
      <c r="F153" s="58" t="s">
        <v>20</v>
      </c>
      <c r="G153" s="69">
        <v>0.3</v>
      </c>
    </row>
    <row r="154" spans="2:7" ht="21" x14ac:dyDescent="0.25">
      <c r="B154" s="58">
        <v>7385</v>
      </c>
      <c r="C154" s="62">
        <v>1001027067385</v>
      </c>
      <c r="D154" s="76" t="s">
        <v>163</v>
      </c>
      <c r="E154" s="59"/>
      <c r="F154" s="58" t="s">
        <v>20</v>
      </c>
      <c r="G154" s="69">
        <v>0.33</v>
      </c>
    </row>
    <row r="155" spans="2:7" ht="21" x14ac:dyDescent="0.25">
      <c r="B155" s="81">
        <v>7044</v>
      </c>
      <c r="C155" s="82">
        <v>1001025167044</v>
      </c>
      <c r="D155" s="83" t="s">
        <v>164</v>
      </c>
      <c r="E155" s="78"/>
      <c r="F155" s="58" t="s">
        <v>20</v>
      </c>
      <c r="G155" s="84">
        <v>0.32</v>
      </c>
    </row>
    <row r="156" spans="2:7" ht="21" x14ac:dyDescent="0.25">
      <c r="B156" s="81">
        <v>7460</v>
      </c>
      <c r="C156" s="82">
        <v>1001027247460</v>
      </c>
      <c r="D156" s="83" t="s">
        <v>165</v>
      </c>
      <c r="E156" s="78"/>
      <c r="F156" s="58" t="s">
        <v>20</v>
      </c>
      <c r="G156" s="84">
        <v>0.33</v>
      </c>
    </row>
  </sheetData>
  <conditionalFormatting sqref="B2">
    <cfRule type="duplicateValues" dxfId="373" priority="284"/>
  </conditionalFormatting>
  <conditionalFormatting sqref="B3">
    <cfRule type="duplicateValues" dxfId="372" priority="922"/>
    <cfRule type="duplicateValues" dxfId="371" priority="923"/>
    <cfRule type="duplicateValues" dxfId="370" priority="924"/>
  </conditionalFormatting>
  <conditionalFormatting sqref="B4:B5 B2">
    <cfRule type="duplicateValues" dxfId="369" priority="337"/>
    <cfRule type="duplicateValues" dxfId="368" priority="336"/>
    <cfRule type="duplicateValues" dxfId="367" priority="335"/>
    <cfRule type="duplicateValues" dxfId="366" priority="334"/>
  </conditionalFormatting>
  <conditionalFormatting sqref="B4:B6 B2">
    <cfRule type="duplicateValues" dxfId="365" priority="293"/>
  </conditionalFormatting>
  <conditionalFormatting sqref="B6">
    <cfRule type="duplicateValues" dxfId="364" priority="298"/>
    <cfRule type="duplicateValues" dxfId="363" priority="297"/>
    <cfRule type="duplicateValues" dxfId="362" priority="299"/>
  </conditionalFormatting>
  <conditionalFormatting sqref="B7:B9">
    <cfRule type="duplicateValues" dxfId="361" priority="339"/>
  </conditionalFormatting>
  <conditionalFormatting sqref="B10">
    <cfRule type="duplicateValues" dxfId="360" priority="260"/>
    <cfRule type="duplicateValues" dxfId="359" priority="261"/>
    <cfRule type="duplicateValues" dxfId="358" priority="262"/>
    <cfRule type="duplicateValues" dxfId="357" priority="263"/>
  </conditionalFormatting>
  <conditionalFormatting sqref="B11 B7:B9">
    <cfRule type="duplicateValues" dxfId="356" priority="343"/>
  </conditionalFormatting>
  <conditionalFormatting sqref="B12">
    <cfRule type="duplicateValues" dxfId="355" priority="860"/>
    <cfRule type="duplicateValues" dxfId="354" priority="859"/>
    <cfRule type="duplicateValues" dxfId="353" priority="858"/>
    <cfRule type="duplicateValues" dxfId="352" priority="857"/>
    <cfRule type="duplicateValues" dxfId="351" priority="861"/>
    <cfRule type="duplicateValues" dxfId="350" priority="866"/>
    <cfRule type="duplicateValues" dxfId="349" priority="865"/>
    <cfRule type="duplicateValues" dxfId="348" priority="864"/>
    <cfRule type="duplicateValues" dxfId="347" priority="863"/>
    <cfRule type="duplicateValues" dxfId="346" priority="862"/>
    <cfRule type="duplicateValues" dxfId="345" priority="867"/>
  </conditionalFormatting>
  <conditionalFormatting sqref="B13">
    <cfRule type="duplicateValues" dxfId="344" priority="110"/>
    <cfRule type="duplicateValues" dxfId="343" priority="109"/>
    <cfRule type="duplicateValues" dxfId="342" priority="108"/>
    <cfRule type="duplicateValues" dxfId="341" priority="107"/>
  </conditionalFormatting>
  <conditionalFormatting sqref="B15:B16">
    <cfRule type="duplicateValues" dxfId="340" priority="104"/>
    <cfRule type="duplicateValues" dxfId="339" priority="105"/>
    <cfRule type="duplicateValues" dxfId="338" priority="106"/>
    <cfRule type="duplicateValues" dxfId="337" priority="99"/>
    <cfRule type="duplicateValues" dxfId="336" priority="98"/>
    <cfRule type="duplicateValues" dxfId="335" priority="97"/>
    <cfRule type="duplicateValues" dxfId="334" priority="101"/>
    <cfRule type="duplicateValues" dxfId="333" priority="96"/>
    <cfRule type="duplicateValues" dxfId="332" priority="103"/>
    <cfRule type="duplicateValues" dxfId="331" priority="100"/>
    <cfRule type="duplicateValues" dxfId="330" priority="102"/>
  </conditionalFormatting>
  <conditionalFormatting sqref="B18">
    <cfRule type="duplicateValues" dxfId="329" priority="801"/>
    <cfRule type="duplicateValues" dxfId="328" priority="809"/>
    <cfRule type="duplicateValues" dxfId="327" priority="808"/>
    <cfRule type="duplicateValues" dxfId="326" priority="807"/>
    <cfRule type="duplicateValues" dxfId="325" priority="806"/>
    <cfRule type="duplicateValues" dxfId="324" priority="805"/>
    <cfRule type="duplicateValues" dxfId="323" priority="804"/>
    <cfRule type="duplicateValues" dxfId="322" priority="803"/>
    <cfRule type="duplicateValues" dxfId="321" priority="802"/>
    <cfRule type="duplicateValues" dxfId="320" priority="800"/>
  </conditionalFormatting>
  <conditionalFormatting sqref="B19:B22 B17 B14">
    <cfRule type="duplicateValues" dxfId="319" priority="194"/>
  </conditionalFormatting>
  <conditionalFormatting sqref="B23">
    <cfRule type="duplicateValues" dxfId="318" priority="353"/>
    <cfRule type="duplicateValues" dxfId="317" priority="352"/>
    <cfRule type="duplicateValues" dxfId="316" priority="350"/>
    <cfRule type="duplicateValues" dxfId="315" priority="351"/>
  </conditionalFormatting>
  <conditionalFormatting sqref="B24">
    <cfRule type="duplicateValues" dxfId="314" priority="2"/>
    <cfRule type="duplicateValues" dxfId="313" priority="3"/>
    <cfRule type="duplicateValues" dxfId="312" priority="4"/>
    <cfRule type="duplicateValues" dxfId="311" priority="1"/>
  </conditionalFormatting>
  <conditionalFormatting sqref="B25">
    <cfRule type="duplicateValues" dxfId="310" priority="318"/>
    <cfRule type="duplicateValues" dxfId="309" priority="316"/>
    <cfRule type="duplicateValues" dxfId="308" priority="317"/>
    <cfRule type="duplicateValues" dxfId="307" priority="315"/>
  </conditionalFormatting>
  <conditionalFormatting sqref="B28">
    <cfRule type="duplicateValues" dxfId="306" priority="179"/>
    <cfRule type="duplicateValues" dxfId="305" priority="176"/>
    <cfRule type="duplicateValues" dxfId="304" priority="178"/>
    <cfRule type="duplicateValues" dxfId="303" priority="177"/>
  </conditionalFormatting>
  <conditionalFormatting sqref="B29:B31">
    <cfRule type="duplicateValues" dxfId="302" priority="257"/>
    <cfRule type="duplicateValues" dxfId="301" priority="258"/>
    <cfRule type="duplicateValues" dxfId="300" priority="259"/>
    <cfRule type="duplicateValues" dxfId="299" priority="256"/>
  </conditionalFormatting>
  <conditionalFormatting sqref="B32">
    <cfRule type="duplicateValues" dxfId="298" priority="188"/>
    <cfRule type="duplicateValues" dxfId="297" priority="189"/>
    <cfRule type="duplicateValues" dxfId="296" priority="190"/>
    <cfRule type="duplicateValues" dxfId="295" priority="191"/>
  </conditionalFormatting>
  <conditionalFormatting sqref="B33">
    <cfRule type="duplicateValues" dxfId="294" priority="187"/>
    <cfRule type="duplicateValues" dxfId="293" priority="184"/>
    <cfRule type="duplicateValues" dxfId="292" priority="186"/>
    <cfRule type="duplicateValues" dxfId="291" priority="185"/>
  </conditionalFormatting>
  <conditionalFormatting sqref="B34">
    <cfRule type="duplicateValues" dxfId="290" priority="183"/>
    <cfRule type="duplicateValues" dxfId="289" priority="182"/>
    <cfRule type="duplicateValues" dxfId="288" priority="181"/>
    <cfRule type="duplicateValues" dxfId="287" priority="180"/>
  </conditionalFormatting>
  <conditionalFormatting sqref="B35">
    <cfRule type="duplicateValues" dxfId="286" priority="83"/>
    <cfRule type="duplicateValues" dxfId="285" priority="82"/>
    <cfRule type="duplicateValues" dxfId="284" priority="81"/>
    <cfRule type="duplicateValues" dxfId="283" priority="80"/>
  </conditionalFormatting>
  <conditionalFormatting sqref="B36">
    <cfRule type="duplicateValues" dxfId="282" priority="14"/>
    <cfRule type="duplicateValues" dxfId="281" priority="15"/>
    <cfRule type="duplicateValues" dxfId="280" priority="16"/>
    <cfRule type="duplicateValues" dxfId="279" priority="13"/>
  </conditionalFormatting>
  <conditionalFormatting sqref="B37:B39">
    <cfRule type="duplicateValues" dxfId="278" priority="243"/>
    <cfRule type="duplicateValues" dxfId="277" priority="242"/>
    <cfRule type="duplicateValues" dxfId="276" priority="241"/>
  </conditionalFormatting>
  <conditionalFormatting sqref="B38:B39">
    <cfRule type="duplicateValues" dxfId="275" priority="255"/>
  </conditionalFormatting>
  <conditionalFormatting sqref="B40">
    <cfRule type="duplicateValues" dxfId="274" priority="254"/>
    <cfRule type="duplicateValues" dxfId="273" priority="253"/>
    <cfRule type="duplicateValues" dxfId="272" priority="252"/>
    <cfRule type="duplicateValues" dxfId="271" priority="249"/>
    <cfRule type="duplicateValues" dxfId="270" priority="247"/>
    <cfRule type="duplicateValues" dxfId="269" priority="246"/>
    <cfRule type="duplicateValues" dxfId="268" priority="245"/>
    <cfRule type="duplicateValues" dxfId="267" priority="250"/>
    <cfRule type="duplicateValues" dxfId="266" priority="248"/>
    <cfRule type="duplicateValues" dxfId="265" priority="251"/>
  </conditionalFormatting>
  <conditionalFormatting sqref="B41:B44">
    <cfRule type="duplicateValues" dxfId="264" priority="268"/>
    <cfRule type="duplicateValues" dxfId="263" priority="264"/>
    <cfRule type="duplicateValues" dxfId="262" priority="265"/>
    <cfRule type="duplicateValues" dxfId="261" priority="266"/>
    <cfRule type="duplicateValues" dxfId="260" priority="269"/>
    <cfRule type="duplicateValues" dxfId="259" priority="270"/>
  </conditionalFormatting>
  <conditionalFormatting sqref="B46:B47">
    <cfRule type="duplicateValues" dxfId="258" priority="238"/>
    <cfRule type="duplicateValues" dxfId="257" priority="237"/>
    <cfRule type="duplicateValues" dxfId="256" priority="240"/>
    <cfRule type="duplicateValues" dxfId="255" priority="239"/>
  </conditionalFormatting>
  <conditionalFormatting sqref="B48">
    <cfRule type="duplicateValues" dxfId="254" priority="322"/>
    <cfRule type="duplicateValues" dxfId="253" priority="320"/>
    <cfRule type="duplicateValues" dxfId="252" priority="321"/>
    <cfRule type="duplicateValues" dxfId="251" priority="319"/>
  </conditionalFormatting>
  <conditionalFormatting sqref="B49">
    <cfRule type="duplicateValues" dxfId="250" priority="75"/>
    <cfRule type="duplicateValues" dxfId="249" priority="71"/>
    <cfRule type="duplicateValues" dxfId="248" priority="72"/>
    <cfRule type="duplicateValues" dxfId="247" priority="74"/>
    <cfRule type="duplicateValues" dxfId="246" priority="73"/>
  </conditionalFormatting>
  <conditionalFormatting sqref="B51">
    <cfRule type="duplicateValues" dxfId="245" priority="972"/>
    <cfRule type="duplicateValues" dxfId="244" priority="971"/>
    <cfRule type="duplicateValues" dxfId="243" priority="970"/>
  </conditionalFormatting>
  <conditionalFormatting sqref="B52">
    <cfRule type="duplicateValues" dxfId="242" priority="300"/>
    <cfRule type="duplicateValues" dxfId="241" priority="301"/>
    <cfRule type="duplicateValues" dxfId="240" priority="302"/>
    <cfRule type="duplicateValues" dxfId="239" priority="303"/>
    <cfRule type="duplicateValues" dxfId="238" priority="306"/>
    <cfRule type="duplicateValues" dxfId="237" priority="307"/>
    <cfRule type="duplicateValues" dxfId="236" priority="305"/>
    <cfRule type="duplicateValues" dxfId="235" priority="308"/>
    <cfRule type="duplicateValues" dxfId="234" priority="304"/>
  </conditionalFormatting>
  <conditionalFormatting sqref="B53">
    <cfRule type="duplicateValues" dxfId="233" priority="234"/>
    <cfRule type="duplicateValues" dxfId="232" priority="235"/>
    <cfRule type="duplicateValues" dxfId="231" priority="233"/>
    <cfRule type="duplicateValues" dxfId="230" priority="232"/>
  </conditionalFormatting>
  <conditionalFormatting sqref="B59">
    <cfRule type="duplicateValues" dxfId="229" priority="1019"/>
    <cfRule type="duplicateValues" dxfId="228" priority="1020"/>
    <cfRule type="duplicateValues" dxfId="227" priority="1018"/>
  </conditionalFormatting>
  <conditionalFormatting sqref="B60 B54:B58">
    <cfRule type="duplicateValues" dxfId="226" priority="229"/>
  </conditionalFormatting>
  <conditionalFormatting sqref="B60">
    <cfRule type="duplicateValues" dxfId="225" priority="230"/>
    <cfRule type="duplicateValues" dxfId="224" priority="231"/>
    <cfRule type="duplicateValues" dxfId="223" priority="236"/>
  </conditionalFormatting>
  <conditionalFormatting sqref="B61">
    <cfRule type="duplicateValues" dxfId="222" priority="173"/>
    <cfRule type="duplicateValues" dxfId="221" priority="175"/>
    <cfRule type="duplicateValues" dxfId="220" priority="174"/>
    <cfRule type="duplicateValues" dxfId="219" priority="172"/>
  </conditionalFormatting>
  <conditionalFormatting sqref="B62">
    <cfRule type="duplicateValues" dxfId="218" priority="357"/>
    <cfRule type="duplicateValues" dxfId="217" priority="358"/>
    <cfRule type="duplicateValues" dxfId="216" priority="359"/>
  </conditionalFormatting>
  <conditionalFormatting sqref="B63">
    <cfRule type="duplicateValues" dxfId="215" priority="171"/>
    <cfRule type="duplicateValues" dxfId="214" priority="163"/>
    <cfRule type="duplicateValues" dxfId="213" priority="170"/>
    <cfRule type="duplicateValues" dxfId="212" priority="169"/>
    <cfRule type="duplicateValues" dxfId="211" priority="168"/>
    <cfRule type="duplicateValues" dxfId="210" priority="166"/>
    <cfRule type="duplicateValues" dxfId="209" priority="164"/>
    <cfRule type="duplicateValues" dxfId="208" priority="165"/>
    <cfRule type="duplicateValues" dxfId="207" priority="162"/>
  </conditionalFormatting>
  <conditionalFormatting sqref="B64">
    <cfRule type="duplicateValues" dxfId="206" priority="161"/>
  </conditionalFormatting>
  <conditionalFormatting sqref="B65">
    <cfRule type="duplicateValues" dxfId="205" priority="160"/>
  </conditionalFormatting>
  <conditionalFormatting sqref="B66">
    <cfRule type="duplicateValues" dxfId="204" priority="158"/>
    <cfRule type="duplicateValues" dxfId="203" priority="159"/>
    <cfRule type="duplicateValues" dxfId="202" priority="157"/>
    <cfRule type="duplicateValues" dxfId="201" priority="156"/>
  </conditionalFormatting>
  <conditionalFormatting sqref="B67">
    <cfRule type="duplicateValues" dxfId="200" priority="154"/>
    <cfRule type="duplicateValues" dxfId="199" priority="155"/>
    <cfRule type="duplicateValues" dxfId="198" priority="153"/>
    <cfRule type="duplicateValues" dxfId="197" priority="152"/>
  </conditionalFormatting>
  <conditionalFormatting sqref="B68">
    <cfRule type="duplicateValues" dxfId="196" priority="150"/>
    <cfRule type="duplicateValues" dxfId="195" priority="151"/>
    <cfRule type="duplicateValues" dxfId="194" priority="149"/>
    <cfRule type="duplicateValues" dxfId="193" priority="148"/>
  </conditionalFormatting>
  <conditionalFormatting sqref="B69">
    <cfRule type="duplicateValues" dxfId="192" priority="147"/>
    <cfRule type="duplicateValues" dxfId="191" priority="146"/>
    <cfRule type="duplicateValues" dxfId="190" priority="145"/>
    <cfRule type="duplicateValues" dxfId="189" priority="144"/>
  </conditionalFormatting>
  <conditionalFormatting sqref="B70">
    <cfRule type="duplicateValues" dxfId="188" priority="140"/>
    <cfRule type="duplicateValues" dxfId="187" priority="139"/>
    <cfRule type="duplicateValues" dxfId="186" priority="143"/>
    <cfRule type="duplicateValues" dxfId="185" priority="142"/>
    <cfRule type="duplicateValues" dxfId="184" priority="141"/>
  </conditionalFormatting>
  <conditionalFormatting sqref="B71:B73">
    <cfRule type="duplicateValues" dxfId="183" priority="326"/>
    <cfRule type="duplicateValues" dxfId="182" priority="325"/>
    <cfRule type="duplicateValues" dxfId="181" priority="324"/>
    <cfRule type="duplicateValues" dxfId="180" priority="323"/>
  </conditionalFormatting>
  <conditionalFormatting sqref="B74">
    <cfRule type="duplicateValues" dxfId="179" priority="135"/>
  </conditionalFormatting>
  <conditionalFormatting sqref="B74:B75">
    <cfRule type="duplicateValues" dxfId="178" priority="136"/>
    <cfRule type="duplicateValues" dxfId="177" priority="134"/>
    <cfRule type="duplicateValues" dxfId="176" priority="133"/>
  </conditionalFormatting>
  <conditionalFormatting sqref="B75">
    <cfRule type="duplicateValues" dxfId="175" priority="137"/>
    <cfRule type="duplicateValues" dxfId="174" priority="138"/>
  </conditionalFormatting>
  <conditionalFormatting sqref="B76">
    <cfRule type="duplicateValues" dxfId="173" priority="61"/>
    <cfRule type="duplicateValues" dxfId="172" priority="58"/>
    <cfRule type="duplicateValues" dxfId="171" priority="59"/>
    <cfRule type="duplicateValues" dxfId="170" priority="62"/>
    <cfRule type="duplicateValues" dxfId="169" priority="60"/>
  </conditionalFormatting>
  <conditionalFormatting sqref="B77:B78 B120:B123 B125:B127 B26:B27 B89 B45 B50">
    <cfRule type="duplicateValues" dxfId="168" priority="285"/>
  </conditionalFormatting>
  <conditionalFormatting sqref="B79">
    <cfRule type="duplicateValues" dxfId="167" priority="94"/>
    <cfRule type="duplicateValues" dxfId="166" priority="92"/>
    <cfRule type="duplicateValues" dxfId="165" priority="93"/>
    <cfRule type="duplicateValues" dxfId="164" priority="91"/>
    <cfRule type="duplicateValues" dxfId="163" priority="95"/>
  </conditionalFormatting>
  <conditionalFormatting sqref="B80">
    <cfRule type="duplicateValues" dxfId="162" priority="279"/>
    <cfRule type="duplicateValues" dxfId="161" priority="283"/>
    <cfRule type="duplicateValues" dxfId="160" priority="282"/>
    <cfRule type="duplicateValues" dxfId="159" priority="281"/>
    <cfRule type="duplicateValues" dxfId="158" priority="280"/>
  </conditionalFormatting>
  <conditionalFormatting sqref="B81">
    <cfRule type="duplicateValues" dxfId="157" priority="296"/>
    <cfRule type="duplicateValues" dxfId="156" priority="294"/>
    <cfRule type="duplicateValues" dxfId="155" priority="295"/>
  </conditionalFormatting>
  <conditionalFormatting sqref="B82:B84">
    <cfRule type="duplicateValues" dxfId="154" priority="228"/>
    <cfRule type="duplicateValues" dxfId="153" priority="227"/>
    <cfRule type="duplicateValues" dxfId="152" priority="226"/>
    <cfRule type="duplicateValues" dxfId="151" priority="225"/>
  </conditionalFormatting>
  <conditionalFormatting sqref="B85">
    <cfRule type="duplicateValues" dxfId="150" priority="132"/>
  </conditionalFormatting>
  <conditionalFormatting sqref="B85:B87">
    <cfRule type="duplicateValues" dxfId="149" priority="327"/>
    <cfRule type="duplicateValues" dxfId="148" priority="328"/>
    <cfRule type="duplicateValues" dxfId="147" priority="329"/>
  </conditionalFormatting>
  <conditionalFormatting sqref="B86:B87">
    <cfRule type="duplicateValues" dxfId="146" priority="330"/>
  </conditionalFormatting>
  <conditionalFormatting sqref="B88">
    <cfRule type="duplicateValues" dxfId="145" priority="70"/>
    <cfRule type="duplicateValues" dxfId="144" priority="69"/>
    <cfRule type="duplicateValues" dxfId="143" priority="68"/>
    <cfRule type="duplicateValues" dxfId="142" priority="67"/>
  </conditionalFormatting>
  <conditionalFormatting sqref="B90">
    <cfRule type="duplicateValues" dxfId="141" priority="278"/>
    <cfRule type="duplicateValues" dxfId="140" priority="277"/>
    <cfRule type="duplicateValues" dxfId="139" priority="276"/>
    <cfRule type="duplicateValues" dxfId="138" priority="275"/>
  </conditionalFormatting>
  <conditionalFormatting sqref="B91">
    <cfRule type="duplicateValues" dxfId="137" priority="274"/>
    <cfRule type="duplicateValues" dxfId="136" priority="273"/>
    <cfRule type="duplicateValues" dxfId="135" priority="272"/>
    <cfRule type="duplicateValues" dxfId="134" priority="271"/>
  </conditionalFormatting>
  <conditionalFormatting sqref="B92:B95">
    <cfRule type="duplicateValues" dxfId="133" priority="314"/>
    <cfRule type="duplicateValues" dxfId="132" priority="312"/>
  </conditionalFormatting>
  <conditionalFormatting sqref="B93:B95">
    <cfRule type="duplicateValues" dxfId="131" priority="313"/>
  </conditionalFormatting>
  <conditionalFormatting sqref="B96:B99">
    <cfRule type="duplicateValues" dxfId="130" priority="366"/>
    <cfRule type="duplicateValues" dxfId="129" priority="367"/>
    <cfRule type="duplicateValues" dxfId="128" priority="368"/>
    <cfRule type="duplicateValues" dxfId="127" priority="369"/>
  </conditionalFormatting>
  <conditionalFormatting sqref="B100:B101 B103:B104">
    <cfRule type="duplicateValues" dxfId="126" priority="340"/>
    <cfRule type="duplicateValues" dxfId="125" priority="341"/>
    <cfRule type="duplicateValues" dxfId="124" priority="342"/>
  </conditionalFormatting>
  <conditionalFormatting sqref="B102">
    <cfRule type="duplicateValues" dxfId="123" priority="87"/>
    <cfRule type="duplicateValues" dxfId="122" priority="90"/>
    <cfRule type="duplicateValues" dxfId="121" priority="89"/>
    <cfRule type="duplicateValues" dxfId="120" priority="88"/>
  </conditionalFormatting>
  <conditionalFormatting sqref="B105">
    <cfRule type="duplicateValues" dxfId="119" priority="131"/>
    <cfRule type="duplicateValues" dxfId="118" priority="129"/>
    <cfRule type="duplicateValues" dxfId="117" priority="130"/>
    <cfRule type="duplicateValues" dxfId="116" priority="128"/>
  </conditionalFormatting>
  <conditionalFormatting sqref="B106">
    <cfRule type="duplicateValues" dxfId="115" priority="126"/>
    <cfRule type="duplicateValues" dxfId="114" priority="127"/>
    <cfRule type="duplicateValues" dxfId="113" priority="125"/>
    <cfRule type="duplicateValues" dxfId="112" priority="124"/>
  </conditionalFormatting>
  <conditionalFormatting sqref="B107">
    <cfRule type="duplicateValues" dxfId="111" priority="122"/>
    <cfRule type="duplicateValues" dxfId="110" priority="123"/>
    <cfRule type="duplicateValues" dxfId="109" priority="121"/>
    <cfRule type="duplicateValues" dxfId="108" priority="120"/>
  </conditionalFormatting>
  <conditionalFormatting sqref="B108">
    <cfRule type="duplicateValues" dxfId="107" priority="66"/>
    <cfRule type="duplicateValues" dxfId="106" priority="65"/>
    <cfRule type="duplicateValues" dxfId="105" priority="64"/>
    <cfRule type="duplicateValues" dxfId="104" priority="63"/>
  </conditionalFormatting>
  <conditionalFormatting sqref="B109:B110">
    <cfRule type="duplicateValues" dxfId="103" priority="84"/>
    <cfRule type="duplicateValues" dxfId="102" priority="86"/>
    <cfRule type="duplicateValues" dxfId="101" priority="85"/>
  </conditionalFormatting>
  <conditionalFormatting sqref="B111">
    <cfRule type="duplicateValues" dxfId="100" priority="49"/>
    <cfRule type="duplicateValues" dxfId="99" priority="48"/>
    <cfRule type="duplicateValues" dxfId="98" priority="47"/>
  </conditionalFormatting>
  <conditionalFormatting sqref="B112:B113">
    <cfRule type="duplicateValues" dxfId="97" priority="217"/>
    <cfRule type="duplicateValues" dxfId="96" priority="216"/>
    <cfRule type="duplicateValues" dxfId="95" priority="218"/>
  </conditionalFormatting>
  <conditionalFormatting sqref="B113">
    <cfRule type="duplicateValues" dxfId="94" priority="224"/>
  </conditionalFormatting>
  <conditionalFormatting sqref="B114:B115">
    <cfRule type="duplicateValues" dxfId="93" priority="215"/>
    <cfRule type="duplicateValues" dxfId="92" priority="214"/>
    <cfRule type="duplicateValues" dxfId="91" priority="213"/>
    <cfRule type="duplicateValues" dxfId="90" priority="212"/>
  </conditionalFormatting>
  <conditionalFormatting sqref="B116">
    <cfRule type="duplicateValues" dxfId="89" priority="204"/>
    <cfRule type="duplicateValues" dxfId="88" priority="202"/>
    <cfRule type="duplicateValues" dxfId="87" priority="203"/>
    <cfRule type="duplicateValues" dxfId="86" priority="208"/>
    <cfRule type="duplicateValues" dxfId="85" priority="211"/>
    <cfRule type="duplicateValues" dxfId="84" priority="210"/>
    <cfRule type="duplicateValues" dxfId="83" priority="209"/>
    <cfRule type="duplicateValues" dxfId="82" priority="206"/>
    <cfRule type="duplicateValues" dxfId="81" priority="205"/>
  </conditionalFormatting>
  <conditionalFormatting sqref="B117">
    <cfRule type="duplicateValues" dxfId="80" priority="223"/>
    <cfRule type="duplicateValues" dxfId="79" priority="219"/>
    <cfRule type="duplicateValues" dxfId="78" priority="220"/>
    <cfRule type="duplicateValues" dxfId="77" priority="221"/>
    <cfRule type="duplicateValues" dxfId="76" priority="222"/>
  </conditionalFormatting>
  <conditionalFormatting sqref="B118">
    <cfRule type="duplicateValues" dxfId="75" priority="376"/>
    <cfRule type="duplicateValues" dxfId="74" priority="377"/>
    <cfRule type="duplicateValues" dxfId="73" priority="375"/>
  </conditionalFormatting>
  <conditionalFormatting sqref="B118:B119">
    <cfRule type="duplicateValues" dxfId="72" priority="373"/>
    <cfRule type="duplicateValues" dxfId="71" priority="374"/>
  </conditionalFormatting>
  <conditionalFormatting sqref="B119">
    <cfRule type="duplicateValues" dxfId="70" priority="119"/>
  </conditionalFormatting>
  <conditionalFormatting sqref="B120:B123 B77:B78 B26:B27 B89 B45 B50">
    <cfRule type="duplicateValues" dxfId="69" priority="354"/>
    <cfRule type="duplicateValues" dxfId="68" priority="355"/>
    <cfRule type="duplicateValues" dxfId="67" priority="356"/>
  </conditionalFormatting>
  <conditionalFormatting sqref="B124">
    <cfRule type="duplicateValues" dxfId="66" priority="346"/>
    <cfRule type="duplicateValues" dxfId="65" priority="344"/>
    <cfRule type="duplicateValues" dxfId="64" priority="345"/>
  </conditionalFormatting>
  <conditionalFormatting sqref="B125">
    <cfRule type="duplicateValues" dxfId="63" priority="286"/>
    <cfRule type="duplicateValues" dxfId="62" priority="288"/>
    <cfRule type="duplicateValues" dxfId="61" priority="287"/>
  </conditionalFormatting>
  <conditionalFormatting sqref="B126">
    <cfRule type="duplicateValues" dxfId="60" priority="364"/>
    <cfRule type="duplicateValues" dxfId="59" priority="363"/>
    <cfRule type="duplicateValues" dxfId="58" priority="365"/>
  </conditionalFormatting>
  <conditionalFormatting sqref="B127 B77:B78 B120:B123 B26:B27 B89 B45 B50">
    <cfRule type="duplicateValues" dxfId="57" priority="289"/>
  </conditionalFormatting>
  <conditionalFormatting sqref="B127">
    <cfRule type="duplicateValues" dxfId="56" priority="290"/>
    <cfRule type="duplicateValues" dxfId="55" priority="292"/>
  </conditionalFormatting>
  <conditionalFormatting sqref="B133">
    <cfRule type="duplicateValues" dxfId="54" priority="197"/>
    <cfRule type="duplicateValues" dxfId="53" priority="196"/>
    <cfRule type="duplicateValues" dxfId="52" priority="195"/>
  </conditionalFormatting>
  <conditionalFormatting sqref="B134">
    <cfRule type="duplicateValues" dxfId="51" priority="198"/>
    <cfRule type="duplicateValues" dxfId="50" priority="201"/>
    <cfRule type="duplicateValues" dxfId="49" priority="199"/>
    <cfRule type="duplicateValues" dxfId="48" priority="200"/>
  </conditionalFormatting>
  <conditionalFormatting sqref="B135:B137 B128:B132">
    <cfRule type="duplicateValues" dxfId="47" priority="310"/>
  </conditionalFormatting>
  <conditionalFormatting sqref="B135:B137">
    <cfRule type="duplicateValues" dxfId="46" priority="311"/>
  </conditionalFormatting>
  <conditionalFormatting sqref="B141:B142">
    <cfRule type="duplicateValues" dxfId="45" priority="53"/>
    <cfRule type="duplicateValues" dxfId="44" priority="50"/>
    <cfRule type="duplicateValues" dxfId="43" priority="51"/>
    <cfRule type="duplicateValues" dxfId="42" priority="52"/>
  </conditionalFormatting>
  <conditionalFormatting sqref="B143">
    <cfRule type="duplicateValues" dxfId="41" priority="17"/>
    <cfRule type="duplicateValues" dxfId="40" priority="18"/>
    <cfRule type="duplicateValues" dxfId="39" priority="19"/>
    <cfRule type="duplicateValues" dxfId="38" priority="20"/>
  </conditionalFormatting>
  <conditionalFormatting sqref="B146">
    <cfRule type="duplicateValues" dxfId="37" priority="118"/>
    <cfRule type="duplicateValues" dxfId="36" priority="117"/>
    <cfRule type="duplicateValues" dxfId="35" priority="116"/>
    <cfRule type="duplicateValues" dxfId="34" priority="115"/>
  </conditionalFormatting>
  <conditionalFormatting sqref="B147:B148">
    <cfRule type="duplicateValues" dxfId="33" priority="111"/>
    <cfRule type="duplicateValues" dxfId="32" priority="112"/>
    <cfRule type="duplicateValues" dxfId="31" priority="113"/>
    <cfRule type="duplicateValues" dxfId="30" priority="114"/>
  </conditionalFormatting>
  <conditionalFormatting sqref="B149">
    <cfRule type="duplicateValues" dxfId="29" priority="362"/>
    <cfRule type="duplicateValues" dxfId="28" priority="361"/>
    <cfRule type="duplicateValues" dxfId="27" priority="360"/>
  </conditionalFormatting>
  <conditionalFormatting sqref="B150">
    <cfRule type="duplicateValues" dxfId="26" priority="349"/>
    <cfRule type="duplicateValues" dxfId="25" priority="348"/>
    <cfRule type="duplicateValues" dxfId="24" priority="347"/>
  </conditionalFormatting>
  <conditionalFormatting sqref="B151">
    <cfRule type="duplicateValues" dxfId="23" priority="333"/>
    <cfRule type="duplicateValues" dxfId="22" priority="332"/>
    <cfRule type="duplicateValues" dxfId="21" priority="331"/>
  </conditionalFormatting>
  <conditionalFormatting sqref="B152:B153 B138:B140 B144:B145">
    <cfRule type="duplicateValues" dxfId="20" priority="370"/>
    <cfRule type="duplicateValues" dxfId="19" priority="371"/>
    <cfRule type="duplicateValues" dxfId="18" priority="372"/>
  </conditionalFormatting>
  <conditionalFormatting sqref="B154">
    <cfRule type="duplicateValues" dxfId="17" priority="76"/>
    <cfRule type="duplicateValues" dxfId="16" priority="77"/>
    <cfRule type="duplicateValues" dxfId="15" priority="78"/>
    <cfRule type="duplicateValues" dxfId="14" priority="79"/>
  </conditionalFormatting>
  <conditionalFormatting sqref="B155:B156">
    <cfRule type="duplicateValues" dxfId="13" priority="54"/>
    <cfRule type="duplicateValues" dxfId="12" priority="55"/>
    <cfRule type="duplicateValues" dxfId="11" priority="56"/>
    <cfRule type="duplicateValues" dxfId="10" priority="57"/>
  </conditionalFormatting>
  <conditionalFormatting sqref="B4:C6 B2:C2">
    <cfRule type="duplicateValues" dxfId="9" priority="338"/>
  </conditionalFormatting>
  <conditionalFormatting sqref="B18:C18">
    <cfRule type="duplicateValues" dxfId="8" priority="441"/>
  </conditionalFormatting>
  <conditionalFormatting sqref="B41:C44">
    <cfRule type="duplicateValues" dxfId="7" priority="267"/>
  </conditionalFormatting>
  <conditionalFormatting sqref="B52:C52">
    <cfRule type="duplicateValues" dxfId="6" priority="309"/>
  </conditionalFormatting>
  <conditionalFormatting sqref="B63:C63">
    <cfRule type="duplicateValues" dxfId="5" priority="167"/>
  </conditionalFormatting>
  <conditionalFormatting sqref="B116:C116">
    <cfRule type="duplicateValues" dxfId="4" priority="207"/>
  </conditionalFormatting>
  <conditionalFormatting sqref="B127:C127 B77:C78 C124 B120:C123 B26:C27 B89:C89 B45:C45 B50:C50">
    <cfRule type="duplicateValues" dxfId="3" priority="291"/>
  </conditionalFormatting>
  <conditionalFormatting sqref="C14">
    <cfRule type="duplicateValues" dxfId="2" priority="193"/>
  </conditionalFormatting>
  <conditionalFormatting sqref="C22">
    <cfRule type="duplicateValues" dxfId="1" priority="192"/>
  </conditionalFormatting>
  <conditionalFormatting sqref="C40">
    <cfRule type="duplicateValues" dxfId="0" priority="244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2026-07-01T13:45:45Z</dcterms:modified>
</cp:coreProperties>
</file>