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TDSheet" sheetId="1" r:id="rId1"/>
  </sheets>
  <externalReferences>
    <externalReference r:id="rId2"/>
    <externalReference r:id="rId3"/>
  </externalReferenc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5" i="1" l="1"/>
  <c r="Z55" i="1"/>
  <c r="Y55" i="1"/>
  <c r="X55" i="1"/>
  <c r="W55" i="1"/>
  <c r="V55" i="1"/>
  <c r="U55" i="1"/>
  <c r="T55" i="1"/>
  <c r="P55" i="1"/>
  <c r="O55" i="1"/>
  <c r="L55" i="1"/>
  <c r="K55" i="1"/>
  <c r="I55" i="1"/>
  <c r="G55" i="1"/>
  <c r="AA54" i="1"/>
  <c r="Z54" i="1"/>
  <c r="Y54" i="1"/>
  <c r="X54" i="1"/>
  <c r="W54" i="1"/>
  <c r="V54" i="1"/>
  <c r="U54" i="1"/>
  <c r="T54" i="1"/>
  <c r="P54" i="1"/>
  <c r="O54" i="1"/>
  <c r="L54" i="1"/>
  <c r="K54" i="1"/>
  <c r="I54" i="1"/>
  <c r="G54" i="1"/>
  <c r="AA53" i="1"/>
  <c r="Z53" i="1"/>
  <c r="Y53" i="1"/>
  <c r="X53" i="1"/>
  <c r="W53" i="1"/>
  <c r="V53" i="1"/>
  <c r="U53" i="1"/>
  <c r="T53" i="1"/>
  <c r="P53" i="1"/>
  <c r="O53" i="1"/>
  <c r="L53" i="1"/>
  <c r="I53" i="1"/>
  <c r="H53" i="1"/>
  <c r="G53" i="1"/>
  <c r="AA52" i="1"/>
  <c r="Z52" i="1"/>
  <c r="Y52" i="1"/>
  <c r="X52" i="1"/>
  <c r="W52" i="1"/>
  <c r="V52" i="1"/>
  <c r="U52" i="1"/>
  <c r="T52" i="1"/>
  <c r="P52" i="1"/>
  <c r="O52" i="1"/>
  <c r="L52" i="1"/>
  <c r="K52" i="1"/>
  <c r="I52" i="1"/>
  <c r="H52" i="1"/>
  <c r="G52" i="1"/>
  <c r="AA51" i="1"/>
  <c r="Z51" i="1"/>
  <c r="Y51" i="1"/>
  <c r="X51" i="1"/>
  <c r="W51" i="1"/>
  <c r="V51" i="1"/>
  <c r="U51" i="1"/>
  <c r="T51" i="1"/>
  <c r="P51" i="1"/>
  <c r="O51" i="1"/>
  <c r="L51" i="1"/>
  <c r="K51" i="1"/>
  <c r="I51" i="1"/>
  <c r="G51" i="1"/>
  <c r="AA50" i="1"/>
  <c r="Z50" i="1"/>
  <c r="Y50" i="1"/>
  <c r="X50" i="1"/>
  <c r="W50" i="1"/>
  <c r="V50" i="1"/>
  <c r="U50" i="1"/>
  <c r="T50" i="1"/>
  <c r="Q50" i="1"/>
  <c r="P50" i="1"/>
  <c r="O50" i="1"/>
  <c r="L50" i="1"/>
  <c r="K50" i="1"/>
  <c r="I50" i="1"/>
  <c r="G50" i="1"/>
  <c r="AA49" i="1"/>
  <c r="Z49" i="1"/>
  <c r="Y49" i="1"/>
  <c r="X49" i="1"/>
  <c r="W49" i="1"/>
  <c r="V49" i="1"/>
  <c r="U49" i="1"/>
  <c r="T49" i="1"/>
  <c r="P49" i="1"/>
  <c r="O49" i="1"/>
  <c r="L49" i="1"/>
  <c r="I49" i="1"/>
  <c r="G49" i="1"/>
  <c r="AA48" i="1"/>
  <c r="Z48" i="1"/>
  <c r="Y48" i="1"/>
  <c r="X48" i="1"/>
  <c r="W48" i="1"/>
  <c r="V48" i="1"/>
  <c r="U48" i="1"/>
  <c r="T48" i="1"/>
  <c r="P48" i="1"/>
  <c r="O48" i="1"/>
  <c r="L48" i="1"/>
  <c r="K48" i="1"/>
  <c r="I48" i="1"/>
  <c r="H48" i="1"/>
  <c r="G48" i="1"/>
  <c r="AA47" i="1"/>
  <c r="Z47" i="1"/>
  <c r="Y47" i="1"/>
  <c r="X47" i="1"/>
  <c r="W47" i="1"/>
  <c r="V47" i="1"/>
  <c r="U47" i="1"/>
  <c r="T47" i="1"/>
  <c r="P47" i="1"/>
  <c r="O47" i="1"/>
  <c r="L47" i="1"/>
  <c r="K47" i="1"/>
  <c r="I47" i="1"/>
  <c r="H47" i="1"/>
  <c r="G47" i="1"/>
  <c r="AA46" i="1"/>
  <c r="Z46" i="1"/>
  <c r="Y46" i="1"/>
  <c r="X46" i="1"/>
  <c r="W46" i="1"/>
  <c r="V46" i="1"/>
  <c r="U46" i="1"/>
  <c r="T46" i="1"/>
  <c r="Q46" i="1"/>
  <c r="P46" i="1"/>
  <c r="O46" i="1"/>
  <c r="L46" i="1"/>
  <c r="K46" i="1"/>
  <c r="I46" i="1"/>
  <c r="H46" i="1"/>
  <c r="G46" i="1"/>
  <c r="AA45" i="1"/>
  <c r="Z45" i="1"/>
  <c r="Y45" i="1"/>
  <c r="X45" i="1"/>
  <c r="W45" i="1"/>
  <c r="V45" i="1"/>
  <c r="U45" i="1"/>
  <c r="T45" i="1"/>
  <c r="Q45" i="1"/>
  <c r="P45" i="1"/>
  <c r="O45" i="1"/>
  <c r="L45" i="1"/>
  <c r="K45" i="1"/>
  <c r="I45" i="1"/>
  <c r="H45" i="1"/>
  <c r="G45" i="1"/>
  <c r="AA44" i="1"/>
  <c r="Z44" i="1"/>
  <c r="Y44" i="1"/>
  <c r="X44" i="1"/>
  <c r="W44" i="1"/>
  <c r="V44" i="1"/>
  <c r="U44" i="1"/>
  <c r="T44" i="1"/>
  <c r="Q44" i="1"/>
  <c r="P44" i="1"/>
  <c r="O44" i="1"/>
  <c r="L44" i="1"/>
  <c r="K44" i="1"/>
  <c r="I44" i="1"/>
  <c r="G44" i="1"/>
  <c r="AA43" i="1"/>
  <c r="Z43" i="1"/>
  <c r="Y43" i="1"/>
  <c r="X43" i="1"/>
  <c r="W43" i="1"/>
  <c r="V43" i="1"/>
  <c r="U43" i="1"/>
  <c r="T43" i="1"/>
  <c r="P43" i="1"/>
  <c r="O43" i="1"/>
  <c r="L43" i="1"/>
  <c r="K43" i="1"/>
  <c r="I43" i="1"/>
  <c r="H43" i="1"/>
  <c r="G43" i="1"/>
  <c r="AA42" i="1"/>
  <c r="Z42" i="1"/>
  <c r="Y42" i="1"/>
  <c r="X42" i="1"/>
  <c r="W42" i="1"/>
  <c r="V42" i="1"/>
  <c r="U42" i="1"/>
  <c r="T42" i="1"/>
  <c r="Q42" i="1"/>
  <c r="P42" i="1"/>
  <c r="O42" i="1"/>
  <c r="L42" i="1"/>
  <c r="K42" i="1"/>
  <c r="I42" i="1"/>
  <c r="G42" i="1"/>
  <c r="AA41" i="1"/>
  <c r="Z41" i="1"/>
  <c r="Y41" i="1"/>
  <c r="X41" i="1"/>
  <c r="W41" i="1"/>
  <c r="V41" i="1"/>
  <c r="U41" i="1"/>
  <c r="T41" i="1"/>
  <c r="Q41" i="1"/>
  <c r="P41" i="1"/>
  <c r="O41" i="1"/>
  <c r="L41" i="1"/>
  <c r="K41" i="1"/>
  <c r="I41" i="1"/>
  <c r="H41" i="1"/>
  <c r="G41" i="1"/>
  <c r="AA40" i="1"/>
  <c r="Z40" i="1"/>
  <c r="Y40" i="1"/>
  <c r="X40" i="1"/>
  <c r="W40" i="1"/>
  <c r="V40" i="1"/>
  <c r="U40" i="1"/>
  <c r="T40" i="1"/>
  <c r="P40" i="1"/>
  <c r="O40" i="1"/>
  <c r="L40" i="1"/>
  <c r="K40" i="1"/>
  <c r="I40" i="1"/>
  <c r="H40" i="1"/>
  <c r="G40" i="1"/>
  <c r="AA39" i="1"/>
  <c r="Z39" i="1"/>
  <c r="Y39" i="1"/>
  <c r="X39" i="1"/>
  <c r="W39" i="1"/>
  <c r="V39" i="1"/>
  <c r="U39" i="1"/>
  <c r="T39" i="1"/>
  <c r="P39" i="1"/>
  <c r="O39" i="1"/>
  <c r="L39" i="1"/>
  <c r="K39" i="1"/>
  <c r="I39" i="1"/>
  <c r="H39" i="1"/>
  <c r="G39" i="1"/>
  <c r="AA38" i="1"/>
  <c r="Z38" i="1"/>
  <c r="Y38" i="1"/>
  <c r="X38" i="1"/>
  <c r="W38" i="1"/>
  <c r="V38" i="1"/>
  <c r="U38" i="1"/>
  <c r="T38" i="1"/>
  <c r="P38" i="1"/>
  <c r="O38" i="1"/>
  <c r="L38" i="1"/>
  <c r="K38" i="1"/>
  <c r="I38" i="1"/>
  <c r="H38" i="1"/>
  <c r="G38" i="1"/>
  <c r="AA37" i="1"/>
  <c r="Z37" i="1"/>
  <c r="Y37" i="1"/>
  <c r="X37" i="1"/>
  <c r="W37" i="1"/>
  <c r="V37" i="1"/>
  <c r="U37" i="1"/>
  <c r="T37" i="1"/>
  <c r="P37" i="1"/>
  <c r="O37" i="1"/>
  <c r="L37" i="1"/>
  <c r="K37" i="1"/>
  <c r="I37" i="1"/>
  <c r="H37" i="1"/>
  <c r="G37" i="1"/>
  <c r="AA36" i="1"/>
  <c r="Z36" i="1"/>
  <c r="Y36" i="1"/>
  <c r="X36" i="1"/>
  <c r="W36" i="1"/>
  <c r="V36" i="1"/>
  <c r="U36" i="1"/>
  <c r="T36" i="1"/>
  <c r="P36" i="1"/>
  <c r="O36" i="1"/>
  <c r="L36" i="1"/>
  <c r="K36" i="1"/>
  <c r="I36" i="1"/>
  <c r="H36" i="1"/>
  <c r="G36" i="1"/>
  <c r="AA35" i="1"/>
  <c r="Z35" i="1"/>
  <c r="Y35" i="1"/>
  <c r="X35" i="1"/>
  <c r="W35" i="1"/>
  <c r="V35" i="1"/>
  <c r="U35" i="1"/>
  <c r="T35" i="1"/>
  <c r="P35" i="1"/>
  <c r="O35" i="1"/>
  <c r="L35" i="1"/>
  <c r="K35" i="1"/>
  <c r="I35" i="1"/>
  <c r="H35" i="1"/>
  <c r="G35" i="1"/>
  <c r="AA34" i="1"/>
  <c r="Z34" i="1"/>
  <c r="Y34" i="1"/>
  <c r="X34" i="1"/>
  <c r="W34" i="1"/>
  <c r="V34" i="1"/>
  <c r="U34" i="1"/>
  <c r="T34" i="1"/>
  <c r="P34" i="1"/>
  <c r="O34" i="1"/>
  <c r="L34" i="1"/>
  <c r="K34" i="1"/>
  <c r="I34" i="1"/>
  <c r="G34" i="1"/>
  <c r="AA33" i="1"/>
  <c r="Z33" i="1"/>
  <c r="Y33" i="1"/>
  <c r="X33" i="1"/>
  <c r="W33" i="1"/>
  <c r="V33" i="1"/>
  <c r="U33" i="1"/>
  <c r="T33" i="1"/>
  <c r="P33" i="1"/>
  <c r="O33" i="1"/>
  <c r="L33" i="1"/>
  <c r="K33" i="1"/>
  <c r="I33" i="1"/>
  <c r="G33" i="1"/>
  <c r="AA32" i="1"/>
  <c r="Z32" i="1"/>
  <c r="Y32" i="1"/>
  <c r="X32" i="1"/>
  <c r="W32" i="1"/>
  <c r="V32" i="1"/>
  <c r="U32" i="1"/>
  <c r="T32" i="1"/>
  <c r="P32" i="1"/>
  <c r="O32" i="1"/>
  <c r="L32" i="1"/>
  <c r="K32" i="1"/>
  <c r="I32" i="1"/>
  <c r="G32" i="1"/>
  <c r="AA31" i="1"/>
  <c r="Z31" i="1"/>
  <c r="Y31" i="1"/>
  <c r="X31" i="1"/>
  <c r="W31" i="1"/>
  <c r="V31" i="1"/>
  <c r="U31" i="1"/>
  <c r="T31" i="1"/>
  <c r="P31" i="1"/>
  <c r="O31" i="1"/>
  <c r="L31" i="1"/>
  <c r="K31" i="1"/>
  <c r="I31" i="1"/>
  <c r="G31" i="1"/>
  <c r="AA30" i="1"/>
  <c r="Z30" i="1"/>
  <c r="Y30" i="1"/>
  <c r="X30" i="1"/>
  <c r="W30" i="1"/>
  <c r="V30" i="1"/>
  <c r="U30" i="1"/>
  <c r="T30" i="1"/>
  <c r="P30" i="1"/>
  <c r="O30" i="1"/>
  <c r="L30" i="1"/>
  <c r="K30" i="1"/>
  <c r="I30" i="1"/>
  <c r="G30" i="1"/>
  <c r="AA29" i="1"/>
  <c r="Z29" i="1"/>
  <c r="Y29" i="1"/>
  <c r="X29" i="1"/>
  <c r="W29" i="1"/>
  <c r="V29" i="1"/>
  <c r="U29" i="1"/>
  <c r="T29" i="1"/>
  <c r="P29" i="1"/>
  <c r="O29" i="1"/>
  <c r="L29" i="1"/>
  <c r="I29" i="1"/>
  <c r="G29" i="1"/>
  <c r="AA28" i="1"/>
  <c r="Z28" i="1"/>
  <c r="Y28" i="1"/>
  <c r="X28" i="1"/>
  <c r="W28" i="1"/>
  <c r="V28" i="1"/>
  <c r="U28" i="1"/>
  <c r="T28" i="1"/>
  <c r="P28" i="1"/>
  <c r="O28" i="1"/>
  <c r="L28" i="1"/>
  <c r="K28" i="1"/>
  <c r="I28" i="1"/>
  <c r="G28" i="1"/>
  <c r="AA27" i="1"/>
  <c r="Z27" i="1"/>
  <c r="Y27" i="1"/>
  <c r="X27" i="1"/>
  <c r="W27" i="1"/>
  <c r="V27" i="1"/>
  <c r="U27" i="1"/>
  <c r="T27" i="1"/>
  <c r="Q27" i="1"/>
  <c r="P27" i="1"/>
  <c r="O27" i="1"/>
  <c r="L27" i="1"/>
  <c r="K27" i="1"/>
  <c r="I27" i="1"/>
  <c r="H27" i="1"/>
  <c r="G27" i="1"/>
  <c r="AA26" i="1"/>
  <c r="Z26" i="1"/>
  <c r="Y26" i="1"/>
  <c r="X26" i="1"/>
  <c r="W26" i="1"/>
  <c r="V26" i="1"/>
  <c r="U26" i="1"/>
  <c r="T26" i="1"/>
  <c r="P26" i="1"/>
  <c r="O26" i="1"/>
  <c r="L26" i="1"/>
  <c r="K26" i="1"/>
  <c r="I26" i="1"/>
  <c r="G26" i="1"/>
  <c r="AA25" i="1"/>
  <c r="Z25" i="1"/>
  <c r="Y25" i="1"/>
  <c r="X25" i="1"/>
  <c r="W25" i="1"/>
  <c r="V25" i="1"/>
  <c r="U25" i="1"/>
  <c r="T25" i="1"/>
  <c r="P25" i="1"/>
  <c r="O25" i="1"/>
  <c r="L25" i="1"/>
  <c r="K25" i="1"/>
  <c r="I25" i="1"/>
  <c r="H25" i="1"/>
  <c r="G25" i="1"/>
  <c r="AA24" i="1"/>
  <c r="Z24" i="1"/>
  <c r="Y24" i="1"/>
  <c r="X24" i="1"/>
  <c r="W24" i="1"/>
  <c r="V24" i="1"/>
  <c r="U24" i="1"/>
  <c r="T24" i="1"/>
  <c r="P24" i="1"/>
  <c r="O24" i="1"/>
  <c r="L24" i="1"/>
  <c r="K24" i="1"/>
  <c r="I24" i="1"/>
  <c r="H24" i="1"/>
  <c r="G24" i="1"/>
  <c r="AA23" i="1"/>
  <c r="Z23" i="1"/>
  <c r="Y23" i="1"/>
  <c r="X23" i="1"/>
  <c r="W23" i="1"/>
  <c r="V23" i="1"/>
  <c r="U23" i="1"/>
  <c r="T23" i="1"/>
  <c r="P23" i="1"/>
  <c r="O23" i="1"/>
  <c r="L23" i="1"/>
  <c r="K23" i="1"/>
  <c r="I23" i="1"/>
  <c r="H23" i="1"/>
  <c r="G23" i="1"/>
  <c r="AA22" i="1"/>
  <c r="Z22" i="1"/>
  <c r="Y22" i="1"/>
  <c r="X22" i="1"/>
  <c r="W22" i="1"/>
  <c r="V22" i="1"/>
  <c r="U22" i="1"/>
  <c r="T22" i="1"/>
  <c r="P22" i="1"/>
  <c r="O22" i="1"/>
  <c r="L22" i="1"/>
  <c r="I22" i="1"/>
  <c r="H22" i="1"/>
  <c r="G22" i="1"/>
  <c r="AA21" i="1"/>
  <c r="Z21" i="1"/>
  <c r="Y21" i="1"/>
  <c r="X21" i="1"/>
  <c r="W21" i="1"/>
  <c r="V21" i="1"/>
  <c r="U21" i="1"/>
  <c r="T21" i="1"/>
  <c r="P21" i="1"/>
  <c r="O21" i="1"/>
  <c r="L21" i="1"/>
  <c r="K21" i="1"/>
  <c r="I21" i="1"/>
  <c r="G21" i="1"/>
  <c r="AA20" i="1"/>
  <c r="Z20" i="1"/>
  <c r="Y20" i="1"/>
  <c r="X20" i="1"/>
  <c r="W20" i="1"/>
  <c r="V20" i="1"/>
  <c r="U20" i="1"/>
  <c r="T20" i="1"/>
  <c r="P20" i="1"/>
  <c r="O20" i="1"/>
  <c r="L20" i="1"/>
  <c r="K20" i="1"/>
  <c r="I20" i="1"/>
  <c r="H20" i="1"/>
  <c r="G20" i="1"/>
  <c r="AA19" i="1"/>
  <c r="Z19" i="1"/>
  <c r="Y19" i="1"/>
  <c r="X19" i="1"/>
  <c r="W19" i="1"/>
  <c r="V19" i="1"/>
  <c r="U19" i="1"/>
  <c r="T19" i="1"/>
  <c r="P19" i="1"/>
  <c r="O19" i="1"/>
  <c r="L19" i="1"/>
  <c r="K19" i="1"/>
  <c r="I19" i="1"/>
  <c r="H19" i="1"/>
  <c r="G19" i="1"/>
  <c r="AA18" i="1"/>
  <c r="Z18" i="1"/>
  <c r="Y18" i="1"/>
  <c r="X18" i="1"/>
  <c r="W18" i="1"/>
  <c r="V18" i="1"/>
  <c r="U18" i="1"/>
  <c r="T18" i="1"/>
  <c r="P18" i="1"/>
  <c r="O18" i="1"/>
  <c r="L18" i="1"/>
  <c r="K18" i="1"/>
  <c r="I18" i="1"/>
  <c r="G18" i="1"/>
  <c r="AA17" i="1"/>
  <c r="Z17" i="1"/>
  <c r="Y17" i="1"/>
  <c r="X17" i="1"/>
  <c r="W17" i="1"/>
  <c r="V17" i="1"/>
  <c r="U17" i="1"/>
  <c r="T17" i="1"/>
  <c r="P17" i="1"/>
  <c r="O17" i="1"/>
  <c r="L17" i="1"/>
  <c r="K17" i="1"/>
  <c r="I17" i="1"/>
  <c r="H17" i="1"/>
  <c r="G17" i="1"/>
  <c r="AA16" i="1"/>
  <c r="Z16" i="1"/>
  <c r="Y16" i="1"/>
  <c r="X16" i="1"/>
  <c r="W16" i="1"/>
  <c r="V16" i="1"/>
  <c r="U16" i="1"/>
  <c r="T16" i="1"/>
  <c r="P16" i="1"/>
  <c r="O16" i="1"/>
  <c r="L16" i="1"/>
  <c r="K16" i="1"/>
  <c r="I16" i="1"/>
  <c r="H16" i="1"/>
  <c r="G16" i="1"/>
  <c r="AA15" i="1"/>
  <c r="Z15" i="1"/>
  <c r="Y15" i="1"/>
  <c r="X15" i="1"/>
  <c r="W15" i="1"/>
  <c r="V15" i="1"/>
  <c r="U15" i="1"/>
  <c r="T15" i="1"/>
  <c r="P15" i="1"/>
  <c r="O15" i="1"/>
  <c r="L15" i="1"/>
  <c r="K15" i="1"/>
  <c r="I15" i="1"/>
  <c r="H15" i="1"/>
  <c r="G15" i="1"/>
  <c r="AA14" i="1"/>
  <c r="Z14" i="1"/>
  <c r="Y14" i="1"/>
  <c r="X14" i="1"/>
  <c r="W14" i="1"/>
  <c r="V14" i="1"/>
  <c r="U14" i="1"/>
  <c r="T14" i="1"/>
  <c r="P14" i="1"/>
  <c r="O14" i="1"/>
  <c r="L14" i="1"/>
  <c r="K14" i="1"/>
  <c r="I14" i="1"/>
  <c r="H14" i="1"/>
  <c r="G14" i="1"/>
  <c r="AA13" i="1"/>
  <c r="Z13" i="1"/>
  <c r="Y13" i="1"/>
  <c r="X13" i="1"/>
  <c r="W13" i="1"/>
  <c r="V13" i="1"/>
  <c r="U13" i="1"/>
  <c r="T13" i="1"/>
  <c r="P13" i="1"/>
  <c r="O13" i="1"/>
  <c r="L13" i="1"/>
  <c r="K13" i="1"/>
  <c r="I13" i="1"/>
  <c r="H13" i="1"/>
  <c r="G13" i="1"/>
  <c r="AA12" i="1"/>
  <c r="Z12" i="1"/>
  <c r="Y12" i="1"/>
  <c r="X12" i="1"/>
  <c r="W12" i="1"/>
  <c r="V12" i="1"/>
  <c r="U12" i="1"/>
  <c r="T12" i="1"/>
  <c r="Q12" i="1"/>
  <c r="P12" i="1"/>
  <c r="O12" i="1"/>
  <c r="L12" i="1"/>
  <c r="I12" i="1"/>
  <c r="H12" i="1"/>
  <c r="G12" i="1"/>
  <c r="AA11" i="1"/>
  <c r="Z11" i="1"/>
  <c r="Y11" i="1"/>
  <c r="X11" i="1"/>
  <c r="W11" i="1"/>
  <c r="V11" i="1"/>
  <c r="U11" i="1"/>
  <c r="T11" i="1"/>
  <c r="Q11" i="1"/>
  <c r="P11" i="1"/>
  <c r="O11" i="1"/>
  <c r="L11" i="1"/>
  <c r="K11" i="1"/>
  <c r="I11" i="1"/>
  <c r="H11" i="1"/>
  <c r="G11" i="1"/>
  <c r="AA10" i="1"/>
  <c r="Y10" i="1"/>
  <c r="X10" i="1"/>
  <c r="W10" i="1"/>
  <c r="V10" i="1"/>
  <c r="R10" i="1"/>
  <c r="Q10" i="1"/>
  <c r="P10" i="1"/>
  <c r="O10" i="1"/>
  <c r="N10" i="1"/>
  <c r="L10" i="1"/>
  <c r="K10" i="1"/>
  <c r="F10" i="1"/>
  <c r="E10" i="1"/>
  <c r="D10" i="1"/>
  <c r="C10" i="1"/>
</calcChain>
</file>

<file path=xl/sharedStrings.xml><?xml version="1.0" encoding="utf-8"?>
<sst xmlns="http://schemas.openxmlformats.org/spreadsheetml/2006/main" count="129" uniqueCount="81">
  <si>
    <t>Ведомость по товарам на складах</t>
  </si>
  <si>
    <t>Период: 15.06.2026 - 22.06.2026</t>
  </si>
  <si>
    <t>Склад В списке "АСП Мелитополь Останкино ..."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</si>
  <si>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</si>
  <si>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</si>
  <si>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</si>
  <si>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</si>
  <si>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</si>
  <si>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</si>
  <si>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</si>
  <si>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</si>
  <si>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</si>
  <si>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</si>
  <si>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</si>
  <si>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</si>
  <si>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</si>
  <si>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</si>
  <si>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</si>
  <si>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</si>
  <si>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</si>
  <si>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</si>
  <si>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</si>
  <si>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</si>
  <si>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</si>
  <si>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</si>
  <si>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</si>
  <si>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</si>
  <si>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22,06,</t>
  </si>
  <si>
    <t>28,06,</t>
  </si>
  <si>
    <t>29,06,</t>
  </si>
  <si>
    <t>26,05,</t>
  </si>
  <si>
    <t>01,05,</t>
  </si>
  <si>
    <t>08,06,</t>
  </si>
  <si>
    <t>15,06,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</si>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</sst>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_ ;[Red]\-0\ "/>
  </numFmts>
  <fonts count="6">
    <font>
      <sz val="8"/>
      <name val="Arial"/>
      <charset val="134"/>
    </font>
    <font>
      <b/>
      <sz val="18"/>
      <name val="Arial"/>
      <charset val="204"/>
    </font>
    <font>
      <sz val="10"/>
      <name val="Arial"/>
      <charset val="204"/>
    </font>
    <font>
      <b/>
      <sz val="11"/>
      <name val="Calibri"/>
      <charset val="204"/>
    </font>
    <font>
      <b/>
      <sz val="11"/>
      <color rgb="FFFF0000"/>
      <name val="Calibri"/>
      <charset val="204"/>
    </font>
    <font>
      <b/>
      <sz val="8"/>
      <name val="Arial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  <fill>
      <patternFill patternType="solid">
        <fgColor rgb="FFFFF4C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168" fontId="2" fillId="2" borderId="0" xfId="0" applyNumberFormat="1" applyFont="1" applyFill="1" applyAlignment="1">
      <alignment horizontal="left" vertical="top" wrapText="1"/>
    </xf>
    <xf numFmtId="168" fontId="3" fillId="3" borderId="0" xfId="1" applyNumberFormat="1" applyFont="1" applyFill="1"/>
    <xf numFmtId="168" fontId="3" fillId="3" borderId="0" xfId="1" applyNumberFormat="1" applyFont="1" applyFill="1" applyAlignment="1">
      <alignment wrapText="1"/>
    </xf>
    <xf numFmtId="168" fontId="4" fillId="3" borderId="0" xfId="1" applyNumberFormat="1" applyFont="1" applyFill="1" applyAlignment="1">
      <alignment wrapText="1"/>
    </xf>
    <xf numFmtId="168" fontId="3" fillId="4" borderId="0" xfId="1" applyNumberFormat="1" applyFont="1" applyFill="1" applyAlignment="1">
      <alignment wrapText="1"/>
    </xf>
    <xf numFmtId="168" fontId="2" fillId="2" borderId="2" xfId="0" applyNumberFormat="1" applyFont="1" applyFill="1" applyBorder="1" applyAlignment="1">
      <alignment horizontal="left" vertical="top" wrapText="1"/>
    </xf>
    <xf numFmtId="168" fontId="2" fillId="2" borderId="2" xfId="0" applyNumberFormat="1" applyFont="1" applyFill="1" applyBorder="1" applyAlignment="1">
      <alignment horizontal="left" vertical="top"/>
    </xf>
    <xf numFmtId="168" fontId="2" fillId="0" borderId="0" xfId="1" applyNumberFormat="1"/>
    <xf numFmtId="168" fontId="2" fillId="5" borderId="0" xfId="1" applyNumberFormat="1" applyFill="1"/>
    <xf numFmtId="0" fontId="0" fillId="0" borderId="2" xfId="0" applyBorder="1" applyAlignment="1">
      <alignment horizontal="left" vertical="top"/>
    </xf>
    <xf numFmtId="168" fontId="0" fillId="0" borderId="2" xfId="0" applyNumberFormat="1" applyBorder="1" applyAlignment="1">
      <alignment horizontal="right" vertical="top"/>
    </xf>
    <xf numFmtId="168" fontId="0" fillId="0" borderId="0" xfId="0" applyNumberFormat="1" applyAlignment="1"/>
    <xf numFmtId="168" fontId="5" fillId="0" borderId="3" xfId="0" applyNumberFormat="1" applyFont="1" applyBorder="1" applyAlignment="1"/>
    <xf numFmtId="168" fontId="0" fillId="0" borderId="4" xfId="0" applyNumberFormat="1" applyBorder="1" applyAlignment="1">
      <alignment horizontal="right" vertical="top"/>
    </xf>
    <xf numFmtId="0" fontId="0" fillId="6" borderId="2" xfId="0" applyFill="1" applyBorder="1" applyAlignment="1">
      <alignment horizontal="left" vertical="top"/>
    </xf>
    <xf numFmtId="168" fontId="0" fillId="6" borderId="2" xfId="0" applyNumberFormat="1" applyFill="1" applyBorder="1" applyAlignment="1">
      <alignment horizontal="right" vertical="top"/>
    </xf>
    <xf numFmtId="168" fontId="0" fillId="6" borderId="0" xfId="0" applyNumberFormat="1" applyFill="1" applyAlignment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4;&#1074;.%20&#1054;&#1089;&#1090;&#1072;&#1085;&#1082;&#1080;&#1085;&#1086;%20&#1057;&#1099;&#1088;%20&#1086;&#1090;%2015,06,26,%20&#1052;&#1077;&#1083;&#1080;&#1090;&#1086;&#1087;&#1086;&#1083;&#1100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7;&#1072;&#1082;&#1072;&#1079;&#1072;&#1085;&#1086;%20&#8212;%20&#1082;&#1086;&#1087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Мелитополь Останкино 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Заказ</v>
          </cell>
          <cell r="Q8" t="str">
            <v>ср нов</v>
          </cell>
          <cell r="R8" t="str">
            <v>расчет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комментарии</v>
          </cell>
        </row>
        <row r="9">
          <cell r="O9" t="str">
            <v>08,06,</v>
          </cell>
          <cell r="P9" t="str">
            <v>15,06,</v>
          </cell>
          <cell r="Q9" t="str">
            <v>15,06,</v>
          </cell>
          <cell r="R9" t="str">
            <v>22,06,22,06,</v>
          </cell>
          <cell r="S9" t="str">
            <v>22,06,</v>
          </cell>
          <cell r="W9" t="str">
            <v>18,05,</v>
          </cell>
          <cell r="X9" t="str">
            <v>25,05,</v>
          </cell>
          <cell r="Y9" t="str">
            <v>01,06,</v>
          </cell>
          <cell r="Z9" t="str">
            <v>08,06,</v>
          </cell>
        </row>
        <row r="10">
          <cell r="K10">
            <v>3758</v>
          </cell>
          <cell r="L10">
            <v>-93.367000000000004</v>
          </cell>
          <cell r="N10">
            <v>0</v>
          </cell>
          <cell r="O10">
            <v>8020</v>
          </cell>
          <cell r="P10">
            <v>5430</v>
          </cell>
          <cell r="Q10">
            <v>732.92660000000001</v>
          </cell>
          <cell r="R10">
            <v>2990</v>
          </cell>
          <cell r="S10">
            <v>350</v>
          </cell>
          <cell r="W10">
            <v>761.19740000000002</v>
          </cell>
          <cell r="X10">
            <v>544.43460000000005</v>
          </cell>
          <cell r="Y10">
            <v>790.17920000000004</v>
          </cell>
          <cell r="Z10">
            <v>822.29420000000005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525.93799999999999</v>
          </cell>
          <cell r="D11">
            <v>3.36</v>
          </cell>
          <cell r="E11">
            <v>54.756</v>
          </cell>
          <cell r="F11">
            <v>471.18200000000002</v>
          </cell>
          <cell r="G11">
            <v>1</v>
          </cell>
          <cell r="H11">
            <v>0</v>
          </cell>
          <cell r="I11">
            <v>8783323</v>
          </cell>
          <cell r="K11">
            <v>54</v>
          </cell>
          <cell r="L11">
            <v>0.75600000000000001</v>
          </cell>
          <cell r="O11">
            <v>0</v>
          </cell>
          <cell r="P11">
            <v>0</v>
          </cell>
          <cell r="Q11">
            <v>10.9512</v>
          </cell>
          <cell r="U11">
            <v>43.025604499963499</v>
          </cell>
          <cell r="V11">
            <v>10.9512</v>
          </cell>
          <cell r="W11">
            <v>24.2852</v>
          </cell>
          <cell r="X11">
            <v>11.8668</v>
          </cell>
          <cell r="Y11">
            <v>17.243600000000001</v>
          </cell>
          <cell r="Z11">
            <v>10.07</v>
          </cell>
          <cell r="AA11" t="str">
            <v>ГолХол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110.45399999999999</v>
          </cell>
          <cell r="E12">
            <v>18.968</v>
          </cell>
          <cell r="F12">
            <v>91.486000000000004</v>
          </cell>
          <cell r="G12">
            <v>1</v>
          </cell>
          <cell r="H12" t="e">
            <v>#N/A</v>
          </cell>
          <cell r="I12" t="e">
            <v>#N/A</v>
          </cell>
          <cell r="K12">
            <v>0</v>
          </cell>
          <cell r="L12">
            <v>18.968</v>
          </cell>
          <cell r="O12">
            <v>0</v>
          </cell>
          <cell r="P12">
            <v>0</v>
          </cell>
          <cell r="Q12">
            <v>3.7936000000000001</v>
          </cell>
          <cell r="U12">
            <v>24.115879375790801</v>
          </cell>
          <cell r="V12">
            <v>3.7936000000000001</v>
          </cell>
          <cell r="W12">
            <v>0</v>
          </cell>
          <cell r="X12">
            <v>0</v>
          </cell>
          <cell r="Y12">
            <v>0</v>
          </cell>
          <cell r="Z12">
            <v>0.63880000000000003</v>
          </cell>
          <cell r="AA12" t="e">
            <v>#N/A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216</v>
          </cell>
          <cell r="E13">
            <v>22</v>
          </cell>
          <cell r="F13">
            <v>194</v>
          </cell>
          <cell r="G13">
            <v>0.82450000000000001</v>
          </cell>
          <cell r="H13">
            <v>180</v>
          </cell>
          <cell r="I13">
            <v>6948249</v>
          </cell>
          <cell r="K13">
            <v>20</v>
          </cell>
          <cell r="L13">
            <v>2</v>
          </cell>
          <cell r="O13">
            <v>0</v>
          </cell>
          <cell r="P13">
            <v>50</v>
          </cell>
          <cell r="Q13">
            <v>4.4000000000000004</v>
          </cell>
          <cell r="U13">
            <v>55.454545454545503</v>
          </cell>
          <cell r="V13">
            <v>4.4000000000000004</v>
          </cell>
          <cell r="W13">
            <v>9.6</v>
          </cell>
          <cell r="X13">
            <v>1</v>
          </cell>
          <cell r="Y13">
            <v>2.8</v>
          </cell>
          <cell r="Z13">
            <v>10</v>
          </cell>
          <cell r="AA13" t="str">
            <v>увел продажи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209</v>
          </cell>
          <cell r="E14">
            <v>189</v>
          </cell>
          <cell r="F14">
            <v>20</v>
          </cell>
          <cell r="G14">
            <v>0.372</v>
          </cell>
          <cell r="H14">
            <v>180</v>
          </cell>
          <cell r="I14">
            <v>6948256</v>
          </cell>
          <cell r="K14">
            <v>187</v>
          </cell>
          <cell r="L14">
            <v>2</v>
          </cell>
          <cell r="O14">
            <v>500</v>
          </cell>
          <cell r="P14">
            <v>600</v>
          </cell>
          <cell r="Q14">
            <v>37.799999999999997</v>
          </cell>
          <cell r="U14">
            <v>29.629629629629601</v>
          </cell>
          <cell r="V14">
            <v>37.799999999999997</v>
          </cell>
          <cell r="W14">
            <v>35.4</v>
          </cell>
          <cell r="X14">
            <v>29.8</v>
          </cell>
          <cell r="Y14">
            <v>47.6</v>
          </cell>
          <cell r="Z14">
            <v>58.2</v>
          </cell>
          <cell r="AA14" t="str">
            <v>нужно увеличить продажи!!!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255</v>
          </cell>
          <cell r="E15">
            <v>162</v>
          </cell>
          <cell r="F15">
            <v>93</v>
          </cell>
          <cell r="G15">
            <v>0.74399999999999999</v>
          </cell>
          <cell r="H15">
            <v>180</v>
          </cell>
          <cell r="I15">
            <v>6948263</v>
          </cell>
          <cell r="K15">
            <v>150</v>
          </cell>
          <cell r="L15">
            <v>12</v>
          </cell>
          <cell r="O15">
            <v>250</v>
          </cell>
          <cell r="P15">
            <v>600</v>
          </cell>
          <cell r="Q15">
            <v>32.4</v>
          </cell>
          <cell r="U15">
            <v>29.104938271604901</v>
          </cell>
          <cell r="V15">
            <v>32.4</v>
          </cell>
          <cell r="W15">
            <v>19.600000000000001</v>
          </cell>
          <cell r="X15">
            <v>7.2</v>
          </cell>
          <cell r="Y15">
            <v>33.6</v>
          </cell>
          <cell r="Z15">
            <v>48</v>
          </cell>
          <cell r="AA15" t="str">
            <v>нужно увеличить продажи!!!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464</v>
          </cell>
          <cell r="E16">
            <v>218</v>
          </cell>
          <cell r="F16">
            <v>246</v>
          </cell>
          <cell r="G16">
            <v>0.372</v>
          </cell>
          <cell r="H16">
            <v>180</v>
          </cell>
          <cell r="I16">
            <v>6948270</v>
          </cell>
          <cell r="K16">
            <v>214</v>
          </cell>
          <cell r="L16">
            <v>4</v>
          </cell>
          <cell r="O16">
            <v>200</v>
          </cell>
          <cell r="P16">
            <v>1500</v>
          </cell>
          <cell r="Q16">
            <v>43.6</v>
          </cell>
          <cell r="R16">
            <v>100</v>
          </cell>
          <cell r="S16">
            <v>100</v>
          </cell>
          <cell r="U16">
            <v>46.926605504587201</v>
          </cell>
          <cell r="V16">
            <v>43.6</v>
          </cell>
          <cell r="W16">
            <v>66.2</v>
          </cell>
          <cell r="X16">
            <v>1.8</v>
          </cell>
          <cell r="Y16">
            <v>52.6</v>
          </cell>
          <cell r="Z16">
            <v>97.8</v>
          </cell>
          <cell r="AA16">
            <v>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285</v>
          </cell>
          <cell r="E17">
            <v>207</v>
          </cell>
          <cell r="F17">
            <v>78</v>
          </cell>
          <cell r="G17">
            <v>0.74399999999999999</v>
          </cell>
          <cell r="H17">
            <v>180</v>
          </cell>
          <cell r="I17">
            <v>6948287</v>
          </cell>
          <cell r="K17">
            <v>204</v>
          </cell>
          <cell r="L17">
            <v>3</v>
          </cell>
          <cell r="O17">
            <v>220</v>
          </cell>
          <cell r="P17">
            <v>1300</v>
          </cell>
          <cell r="Q17">
            <v>41.4</v>
          </cell>
          <cell r="U17">
            <v>38.599033816425099</v>
          </cell>
          <cell r="V17">
            <v>41.4</v>
          </cell>
          <cell r="W17">
            <v>47.2</v>
          </cell>
          <cell r="X17">
            <v>31</v>
          </cell>
          <cell r="Y17">
            <v>43.8</v>
          </cell>
          <cell r="Z17">
            <v>82.6</v>
          </cell>
          <cell r="AA17">
            <v>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411</v>
          </cell>
          <cell r="E18">
            <v>16</v>
          </cell>
          <cell r="F18">
            <v>395</v>
          </cell>
          <cell r="G18">
            <v>0.14000000000000001</v>
          </cell>
          <cell r="H18" t="e">
            <v>#VALUE!</v>
          </cell>
          <cell r="I18">
            <v>9988421</v>
          </cell>
          <cell r="K18">
            <v>16</v>
          </cell>
          <cell r="L18">
            <v>0</v>
          </cell>
          <cell r="O18">
            <v>0</v>
          </cell>
          <cell r="P18">
            <v>0</v>
          </cell>
          <cell r="Q18">
            <v>3.2</v>
          </cell>
          <cell r="U18">
            <v>123.4375</v>
          </cell>
          <cell r="V18">
            <v>3.2</v>
          </cell>
          <cell r="W18">
            <v>19.8</v>
          </cell>
          <cell r="X18">
            <v>4.4000000000000004</v>
          </cell>
          <cell r="Y18">
            <v>2.4</v>
          </cell>
          <cell r="Z18">
            <v>9.4</v>
          </cell>
          <cell r="AA18">
            <v>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462</v>
          </cell>
          <cell r="E19">
            <v>40</v>
          </cell>
          <cell r="F19">
            <v>422</v>
          </cell>
          <cell r="G19">
            <v>0.18</v>
          </cell>
          <cell r="H19">
            <v>270</v>
          </cell>
          <cell r="I19">
            <v>9988438</v>
          </cell>
          <cell r="K19">
            <v>40</v>
          </cell>
          <cell r="L19">
            <v>0</v>
          </cell>
          <cell r="O19">
            <v>0</v>
          </cell>
          <cell r="P19">
            <v>0</v>
          </cell>
          <cell r="Q19">
            <v>8</v>
          </cell>
          <cell r="U19">
            <v>52.75</v>
          </cell>
          <cell r="V19">
            <v>8</v>
          </cell>
          <cell r="W19">
            <v>24.4</v>
          </cell>
          <cell r="X19">
            <v>0.8</v>
          </cell>
          <cell r="Y19">
            <v>6.6</v>
          </cell>
          <cell r="Z19">
            <v>12.6</v>
          </cell>
          <cell r="AA19">
            <v>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325</v>
          </cell>
          <cell r="E20">
            <v>37</v>
          </cell>
          <cell r="F20">
            <v>288</v>
          </cell>
          <cell r="G20">
            <v>0.18</v>
          </cell>
          <cell r="H20">
            <v>270</v>
          </cell>
          <cell r="I20">
            <v>9988445</v>
          </cell>
          <cell r="K20">
            <v>37</v>
          </cell>
          <cell r="L20">
            <v>0</v>
          </cell>
          <cell r="O20">
            <v>0</v>
          </cell>
          <cell r="P20">
            <v>0</v>
          </cell>
          <cell r="Q20">
            <v>7.4</v>
          </cell>
          <cell r="U20">
            <v>38.918918918918898</v>
          </cell>
          <cell r="V20">
            <v>7.4</v>
          </cell>
          <cell r="W20">
            <v>21.6</v>
          </cell>
          <cell r="X20">
            <v>10.4</v>
          </cell>
          <cell r="Y20">
            <v>8.4</v>
          </cell>
          <cell r="Z20">
            <v>12.6</v>
          </cell>
          <cell r="AA20">
            <v>0</v>
          </cell>
        </row>
        <row r="21">
          <cell r="A21" t="str">
            <v>Cыр Перлини копченый 40% 100гр (8шт)  Останкино</v>
          </cell>
          <cell r="B21" t="str">
            <v>шт</v>
          </cell>
          <cell r="C21">
            <v>2</v>
          </cell>
          <cell r="E21">
            <v>-1</v>
          </cell>
          <cell r="F21">
            <v>2</v>
          </cell>
          <cell r="G21">
            <v>0.1</v>
          </cell>
          <cell r="H21" t="e">
            <v>#VALUE!</v>
          </cell>
          <cell r="I21">
            <v>8444910</v>
          </cell>
          <cell r="K21">
            <v>11</v>
          </cell>
          <cell r="L21">
            <v>-12</v>
          </cell>
          <cell r="O21">
            <v>150</v>
          </cell>
          <cell r="P21">
            <v>0</v>
          </cell>
          <cell r="Q21">
            <v>-0.2</v>
          </cell>
          <cell r="U21">
            <v>-760</v>
          </cell>
          <cell r="V21">
            <v>-0.2</v>
          </cell>
          <cell r="W21">
            <v>2.2000000000000002</v>
          </cell>
          <cell r="X21">
            <v>0.2</v>
          </cell>
          <cell r="Y21">
            <v>6.6</v>
          </cell>
          <cell r="Z21">
            <v>5.2</v>
          </cell>
          <cell r="AA21" t="e">
            <v>#VALUE!</v>
          </cell>
        </row>
        <row r="22">
          <cell r="A22" t="str">
            <v>Cыр Перлини со вкусом Васаби 40% 100гр (8шт)  Останкино</v>
          </cell>
          <cell r="B22" t="str">
            <v>шт</v>
          </cell>
          <cell r="C22">
            <v>-2</v>
          </cell>
          <cell r="E22">
            <v>0</v>
          </cell>
          <cell r="F22">
            <v>-2</v>
          </cell>
          <cell r="G22">
            <v>0.1</v>
          </cell>
          <cell r="H22">
            <v>0</v>
          </cell>
          <cell r="I22">
            <v>8444927</v>
          </cell>
          <cell r="K22">
            <v>3</v>
          </cell>
          <cell r="L22">
            <v>-3</v>
          </cell>
          <cell r="O22">
            <v>0</v>
          </cell>
          <cell r="P22">
            <v>0</v>
          </cell>
          <cell r="Q22">
            <v>0</v>
          </cell>
          <cell r="U22" t="e">
            <v>#DIV/0!</v>
          </cell>
          <cell r="V22">
            <v>0</v>
          </cell>
          <cell r="W22">
            <v>-0.2</v>
          </cell>
          <cell r="X22">
            <v>-0.8</v>
          </cell>
          <cell r="Y22">
            <v>2.4</v>
          </cell>
          <cell r="Z22">
            <v>3.2</v>
          </cell>
          <cell r="AA22" t="e">
            <v>#VALUE!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59</v>
          </cell>
          <cell r="E23">
            <v>3</v>
          </cell>
          <cell r="F23">
            <v>56</v>
          </cell>
          <cell r="G23">
            <v>0.4</v>
          </cell>
          <cell r="H23">
            <v>270</v>
          </cell>
          <cell r="I23">
            <v>9988476</v>
          </cell>
          <cell r="K23">
            <v>3</v>
          </cell>
          <cell r="L23">
            <v>0</v>
          </cell>
          <cell r="O23">
            <v>0</v>
          </cell>
          <cell r="P23">
            <v>0</v>
          </cell>
          <cell r="Q23">
            <v>0.6</v>
          </cell>
          <cell r="U23">
            <v>93.3333333333333</v>
          </cell>
          <cell r="V23">
            <v>0.6</v>
          </cell>
          <cell r="W23">
            <v>4.4000000000000004</v>
          </cell>
          <cell r="X23">
            <v>1.4</v>
          </cell>
          <cell r="Y23">
            <v>4</v>
          </cell>
          <cell r="Z23">
            <v>3.4</v>
          </cell>
          <cell r="AA23">
            <v>0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183</v>
          </cell>
          <cell r="E24">
            <v>10</v>
          </cell>
          <cell r="F24">
            <v>173</v>
          </cell>
          <cell r="G24">
            <v>0.18</v>
          </cell>
          <cell r="H24" t="e">
            <v>#VALUE!</v>
          </cell>
          <cell r="I24">
            <v>9988674</v>
          </cell>
          <cell r="K24">
            <v>10</v>
          </cell>
          <cell r="L24">
            <v>0</v>
          </cell>
          <cell r="O24">
            <v>0</v>
          </cell>
          <cell r="P24">
            <v>0</v>
          </cell>
          <cell r="Q24">
            <v>2</v>
          </cell>
          <cell r="U24">
            <v>86.5</v>
          </cell>
          <cell r="V24">
            <v>2</v>
          </cell>
          <cell r="W24">
            <v>14.6</v>
          </cell>
          <cell r="X24">
            <v>11.4</v>
          </cell>
          <cell r="Y24">
            <v>4.5999999999999996</v>
          </cell>
          <cell r="Z24">
            <v>7.6</v>
          </cell>
          <cell r="AA24" t="str">
            <v>увел продажи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26</v>
          </cell>
          <cell r="E25">
            <v>1</v>
          </cell>
          <cell r="F25">
            <v>23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</v>
          </cell>
          <cell r="Q25">
            <v>0.2</v>
          </cell>
          <cell r="U25">
            <v>115</v>
          </cell>
          <cell r="V25">
            <v>0.2</v>
          </cell>
          <cell r="W25">
            <v>3.2</v>
          </cell>
          <cell r="X25">
            <v>2.2000000000000002</v>
          </cell>
          <cell r="Y25">
            <v>3.4</v>
          </cell>
          <cell r="Z25">
            <v>2</v>
          </cell>
          <cell r="AA25" t="str">
            <v>нужно увеличить продажи!!! / 29,09,25 завод не отгрузил</v>
          </cell>
        </row>
        <row r="26">
          <cell r="A26" t="str">
            <v>Продукт белково-жировой Сметанковый 50% ВЕС Коровино Останкино</v>
          </cell>
          <cell r="B26" t="str">
            <v>кг</v>
          </cell>
          <cell r="C26">
            <v>64.834999999999994</v>
          </cell>
          <cell r="E26">
            <v>6.51</v>
          </cell>
          <cell r="F26">
            <v>58.325000000000003</v>
          </cell>
          <cell r="G26">
            <v>1</v>
          </cell>
          <cell r="H26" t="e">
            <v>#VALUE!</v>
          </cell>
          <cell r="I26">
            <v>7100726</v>
          </cell>
          <cell r="K26">
            <v>6</v>
          </cell>
          <cell r="L26">
            <v>0.51</v>
          </cell>
          <cell r="O26">
            <v>0</v>
          </cell>
          <cell r="P26">
            <v>0</v>
          </cell>
          <cell r="Q26">
            <v>1.302</v>
          </cell>
          <cell r="U26">
            <v>44.796466973886297</v>
          </cell>
          <cell r="V26">
            <v>1.302</v>
          </cell>
          <cell r="W26">
            <v>0</v>
          </cell>
          <cell r="X26">
            <v>1.302</v>
          </cell>
          <cell r="Y26">
            <v>0.65959999999999996</v>
          </cell>
          <cell r="Z26">
            <v>0.872</v>
          </cell>
          <cell r="AA26" t="str">
            <v>увел продажи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C27">
            <v>14</v>
          </cell>
          <cell r="E27">
            <v>2</v>
          </cell>
          <cell r="F27">
            <v>11</v>
          </cell>
          <cell r="G27">
            <v>0.2</v>
          </cell>
          <cell r="H27" t="e">
            <v>#VALUE!</v>
          </cell>
          <cell r="I27">
            <v>7100108</v>
          </cell>
          <cell r="K27">
            <v>3</v>
          </cell>
          <cell r="L27">
            <v>-1</v>
          </cell>
          <cell r="O27">
            <v>0</v>
          </cell>
          <cell r="P27">
            <v>150</v>
          </cell>
          <cell r="Q27">
            <v>0.4</v>
          </cell>
          <cell r="U27">
            <v>402.5</v>
          </cell>
          <cell r="V27">
            <v>0.4</v>
          </cell>
          <cell r="W27">
            <v>1</v>
          </cell>
          <cell r="X27">
            <v>1.6</v>
          </cell>
          <cell r="Y27">
            <v>3.8</v>
          </cell>
          <cell r="Z27">
            <v>5.8</v>
          </cell>
          <cell r="AA27" t="str">
            <v>увел продажи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C28">
            <v>227.09</v>
          </cell>
          <cell r="E28">
            <v>0</v>
          </cell>
          <cell r="F28">
            <v>227.09</v>
          </cell>
          <cell r="G28">
            <v>1</v>
          </cell>
          <cell r="H28" t="e">
            <v>#VALUE!</v>
          </cell>
          <cell r="I28">
            <v>7100139</v>
          </cell>
          <cell r="K28">
            <v>0</v>
          </cell>
          <cell r="L28">
            <v>0</v>
          </cell>
          <cell r="O28">
            <v>0</v>
          </cell>
          <cell r="P28">
            <v>0</v>
          </cell>
          <cell r="Q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3.5859999999999999</v>
          </cell>
          <cell r="Y28">
            <v>1.3140000000000001</v>
          </cell>
          <cell r="Z28">
            <v>0</v>
          </cell>
          <cell r="AA28" t="str">
            <v>увел продажи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104</v>
          </cell>
          <cell r="E29">
            <v>21</v>
          </cell>
          <cell r="F29">
            <v>83</v>
          </cell>
          <cell r="G29">
            <v>0.1</v>
          </cell>
          <cell r="H29" t="e">
            <v>#VALUE!</v>
          </cell>
          <cell r="I29">
            <v>8444163</v>
          </cell>
          <cell r="K29">
            <v>23</v>
          </cell>
          <cell r="L29">
            <v>-2</v>
          </cell>
          <cell r="O29">
            <v>0</v>
          </cell>
          <cell r="P29">
            <v>0</v>
          </cell>
          <cell r="Q29">
            <v>4.2</v>
          </cell>
          <cell r="U29">
            <v>19.761904761904798</v>
          </cell>
          <cell r="V29">
            <v>4.2</v>
          </cell>
          <cell r="W29">
            <v>-1.4</v>
          </cell>
          <cell r="X29">
            <v>5.2</v>
          </cell>
          <cell r="Y29">
            <v>-0.2</v>
          </cell>
          <cell r="Z29">
            <v>0</v>
          </cell>
          <cell r="AA29" t="e">
            <v>#VALUE!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55</v>
          </cell>
          <cell r="E30">
            <v>15</v>
          </cell>
          <cell r="F30">
            <v>40</v>
          </cell>
          <cell r="G30">
            <v>0.1</v>
          </cell>
          <cell r="H30" t="e">
            <v>#VALUE!</v>
          </cell>
          <cell r="I30">
            <v>8445160</v>
          </cell>
          <cell r="K30">
            <v>62</v>
          </cell>
          <cell r="L30">
            <v>-47</v>
          </cell>
          <cell r="O30">
            <v>0</v>
          </cell>
          <cell r="P30">
            <v>0</v>
          </cell>
          <cell r="Q30">
            <v>3</v>
          </cell>
          <cell r="U30">
            <v>13.3333333333333</v>
          </cell>
          <cell r="V30">
            <v>3</v>
          </cell>
          <cell r="W30">
            <v>0.4</v>
          </cell>
          <cell r="X30">
            <v>3.2</v>
          </cell>
          <cell r="Y30">
            <v>-0.6</v>
          </cell>
          <cell r="Z30">
            <v>0.2</v>
          </cell>
          <cell r="AA30" t="str">
            <v>увел продажи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97</v>
          </cell>
          <cell r="E31">
            <v>47</v>
          </cell>
          <cell r="F31">
            <v>50</v>
          </cell>
          <cell r="G31">
            <v>0.1</v>
          </cell>
          <cell r="H31" t="e">
            <v>#VALUE!</v>
          </cell>
          <cell r="I31">
            <v>8445177</v>
          </cell>
          <cell r="K31">
            <v>41</v>
          </cell>
          <cell r="L31">
            <v>6</v>
          </cell>
          <cell r="O31">
            <v>0</v>
          </cell>
          <cell r="P31">
            <v>0</v>
          </cell>
          <cell r="Q31">
            <v>9.4</v>
          </cell>
          <cell r="R31">
            <v>140</v>
          </cell>
          <cell r="U31">
            <v>20.212765957446798</v>
          </cell>
          <cell r="V31">
            <v>9.4</v>
          </cell>
          <cell r="W31">
            <v>4.8</v>
          </cell>
          <cell r="X31">
            <v>0</v>
          </cell>
          <cell r="Y31">
            <v>7.8</v>
          </cell>
          <cell r="Z31">
            <v>8.1999999999999993</v>
          </cell>
          <cell r="AA31" t="str">
            <v>увел продажи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284</v>
          </cell>
          <cell r="E32">
            <v>252</v>
          </cell>
          <cell r="F32">
            <v>30</v>
          </cell>
          <cell r="G32">
            <v>0.18</v>
          </cell>
          <cell r="H32">
            <v>150</v>
          </cell>
          <cell r="I32">
            <v>5038411</v>
          </cell>
          <cell r="K32">
            <v>296</v>
          </cell>
          <cell r="L32">
            <v>-44</v>
          </cell>
          <cell r="O32">
            <v>800</v>
          </cell>
          <cell r="P32">
            <v>250</v>
          </cell>
          <cell r="Q32">
            <v>50.4</v>
          </cell>
          <cell r="U32">
            <v>21.428571428571399</v>
          </cell>
          <cell r="V32">
            <v>50.4</v>
          </cell>
          <cell r="W32">
            <v>41.8</v>
          </cell>
          <cell r="X32">
            <v>62.6</v>
          </cell>
          <cell r="Y32">
            <v>63.8</v>
          </cell>
          <cell r="Z32">
            <v>63.8</v>
          </cell>
          <cell r="AA32">
            <v>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326</v>
          </cell>
          <cell r="D33">
            <v>3</v>
          </cell>
          <cell r="E33">
            <v>317</v>
          </cell>
          <cell r="F33">
            <v>11</v>
          </cell>
          <cell r="G33">
            <v>0.18</v>
          </cell>
          <cell r="H33">
            <v>150</v>
          </cell>
          <cell r="I33">
            <v>5038459</v>
          </cell>
          <cell r="K33">
            <v>318</v>
          </cell>
          <cell r="L33">
            <v>-1</v>
          </cell>
          <cell r="O33">
            <v>1500</v>
          </cell>
          <cell r="P33">
            <v>0</v>
          </cell>
          <cell r="Q33">
            <v>63.4</v>
          </cell>
          <cell r="U33">
            <v>23.832807570977899</v>
          </cell>
          <cell r="V33">
            <v>63.4</v>
          </cell>
          <cell r="W33">
            <v>41</v>
          </cell>
          <cell r="X33">
            <v>59.8</v>
          </cell>
          <cell r="Y33">
            <v>83.4</v>
          </cell>
          <cell r="Z33">
            <v>32.799999999999997</v>
          </cell>
          <cell r="AA33">
            <v>0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200</v>
          </cell>
          <cell r="E34">
            <v>200</v>
          </cell>
          <cell r="G34">
            <v>0.18</v>
          </cell>
          <cell r="H34">
            <v>150</v>
          </cell>
          <cell r="I34">
            <v>5038831</v>
          </cell>
          <cell r="K34">
            <v>225</v>
          </cell>
          <cell r="L34">
            <v>-25</v>
          </cell>
          <cell r="O34">
            <v>150</v>
          </cell>
          <cell r="P34">
            <v>0</v>
          </cell>
          <cell r="Q34">
            <v>40</v>
          </cell>
          <cell r="R34">
            <v>650</v>
          </cell>
          <cell r="U34">
            <v>20</v>
          </cell>
          <cell r="V34">
            <v>40</v>
          </cell>
          <cell r="W34">
            <v>5.6</v>
          </cell>
          <cell r="X34">
            <v>35</v>
          </cell>
          <cell r="Y34">
            <v>3.4</v>
          </cell>
          <cell r="Z34">
            <v>-0.2</v>
          </cell>
          <cell r="AA34" t="str">
            <v>увел продажи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429</v>
          </cell>
          <cell r="E35">
            <v>292</v>
          </cell>
          <cell r="F35">
            <v>137</v>
          </cell>
          <cell r="G35">
            <v>0.18</v>
          </cell>
          <cell r="H35">
            <v>120</v>
          </cell>
          <cell r="I35">
            <v>5038855</v>
          </cell>
          <cell r="K35">
            <v>292</v>
          </cell>
          <cell r="L35">
            <v>0</v>
          </cell>
          <cell r="O35">
            <v>1000</v>
          </cell>
          <cell r="P35">
            <v>0</v>
          </cell>
          <cell r="Q35">
            <v>58.4</v>
          </cell>
          <cell r="U35">
            <v>19.469178082191799</v>
          </cell>
          <cell r="V35">
            <v>58.4</v>
          </cell>
          <cell r="W35">
            <v>55</v>
          </cell>
          <cell r="X35">
            <v>4.2</v>
          </cell>
          <cell r="Y35">
            <v>81.8</v>
          </cell>
          <cell r="Z35">
            <v>45.6</v>
          </cell>
          <cell r="AA35">
            <v>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786</v>
          </cell>
          <cell r="D36">
            <v>2</v>
          </cell>
          <cell r="E36">
            <v>473</v>
          </cell>
          <cell r="F36">
            <v>307</v>
          </cell>
          <cell r="G36">
            <v>0.18</v>
          </cell>
          <cell r="H36">
            <v>150</v>
          </cell>
          <cell r="I36">
            <v>5038435</v>
          </cell>
          <cell r="K36">
            <v>500</v>
          </cell>
          <cell r="L36">
            <v>-27</v>
          </cell>
          <cell r="O36">
            <v>500</v>
          </cell>
          <cell r="P36">
            <v>450</v>
          </cell>
          <cell r="Q36">
            <v>94.6</v>
          </cell>
          <cell r="R36">
            <v>630</v>
          </cell>
          <cell r="U36">
            <v>19.9471458773784</v>
          </cell>
          <cell r="V36">
            <v>94.6</v>
          </cell>
          <cell r="W36">
            <v>87.8</v>
          </cell>
          <cell r="X36">
            <v>77.2</v>
          </cell>
          <cell r="Y36">
            <v>72.599999999999994</v>
          </cell>
          <cell r="Z36">
            <v>81.599999999999994</v>
          </cell>
          <cell r="AA36">
            <v>0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464</v>
          </cell>
          <cell r="E37">
            <v>312</v>
          </cell>
          <cell r="F37">
            <v>152</v>
          </cell>
          <cell r="G37">
            <v>0.18</v>
          </cell>
          <cell r="H37">
            <v>120</v>
          </cell>
          <cell r="I37">
            <v>5038398</v>
          </cell>
          <cell r="K37">
            <v>313</v>
          </cell>
          <cell r="L37">
            <v>-1</v>
          </cell>
          <cell r="O37">
            <v>520</v>
          </cell>
          <cell r="P37">
            <v>0</v>
          </cell>
          <cell r="Q37">
            <v>62.4</v>
          </cell>
          <cell r="R37">
            <v>580</v>
          </cell>
          <cell r="U37">
            <v>20.064102564102601</v>
          </cell>
          <cell r="V37">
            <v>62.4</v>
          </cell>
          <cell r="W37">
            <v>49.6</v>
          </cell>
          <cell r="X37">
            <v>22.8</v>
          </cell>
          <cell r="Y37">
            <v>56.6</v>
          </cell>
          <cell r="Z37">
            <v>39.6</v>
          </cell>
          <cell r="AA37" t="str">
            <v>увел продажи</v>
          </cell>
        </row>
        <row r="38">
          <cell r="A38" t="str">
            <v>Сыр плавленный Сливочный ж.45% 180г ТМ Папа может (16шт)  Останкино</v>
          </cell>
          <cell r="B38" t="str">
            <v>шт</v>
          </cell>
          <cell r="C38">
            <v>365</v>
          </cell>
          <cell r="E38">
            <v>278</v>
          </cell>
          <cell r="F38">
            <v>87</v>
          </cell>
          <cell r="G38">
            <v>0.18</v>
          </cell>
          <cell r="H38">
            <v>270</v>
          </cell>
          <cell r="I38">
            <v>9988681</v>
          </cell>
          <cell r="K38">
            <v>258</v>
          </cell>
          <cell r="L38">
            <v>20</v>
          </cell>
          <cell r="O38">
            <v>760</v>
          </cell>
          <cell r="P38">
            <v>0</v>
          </cell>
          <cell r="Q38">
            <v>55.6</v>
          </cell>
          <cell r="R38">
            <v>560</v>
          </cell>
          <cell r="U38">
            <v>25.305755395683502</v>
          </cell>
          <cell r="V38">
            <v>55.6</v>
          </cell>
          <cell r="W38">
            <v>49.4</v>
          </cell>
          <cell r="X38">
            <v>31</v>
          </cell>
          <cell r="Y38">
            <v>64</v>
          </cell>
          <cell r="Z38">
            <v>34.6</v>
          </cell>
          <cell r="AA38">
            <v>0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B39" t="str">
            <v>кг</v>
          </cell>
          <cell r="C39">
            <v>236.53800000000001</v>
          </cell>
          <cell r="E39">
            <v>31.276</v>
          </cell>
          <cell r="F39">
            <v>205.262</v>
          </cell>
          <cell r="G39">
            <v>1</v>
          </cell>
          <cell r="H39">
            <v>0</v>
          </cell>
          <cell r="I39">
            <v>8785242</v>
          </cell>
          <cell r="K39">
            <v>28.5</v>
          </cell>
          <cell r="L39">
            <v>2.7759999999999998</v>
          </cell>
          <cell r="O39">
            <v>0</v>
          </cell>
          <cell r="P39">
            <v>0</v>
          </cell>
          <cell r="Q39">
            <v>6.2552000000000003</v>
          </cell>
          <cell r="U39">
            <v>32.814618237626298</v>
          </cell>
          <cell r="V39">
            <v>6.2552000000000003</v>
          </cell>
          <cell r="W39">
            <v>17.309200000000001</v>
          </cell>
          <cell r="X39">
            <v>9.9700000000000006</v>
          </cell>
          <cell r="Y39">
            <v>6.5415999999999999</v>
          </cell>
          <cell r="Z39">
            <v>9.9288000000000007</v>
          </cell>
          <cell r="AA39">
            <v>0</v>
          </cell>
        </row>
        <row r="40">
          <cell r="A40" t="str">
            <v>Сыр полутвердый "Голландский" с массовой долей жира в пересчете на сухое  Останкино</v>
          </cell>
          <cell r="B40" t="str">
            <v>кг</v>
          </cell>
          <cell r="C40">
            <v>185.916</v>
          </cell>
          <cell r="D40">
            <v>3.5459999999999998</v>
          </cell>
          <cell r="E40">
            <v>46.561999999999998</v>
          </cell>
          <cell r="F40">
            <v>139.35400000000001</v>
          </cell>
          <cell r="G40">
            <v>1</v>
          </cell>
          <cell r="H40" t="e">
            <v>#N/A</v>
          </cell>
          <cell r="I40">
            <v>0</v>
          </cell>
          <cell r="K40">
            <v>47</v>
          </cell>
          <cell r="L40">
            <v>-0.438000000000002</v>
          </cell>
          <cell r="O40">
            <v>0</v>
          </cell>
          <cell r="P40">
            <v>0</v>
          </cell>
          <cell r="Q40">
            <v>9.3124000000000002</v>
          </cell>
          <cell r="U40">
            <v>14.9643486104549</v>
          </cell>
          <cell r="V40">
            <v>9.3124000000000002</v>
          </cell>
          <cell r="W40">
            <v>0</v>
          </cell>
          <cell r="X40">
            <v>0</v>
          </cell>
          <cell r="Y40">
            <v>0</v>
          </cell>
          <cell r="Z40">
            <v>5.2211999999999996</v>
          </cell>
          <cell r="AA40" t="e">
            <v>#N/A</v>
          </cell>
        </row>
        <row r="41">
          <cell r="A41" t="str">
            <v>Сыр полутвердый "Сметанковый", с масс долей жира в пересчете на сухое вещес50%, брус  Останкино</v>
          </cell>
          <cell r="B41" t="str">
            <v>кг</v>
          </cell>
          <cell r="C41">
            <v>-0.33300000000000002</v>
          </cell>
          <cell r="E41">
            <v>0</v>
          </cell>
          <cell r="F41">
            <v>-0.33300000000000002</v>
          </cell>
          <cell r="G41">
            <v>1</v>
          </cell>
          <cell r="H41">
            <v>120</v>
          </cell>
          <cell r="I41">
            <v>8785198</v>
          </cell>
          <cell r="K41">
            <v>6</v>
          </cell>
          <cell r="L41">
            <v>-6</v>
          </cell>
          <cell r="O41">
            <v>450</v>
          </cell>
          <cell r="P41">
            <v>0</v>
          </cell>
          <cell r="Q41">
            <v>0</v>
          </cell>
          <cell r="R41">
            <v>250</v>
          </cell>
          <cell r="S41">
            <v>250</v>
          </cell>
          <cell r="U41" t="e">
            <v>#DIV/0!</v>
          </cell>
          <cell r="V41">
            <v>0</v>
          </cell>
          <cell r="W41">
            <v>0</v>
          </cell>
          <cell r="X41">
            <v>22.079799999999999</v>
          </cell>
          <cell r="Y41">
            <v>24.089600000000001</v>
          </cell>
          <cell r="Z41">
            <v>24.099</v>
          </cell>
          <cell r="AA41">
            <v>0</v>
          </cell>
        </row>
        <row r="42">
          <cell r="A42" t="str">
            <v>Сыр полутвердый "Тильзитер" с массовой долей жира в пересчете на сухое вещество 45%. 1/5  Останкино</v>
          </cell>
          <cell r="B42" t="str">
            <v>кг</v>
          </cell>
          <cell r="C42">
            <v>93.756</v>
          </cell>
          <cell r="D42">
            <v>3.08</v>
          </cell>
          <cell r="E42">
            <v>9.2520000000000007</v>
          </cell>
          <cell r="F42">
            <v>84.504000000000005</v>
          </cell>
          <cell r="G42">
            <v>1</v>
          </cell>
          <cell r="H42" t="e">
            <v>#VALUE!</v>
          </cell>
          <cell r="I42">
            <v>8785259</v>
          </cell>
          <cell r="K42">
            <v>11.5</v>
          </cell>
          <cell r="L42">
            <v>-2.2480000000000002</v>
          </cell>
          <cell r="O42">
            <v>0</v>
          </cell>
          <cell r="P42">
            <v>0</v>
          </cell>
          <cell r="Q42">
            <v>1.8504</v>
          </cell>
          <cell r="U42">
            <v>45.667963683527901</v>
          </cell>
          <cell r="V42">
            <v>1.8504</v>
          </cell>
          <cell r="W42">
            <v>9.8846000000000007</v>
          </cell>
          <cell r="X42">
            <v>7.2476000000000003</v>
          </cell>
          <cell r="Y42">
            <v>4.3764000000000003</v>
          </cell>
          <cell r="Z42">
            <v>8.2704000000000004</v>
          </cell>
          <cell r="AA42" t="e">
            <v>#VALUE!</v>
          </cell>
        </row>
        <row r="43">
          <cell r="A43" t="str">
            <v>Сыр рассольный жирный Чечил 45% 100 гр  ОСТАНКИНО</v>
          </cell>
          <cell r="B43" t="str">
            <v>шт</v>
          </cell>
          <cell r="C43">
            <v>149</v>
          </cell>
          <cell r="E43">
            <v>46</v>
          </cell>
          <cell r="F43">
            <v>103</v>
          </cell>
          <cell r="G43">
            <v>0.1</v>
          </cell>
          <cell r="H43">
            <v>60</v>
          </cell>
          <cell r="I43">
            <v>8444187</v>
          </cell>
          <cell r="K43">
            <v>46</v>
          </cell>
          <cell r="L43">
            <v>0</v>
          </cell>
          <cell r="O43">
            <v>0</v>
          </cell>
          <cell r="P43">
            <v>0</v>
          </cell>
          <cell r="Q43">
            <v>9.1999999999999993</v>
          </cell>
          <cell r="R43">
            <v>80</v>
          </cell>
          <cell r="U43">
            <v>19.8913043478261</v>
          </cell>
          <cell r="V43">
            <v>9.1999999999999993</v>
          </cell>
          <cell r="W43">
            <v>0</v>
          </cell>
          <cell r="X43">
            <v>13</v>
          </cell>
          <cell r="Y43">
            <v>1.8</v>
          </cell>
          <cell r="Z43">
            <v>-0.2</v>
          </cell>
          <cell r="AA43">
            <v>0</v>
          </cell>
        </row>
        <row r="44">
          <cell r="A44" t="str">
            <v>Сыр рассольный жирный Чечил копченый 43% 100 гр  Останкино</v>
          </cell>
          <cell r="B44" t="str">
            <v>шт</v>
          </cell>
          <cell r="C44">
            <v>131</v>
          </cell>
          <cell r="E44">
            <v>56</v>
          </cell>
          <cell r="F44">
            <v>75</v>
          </cell>
          <cell r="G44">
            <v>0.1</v>
          </cell>
          <cell r="H44">
            <v>90</v>
          </cell>
          <cell r="I44">
            <v>8444194</v>
          </cell>
          <cell r="K44">
            <v>54</v>
          </cell>
          <cell r="L44">
            <v>2</v>
          </cell>
          <cell r="O44">
            <v>220</v>
          </cell>
          <cell r="P44">
            <v>0</v>
          </cell>
          <cell r="Q44">
            <v>11.2</v>
          </cell>
          <cell r="U44">
            <v>26.339285714285701</v>
          </cell>
          <cell r="V44">
            <v>11.2</v>
          </cell>
          <cell r="W44">
            <v>4.4000000000000004</v>
          </cell>
          <cell r="X44">
            <v>1.4</v>
          </cell>
          <cell r="Y44">
            <v>18.2</v>
          </cell>
          <cell r="Z44">
            <v>11</v>
          </cell>
          <cell r="AA44" t="str">
            <v>увел продажи</v>
          </cell>
        </row>
        <row r="45">
          <cell r="A45" t="str">
            <v>Сыр Творожный с зеленью 60% Папа может 140 гр.  Останкино</v>
          </cell>
          <cell r="B45" t="str">
            <v>шт</v>
          </cell>
          <cell r="C45">
            <v>323</v>
          </cell>
          <cell r="E45">
            <v>29</v>
          </cell>
          <cell r="F45">
            <v>294</v>
          </cell>
          <cell r="G45">
            <v>0.14000000000000001</v>
          </cell>
          <cell r="H45">
            <v>180</v>
          </cell>
          <cell r="I45">
            <v>9988391</v>
          </cell>
          <cell r="K45">
            <v>29</v>
          </cell>
          <cell r="L45">
            <v>0</v>
          </cell>
          <cell r="O45">
            <v>0</v>
          </cell>
          <cell r="P45">
            <v>0</v>
          </cell>
          <cell r="Q45">
            <v>5.8</v>
          </cell>
          <cell r="U45">
            <v>50.689655172413801</v>
          </cell>
          <cell r="V45">
            <v>5.8</v>
          </cell>
          <cell r="W45">
            <v>17.2</v>
          </cell>
          <cell r="X45">
            <v>0</v>
          </cell>
          <cell r="Y45">
            <v>3.6</v>
          </cell>
          <cell r="Z45">
            <v>11.2</v>
          </cell>
          <cell r="AA45">
            <v>0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184</v>
          </cell>
          <cell r="E46">
            <v>37</v>
          </cell>
          <cell r="F46">
            <v>147</v>
          </cell>
          <cell r="G46">
            <v>0.14000000000000001</v>
          </cell>
          <cell r="H46">
            <v>180</v>
          </cell>
          <cell r="I46">
            <v>9988377</v>
          </cell>
          <cell r="K46">
            <v>37</v>
          </cell>
          <cell r="L46">
            <v>0</v>
          </cell>
          <cell r="O46">
            <v>0</v>
          </cell>
          <cell r="P46">
            <v>180</v>
          </cell>
          <cell r="Q46">
            <v>7.4</v>
          </cell>
          <cell r="U46">
            <v>44.1891891891892</v>
          </cell>
          <cell r="V46">
            <v>7.4</v>
          </cell>
          <cell r="W46">
            <v>14.2</v>
          </cell>
          <cell r="X46">
            <v>6</v>
          </cell>
          <cell r="Y46">
            <v>7.2</v>
          </cell>
          <cell r="Z46">
            <v>15.2</v>
          </cell>
          <cell r="AA46" t="str">
            <v>увел продажи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21</v>
          </cell>
          <cell r="E47">
            <v>0</v>
          </cell>
          <cell r="F47">
            <v>21</v>
          </cell>
          <cell r="G47">
            <v>0.2</v>
          </cell>
          <cell r="H47" t="e">
            <v>#VALUE!</v>
          </cell>
          <cell r="I47" t="str">
            <v>783К798</v>
          </cell>
          <cell r="K47">
            <v>0</v>
          </cell>
          <cell r="L47">
            <v>0</v>
          </cell>
          <cell r="O47">
            <v>0</v>
          </cell>
          <cell r="P47">
            <v>0</v>
          </cell>
          <cell r="Q47">
            <v>0</v>
          </cell>
          <cell r="U47" t="e">
            <v>#DIV/0!</v>
          </cell>
          <cell r="V47">
            <v>0</v>
          </cell>
          <cell r="W47">
            <v>27.6</v>
          </cell>
          <cell r="X47">
            <v>21</v>
          </cell>
          <cell r="Y47">
            <v>15</v>
          </cell>
          <cell r="Z47">
            <v>1</v>
          </cell>
          <cell r="AA47" t="str">
            <v>увел продажи</v>
          </cell>
        </row>
        <row r="48">
          <cell r="A48" t="str">
            <v>Сыч/Прод Коровино Российский 50% 200г СЗМЖ  Останкино</v>
          </cell>
          <cell r="B48" t="str">
            <v>шт</v>
          </cell>
          <cell r="C48">
            <v>269</v>
          </cell>
          <cell r="E48">
            <v>63</v>
          </cell>
          <cell r="F48">
            <v>206</v>
          </cell>
          <cell r="G48">
            <v>0.2</v>
          </cell>
          <cell r="H48" t="e">
            <v>#N/A</v>
          </cell>
          <cell r="I48">
            <v>0</v>
          </cell>
          <cell r="K48">
            <v>63</v>
          </cell>
          <cell r="L48">
            <v>0</v>
          </cell>
          <cell r="O48">
            <v>0</v>
          </cell>
          <cell r="P48">
            <v>0</v>
          </cell>
          <cell r="Q48">
            <v>12.6</v>
          </cell>
          <cell r="U48">
            <v>16.349206349206298</v>
          </cell>
          <cell r="V48">
            <v>12.6</v>
          </cell>
          <cell r="W48">
            <v>0</v>
          </cell>
          <cell r="X48">
            <v>0</v>
          </cell>
          <cell r="Y48">
            <v>0</v>
          </cell>
          <cell r="Z48">
            <v>16.2</v>
          </cell>
          <cell r="AA48" t="e">
            <v>#N/A</v>
          </cell>
        </row>
        <row r="49">
          <cell r="A49" t="str">
            <v>Сыч/Прод Коровино Российский Оригин 50% ВЕС (3,5 кг)  Останкино</v>
          </cell>
          <cell r="B49" t="str">
            <v>кг</v>
          </cell>
          <cell r="C49">
            <v>31.431999999999999</v>
          </cell>
          <cell r="E49">
            <v>-1.0169999999999999</v>
          </cell>
          <cell r="F49">
            <v>31.431999999999999</v>
          </cell>
          <cell r="G49">
            <v>1</v>
          </cell>
          <cell r="H49" t="e">
            <v>#VALUE!</v>
          </cell>
          <cell r="I49" t="str">
            <v>783К811</v>
          </cell>
          <cell r="K49">
            <v>0</v>
          </cell>
          <cell r="L49">
            <v>-1.0169999999999999</v>
          </cell>
          <cell r="O49">
            <v>0</v>
          </cell>
          <cell r="P49">
            <v>0</v>
          </cell>
          <cell r="Q49">
            <v>-0.2034</v>
          </cell>
          <cell r="U49">
            <v>-154.532940019666</v>
          </cell>
          <cell r="V49">
            <v>-0.2034</v>
          </cell>
          <cell r="W49">
            <v>2.5680000000000001</v>
          </cell>
          <cell r="X49">
            <v>1.87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Сыч/Прод Коровино Российский Оригин 50% ВЕС НОВАЯ (3,5 кг)  ОСТАНКИНО</v>
          </cell>
          <cell r="B50" t="str">
            <v>кг</v>
          </cell>
          <cell r="C50">
            <v>44.38</v>
          </cell>
          <cell r="E50">
            <v>15.673999999999999</v>
          </cell>
          <cell r="F50">
            <v>28.706</v>
          </cell>
          <cell r="G50">
            <v>1</v>
          </cell>
          <cell r="H50">
            <v>0</v>
          </cell>
          <cell r="I50" t="str">
            <v>дубль798</v>
          </cell>
          <cell r="K50">
            <v>15</v>
          </cell>
          <cell r="L50">
            <v>0.67399999999999904</v>
          </cell>
          <cell r="O50">
            <v>200</v>
          </cell>
          <cell r="P50">
            <v>0</v>
          </cell>
          <cell r="Q50">
            <v>3.1347999999999998</v>
          </cell>
          <cell r="U50">
            <v>72.957126451448303</v>
          </cell>
          <cell r="V50">
            <v>3.1347999999999998</v>
          </cell>
          <cell r="W50">
            <v>1.236</v>
          </cell>
          <cell r="X50">
            <v>2.3915999999999999</v>
          </cell>
          <cell r="Y50">
            <v>8.7316000000000003</v>
          </cell>
          <cell r="Z50">
            <v>1.3140000000000001</v>
          </cell>
          <cell r="AA50" t="str">
            <v>увел продажи</v>
          </cell>
        </row>
        <row r="51">
          <cell r="A51" t="str">
            <v>Сыч/Прод Коровино Тильзитер 50% 200г НОВАЯ СЗМЖ  ОСТАНКИНО</v>
          </cell>
          <cell r="B51" t="str">
            <v>шт</v>
          </cell>
          <cell r="C51">
            <v>35</v>
          </cell>
          <cell r="E51">
            <v>0</v>
          </cell>
          <cell r="F51">
            <v>35</v>
          </cell>
          <cell r="G51">
            <v>0.2</v>
          </cell>
          <cell r="H51">
            <v>0</v>
          </cell>
          <cell r="I51" t="str">
            <v>783К801</v>
          </cell>
          <cell r="K51">
            <v>0</v>
          </cell>
          <cell r="L51">
            <v>0</v>
          </cell>
          <cell r="O51">
            <v>0</v>
          </cell>
          <cell r="P51">
            <v>0</v>
          </cell>
          <cell r="Q51">
            <v>0</v>
          </cell>
          <cell r="U51" t="e">
            <v>#DIV/0!</v>
          </cell>
          <cell r="V51">
            <v>0</v>
          </cell>
          <cell r="W51">
            <v>18.399999999999999</v>
          </cell>
          <cell r="X51">
            <v>14</v>
          </cell>
          <cell r="Y51">
            <v>4.2</v>
          </cell>
          <cell r="Z51">
            <v>0.2</v>
          </cell>
          <cell r="AA51" t="str">
            <v>увел продажи</v>
          </cell>
        </row>
        <row r="52">
          <cell r="A52" t="str">
            <v>Сыч/Прод Коровино Тильзитер 50% 200г СЗМЖ  ОСТАНКИНО</v>
          </cell>
          <cell r="B52" t="str">
            <v>шт</v>
          </cell>
          <cell r="C52">
            <v>197</v>
          </cell>
          <cell r="E52">
            <v>10</v>
          </cell>
          <cell r="F52">
            <v>187</v>
          </cell>
          <cell r="G52">
            <v>0.2</v>
          </cell>
          <cell r="H52" t="e">
            <v>#N/A</v>
          </cell>
          <cell r="I52">
            <v>0</v>
          </cell>
          <cell r="K52">
            <v>10</v>
          </cell>
          <cell r="L52">
            <v>0</v>
          </cell>
          <cell r="O52">
            <v>0</v>
          </cell>
          <cell r="P52">
            <v>0</v>
          </cell>
          <cell r="Q52">
            <v>2</v>
          </cell>
          <cell r="U52">
            <v>93.5</v>
          </cell>
          <cell r="V52">
            <v>2</v>
          </cell>
          <cell r="W52">
            <v>0</v>
          </cell>
          <cell r="X52">
            <v>0</v>
          </cell>
          <cell r="Y52">
            <v>0</v>
          </cell>
          <cell r="Z52">
            <v>10.6</v>
          </cell>
          <cell r="AA52" t="e">
            <v>#N/A</v>
          </cell>
        </row>
        <row r="53">
          <cell r="A53" t="str">
            <v>Сыч/Прод Коровино Тильзитер Оригин 50% ВЕС (3,5 кг брус) СЗМЖ  Останкино</v>
          </cell>
          <cell r="B53" t="str">
            <v>кг</v>
          </cell>
          <cell r="C53">
            <v>171.81399999999999</v>
          </cell>
          <cell r="D53">
            <v>6.766</v>
          </cell>
          <cell r="E53">
            <v>128.65199999999999</v>
          </cell>
          <cell r="F53">
            <v>49.927999999999997</v>
          </cell>
          <cell r="G53">
            <v>1</v>
          </cell>
          <cell r="H53" t="e">
            <v>#VALUE!</v>
          </cell>
          <cell r="I53" t="str">
            <v>783К825</v>
          </cell>
          <cell r="K53">
            <v>122</v>
          </cell>
          <cell r="L53">
            <v>6.6519999999999904</v>
          </cell>
          <cell r="O53">
            <v>200</v>
          </cell>
          <cell r="P53">
            <v>350</v>
          </cell>
          <cell r="Q53">
            <v>25.730399999999999</v>
          </cell>
          <cell r="U53">
            <v>23.315922022199398</v>
          </cell>
          <cell r="V53">
            <v>25.730399999999999</v>
          </cell>
          <cell r="W53">
            <v>20.1144</v>
          </cell>
          <cell r="X53">
            <v>20.520800000000001</v>
          </cell>
          <cell r="Y53">
            <v>22.0228</v>
          </cell>
          <cell r="Z53">
            <v>32.08</v>
          </cell>
          <cell r="AA53">
            <v>0</v>
          </cell>
        </row>
        <row r="54">
          <cell r="A54" t="str">
            <v>Масло "Папа может" 82,5% 180гр  Останкино</v>
          </cell>
          <cell r="O54">
            <v>200</v>
          </cell>
          <cell r="P54">
            <v>0</v>
          </cell>
          <cell r="Q54">
            <v>0</v>
          </cell>
          <cell r="U54" t="e">
            <v>#DIV/0!</v>
          </cell>
          <cell r="V54">
            <v>0</v>
          </cell>
          <cell r="W54">
            <v>0</v>
          </cell>
          <cell r="X54">
            <v>3</v>
          </cell>
          <cell r="Y54">
            <v>0</v>
          </cell>
          <cell r="Z54">
            <v>0</v>
          </cell>
          <cell r="AA54" t="e">
            <v>#VALUE!</v>
          </cell>
        </row>
        <row r="55">
          <cell r="A55" t="str">
            <v>Масло сливочное 72,5 % 180 гр.(10 шт) СЛАВЯНА  Останкино</v>
          </cell>
          <cell r="O55">
            <v>200</v>
          </cell>
          <cell r="P55">
            <v>0</v>
          </cell>
          <cell r="Q55">
            <v>0</v>
          </cell>
          <cell r="U55" t="e">
            <v>#DIV/0!</v>
          </cell>
          <cell r="V55">
            <v>0</v>
          </cell>
          <cell r="W55">
            <v>1</v>
          </cell>
          <cell r="X55">
            <v>1.8</v>
          </cell>
          <cell r="Y55">
            <v>0</v>
          </cell>
          <cell r="Z55">
            <v>0</v>
          </cell>
          <cell r="AA55" t="e">
            <v>#VALUE!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Мелитополь Останкино молоко</v>
          </cell>
          <cell r="B7">
            <v>2498.8000000000002</v>
          </cell>
        </row>
        <row r="8">
          <cell r="A8" t="str">
            <v>Останкино ООО</v>
          </cell>
          <cell r="B8">
            <v>2498.8000000000002</v>
          </cell>
        </row>
        <row r="9">
          <cell r="A9" t="str">
            <v>ООО Останкино-Краснодар (ШТ)</v>
          </cell>
          <cell r="B9">
            <v>2</v>
          </cell>
        </row>
        <row r="10">
          <cell r="A10" t="str">
            <v>6228 МЯСНОЕ АССОРТИ к/з с/н мгс 1/90 10шт  Останкино</v>
          </cell>
          <cell r="B10">
            <v>2</v>
          </cell>
        </row>
        <row r="11">
          <cell r="A11" t="str">
            <v>Останкино (соусы, майонезы)</v>
          </cell>
          <cell r="B11">
            <v>554</v>
          </cell>
        </row>
        <row r="12">
          <cell r="A12" t="str">
            <v>6948249 Майонезный соус провансаль 824,5гр деликатес.с массовой долей жирн.25% Коровино Останкино</v>
          </cell>
          <cell r="B12">
            <v>40</v>
          </cell>
        </row>
        <row r="13">
          <cell r="A13" t="str">
            <v>6948256 Майонез провансаль классич.оливковый Папа может 372гр с массовой долей жирн. 67% Останкино</v>
          </cell>
          <cell r="B13">
            <v>47</v>
          </cell>
        </row>
        <row r="14">
          <cell r="A14" t="str">
            <v>6948263 Майонез провансаль классич.оливковый Папа может 744гр с массовой долей жирн. 67% Останкино</v>
          </cell>
          <cell r="B14">
            <v>109</v>
          </cell>
        </row>
        <row r="15">
          <cell r="A15" t="str">
            <v>6948270 Майонез провансаль классич.Папа может 372гр с массовой долей жирн. 67% Останкино</v>
          </cell>
          <cell r="B15">
            <v>227</v>
          </cell>
        </row>
        <row r="16">
          <cell r="A16" t="str">
            <v>6948287 Майонез провансаль классич.Папа может 744гр с массовой долей жирн. 67% Останкино</v>
          </cell>
          <cell r="B16">
            <v>131</v>
          </cell>
        </row>
        <row r="17">
          <cell r="A17" t="str">
            <v>Останкино СЫР</v>
          </cell>
          <cell r="B17">
            <v>1942.8</v>
          </cell>
        </row>
        <row r="18">
          <cell r="A18" t="str">
            <v>3323 Сыр Российский цилиндр 1/4 пленка ЮКМП м.д.ж. 50%  ОСТАНКИНО</v>
          </cell>
          <cell r="B18">
            <v>61.5</v>
          </cell>
        </row>
        <row r="19">
          <cell r="A19" t="str">
            <v>9988421 Творожный Сыр 60 % С маринованными огурчиками и укропом  Останкино</v>
          </cell>
          <cell r="B19">
            <v>29</v>
          </cell>
        </row>
        <row r="20">
          <cell r="A20" t="str">
            <v>9988438 Плавленый Сыр 45% "С ветчиной" СТМ"ПапаМожет" 180гр  Останкино</v>
          </cell>
          <cell r="B20">
            <v>32</v>
          </cell>
        </row>
        <row r="21">
          <cell r="A21" t="str">
            <v>9988445 Плавленый Сыр 45%"С грибами" СТМ"ПапаМожет" 180 гр  Останкино</v>
          </cell>
          <cell r="B21">
            <v>32</v>
          </cell>
        </row>
        <row r="22">
          <cell r="A22" t="str">
            <v>Cыр Перлини копченый 40% 100гр (8шт)  Останкино</v>
          </cell>
          <cell r="B22">
            <v>10</v>
          </cell>
        </row>
        <row r="23">
          <cell r="A23" t="str">
            <v>Масло сливочное 72,5 % 180 гр.(10 шт) СЛАВЯНА  Останкино</v>
          </cell>
          <cell r="B23">
            <v>13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>
            <v>19</v>
          </cell>
        </row>
        <row r="25">
          <cell r="A25" t="str">
            <v>Плавленый сыр "Шоколадный" 30% 180гр Папа Может Останкино</v>
          </cell>
          <cell r="B25">
            <v>8</v>
          </cell>
        </row>
        <row r="26">
          <cell r="A26" t="str">
            <v>Плавленый Сыр колбасный копченый 40% СТМ"ПапаМожет"400гр  Останкино</v>
          </cell>
          <cell r="B26">
            <v>22</v>
          </cell>
        </row>
        <row r="27">
          <cell r="A27" t="str">
            <v>Продукт белково-жировой Сметанковый 50% ВЕС Коровино Останкино</v>
          </cell>
          <cell r="B27">
            <v>8</v>
          </cell>
        </row>
        <row r="28">
          <cell r="A28" t="str">
            <v>Продукт По-Росийски Классический с ЗМЖ 50% ВЕС Коровино Останкино</v>
          </cell>
          <cell r="B28">
            <v>8</v>
          </cell>
        </row>
        <row r="29">
          <cell r="A29" t="str">
            <v>Сыр "Пармезан" 40% кусок 180 гр  ОСТАНКИНО</v>
          </cell>
          <cell r="B29">
            <v>54</v>
          </cell>
        </row>
        <row r="30">
          <cell r="A30" t="str">
            <v>Сыр Боккончини копченый 40% 100 гр.  ОСТАНКИНО</v>
          </cell>
          <cell r="B30">
            <v>9</v>
          </cell>
        </row>
        <row r="31">
          <cell r="A31" t="str">
            <v>Сыр Косичка сырная 45% 100г/8шт Папа Может Останкино</v>
          </cell>
          <cell r="B31">
            <v>56</v>
          </cell>
        </row>
        <row r="32">
          <cell r="A32" t="str">
            <v>Сыр Косичка сырная копченая 43% 100г/8шт Папа Может Останкино</v>
          </cell>
          <cell r="B32">
            <v>56</v>
          </cell>
        </row>
        <row r="33">
          <cell r="A33" t="str">
            <v>Сыр ПАПА МОЖЕТ "Гауда Голд" 45 % 180 гр (10шт) Останкино</v>
          </cell>
          <cell r="B33">
            <v>134</v>
          </cell>
        </row>
        <row r="34">
          <cell r="A34" t="str">
            <v>Сыр ПАПА МОЖЕТ "Голландский традиционный" 45% 180 гр (10шт)  Останкино</v>
          </cell>
          <cell r="B34">
            <v>85</v>
          </cell>
        </row>
        <row r="35">
          <cell r="A35" t="str">
            <v>Сыр ПАПА МОЖЕТ "Министерский" 180 г фасованный массовая  Останкино</v>
          </cell>
          <cell r="B35">
            <v>36</v>
          </cell>
        </row>
        <row r="36">
          <cell r="A36" t="str">
            <v>Сыр ПАПА МОЖЕТ "Папин завтрак"  45% 180 г  Останкино</v>
          </cell>
          <cell r="B36">
            <v>146</v>
          </cell>
        </row>
        <row r="37">
          <cell r="A37" t="str">
            <v>Сыр ПАПА МОЖЕТ "Российский традиционный"45 % 180 г Останкино</v>
          </cell>
          <cell r="B37">
            <v>262</v>
          </cell>
        </row>
        <row r="38">
          <cell r="A38" t="str">
            <v>Сыр ПАПА МОЖЕТ "Тильзитер" фасованный массовая доля жира в сухом веществе 45%, 180г  Останкино</v>
          </cell>
          <cell r="B38">
            <v>170</v>
          </cell>
        </row>
        <row r="39">
          <cell r="A39" t="str">
            <v>Сыр плавленный Сливочный ж.45% 180г ТМ Папа может (16шт)  Останкино</v>
          </cell>
          <cell r="B39">
            <v>49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>
            <v>54.5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>
            <v>38.5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>
            <v>24.8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>
            <v>38.5</v>
          </cell>
        </row>
        <row r="44">
          <cell r="A44" t="str">
            <v>Сыр рассольный жирный Чечил 45% 100 гр  ОСТАНКИНО</v>
          </cell>
          <cell r="B44">
            <v>69</v>
          </cell>
        </row>
        <row r="45">
          <cell r="A45" t="str">
            <v>Сыр рассольный жирный Чечил копченый 43% 100 гр  Останкино</v>
          </cell>
          <cell r="B45">
            <v>86</v>
          </cell>
        </row>
        <row r="46">
          <cell r="A46" t="str">
            <v>Сыр Творожный с зеленью 60% Папа может 140 гр.  Останкино</v>
          </cell>
          <cell r="B46">
            <v>35</v>
          </cell>
        </row>
        <row r="47">
          <cell r="A47" t="str">
            <v>Сыр творожный Сливочный 140 гр.  Останкино</v>
          </cell>
          <cell r="B47">
            <v>69</v>
          </cell>
        </row>
        <row r="48">
          <cell r="A48" t="str">
            <v>Сыч/Прод Коровино Российский 50% 200г СЗМЖ  Останкино</v>
          </cell>
          <cell r="B48">
            <v>86</v>
          </cell>
        </row>
        <row r="49">
          <cell r="A49" t="str">
            <v>Сыч/Прод Коровино Российский Оригин 50% ВЕС (3,5 кг)  Останкино</v>
          </cell>
          <cell r="B49">
            <v>14</v>
          </cell>
        </row>
        <row r="50">
          <cell r="A50" t="str">
            <v>Сыч/Прод Коровино Российский Оригин 50% ВЕС НОВАЯ (3,5 кг)  ОСТАНКИНО</v>
          </cell>
          <cell r="B50">
            <v>37</v>
          </cell>
        </row>
        <row r="51">
          <cell r="A51" t="str">
            <v>Сыч/Прод Коровино Тильзитер 50% 200г СЗМЖ  ОСТАНКИНО</v>
          </cell>
          <cell r="B51">
            <v>50</v>
          </cell>
        </row>
        <row r="52">
          <cell r="A52" t="str">
            <v>Сыч/Прод Коровино Тильзитер Оригин 50% ВЕС (3,5 кг брус) СЗМЖ  Останкино</v>
          </cell>
          <cell r="B52">
            <v>41</v>
          </cell>
        </row>
        <row r="53">
          <cell r="A53" t="str">
            <v>АСП1 ЗПФ Мелитополь</v>
          </cell>
          <cell r="B53">
            <v>516</v>
          </cell>
        </row>
        <row r="54">
          <cell r="A54" t="str">
            <v>Останкино ООО</v>
          </cell>
          <cell r="B54">
            <v>516</v>
          </cell>
        </row>
        <row r="55">
          <cell r="A55" t="str">
            <v>Останкино Заморозка</v>
          </cell>
          <cell r="B55">
            <v>48</v>
          </cell>
        </row>
        <row r="56">
          <cell r="A56" t="str">
            <v>5579 БЛИНЧ.КРУГЛЫЕ С САД.ЯБЛОК.пл.1/420 зам. ОСТАНКИНО</v>
          </cell>
          <cell r="B56">
            <v>24</v>
          </cell>
        </row>
        <row r="57">
          <cell r="A57" t="str">
            <v>5897 БЛИНЧ.КРУГЛЫЕ С ГРУШЕЙ пл.1/420 зам.   ОСТАНКИНО</v>
          </cell>
          <cell r="B57">
            <v>24</v>
          </cell>
        </row>
        <row r="58">
          <cell r="A58" t="str">
            <v>Останкино СЫР</v>
          </cell>
          <cell r="B58">
            <v>468</v>
          </cell>
        </row>
        <row r="59">
          <cell r="A59" t="str">
            <v>Масло "Папа может" 82,5% 180гр  Останкино</v>
          </cell>
          <cell r="B59">
            <v>52</v>
          </cell>
        </row>
        <row r="60">
          <cell r="A60" t="str">
            <v>Масло сливочное 72,5 % 180 гр.(10 шт) СЛАВЯНА  Останкино</v>
          </cell>
          <cell r="B60">
            <v>416</v>
          </cell>
        </row>
        <row r="61">
          <cell r="A61" t="str">
            <v>АСП1 Мелитополь Останкино</v>
          </cell>
          <cell r="B61">
            <v>11221.572</v>
          </cell>
        </row>
        <row r="62">
          <cell r="A62" t="str">
            <v>Останкино ООО</v>
          </cell>
          <cell r="B62">
            <v>11221.572</v>
          </cell>
        </row>
        <row r="63">
          <cell r="A63" t="str">
            <v>ООО Останкино-Краснодар</v>
          </cell>
          <cell r="B63">
            <v>2627.4720000000002</v>
          </cell>
        </row>
        <row r="64">
          <cell r="A64" t="str">
            <v>3287 САЛЯМИ ИТАЛЬЯНСКАЯ с/к в/у ОСТАНКИНО</v>
          </cell>
          <cell r="B64">
            <v>37.1</v>
          </cell>
        </row>
        <row r="65">
          <cell r="A65" t="str">
            <v>4063 МЯСНАЯ Папа может вар п/о_Л   ОСТАНКИНО</v>
          </cell>
          <cell r="B65">
            <v>129.30000000000001</v>
          </cell>
        </row>
        <row r="66">
          <cell r="A66" t="str">
            <v>4117 ЭКСТРА Папа может с/к в/у_Л   ОСТАНКИНО</v>
          </cell>
          <cell r="B66">
            <v>33.1</v>
          </cell>
        </row>
        <row r="67">
          <cell r="A67" t="str">
            <v>4574 Мясная со шпиком Папа может вар п/о ОСТАНКИНО</v>
          </cell>
          <cell r="B67">
            <v>34.700000000000003</v>
          </cell>
        </row>
        <row r="68">
          <cell r="A68" t="str">
            <v>4813 ФИЛЕЙНАЯ Папа может вар п/о_Л   ОСТАНКИНО</v>
          </cell>
          <cell r="B68">
            <v>117.9</v>
          </cell>
        </row>
        <row r="69">
          <cell r="A69" t="str">
            <v>5452 ВЕТЧ.МЯСНАЯ Папа может п/о    ОСТАНКИНО</v>
          </cell>
          <cell r="B69">
            <v>32.299999999999997</v>
          </cell>
        </row>
        <row r="70">
          <cell r="A70" t="str">
            <v>5544 Сервелат Финский в/к в/у_45с НОВАЯ ОСТАНКИНО</v>
          </cell>
          <cell r="B70">
            <v>231.1</v>
          </cell>
        </row>
        <row r="71">
          <cell r="A71" t="str">
            <v>5708 ПОСОЛЬСКАЯ Папа может с/к в/у ОСТАНКИНО</v>
          </cell>
          <cell r="B71">
            <v>33.5</v>
          </cell>
        </row>
        <row r="72">
          <cell r="A72" t="str">
            <v>5851 ЭКСТРА Папа может вар п/о   ОСТАНКИНО</v>
          </cell>
          <cell r="B72">
            <v>162.78299999999999</v>
          </cell>
        </row>
        <row r="73">
          <cell r="A73" t="str">
            <v>6220 ГОВЯЖЬЯ папа может вар п/о  Останкино</v>
          </cell>
          <cell r="B73">
            <v>34.4</v>
          </cell>
        </row>
        <row r="74">
          <cell r="A74" t="str">
            <v>6303 Мясные Папа может сос п/о мгс 1,5*3  Останкино</v>
          </cell>
          <cell r="B74">
            <v>187.29900000000001</v>
          </cell>
        </row>
        <row r="75">
          <cell r="A75" t="str">
            <v>6498 МОЛОЧНАЯ Папа может вар п/о  ОСТАНКИНО</v>
          </cell>
          <cell r="B75">
            <v>33.5</v>
          </cell>
        </row>
        <row r="76">
          <cell r="A76" t="str">
            <v>6527 ШПИКАЧКИ СОЧНЫЕ ПМ сар б/о мгс 1*3 45с ОСТАНКИНО</v>
          </cell>
          <cell r="B76">
            <v>85</v>
          </cell>
        </row>
        <row r="77">
          <cell r="A77" t="str">
            <v>6550 МЯСНЫЕ Папа может сар б/о мгс 1*3 О 45с  Останкино</v>
          </cell>
          <cell r="B77">
            <v>152.05199999999999</v>
          </cell>
        </row>
        <row r="78">
          <cell r="A78" t="str">
            <v>6608 С ГОВЯДИНОЙ ОРИГИН. сар б/о мгс 1*3_45с  ОСТАНКИНО</v>
          </cell>
          <cell r="B78">
            <v>77</v>
          </cell>
        </row>
        <row r="79">
          <cell r="A79" t="str">
            <v>6661 СОЧНЫЙ ГРИЛЬ ПМ сос п/о мгс 1,5*4_Маяк Останкино</v>
          </cell>
          <cell r="B79">
            <v>120</v>
          </cell>
        </row>
        <row r="80">
          <cell r="A80" t="str">
            <v>6767 РУБЛЕНЫЕ сос ц/о мгс 1*4  Останкино</v>
          </cell>
          <cell r="B80">
            <v>8.0340000000000007</v>
          </cell>
        </row>
        <row r="81">
          <cell r="A81" t="str">
            <v>6829  МОЛОЧНЫЕ КЛАССИЧЕСКИЕ сос п/о мгс 2*4 С  Останккино</v>
          </cell>
          <cell r="B81">
            <v>424.66399999999999</v>
          </cell>
        </row>
        <row r="82">
          <cell r="A82" t="str">
            <v>7001 КЛАССИЧЕСКИЕ Папа может сар б/о мгс 1*3  Останкино</v>
          </cell>
          <cell r="B82">
            <v>77</v>
          </cell>
        </row>
        <row r="83">
          <cell r="A83" t="str">
            <v>7070 СОЧНЫЕ ПМ сос п/о 1,5*4_А_50с  Останкино</v>
          </cell>
          <cell r="B83">
            <v>90</v>
          </cell>
        </row>
        <row r="84">
          <cell r="A84" t="str">
            <v>7075 МОЛОЧ.ПРЕМИУМ ПМ сос п/о мгс 1,5*4_О_50с  Останкино</v>
          </cell>
          <cell r="B84">
            <v>54</v>
          </cell>
        </row>
        <row r="85">
          <cell r="A85" t="str">
            <v>7083 СЛИВОЧНЫЕ ПМ сос п/о мгс 1.5*4_А_50с  ОСТАНКИНО</v>
          </cell>
          <cell r="B85">
            <v>163</v>
          </cell>
        </row>
        <row r="86">
          <cell r="A86" t="str">
            <v>7131 БАЛЫКОВАЯ в/к в/у 0,84кг  Останкино</v>
          </cell>
          <cell r="B86">
            <v>11.54</v>
          </cell>
        </row>
        <row r="87">
          <cell r="A87" t="str">
            <v>7157 СЕРВЕЛАТ ЗЕРНИСТЫЙ ПМ в/к в/у_50с  Останкино</v>
          </cell>
          <cell r="B87">
            <v>74.099999999999994</v>
          </cell>
        </row>
        <row r="88">
          <cell r="A88" t="str">
            <v>7166 СЕРВЕЛАТ ОХОТНИЧИЙ ПМ в/к в/у_50с  Останкино</v>
          </cell>
          <cell r="B88">
            <v>224.1</v>
          </cell>
        </row>
        <row r="89">
          <cell r="A89" t="str">
            <v>ООО Останкино-Краснодар (ШТ)</v>
          </cell>
          <cell r="B89">
            <v>8566.2999999999993</v>
          </cell>
        </row>
        <row r="90">
          <cell r="A90" t="str">
            <v>3215 ВЕТЧ.МЯСНАЯ Папа может п/о 0.4кг 8шт.    ОСТАНКИНО</v>
          </cell>
          <cell r="B90">
            <v>204</v>
          </cell>
        </row>
        <row r="91">
          <cell r="A91" t="str">
            <v>3986 Ароматная с/к в/у 1/250 ОСТАНКИНО</v>
          </cell>
          <cell r="B91">
            <v>50</v>
          </cell>
        </row>
        <row r="92">
          <cell r="A92" t="str">
            <v>4993 САЛЯМИ ИТАЛЬЯНСКАЯ с/к в/у 1/250*8_120c ОСТАНКИНО</v>
          </cell>
          <cell r="B92">
            <v>155</v>
          </cell>
        </row>
        <row r="93">
          <cell r="A93" t="str">
            <v>5483 ЭКСТРА Папа может с/к в/у 1/250 8шт.   ОСТАНКИНО</v>
          </cell>
          <cell r="B93">
            <v>192</v>
          </cell>
        </row>
        <row r="94">
          <cell r="A94" t="str">
            <v>5495 ВЕТЧ.С ИНДЕЙКОЙ Папа может п/о 400*6  Останкино</v>
          </cell>
          <cell r="B94">
            <v>104</v>
          </cell>
        </row>
        <row r="95">
          <cell r="A95" t="str">
            <v>5679 САЛЯМИ ИТАЛЬЯНСКАЯ с/к в/у 1/150_60с ОСТАНКИНО</v>
          </cell>
          <cell r="B95">
            <v>17</v>
          </cell>
        </row>
        <row r="96">
          <cell r="A96" t="str">
            <v>5819 Сосиски Папа может 400г Мясные  ОСТАНКИНО</v>
          </cell>
          <cell r="B96">
            <v>140</v>
          </cell>
        </row>
        <row r="97">
          <cell r="A97" t="str">
            <v>5931 ОХОТНИЧЬЯ Папа может с/к в/у 1/220 8шт.   ОСТАНКИНО</v>
          </cell>
          <cell r="B97">
            <v>196</v>
          </cell>
        </row>
        <row r="98">
          <cell r="A98" t="str">
            <v>6208 ДЫМОВИЦА ИЗ ЛОПАТКИ ПМ к/в с/н в/у 1/150  Останкино</v>
          </cell>
          <cell r="B98">
            <v>55</v>
          </cell>
        </row>
        <row r="99">
          <cell r="A99" t="str">
            <v>6221 НЕОПОЛИТАНСКИЙ ДУЭТ с/к с/н мгс 1/90  Останкино</v>
          </cell>
          <cell r="B99">
            <v>76</v>
          </cell>
        </row>
        <row r="100">
          <cell r="A100" t="str">
            <v>6228 МЯСНОЕ АССОРТИ к/з с/н мгс 1/90 10шт  Останкино</v>
          </cell>
          <cell r="B100">
            <v>50</v>
          </cell>
        </row>
        <row r="101">
          <cell r="A101" t="str">
            <v>6268 Колбаса Папа может 400г Говяжья вар п/о  ОСТАНКИНО</v>
          </cell>
          <cell r="B101">
            <v>15</v>
          </cell>
        </row>
        <row r="102">
          <cell r="A102" t="str">
            <v>6279 КОРЕЙКА ПО-ОСТ.к/в в/с с/н в/у 1/150_45с  Останкино</v>
          </cell>
          <cell r="B102">
            <v>24</v>
          </cell>
        </row>
        <row r="103">
          <cell r="A103" t="str">
            <v>6324 ДОКТОРСКАЯ ГОСТ вар п/о 0,4кг 8шт  Останкино</v>
          </cell>
          <cell r="B103">
            <v>2</v>
          </cell>
        </row>
        <row r="104">
          <cell r="A104" t="str">
            <v>6325 ДОКТОРСКАЯ ПРЕМИУМ вар п/о 0.4кг 8шт.  ОСТАНКИНО</v>
          </cell>
          <cell r="B104">
            <v>95</v>
          </cell>
        </row>
        <row r="105">
          <cell r="A105" t="str">
            <v>6333 МЯСНАЯ Папа может вар п/о 0.4кг 8шт.  ОСТАНКИНО</v>
          </cell>
          <cell r="B105">
            <v>313</v>
          </cell>
        </row>
        <row r="106">
          <cell r="A106" t="str">
            <v>6353 ЭКСТРА Папа может вар п/о 0.4кг 8шт.  ОСТАНКИНО</v>
          </cell>
          <cell r="B106">
            <v>238</v>
          </cell>
        </row>
        <row r="107">
          <cell r="A107" t="str">
            <v>6392 ФИЛЕЙНАЯ Папа может вар п/о 0,4кг  ОСТАНКИНО</v>
          </cell>
          <cell r="B107">
            <v>319</v>
          </cell>
        </row>
        <row r="108">
          <cell r="A108" t="str">
            <v>6448 Свинина Останкино 100г Мадера с/к в/у нарезка  ОСТАНКИНО</v>
          </cell>
          <cell r="B108">
            <v>11</v>
          </cell>
        </row>
        <row r="109">
          <cell r="A109" t="str">
            <v>6453 ЭКСТРА Папа может с/к с/н в/у 1/100 14шт.   ОСТАНКИНО</v>
          </cell>
          <cell r="B109">
            <v>122</v>
          </cell>
        </row>
        <row r="110">
          <cell r="A110" t="str">
            <v>6454 АРОМАТНАЯ с/к с/н в/у 1/100 10шт.  ОСТАНКИНО</v>
          </cell>
          <cell r="B110">
            <v>197</v>
          </cell>
        </row>
        <row r="111">
          <cell r="A111" t="str">
            <v>6459 СЕРВЕЛАТ ШВЕЙЦАРСК. в/к с/н в/у 1/100*10  Останкино</v>
          </cell>
          <cell r="B111">
            <v>11</v>
          </cell>
        </row>
        <row r="112">
          <cell r="A112" t="str">
            <v>6475 Сосиски Папа может 400г С сыром  ОСТАНКИНО</v>
          </cell>
          <cell r="B112">
            <v>161</v>
          </cell>
        </row>
        <row r="113">
          <cell r="A113" t="str">
            <v>6495 ВЕТЧ.МРАМОРНАЯ в/у срез 0,3кг 6шт_45с  Останкино</v>
          </cell>
          <cell r="B113">
            <v>17</v>
          </cell>
        </row>
        <row r="114">
          <cell r="A114" t="str">
            <v>6602 БАВАРСКИЕ ПМ сос ц/о мгс 0,35кг 8шт  Останкино</v>
          </cell>
          <cell r="B114">
            <v>39</v>
          </cell>
        </row>
        <row r="115">
          <cell r="A115" t="str">
            <v>6609 С ГОВЯДИНОЙ ПМ сар б/о мгс 0,4 кг_45с</v>
          </cell>
          <cell r="B115">
            <v>1</v>
          </cell>
        </row>
        <row r="116">
          <cell r="A116" t="str">
            <v>6616 МОЛОЧНЫЕ КЛАССИЧЕСКИЕ сос п/о в/у 0,3 кг  Останкино</v>
          </cell>
          <cell r="B116">
            <v>368</v>
          </cell>
        </row>
        <row r="117">
          <cell r="A117" t="str">
            <v>6697 СЕРВЕЛАТ ФИНСКИЙ ПМ в/к в/у 0,35кг 8шт  ОСТАНКИНО</v>
          </cell>
          <cell r="B117">
            <v>269</v>
          </cell>
        </row>
        <row r="118">
          <cell r="A118" t="str">
            <v>6713 СОЧНЫЙ ГРИЛЬ ПМ сос п/о мгс 0,41кг 8 шт.  ОСТАНКИНО</v>
          </cell>
          <cell r="B118">
            <v>256</v>
          </cell>
        </row>
        <row r="119">
          <cell r="A119" t="str">
            <v>6724 МОЛОЧНЫЕ ПМ сос п/о мгс 0,41кг 10шт  Останкино</v>
          </cell>
          <cell r="B119">
            <v>40</v>
          </cell>
        </row>
        <row r="120">
          <cell r="A120" t="str">
            <v>6759 МОЛОЧНЫЕ ГОСТ сос ц/о мгс 0,4кг 7 шт  Останкино</v>
          </cell>
          <cell r="B120">
            <v>2</v>
          </cell>
        </row>
        <row r="121">
          <cell r="A121" t="str">
            <v>6765 РУБЛЕНЫЕ сос ц/о мгс 0,36кг 6шт  Останкино</v>
          </cell>
          <cell r="B121">
            <v>93</v>
          </cell>
        </row>
        <row r="122">
          <cell r="A122" t="str">
            <v>6787 СЕРВЕЛАТ КРЕМЛЕВСКИЙ в/к в/у 0,33кг 8шт  Останкино</v>
          </cell>
          <cell r="B122">
            <v>9</v>
          </cell>
        </row>
        <row r="123">
          <cell r="A123" t="str">
            <v>6791 СЕРВЕЛАТ ПРЕМИУМ в/к в/у 0,33кг 8шт  Останкино</v>
          </cell>
          <cell r="B123">
            <v>3</v>
          </cell>
        </row>
        <row r="124">
          <cell r="A124" t="str">
            <v>6793 БАЛЫКОВАЯ в/к в/у 0,33кг 8шт  Останкино</v>
          </cell>
          <cell r="B124">
            <v>67</v>
          </cell>
        </row>
        <row r="125">
          <cell r="A125" t="str">
            <v>6797 С ИНДЕЙКОЙ Папа может вар п/о 0,4кг 8шт. ОСТАНКИНО</v>
          </cell>
          <cell r="B125">
            <v>75</v>
          </cell>
        </row>
        <row r="126">
          <cell r="A126" t="str">
            <v>6807 СЕРВЕЛАТ ЕВРОПЕЙСКИЙ в/к в/у 0,33кг 8шт  Останкино</v>
          </cell>
          <cell r="B126">
            <v>24</v>
          </cell>
        </row>
        <row r="127">
          <cell r="A127" t="str">
            <v>6834 ПОСОЛЬСКАЯ с/к с/н в/у 1/100 10шт  Останкино</v>
          </cell>
          <cell r="B127">
            <v>32</v>
          </cell>
        </row>
        <row r="128">
          <cell r="A128" t="str">
            <v>6837 ФИЛЕЙНЫЕ Папа Может сос ц/о мгс 0,4кг  Останкино</v>
          </cell>
          <cell r="B128">
            <v>39</v>
          </cell>
        </row>
        <row r="129">
          <cell r="A129" t="str">
            <v>6967 БУРГУНДИЯ Папа может с/к в/у 1/250 8шт  Останкино</v>
          </cell>
          <cell r="B129">
            <v>5</v>
          </cell>
        </row>
        <row r="130">
          <cell r="A130" t="str">
            <v>7059 ШПИКАЧКИ СОЧНЫЕ С БЕК. п/о мгс 0,3кг 60с ОСТАНКИНО</v>
          </cell>
          <cell r="B130">
            <v>73</v>
          </cell>
        </row>
        <row r="131">
          <cell r="A131" t="str">
            <v>7066 СОЧНЫЕ ПМ сос п/о мгс 0,41кг 10шт 50с  Останкино</v>
          </cell>
          <cell r="B131">
            <v>452</v>
          </cell>
        </row>
        <row r="132">
          <cell r="A132" t="str">
            <v>7073 МОЛОЧ.ПРЕМИУМ ПМ сос п/о в/у 1/350_50с  Останкино</v>
          </cell>
          <cell r="B132">
            <v>24</v>
          </cell>
        </row>
        <row r="133">
          <cell r="A133" t="str">
            <v>7077 МЯСНЫЕ С ГОВЯД. ПМ сос п/о мгс 0,4кг_50с  Останкино</v>
          </cell>
          <cell r="B133">
            <v>32</v>
          </cell>
        </row>
        <row r="134">
          <cell r="A134" t="str">
            <v>7080 СЛИВОЧНЫЕ ПМ сос п/о мгс 0,41кг 10шт 50с  Останкино</v>
          </cell>
          <cell r="B134">
            <v>502</v>
          </cell>
        </row>
        <row r="135">
          <cell r="A135" t="str">
            <v>7090 СВИНИНА ПО-ДОМ.к/в мл/к в/у 0,3кг_50с  Останкино</v>
          </cell>
          <cell r="B135">
            <v>98</v>
          </cell>
        </row>
        <row r="136">
          <cell r="A136" t="str">
            <v>7092 БЕКОН Папа может с/к с/н в/у 1/140_50с  Останкино</v>
          </cell>
          <cell r="B136">
            <v>25</v>
          </cell>
        </row>
        <row r="137">
          <cell r="A137" t="str">
            <v>7103 БЕКОН Останкино с/к с/н в/у 1/180_50с  Останкино</v>
          </cell>
          <cell r="B137">
            <v>163</v>
          </cell>
        </row>
        <row r="138">
          <cell r="A138" t="str">
            <v>7147 САЛЬЧИЧОН Останкино с/к в/у 1/220 8 шт  Останкино</v>
          </cell>
          <cell r="B138">
            <v>44</v>
          </cell>
        </row>
        <row r="139">
          <cell r="A139" t="str">
            <v>7154 СЕРВЕЛАТ ЗЕРНИСТЫЙ ПМ в/к в/у 0,35кг_50с  Останкино</v>
          </cell>
          <cell r="B139">
            <v>368</v>
          </cell>
        </row>
        <row r="140">
          <cell r="A140" t="str">
            <v>7169 СЕРВЕЛАТ ОХОТНИЧИЙ ПМ в/к в/у 0,35кг_50с  Останкино</v>
          </cell>
          <cell r="B140">
            <v>491</v>
          </cell>
        </row>
        <row r="141">
          <cell r="A141" t="str">
            <v>7187 ГРУДИНКА ПРЕМИУМ к/в мл/к в/у 0,3кг_50с  Останкино</v>
          </cell>
          <cell r="B141">
            <v>98</v>
          </cell>
        </row>
        <row r="142">
          <cell r="A142" t="str">
            <v>7231 КЛАССИЧЕСКАЯ ПМ вар п/о 0,3кг 8 шт_209к  Останкино</v>
          </cell>
          <cell r="B142">
            <v>49</v>
          </cell>
        </row>
        <row r="143">
          <cell r="A143" t="str">
            <v>7232 БОЯNСКАЯ ПМ п/к в/у 0,28кг 8шт_209к  Останкино</v>
          </cell>
          <cell r="B143">
            <v>363</v>
          </cell>
        </row>
        <row r="144">
          <cell r="A144" t="str">
            <v>7236 СЕРВЕЛАТ КАРЕЛЬСКИЙ в/к в/у 0,28кг_209к  Останкино</v>
          </cell>
          <cell r="B144">
            <v>304</v>
          </cell>
        </row>
        <row r="145">
          <cell r="A145" t="str">
            <v>7237 СЕРВЕЛАТ ШВАРЦЕР ПМ в/к в/у 0,28кг_209к  Останкино</v>
          </cell>
          <cell r="B145">
            <v>102</v>
          </cell>
        </row>
        <row r="146">
          <cell r="A146" t="str">
            <v>7241 САЛЯМИ Папа может п/к в/у 0,28кг ОСТАНКИНО</v>
          </cell>
          <cell r="B146">
            <v>272</v>
          </cell>
        </row>
        <row r="147">
          <cell r="A147" t="str">
            <v>7255 МЯСНЫЕ С ГОВЯД.ПМ сос п/о мгс 0.4кг 6шт.  ОСТАНКИНО</v>
          </cell>
          <cell r="B147">
            <v>285</v>
          </cell>
        </row>
        <row r="148">
          <cell r="A148" t="str">
            <v>7271 МЯСНЫЕ С ГОВЯДИНОЙ ПМ сос п/о мгс 1.5*4  ОСТАНКИНО</v>
          </cell>
          <cell r="B148">
            <v>22.5</v>
          </cell>
        </row>
        <row r="149">
          <cell r="A149" t="str">
            <v>7276 СЛИВОЧНЫЕ ПМ сос п/о мгс 0,3кг 7шт  Останкино</v>
          </cell>
          <cell r="B149">
            <v>12</v>
          </cell>
        </row>
        <row r="150">
          <cell r="A150" t="str">
            <v>7284 ДЛЯ ДЕТЕЙ сос п/о мгс 0,33кг 6шт  Останкино</v>
          </cell>
          <cell r="B150">
            <v>21</v>
          </cell>
        </row>
        <row r="151">
          <cell r="A151" t="str">
            <v>7288 БАЛЫК с/к с/н в/у 1/100 10шт ОСТАНКИНО</v>
          </cell>
          <cell r="B151">
            <v>36</v>
          </cell>
        </row>
        <row r="152">
          <cell r="A152" t="str">
            <v>7332 БОЯРСКАЯ ПМ п/к в/у 0,28кг ОСТАНКИНО</v>
          </cell>
          <cell r="B152">
            <v>45</v>
          </cell>
        </row>
        <row r="153">
          <cell r="A153" t="str">
            <v>7333 СЕРВЕЛАТ ОХОТНИЧИЙ ПМ в/к в/у 0,28кг ОСТАНКИНО</v>
          </cell>
          <cell r="B153">
            <v>6</v>
          </cell>
        </row>
        <row r="154">
          <cell r="A154" t="str">
            <v>7343 СЕЙЧАС СЕЗОН ПМ вар п/о 0,4кг ОСТАНКИНО</v>
          </cell>
          <cell r="B154">
            <v>14</v>
          </cell>
        </row>
        <row r="155">
          <cell r="A155" t="str">
            <v>7371 БРЕСТСКИЕ сос п/о в/у 0,3кг 8шт. ОСТАНКИНО</v>
          </cell>
          <cell r="B155">
            <v>98</v>
          </cell>
        </row>
        <row r="156">
          <cell r="A156" t="str">
            <v>7382  САЛЯМИ МЕЛКОЗЕРНЕНАЯ с/к в/у1/120 8шт.  ОСТАНКИНО</v>
          </cell>
          <cell r="B156">
            <v>221.8</v>
          </cell>
        </row>
        <row r="157">
          <cell r="A157" t="str">
            <v>7461 ДЛЯ ДЕТЕЙ Папа Может сос п/о мгс 0,33кг ОСТАНКИНО</v>
          </cell>
          <cell r="B157">
            <v>109</v>
          </cell>
        </row>
        <row r="158">
          <cell r="A158" t="str">
            <v>7489 СЫРРРВЕЛАТ Папа Может в/к в/у 0,28кг 8шт. ОСТАНКИНО</v>
          </cell>
          <cell r="B158">
            <v>10</v>
          </cell>
        </row>
        <row r="159">
          <cell r="A159" t="str">
            <v>7523 ГОВЯЖЬЯ Папа Может вар п/о 0,4кг 6шт. ОСТАНКИНО</v>
          </cell>
          <cell r="B159">
            <v>4</v>
          </cell>
        </row>
        <row r="160">
          <cell r="A160" t="str">
            <v>7539 ДОКТОРСКАЯ ГОСТ вар п/о 0,35кг ОСТАНКИНО</v>
          </cell>
          <cell r="B160">
            <v>61</v>
          </cell>
        </row>
        <row r="161">
          <cell r="A161" t="str">
            <v>7603 БАЛЫКОВАЯ в/к в/у 0.33кг 8шт. ОСТАНКИНО</v>
          </cell>
          <cell r="B161">
            <v>61</v>
          </cell>
        </row>
        <row r="162">
          <cell r="A162" t="str">
            <v>БОНУС_6087 СОЧНЫЕ ПМ сос п/о мгс 0,41кг 10шт.  ОСТАНКИНО</v>
          </cell>
          <cell r="B162">
            <v>14</v>
          </cell>
        </row>
        <row r="163">
          <cell r="A163" t="str">
            <v>Останкино КОРОВИНО (ВЕС)</v>
          </cell>
          <cell r="B163">
            <v>2.8</v>
          </cell>
        </row>
        <row r="164">
          <cell r="A164" t="str">
            <v>6866 ВЕТЧ.НЕЖНАЯ Коровино п/о_Маяк  Останкино</v>
          </cell>
          <cell r="B164">
            <v>2.8</v>
          </cell>
        </row>
        <row r="165">
          <cell r="A165" t="str">
            <v>Останкино КОРОВИНО (ШТ)</v>
          </cell>
          <cell r="B165">
            <v>25</v>
          </cell>
        </row>
        <row r="166">
          <cell r="A166" t="str">
            <v>7149 БАЛЫКОВАЯ Коровино п/к в/у 0,84кг_50с  Останкино</v>
          </cell>
          <cell r="B166">
            <v>25</v>
          </cell>
        </row>
        <row r="167">
          <cell r="A167" t="str">
            <v>Итого</v>
          </cell>
          <cell r="B167">
            <v>82951.240000000005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A55"/>
  <sheetViews>
    <sheetView tabSelected="1" workbookViewId="0">
      <pane xSplit="2" ySplit="10" topLeftCell="C33" activePane="bottomRight" state="frozen"/>
      <selection pane="topRight"/>
      <selection pane="bottomLeft"/>
      <selection pane="bottomRight" activeCell="R50" sqref="R50"/>
    </sheetView>
  </sheetViews>
  <sheetFormatPr defaultColWidth="10.42578125" defaultRowHeight="11.4" customHeight="1" outlineLevelRow="1"/>
  <cols>
    <col min="1" max="1" width="58.42578125" style="1" customWidth="1"/>
    <col min="2" max="2" width="5.7109375" style="1" customWidth="1"/>
    <col min="3" max="4" width="9.140625" style="1" customWidth="1"/>
    <col min="5" max="5" width="8.7109375" style="1" customWidth="1"/>
    <col min="6" max="6" width="11.28515625" style="1" customWidth="1"/>
    <col min="7" max="27" width="8.42578125" style="2" customWidth="1"/>
    <col min="28" max="16384" width="10.42578125" style="2"/>
  </cols>
  <sheetData>
    <row r="1" spans="1:53" s="1" customFormat="1" ht="9.9" customHeight="1"/>
    <row r="2" spans="1:53" ht="24.9" customHeight="1">
      <c r="A2" s="3" t="s">
        <v>0</v>
      </c>
    </row>
    <row r="3" spans="1:53" s="1" customFormat="1" ht="9.9" customHeight="1"/>
    <row r="4" spans="1:53" ht="12.9" customHeight="1" outlineLevel="1">
      <c r="A4" s="4" t="s">
        <v>1</v>
      </c>
      <c r="B4" s="4"/>
      <c r="C4" s="4"/>
    </row>
    <row r="5" spans="1:53" ht="12.9" customHeight="1" outlineLevel="1">
      <c r="B5" s="4"/>
      <c r="C5" s="4"/>
    </row>
    <row r="6" spans="1:53" ht="26.1" customHeight="1" outlineLevel="1">
      <c r="A6" s="5" t="s">
        <v>2</v>
      </c>
      <c r="B6" s="4"/>
      <c r="C6" s="4"/>
      <c r="D6" s="4"/>
      <c r="E6" s="4"/>
      <c r="F6" s="4"/>
    </row>
    <row r="7" spans="1:53" s="1" customFormat="1" ht="9.9" customHeight="1"/>
    <row r="8" spans="1:53" ht="12.9" customHeight="1">
      <c r="A8" s="6" t="s">
        <v>3</v>
      </c>
      <c r="B8" s="6" t="s">
        <v>4</v>
      </c>
      <c r="C8" s="7" t="s">
        <v>5</v>
      </c>
      <c r="D8" s="7" t="s">
        <v>6</v>
      </c>
      <c r="E8" s="7" t="s">
        <v>7</v>
      </c>
      <c r="F8" s="7" t="s">
        <v>8</v>
      </c>
      <c r="G8" s="8" t="s">
        <v>9</v>
      </c>
      <c r="H8" s="8" t="s">
        <v>10</v>
      </c>
      <c r="I8" s="9" t="s">
        <v>11</v>
      </c>
      <c r="J8" s="10" t="s">
        <v>12</v>
      </c>
      <c r="K8" s="10" t="s">
        <v>13</v>
      </c>
      <c r="L8" s="10" t="s">
        <v>14</v>
      </c>
      <c r="M8" s="10" t="s">
        <v>15</v>
      </c>
      <c r="N8" s="10" t="s">
        <v>16</v>
      </c>
      <c r="O8" s="10" t="s">
        <v>17</v>
      </c>
      <c r="P8" s="10" t="s">
        <v>18</v>
      </c>
      <c r="Q8" s="11" t="s">
        <v>19</v>
      </c>
      <c r="R8" s="12" t="s">
        <v>20</v>
      </c>
      <c r="S8" s="12" t="s">
        <v>21</v>
      </c>
      <c r="T8" s="10" t="s">
        <v>22</v>
      </c>
      <c r="U8" s="10" t="s">
        <v>23</v>
      </c>
      <c r="V8" s="10" t="s">
        <v>24</v>
      </c>
      <c r="W8" s="10" t="s">
        <v>24</v>
      </c>
      <c r="X8" s="10" t="s">
        <v>24</v>
      </c>
      <c r="Y8" s="10" t="s">
        <v>24</v>
      </c>
      <c r="Z8" s="10" t="s">
        <v>25</v>
      </c>
      <c r="AA8" s="10" t="s">
        <v>26</v>
      </c>
    </row>
    <row r="9" spans="1:53" ht="12.9" customHeight="1">
      <c r="A9" s="6"/>
      <c r="B9" s="6"/>
      <c r="C9" s="7"/>
      <c r="D9" s="7"/>
      <c r="E9" s="7"/>
      <c r="F9" s="7"/>
      <c r="G9" s="13"/>
      <c r="H9" s="13"/>
      <c r="I9" s="14"/>
      <c r="J9" s="13"/>
      <c r="K9" s="13"/>
      <c r="L9" s="13"/>
      <c r="M9" s="13"/>
      <c r="N9" s="13"/>
      <c r="O9" s="13" t="s">
        <v>27</v>
      </c>
      <c r="P9" s="13" t="s">
        <v>27</v>
      </c>
      <c r="Q9" s="13" t="s">
        <v>28</v>
      </c>
      <c r="R9" s="13" t="s">
        <v>29</v>
      </c>
      <c r="S9" s="13"/>
      <c r="T9" s="13"/>
      <c r="U9" s="13"/>
      <c r="V9" s="15" t="s">
        <v>30</v>
      </c>
      <c r="W9" s="15" t="s">
        <v>31</v>
      </c>
      <c r="X9" s="15" t="s">
        <v>32</v>
      </c>
      <c r="Y9" s="15" t="s">
        <v>33</v>
      </c>
      <c r="Z9" s="13"/>
      <c r="AA9" s="13" t="s">
        <v>28</v>
      </c>
    </row>
    <row r="10" spans="1:53" ht="12.9" customHeight="1">
      <c r="A10" s="6"/>
      <c r="B10" s="6"/>
      <c r="C10" s="16">
        <f>SUM(C11:C347)</f>
        <v>5350.9359999999997</v>
      </c>
      <c r="D10" s="16">
        <f t="shared" ref="D10:F10" si="0">SUM(D11:D347)</f>
        <v>13693.227999999999</v>
      </c>
      <c r="E10" s="16">
        <f t="shared" si="0"/>
        <v>2118.8719999999998</v>
      </c>
      <c r="F10" s="16">
        <f t="shared" si="0"/>
        <v>15634.42</v>
      </c>
      <c r="G10" s="13"/>
      <c r="H10" s="13"/>
      <c r="I10" s="14"/>
      <c r="J10" s="13"/>
      <c r="K10" s="16">
        <f>SUM(K11:K347)</f>
        <v>2494.8000000000002</v>
      </c>
      <c r="L10" s="16">
        <f>SUM(L11:L347)</f>
        <v>-375.928</v>
      </c>
      <c r="M10" s="13"/>
      <c r="N10" s="16">
        <f>SUM(N11:N347)</f>
        <v>0</v>
      </c>
      <c r="O10" s="16">
        <f>SUM(O11:O347)</f>
        <v>2990</v>
      </c>
      <c r="P10" s="16">
        <f>SUM(P11:P347)</f>
        <v>423.77440000000001</v>
      </c>
      <c r="Q10" s="16">
        <f>SUM(Q11:Q347)</f>
        <v>1127.798</v>
      </c>
      <c r="R10" s="16">
        <f>SUM(R11:R347)</f>
        <v>673</v>
      </c>
      <c r="S10" s="13"/>
      <c r="T10" s="13"/>
      <c r="U10" s="13"/>
      <c r="V10" s="16">
        <f>SUM(V11:V347)</f>
        <v>544.43460000000005</v>
      </c>
      <c r="W10" s="16">
        <f>SUM(W11:W347)</f>
        <v>790.17920000000004</v>
      </c>
      <c r="X10" s="16">
        <f>SUM(X11:X347)</f>
        <v>822.29420000000005</v>
      </c>
      <c r="Y10" s="16">
        <f>SUM(Y11:Y347)</f>
        <v>732.92660000000001</v>
      </c>
      <c r="Z10" s="13"/>
      <c r="AA10" s="16">
        <f>SUM(AA11:AA347)</f>
        <v>718.798</v>
      </c>
    </row>
    <row r="11" spans="1:53" ht="11.1" customHeight="1">
      <c r="A11" s="17" t="s">
        <v>34</v>
      </c>
      <c r="B11" s="17" t="s">
        <v>35</v>
      </c>
      <c r="C11" s="18">
        <v>471.18200000000002</v>
      </c>
      <c r="D11" s="18">
        <v>6.2320000000000002</v>
      </c>
      <c r="E11" s="18">
        <v>61.95</v>
      </c>
      <c r="F11" s="18">
        <v>210.54400000000001</v>
      </c>
      <c r="G11" s="19">
        <f>VLOOKUP(A:A,[1]TDSheet!$A:$G,7,0)</f>
        <v>1</v>
      </c>
      <c r="H11" s="19">
        <f>VLOOKUP(A:A,[1]TDSheet!$A:$H,8,0)</f>
        <v>0</v>
      </c>
      <c r="I11" s="19">
        <f>VLOOKUP(A:A,[1]TDSheet!$A:$I,9,0)</f>
        <v>8783323</v>
      </c>
      <c r="J11" s="19"/>
      <c r="K11" s="19">
        <f>VLOOKUP(A:A,[2]TDSheet!$A:$B,2,0)</f>
        <v>61.5</v>
      </c>
      <c r="L11" s="19">
        <f>E11-K11</f>
        <v>0.45000000000000301</v>
      </c>
      <c r="M11" s="19"/>
      <c r="N11" s="19"/>
      <c r="O11" s="19">
        <f>VLOOKUP(A:A,[1]TDSheet!$A:$R,18,0)</f>
        <v>0</v>
      </c>
      <c r="P11" s="19">
        <f>E11/5</f>
        <v>12.39</v>
      </c>
      <c r="Q11" s="20">
        <f>P11*20-F11-O11</f>
        <v>37.256</v>
      </c>
      <c r="R11" s="20"/>
      <c r="S11" s="19"/>
      <c r="T11" s="19">
        <f>(F11+O11+Q11)/P11</f>
        <v>20</v>
      </c>
      <c r="U11" s="19">
        <f>F11/P11</f>
        <v>16.9930589184826</v>
      </c>
      <c r="V11" s="19">
        <f>VLOOKUP(A:A,[1]TDSheet!$A:$X,24,0)</f>
        <v>11.8668</v>
      </c>
      <c r="W11" s="19">
        <f>VLOOKUP(A:A,[1]TDSheet!$A:$Y,25,0)</f>
        <v>17.243600000000001</v>
      </c>
      <c r="X11" s="19">
        <f>VLOOKUP(A:A,[1]TDSheet!$A:$Z,26,0)</f>
        <v>10.07</v>
      </c>
      <c r="Y11" s="19">
        <f>VLOOKUP(A:A,[1]TDSheet!$A:$Q,17,0)</f>
        <v>10.9512</v>
      </c>
      <c r="Z11" s="19" t="str">
        <f>VLOOKUP(A:A,[1]TDSheet!$A:$AA,27,0)</f>
        <v>ГолХол</v>
      </c>
      <c r="AA11" s="19">
        <f>Q11*G11</f>
        <v>37.256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</row>
    <row r="12" spans="1:53" ht="21.9" customHeight="1">
      <c r="A12" s="17" t="s">
        <v>36</v>
      </c>
      <c r="B12" s="17" t="s">
        <v>35</v>
      </c>
      <c r="C12" s="18">
        <v>91.486000000000004</v>
      </c>
      <c r="D12" s="18">
        <v>57.34</v>
      </c>
      <c r="E12" s="18">
        <v>81.941999999999993</v>
      </c>
      <c r="F12" s="18">
        <v>54.36</v>
      </c>
      <c r="G12" s="19">
        <f>VLOOKUP(A:A,[1]TDSheet!$A:$G,7,0)</f>
        <v>1</v>
      </c>
      <c r="H12" s="19" t="e">
        <f>VLOOKUP(A:A,[1]TDSheet!$A:$H,8,0)</f>
        <v>#N/A</v>
      </c>
      <c r="I12" s="19" t="e">
        <f>VLOOKUP(A:A,[1]TDSheet!$A:$I,9,0)</f>
        <v>#N/A</v>
      </c>
      <c r="J12" s="19"/>
      <c r="K12" s="19">
        <v>0</v>
      </c>
      <c r="L12" s="19">
        <f t="shared" ref="L12:L55" si="1">E12-K12</f>
        <v>81.941999999999993</v>
      </c>
      <c r="M12" s="19"/>
      <c r="N12" s="19"/>
      <c r="O12" s="19">
        <f>VLOOKUP(A:A,[1]TDSheet!$A:$R,18,0)</f>
        <v>0</v>
      </c>
      <c r="P12" s="19">
        <f t="shared" ref="P12:P55" si="2">E12/5</f>
        <v>16.388400000000001</v>
      </c>
      <c r="Q12" s="20">
        <f t="shared" ref="Q12:Q50" si="3">P12*20-F12-O12</f>
        <v>273.40800000000002</v>
      </c>
      <c r="R12" s="20">
        <v>350</v>
      </c>
      <c r="S12" s="19"/>
      <c r="T12" s="19">
        <f t="shared" ref="T12:T55" si="4">(F12+O12+Q12)/P12</f>
        <v>20</v>
      </c>
      <c r="U12" s="19">
        <f t="shared" ref="U12:U55" si="5">F12/P12</f>
        <v>3.3169803031412499</v>
      </c>
      <c r="V12" s="19">
        <f>VLOOKUP(A:A,[1]TDSheet!$A:$X,24,0)</f>
        <v>0</v>
      </c>
      <c r="W12" s="19">
        <f>VLOOKUP(A:A,[1]TDSheet!$A:$Y,25,0)</f>
        <v>0</v>
      </c>
      <c r="X12" s="19">
        <f>VLOOKUP(A:A,[1]TDSheet!$A:$Z,26,0)</f>
        <v>0.63880000000000003</v>
      </c>
      <c r="Y12" s="19">
        <f>VLOOKUP(A:A,[1]TDSheet!$A:$Q,17,0)</f>
        <v>3.7936000000000001</v>
      </c>
      <c r="Z12" s="19" t="e">
        <f>VLOOKUP(A:A,[1]TDSheet!$A:$AA,27,0)</f>
        <v>#N/A</v>
      </c>
      <c r="AA12" s="19">
        <f t="shared" ref="AA12:AA55" si="6">Q12*G12</f>
        <v>273.40800000000002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</row>
    <row r="13" spans="1:53" ht="21.9" customHeight="1">
      <c r="A13" s="17" t="s">
        <v>37</v>
      </c>
      <c r="B13" s="17" t="s">
        <v>38</v>
      </c>
      <c r="C13" s="18">
        <v>194</v>
      </c>
      <c r="D13" s="18">
        <v>73</v>
      </c>
      <c r="E13" s="18">
        <v>15</v>
      </c>
      <c r="F13" s="18">
        <v>227</v>
      </c>
      <c r="G13" s="19">
        <f>VLOOKUP(A:A,[1]TDSheet!$A:$G,7,0)</f>
        <v>0.82450000000000001</v>
      </c>
      <c r="H13" s="19">
        <f>VLOOKUP(A:A,[1]TDSheet!$A:$H,8,0)</f>
        <v>180</v>
      </c>
      <c r="I13" s="19">
        <f>VLOOKUP(A:A,[1]TDSheet!$A:$I,9,0)</f>
        <v>6948249</v>
      </c>
      <c r="J13" s="19"/>
      <c r="K13" s="19">
        <f>VLOOKUP(A:A,[2]TDSheet!$A:$B,2,0)</f>
        <v>40</v>
      </c>
      <c r="L13" s="19">
        <f t="shared" si="1"/>
        <v>-25</v>
      </c>
      <c r="M13" s="19"/>
      <c r="N13" s="19"/>
      <c r="O13" s="19">
        <f>VLOOKUP(A:A,[1]TDSheet!$A:$R,18,0)</f>
        <v>0</v>
      </c>
      <c r="P13" s="19">
        <f t="shared" si="2"/>
        <v>3</v>
      </c>
      <c r="Q13" s="20"/>
      <c r="R13" s="20"/>
      <c r="S13" s="19"/>
      <c r="T13" s="19">
        <f t="shared" si="4"/>
        <v>75.6666666666667</v>
      </c>
      <c r="U13" s="19">
        <f t="shared" si="5"/>
        <v>75.6666666666667</v>
      </c>
      <c r="V13" s="19">
        <f>VLOOKUP(A:A,[1]TDSheet!$A:$X,24,0)</f>
        <v>1</v>
      </c>
      <c r="W13" s="19">
        <f>VLOOKUP(A:A,[1]TDSheet!$A:$Y,25,0)</f>
        <v>2.8</v>
      </c>
      <c r="X13" s="19">
        <f>VLOOKUP(A:A,[1]TDSheet!$A:$Z,26,0)</f>
        <v>10</v>
      </c>
      <c r="Y13" s="19">
        <f>VLOOKUP(A:A,[1]TDSheet!$A:$Q,17,0)</f>
        <v>4.4000000000000004</v>
      </c>
      <c r="Z13" s="19" t="str">
        <f>VLOOKUP(A:A,[1]TDSheet!$A:$AA,27,0)</f>
        <v>увел продажи</v>
      </c>
      <c r="AA13" s="19">
        <f t="shared" si="6"/>
        <v>0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</row>
    <row r="14" spans="1:53" ht="21.9" customHeight="1">
      <c r="A14" s="17" t="s">
        <v>39</v>
      </c>
      <c r="B14" s="17" t="s">
        <v>38</v>
      </c>
      <c r="C14" s="18">
        <v>20</v>
      </c>
      <c r="D14" s="18">
        <v>1104</v>
      </c>
      <c r="E14" s="18">
        <v>43</v>
      </c>
      <c r="F14" s="18">
        <v>1069</v>
      </c>
      <c r="G14" s="19">
        <f>VLOOKUP(A:A,[1]TDSheet!$A:$G,7,0)</f>
        <v>0.372</v>
      </c>
      <c r="H14" s="19">
        <f>VLOOKUP(A:A,[1]TDSheet!$A:$H,8,0)</f>
        <v>180</v>
      </c>
      <c r="I14" s="19">
        <f>VLOOKUP(A:A,[1]TDSheet!$A:$I,9,0)</f>
        <v>6948256</v>
      </c>
      <c r="J14" s="19"/>
      <c r="K14" s="19">
        <f>VLOOKUP(A:A,[2]TDSheet!$A:$B,2,0)</f>
        <v>47</v>
      </c>
      <c r="L14" s="19">
        <f t="shared" si="1"/>
        <v>-4</v>
      </c>
      <c r="M14" s="19"/>
      <c r="N14" s="19"/>
      <c r="O14" s="19">
        <f>VLOOKUP(A:A,[1]TDSheet!$A:$R,18,0)</f>
        <v>0</v>
      </c>
      <c r="P14" s="19">
        <f t="shared" si="2"/>
        <v>8.6</v>
      </c>
      <c r="Q14" s="20"/>
      <c r="R14" s="20"/>
      <c r="S14" s="19"/>
      <c r="T14" s="19">
        <f t="shared" si="4"/>
        <v>124.302325581395</v>
      </c>
      <c r="U14" s="19">
        <f t="shared" si="5"/>
        <v>124.302325581395</v>
      </c>
      <c r="V14" s="19">
        <f>VLOOKUP(A:A,[1]TDSheet!$A:$X,24,0)</f>
        <v>29.8</v>
      </c>
      <c r="W14" s="19">
        <f>VLOOKUP(A:A,[1]TDSheet!$A:$Y,25,0)</f>
        <v>47.6</v>
      </c>
      <c r="X14" s="19">
        <f>VLOOKUP(A:A,[1]TDSheet!$A:$Z,26,0)</f>
        <v>58.2</v>
      </c>
      <c r="Y14" s="19">
        <f>VLOOKUP(A:A,[1]TDSheet!$A:$Q,17,0)</f>
        <v>37.799999999999997</v>
      </c>
      <c r="Z14" s="19" t="str">
        <f>VLOOKUP(A:A,[1]TDSheet!$A:$AA,27,0)</f>
        <v>нужно увеличить продажи!!!</v>
      </c>
      <c r="AA14" s="19">
        <f t="shared" si="6"/>
        <v>0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</row>
    <row r="15" spans="1:53" ht="21.9" customHeight="1">
      <c r="A15" s="17" t="s">
        <v>40</v>
      </c>
      <c r="B15" s="17" t="s">
        <v>38</v>
      </c>
      <c r="C15" s="18">
        <v>93</v>
      </c>
      <c r="D15" s="18">
        <v>864</v>
      </c>
      <c r="E15" s="18">
        <v>98</v>
      </c>
      <c r="F15" s="18">
        <v>820</v>
      </c>
      <c r="G15" s="19">
        <f>VLOOKUP(A:A,[1]TDSheet!$A:$G,7,0)</f>
        <v>0.74399999999999999</v>
      </c>
      <c r="H15" s="19">
        <f>VLOOKUP(A:A,[1]TDSheet!$A:$H,8,0)</f>
        <v>180</v>
      </c>
      <c r="I15" s="19">
        <f>VLOOKUP(A:A,[1]TDSheet!$A:$I,9,0)</f>
        <v>6948263</v>
      </c>
      <c r="J15" s="19"/>
      <c r="K15" s="19">
        <f>VLOOKUP(A:A,[2]TDSheet!$A:$B,2,0)</f>
        <v>109</v>
      </c>
      <c r="L15" s="19">
        <f t="shared" si="1"/>
        <v>-11</v>
      </c>
      <c r="M15" s="19"/>
      <c r="N15" s="19"/>
      <c r="O15" s="19">
        <f>VLOOKUP(A:A,[1]TDSheet!$A:$R,18,0)</f>
        <v>0</v>
      </c>
      <c r="P15" s="19">
        <f t="shared" si="2"/>
        <v>19.600000000000001</v>
      </c>
      <c r="Q15" s="20"/>
      <c r="R15" s="20"/>
      <c r="S15" s="19"/>
      <c r="T15" s="19">
        <f t="shared" si="4"/>
        <v>41.836734693877503</v>
      </c>
      <c r="U15" s="19">
        <f t="shared" si="5"/>
        <v>41.836734693877503</v>
      </c>
      <c r="V15" s="19">
        <f>VLOOKUP(A:A,[1]TDSheet!$A:$X,24,0)</f>
        <v>7.2</v>
      </c>
      <c r="W15" s="19">
        <f>VLOOKUP(A:A,[1]TDSheet!$A:$Y,25,0)</f>
        <v>33.6</v>
      </c>
      <c r="X15" s="19">
        <f>VLOOKUP(A:A,[1]TDSheet!$A:$Z,26,0)</f>
        <v>48</v>
      </c>
      <c r="Y15" s="19">
        <f>VLOOKUP(A:A,[1]TDSheet!$A:$Q,17,0)</f>
        <v>32.4</v>
      </c>
      <c r="Z15" s="19" t="str">
        <f>VLOOKUP(A:A,[1]TDSheet!$A:$AA,27,0)</f>
        <v>нужно увеличить продажи!!!</v>
      </c>
      <c r="AA15" s="19">
        <f t="shared" si="6"/>
        <v>0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</row>
    <row r="16" spans="1:53" ht="21.9" customHeight="1">
      <c r="A16" s="17" t="s">
        <v>41</v>
      </c>
      <c r="B16" s="17" t="s">
        <v>38</v>
      </c>
      <c r="C16" s="18">
        <v>246</v>
      </c>
      <c r="D16" s="18">
        <v>1728</v>
      </c>
      <c r="E16" s="18">
        <v>217</v>
      </c>
      <c r="F16" s="18">
        <v>1704</v>
      </c>
      <c r="G16" s="19">
        <f>VLOOKUP(A:A,[1]TDSheet!$A:$G,7,0)</f>
        <v>0.372</v>
      </c>
      <c r="H16" s="19">
        <f>VLOOKUP(A:A,[1]TDSheet!$A:$H,8,0)</f>
        <v>180</v>
      </c>
      <c r="I16" s="19">
        <f>VLOOKUP(A:A,[1]TDSheet!$A:$I,9,0)</f>
        <v>6948270</v>
      </c>
      <c r="J16" s="19"/>
      <c r="K16" s="19">
        <f>VLOOKUP(A:A,[2]TDSheet!$A:$B,2,0)</f>
        <v>227</v>
      </c>
      <c r="L16" s="19">
        <f t="shared" si="1"/>
        <v>-10</v>
      </c>
      <c r="M16" s="19"/>
      <c r="N16" s="19"/>
      <c r="O16" s="19">
        <f>VLOOKUP(A:A,[1]TDSheet!$A:$R,18,0)</f>
        <v>100</v>
      </c>
      <c r="P16" s="19">
        <f t="shared" si="2"/>
        <v>43.4</v>
      </c>
      <c r="Q16" s="20"/>
      <c r="R16" s="20"/>
      <c r="S16" s="19"/>
      <c r="T16" s="19">
        <f t="shared" si="4"/>
        <v>41.566820276497701</v>
      </c>
      <c r="U16" s="19">
        <f t="shared" si="5"/>
        <v>39.2626728110599</v>
      </c>
      <c r="V16" s="19">
        <f>VLOOKUP(A:A,[1]TDSheet!$A:$X,24,0)</f>
        <v>1.8</v>
      </c>
      <c r="W16" s="19">
        <f>VLOOKUP(A:A,[1]TDSheet!$A:$Y,25,0)</f>
        <v>52.6</v>
      </c>
      <c r="X16" s="19">
        <f>VLOOKUP(A:A,[1]TDSheet!$A:$Z,26,0)</f>
        <v>97.8</v>
      </c>
      <c r="Y16" s="19">
        <f>VLOOKUP(A:A,[1]TDSheet!$A:$Q,17,0)</f>
        <v>43.6</v>
      </c>
      <c r="Z16" s="19">
        <f>VLOOKUP(A:A,[1]TDSheet!$A:$AA,27,0)</f>
        <v>0</v>
      </c>
      <c r="AA16" s="19">
        <f t="shared" si="6"/>
        <v>0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</row>
    <row r="17" spans="1:53" ht="21.9" customHeight="1">
      <c r="A17" s="17" t="s">
        <v>42</v>
      </c>
      <c r="B17" s="17" t="s">
        <v>38</v>
      </c>
      <c r="C17" s="18">
        <v>78</v>
      </c>
      <c r="D17" s="18">
        <v>1560</v>
      </c>
      <c r="E17" s="18">
        <v>121</v>
      </c>
      <c r="F17" s="18">
        <v>1445</v>
      </c>
      <c r="G17" s="19">
        <f>VLOOKUP(A:A,[1]TDSheet!$A:$G,7,0)</f>
        <v>0.74399999999999999</v>
      </c>
      <c r="H17" s="19">
        <f>VLOOKUP(A:A,[1]TDSheet!$A:$H,8,0)</f>
        <v>180</v>
      </c>
      <c r="I17" s="19">
        <f>VLOOKUP(A:A,[1]TDSheet!$A:$I,9,0)</f>
        <v>6948287</v>
      </c>
      <c r="J17" s="19"/>
      <c r="K17" s="19">
        <f>VLOOKUP(A:A,[2]TDSheet!$A:$B,2,0)</f>
        <v>131</v>
      </c>
      <c r="L17" s="19">
        <f t="shared" si="1"/>
        <v>-10</v>
      </c>
      <c r="M17" s="19"/>
      <c r="N17" s="19"/>
      <c r="O17" s="19">
        <f>VLOOKUP(A:A,[1]TDSheet!$A:$R,18,0)</f>
        <v>0</v>
      </c>
      <c r="P17" s="19">
        <f t="shared" si="2"/>
        <v>24.2</v>
      </c>
      <c r="Q17" s="20"/>
      <c r="R17" s="20"/>
      <c r="S17" s="19"/>
      <c r="T17" s="19">
        <f t="shared" si="4"/>
        <v>59.710743801652903</v>
      </c>
      <c r="U17" s="19">
        <f t="shared" si="5"/>
        <v>59.710743801652903</v>
      </c>
      <c r="V17" s="19">
        <f>VLOOKUP(A:A,[1]TDSheet!$A:$X,24,0)</f>
        <v>31</v>
      </c>
      <c r="W17" s="19">
        <f>VLOOKUP(A:A,[1]TDSheet!$A:$Y,25,0)</f>
        <v>43.8</v>
      </c>
      <c r="X17" s="19">
        <f>VLOOKUP(A:A,[1]TDSheet!$A:$Z,26,0)</f>
        <v>82.6</v>
      </c>
      <c r="Y17" s="19">
        <f>VLOOKUP(A:A,[1]TDSheet!$A:$Q,17,0)</f>
        <v>41.4</v>
      </c>
      <c r="Z17" s="19">
        <f>VLOOKUP(A:A,[1]TDSheet!$A:$AA,27,0)</f>
        <v>0</v>
      </c>
      <c r="AA17" s="19">
        <f t="shared" si="6"/>
        <v>0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</row>
    <row r="18" spans="1:53" ht="11.1" customHeight="1">
      <c r="A18" s="17" t="s">
        <v>43</v>
      </c>
      <c r="B18" s="17" t="s">
        <v>38</v>
      </c>
      <c r="C18" s="18">
        <v>395</v>
      </c>
      <c r="D18" s="18"/>
      <c r="E18" s="18">
        <v>29</v>
      </c>
      <c r="F18" s="18">
        <v>366</v>
      </c>
      <c r="G18" s="19">
        <f>VLOOKUP(A:A,[1]TDSheet!$A:$G,7,0)</f>
        <v>0.14000000000000001</v>
      </c>
      <c r="H18" s="19">
        <v>0</v>
      </c>
      <c r="I18" s="19">
        <f>VLOOKUP(A:A,[1]TDSheet!$A:$I,9,0)</f>
        <v>9988421</v>
      </c>
      <c r="J18" s="19"/>
      <c r="K18" s="19">
        <f>VLOOKUP(A:A,[2]TDSheet!$A:$B,2,0)</f>
        <v>29</v>
      </c>
      <c r="L18" s="19">
        <f t="shared" si="1"/>
        <v>0</v>
      </c>
      <c r="M18" s="19"/>
      <c r="N18" s="19"/>
      <c r="O18" s="19">
        <f>VLOOKUP(A:A,[1]TDSheet!$A:$R,18,0)</f>
        <v>0</v>
      </c>
      <c r="P18" s="19">
        <f t="shared" si="2"/>
        <v>5.8</v>
      </c>
      <c r="Q18" s="20"/>
      <c r="R18" s="20"/>
      <c r="S18" s="19"/>
      <c r="T18" s="19">
        <f t="shared" si="4"/>
        <v>63.1034482758621</v>
      </c>
      <c r="U18" s="19">
        <f t="shared" si="5"/>
        <v>63.1034482758621</v>
      </c>
      <c r="V18" s="19">
        <f>VLOOKUP(A:A,[1]TDSheet!$A:$X,24,0)</f>
        <v>4.4000000000000004</v>
      </c>
      <c r="W18" s="19">
        <f>VLOOKUP(A:A,[1]TDSheet!$A:$Y,25,0)</f>
        <v>2.4</v>
      </c>
      <c r="X18" s="19">
        <f>VLOOKUP(A:A,[1]TDSheet!$A:$Z,26,0)</f>
        <v>9.4</v>
      </c>
      <c r="Y18" s="19">
        <f>VLOOKUP(A:A,[1]TDSheet!$A:$Q,17,0)</f>
        <v>3.2</v>
      </c>
      <c r="Z18" s="19">
        <f>VLOOKUP(A:A,[1]TDSheet!$A:$AA,27,0)</f>
        <v>0</v>
      </c>
      <c r="AA18" s="19">
        <f t="shared" si="6"/>
        <v>0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</row>
    <row r="19" spans="1:53" ht="11.1" customHeight="1">
      <c r="A19" s="17" t="s">
        <v>44</v>
      </c>
      <c r="B19" s="17" t="s">
        <v>38</v>
      </c>
      <c r="C19" s="18">
        <v>422</v>
      </c>
      <c r="D19" s="18"/>
      <c r="E19" s="18">
        <v>32</v>
      </c>
      <c r="F19" s="18">
        <v>390</v>
      </c>
      <c r="G19" s="19">
        <f>VLOOKUP(A:A,[1]TDSheet!$A:$G,7,0)</f>
        <v>0.18</v>
      </c>
      <c r="H19" s="19">
        <f>VLOOKUP(A:A,[1]TDSheet!$A:$H,8,0)</f>
        <v>270</v>
      </c>
      <c r="I19" s="19">
        <f>VLOOKUP(A:A,[1]TDSheet!$A:$I,9,0)</f>
        <v>9988438</v>
      </c>
      <c r="J19" s="19"/>
      <c r="K19" s="19">
        <f>VLOOKUP(A:A,[2]TDSheet!$A:$B,2,0)</f>
        <v>32</v>
      </c>
      <c r="L19" s="19">
        <f t="shared" si="1"/>
        <v>0</v>
      </c>
      <c r="M19" s="19"/>
      <c r="N19" s="19"/>
      <c r="O19" s="19">
        <f>VLOOKUP(A:A,[1]TDSheet!$A:$R,18,0)</f>
        <v>0</v>
      </c>
      <c r="P19" s="19">
        <f t="shared" si="2"/>
        <v>6.4</v>
      </c>
      <c r="Q19" s="20"/>
      <c r="R19" s="20"/>
      <c r="S19" s="19"/>
      <c r="T19" s="19">
        <f t="shared" si="4"/>
        <v>60.9375</v>
      </c>
      <c r="U19" s="19">
        <f t="shared" si="5"/>
        <v>60.9375</v>
      </c>
      <c r="V19" s="19">
        <f>VLOOKUP(A:A,[1]TDSheet!$A:$X,24,0)</f>
        <v>0.8</v>
      </c>
      <c r="W19" s="19">
        <f>VLOOKUP(A:A,[1]TDSheet!$A:$Y,25,0)</f>
        <v>6.6</v>
      </c>
      <c r="X19" s="19">
        <f>VLOOKUP(A:A,[1]TDSheet!$A:$Z,26,0)</f>
        <v>12.6</v>
      </c>
      <c r="Y19" s="19">
        <f>VLOOKUP(A:A,[1]TDSheet!$A:$Q,17,0)</f>
        <v>8</v>
      </c>
      <c r="Z19" s="19">
        <f>VLOOKUP(A:A,[1]TDSheet!$A:$AA,27,0)</f>
        <v>0</v>
      </c>
      <c r="AA19" s="19">
        <f t="shared" si="6"/>
        <v>0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</row>
    <row r="20" spans="1:53" ht="11.1" customHeight="1">
      <c r="A20" s="17" t="s">
        <v>45</v>
      </c>
      <c r="B20" s="17" t="s">
        <v>38</v>
      </c>
      <c r="C20" s="18">
        <v>288</v>
      </c>
      <c r="D20" s="18"/>
      <c r="E20" s="18">
        <v>32</v>
      </c>
      <c r="F20" s="18">
        <v>256</v>
      </c>
      <c r="G20" s="19">
        <f>VLOOKUP(A:A,[1]TDSheet!$A:$G,7,0)</f>
        <v>0.18</v>
      </c>
      <c r="H20" s="19">
        <f>VLOOKUP(A:A,[1]TDSheet!$A:$H,8,0)</f>
        <v>270</v>
      </c>
      <c r="I20" s="19">
        <f>VLOOKUP(A:A,[1]TDSheet!$A:$I,9,0)</f>
        <v>9988445</v>
      </c>
      <c r="J20" s="19"/>
      <c r="K20" s="19">
        <f>VLOOKUP(A:A,[2]TDSheet!$A:$B,2,0)</f>
        <v>32</v>
      </c>
      <c r="L20" s="19">
        <f t="shared" si="1"/>
        <v>0</v>
      </c>
      <c r="M20" s="19"/>
      <c r="N20" s="19"/>
      <c r="O20" s="19">
        <f>VLOOKUP(A:A,[1]TDSheet!$A:$R,18,0)</f>
        <v>0</v>
      </c>
      <c r="P20" s="19">
        <f t="shared" si="2"/>
        <v>6.4</v>
      </c>
      <c r="Q20" s="20"/>
      <c r="R20" s="20"/>
      <c r="S20" s="19"/>
      <c r="T20" s="19">
        <f t="shared" si="4"/>
        <v>40</v>
      </c>
      <c r="U20" s="19">
        <f t="shared" si="5"/>
        <v>40</v>
      </c>
      <c r="V20" s="19">
        <f>VLOOKUP(A:A,[1]TDSheet!$A:$X,24,0)</f>
        <v>10.4</v>
      </c>
      <c r="W20" s="19">
        <f>VLOOKUP(A:A,[1]TDSheet!$A:$Y,25,0)</f>
        <v>8.4</v>
      </c>
      <c r="X20" s="19">
        <f>VLOOKUP(A:A,[1]TDSheet!$A:$Z,26,0)</f>
        <v>12.6</v>
      </c>
      <c r="Y20" s="19">
        <f>VLOOKUP(A:A,[1]TDSheet!$A:$Q,17,0)</f>
        <v>7.4</v>
      </c>
      <c r="Z20" s="19">
        <f>VLOOKUP(A:A,[1]TDSheet!$A:$AA,27,0)</f>
        <v>0</v>
      </c>
      <c r="AA20" s="19">
        <f t="shared" si="6"/>
        <v>0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</row>
    <row r="21" spans="1:53" ht="11.1" customHeight="1">
      <c r="A21" s="17" t="s">
        <v>46</v>
      </c>
      <c r="B21" s="17" t="s">
        <v>38</v>
      </c>
      <c r="C21" s="18">
        <v>2</v>
      </c>
      <c r="D21" s="18">
        <v>152</v>
      </c>
      <c r="E21" s="18">
        <v>0</v>
      </c>
      <c r="F21" s="18">
        <v>146</v>
      </c>
      <c r="G21" s="19">
        <f>VLOOKUP(A:A,[1]TDSheet!$A:$G,7,0)</f>
        <v>0.1</v>
      </c>
      <c r="H21" s="19">
        <v>0</v>
      </c>
      <c r="I21" s="19">
        <f>VLOOKUP(A:A,[1]TDSheet!$A:$I,9,0)</f>
        <v>8444910</v>
      </c>
      <c r="J21" s="19"/>
      <c r="K21" s="19">
        <f>VLOOKUP(A:A,[2]TDSheet!$A:$B,2,0)</f>
        <v>10</v>
      </c>
      <c r="L21" s="19">
        <f t="shared" si="1"/>
        <v>-10</v>
      </c>
      <c r="M21" s="19"/>
      <c r="N21" s="19"/>
      <c r="O21" s="19">
        <f>VLOOKUP(A:A,[1]TDSheet!$A:$R,18,0)</f>
        <v>0</v>
      </c>
      <c r="P21" s="19">
        <f t="shared" si="2"/>
        <v>0</v>
      </c>
      <c r="Q21" s="20"/>
      <c r="R21" s="20"/>
      <c r="S21" s="19"/>
      <c r="T21" s="19" t="e">
        <f t="shared" si="4"/>
        <v>#DIV/0!</v>
      </c>
      <c r="U21" s="19" t="e">
        <f t="shared" si="5"/>
        <v>#DIV/0!</v>
      </c>
      <c r="V21" s="19">
        <f>VLOOKUP(A:A,[1]TDSheet!$A:$X,24,0)</f>
        <v>0.2</v>
      </c>
      <c r="W21" s="19">
        <f>VLOOKUP(A:A,[1]TDSheet!$A:$Y,25,0)</f>
        <v>6.6</v>
      </c>
      <c r="X21" s="19">
        <f>VLOOKUP(A:A,[1]TDSheet!$A:$Z,26,0)</f>
        <v>5.2</v>
      </c>
      <c r="Y21" s="19">
        <f>VLOOKUP(A:A,[1]TDSheet!$A:$Q,17,0)</f>
        <v>-0.2</v>
      </c>
      <c r="Z21" s="19" t="e">
        <f>VLOOKUP(A:A,[1]TDSheet!$A:$AA,27,0)</f>
        <v>#VALUE!</v>
      </c>
      <c r="AA21" s="19">
        <f t="shared" si="6"/>
        <v>0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</row>
    <row r="22" spans="1:53" ht="11.1" customHeight="1">
      <c r="A22" s="17" t="s">
        <v>47</v>
      </c>
      <c r="B22" s="17" t="s">
        <v>38</v>
      </c>
      <c r="C22" s="18">
        <v>-2</v>
      </c>
      <c r="D22" s="18"/>
      <c r="E22" s="18">
        <v>0</v>
      </c>
      <c r="F22" s="18">
        <v>-2</v>
      </c>
      <c r="G22" s="19">
        <f>VLOOKUP(A:A,[1]TDSheet!$A:$G,7,0)</f>
        <v>0.1</v>
      </c>
      <c r="H22" s="19">
        <f>VLOOKUP(A:A,[1]TDSheet!$A:$H,8,0)</f>
        <v>0</v>
      </c>
      <c r="I22" s="19">
        <f>VLOOKUP(A:A,[1]TDSheet!$A:$I,9,0)</f>
        <v>8444927</v>
      </c>
      <c r="J22" s="19"/>
      <c r="K22" s="19">
        <v>0</v>
      </c>
      <c r="L22" s="19">
        <f t="shared" si="1"/>
        <v>0</v>
      </c>
      <c r="M22" s="19"/>
      <c r="N22" s="19"/>
      <c r="O22" s="19">
        <f>VLOOKUP(A:A,[1]TDSheet!$A:$R,18,0)</f>
        <v>0</v>
      </c>
      <c r="P22" s="19">
        <f t="shared" si="2"/>
        <v>0</v>
      </c>
      <c r="Q22" s="20"/>
      <c r="R22" s="20"/>
      <c r="S22" s="19"/>
      <c r="T22" s="19" t="e">
        <f t="shared" si="4"/>
        <v>#DIV/0!</v>
      </c>
      <c r="U22" s="19" t="e">
        <f t="shared" si="5"/>
        <v>#DIV/0!</v>
      </c>
      <c r="V22" s="19">
        <f>VLOOKUP(A:A,[1]TDSheet!$A:$X,24,0)</f>
        <v>-0.8</v>
      </c>
      <c r="W22" s="19">
        <f>VLOOKUP(A:A,[1]TDSheet!$A:$Y,25,0)</f>
        <v>2.4</v>
      </c>
      <c r="X22" s="19">
        <f>VLOOKUP(A:A,[1]TDSheet!$A:$Z,26,0)</f>
        <v>3.2</v>
      </c>
      <c r="Y22" s="19">
        <f>VLOOKUP(A:A,[1]TDSheet!$A:$Q,17,0)</f>
        <v>0</v>
      </c>
      <c r="Z22" s="19" t="e">
        <f>VLOOKUP(A:A,[1]TDSheet!$A:$AA,27,0)</f>
        <v>#VALUE!</v>
      </c>
      <c r="AA22" s="19">
        <f t="shared" si="6"/>
        <v>0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</row>
    <row r="23" spans="1:53" ht="11.1" customHeight="1">
      <c r="A23" s="17" t="s">
        <v>48</v>
      </c>
      <c r="B23" s="17" t="s">
        <v>38</v>
      </c>
      <c r="C23" s="21"/>
      <c r="D23" s="18">
        <v>200</v>
      </c>
      <c r="E23" s="18">
        <v>0</v>
      </c>
      <c r="F23" s="18"/>
      <c r="G23" s="19">
        <f>VLOOKUP(A:A,[1]TDSheet!$A:$G,7,0)</f>
        <v>0</v>
      </c>
      <c r="H23" s="19">
        <f>VLOOKUP(A:A,[1]TDSheet!$A:$H,8,0)</f>
        <v>0</v>
      </c>
      <c r="I23" s="19">
        <f>VLOOKUP(A:A,[1]TDSheet!$A:$I,9,0)</f>
        <v>0</v>
      </c>
      <c r="J23" s="19"/>
      <c r="K23" s="19">
        <f>VLOOKUP(A:A,[2]TDSheet!$A:$B,2,0)</f>
        <v>52</v>
      </c>
      <c r="L23" s="19">
        <f t="shared" si="1"/>
        <v>-52</v>
      </c>
      <c r="M23" s="19"/>
      <c r="N23" s="19"/>
      <c r="O23" s="19">
        <f>VLOOKUP(A:A,[1]TDSheet!$A:$R,18,0)</f>
        <v>0</v>
      </c>
      <c r="P23" s="19">
        <f t="shared" si="2"/>
        <v>0</v>
      </c>
      <c r="Q23" s="20"/>
      <c r="R23" s="20"/>
      <c r="S23" s="19"/>
      <c r="T23" s="19" t="e">
        <f t="shared" si="4"/>
        <v>#DIV/0!</v>
      </c>
      <c r="U23" s="19" t="e">
        <f t="shared" si="5"/>
        <v>#DIV/0!</v>
      </c>
      <c r="V23" s="19">
        <f>VLOOKUP(A:A,[1]TDSheet!$A:$X,24,0)</f>
        <v>3</v>
      </c>
      <c r="W23" s="19">
        <f>VLOOKUP(A:A,[1]TDSheet!$A:$Y,25,0)</f>
        <v>0</v>
      </c>
      <c r="X23" s="19">
        <f>VLOOKUP(A:A,[1]TDSheet!$A:$Z,26,0)</f>
        <v>0</v>
      </c>
      <c r="Y23" s="19">
        <f>VLOOKUP(A:A,[1]TDSheet!$A:$Q,17,0)</f>
        <v>0</v>
      </c>
      <c r="Z23" s="19" t="e">
        <f>VLOOKUP(A:A,[1]TDSheet!$A:$AA,27,0)</f>
        <v>#VALUE!</v>
      </c>
      <c r="AA23" s="19">
        <f t="shared" si="6"/>
        <v>0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</row>
    <row r="24" spans="1:53" ht="11.1" customHeight="1">
      <c r="A24" s="17" t="s">
        <v>49</v>
      </c>
      <c r="B24" s="17" t="s">
        <v>38</v>
      </c>
      <c r="C24" s="21"/>
      <c r="D24" s="18">
        <v>200</v>
      </c>
      <c r="E24" s="18">
        <v>0</v>
      </c>
      <c r="F24" s="18">
        <v>-5</v>
      </c>
      <c r="G24" s="19">
        <f>VLOOKUP(A:A,[1]TDSheet!$A:$G,7,0)</f>
        <v>0</v>
      </c>
      <c r="H24" s="19">
        <f>VLOOKUP(A:A,[1]TDSheet!$A:$H,8,0)</f>
        <v>0</v>
      </c>
      <c r="I24" s="19">
        <f>VLOOKUP(A:A,[1]TDSheet!$A:$I,9,0)</f>
        <v>0</v>
      </c>
      <c r="J24" s="19"/>
      <c r="K24" s="19">
        <f>VLOOKUP(A:A,[2]TDSheet!$A:$B,2,0)</f>
        <v>13</v>
      </c>
      <c r="L24" s="19">
        <f t="shared" si="1"/>
        <v>-13</v>
      </c>
      <c r="M24" s="19"/>
      <c r="N24" s="19"/>
      <c r="O24" s="19">
        <f>VLOOKUP(A:A,[1]TDSheet!$A:$R,18,0)</f>
        <v>0</v>
      </c>
      <c r="P24" s="19">
        <f t="shared" si="2"/>
        <v>0</v>
      </c>
      <c r="Q24" s="20"/>
      <c r="R24" s="20"/>
      <c r="S24" s="19"/>
      <c r="T24" s="19" t="e">
        <f t="shared" si="4"/>
        <v>#DIV/0!</v>
      </c>
      <c r="U24" s="19" t="e">
        <f t="shared" si="5"/>
        <v>#DIV/0!</v>
      </c>
      <c r="V24" s="19">
        <f>VLOOKUP(A:A,[1]TDSheet!$A:$X,24,0)</f>
        <v>1.8</v>
      </c>
      <c r="W24" s="19">
        <f>VLOOKUP(A:A,[1]TDSheet!$A:$Y,25,0)</f>
        <v>0</v>
      </c>
      <c r="X24" s="19">
        <f>VLOOKUP(A:A,[1]TDSheet!$A:$Z,26,0)</f>
        <v>0</v>
      </c>
      <c r="Y24" s="19">
        <f>VLOOKUP(A:A,[1]TDSheet!$A:$Q,17,0)</f>
        <v>0</v>
      </c>
      <c r="Z24" s="19" t="e">
        <f>VLOOKUP(A:A,[1]TDSheet!$A:$AA,27,0)</f>
        <v>#VALUE!</v>
      </c>
      <c r="AA24" s="19">
        <f t="shared" si="6"/>
        <v>0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</row>
    <row r="25" spans="1:53" ht="21.9" customHeight="1">
      <c r="A25" s="17" t="s">
        <v>50</v>
      </c>
      <c r="B25" s="17" t="s">
        <v>38</v>
      </c>
      <c r="C25" s="18">
        <v>56</v>
      </c>
      <c r="D25" s="18">
        <v>4</v>
      </c>
      <c r="E25" s="18">
        <v>19</v>
      </c>
      <c r="F25" s="18">
        <v>41</v>
      </c>
      <c r="G25" s="19">
        <f>VLOOKUP(A:A,[1]TDSheet!$A:$G,7,0)</f>
        <v>0.4</v>
      </c>
      <c r="H25" s="19">
        <f>VLOOKUP(A:A,[1]TDSheet!$A:$H,8,0)</f>
        <v>270</v>
      </c>
      <c r="I25" s="19">
        <f>VLOOKUP(A:A,[1]TDSheet!$A:$I,9,0)</f>
        <v>9988476</v>
      </c>
      <c r="J25" s="19"/>
      <c r="K25" s="19">
        <f>VLOOKUP(A:A,[2]TDSheet!$A:$B,2,0)</f>
        <v>19</v>
      </c>
      <c r="L25" s="19">
        <f t="shared" si="1"/>
        <v>0</v>
      </c>
      <c r="M25" s="19"/>
      <c r="N25" s="19"/>
      <c r="O25" s="19">
        <f>VLOOKUP(A:A,[1]TDSheet!$A:$R,18,0)</f>
        <v>0</v>
      </c>
      <c r="P25" s="19">
        <f t="shared" si="2"/>
        <v>3.8</v>
      </c>
      <c r="Q25" s="20"/>
      <c r="R25" s="20"/>
      <c r="S25" s="19"/>
      <c r="T25" s="19">
        <f t="shared" si="4"/>
        <v>10.789473684210501</v>
      </c>
      <c r="U25" s="19">
        <f t="shared" si="5"/>
        <v>10.789473684210501</v>
      </c>
      <c r="V25" s="19">
        <f>VLOOKUP(A:A,[1]TDSheet!$A:$X,24,0)</f>
        <v>1.4</v>
      </c>
      <c r="W25" s="19">
        <f>VLOOKUP(A:A,[1]TDSheet!$A:$Y,25,0)</f>
        <v>4</v>
      </c>
      <c r="X25" s="19">
        <f>VLOOKUP(A:A,[1]TDSheet!$A:$Z,26,0)</f>
        <v>3.4</v>
      </c>
      <c r="Y25" s="19">
        <f>VLOOKUP(A:A,[1]TDSheet!$A:$Q,17,0)</f>
        <v>0.6</v>
      </c>
      <c r="Z25" s="19">
        <f>VLOOKUP(A:A,[1]TDSheet!$A:$AA,27,0)</f>
        <v>0</v>
      </c>
      <c r="AA25" s="19">
        <f t="shared" si="6"/>
        <v>0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</row>
    <row r="26" spans="1:53" ht="11.1" customHeight="1">
      <c r="A26" s="17" t="s">
        <v>51</v>
      </c>
      <c r="B26" s="17" t="s">
        <v>38</v>
      </c>
      <c r="C26" s="18">
        <v>173</v>
      </c>
      <c r="D26" s="18"/>
      <c r="E26" s="18">
        <v>8</v>
      </c>
      <c r="F26" s="18">
        <v>159</v>
      </c>
      <c r="G26" s="19">
        <f>VLOOKUP(A:A,[1]TDSheet!$A:$G,7,0)</f>
        <v>0.18</v>
      </c>
      <c r="H26" s="19">
        <v>0</v>
      </c>
      <c r="I26" s="19">
        <f>VLOOKUP(A:A,[1]TDSheet!$A:$I,9,0)</f>
        <v>9988674</v>
      </c>
      <c r="J26" s="19"/>
      <c r="K26" s="19">
        <f>VLOOKUP(A:A,[2]TDSheet!$A:$B,2,0)</f>
        <v>8</v>
      </c>
      <c r="L26" s="19">
        <f t="shared" si="1"/>
        <v>0</v>
      </c>
      <c r="M26" s="19"/>
      <c r="N26" s="19"/>
      <c r="O26" s="19">
        <f>VLOOKUP(A:A,[1]TDSheet!$A:$R,18,0)</f>
        <v>0</v>
      </c>
      <c r="P26" s="19">
        <f t="shared" si="2"/>
        <v>1.6</v>
      </c>
      <c r="Q26" s="20"/>
      <c r="R26" s="20"/>
      <c r="S26" s="19"/>
      <c r="T26" s="19">
        <f t="shared" si="4"/>
        <v>99.375</v>
      </c>
      <c r="U26" s="19">
        <f t="shared" si="5"/>
        <v>99.375</v>
      </c>
      <c r="V26" s="19">
        <f>VLOOKUP(A:A,[1]TDSheet!$A:$X,24,0)</f>
        <v>11.4</v>
      </c>
      <c r="W26" s="19">
        <f>VLOOKUP(A:A,[1]TDSheet!$A:$Y,25,0)</f>
        <v>4.5999999999999996</v>
      </c>
      <c r="X26" s="19">
        <f>VLOOKUP(A:A,[1]TDSheet!$A:$Z,26,0)</f>
        <v>7.6</v>
      </c>
      <c r="Y26" s="19">
        <f>VLOOKUP(A:A,[1]TDSheet!$A:$Q,17,0)</f>
        <v>2</v>
      </c>
      <c r="Z26" s="19" t="str">
        <f>VLOOKUP(A:A,[1]TDSheet!$A:$AA,27,0)</f>
        <v>увел продажи</v>
      </c>
      <c r="AA26" s="19">
        <f t="shared" si="6"/>
        <v>0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</row>
    <row r="27" spans="1:53" ht="11.1" customHeight="1">
      <c r="A27" s="17" t="s">
        <v>52</v>
      </c>
      <c r="B27" s="17" t="s">
        <v>38</v>
      </c>
      <c r="C27" s="18">
        <v>23</v>
      </c>
      <c r="D27" s="18">
        <v>4</v>
      </c>
      <c r="E27" s="18">
        <v>20</v>
      </c>
      <c r="F27" s="18">
        <v>7</v>
      </c>
      <c r="G27" s="19">
        <f>VLOOKUP(A:A,[1]TDSheet!$A:$G,7,0)</f>
        <v>0.4</v>
      </c>
      <c r="H27" s="19">
        <f>VLOOKUP(A:A,[1]TDSheet!$A:$H,8,0)</f>
        <v>270</v>
      </c>
      <c r="I27" s="19">
        <f>VLOOKUP(A:A,[1]TDSheet!$A:$I,9,0)</f>
        <v>9988452</v>
      </c>
      <c r="J27" s="19"/>
      <c r="K27" s="19">
        <f>VLOOKUP(A:A,[2]TDSheet!$A:$B,2,0)</f>
        <v>22</v>
      </c>
      <c r="L27" s="19">
        <f t="shared" si="1"/>
        <v>-2</v>
      </c>
      <c r="M27" s="19"/>
      <c r="N27" s="19"/>
      <c r="O27" s="19">
        <f>VLOOKUP(A:A,[1]TDSheet!$A:$R,18,0)</f>
        <v>0</v>
      </c>
      <c r="P27" s="19">
        <f t="shared" si="2"/>
        <v>4</v>
      </c>
      <c r="Q27" s="20">
        <f t="shared" si="3"/>
        <v>73</v>
      </c>
      <c r="R27" s="20">
        <v>73</v>
      </c>
      <c r="S27" s="19"/>
      <c r="T27" s="19">
        <f t="shared" si="4"/>
        <v>20</v>
      </c>
      <c r="U27" s="19">
        <f t="shared" si="5"/>
        <v>1.75</v>
      </c>
      <c r="V27" s="19">
        <f>VLOOKUP(A:A,[1]TDSheet!$A:$X,24,0)</f>
        <v>2.2000000000000002</v>
      </c>
      <c r="W27" s="19">
        <f>VLOOKUP(A:A,[1]TDSheet!$A:$Y,25,0)</f>
        <v>3.4</v>
      </c>
      <c r="X27" s="19">
        <f>VLOOKUP(A:A,[1]TDSheet!$A:$Z,26,0)</f>
        <v>2</v>
      </c>
      <c r="Y27" s="19">
        <f>VLOOKUP(A:A,[1]TDSheet!$A:$Q,17,0)</f>
        <v>0.2</v>
      </c>
      <c r="Z27" s="19" t="str">
        <f>VLOOKUP(A:A,[1]TDSheet!$A:$AA,27,0)</f>
        <v>нужно увеличить продажи!!! / 29,09,25 завод не отгрузил</v>
      </c>
      <c r="AA27" s="19">
        <f t="shared" si="6"/>
        <v>29.2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</row>
    <row r="28" spans="1:53" ht="11.1" customHeight="1">
      <c r="A28" s="17" t="s">
        <v>53</v>
      </c>
      <c r="B28" s="17" t="s">
        <v>35</v>
      </c>
      <c r="C28" s="18">
        <v>58.325000000000003</v>
      </c>
      <c r="D28" s="18"/>
      <c r="E28" s="18">
        <v>6.61</v>
      </c>
      <c r="F28" s="18">
        <v>51.715000000000003</v>
      </c>
      <c r="G28" s="19">
        <f>VLOOKUP(A:A,[1]TDSheet!$A:$G,7,0)</f>
        <v>1</v>
      </c>
      <c r="H28" s="19">
        <v>0</v>
      </c>
      <c r="I28" s="19">
        <f>VLOOKUP(A:A,[1]TDSheet!$A:$I,9,0)</f>
        <v>7100726</v>
      </c>
      <c r="J28" s="19"/>
      <c r="K28" s="19">
        <f>VLOOKUP(A:A,[2]TDSheet!$A:$B,2,0)</f>
        <v>8</v>
      </c>
      <c r="L28" s="19">
        <f t="shared" si="1"/>
        <v>-1.39</v>
      </c>
      <c r="M28" s="19"/>
      <c r="N28" s="19"/>
      <c r="O28" s="19">
        <f>VLOOKUP(A:A,[1]TDSheet!$A:$R,18,0)</f>
        <v>0</v>
      </c>
      <c r="P28" s="19">
        <f t="shared" si="2"/>
        <v>1.3220000000000001</v>
      </c>
      <c r="Q28" s="20"/>
      <c r="R28" s="20"/>
      <c r="S28" s="19"/>
      <c r="T28" s="19">
        <f t="shared" si="4"/>
        <v>39.1187594553707</v>
      </c>
      <c r="U28" s="19">
        <f t="shared" si="5"/>
        <v>39.1187594553707</v>
      </c>
      <c r="V28" s="19">
        <f>VLOOKUP(A:A,[1]TDSheet!$A:$X,24,0)</f>
        <v>1.302</v>
      </c>
      <c r="W28" s="19">
        <f>VLOOKUP(A:A,[1]TDSheet!$A:$Y,25,0)</f>
        <v>0.65959999999999996</v>
      </c>
      <c r="X28" s="19">
        <f>VLOOKUP(A:A,[1]TDSheet!$A:$Z,26,0)</f>
        <v>0.872</v>
      </c>
      <c r="Y28" s="19">
        <f>VLOOKUP(A:A,[1]TDSheet!$A:$Q,17,0)</f>
        <v>1.302</v>
      </c>
      <c r="Z28" s="19" t="str">
        <f>VLOOKUP(A:A,[1]TDSheet!$A:$AA,27,0)</f>
        <v>увел продажи</v>
      </c>
      <c r="AA28" s="19">
        <f t="shared" si="6"/>
        <v>0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</row>
    <row r="29" spans="1:53" ht="11.1" customHeight="1">
      <c r="A29" s="17" t="s">
        <v>54</v>
      </c>
      <c r="B29" s="17" t="s">
        <v>38</v>
      </c>
      <c r="C29" s="18">
        <v>11</v>
      </c>
      <c r="D29" s="18">
        <v>156</v>
      </c>
      <c r="E29" s="18">
        <v>0</v>
      </c>
      <c r="F29" s="18">
        <v>167</v>
      </c>
      <c r="G29" s="19">
        <f>VLOOKUP(A:A,[1]TDSheet!$A:$G,7,0)</f>
        <v>0.2</v>
      </c>
      <c r="H29" s="19">
        <v>0</v>
      </c>
      <c r="I29" s="19">
        <f>VLOOKUP(A:A,[1]TDSheet!$A:$I,9,0)</f>
        <v>7100108</v>
      </c>
      <c r="J29" s="19"/>
      <c r="K29" s="19">
        <v>0</v>
      </c>
      <c r="L29" s="19">
        <f t="shared" si="1"/>
        <v>0</v>
      </c>
      <c r="M29" s="19"/>
      <c r="N29" s="19"/>
      <c r="O29" s="19">
        <f>VLOOKUP(A:A,[1]TDSheet!$A:$R,18,0)</f>
        <v>0</v>
      </c>
      <c r="P29" s="19">
        <f t="shared" si="2"/>
        <v>0</v>
      </c>
      <c r="Q29" s="20"/>
      <c r="R29" s="20"/>
      <c r="S29" s="19"/>
      <c r="T29" s="19" t="e">
        <f t="shared" si="4"/>
        <v>#DIV/0!</v>
      </c>
      <c r="U29" s="19" t="e">
        <f t="shared" si="5"/>
        <v>#DIV/0!</v>
      </c>
      <c r="V29" s="19">
        <f>VLOOKUP(A:A,[1]TDSheet!$A:$X,24,0)</f>
        <v>1.6</v>
      </c>
      <c r="W29" s="19">
        <f>VLOOKUP(A:A,[1]TDSheet!$A:$Y,25,0)</f>
        <v>3.8</v>
      </c>
      <c r="X29" s="19">
        <f>VLOOKUP(A:A,[1]TDSheet!$A:$Z,26,0)</f>
        <v>5.8</v>
      </c>
      <c r="Y29" s="19">
        <f>VLOOKUP(A:A,[1]TDSheet!$A:$Q,17,0)</f>
        <v>0.4</v>
      </c>
      <c r="Z29" s="19" t="str">
        <f>VLOOKUP(A:A,[1]TDSheet!$A:$AA,27,0)</f>
        <v>увел продажи</v>
      </c>
      <c r="AA29" s="19">
        <f t="shared" si="6"/>
        <v>0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</row>
    <row r="30" spans="1:53" ht="11.1" customHeight="1">
      <c r="A30" s="17" t="s">
        <v>55</v>
      </c>
      <c r="B30" s="17" t="s">
        <v>35</v>
      </c>
      <c r="C30" s="18">
        <v>227.09</v>
      </c>
      <c r="D30" s="18"/>
      <c r="E30" s="18">
        <v>11.45</v>
      </c>
      <c r="F30" s="18">
        <v>215.64</v>
      </c>
      <c r="G30" s="19">
        <f>VLOOKUP(A:A,[1]TDSheet!$A:$G,7,0)</f>
        <v>1</v>
      </c>
      <c r="H30" s="19">
        <v>0</v>
      </c>
      <c r="I30" s="19">
        <f>VLOOKUP(A:A,[1]TDSheet!$A:$I,9,0)</f>
        <v>7100139</v>
      </c>
      <c r="J30" s="19"/>
      <c r="K30" s="19">
        <f>VLOOKUP(A:A,[2]TDSheet!$A:$B,2,0)</f>
        <v>8</v>
      </c>
      <c r="L30" s="19">
        <f t="shared" si="1"/>
        <v>3.45</v>
      </c>
      <c r="M30" s="19"/>
      <c r="N30" s="19"/>
      <c r="O30" s="19">
        <f>VLOOKUP(A:A,[1]TDSheet!$A:$R,18,0)</f>
        <v>0</v>
      </c>
      <c r="P30" s="19">
        <f t="shared" si="2"/>
        <v>2.29</v>
      </c>
      <c r="Q30" s="20"/>
      <c r="R30" s="20"/>
      <c r="S30" s="19"/>
      <c r="T30" s="19">
        <f t="shared" si="4"/>
        <v>94.165938864628799</v>
      </c>
      <c r="U30" s="19">
        <f t="shared" si="5"/>
        <v>94.165938864628799</v>
      </c>
      <c r="V30" s="19">
        <f>VLOOKUP(A:A,[1]TDSheet!$A:$X,24,0)</f>
        <v>3.5859999999999999</v>
      </c>
      <c r="W30" s="19">
        <f>VLOOKUP(A:A,[1]TDSheet!$A:$Y,25,0)</f>
        <v>1.3140000000000001</v>
      </c>
      <c r="X30" s="19">
        <f>VLOOKUP(A:A,[1]TDSheet!$A:$Z,26,0)</f>
        <v>0</v>
      </c>
      <c r="Y30" s="19">
        <f>VLOOKUP(A:A,[1]TDSheet!$A:$Q,17,0)</f>
        <v>0</v>
      </c>
      <c r="Z30" s="19" t="str">
        <f>VLOOKUP(A:A,[1]TDSheet!$A:$AA,27,0)</f>
        <v>увел продажи</v>
      </c>
      <c r="AA30" s="19">
        <f t="shared" si="6"/>
        <v>0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</row>
    <row r="31" spans="1:53" ht="11.1" customHeight="1">
      <c r="A31" s="17" t="s">
        <v>56</v>
      </c>
      <c r="B31" s="17" t="s">
        <v>38</v>
      </c>
      <c r="C31" s="18">
        <v>83</v>
      </c>
      <c r="D31" s="18"/>
      <c r="E31" s="18">
        <v>11</v>
      </c>
      <c r="F31" s="18">
        <v>72</v>
      </c>
      <c r="G31" s="19">
        <f>VLOOKUP(A:A,[1]TDSheet!$A:$G,7,0)</f>
        <v>0.1</v>
      </c>
      <c r="H31" s="19">
        <v>0</v>
      </c>
      <c r="I31" s="19">
        <f>VLOOKUP(A:A,[1]TDSheet!$A:$I,9,0)</f>
        <v>8444163</v>
      </c>
      <c r="J31" s="19"/>
      <c r="K31" s="19">
        <f>VLOOKUP(A:A,[2]TDSheet!$A:$B,2,0)</f>
        <v>9</v>
      </c>
      <c r="L31" s="19">
        <f t="shared" si="1"/>
        <v>2</v>
      </c>
      <c r="M31" s="19"/>
      <c r="N31" s="19"/>
      <c r="O31" s="19">
        <f>VLOOKUP(A:A,[1]TDSheet!$A:$R,18,0)</f>
        <v>0</v>
      </c>
      <c r="P31" s="19">
        <f t="shared" si="2"/>
        <v>2.2000000000000002</v>
      </c>
      <c r="Q31" s="20"/>
      <c r="R31" s="20"/>
      <c r="S31" s="19"/>
      <c r="T31" s="19">
        <f t="shared" si="4"/>
        <v>32.727272727272698</v>
      </c>
      <c r="U31" s="19">
        <f t="shared" si="5"/>
        <v>32.727272727272698</v>
      </c>
      <c r="V31" s="19">
        <f>VLOOKUP(A:A,[1]TDSheet!$A:$X,24,0)</f>
        <v>5.2</v>
      </c>
      <c r="W31" s="19">
        <f>VLOOKUP(A:A,[1]TDSheet!$A:$Y,25,0)</f>
        <v>-0.2</v>
      </c>
      <c r="X31" s="19">
        <f>VLOOKUP(A:A,[1]TDSheet!$A:$Z,26,0)</f>
        <v>0</v>
      </c>
      <c r="Y31" s="19">
        <f>VLOOKUP(A:A,[1]TDSheet!$A:$Q,17,0)</f>
        <v>4.2</v>
      </c>
      <c r="Z31" s="19" t="e">
        <f>VLOOKUP(A:A,[1]TDSheet!$A:$AA,27,0)</f>
        <v>#VALUE!</v>
      </c>
      <c r="AA31" s="19">
        <f t="shared" si="6"/>
        <v>0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</row>
    <row r="32" spans="1:53" ht="11.1" customHeight="1">
      <c r="A32" s="17" t="s">
        <v>57</v>
      </c>
      <c r="B32" s="17" t="s">
        <v>38</v>
      </c>
      <c r="C32" s="18">
        <v>40</v>
      </c>
      <c r="D32" s="18"/>
      <c r="E32" s="18">
        <v>0</v>
      </c>
      <c r="F32" s="18">
        <v>-16</v>
      </c>
      <c r="G32" s="19">
        <f>VLOOKUP(A:A,[1]TDSheet!$A:$G,7,0)</f>
        <v>0.1</v>
      </c>
      <c r="H32" s="19">
        <v>0</v>
      </c>
      <c r="I32" s="19">
        <f>VLOOKUP(A:A,[1]TDSheet!$A:$I,9,0)</f>
        <v>8445160</v>
      </c>
      <c r="J32" s="19"/>
      <c r="K32" s="19">
        <f>VLOOKUP(A:A,[2]TDSheet!$A:$B,2,0)</f>
        <v>56</v>
      </c>
      <c r="L32" s="19">
        <f t="shared" si="1"/>
        <v>-56</v>
      </c>
      <c r="M32" s="19"/>
      <c r="N32" s="19"/>
      <c r="O32" s="19">
        <f>VLOOKUP(A:A,[1]TDSheet!$A:$R,18,0)</f>
        <v>0</v>
      </c>
      <c r="P32" s="19">
        <f t="shared" si="2"/>
        <v>0</v>
      </c>
      <c r="Q32" s="20"/>
      <c r="R32" s="20"/>
      <c r="S32" s="19"/>
      <c r="T32" s="19" t="e">
        <f t="shared" si="4"/>
        <v>#DIV/0!</v>
      </c>
      <c r="U32" s="19" t="e">
        <f t="shared" si="5"/>
        <v>#DIV/0!</v>
      </c>
      <c r="V32" s="19">
        <f>VLOOKUP(A:A,[1]TDSheet!$A:$X,24,0)</f>
        <v>3.2</v>
      </c>
      <c r="W32" s="19">
        <f>VLOOKUP(A:A,[1]TDSheet!$A:$Y,25,0)</f>
        <v>-0.6</v>
      </c>
      <c r="X32" s="19">
        <f>VLOOKUP(A:A,[1]TDSheet!$A:$Z,26,0)</f>
        <v>0.2</v>
      </c>
      <c r="Y32" s="19">
        <f>VLOOKUP(A:A,[1]TDSheet!$A:$Q,17,0)</f>
        <v>3</v>
      </c>
      <c r="Z32" s="19" t="str">
        <f>VLOOKUP(A:A,[1]TDSheet!$A:$AA,27,0)</f>
        <v>увел продажи</v>
      </c>
      <c r="AA32" s="19">
        <f t="shared" si="6"/>
        <v>0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</row>
    <row r="33" spans="1:53" ht="11.1" customHeight="1">
      <c r="A33" s="17" t="s">
        <v>58</v>
      </c>
      <c r="B33" s="17" t="s">
        <v>38</v>
      </c>
      <c r="C33" s="18">
        <v>50</v>
      </c>
      <c r="D33" s="18">
        <v>20</v>
      </c>
      <c r="E33" s="18">
        <v>40</v>
      </c>
      <c r="F33" s="18">
        <v>22</v>
      </c>
      <c r="G33" s="19">
        <f>VLOOKUP(A:A,[1]TDSheet!$A:$G,7,0)</f>
        <v>0.1</v>
      </c>
      <c r="H33" s="19">
        <v>0</v>
      </c>
      <c r="I33" s="19">
        <f>VLOOKUP(A:A,[1]TDSheet!$A:$I,9,0)</f>
        <v>8445177</v>
      </c>
      <c r="J33" s="19"/>
      <c r="K33" s="19">
        <f>VLOOKUP(A:A,[2]TDSheet!$A:$B,2,0)</f>
        <v>56</v>
      </c>
      <c r="L33" s="19">
        <f t="shared" si="1"/>
        <v>-16</v>
      </c>
      <c r="M33" s="19"/>
      <c r="N33" s="19"/>
      <c r="O33" s="19">
        <f>VLOOKUP(A:A,[1]TDSheet!$A:$R,18,0)</f>
        <v>140</v>
      </c>
      <c r="P33" s="19">
        <f t="shared" si="2"/>
        <v>8</v>
      </c>
      <c r="Q33" s="20"/>
      <c r="R33" s="20"/>
      <c r="S33" s="19"/>
      <c r="T33" s="19">
        <f t="shared" si="4"/>
        <v>20.25</v>
      </c>
      <c r="U33" s="19">
        <f t="shared" si="5"/>
        <v>2.75</v>
      </c>
      <c r="V33" s="19">
        <f>VLOOKUP(A:A,[1]TDSheet!$A:$X,24,0)</f>
        <v>0</v>
      </c>
      <c r="W33" s="19">
        <f>VLOOKUP(A:A,[1]TDSheet!$A:$Y,25,0)</f>
        <v>7.8</v>
      </c>
      <c r="X33" s="19">
        <f>VLOOKUP(A:A,[1]TDSheet!$A:$Z,26,0)</f>
        <v>8.1999999999999993</v>
      </c>
      <c r="Y33" s="19">
        <f>VLOOKUP(A:A,[1]TDSheet!$A:$Q,17,0)</f>
        <v>9.4</v>
      </c>
      <c r="Z33" s="19" t="str">
        <f>VLOOKUP(A:A,[1]TDSheet!$A:$AA,27,0)</f>
        <v>увел продажи</v>
      </c>
      <c r="AA33" s="19">
        <f t="shared" si="6"/>
        <v>0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</row>
    <row r="34" spans="1:53" ht="11.1" customHeight="1">
      <c r="A34" s="17" t="s">
        <v>59</v>
      </c>
      <c r="B34" s="17" t="s">
        <v>38</v>
      </c>
      <c r="C34" s="18">
        <v>30</v>
      </c>
      <c r="D34" s="18">
        <v>1050</v>
      </c>
      <c r="E34" s="18">
        <v>18</v>
      </c>
      <c r="F34" s="18">
        <v>1032</v>
      </c>
      <c r="G34" s="19">
        <f>VLOOKUP(A:A,[1]TDSheet!$A:$G,7,0)</f>
        <v>0.18</v>
      </c>
      <c r="H34" s="19">
        <v>0</v>
      </c>
      <c r="I34" s="19">
        <f>VLOOKUP(A:A,[1]TDSheet!$A:$I,9,0)</f>
        <v>5038411</v>
      </c>
      <c r="J34" s="19"/>
      <c r="K34" s="19">
        <f>VLOOKUP(A:A,[2]TDSheet!$A:$B,2,0)</f>
        <v>134</v>
      </c>
      <c r="L34" s="19">
        <f t="shared" si="1"/>
        <v>-116</v>
      </c>
      <c r="M34" s="19"/>
      <c r="N34" s="19"/>
      <c r="O34" s="19">
        <f>VLOOKUP(A:A,[1]TDSheet!$A:$R,18,0)</f>
        <v>0</v>
      </c>
      <c r="P34" s="19">
        <f t="shared" si="2"/>
        <v>3.6</v>
      </c>
      <c r="Q34" s="20"/>
      <c r="R34" s="20"/>
      <c r="S34" s="19"/>
      <c r="T34" s="19">
        <f t="shared" si="4"/>
        <v>286.66666666666703</v>
      </c>
      <c r="U34" s="19">
        <f t="shared" si="5"/>
        <v>286.66666666666703</v>
      </c>
      <c r="V34" s="19">
        <f>VLOOKUP(A:A,[1]TDSheet!$A:$X,24,0)</f>
        <v>62.6</v>
      </c>
      <c r="W34" s="19">
        <f>VLOOKUP(A:A,[1]TDSheet!$A:$Y,25,0)</f>
        <v>63.8</v>
      </c>
      <c r="X34" s="19">
        <f>VLOOKUP(A:A,[1]TDSheet!$A:$Z,26,0)</f>
        <v>63.8</v>
      </c>
      <c r="Y34" s="19">
        <f>VLOOKUP(A:A,[1]TDSheet!$A:$Q,17,0)</f>
        <v>50.4</v>
      </c>
      <c r="Z34" s="19">
        <f>VLOOKUP(A:A,[1]TDSheet!$A:$AA,27,0)</f>
        <v>0</v>
      </c>
      <c r="AA34" s="19">
        <f t="shared" si="6"/>
        <v>0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</row>
    <row r="35" spans="1:53" ht="11.1" customHeight="1">
      <c r="A35" s="17" t="s">
        <v>60</v>
      </c>
      <c r="B35" s="17" t="s">
        <v>38</v>
      </c>
      <c r="C35" s="18">
        <v>11</v>
      </c>
      <c r="D35" s="18">
        <v>1500</v>
      </c>
      <c r="E35" s="18">
        <v>31</v>
      </c>
      <c r="F35" s="18">
        <v>1351</v>
      </c>
      <c r="G35" s="19">
        <f>VLOOKUP(A:A,[1]TDSheet!$A:$G,7,0)</f>
        <v>0.18</v>
      </c>
      <c r="H35" s="19">
        <f>VLOOKUP(A:A,[1]TDSheet!$A:$H,8,0)</f>
        <v>150</v>
      </c>
      <c r="I35" s="19">
        <f>VLOOKUP(A:A,[1]TDSheet!$A:$I,9,0)</f>
        <v>5038459</v>
      </c>
      <c r="J35" s="19"/>
      <c r="K35" s="19">
        <f>VLOOKUP(A:A,[2]TDSheet!$A:$B,2,0)</f>
        <v>85</v>
      </c>
      <c r="L35" s="19">
        <f t="shared" si="1"/>
        <v>-54</v>
      </c>
      <c r="M35" s="19"/>
      <c r="N35" s="19"/>
      <c r="O35" s="19">
        <f>VLOOKUP(A:A,[1]TDSheet!$A:$R,18,0)</f>
        <v>0</v>
      </c>
      <c r="P35" s="19">
        <f t="shared" si="2"/>
        <v>6.2</v>
      </c>
      <c r="Q35" s="20"/>
      <c r="R35" s="20"/>
      <c r="S35" s="19"/>
      <c r="T35" s="19">
        <f t="shared" si="4"/>
        <v>217.90322580645201</v>
      </c>
      <c r="U35" s="19">
        <f t="shared" si="5"/>
        <v>217.90322580645201</v>
      </c>
      <c r="V35" s="19">
        <f>VLOOKUP(A:A,[1]TDSheet!$A:$X,24,0)</f>
        <v>59.8</v>
      </c>
      <c r="W35" s="19">
        <f>VLOOKUP(A:A,[1]TDSheet!$A:$Y,25,0)</f>
        <v>83.4</v>
      </c>
      <c r="X35" s="19">
        <f>VLOOKUP(A:A,[1]TDSheet!$A:$Z,26,0)</f>
        <v>32.799999999999997</v>
      </c>
      <c r="Y35" s="19">
        <f>VLOOKUP(A:A,[1]TDSheet!$A:$Q,17,0)</f>
        <v>63.4</v>
      </c>
      <c r="Z35" s="19">
        <f>VLOOKUP(A:A,[1]TDSheet!$A:$AA,27,0)</f>
        <v>0</v>
      </c>
      <c r="AA35" s="19">
        <f t="shared" si="6"/>
        <v>0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</row>
    <row r="36" spans="1:53" ht="11.1" customHeight="1">
      <c r="A36" s="17" t="s">
        <v>61</v>
      </c>
      <c r="B36" s="17" t="s">
        <v>38</v>
      </c>
      <c r="C36" s="21"/>
      <c r="D36" s="18">
        <v>150</v>
      </c>
      <c r="E36" s="18">
        <v>16</v>
      </c>
      <c r="F36" s="18">
        <v>118</v>
      </c>
      <c r="G36" s="19">
        <f>VLOOKUP(A:A,[1]TDSheet!$A:$G,7,0)</f>
        <v>0.18</v>
      </c>
      <c r="H36" s="19">
        <f>VLOOKUP(A:A,[1]TDSheet!$A:$H,8,0)</f>
        <v>150</v>
      </c>
      <c r="I36" s="19">
        <f>VLOOKUP(A:A,[1]TDSheet!$A:$I,9,0)</f>
        <v>5038831</v>
      </c>
      <c r="J36" s="19"/>
      <c r="K36" s="19">
        <f>VLOOKUP(A:A,[2]TDSheet!$A:$B,2,0)</f>
        <v>36</v>
      </c>
      <c r="L36" s="19">
        <f t="shared" si="1"/>
        <v>-20</v>
      </c>
      <c r="M36" s="19"/>
      <c r="N36" s="19"/>
      <c r="O36" s="19">
        <f>VLOOKUP(A:A,[1]TDSheet!$A:$R,18,0)</f>
        <v>650</v>
      </c>
      <c r="P36" s="19">
        <f t="shared" si="2"/>
        <v>3.2</v>
      </c>
      <c r="Q36" s="20"/>
      <c r="R36" s="20"/>
      <c r="S36" s="19"/>
      <c r="T36" s="19">
        <f t="shared" si="4"/>
        <v>240</v>
      </c>
      <c r="U36" s="19">
        <f t="shared" si="5"/>
        <v>36.875</v>
      </c>
      <c r="V36" s="19">
        <f>VLOOKUP(A:A,[1]TDSheet!$A:$X,24,0)</f>
        <v>35</v>
      </c>
      <c r="W36" s="19">
        <f>VLOOKUP(A:A,[1]TDSheet!$A:$Y,25,0)</f>
        <v>3.4</v>
      </c>
      <c r="X36" s="19">
        <f>VLOOKUP(A:A,[1]TDSheet!$A:$Z,26,0)</f>
        <v>-0.2</v>
      </c>
      <c r="Y36" s="19">
        <f>VLOOKUP(A:A,[1]TDSheet!$A:$Q,17,0)</f>
        <v>40</v>
      </c>
      <c r="Z36" s="19" t="str">
        <f>VLOOKUP(A:A,[1]TDSheet!$A:$AA,27,0)</f>
        <v>увел продажи</v>
      </c>
      <c r="AA36" s="19">
        <f t="shared" si="6"/>
        <v>0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</row>
    <row r="37" spans="1:53" ht="11.1" customHeight="1">
      <c r="A37" s="17" t="s">
        <v>62</v>
      </c>
      <c r="B37" s="17" t="s">
        <v>38</v>
      </c>
      <c r="C37" s="18">
        <v>137</v>
      </c>
      <c r="D37" s="18">
        <v>1000</v>
      </c>
      <c r="E37" s="18">
        <v>148</v>
      </c>
      <c r="F37" s="18">
        <v>972</v>
      </c>
      <c r="G37" s="19">
        <f>VLOOKUP(A:A,[1]TDSheet!$A:$G,7,0)</f>
        <v>0.18</v>
      </c>
      <c r="H37" s="19">
        <f>VLOOKUP(A:A,[1]TDSheet!$A:$H,8,0)</f>
        <v>120</v>
      </c>
      <c r="I37" s="19">
        <f>VLOOKUP(A:A,[1]TDSheet!$A:$I,9,0)</f>
        <v>5038855</v>
      </c>
      <c r="J37" s="19"/>
      <c r="K37" s="19">
        <f>VLOOKUP(A:A,[2]TDSheet!$A:$B,2,0)</f>
        <v>146</v>
      </c>
      <c r="L37" s="19">
        <f t="shared" si="1"/>
        <v>2</v>
      </c>
      <c r="M37" s="19"/>
      <c r="N37" s="19"/>
      <c r="O37" s="19">
        <f>VLOOKUP(A:A,[1]TDSheet!$A:$R,18,0)</f>
        <v>0</v>
      </c>
      <c r="P37" s="19">
        <f t="shared" si="2"/>
        <v>29.6</v>
      </c>
      <c r="Q37" s="20"/>
      <c r="R37" s="20"/>
      <c r="S37" s="19"/>
      <c r="T37" s="19">
        <f t="shared" si="4"/>
        <v>32.837837837837803</v>
      </c>
      <c r="U37" s="19">
        <f t="shared" si="5"/>
        <v>32.837837837837803</v>
      </c>
      <c r="V37" s="19">
        <f>VLOOKUP(A:A,[1]TDSheet!$A:$X,24,0)</f>
        <v>4.2</v>
      </c>
      <c r="W37" s="19">
        <f>VLOOKUP(A:A,[1]TDSheet!$A:$Y,25,0)</f>
        <v>81.8</v>
      </c>
      <c r="X37" s="19">
        <f>VLOOKUP(A:A,[1]TDSheet!$A:$Z,26,0)</f>
        <v>45.6</v>
      </c>
      <c r="Y37" s="19">
        <f>VLOOKUP(A:A,[1]TDSheet!$A:$Q,17,0)</f>
        <v>58.4</v>
      </c>
      <c r="Z37" s="19">
        <f>VLOOKUP(A:A,[1]TDSheet!$A:$AA,27,0)</f>
        <v>0</v>
      </c>
      <c r="AA37" s="19">
        <f t="shared" si="6"/>
        <v>0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</row>
    <row r="38" spans="1:53" ht="11.1" customHeight="1">
      <c r="A38" s="17" t="s">
        <v>63</v>
      </c>
      <c r="B38" s="17" t="s">
        <v>38</v>
      </c>
      <c r="C38" s="18">
        <v>307</v>
      </c>
      <c r="D38" s="18">
        <v>951</v>
      </c>
      <c r="E38" s="18">
        <v>269</v>
      </c>
      <c r="F38" s="18">
        <v>959</v>
      </c>
      <c r="G38" s="19">
        <f>VLOOKUP(A:A,[1]TDSheet!$A:$G,7,0)</f>
        <v>0.18</v>
      </c>
      <c r="H38" s="19">
        <f>VLOOKUP(A:A,[1]TDSheet!$A:$H,8,0)</f>
        <v>150</v>
      </c>
      <c r="I38" s="19">
        <f>VLOOKUP(A:A,[1]TDSheet!$A:$I,9,0)</f>
        <v>5038435</v>
      </c>
      <c r="J38" s="19"/>
      <c r="K38" s="19">
        <f>VLOOKUP(A:A,[2]TDSheet!$A:$B,2,0)</f>
        <v>262</v>
      </c>
      <c r="L38" s="19">
        <f t="shared" si="1"/>
        <v>7</v>
      </c>
      <c r="M38" s="19"/>
      <c r="N38" s="19"/>
      <c r="O38" s="19">
        <f>VLOOKUP(A:A,[1]TDSheet!$A:$R,18,0)</f>
        <v>630</v>
      </c>
      <c r="P38" s="19">
        <f t="shared" si="2"/>
        <v>53.8</v>
      </c>
      <c r="Q38" s="20"/>
      <c r="R38" s="20"/>
      <c r="S38" s="19"/>
      <c r="T38" s="19">
        <f t="shared" si="4"/>
        <v>29.535315985130101</v>
      </c>
      <c r="U38" s="19">
        <f t="shared" si="5"/>
        <v>17.8252788104089</v>
      </c>
      <c r="V38" s="19">
        <f>VLOOKUP(A:A,[1]TDSheet!$A:$X,24,0)</f>
        <v>77.2</v>
      </c>
      <c r="W38" s="19">
        <f>VLOOKUP(A:A,[1]TDSheet!$A:$Y,25,0)</f>
        <v>72.599999999999994</v>
      </c>
      <c r="X38" s="19">
        <f>VLOOKUP(A:A,[1]TDSheet!$A:$Z,26,0)</f>
        <v>81.599999999999994</v>
      </c>
      <c r="Y38" s="19">
        <f>VLOOKUP(A:A,[1]TDSheet!$A:$Q,17,0)</f>
        <v>94.6</v>
      </c>
      <c r="Z38" s="19">
        <f>VLOOKUP(A:A,[1]TDSheet!$A:$AA,27,0)</f>
        <v>0</v>
      </c>
      <c r="AA38" s="19">
        <f t="shared" si="6"/>
        <v>0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</row>
    <row r="39" spans="1:53" ht="21.9" customHeight="1">
      <c r="A39" s="17" t="s">
        <v>64</v>
      </c>
      <c r="B39" s="17" t="s">
        <v>38</v>
      </c>
      <c r="C39" s="18">
        <v>152</v>
      </c>
      <c r="D39" s="18">
        <v>520</v>
      </c>
      <c r="E39" s="18">
        <v>159</v>
      </c>
      <c r="F39" s="18">
        <v>496</v>
      </c>
      <c r="G39" s="19">
        <f>VLOOKUP(A:A,[1]TDSheet!$A:$G,7,0)</f>
        <v>0.18</v>
      </c>
      <c r="H39" s="19">
        <f>VLOOKUP(A:A,[1]TDSheet!$A:$H,8,0)</f>
        <v>120</v>
      </c>
      <c r="I39" s="19">
        <f>VLOOKUP(A:A,[1]TDSheet!$A:$I,9,0)</f>
        <v>5038398</v>
      </c>
      <c r="J39" s="19"/>
      <c r="K39" s="19">
        <f>VLOOKUP(A:A,[2]TDSheet!$A:$B,2,0)</f>
        <v>170</v>
      </c>
      <c r="L39" s="19">
        <f t="shared" si="1"/>
        <v>-11</v>
      </c>
      <c r="M39" s="19"/>
      <c r="N39" s="19"/>
      <c r="O39" s="19">
        <f>VLOOKUP(A:A,[1]TDSheet!$A:$R,18,0)</f>
        <v>580</v>
      </c>
      <c r="P39" s="19">
        <f t="shared" si="2"/>
        <v>31.8</v>
      </c>
      <c r="Q39" s="20"/>
      <c r="R39" s="20"/>
      <c r="S39" s="19"/>
      <c r="T39" s="19">
        <f t="shared" si="4"/>
        <v>33.836477987421397</v>
      </c>
      <c r="U39" s="19">
        <f t="shared" si="5"/>
        <v>15.597484276729601</v>
      </c>
      <c r="V39" s="19">
        <f>VLOOKUP(A:A,[1]TDSheet!$A:$X,24,0)</f>
        <v>22.8</v>
      </c>
      <c r="W39" s="19">
        <f>VLOOKUP(A:A,[1]TDSheet!$A:$Y,25,0)</f>
        <v>56.6</v>
      </c>
      <c r="X39" s="19">
        <f>VLOOKUP(A:A,[1]TDSheet!$A:$Z,26,0)</f>
        <v>39.6</v>
      </c>
      <c r="Y39" s="19">
        <f>VLOOKUP(A:A,[1]TDSheet!$A:$Q,17,0)</f>
        <v>62.4</v>
      </c>
      <c r="Z39" s="19" t="str">
        <f>VLOOKUP(A:A,[1]TDSheet!$A:$AA,27,0)</f>
        <v>увел продажи</v>
      </c>
      <c r="AA39" s="19">
        <f t="shared" si="6"/>
        <v>0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</row>
    <row r="40" spans="1:53" ht="11.1" customHeight="1">
      <c r="A40" s="17" t="s">
        <v>65</v>
      </c>
      <c r="B40" s="17" t="s">
        <v>38</v>
      </c>
      <c r="C40" s="18">
        <v>87</v>
      </c>
      <c r="D40" s="18">
        <v>752</v>
      </c>
      <c r="E40" s="18">
        <v>46</v>
      </c>
      <c r="F40" s="18">
        <v>793</v>
      </c>
      <c r="G40" s="19">
        <f>VLOOKUP(A:A,[1]TDSheet!$A:$G,7,0)</f>
        <v>0.18</v>
      </c>
      <c r="H40" s="19">
        <f>VLOOKUP(A:A,[1]TDSheet!$A:$H,8,0)</f>
        <v>270</v>
      </c>
      <c r="I40" s="19">
        <f>VLOOKUP(A:A,[1]TDSheet!$A:$I,9,0)</f>
        <v>9988681</v>
      </c>
      <c r="J40" s="19"/>
      <c r="K40" s="19">
        <f>VLOOKUP(A:A,[2]TDSheet!$A:$B,2,0)</f>
        <v>49</v>
      </c>
      <c r="L40" s="19">
        <f t="shared" si="1"/>
        <v>-3</v>
      </c>
      <c r="M40" s="19"/>
      <c r="N40" s="19"/>
      <c r="O40" s="19">
        <f>VLOOKUP(A:A,[1]TDSheet!$A:$R,18,0)</f>
        <v>560</v>
      </c>
      <c r="P40" s="19">
        <f t="shared" si="2"/>
        <v>9.1999999999999993</v>
      </c>
      <c r="Q40" s="20"/>
      <c r="R40" s="20"/>
      <c r="S40" s="19"/>
      <c r="T40" s="19">
        <f t="shared" si="4"/>
        <v>147.065217391304</v>
      </c>
      <c r="U40" s="19">
        <f t="shared" si="5"/>
        <v>86.195652173913004</v>
      </c>
      <c r="V40" s="19">
        <f>VLOOKUP(A:A,[1]TDSheet!$A:$X,24,0)</f>
        <v>31</v>
      </c>
      <c r="W40" s="19">
        <f>VLOOKUP(A:A,[1]TDSheet!$A:$Y,25,0)</f>
        <v>64</v>
      </c>
      <c r="X40" s="19">
        <f>VLOOKUP(A:A,[1]TDSheet!$A:$Z,26,0)</f>
        <v>34.6</v>
      </c>
      <c r="Y40" s="19">
        <f>VLOOKUP(A:A,[1]TDSheet!$A:$Q,17,0)</f>
        <v>55.6</v>
      </c>
      <c r="Z40" s="19">
        <f>VLOOKUP(A:A,[1]TDSheet!$A:$AA,27,0)</f>
        <v>0</v>
      </c>
      <c r="AA40" s="19">
        <f t="shared" si="6"/>
        <v>0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</row>
    <row r="41" spans="1:53" ht="21.9" customHeight="1">
      <c r="A41" s="17" t="s">
        <v>66</v>
      </c>
      <c r="B41" s="17" t="s">
        <v>35</v>
      </c>
      <c r="C41" s="18">
        <v>205.262</v>
      </c>
      <c r="D41" s="18"/>
      <c r="E41" s="18">
        <v>62.911999999999999</v>
      </c>
      <c r="F41" s="18">
        <v>125.646</v>
      </c>
      <c r="G41" s="19">
        <f>VLOOKUP(A:A,[1]TDSheet!$A:$G,7,0)</f>
        <v>1</v>
      </c>
      <c r="H41" s="19">
        <f>VLOOKUP(A:A,[1]TDSheet!$A:$H,8,0)</f>
        <v>0</v>
      </c>
      <c r="I41" s="19">
        <f>VLOOKUP(A:A,[1]TDSheet!$A:$I,9,0)</f>
        <v>8785242</v>
      </c>
      <c r="J41" s="19"/>
      <c r="K41" s="19">
        <f>VLOOKUP(A:A,[2]TDSheet!$A:$B,2,0)</f>
        <v>54.5</v>
      </c>
      <c r="L41" s="19">
        <f t="shared" si="1"/>
        <v>8.4120000000000008</v>
      </c>
      <c r="M41" s="19"/>
      <c r="N41" s="19"/>
      <c r="O41" s="19">
        <f>VLOOKUP(A:A,[1]TDSheet!$A:$R,18,0)</f>
        <v>0</v>
      </c>
      <c r="P41" s="19">
        <f t="shared" si="2"/>
        <v>12.5824</v>
      </c>
      <c r="Q41" s="20">
        <f t="shared" si="3"/>
        <v>126.002</v>
      </c>
      <c r="R41" s="20"/>
      <c r="S41" s="19"/>
      <c r="T41" s="19">
        <f t="shared" si="4"/>
        <v>20</v>
      </c>
      <c r="U41" s="19">
        <f t="shared" si="5"/>
        <v>9.9858532553407908</v>
      </c>
      <c r="V41" s="19">
        <f>VLOOKUP(A:A,[1]TDSheet!$A:$X,24,0)</f>
        <v>9.9700000000000006</v>
      </c>
      <c r="W41" s="19">
        <f>VLOOKUP(A:A,[1]TDSheet!$A:$Y,25,0)</f>
        <v>6.5415999999999999</v>
      </c>
      <c r="X41" s="19">
        <f>VLOOKUP(A:A,[1]TDSheet!$A:$Z,26,0)</f>
        <v>9.9288000000000007</v>
      </c>
      <c r="Y41" s="19">
        <f>VLOOKUP(A:A,[1]TDSheet!$A:$Q,17,0)</f>
        <v>6.2552000000000003</v>
      </c>
      <c r="Z41" s="19">
        <f>VLOOKUP(A:A,[1]TDSheet!$A:$AA,27,0)</f>
        <v>0</v>
      </c>
      <c r="AA41" s="19">
        <f t="shared" si="6"/>
        <v>126.002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</row>
    <row r="42" spans="1:53" ht="21.9" customHeight="1">
      <c r="A42" s="17" t="s">
        <v>67</v>
      </c>
      <c r="B42" s="17" t="s">
        <v>35</v>
      </c>
      <c r="C42" s="18">
        <v>139.35400000000001</v>
      </c>
      <c r="D42" s="18"/>
      <c r="E42" s="18">
        <v>38.543999999999997</v>
      </c>
      <c r="F42" s="18">
        <v>97.43</v>
      </c>
      <c r="G42" s="19">
        <f>VLOOKUP(A:A,[1]TDSheet!$A:$G,7,0)</f>
        <v>1</v>
      </c>
      <c r="H42" s="19">
        <v>0</v>
      </c>
      <c r="I42" s="19">
        <f>VLOOKUP(A:A,[1]TDSheet!$A:$I,9,0)</f>
        <v>0</v>
      </c>
      <c r="J42" s="19"/>
      <c r="K42" s="19">
        <f>VLOOKUP(A:A,[2]TDSheet!$A:$B,2,0)</f>
        <v>38.5</v>
      </c>
      <c r="L42" s="19">
        <f t="shared" si="1"/>
        <v>4.3999999999996903E-2</v>
      </c>
      <c r="M42" s="19"/>
      <c r="N42" s="19"/>
      <c r="O42" s="19">
        <f>VLOOKUP(A:A,[1]TDSheet!$A:$R,18,0)</f>
        <v>0</v>
      </c>
      <c r="P42" s="19">
        <f t="shared" si="2"/>
        <v>7.7088000000000001</v>
      </c>
      <c r="Q42" s="20">
        <f t="shared" si="3"/>
        <v>56.746000000000002</v>
      </c>
      <c r="R42" s="20"/>
      <c r="S42" s="19"/>
      <c r="T42" s="19">
        <f t="shared" si="4"/>
        <v>20</v>
      </c>
      <c r="U42" s="19">
        <f t="shared" si="5"/>
        <v>12.638802407638</v>
      </c>
      <c r="V42" s="19">
        <f>VLOOKUP(A:A,[1]TDSheet!$A:$X,24,0)</f>
        <v>0</v>
      </c>
      <c r="W42" s="19">
        <f>VLOOKUP(A:A,[1]TDSheet!$A:$Y,25,0)</f>
        <v>0</v>
      </c>
      <c r="X42" s="19">
        <f>VLOOKUP(A:A,[1]TDSheet!$A:$Z,26,0)</f>
        <v>5.2211999999999996</v>
      </c>
      <c r="Y42" s="19">
        <f>VLOOKUP(A:A,[1]TDSheet!$A:$Q,17,0)</f>
        <v>9.3124000000000002</v>
      </c>
      <c r="Z42" s="19" t="e">
        <f>VLOOKUP(A:A,[1]TDSheet!$A:$AA,27,0)</f>
        <v>#N/A</v>
      </c>
      <c r="AA42" s="19">
        <f t="shared" si="6"/>
        <v>56.746000000000002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</row>
    <row r="43" spans="1:53" ht="21.9" customHeight="1">
      <c r="A43" s="17" t="s">
        <v>68</v>
      </c>
      <c r="B43" s="17" t="s">
        <v>35</v>
      </c>
      <c r="C43" s="18">
        <v>-0.33300000000000002</v>
      </c>
      <c r="D43" s="18">
        <v>447.774</v>
      </c>
      <c r="E43" s="18">
        <v>12.518000000000001</v>
      </c>
      <c r="F43" s="18">
        <v>418.96300000000002</v>
      </c>
      <c r="G43" s="19">
        <f>VLOOKUP(A:A,[1]TDSheet!$A:$G,7,0)</f>
        <v>1</v>
      </c>
      <c r="H43" s="19">
        <f>VLOOKUP(A:A,[1]TDSheet!$A:$H,8,0)</f>
        <v>120</v>
      </c>
      <c r="I43" s="19">
        <f>VLOOKUP(A:A,[1]TDSheet!$A:$I,9,0)</f>
        <v>8785198</v>
      </c>
      <c r="J43" s="19"/>
      <c r="K43" s="19">
        <f>VLOOKUP(A:A,[2]TDSheet!$A:$B,2,0)</f>
        <v>24.8</v>
      </c>
      <c r="L43" s="19">
        <f t="shared" si="1"/>
        <v>-12.282</v>
      </c>
      <c r="M43" s="19"/>
      <c r="N43" s="19"/>
      <c r="O43" s="19">
        <f>VLOOKUP(A:A,[1]TDSheet!$A:$R,18,0)</f>
        <v>250</v>
      </c>
      <c r="P43" s="19">
        <f t="shared" si="2"/>
        <v>2.5036</v>
      </c>
      <c r="Q43" s="20"/>
      <c r="R43" s="20"/>
      <c r="S43" s="19"/>
      <c r="T43" s="19">
        <f t="shared" si="4"/>
        <v>267.20043137881402</v>
      </c>
      <c r="U43" s="19">
        <f t="shared" si="5"/>
        <v>167.344224316984</v>
      </c>
      <c r="V43" s="19">
        <f>VLOOKUP(A:A,[1]TDSheet!$A:$X,24,0)</f>
        <v>22.079799999999999</v>
      </c>
      <c r="W43" s="19">
        <f>VLOOKUP(A:A,[1]TDSheet!$A:$Y,25,0)</f>
        <v>24.089600000000001</v>
      </c>
      <c r="X43" s="19">
        <f>VLOOKUP(A:A,[1]TDSheet!$A:$Z,26,0)</f>
        <v>24.099</v>
      </c>
      <c r="Y43" s="19">
        <f>VLOOKUP(A:A,[1]TDSheet!$A:$Q,17,0)</f>
        <v>0</v>
      </c>
      <c r="Z43" s="19">
        <f>VLOOKUP(A:A,[1]TDSheet!$A:$AA,27,0)</f>
        <v>0</v>
      </c>
      <c r="AA43" s="19">
        <f t="shared" si="6"/>
        <v>0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" customHeight="1">
      <c r="A44" s="17" t="s">
        <v>69</v>
      </c>
      <c r="B44" s="17" t="s">
        <v>35</v>
      </c>
      <c r="C44" s="18">
        <v>84.504000000000005</v>
      </c>
      <c r="D44" s="18"/>
      <c r="E44" s="18">
        <v>42.978000000000002</v>
      </c>
      <c r="F44" s="18">
        <v>41.526000000000003</v>
      </c>
      <c r="G44" s="19">
        <f>VLOOKUP(A:A,[1]TDSheet!$A:$G,7,0)</f>
        <v>1</v>
      </c>
      <c r="H44" s="19">
        <v>0</v>
      </c>
      <c r="I44" s="19">
        <f>VLOOKUP(A:A,[1]TDSheet!$A:$I,9,0)</f>
        <v>8785259</v>
      </c>
      <c r="J44" s="19"/>
      <c r="K44" s="19">
        <f>VLOOKUP(A:A,[2]TDSheet!$A:$B,2,0)</f>
        <v>38.5</v>
      </c>
      <c r="L44" s="19">
        <f t="shared" si="1"/>
        <v>4.4779999999999998</v>
      </c>
      <c r="M44" s="19"/>
      <c r="N44" s="19"/>
      <c r="O44" s="19">
        <f>VLOOKUP(A:A,[1]TDSheet!$A:$R,18,0)</f>
        <v>0</v>
      </c>
      <c r="P44" s="19">
        <f t="shared" si="2"/>
        <v>8.5955999999999992</v>
      </c>
      <c r="Q44" s="20">
        <f t="shared" si="3"/>
        <v>130.386</v>
      </c>
      <c r="R44" s="20"/>
      <c r="S44" s="19"/>
      <c r="T44" s="19">
        <f t="shared" si="4"/>
        <v>20</v>
      </c>
      <c r="U44" s="19">
        <f t="shared" si="5"/>
        <v>4.8310763646516799</v>
      </c>
      <c r="V44" s="19">
        <f>VLOOKUP(A:A,[1]TDSheet!$A:$X,24,0)</f>
        <v>7.2476000000000003</v>
      </c>
      <c r="W44" s="19">
        <f>VLOOKUP(A:A,[1]TDSheet!$A:$Y,25,0)</f>
        <v>4.3764000000000003</v>
      </c>
      <c r="X44" s="19">
        <f>VLOOKUP(A:A,[1]TDSheet!$A:$Z,26,0)</f>
        <v>8.2704000000000004</v>
      </c>
      <c r="Y44" s="19">
        <f>VLOOKUP(A:A,[1]TDSheet!$A:$Q,17,0)</f>
        <v>1.8504</v>
      </c>
      <c r="Z44" s="19" t="e">
        <f>VLOOKUP(A:A,[1]TDSheet!$A:$AA,27,0)</f>
        <v>#VALUE!</v>
      </c>
      <c r="AA44" s="19">
        <f t="shared" si="6"/>
        <v>130.386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</row>
    <row r="45" spans="1:53" ht="11.1" customHeight="1">
      <c r="A45" s="17" t="s">
        <v>70</v>
      </c>
      <c r="B45" s="17" t="s">
        <v>38</v>
      </c>
      <c r="C45" s="18">
        <v>103</v>
      </c>
      <c r="D45" s="18"/>
      <c r="E45" s="18">
        <v>69</v>
      </c>
      <c r="F45" s="18">
        <v>22</v>
      </c>
      <c r="G45" s="19">
        <f>VLOOKUP(A:A,[1]TDSheet!$A:$G,7,0)</f>
        <v>0.1</v>
      </c>
      <c r="H45" s="19">
        <f>VLOOKUP(A:A,[1]TDSheet!$A:$H,8,0)</f>
        <v>60</v>
      </c>
      <c r="I45" s="19">
        <f>VLOOKUP(A:A,[1]TDSheet!$A:$I,9,0)</f>
        <v>8444187</v>
      </c>
      <c r="J45" s="19"/>
      <c r="K45" s="19">
        <f>VLOOKUP(A:A,[2]TDSheet!$A:$B,2,0)</f>
        <v>69</v>
      </c>
      <c r="L45" s="19">
        <f t="shared" si="1"/>
        <v>0</v>
      </c>
      <c r="M45" s="19"/>
      <c r="N45" s="19"/>
      <c r="O45" s="19">
        <f>VLOOKUP(A:A,[1]TDSheet!$A:$R,18,0)</f>
        <v>80</v>
      </c>
      <c r="P45" s="19">
        <f t="shared" si="2"/>
        <v>13.8</v>
      </c>
      <c r="Q45" s="20">
        <f t="shared" si="3"/>
        <v>174</v>
      </c>
      <c r="R45" s="20">
        <v>250</v>
      </c>
      <c r="S45" s="19"/>
      <c r="T45" s="19">
        <f t="shared" si="4"/>
        <v>20</v>
      </c>
      <c r="U45" s="19">
        <f t="shared" si="5"/>
        <v>1.5942028985507199</v>
      </c>
      <c r="V45" s="19">
        <f>VLOOKUP(A:A,[1]TDSheet!$A:$X,24,0)</f>
        <v>13</v>
      </c>
      <c r="W45" s="19">
        <f>VLOOKUP(A:A,[1]TDSheet!$A:$Y,25,0)</f>
        <v>1.8</v>
      </c>
      <c r="X45" s="19">
        <f>VLOOKUP(A:A,[1]TDSheet!$A:$Z,26,0)</f>
        <v>-0.2</v>
      </c>
      <c r="Y45" s="19">
        <f>VLOOKUP(A:A,[1]TDSheet!$A:$Q,17,0)</f>
        <v>9.1999999999999993</v>
      </c>
      <c r="Z45" s="19">
        <f>VLOOKUP(A:A,[1]TDSheet!$A:$AA,27,0)</f>
        <v>0</v>
      </c>
      <c r="AA45" s="19">
        <f t="shared" si="6"/>
        <v>17.399999999999999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</row>
    <row r="46" spans="1:53" ht="11.1" customHeight="1">
      <c r="A46" s="17" t="s">
        <v>71</v>
      </c>
      <c r="B46" s="17" t="s">
        <v>38</v>
      </c>
      <c r="C46" s="18">
        <v>75</v>
      </c>
      <c r="D46" s="18">
        <v>222</v>
      </c>
      <c r="E46" s="18">
        <v>63</v>
      </c>
      <c r="F46" s="18">
        <v>222</v>
      </c>
      <c r="G46" s="19">
        <f>VLOOKUP(A:A,[1]TDSheet!$A:$G,7,0)</f>
        <v>0.1</v>
      </c>
      <c r="H46" s="19">
        <f>VLOOKUP(A:A,[1]TDSheet!$A:$H,8,0)</f>
        <v>90</v>
      </c>
      <c r="I46" s="19">
        <f>VLOOKUP(A:A,[1]TDSheet!$A:$I,9,0)</f>
        <v>8444194</v>
      </c>
      <c r="J46" s="19"/>
      <c r="K46" s="19">
        <f>VLOOKUP(A:A,[2]TDSheet!$A:$B,2,0)</f>
        <v>86</v>
      </c>
      <c r="L46" s="19">
        <f t="shared" si="1"/>
        <v>-23</v>
      </c>
      <c r="M46" s="19"/>
      <c r="N46" s="19"/>
      <c r="O46" s="19">
        <f>VLOOKUP(A:A,[1]TDSheet!$A:$R,18,0)</f>
        <v>0</v>
      </c>
      <c r="P46" s="19">
        <f t="shared" si="2"/>
        <v>12.6</v>
      </c>
      <c r="Q46" s="20">
        <f t="shared" si="3"/>
        <v>30</v>
      </c>
      <c r="R46" s="20"/>
      <c r="S46" s="19"/>
      <c r="T46" s="19">
        <f t="shared" si="4"/>
        <v>20</v>
      </c>
      <c r="U46" s="19">
        <f t="shared" si="5"/>
        <v>17.619047619047599</v>
      </c>
      <c r="V46" s="19">
        <f>VLOOKUP(A:A,[1]TDSheet!$A:$X,24,0)</f>
        <v>1.4</v>
      </c>
      <c r="W46" s="19">
        <f>VLOOKUP(A:A,[1]TDSheet!$A:$Y,25,0)</f>
        <v>18.2</v>
      </c>
      <c r="X46" s="19">
        <f>VLOOKUP(A:A,[1]TDSheet!$A:$Z,26,0)</f>
        <v>11</v>
      </c>
      <c r="Y46" s="19">
        <f>VLOOKUP(A:A,[1]TDSheet!$A:$Q,17,0)</f>
        <v>11.2</v>
      </c>
      <c r="Z46" s="19" t="str">
        <f>VLOOKUP(A:A,[1]TDSheet!$A:$AA,27,0)</f>
        <v>увел продажи</v>
      </c>
      <c r="AA46" s="19">
        <f t="shared" si="6"/>
        <v>3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</row>
    <row r="47" spans="1:53" ht="11.1" customHeight="1">
      <c r="A47" s="22" t="s">
        <v>72</v>
      </c>
      <c r="B47" s="22" t="s">
        <v>38</v>
      </c>
      <c r="C47" s="23">
        <v>294</v>
      </c>
      <c r="D47" s="23"/>
      <c r="E47" s="23">
        <v>35</v>
      </c>
      <c r="F47" s="23">
        <v>259</v>
      </c>
      <c r="G47" s="24">
        <f>VLOOKUP(A:A,[1]TDSheet!$A:$G,7,0)</f>
        <v>0.14000000000000001</v>
      </c>
      <c r="H47" s="24">
        <f>VLOOKUP(A:A,[1]TDSheet!$A:$H,8,0)</f>
        <v>180</v>
      </c>
      <c r="I47" s="24">
        <f>VLOOKUP(A:A,[1]TDSheet!$A:$I,9,0)</f>
        <v>9988391</v>
      </c>
      <c r="J47" s="19"/>
      <c r="K47" s="19">
        <f>VLOOKUP(A:A,[2]TDSheet!$A:$B,2,0)</f>
        <v>35</v>
      </c>
      <c r="L47" s="19">
        <f t="shared" si="1"/>
        <v>0</v>
      </c>
      <c r="M47" s="19"/>
      <c r="N47" s="19"/>
      <c r="O47" s="19">
        <f>VLOOKUP(A:A,[1]TDSheet!$A:$R,18,0)</f>
        <v>0</v>
      </c>
      <c r="P47" s="19">
        <f t="shared" si="2"/>
        <v>7</v>
      </c>
      <c r="Q47" s="20"/>
      <c r="R47" s="20"/>
      <c r="S47" s="19"/>
      <c r="T47" s="19">
        <f t="shared" si="4"/>
        <v>37</v>
      </c>
      <c r="U47" s="19">
        <f t="shared" si="5"/>
        <v>37</v>
      </c>
      <c r="V47" s="19">
        <f>VLOOKUP(A:A,[1]TDSheet!$A:$X,24,0)</f>
        <v>0</v>
      </c>
      <c r="W47" s="19">
        <f>VLOOKUP(A:A,[1]TDSheet!$A:$Y,25,0)</f>
        <v>3.6</v>
      </c>
      <c r="X47" s="19">
        <f>VLOOKUP(A:A,[1]TDSheet!$A:$Z,26,0)</f>
        <v>11.2</v>
      </c>
      <c r="Y47" s="19">
        <f>VLOOKUP(A:A,[1]TDSheet!$A:$Q,17,0)</f>
        <v>5.8</v>
      </c>
      <c r="Z47" s="19">
        <f>VLOOKUP(A:A,[1]TDSheet!$A:$AA,27,0)</f>
        <v>0</v>
      </c>
      <c r="AA47" s="19">
        <f t="shared" si="6"/>
        <v>0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</row>
    <row r="48" spans="1:53" ht="11.1" customHeight="1">
      <c r="A48" s="17" t="s">
        <v>73</v>
      </c>
      <c r="B48" s="17" t="s">
        <v>38</v>
      </c>
      <c r="C48" s="18">
        <v>147</v>
      </c>
      <c r="D48" s="18">
        <v>194</v>
      </c>
      <c r="E48" s="18">
        <v>64</v>
      </c>
      <c r="F48" s="18">
        <v>276</v>
      </c>
      <c r="G48" s="19">
        <f>VLOOKUP(A:A,[1]TDSheet!$A:$G,7,0)</f>
        <v>0.14000000000000001</v>
      </c>
      <c r="H48" s="19">
        <f>VLOOKUP(A:A,[1]TDSheet!$A:$H,8,0)</f>
        <v>180</v>
      </c>
      <c r="I48" s="19">
        <f>VLOOKUP(A:A,[1]TDSheet!$A:$I,9,0)</f>
        <v>9988377</v>
      </c>
      <c r="J48" s="19"/>
      <c r="K48" s="19">
        <f>VLOOKUP(A:A,[2]TDSheet!$A:$B,2,0)</f>
        <v>69</v>
      </c>
      <c r="L48" s="19">
        <f t="shared" si="1"/>
        <v>-5</v>
      </c>
      <c r="M48" s="19"/>
      <c r="N48" s="19"/>
      <c r="O48" s="19">
        <f>VLOOKUP(A:A,[1]TDSheet!$A:$R,18,0)</f>
        <v>0</v>
      </c>
      <c r="P48" s="19">
        <f t="shared" si="2"/>
        <v>12.8</v>
      </c>
      <c r="Q48" s="20"/>
      <c r="R48" s="20"/>
      <c r="S48" s="19"/>
      <c r="T48" s="19">
        <f t="shared" si="4"/>
        <v>21.5625</v>
      </c>
      <c r="U48" s="19">
        <f t="shared" si="5"/>
        <v>21.5625</v>
      </c>
      <c r="V48" s="19">
        <f>VLOOKUP(A:A,[1]TDSheet!$A:$X,24,0)</f>
        <v>6</v>
      </c>
      <c r="W48" s="19">
        <f>VLOOKUP(A:A,[1]TDSheet!$A:$Y,25,0)</f>
        <v>7.2</v>
      </c>
      <c r="X48" s="19">
        <f>VLOOKUP(A:A,[1]TDSheet!$A:$Z,26,0)</f>
        <v>15.2</v>
      </c>
      <c r="Y48" s="19">
        <f>VLOOKUP(A:A,[1]TDSheet!$A:$Q,17,0)</f>
        <v>7.4</v>
      </c>
      <c r="Z48" s="19" t="str">
        <f>VLOOKUP(A:A,[1]TDSheet!$A:$AA,27,0)</f>
        <v>увел продажи</v>
      </c>
      <c r="AA48" s="19">
        <f t="shared" si="6"/>
        <v>0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</row>
    <row r="49" spans="1:53" ht="11.1" customHeight="1">
      <c r="A49" s="22" t="s">
        <v>74</v>
      </c>
      <c r="B49" s="22" t="s">
        <v>38</v>
      </c>
      <c r="C49" s="23">
        <v>21</v>
      </c>
      <c r="D49" s="23"/>
      <c r="E49" s="23">
        <v>0</v>
      </c>
      <c r="F49" s="23">
        <v>21</v>
      </c>
      <c r="G49" s="24">
        <f>VLOOKUP(A:A,[1]TDSheet!$A:$G,7,0)</f>
        <v>0.2</v>
      </c>
      <c r="H49" s="24">
        <v>0</v>
      </c>
      <c r="I49" s="24" t="str">
        <f>VLOOKUP(A:A,[1]TDSheet!$A:$I,9,0)</f>
        <v>783К798</v>
      </c>
      <c r="J49" s="19"/>
      <c r="K49" s="19">
        <v>0</v>
      </c>
      <c r="L49" s="19">
        <f t="shared" si="1"/>
        <v>0</v>
      </c>
      <c r="M49" s="19"/>
      <c r="N49" s="19"/>
      <c r="O49" s="19">
        <f>VLOOKUP(A:A,[1]TDSheet!$A:$R,18,0)</f>
        <v>0</v>
      </c>
      <c r="P49" s="19">
        <f t="shared" si="2"/>
        <v>0</v>
      </c>
      <c r="Q49" s="20"/>
      <c r="R49" s="20"/>
      <c r="S49" s="19"/>
      <c r="T49" s="19" t="e">
        <f t="shared" si="4"/>
        <v>#DIV/0!</v>
      </c>
      <c r="U49" s="19" t="e">
        <f t="shared" si="5"/>
        <v>#DIV/0!</v>
      </c>
      <c r="V49" s="19">
        <f>VLOOKUP(A:A,[1]TDSheet!$A:$X,24,0)</f>
        <v>21</v>
      </c>
      <c r="W49" s="19">
        <f>VLOOKUP(A:A,[1]TDSheet!$A:$Y,25,0)</f>
        <v>15</v>
      </c>
      <c r="X49" s="19">
        <f>VLOOKUP(A:A,[1]TDSheet!$A:$Z,26,0)</f>
        <v>1</v>
      </c>
      <c r="Y49" s="19">
        <f>VLOOKUP(A:A,[1]TDSheet!$A:$Q,17,0)</f>
        <v>0</v>
      </c>
      <c r="Z49" s="19" t="str">
        <f>VLOOKUP(A:A,[1]TDSheet!$A:$AA,27,0)</f>
        <v>увел продажи</v>
      </c>
      <c r="AA49" s="19">
        <f t="shared" si="6"/>
        <v>0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</row>
    <row r="50" spans="1:53" ht="11.1" customHeight="1">
      <c r="A50" s="17" t="s">
        <v>75</v>
      </c>
      <c r="B50" s="17" t="s">
        <v>38</v>
      </c>
      <c r="C50" s="18">
        <v>206</v>
      </c>
      <c r="D50" s="18"/>
      <c r="E50" s="18">
        <v>83</v>
      </c>
      <c r="F50" s="18">
        <v>105</v>
      </c>
      <c r="G50" s="19">
        <f>VLOOKUP(A:A,[1]TDSheet!$A:$G,7,0)</f>
        <v>0.2</v>
      </c>
      <c r="H50" s="19">
        <v>0</v>
      </c>
      <c r="I50" s="19">
        <f>VLOOKUP(A:A,[1]TDSheet!$A:$I,9,0)</f>
        <v>0</v>
      </c>
      <c r="J50" s="19"/>
      <c r="K50" s="19">
        <f>VLOOKUP(A:A,[2]TDSheet!$A:$B,2,0)</f>
        <v>86</v>
      </c>
      <c r="L50" s="19">
        <f t="shared" si="1"/>
        <v>-3</v>
      </c>
      <c r="M50" s="19"/>
      <c r="N50" s="19"/>
      <c r="O50" s="19">
        <f>VLOOKUP(A:A,[1]TDSheet!$A:$R,18,0)</f>
        <v>0</v>
      </c>
      <c r="P50" s="19">
        <f t="shared" si="2"/>
        <v>16.600000000000001</v>
      </c>
      <c r="Q50" s="20">
        <f t="shared" si="3"/>
        <v>227</v>
      </c>
      <c r="R50" s="20"/>
      <c r="S50" s="19"/>
      <c r="T50" s="19">
        <f t="shared" si="4"/>
        <v>20</v>
      </c>
      <c r="U50" s="19">
        <f t="shared" si="5"/>
        <v>6.3253012048192803</v>
      </c>
      <c r="V50" s="19">
        <f>VLOOKUP(A:A,[1]TDSheet!$A:$X,24,0)</f>
        <v>0</v>
      </c>
      <c r="W50" s="19">
        <f>VLOOKUP(A:A,[1]TDSheet!$A:$Y,25,0)</f>
        <v>0</v>
      </c>
      <c r="X50" s="19">
        <f>VLOOKUP(A:A,[1]TDSheet!$A:$Z,26,0)</f>
        <v>16.2</v>
      </c>
      <c r="Y50" s="19">
        <f>VLOOKUP(A:A,[1]TDSheet!$A:$Q,17,0)</f>
        <v>12.6</v>
      </c>
      <c r="Z50" s="19" t="e">
        <f>VLOOKUP(A:A,[1]TDSheet!$A:$AA,27,0)</f>
        <v>#N/A</v>
      </c>
      <c r="AA50" s="19">
        <f t="shared" si="6"/>
        <v>45.4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</row>
    <row r="51" spans="1:53" ht="11.1" customHeight="1">
      <c r="A51" s="17" t="s">
        <v>76</v>
      </c>
      <c r="B51" s="17" t="s">
        <v>35</v>
      </c>
      <c r="C51" s="18">
        <v>31.431999999999999</v>
      </c>
      <c r="D51" s="18"/>
      <c r="E51" s="18">
        <v>9.7439999999999998</v>
      </c>
      <c r="F51" s="18">
        <v>21.687999999999999</v>
      </c>
      <c r="G51" s="19">
        <f>VLOOKUP(A:A,[1]TDSheet!$A:$G,7,0)</f>
        <v>1</v>
      </c>
      <c r="H51" s="19">
        <v>0</v>
      </c>
      <c r="I51" s="19" t="str">
        <f>VLOOKUP(A:A,[1]TDSheet!$A:$I,9,0)</f>
        <v>783К811</v>
      </c>
      <c r="J51" s="19"/>
      <c r="K51" s="19">
        <f>VLOOKUP(A:A,[2]TDSheet!$A:$B,2,0)</f>
        <v>14</v>
      </c>
      <c r="L51" s="19">
        <f t="shared" si="1"/>
        <v>-4.2560000000000002</v>
      </c>
      <c r="M51" s="19"/>
      <c r="N51" s="19"/>
      <c r="O51" s="19">
        <f>VLOOKUP(A:A,[1]TDSheet!$A:$R,18,0)</f>
        <v>0</v>
      </c>
      <c r="P51" s="19">
        <f t="shared" si="2"/>
        <v>1.9488000000000001</v>
      </c>
      <c r="Q51" s="20"/>
      <c r="R51" s="20"/>
      <c r="S51" s="19"/>
      <c r="T51" s="19">
        <f t="shared" si="4"/>
        <v>11.1288998357964</v>
      </c>
      <c r="U51" s="19">
        <f t="shared" si="5"/>
        <v>11.1288998357964</v>
      </c>
      <c r="V51" s="19">
        <f>VLOOKUP(A:A,[1]TDSheet!$A:$X,24,0)</f>
        <v>1.87</v>
      </c>
      <c r="W51" s="19">
        <f>VLOOKUP(A:A,[1]TDSheet!$A:$Y,25,0)</f>
        <v>0</v>
      </c>
      <c r="X51" s="19">
        <f>VLOOKUP(A:A,[1]TDSheet!$A:$Z,26,0)</f>
        <v>0</v>
      </c>
      <c r="Y51" s="19">
        <f>VLOOKUP(A:A,[1]TDSheet!$A:$Q,17,0)</f>
        <v>-0.2034</v>
      </c>
      <c r="Z51" s="19">
        <f>VLOOKUP(A:A,[1]TDSheet!$A:$AA,27,0)</f>
        <v>0</v>
      </c>
      <c r="AA51" s="19">
        <f t="shared" si="6"/>
        <v>0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</row>
    <row r="52" spans="1:53" ht="11.1" customHeight="1">
      <c r="A52" s="22" t="s">
        <v>77</v>
      </c>
      <c r="B52" s="22" t="s">
        <v>35</v>
      </c>
      <c r="C52" s="23">
        <v>28.706</v>
      </c>
      <c r="D52" s="23">
        <v>217.904</v>
      </c>
      <c r="E52" s="23">
        <v>9.3580000000000005</v>
      </c>
      <c r="F52" s="23">
        <v>230.702</v>
      </c>
      <c r="G52" s="24">
        <f>VLOOKUP(A:A,[1]TDSheet!$A:$G,7,0)</f>
        <v>1</v>
      </c>
      <c r="H52" s="24">
        <f>VLOOKUP(A:A,[1]TDSheet!$A:$H,8,0)</f>
        <v>0</v>
      </c>
      <c r="I52" s="24" t="str">
        <f>VLOOKUP(A:A,[1]TDSheet!$A:$I,9,0)</f>
        <v>дубль798</v>
      </c>
      <c r="J52" s="19"/>
      <c r="K52" s="19">
        <f>VLOOKUP(A:A,[2]TDSheet!$A:$B,2,0)</f>
        <v>37</v>
      </c>
      <c r="L52" s="19">
        <f t="shared" si="1"/>
        <v>-27.641999999999999</v>
      </c>
      <c r="M52" s="19"/>
      <c r="N52" s="19"/>
      <c r="O52" s="19">
        <f>VLOOKUP(A:A,[1]TDSheet!$A:$R,18,0)</f>
        <v>0</v>
      </c>
      <c r="P52" s="19">
        <f t="shared" si="2"/>
        <v>1.8715999999999999</v>
      </c>
      <c r="Q52" s="20"/>
      <c r="R52" s="20"/>
      <c r="S52" s="19"/>
      <c r="T52" s="19">
        <f t="shared" si="4"/>
        <v>123.264586450096</v>
      </c>
      <c r="U52" s="19">
        <f t="shared" si="5"/>
        <v>123.264586450096</v>
      </c>
      <c r="V52" s="19">
        <f>VLOOKUP(A:A,[1]TDSheet!$A:$X,24,0)</f>
        <v>2.3915999999999999</v>
      </c>
      <c r="W52" s="19">
        <f>VLOOKUP(A:A,[1]TDSheet!$A:$Y,25,0)</f>
        <v>8.7316000000000003</v>
      </c>
      <c r="X52" s="19">
        <f>VLOOKUP(A:A,[1]TDSheet!$A:$Z,26,0)</f>
        <v>1.3140000000000001</v>
      </c>
      <c r="Y52" s="19">
        <f>VLOOKUP(A:A,[1]TDSheet!$A:$Q,17,0)</f>
        <v>3.1347999999999998</v>
      </c>
      <c r="Z52" s="19" t="str">
        <f>VLOOKUP(A:A,[1]TDSheet!$A:$AA,27,0)</f>
        <v>увел продажи</v>
      </c>
      <c r="AA52" s="19">
        <f t="shared" si="6"/>
        <v>0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</row>
    <row r="53" spans="1:53" ht="11.1" customHeight="1">
      <c r="A53" s="22" t="s">
        <v>78</v>
      </c>
      <c r="B53" s="22" t="s">
        <v>38</v>
      </c>
      <c r="C53" s="23">
        <v>35</v>
      </c>
      <c r="D53" s="23"/>
      <c r="E53" s="23">
        <v>0</v>
      </c>
      <c r="F53" s="23">
        <v>35</v>
      </c>
      <c r="G53" s="24">
        <f>VLOOKUP(A:A,[1]TDSheet!$A:$G,7,0)</f>
        <v>0.2</v>
      </c>
      <c r="H53" s="24">
        <f>VLOOKUP(A:A,[1]TDSheet!$A:$H,8,0)</f>
        <v>0</v>
      </c>
      <c r="I53" s="24" t="str">
        <f>VLOOKUP(A:A,[1]TDSheet!$A:$I,9,0)</f>
        <v>783К801</v>
      </c>
      <c r="J53" s="19"/>
      <c r="K53" s="19">
        <v>0</v>
      </c>
      <c r="L53" s="19">
        <f t="shared" si="1"/>
        <v>0</v>
      </c>
      <c r="M53" s="19"/>
      <c r="N53" s="19"/>
      <c r="O53" s="19">
        <f>VLOOKUP(A:A,[1]TDSheet!$A:$R,18,0)</f>
        <v>0</v>
      </c>
      <c r="P53" s="19">
        <f t="shared" si="2"/>
        <v>0</v>
      </c>
      <c r="Q53" s="20"/>
      <c r="R53" s="20"/>
      <c r="S53" s="19"/>
      <c r="T53" s="19" t="e">
        <f t="shared" si="4"/>
        <v>#DIV/0!</v>
      </c>
      <c r="U53" s="19" t="e">
        <f t="shared" si="5"/>
        <v>#DIV/0!</v>
      </c>
      <c r="V53" s="19">
        <f>VLOOKUP(A:A,[1]TDSheet!$A:$X,24,0)</f>
        <v>14</v>
      </c>
      <c r="W53" s="19">
        <f>VLOOKUP(A:A,[1]TDSheet!$A:$Y,25,0)</f>
        <v>4.2</v>
      </c>
      <c r="X53" s="19">
        <f>VLOOKUP(A:A,[1]TDSheet!$A:$Z,26,0)</f>
        <v>0.2</v>
      </c>
      <c r="Y53" s="19">
        <f>VLOOKUP(A:A,[1]TDSheet!$A:$Q,17,0)</f>
        <v>0</v>
      </c>
      <c r="Z53" s="19" t="str">
        <f>VLOOKUP(A:A,[1]TDSheet!$A:$AA,27,0)</f>
        <v>увел продажи</v>
      </c>
      <c r="AA53" s="19">
        <f t="shared" si="6"/>
        <v>0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</row>
    <row r="54" spans="1:53" ht="11.1" customHeight="1">
      <c r="A54" s="17" t="s">
        <v>79</v>
      </c>
      <c r="B54" s="17" t="s">
        <v>38</v>
      </c>
      <c r="C54" s="18">
        <v>187</v>
      </c>
      <c r="D54" s="18"/>
      <c r="E54" s="18">
        <v>50</v>
      </c>
      <c r="F54" s="18">
        <v>132</v>
      </c>
      <c r="G54" s="19">
        <f>VLOOKUP(A:A,[1]TDSheet!$A:$G,7,0)</f>
        <v>0.2</v>
      </c>
      <c r="H54" s="19">
        <v>0</v>
      </c>
      <c r="I54" s="19">
        <f>VLOOKUP(A:A,[1]TDSheet!$A:$I,9,0)</f>
        <v>0</v>
      </c>
      <c r="J54" s="19"/>
      <c r="K54" s="19">
        <f>VLOOKUP(A:A,[2]TDSheet!$A:$B,2,0)</f>
        <v>50</v>
      </c>
      <c r="L54" s="19">
        <f t="shared" si="1"/>
        <v>0</v>
      </c>
      <c r="M54" s="19"/>
      <c r="N54" s="19"/>
      <c r="O54" s="19">
        <f>VLOOKUP(A:A,[1]TDSheet!$A:$R,18,0)</f>
        <v>0</v>
      </c>
      <c r="P54" s="19">
        <f t="shared" si="2"/>
        <v>10</v>
      </c>
      <c r="Q54" s="20"/>
      <c r="R54" s="20"/>
      <c r="S54" s="19"/>
      <c r="T54" s="19">
        <f t="shared" si="4"/>
        <v>13.2</v>
      </c>
      <c r="U54" s="19">
        <f t="shared" si="5"/>
        <v>13.2</v>
      </c>
      <c r="V54" s="19">
        <f>VLOOKUP(A:A,[1]TDSheet!$A:$X,24,0)</f>
        <v>0</v>
      </c>
      <c r="W54" s="19">
        <f>VLOOKUP(A:A,[1]TDSheet!$A:$Y,25,0)</f>
        <v>0</v>
      </c>
      <c r="X54" s="19">
        <f>VLOOKUP(A:A,[1]TDSheet!$A:$Z,26,0)</f>
        <v>10.6</v>
      </c>
      <c r="Y54" s="19">
        <f>VLOOKUP(A:A,[1]TDSheet!$A:$Q,17,0)</f>
        <v>2</v>
      </c>
      <c r="Z54" s="19" t="e">
        <f>VLOOKUP(A:A,[1]TDSheet!$A:$AA,27,0)</f>
        <v>#N/A</v>
      </c>
      <c r="AA54" s="19">
        <f t="shared" si="6"/>
        <v>0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</row>
    <row r="55" spans="1:53" ht="11.1" customHeight="1">
      <c r="A55" s="17" t="s">
        <v>80</v>
      </c>
      <c r="B55" s="17" t="s">
        <v>35</v>
      </c>
      <c r="C55" s="18">
        <v>49.927999999999997</v>
      </c>
      <c r="D55" s="18">
        <v>559.97799999999995</v>
      </c>
      <c r="E55" s="18">
        <v>44.866</v>
      </c>
      <c r="F55" s="18">
        <v>505.20600000000002</v>
      </c>
      <c r="G55" s="19">
        <f>VLOOKUP(A:A,[1]TDSheet!$A:$G,7,0)</f>
        <v>1</v>
      </c>
      <c r="H55" s="19">
        <v>0</v>
      </c>
      <c r="I55" s="19" t="str">
        <f>VLOOKUP(A:A,[1]TDSheet!$A:$I,9,0)</f>
        <v>783К825</v>
      </c>
      <c r="J55" s="19"/>
      <c r="K55" s="19">
        <f>VLOOKUP(A:A,[2]TDSheet!$A:$B,2,0)</f>
        <v>41</v>
      </c>
      <c r="L55" s="19">
        <f t="shared" si="1"/>
        <v>3.8660000000000001</v>
      </c>
      <c r="M55" s="19"/>
      <c r="N55" s="19"/>
      <c r="O55" s="19">
        <f>VLOOKUP(A:A,[1]TDSheet!$A:$R,18,0)</f>
        <v>0</v>
      </c>
      <c r="P55" s="19">
        <f t="shared" si="2"/>
        <v>8.9732000000000003</v>
      </c>
      <c r="Q55" s="20"/>
      <c r="R55" s="20"/>
      <c r="S55" s="19"/>
      <c r="T55" s="19">
        <f t="shared" si="4"/>
        <v>56.301653813578199</v>
      </c>
      <c r="U55" s="19">
        <f t="shared" si="5"/>
        <v>56.301653813578199</v>
      </c>
      <c r="V55" s="19">
        <f>VLOOKUP(A:A,[1]TDSheet!$A:$X,24,0)</f>
        <v>20.520800000000001</v>
      </c>
      <c r="W55" s="19">
        <f>VLOOKUP(A:A,[1]TDSheet!$A:$Y,25,0)</f>
        <v>22.0228</v>
      </c>
      <c r="X55" s="19">
        <f>VLOOKUP(A:A,[1]TDSheet!$A:$Z,26,0)</f>
        <v>32.08</v>
      </c>
      <c r="Y55" s="19">
        <f>VLOOKUP(A:A,[1]TDSheet!$A:$Q,17,0)</f>
        <v>25.730399999999999</v>
      </c>
      <c r="Z55" s="19">
        <f>VLOOKUP(A:A,[1]TDSheet!$A:$AA,27,0)</f>
        <v>0</v>
      </c>
      <c r="AA55" s="19">
        <f t="shared" si="6"/>
        <v>0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2026-06-23T07:20:14Z</dcterms:created>
  <dcterms:modified xsi:type="dcterms:W3CDTF">2026-06-23T09:35:49Z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2DF44A5713E249C58C5358FC508D64F5_12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