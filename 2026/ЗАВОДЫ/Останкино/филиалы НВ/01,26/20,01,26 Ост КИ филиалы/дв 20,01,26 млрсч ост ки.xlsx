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E9F4A93D-C0F4-4DF3-B8C2-E8AA8802C3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Q61" i="1"/>
  <c r="Q35" i="1"/>
  <c r="AF70" i="1"/>
  <c r="Q94" i="1"/>
  <c r="V94" i="1" s="1"/>
  <c r="L94" i="1"/>
  <c r="AF93" i="1"/>
  <c r="Q93" i="1"/>
  <c r="U93" i="1" s="1"/>
  <c r="L93" i="1"/>
  <c r="Q92" i="1"/>
  <c r="U92" i="1" s="1"/>
  <c r="L92" i="1"/>
  <c r="Q91" i="1"/>
  <c r="U91" i="1" s="1"/>
  <c r="L91" i="1"/>
  <c r="Q90" i="1"/>
  <c r="L90" i="1"/>
  <c r="Q89" i="1"/>
  <c r="L89" i="1"/>
  <c r="Q88" i="1"/>
  <c r="V88" i="1" s="1"/>
  <c r="L88" i="1"/>
  <c r="Q87" i="1"/>
  <c r="V87" i="1" s="1"/>
  <c r="L87" i="1"/>
  <c r="Q86" i="1"/>
  <c r="L86" i="1"/>
  <c r="Q85" i="1"/>
  <c r="V85" i="1" s="1"/>
  <c r="L85" i="1"/>
  <c r="Q84" i="1"/>
  <c r="R84" i="1" s="1"/>
  <c r="AF84" i="1" s="1"/>
  <c r="L84" i="1"/>
  <c r="Q83" i="1"/>
  <c r="V83" i="1" s="1"/>
  <c r="L83" i="1"/>
  <c r="Q82" i="1"/>
  <c r="L82" i="1"/>
  <c r="Q81" i="1"/>
  <c r="L81" i="1"/>
  <c r="Q80" i="1"/>
  <c r="R80" i="1" s="1"/>
  <c r="AF80" i="1" s="1"/>
  <c r="L80" i="1"/>
  <c r="Q79" i="1"/>
  <c r="R79" i="1" s="1"/>
  <c r="L79" i="1"/>
  <c r="Q78" i="1"/>
  <c r="R78" i="1" s="1"/>
  <c r="AF78" i="1" s="1"/>
  <c r="L78" i="1"/>
  <c r="Q77" i="1"/>
  <c r="L77" i="1"/>
  <c r="Q76" i="1"/>
  <c r="R76" i="1" s="1"/>
  <c r="AF76" i="1" s="1"/>
  <c r="L76" i="1"/>
  <c r="Q75" i="1"/>
  <c r="L75" i="1"/>
  <c r="Q74" i="1"/>
  <c r="R74" i="1" s="1"/>
  <c r="AF74" i="1" s="1"/>
  <c r="L74" i="1"/>
  <c r="Q73" i="1"/>
  <c r="R73" i="1" s="1"/>
  <c r="L73" i="1"/>
  <c r="Q72" i="1"/>
  <c r="R72" i="1" s="1"/>
  <c r="AF72" i="1" s="1"/>
  <c r="L72" i="1"/>
  <c r="Q71" i="1"/>
  <c r="L71" i="1"/>
  <c r="Q70" i="1"/>
  <c r="L70" i="1"/>
  <c r="Q69" i="1"/>
  <c r="V69" i="1" s="1"/>
  <c r="L69" i="1"/>
  <c r="Q68" i="1"/>
  <c r="L68" i="1"/>
  <c r="Q67" i="1"/>
  <c r="L67" i="1"/>
  <c r="Q66" i="1"/>
  <c r="AF66" i="1" s="1"/>
  <c r="L66" i="1"/>
  <c r="Q65" i="1"/>
  <c r="V65" i="1" s="1"/>
  <c r="L65" i="1"/>
  <c r="Q64" i="1"/>
  <c r="L64" i="1"/>
  <c r="Q63" i="1"/>
  <c r="V63" i="1" s="1"/>
  <c r="L63" i="1"/>
  <c r="F62" i="1"/>
  <c r="E62" i="1"/>
  <c r="L62" i="1" s="1"/>
  <c r="AF61" i="1"/>
  <c r="L61" i="1"/>
  <c r="F61" i="1"/>
  <c r="F5" i="1" s="1"/>
  <c r="AF60" i="1"/>
  <c r="Q60" i="1"/>
  <c r="V60" i="1" s="1"/>
  <c r="L60" i="1"/>
  <c r="Q59" i="1"/>
  <c r="L59" i="1"/>
  <c r="Q58" i="1"/>
  <c r="V58" i="1" s="1"/>
  <c r="L58" i="1"/>
  <c r="Q57" i="1"/>
  <c r="AF57" i="1" s="1"/>
  <c r="L57" i="1"/>
  <c r="AF56" i="1"/>
  <c r="Q56" i="1"/>
  <c r="V56" i="1" s="1"/>
  <c r="L56" i="1"/>
  <c r="Q55" i="1"/>
  <c r="V55" i="1" s="1"/>
  <c r="L55" i="1"/>
  <c r="Q54" i="1"/>
  <c r="R54" i="1" s="1"/>
  <c r="AF54" i="1" s="1"/>
  <c r="L54" i="1"/>
  <c r="Q53" i="1"/>
  <c r="V53" i="1" s="1"/>
  <c r="L53" i="1"/>
  <c r="Q52" i="1"/>
  <c r="AF52" i="1" s="1"/>
  <c r="L52" i="1"/>
  <c r="AF51" i="1"/>
  <c r="Q51" i="1"/>
  <c r="V51" i="1" s="1"/>
  <c r="L51" i="1"/>
  <c r="Q50" i="1"/>
  <c r="AF50" i="1" s="1"/>
  <c r="L50" i="1"/>
  <c r="Q49" i="1"/>
  <c r="V49" i="1" s="1"/>
  <c r="L49" i="1"/>
  <c r="Q48" i="1"/>
  <c r="AF48" i="1" s="1"/>
  <c r="L48" i="1"/>
  <c r="Q47" i="1"/>
  <c r="V47" i="1" s="1"/>
  <c r="L47" i="1"/>
  <c r="Q46" i="1"/>
  <c r="R46" i="1" s="1"/>
  <c r="AF46" i="1" s="1"/>
  <c r="L46" i="1"/>
  <c r="Q45" i="1"/>
  <c r="V45" i="1" s="1"/>
  <c r="L45" i="1"/>
  <c r="Q44" i="1"/>
  <c r="R44" i="1" s="1"/>
  <c r="AF44" i="1" s="1"/>
  <c r="L44" i="1"/>
  <c r="Q43" i="1"/>
  <c r="V43" i="1" s="1"/>
  <c r="L43" i="1"/>
  <c r="Q42" i="1"/>
  <c r="AF42" i="1" s="1"/>
  <c r="L42" i="1"/>
  <c r="Q41" i="1"/>
  <c r="V41" i="1" s="1"/>
  <c r="L41" i="1"/>
  <c r="Q40" i="1"/>
  <c r="AF40" i="1" s="1"/>
  <c r="L40" i="1"/>
  <c r="AF39" i="1"/>
  <c r="Q39" i="1"/>
  <c r="V39" i="1" s="1"/>
  <c r="L39" i="1"/>
  <c r="AF38" i="1"/>
  <c r="L38" i="1"/>
  <c r="Q37" i="1"/>
  <c r="V37" i="1" s="1"/>
  <c r="L37" i="1"/>
  <c r="Q36" i="1"/>
  <c r="AF36" i="1" s="1"/>
  <c r="L36" i="1"/>
  <c r="AF35" i="1"/>
  <c r="V35" i="1"/>
  <c r="L35" i="1"/>
  <c r="Q34" i="1"/>
  <c r="V34" i="1" s="1"/>
  <c r="L34" i="1"/>
  <c r="Q33" i="1"/>
  <c r="R33" i="1" s="1"/>
  <c r="AF33" i="1" s="1"/>
  <c r="L33" i="1"/>
  <c r="Q32" i="1"/>
  <c r="V32" i="1" s="1"/>
  <c r="L32" i="1"/>
  <c r="Q31" i="1"/>
  <c r="L31" i="1"/>
  <c r="AF30" i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L25" i="1"/>
  <c r="Q24" i="1"/>
  <c r="V24" i="1" s="1"/>
  <c r="L24" i="1"/>
  <c r="Q23" i="1"/>
  <c r="AF23" i="1" s="1"/>
  <c r="L23" i="1"/>
  <c r="AF22" i="1"/>
  <c r="Q22" i="1"/>
  <c r="V22" i="1" s="1"/>
  <c r="L22" i="1"/>
  <c r="Q21" i="1"/>
  <c r="AF21" i="1" s="1"/>
  <c r="L21" i="1"/>
  <c r="Q20" i="1"/>
  <c r="V20" i="1" s="1"/>
  <c r="L20" i="1"/>
  <c r="Q19" i="1"/>
  <c r="R19" i="1" s="1"/>
  <c r="AF19" i="1" s="1"/>
  <c r="L19" i="1"/>
  <c r="Q18" i="1"/>
  <c r="V18" i="1" s="1"/>
  <c r="L18" i="1"/>
  <c r="Q17" i="1"/>
  <c r="R17" i="1" s="1"/>
  <c r="AF17" i="1" s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AF7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6" i="1" l="1"/>
  <c r="AF26" i="1" s="1"/>
  <c r="R45" i="1"/>
  <c r="V91" i="1"/>
  <c r="R12" i="1"/>
  <c r="AF12" i="1" s="1"/>
  <c r="R43" i="1"/>
  <c r="AF43" i="1" s="1"/>
  <c r="R20" i="1"/>
  <c r="AF20" i="1" s="1"/>
  <c r="R37" i="1"/>
  <c r="AF37" i="1" s="1"/>
  <c r="R47" i="1"/>
  <c r="AF47" i="1" s="1"/>
  <c r="R53" i="1"/>
  <c r="AF53" i="1" s="1"/>
  <c r="R87" i="1"/>
  <c r="AF87" i="1" s="1"/>
  <c r="V61" i="1"/>
  <c r="R16" i="1"/>
  <c r="R24" i="1"/>
  <c r="R28" i="1"/>
  <c r="AF28" i="1" s="1"/>
  <c r="R41" i="1"/>
  <c r="AF41" i="1" s="1"/>
  <c r="AF45" i="1"/>
  <c r="R49" i="1"/>
  <c r="AF49" i="1" s="1"/>
  <c r="R58" i="1"/>
  <c r="AF58" i="1" s="1"/>
  <c r="R9" i="1"/>
  <c r="AF9" i="1" s="1"/>
  <c r="AF13" i="1"/>
  <c r="AF31" i="1"/>
  <c r="V67" i="1"/>
  <c r="R67" i="1"/>
  <c r="AF67" i="1" s="1"/>
  <c r="V73" i="1"/>
  <c r="AF73" i="1"/>
  <c r="V77" i="1"/>
  <c r="AF77" i="1"/>
  <c r="V81" i="1"/>
  <c r="R81" i="1"/>
  <c r="AF81" i="1" s="1"/>
  <c r="V90" i="1"/>
  <c r="R82" i="1"/>
  <c r="AF82" i="1" s="1"/>
  <c r="R11" i="1"/>
  <c r="AF11" i="1" s="1"/>
  <c r="R15" i="1"/>
  <c r="AF15" i="1" s="1"/>
  <c r="AF27" i="1"/>
  <c r="V71" i="1"/>
  <c r="V75" i="1"/>
  <c r="R75" i="1"/>
  <c r="AF75" i="1" s="1"/>
  <c r="V79" i="1"/>
  <c r="V86" i="1"/>
  <c r="R86" i="1"/>
  <c r="V89" i="1"/>
  <c r="AF6" i="1"/>
  <c r="AF10" i="1"/>
  <c r="R14" i="1"/>
  <c r="AF14" i="1" s="1"/>
  <c r="AF18" i="1"/>
  <c r="R64" i="1"/>
  <c r="AF64" i="1" s="1"/>
  <c r="AF68" i="1"/>
  <c r="AF89" i="1"/>
  <c r="U66" i="1"/>
  <c r="U70" i="1"/>
  <c r="U72" i="1"/>
  <c r="U74" i="1"/>
  <c r="U76" i="1"/>
  <c r="U78" i="1"/>
  <c r="U80" i="1"/>
  <c r="U84" i="1"/>
  <c r="AF25" i="1"/>
  <c r="R29" i="1"/>
  <c r="AF29" i="1" s="1"/>
  <c r="AF59" i="1"/>
  <c r="R63" i="1"/>
  <c r="R65" i="1"/>
  <c r="AF65" i="1" s="1"/>
  <c r="AF69" i="1"/>
  <c r="R83" i="1"/>
  <c r="AF83" i="1" s="1"/>
  <c r="U7" i="1"/>
  <c r="U17" i="1"/>
  <c r="U19" i="1"/>
  <c r="U21" i="1"/>
  <c r="U23" i="1"/>
  <c r="U33" i="1"/>
  <c r="U36" i="1"/>
  <c r="U38" i="1"/>
  <c r="U40" i="1"/>
  <c r="U42" i="1"/>
  <c r="U44" i="1"/>
  <c r="U46" i="1"/>
  <c r="U48" i="1"/>
  <c r="U50" i="1"/>
  <c r="U52" i="1"/>
  <c r="U54" i="1"/>
  <c r="U57" i="1"/>
  <c r="U35" i="1"/>
  <c r="V36" i="1"/>
  <c r="V38" i="1"/>
  <c r="U39" i="1"/>
  <c r="V40" i="1"/>
  <c r="V42" i="1"/>
  <c r="V44" i="1"/>
  <c r="V46" i="1"/>
  <c r="V48" i="1"/>
  <c r="V50" i="1"/>
  <c r="U51" i="1"/>
  <c r="V52" i="1"/>
  <c r="V54" i="1"/>
  <c r="U55" i="1"/>
  <c r="U61" i="1"/>
  <c r="Q62" i="1"/>
  <c r="E5" i="1"/>
  <c r="L5" i="1"/>
  <c r="U6" i="1"/>
  <c r="U10" i="1"/>
  <c r="U18" i="1"/>
  <c r="U22" i="1"/>
  <c r="U30" i="1"/>
  <c r="U34" i="1"/>
  <c r="U56" i="1"/>
  <c r="U60" i="1"/>
  <c r="U69" i="1"/>
  <c r="U77" i="1"/>
  <c r="U85" i="1"/>
  <c r="V93" i="1"/>
  <c r="U94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57" i="1"/>
  <c r="V59" i="1"/>
  <c r="V64" i="1"/>
  <c r="V66" i="1"/>
  <c r="V68" i="1"/>
  <c r="V70" i="1"/>
  <c r="V72" i="1"/>
  <c r="V74" i="1"/>
  <c r="V76" i="1"/>
  <c r="V78" i="1"/>
  <c r="V80" i="1"/>
  <c r="V82" i="1"/>
  <c r="V84" i="1"/>
  <c r="V92" i="1"/>
  <c r="U28" i="1" l="1"/>
  <c r="U53" i="1"/>
  <c r="U49" i="1"/>
  <c r="U43" i="1"/>
  <c r="U41" i="1"/>
  <c r="U37" i="1"/>
  <c r="U81" i="1"/>
  <c r="U73" i="1"/>
  <c r="U26" i="1"/>
  <c r="U12" i="1"/>
  <c r="U58" i="1"/>
  <c r="U82" i="1"/>
  <c r="AF16" i="1"/>
  <c r="U16" i="1"/>
  <c r="U14" i="1"/>
  <c r="U75" i="1"/>
  <c r="U47" i="1"/>
  <c r="U45" i="1"/>
  <c r="U20" i="1"/>
  <c r="U87" i="1"/>
  <c r="U64" i="1"/>
  <c r="AF24" i="1"/>
  <c r="U24" i="1"/>
  <c r="Q5" i="1"/>
  <c r="R62" i="1"/>
  <c r="AF62" i="1" s="1"/>
  <c r="U59" i="1"/>
  <c r="U25" i="1"/>
  <c r="U86" i="1"/>
  <c r="AF86" i="1"/>
  <c r="AF79" i="1"/>
  <c r="U79" i="1"/>
  <c r="U71" i="1"/>
  <c r="AF71" i="1"/>
  <c r="U32" i="1"/>
  <c r="AF32" i="1"/>
  <c r="U90" i="1"/>
  <c r="AF90" i="1"/>
  <c r="V62" i="1"/>
  <c r="U65" i="1"/>
  <c r="U83" i="1"/>
  <c r="U67" i="1"/>
  <c r="U88" i="1"/>
  <c r="AF88" i="1"/>
  <c r="AF63" i="1"/>
  <c r="U63" i="1"/>
  <c r="U29" i="1"/>
  <c r="U89" i="1"/>
  <c r="U27" i="1"/>
  <c r="U15" i="1"/>
  <c r="U11" i="1"/>
  <c r="U8" i="1"/>
  <c r="AF8" i="1"/>
  <c r="U68" i="1"/>
  <c r="U31" i="1"/>
  <c r="U13" i="1"/>
  <c r="U9" i="1"/>
  <c r="AF5" i="1" l="1"/>
  <c r="U62" i="1"/>
  <c r="R5" i="1"/>
</calcChain>
</file>

<file path=xl/sharedStrings.xml><?xml version="1.0" encoding="utf-8"?>
<sst xmlns="http://schemas.openxmlformats.org/spreadsheetml/2006/main" count="319" uniqueCount="136">
  <si>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</si>
  <si>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</si>
  <si>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</si>
  <si>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</si>
  <si>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</si>
  <si>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</si>
  <si>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</si>
  <si>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</si>
  <si>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</si>
  <si>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</si>
  <si>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</si>
  <si>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</si>
  <si>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</si>
  <si>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</si>
  <si>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</si>
  <si>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</si>
  <si>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</si>
  <si>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</si>
  <si>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</si>
  <si>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</si>
  <si>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</si>
  <si>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</si>
  <si>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</si>
  <si>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</si>
  <si>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</si>
  <si>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</si>
  <si>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</si>
  <si>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</si>
  <si>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</si>
  <si>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</si>
  <si>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</si>
  <si>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</si>
  <si>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</si>
  <si>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</si>
  <si>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</si>
  <si>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</si>
  <si>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</si>
  <si>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</si>
  <si>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</si>
  <si>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</si>
  <si>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</si>
  <si>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</si>
  <si>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</si>
  <si>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</si>
  <si>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</si>
  <si>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</si>
  <si>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</si>
  <si>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</si>
  <si>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</si>
  <si>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</si>
  <si>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</si>
  <si>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</si>
  <si>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</si>
  <si>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</si>
  <si>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</si>
  <si>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</si>
  <si>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</si>
  <si>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</si>
  <si>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</si>
  <si>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</si>
  <si>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</si>
  <si>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</si>
  <si>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</si>
  <si>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</si>
  <si>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</si>
  <si>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</si>
  <si>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</si>
  <si>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</si>
  <si>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</si>
  <si>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</si>
  <si>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</si>
  <si>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</si>
  <si>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</si>
  <si>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</si>
  <si>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</si>
  <si>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</si>
  <si>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</si>
  <si>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</si>
  <si>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</si>
  <si>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</si>
  <si>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</si>
  <si>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</si>
  <si>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</si>
  <si>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</si>
  <si>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</si>
  <si>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</si>
  <si>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</si>
  <si>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</si>
  <si>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</si>
  <si>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26,11,25 в уценку 24кг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</si>
  <si>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</si>
  <si>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</si>
  <si>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</si>
  <si>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</si>
  <si>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</si>
  <si>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</si>
  <si>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</si>
  <si>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</si>
  <si>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</si>
  <si>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</si>
  <si>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</si>
  <si>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</si>
  <si>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</si>
  <si>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</si>
  <si>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</si>
  <si>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</si>
  <si>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</si>
  <si>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</si>
  <si>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</si>
  <si>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</si>
  <si>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</si>
  <si>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</si>
  <si>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</si>
  <si>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</si>
  <si>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</si>
  <si>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</si>
  <si>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</si>
  <si>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</si>
  <si>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</si>
  <si>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</si>
  <si>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</si>
  <si>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</si>
  <si>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</si>
  <si>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</si>
  <si>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</si>
  <si>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</si>
  <si>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</si>
  <si>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</si>
  <si>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</si>
  <si>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</si>
  <si>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</si>
  <si>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</si>
  <si>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</si>
  <si>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расценены</t>
  </si>
  <si>
    <t>С ИНДЕЙКОЙ Папа может вар п/о 0,4кг 8шт. Останкино</t>
  </si>
  <si>
    <t>не заказывали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</si>
</sst>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7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SUM(E6:E500)</f>
        <v>12401.907000000003</v>
      </c>
      <c r="F5" s="3">
        <f>SUM(F6:F500)</f>
        <v>10967.274999999998</v>
      </c>
      <c r="G5" s="8"/>
      <c r="H5" s="5"/>
      <c r="I5" s="5"/>
      <c r="J5" s="5"/>
      <c r="K5" s="3">
        <f t="shared" ref="K5:S5" si="0">SUM(K6:K500)</f>
        <v>13591.719999999998</v>
      </c>
      <c r="L5" s="3">
        <f t="shared" si="0"/>
        <v>-1189.8130000000003</v>
      </c>
      <c r="M5" s="3">
        <f t="shared" si="0"/>
        <v>0</v>
      </c>
      <c r="N5" s="3">
        <f t="shared" si="0"/>
        <v>0</v>
      </c>
      <c r="O5" s="3">
        <f t="shared" si="0"/>
        <v>8827</v>
      </c>
      <c r="P5" s="3">
        <f t="shared" si="0"/>
        <v>8617</v>
      </c>
      <c r="Q5" s="3">
        <f t="shared" si="0"/>
        <v>2480.3813999999998</v>
      </c>
      <c r="R5" s="3">
        <f t="shared" si="0"/>
        <v>10174.7654</v>
      </c>
      <c r="S5" s="3">
        <f t="shared" si="0"/>
        <v>0</v>
      </c>
      <c r="T5" s="5"/>
      <c r="U5" s="5"/>
      <c r="V5" s="5"/>
      <c r="W5" s="3">
        <f t="shared" ref="W5:AD5" si="1">SUM(W6:W500)</f>
        <v>2428.2843999999991</v>
      </c>
      <c r="X5" s="3">
        <f t="shared" si="1"/>
        <v>4304.7702000000018</v>
      </c>
      <c r="Y5" s="3">
        <f t="shared" si="1"/>
        <v>2874.5037999999995</v>
      </c>
      <c r="Z5" s="3">
        <f t="shared" si="1"/>
        <v>2355.6427999999996</v>
      </c>
      <c r="AA5" s="3">
        <f t="shared" si="1"/>
        <v>2452.6023999999993</v>
      </c>
      <c r="AB5" s="3">
        <f t="shared" si="1"/>
        <v>2290.0086000000006</v>
      </c>
      <c r="AC5" s="3">
        <f t="shared" si="1"/>
        <v>2518.1882000000001</v>
      </c>
      <c r="AD5" s="3">
        <f t="shared" si="1"/>
        <v>2569.5675999999999</v>
      </c>
      <c r="AE5" s="5"/>
      <c r="AF5" s="3">
        <f>SUM(AF6:AF500)</f>
        <v>5523.7933999999996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35</v>
      </c>
      <c r="B6" s="5" t="s">
        <v>36</v>
      </c>
      <c r="C6" s="5">
        <v>120</v>
      </c>
      <c r="D6" s="5">
        <v>354</v>
      </c>
      <c r="E6" s="5">
        <v>265</v>
      </c>
      <c r="F6" s="5">
        <v>182</v>
      </c>
      <c r="G6" s="8">
        <v>0.4</v>
      </c>
      <c r="H6" s="5">
        <v>60</v>
      </c>
      <c r="I6" s="5" t="s">
        <v>37</v>
      </c>
      <c r="J6" s="5"/>
      <c r="K6" s="5">
        <v>256</v>
      </c>
      <c r="L6" s="5">
        <f t="shared" ref="L6:L37" si="2">E6-K6</f>
        <v>9</v>
      </c>
      <c r="M6" s="5"/>
      <c r="N6" s="5"/>
      <c r="O6" s="5">
        <v>295</v>
      </c>
      <c r="P6" s="5">
        <v>305</v>
      </c>
      <c r="Q6" s="5">
        <f t="shared" ref="Q6:Q37" si="3">E6/5</f>
        <v>53</v>
      </c>
      <c r="R6" s="4"/>
      <c r="S6" s="4"/>
      <c r="T6" s="5"/>
      <c r="U6" s="5">
        <f t="shared" ref="U6:U37" si="4">(F6+O6+P6+R6)/Q6</f>
        <v>14.754716981132075</v>
      </c>
      <c r="V6" s="5">
        <f t="shared" ref="V6:V37" si="5">(F6+O6+P6)/Q6</f>
        <v>14.754716981132075</v>
      </c>
      <c r="W6" s="5">
        <v>64.8</v>
      </c>
      <c r="X6" s="5">
        <v>73</v>
      </c>
      <c r="Y6" s="5">
        <v>51.4</v>
      </c>
      <c r="Z6" s="5">
        <v>32.799999999999997</v>
      </c>
      <c r="AA6" s="5">
        <v>29.6</v>
      </c>
      <c r="AB6" s="5">
        <v>19</v>
      </c>
      <c r="AC6" s="5">
        <v>51.4</v>
      </c>
      <c r="AD6" s="5">
        <v>49.6</v>
      </c>
      <c r="AE6" s="5"/>
      <c r="AF6" s="5">
        <f t="shared" ref="AF6:AF33" si="6">G6*R6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38</v>
      </c>
      <c r="B7" s="5" t="s">
        <v>39</v>
      </c>
      <c r="C7" s="5"/>
      <c r="D7" s="5">
        <v>82.287999999999997</v>
      </c>
      <c r="E7" s="5">
        <v>12.148</v>
      </c>
      <c r="F7" s="5">
        <v>71.138000000000005</v>
      </c>
      <c r="G7" s="8">
        <v>1</v>
      </c>
      <c r="H7" s="5">
        <v>120</v>
      </c>
      <c r="I7" s="5" t="s">
        <v>37</v>
      </c>
      <c r="J7" s="5"/>
      <c r="K7" s="5">
        <v>11.5</v>
      </c>
      <c r="L7" s="5">
        <f t="shared" si="2"/>
        <v>0.64799999999999969</v>
      </c>
      <c r="M7" s="5"/>
      <c r="N7" s="5"/>
      <c r="O7" s="5">
        <v>20</v>
      </c>
      <c r="P7" s="5"/>
      <c r="Q7" s="5">
        <f t="shared" si="3"/>
        <v>2.4295999999999998</v>
      </c>
      <c r="R7" s="4"/>
      <c r="S7" s="4"/>
      <c r="T7" s="5"/>
      <c r="U7" s="5">
        <f t="shared" si="4"/>
        <v>37.511524530786964</v>
      </c>
      <c r="V7" s="5">
        <f t="shared" si="5"/>
        <v>37.511524530786964</v>
      </c>
      <c r="W7" s="5">
        <v>4.1828000000000003</v>
      </c>
      <c r="X7" s="5">
        <v>14.6496</v>
      </c>
      <c r="Y7" s="5">
        <v>6.1378000000000004</v>
      </c>
      <c r="Z7" s="5">
        <v>6.4177999999999997</v>
      </c>
      <c r="AA7" s="5">
        <v>5.5735999999999999</v>
      </c>
      <c r="AB7" s="5">
        <v>5.702</v>
      </c>
      <c r="AC7" s="5">
        <v>1.1020000000000001</v>
      </c>
      <c r="AD7" s="5">
        <v>5.8109999999999999</v>
      </c>
      <c r="AE7" s="5"/>
      <c r="AF7" s="5">
        <f t="shared" si="6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40</v>
      </c>
      <c r="B8" s="5" t="s">
        <v>36</v>
      </c>
      <c r="C8" s="5">
        <v>148</v>
      </c>
      <c r="D8" s="5">
        <v>33</v>
      </c>
      <c r="E8" s="5">
        <v>158</v>
      </c>
      <c r="F8" s="5">
        <v>3</v>
      </c>
      <c r="G8" s="8">
        <v>0.25</v>
      </c>
      <c r="H8" s="5">
        <v>120</v>
      </c>
      <c r="I8" s="5" t="s">
        <v>37</v>
      </c>
      <c r="J8" s="5"/>
      <c r="K8" s="5">
        <v>149</v>
      </c>
      <c r="L8" s="5">
        <f t="shared" si="2"/>
        <v>9</v>
      </c>
      <c r="M8" s="5"/>
      <c r="N8" s="5"/>
      <c r="O8" s="5">
        <v>319</v>
      </c>
      <c r="P8" s="5">
        <v>331</v>
      </c>
      <c r="Q8" s="5">
        <f t="shared" si="3"/>
        <v>31.6</v>
      </c>
      <c r="R8" s="4"/>
      <c r="S8" s="4"/>
      <c r="T8" s="5"/>
      <c r="U8" s="5">
        <f t="shared" si="4"/>
        <v>20.664556962025316</v>
      </c>
      <c r="V8" s="5">
        <f t="shared" si="5"/>
        <v>20.664556962025316</v>
      </c>
      <c r="W8" s="5">
        <v>63</v>
      </c>
      <c r="X8" s="5">
        <v>39.6</v>
      </c>
      <c r="Y8" s="5">
        <v>45.8</v>
      </c>
      <c r="Z8" s="5">
        <v>10.6</v>
      </c>
      <c r="AA8" s="5">
        <v>17.600000000000001</v>
      </c>
      <c r="AB8" s="5">
        <v>35.6</v>
      </c>
      <c r="AC8" s="5">
        <v>13.8</v>
      </c>
      <c r="AD8" s="5">
        <v>9.1999999999999993</v>
      </c>
      <c r="AE8" s="5"/>
      <c r="AF8" s="5">
        <f t="shared" si="6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41</v>
      </c>
      <c r="B9" s="5" t="s">
        <v>39</v>
      </c>
      <c r="C9" s="5"/>
      <c r="D9" s="5">
        <v>650.79</v>
      </c>
      <c r="E9" s="5">
        <v>370.18400000000003</v>
      </c>
      <c r="F9" s="5">
        <v>259.61900000000003</v>
      </c>
      <c r="G9" s="8">
        <v>1</v>
      </c>
      <c r="H9" s="5">
        <v>60</v>
      </c>
      <c r="I9" s="5" t="s">
        <v>37</v>
      </c>
      <c r="J9" s="5"/>
      <c r="K9" s="5">
        <v>361</v>
      </c>
      <c r="L9" s="5">
        <f t="shared" si="2"/>
        <v>9.1840000000000259</v>
      </c>
      <c r="M9" s="5"/>
      <c r="N9" s="5"/>
      <c r="O9" s="5">
        <v>319</v>
      </c>
      <c r="P9" s="5">
        <v>331</v>
      </c>
      <c r="Q9" s="5">
        <f t="shared" si="3"/>
        <v>74.036799999999999</v>
      </c>
      <c r="R9" s="4">
        <f t="shared" ref="R9:R33" si="7">14*Q9-P9-O9-F9</f>
        <v>126.89620000000002</v>
      </c>
      <c r="S9" s="4"/>
      <c r="T9" s="5"/>
      <c r="U9" s="5">
        <f t="shared" si="4"/>
        <v>14</v>
      </c>
      <c r="V9" s="5">
        <f t="shared" si="5"/>
        <v>12.286038834741642</v>
      </c>
      <c r="W9" s="5">
        <v>85.373999999999995</v>
      </c>
      <c r="X9" s="5">
        <v>138.97300000000001</v>
      </c>
      <c r="Y9" s="5">
        <v>88.178200000000004</v>
      </c>
      <c r="Z9" s="5">
        <v>79.640999999999991</v>
      </c>
      <c r="AA9" s="5">
        <v>80.23060000000001</v>
      </c>
      <c r="AB9" s="5">
        <v>74.535600000000002</v>
      </c>
      <c r="AC9" s="5">
        <v>62.220599999999997</v>
      </c>
      <c r="AD9" s="5">
        <v>85.2256</v>
      </c>
      <c r="AE9" s="5"/>
      <c r="AF9" s="5">
        <f t="shared" si="6"/>
        <v>126.89620000000002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42</v>
      </c>
      <c r="B10" s="5" t="s">
        <v>39</v>
      </c>
      <c r="C10" s="5">
        <v>4.3769999999999998</v>
      </c>
      <c r="D10" s="5">
        <v>55.600999999999999</v>
      </c>
      <c r="E10" s="5">
        <v>9.0470000000000006</v>
      </c>
      <c r="F10" s="5">
        <v>50.441000000000003</v>
      </c>
      <c r="G10" s="8">
        <v>1</v>
      </c>
      <c r="H10" s="5">
        <v>120</v>
      </c>
      <c r="I10" s="5" t="s">
        <v>37</v>
      </c>
      <c r="J10" s="5"/>
      <c r="K10" s="5">
        <v>9.5</v>
      </c>
      <c r="L10" s="5">
        <f t="shared" si="2"/>
        <v>-0.4529999999999994</v>
      </c>
      <c r="M10" s="5"/>
      <c r="N10" s="5"/>
      <c r="O10" s="5">
        <v>0</v>
      </c>
      <c r="P10" s="5"/>
      <c r="Q10" s="5">
        <f t="shared" si="3"/>
        <v>1.8094000000000001</v>
      </c>
      <c r="R10" s="4"/>
      <c r="S10" s="4"/>
      <c r="T10" s="5"/>
      <c r="U10" s="5">
        <f t="shared" si="4"/>
        <v>27.877196860837845</v>
      </c>
      <c r="V10" s="5">
        <f t="shared" si="5"/>
        <v>27.877196860837845</v>
      </c>
      <c r="W10" s="5">
        <v>0.1082</v>
      </c>
      <c r="X10" s="5">
        <v>11.754</v>
      </c>
      <c r="Y10" s="5">
        <v>4.4060000000000006</v>
      </c>
      <c r="Z10" s="5">
        <v>5.1807999999999996</v>
      </c>
      <c r="AA10" s="5">
        <v>3.7667999999999999</v>
      </c>
      <c r="AB10" s="5">
        <v>5.3391999999999999</v>
      </c>
      <c r="AC10" s="5">
        <v>1.5924</v>
      </c>
      <c r="AD10" s="5">
        <v>4.7628000000000004</v>
      </c>
      <c r="AE10" s="5"/>
      <c r="AF10" s="5">
        <f t="shared" si="6"/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43</v>
      </c>
      <c r="B11" s="5" t="s">
        <v>39</v>
      </c>
      <c r="C11" s="5">
        <v>25.818999999999999</v>
      </c>
      <c r="D11" s="5">
        <v>26.896000000000001</v>
      </c>
      <c r="E11" s="5">
        <v>54.131</v>
      </c>
      <c r="F11" s="5">
        <v>1.3620000000000001</v>
      </c>
      <c r="G11" s="8">
        <v>1</v>
      </c>
      <c r="H11" s="5">
        <v>60</v>
      </c>
      <c r="I11" s="5" t="s">
        <v>37</v>
      </c>
      <c r="J11" s="5"/>
      <c r="K11" s="5">
        <v>65.900000000000006</v>
      </c>
      <c r="L11" s="5">
        <f t="shared" si="2"/>
        <v>-11.769000000000005</v>
      </c>
      <c r="M11" s="5"/>
      <c r="N11" s="5"/>
      <c r="O11" s="5">
        <v>71</v>
      </c>
      <c r="P11" s="5">
        <v>73</v>
      </c>
      <c r="Q11" s="5">
        <f t="shared" si="3"/>
        <v>10.8262</v>
      </c>
      <c r="R11" s="4">
        <f t="shared" si="7"/>
        <v>6.2048000000000005</v>
      </c>
      <c r="S11" s="4"/>
      <c r="T11" s="5"/>
      <c r="U11" s="5">
        <f t="shared" si="4"/>
        <v>14</v>
      </c>
      <c r="V11" s="5">
        <f t="shared" si="5"/>
        <v>13.426871847924479</v>
      </c>
      <c r="W11" s="5">
        <v>15.664400000000001</v>
      </c>
      <c r="X11" s="5">
        <v>10.5154</v>
      </c>
      <c r="Y11" s="5">
        <v>13.196999999999999</v>
      </c>
      <c r="Z11" s="5">
        <v>3.2322000000000002</v>
      </c>
      <c r="AA11" s="5">
        <v>9.3046000000000006</v>
      </c>
      <c r="AB11" s="5">
        <v>10.8154</v>
      </c>
      <c r="AC11" s="5">
        <v>6.359</v>
      </c>
      <c r="AD11" s="5">
        <v>11.864599999999999</v>
      </c>
      <c r="AE11" s="5"/>
      <c r="AF11" s="5">
        <f t="shared" si="6"/>
        <v>6.2048000000000005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44</v>
      </c>
      <c r="B12" s="5" t="s">
        <v>39</v>
      </c>
      <c r="C12" s="5"/>
      <c r="D12" s="5">
        <v>598.63199999999995</v>
      </c>
      <c r="E12" s="5">
        <v>333.62700000000001</v>
      </c>
      <c r="F12" s="5">
        <v>229.69300000000001</v>
      </c>
      <c r="G12" s="8">
        <v>1</v>
      </c>
      <c r="H12" s="5">
        <v>60</v>
      </c>
      <c r="I12" s="5" t="s">
        <v>37</v>
      </c>
      <c r="J12" s="5"/>
      <c r="K12" s="5">
        <v>332.8</v>
      </c>
      <c r="L12" s="5">
        <f t="shared" si="2"/>
        <v>0.82699999999999818</v>
      </c>
      <c r="M12" s="5"/>
      <c r="N12" s="5"/>
      <c r="O12" s="5">
        <v>49</v>
      </c>
      <c r="P12" s="5">
        <v>51</v>
      </c>
      <c r="Q12" s="5">
        <f t="shared" si="3"/>
        <v>66.725400000000008</v>
      </c>
      <c r="R12" s="4">
        <f t="shared" si="7"/>
        <v>604.46260000000007</v>
      </c>
      <c r="S12" s="4"/>
      <c r="T12" s="5"/>
      <c r="U12" s="5">
        <f t="shared" si="4"/>
        <v>14</v>
      </c>
      <c r="V12" s="5">
        <f t="shared" si="5"/>
        <v>4.9410419420490541</v>
      </c>
      <c r="W12" s="5">
        <v>0.5544</v>
      </c>
      <c r="X12" s="5">
        <v>108.3398</v>
      </c>
      <c r="Y12" s="5">
        <v>47.133800000000001</v>
      </c>
      <c r="Z12" s="5">
        <v>53.133799999999987</v>
      </c>
      <c r="AA12" s="5">
        <v>47.316400000000002</v>
      </c>
      <c r="AB12" s="5">
        <v>49.003</v>
      </c>
      <c r="AC12" s="5">
        <v>48.504199999999997</v>
      </c>
      <c r="AD12" s="5">
        <v>52.534400000000012</v>
      </c>
      <c r="AE12" s="5"/>
      <c r="AF12" s="5">
        <f t="shared" si="6"/>
        <v>604.46260000000007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45</v>
      </c>
      <c r="B13" s="5" t="s">
        <v>36</v>
      </c>
      <c r="C13" s="5">
        <v>286</v>
      </c>
      <c r="D13" s="5">
        <v>666</v>
      </c>
      <c r="E13" s="5">
        <v>172</v>
      </c>
      <c r="F13" s="5">
        <v>538</v>
      </c>
      <c r="G13" s="8">
        <v>0.25</v>
      </c>
      <c r="H13" s="5">
        <v>120</v>
      </c>
      <c r="I13" s="5" t="s">
        <v>37</v>
      </c>
      <c r="J13" s="5"/>
      <c r="K13" s="5">
        <v>177</v>
      </c>
      <c r="L13" s="5">
        <f t="shared" si="2"/>
        <v>-5</v>
      </c>
      <c r="M13" s="5"/>
      <c r="N13" s="5"/>
      <c r="O13" s="5">
        <v>0</v>
      </c>
      <c r="P13" s="5"/>
      <c r="Q13" s="5">
        <f t="shared" si="3"/>
        <v>34.4</v>
      </c>
      <c r="R13" s="4"/>
      <c r="S13" s="4"/>
      <c r="T13" s="5"/>
      <c r="U13" s="5">
        <f t="shared" si="4"/>
        <v>15.63953488372093</v>
      </c>
      <c r="V13" s="5">
        <f t="shared" si="5"/>
        <v>15.63953488372093</v>
      </c>
      <c r="W13" s="5">
        <v>39.200000000000003</v>
      </c>
      <c r="X13" s="5">
        <v>74.400000000000006</v>
      </c>
      <c r="Y13" s="5">
        <v>33.4</v>
      </c>
      <c r="Z13" s="5">
        <v>52.4</v>
      </c>
      <c r="AA13" s="5">
        <v>40.4</v>
      </c>
      <c r="AB13" s="5">
        <v>32.4</v>
      </c>
      <c r="AC13" s="5">
        <v>35</v>
      </c>
      <c r="AD13" s="5">
        <v>34.4</v>
      </c>
      <c r="AE13" s="5"/>
      <c r="AF13" s="5">
        <f t="shared" si="6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46</v>
      </c>
      <c r="B14" s="5" t="s">
        <v>39</v>
      </c>
      <c r="C14" s="5">
        <v>27.175000000000001</v>
      </c>
      <c r="D14" s="5">
        <v>147.255</v>
      </c>
      <c r="E14" s="5">
        <v>71.840999999999994</v>
      </c>
      <c r="F14" s="5">
        <v>97.272000000000006</v>
      </c>
      <c r="G14" s="8">
        <v>1</v>
      </c>
      <c r="H14" s="5">
        <v>60</v>
      </c>
      <c r="I14" s="5" t="s">
        <v>37</v>
      </c>
      <c r="J14" s="5"/>
      <c r="K14" s="5">
        <v>65.7</v>
      </c>
      <c r="L14" s="5">
        <f t="shared" si="2"/>
        <v>6.1409999999999911</v>
      </c>
      <c r="M14" s="5"/>
      <c r="N14" s="5"/>
      <c r="O14" s="5">
        <v>50</v>
      </c>
      <c r="P14" s="5"/>
      <c r="Q14" s="5">
        <f t="shared" si="3"/>
        <v>14.368199999999998</v>
      </c>
      <c r="R14" s="4">
        <f t="shared" si="7"/>
        <v>53.882799999999961</v>
      </c>
      <c r="S14" s="4"/>
      <c r="T14" s="5"/>
      <c r="U14" s="5">
        <f t="shared" si="4"/>
        <v>14</v>
      </c>
      <c r="V14" s="5">
        <f t="shared" si="5"/>
        <v>10.249857323812309</v>
      </c>
      <c r="W14" s="5">
        <v>13.0496</v>
      </c>
      <c r="X14" s="5">
        <v>28.855599999999999</v>
      </c>
      <c r="Y14" s="5">
        <v>16.1982</v>
      </c>
      <c r="Z14" s="5">
        <v>5.66</v>
      </c>
      <c r="AA14" s="5">
        <v>11.0054</v>
      </c>
      <c r="AB14" s="5">
        <v>23.2088</v>
      </c>
      <c r="AC14" s="5">
        <v>11.734400000000001</v>
      </c>
      <c r="AD14" s="5">
        <v>15.6068</v>
      </c>
      <c r="AE14" s="5"/>
      <c r="AF14" s="5">
        <f t="shared" si="6"/>
        <v>53.882799999999961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47</v>
      </c>
      <c r="B15" s="5" t="s">
        <v>36</v>
      </c>
      <c r="C15" s="5">
        <v>129</v>
      </c>
      <c r="D15" s="5">
        <v>530</v>
      </c>
      <c r="E15" s="5">
        <v>297</v>
      </c>
      <c r="F15" s="5">
        <v>265</v>
      </c>
      <c r="G15" s="8">
        <v>0.25</v>
      </c>
      <c r="H15" s="5">
        <v>120</v>
      </c>
      <c r="I15" s="5" t="s">
        <v>37</v>
      </c>
      <c r="J15" s="5"/>
      <c r="K15" s="5">
        <v>307</v>
      </c>
      <c r="L15" s="5">
        <f t="shared" si="2"/>
        <v>-10</v>
      </c>
      <c r="M15" s="5"/>
      <c r="N15" s="5"/>
      <c r="O15" s="5">
        <v>123</v>
      </c>
      <c r="P15" s="5">
        <v>127</v>
      </c>
      <c r="Q15" s="5">
        <f t="shared" si="3"/>
        <v>59.4</v>
      </c>
      <c r="R15" s="4">
        <f t="shared" si="7"/>
        <v>316.60000000000002</v>
      </c>
      <c r="S15" s="4"/>
      <c r="T15" s="5"/>
      <c r="U15" s="5">
        <f t="shared" si="4"/>
        <v>14</v>
      </c>
      <c r="V15" s="5">
        <f t="shared" si="5"/>
        <v>8.6700336700336695</v>
      </c>
      <c r="W15" s="5">
        <v>52.6</v>
      </c>
      <c r="X15" s="5">
        <v>77.599999999999994</v>
      </c>
      <c r="Y15" s="5">
        <v>57</v>
      </c>
      <c r="Z15" s="5">
        <v>39.6</v>
      </c>
      <c r="AA15" s="5">
        <v>26</v>
      </c>
      <c r="AB15" s="5">
        <v>29.2</v>
      </c>
      <c r="AC15" s="5">
        <v>55.8</v>
      </c>
      <c r="AD15" s="5">
        <v>46.6</v>
      </c>
      <c r="AE15" s="5"/>
      <c r="AF15" s="5">
        <f t="shared" si="6"/>
        <v>79.150000000000006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48</v>
      </c>
      <c r="B16" s="5" t="s">
        <v>36</v>
      </c>
      <c r="C16" s="5">
        <v>81</v>
      </c>
      <c r="D16" s="5">
        <v>263</v>
      </c>
      <c r="E16" s="5">
        <v>167</v>
      </c>
      <c r="F16" s="5">
        <v>135</v>
      </c>
      <c r="G16" s="8">
        <v>0.4</v>
      </c>
      <c r="H16" s="5">
        <v>60</v>
      </c>
      <c r="I16" s="5" t="s">
        <v>37</v>
      </c>
      <c r="J16" s="5"/>
      <c r="K16" s="5">
        <v>158</v>
      </c>
      <c r="L16" s="5">
        <f t="shared" si="2"/>
        <v>9</v>
      </c>
      <c r="M16" s="5"/>
      <c r="N16" s="5"/>
      <c r="O16" s="5">
        <v>49</v>
      </c>
      <c r="P16" s="5">
        <v>51</v>
      </c>
      <c r="Q16" s="5">
        <f t="shared" si="3"/>
        <v>33.4</v>
      </c>
      <c r="R16" s="4">
        <f t="shared" si="7"/>
        <v>232.59999999999997</v>
      </c>
      <c r="S16" s="4"/>
      <c r="T16" s="5"/>
      <c r="U16" s="5">
        <f t="shared" si="4"/>
        <v>14</v>
      </c>
      <c r="V16" s="5">
        <f t="shared" si="5"/>
        <v>7.0359281437125754</v>
      </c>
      <c r="W16" s="5">
        <v>23.8</v>
      </c>
      <c r="X16" s="5">
        <v>49.6</v>
      </c>
      <c r="Y16" s="5">
        <v>38.4</v>
      </c>
      <c r="Z16" s="5">
        <v>25.6</v>
      </c>
      <c r="AA16" s="5">
        <v>29.2</v>
      </c>
      <c r="AB16" s="5">
        <v>29</v>
      </c>
      <c r="AC16" s="5">
        <v>21.4</v>
      </c>
      <c r="AD16" s="5">
        <v>25</v>
      </c>
      <c r="AE16" s="5"/>
      <c r="AF16" s="5">
        <f t="shared" si="6"/>
        <v>93.039999999999992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49</v>
      </c>
      <c r="B17" s="5" t="s">
        <v>39</v>
      </c>
      <c r="C17" s="5">
        <v>18.766999999999999</v>
      </c>
      <c r="D17" s="5">
        <v>519.54300000000001</v>
      </c>
      <c r="E17" s="5">
        <v>235.226</v>
      </c>
      <c r="F17" s="5">
        <v>272.15199999999999</v>
      </c>
      <c r="G17" s="8">
        <v>1</v>
      </c>
      <c r="H17" s="5">
        <v>45</v>
      </c>
      <c r="I17" s="5" t="s">
        <v>37</v>
      </c>
      <c r="J17" s="5"/>
      <c r="K17" s="5">
        <v>278.60000000000002</v>
      </c>
      <c r="L17" s="5">
        <f t="shared" si="2"/>
        <v>-43.374000000000024</v>
      </c>
      <c r="M17" s="5"/>
      <c r="N17" s="5"/>
      <c r="O17" s="5">
        <v>49</v>
      </c>
      <c r="P17" s="5">
        <v>51</v>
      </c>
      <c r="Q17" s="5">
        <f t="shared" si="3"/>
        <v>47.045200000000001</v>
      </c>
      <c r="R17" s="4">
        <f t="shared" si="7"/>
        <v>286.48079999999999</v>
      </c>
      <c r="S17" s="4"/>
      <c r="T17" s="5"/>
      <c r="U17" s="5">
        <f t="shared" si="4"/>
        <v>13.999999999999998</v>
      </c>
      <c r="V17" s="5">
        <f t="shared" si="5"/>
        <v>7.9105200955676667</v>
      </c>
      <c r="W17" s="5">
        <v>41.2804</v>
      </c>
      <c r="X17" s="5">
        <v>112.80200000000001</v>
      </c>
      <c r="Y17" s="5">
        <v>62.302</v>
      </c>
      <c r="Z17" s="5">
        <v>69.2654</v>
      </c>
      <c r="AA17" s="5">
        <v>59.640999999999998</v>
      </c>
      <c r="AB17" s="5">
        <v>62.387800000000013</v>
      </c>
      <c r="AC17" s="5">
        <v>69</v>
      </c>
      <c r="AD17" s="5">
        <v>55.5886</v>
      </c>
      <c r="AE17" s="5"/>
      <c r="AF17" s="5">
        <f t="shared" si="6"/>
        <v>286.48079999999999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50</v>
      </c>
      <c r="B18" s="5" t="s">
        <v>39</v>
      </c>
      <c r="C18" s="5"/>
      <c r="D18" s="5">
        <v>64.378</v>
      </c>
      <c r="E18" s="5">
        <v>7.5119999999999996</v>
      </c>
      <c r="F18" s="5">
        <v>57.92</v>
      </c>
      <c r="G18" s="8">
        <v>1</v>
      </c>
      <c r="H18" s="5">
        <v>120</v>
      </c>
      <c r="I18" s="5" t="s">
        <v>37</v>
      </c>
      <c r="J18" s="5"/>
      <c r="K18" s="5">
        <v>6.5</v>
      </c>
      <c r="L18" s="5">
        <f t="shared" si="2"/>
        <v>1.0119999999999996</v>
      </c>
      <c r="M18" s="5"/>
      <c r="N18" s="5"/>
      <c r="O18" s="5">
        <v>0</v>
      </c>
      <c r="P18" s="5"/>
      <c r="Q18" s="5">
        <f t="shared" si="3"/>
        <v>1.5024</v>
      </c>
      <c r="R18" s="4"/>
      <c r="S18" s="4"/>
      <c r="T18" s="5"/>
      <c r="U18" s="5">
        <f t="shared" si="4"/>
        <v>38.551650692225778</v>
      </c>
      <c r="V18" s="5">
        <f t="shared" si="5"/>
        <v>38.551650692225778</v>
      </c>
      <c r="W18" s="5">
        <v>0.40139999999999998</v>
      </c>
      <c r="X18" s="5">
        <v>14.86</v>
      </c>
      <c r="Y18" s="5">
        <v>4.7455999999999996</v>
      </c>
      <c r="Z18" s="5">
        <v>2.8780000000000001</v>
      </c>
      <c r="AA18" s="5">
        <v>4.2732000000000001</v>
      </c>
      <c r="AB18" s="5">
        <v>8.4008000000000003</v>
      </c>
      <c r="AC18" s="5">
        <v>2.5964</v>
      </c>
      <c r="AD18" s="5">
        <v>4.7544000000000004</v>
      </c>
      <c r="AE18" s="5"/>
      <c r="AF18" s="5">
        <f t="shared" si="6"/>
        <v>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51</v>
      </c>
      <c r="B19" s="5" t="s">
        <v>36</v>
      </c>
      <c r="C19" s="5">
        <v>63</v>
      </c>
      <c r="D19" s="5">
        <v>200</v>
      </c>
      <c r="E19" s="5">
        <v>167</v>
      </c>
      <c r="F19" s="5">
        <v>102</v>
      </c>
      <c r="G19" s="8">
        <v>0.4</v>
      </c>
      <c r="H19" s="5">
        <v>45</v>
      </c>
      <c r="I19" s="5" t="s">
        <v>37</v>
      </c>
      <c r="J19" s="5"/>
      <c r="K19" s="5">
        <v>158</v>
      </c>
      <c r="L19" s="5">
        <f t="shared" si="2"/>
        <v>9</v>
      </c>
      <c r="M19" s="5"/>
      <c r="N19" s="5"/>
      <c r="O19" s="5">
        <v>123</v>
      </c>
      <c r="P19" s="5">
        <v>127</v>
      </c>
      <c r="Q19" s="5">
        <f t="shared" si="3"/>
        <v>33.4</v>
      </c>
      <c r="R19" s="4">
        <f t="shared" si="7"/>
        <v>115.59999999999997</v>
      </c>
      <c r="S19" s="4"/>
      <c r="T19" s="5"/>
      <c r="U19" s="5">
        <f t="shared" si="4"/>
        <v>14</v>
      </c>
      <c r="V19" s="5">
        <f t="shared" si="5"/>
        <v>10.538922155688622</v>
      </c>
      <c r="W19" s="5">
        <v>37</v>
      </c>
      <c r="X19" s="5">
        <v>43.2</v>
      </c>
      <c r="Y19" s="5">
        <v>40.4</v>
      </c>
      <c r="Z19" s="5">
        <v>15.2</v>
      </c>
      <c r="AA19" s="5">
        <v>33</v>
      </c>
      <c r="AB19" s="5">
        <v>18</v>
      </c>
      <c r="AC19" s="5">
        <v>40.799999999999997</v>
      </c>
      <c r="AD19" s="5">
        <v>15.4</v>
      </c>
      <c r="AE19" s="5"/>
      <c r="AF19" s="5">
        <f t="shared" si="6"/>
        <v>46.239999999999988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52</v>
      </c>
      <c r="B20" s="5" t="s">
        <v>39</v>
      </c>
      <c r="C20" s="5"/>
      <c r="D20" s="5">
        <v>381.37099999999998</v>
      </c>
      <c r="E20" s="5">
        <v>215.221</v>
      </c>
      <c r="F20" s="5">
        <v>151.18899999999999</v>
      </c>
      <c r="G20" s="8">
        <v>1</v>
      </c>
      <c r="H20" s="5">
        <v>60</v>
      </c>
      <c r="I20" s="5" t="s">
        <v>37</v>
      </c>
      <c r="J20" s="5"/>
      <c r="K20" s="5">
        <v>227.5</v>
      </c>
      <c r="L20" s="5">
        <f t="shared" si="2"/>
        <v>-12.278999999999996</v>
      </c>
      <c r="M20" s="5"/>
      <c r="N20" s="5"/>
      <c r="O20" s="5">
        <v>49</v>
      </c>
      <c r="P20" s="5">
        <v>51</v>
      </c>
      <c r="Q20" s="5">
        <f t="shared" si="3"/>
        <v>43.044200000000004</v>
      </c>
      <c r="R20" s="4">
        <f t="shared" si="7"/>
        <v>351.42980000000011</v>
      </c>
      <c r="S20" s="4"/>
      <c r="T20" s="5"/>
      <c r="U20" s="5">
        <f t="shared" si="4"/>
        <v>14</v>
      </c>
      <c r="V20" s="5">
        <f t="shared" si="5"/>
        <v>5.835606190845688</v>
      </c>
      <c r="W20" s="5">
        <v>24.972999999999999</v>
      </c>
      <c r="X20" s="5">
        <v>76.459199999999996</v>
      </c>
      <c r="Y20" s="5">
        <v>42.333799999999997</v>
      </c>
      <c r="Z20" s="5">
        <v>36.527000000000001</v>
      </c>
      <c r="AA20" s="5">
        <v>31.644600000000001</v>
      </c>
      <c r="AB20" s="5">
        <v>30.37</v>
      </c>
      <c r="AC20" s="5">
        <v>28.280200000000001</v>
      </c>
      <c r="AD20" s="5">
        <v>26.901199999999999</v>
      </c>
      <c r="AE20" s="5"/>
      <c r="AF20" s="5">
        <f t="shared" si="6"/>
        <v>351.42980000000011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53</v>
      </c>
      <c r="B21" s="5" t="s">
        <v>36</v>
      </c>
      <c r="C21" s="5">
        <v>53</v>
      </c>
      <c r="D21" s="5">
        <v>362</v>
      </c>
      <c r="E21" s="5">
        <v>154</v>
      </c>
      <c r="F21" s="5">
        <v>232</v>
      </c>
      <c r="G21" s="8">
        <v>0.22</v>
      </c>
      <c r="H21" s="5">
        <v>120</v>
      </c>
      <c r="I21" s="5" t="s">
        <v>37</v>
      </c>
      <c r="J21" s="5"/>
      <c r="K21" s="5">
        <v>174</v>
      </c>
      <c r="L21" s="5">
        <f t="shared" si="2"/>
        <v>-20</v>
      </c>
      <c r="M21" s="5"/>
      <c r="N21" s="5"/>
      <c r="O21" s="5">
        <v>98</v>
      </c>
      <c r="P21" s="5">
        <v>102</v>
      </c>
      <c r="Q21" s="5">
        <f t="shared" si="3"/>
        <v>30.8</v>
      </c>
      <c r="R21" s="4"/>
      <c r="S21" s="4"/>
      <c r="T21" s="5"/>
      <c r="U21" s="5">
        <f t="shared" si="4"/>
        <v>14.025974025974026</v>
      </c>
      <c r="V21" s="5">
        <f t="shared" si="5"/>
        <v>14.025974025974026</v>
      </c>
      <c r="W21" s="5">
        <v>32</v>
      </c>
      <c r="X21" s="5">
        <v>50</v>
      </c>
      <c r="Y21" s="5">
        <v>38.200000000000003</v>
      </c>
      <c r="Z21" s="5">
        <v>37.4</v>
      </c>
      <c r="AA21" s="5">
        <v>27.2</v>
      </c>
      <c r="AB21" s="5">
        <v>38.4</v>
      </c>
      <c r="AC21" s="5">
        <v>34.6</v>
      </c>
      <c r="AD21" s="5">
        <v>32</v>
      </c>
      <c r="AE21" s="5"/>
      <c r="AF21" s="5">
        <f t="shared" si="6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54</v>
      </c>
      <c r="B22" s="5" t="s">
        <v>36</v>
      </c>
      <c r="C22" s="5"/>
      <c r="D22" s="5">
        <v>55</v>
      </c>
      <c r="E22" s="5">
        <v>13</v>
      </c>
      <c r="F22" s="5">
        <v>37</v>
      </c>
      <c r="G22" s="8">
        <v>0.15</v>
      </c>
      <c r="H22" s="5">
        <v>45</v>
      </c>
      <c r="I22" s="5" t="s">
        <v>37</v>
      </c>
      <c r="J22" s="5"/>
      <c r="K22" s="5">
        <v>13</v>
      </c>
      <c r="L22" s="5">
        <f t="shared" si="2"/>
        <v>0</v>
      </c>
      <c r="M22" s="5"/>
      <c r="N22" s="5"/>
      <c r="O22" s="5">
        <v>50</v>
      </c>
      <c r="P22" s="5"/>
      <c r="Q22" s="5">
        <f t="shared" si="3"/>
        <v>2.6</v>
      </c>
      <c r="R22" s="4"/>
      <c r="S22" s="4"/>
      <c r="T22" s="5"/>
      <c r="U22" s="5">
        <f t="shared" si="4"/>
        <v>33.46153846153846</v>
      </c>
      <c r="V22" s="5">
        <f t="shared" si="5"/>
        <v>33.46153846153846</v>
      </c>
      <c r="W22" s="5">
        <v>5.2</v>
      </c>
      <c r="X22" s="5">
        <v>7.4</v>
      </c>
      <c r="Y22" s="5">
        <v>9.6</v>
      </c>
      <c r="Z22" s="5">
        <v>4.5999999999999996</v>
      </c>
      <c r="AA22" s="5">
        <v>3</v>
      </c>
      <c r="AB22" s="5">
        <v>6.6</v>
      </c>
      <c r="AC22" s="5">
        <v>4.8</v>
      </c>
      <c r="AD22" s="5">
        <v>6.6</v>
      </c>
      <c r="AE22" s="5"/>
      <c r="AF22" s="5">
        <f t="shared" si="6"/>
        <v>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55</v>
      </c>
      <c r="B23" s="5" t="s">
        <v>39</v>
      </c>
      <c r="C23" s="5"/>
      <c r="D23" s="5">
        <v>121.66800000000001</v>
      </c>
      <c r="E23" s="5">
        <v>74.245000000000005</v>
      </c>
      <c r="F23" s="5">
        <v>43.356000000000002</v>
      </c>
      <c r="G23" s="8">
        <v>1</v>
      </c>
      <c r="H23" s="5">
        <v>60</v>
      </c>
      <c r="I23" s="5" t="s">
        <v>37</v>
      </c>
      <c r="J23" s="5"/>
      <c r="K23" s="5">
        <v>88</v>
      </c>
      <c r="L23" s="5">
        <f t="shared" si="2"/>
        <v>-13.754999999999995</v>
      </c>
      <c r="M23" s="5"/>
      <c r="N23" s="5"/>
      <c r="O23" s="5">
        <v>98</v>
      </c>
      <c r="P23" s="5">
        <v>102</v>
      </c>
      <c r="Q23" s="5">
        <f t="shared" si="3"/>
        <v>14.849</v>
      </c>
      <c r="R23" s="4"/>
      <c r="S23" s="4"/>
      <c r="T23" s="5"/>
      <c r="U23" s="5">
        <f t="shared" si="4"/>
        <v>16.388713044649471</v>
      </c>
      <c r="V23" s="5">
        <f t="shared" si="5"/>
        <v>16.388713044649471</v>
      </c>
      <c r="W23" s="5">
        <v>16.9056</v>
      </c>
      <c r="X23" s="5">
        <v>26.607800000000001</v>
      </c>
      <c r="Y23" s="5">
        <v>20.533200000000001</v>
      </c>
      <c r="Z23" s="5">
        <v>20.5352</v>
      </c>
      <c r="AA23" s="5">
        <v>10.3094</v>
      </c>
      <c r="AB23" s="5">
        <v>15.7522</v>
      </c>
      <c r="AC23" s="5">
        <v>18.615400000000001</v>
      </c>
      <c r="AD23" s="5">
        <v>15.2134</v>
      </c>
      <c r="AE23" s="5"/>
      <c r="AF23" s="5">
        <f t="shared" si="6"/>
        <v>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56</v>
      </c>
      <c r="B24" s="5" t="s">
        <v>36</v>
      </c>
      <c r="C24" s="5">
        <v>18</v>
      </c>
      <c r="D24" s="5">
        <v>290</v>
      </c>
      <c r="E24" s="5">
        <v>111</v>
      </c>
      <c r="F24" s="5">
        <v>195</v>
      </c>
      <c r="G24" s="8">
        <v>0.09</v>
      </c>
      <c r="H24" s="5">
        <v>60</v>
      </c>
      <c r="I24" s="5" t="s">
        <v>37</v>
      </c>
      <c r="J24" s="5"/>
      <c r="K24" s="5">
        <v>106</v>
      </c>
      <c r="L24" s="5">
        <f t="shared" si="2"/>
        <v>5</v>
      </c>
      <c r="M24" s="5"/>
      <c r="N24" s="5"/>
      <c r="O24" s="5">
        <v>49</v>
      </c>
      <c r="P24" s="5">
        <v>51</v>
      </c>
      <c r="Q24" s="5">
        <f t="shared" si="3"/>
        <v>22.2</v>
      </c>
      <c r="R24" s="4">
        <f t="shared" si="7"/>
        <v>15.800000000000011</v>
      </c>
      <c r="S24" s="4"/>
      <c r="T24" s="5"/>
      <c r="U24" s="5">
        <f t="shared" si="4"/>
        <v>14.000000000000002</v>
      </c>
      <c r="V24" s="5">
        <f t="shared" si="5"/>
        <v>13.288288288288289</v>
      </c>
      <c r="W24" s="5">
        <v>13.6</v>
      </c>
      <c r="X24" s="5">
        <v>49.4</v>
      </c>
      <c r="Y24" s="5">
        <v>19.8</v>
      </c>
      <c r="Z24" s="5">
        <v>5.4</v>
      </c>
      <c r="AA24" s="5">
        <v>4.5999999999999996</v>
      </c>
      <c r="AB24" s="5">
        <v>36.6</v>
      </c>
      <c r="AC24" s="5">
        <v>14.4</v>
      </c>
      <c r="AD24" s="5">
        <v>14.8</v>
      </c>
      <c r="AE24" s="5"/>
      <c r="AF24" s="5">
        <f t="shared" si="6"/>
        <v>1.422000000000001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57</v>
      </c>
      <c r="B25" s="5" t="s">
        <v>36</v>
      </c>
      <c r="C25" s="5"/>
      <c r="D25" s="5">
        <v>140</v>
      </c>
      <c r="E25" s="5">
        <v>49</v>
      </c>
      <c r="F25" s="5">
        <v>83</v>
      </c>
      <c r="G25" s="8">
        <v>0.09</v>
      </c>
      <c r="H25" s="5">
        <v>45</v>
      </c>
      <c r="I25" s="5" t="s">
        <v>37</v>
      </c>
      <c r="J25" s="5"/>
      <c r="K25" s="5">
        <v>52</v>
      </c>
      <c r="L25" s="5">
        <f t="shared" si="2"/>
        <v>-3</v>
      </c>
      <c r="M25" s="5"/>
      <c r="N25" s="5"/>
      <c r="O25" s="5">
        <v>49</v>
      </c>
      <c r="P25" s="5">
        <v>51</v>
      </c>
      <c r="Q25" s="5">
        <f t="shared" si="3"/>
        <v>9.8000000000000007</v>
      </c>
      <c r="R25" s="4"/>
      <c r="S25" s="4"/>
      <c r="T25" s="5"/>
      <c r="U25" s="5">
        <f t="shared" si="4"/>
        <v>18.673469387755102</v>
      </c>
      <c r="V25" s="5">
        <f t="shared" si="5"/>
        <v>18.673469387755102</v>
      </c>
      <c r="W25" s="5">
        <v>-0.4</v>
      </c>
      <c r="X25" s="5">
        <v>29.4</v>
      </c>
      <c r="Y25" s="5">
        <v>9.6</v>
      </c>
      <c r="Z25" s="5">
        <v>8.6</v>
      </c>
      <c r="AA25" s="5">
        <v>7.8</v>
      </c>
      <c r="AB25" s="5">
        <v>12.8</v>
      </c>
      <c r="AC25" s="5">
        <v>10.199999999999999</v>
      </c>
      <c r="AD25" s="5">
        <v>7.6</v>
      </c>
      <c r="AE25" s="5"/>
      <c r="AF25" s="5">
        <f t="shared" si="6"/>
        <v>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58</v>
      </c>
      <c r="B26" s="5" t="s">
        <v>36</v>
      </c>
      <c r="C26" s="5">
        <v>46</v>
      </c>
      <c r="D26" s="5">
        <v>249</v>
      </c>
      <c r="E26" s="5">
        <v>126</v>
      </c>
      <c r="F26" s="5">
        <v>161</v>
      </c>
      <c r="G26" s="8">
        <v>0.4</v>
      </c>
      <c r="H26" s="5">
        <v>60</v>
      </c>
      <c r="I26" s="5" t="s">
        <v>37</v>
      </c>
      <c r="J26" s="5"/>
      <c r="K26" s="5">
        <v>161</v>
      </c>
      <c r="L26" s="5">
        <f t="shared" si="2"/>
        <v>-35</v>
      </c>
      <c r="M26" s="5"/>
      <c r="N26" s="5"/>
      <c r="O26" s="5">
        <v>74</v>
      </c>
      <c r="P26" s="5">
        <v>76</v>
      </c>
      <c r="Q26" s="5">
        <f t="shared" si="3"/>
        <v>25.2</v>
      </c>
      <c r="R26" s="4">
        <f t="shared" si="7"/>
        <v>41.800000000000011</v>
      </c>
      <c r="S26" s="4"/>
      <c r="T26" s="5"/>
      <c r="U26" s="5">
        <f t="shared" si="4"/>
        <v>14</v>
      </c>
      <c r="V26" s="5">
        <f t="shared" si="5"/>
        <v>12.341269841269842</v>
      </c>
      <c r="W26" s="5">
        <v>22.8</v>
      </c>
      <c r="X26" s="5">
        <v>53</v>
      </c>
      <c r="Y26" s="5">
        <v>10.4</v>
      </c>
      <c r="Z26" s="5">
        <v>-1</v>
      </c>
      <c r="AA26" s="5">
        <v>4.2</v>
      </c>
      <c r="AB26" s="5">
        <v>15</v>
      </c>
      <c r="AC26" s="5">
        <v>28.4</v>
      </c>
      <c r="AD26" s="5">
        <v>17.600000000000001</v>
      </c>
      <c r="AE26" s="5"/>
      <c r="AF26" s="5">
        <f t="shared" si="6"/>
        <v>16.720000000000006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59</v>
      </c>
      <c r="B27" s="5" t="s">
        <v>36</v>
      </c>
      <c r="C27" s="5">
        <v>21</v>
      </c>
      <c r="D27" s="5">
        <v>75</v>
      </c>
      <c r="E27" s="5">
        <v>56</v>
      </c>
      <c r="F27" s="5">
        <v>18</v>
      </c>
      <c r="G27" s="8">
        <v>0.15</v>
      </c>
      <c r="H27" s="5">
        <v>45</v>
      </c>
      <c r="I27" s="5" t="s">
        <v>37</v>
      </c>
      <c r="J27" s="5"/>
      <c r="K27" s="5">
        <v>50</v>
      </c>
      <c r="L27" s="5">
        <f t="shared" si="2"/>
        <v>6</v>
      </c>
      <c r="M27" s="5"/>
      <c r="N27" s="5"/>
      <c r="O27" s="5">
        <v>74</v>
      </c>
      <c r="P27" s="5">
        <v>76</v>
      </c>
      <c r="Q27" s="5">
        <f t="shared" si="3"/>
        <v>11.2</v>
      </c>
      <c r="R27" s="4"/>
      <c r="S27" s="4"/>
      <c r="T27" s="5"/>
      <c r="U27" s="5">
        <f t="shared" si="4"/>
        <v>15.000000000000002</v>
      </c>
      <c r="V27" s="5">
        <f t="shared" si="5"/>
        <v>15.000000000000002</v>
      </c>
      <c r="W27" s="5">
        <v>13.6</v>
      </c>
      <c r="X27" s="5">
        <v>12.6</v>
      </c>
      <c r="Y27" s="5">
        <v>15.6</v>
      </c>
      <c r="Z27" s="5">
        <v>9.8000000000000007</v>
      </c>
      <c r="AA27" s="5">
        <v>8.6</v>
      </c>
      <c r="AB27" s="5">
        <v>9.1999999999999993</v>
      </c>
      <c r="AC27" s="5">
        <v>9.6</v>
      </c>
      <c r="AD27" s="5">
        <v>10.4</v>
      </c>
      <c r="AE27" s="5"/>
      <c r="AF27" s="5">
        <f t="shared" si="6"/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60</v>
      </c>
      <c r="B28" s="5" t="s">
        <v>39</v>
      </c>
      <c r="C28" s="5">
        <v>13.811</v>
      </c>
      <c r="D28" s="5">
        <v>540.75300000000004</v>
      </c>
      <c r="E28" s="5">
        <v>196.33699999999999</v>
      </c>
      <c r="F28" s="5">
        <v>292.839</v>
      </c>
      <c r="G28" s="8">
        <v>1</v>
      </c>
      <c r="H28" s="5">
        <v>45</v>
      </c>
      <c r="I28" s="5" t="s">
        <v>37</v>
      </c>
      <c r="J28" s="5"/>
      <c r="K28" s="5">
        <v>189.5</v>
      </c>
      <c r="L28" s="5">
        <f t="shared" si="2"/>
        <v>6.8369999999999891</v>
      </c>
      <c r="M28" s="5"/>
      <c r="N28" s="5"/>
      <c r="O28" s="5">
        <v>98</v>
      </c>
      <c r="P28" s="5">
        <v>102</v>
      </c>
      <c r="Q28" s="5">
        <f t="shared" si="3"/>
        <v>39.267399999999995</v>
      </c>
      <c r="R28" s="4">
        <f t="shared" si="7"/>
        <v>56.904599999999903</v>
      </c>
      <c r="S28" s="4"/>
      <c r="T28" s="5"/>
      <c r="U28" s="5">
        <f t="shared" si="4"/>
        <v>14</v>
      </c>
      <c r="V28" s="5">
        <f t="shared" si="5"/>
        <v>12.550843702409635</v>
      </c>
      <c r="W28" s="5">
        <v>48.588799999999999</v>
      </c>
      <c r="X28" s="5">
        <v>104.72280000000001</v>
      </c>
      <c r="Y28" s="5">
        <v>67.749200000000002</v>
      </c>
      <c r="Z28" s="5">
        <v>78.670199999999994</v>
      </c>
      <c r="AA28" s="5">
        <v>61.353999999999999</v>
      </c>
      <c r="AB28" s="5">
        <v>66.36</v>
      </c>
      <c r="AC28" s="5">
        <v>62.159000000000013</v>
      </c>
      <c r="AD28" s="5">
        <v>74.370199999999997</v>
      </c>
      <c r="AE28" s="5"/>
      <c r="AF28" s="5">
        <f t="shared" si="6"/>
        <v>56.904599999999903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61</v>
      </c>
      <c r="B29" s="5" t="s">
        <v>36</v>
      </c>
      <c r="C29" s="5">
        <v>82</v>
      </c>
      <c r="D29" s="5">
        <v>7</v>
      </c>
      <c r="E29" s="5">
        <v>73</v>
      </c>
      <c r="F29" s="5">
        <v>3</v>
      </c>
      <c r="G29" s="8">
        <v>0.4</v>
      </c>
      <c r="H29" s="5">
        <v>60</v>
      </c>
      <c r="I29" s="5" t="s">
        <v>37</v>
      </c>
      <c r="J29" s="5"/>
      <c r="K29" s="5">
        <v>76</v>
      </c>
      <c r="L29" s="5">
        <f t="shared" si="2"/>
        <v>-3</v>
      </c>
      <c r="M29" s="5"/>
      <c r="N29" s="5"/>
      <c r="O29" s="5">
        <v>49</v>
      </c>
      <c r="P29" s="5">
        <v>51</v>
      </c>
      <c r="Q29" s="5">
        <f t="shared" si="3"/>
        <v>14.6</v>
      </c>
      <c r="R29" s="4">
        <f t="shared" si="7"/>
        <v>101.4</v>
      </c>
      <c r="S29" s="4"/>
      <c r="T29" s="5"/>
      <c r="U29" s="5">
        <f t="shared" si="4"/>
        <v>14</v>
      </c>
      <c r="V29" s="5">
        <f t="shared" si="5"/>
        <v>7.0547945205479454</v>
      </c>
      <c r="W29" s="5">
        <v>12</v>
      </c>
      <c r="X29" s="5">
        <v>10</v>
      </c>
      <c r="Y29" s="5">
        <v>16.8</v>
      </c>
      <c r="Z29" s="5">
        <v>5.8</v>
      </c>
      <c r="AA29" s="5">
        <v>7</v>
      </c>
      <c r="AB29" s="5">
        <v>10.199999999999999</v>
      </c>
      <c r="AC29" s="5">
        <v>8.4</v>
      </c>
      <c r="AD29" s="5">
        <v>2</v>
      </c>
      <c r="AE29" s="5"/>
      <c r="AF29" s="5">
        <f t="shared" si="6"/>
        <v>40.56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62</v>
      </c>
      <c r="B30" s="5" t="s">
        <v>36</v>
      </c>
      <c r="C30" s="5">
        <v>43</v>
      </c>
      <c r="D30" s="5">
        <v>5</v>
      </c>
      <c r="E30" s="5">
        <v>33</v>
      </c>
      <c r="F30" s="5">
        <v>-2</v>
      </c>
      <c r="G30" s="8">
        <v>0.4</v>
      </c>
      <c r="H30" s="5">
        <v>60</v>
      </c>
      <c r="I30" s="5" t="s">
        <v>37</v>
      </c>
      <c r="J30" s="5"/>
      <c r="K30" s="5">
        <v>32</v>
      </c>
      <c r="L30" s="5">
        <f t="shared" si="2"/>
        <v>1</v>
      </c>
      <c r="M30" s="5"/>
      <c r="N30" s="5"/>
      <c r="O30" s="5">
        <v>49</v>
      </c>
      <c r="P30" s="5">
        <v>51</v>
      </c>
      <c r="Q30" s="5">
        <f t="shared" si="3"/>
        <v>6.6</v>
      </c>
      <c r="R30" s="4"/>
      <c r="S30" s="4"/>
      <c r="T30" s="5"/>
      <c r="U30" s="5">
        <f t="shared" si="4"/>
        <v>14.84848484848485</v>
      </c>
      <c r="V30" s="5">
        <f t="shared" si="5"/>
        <v>14.84848484848485</v>
      </c>
      <c r="W30" s="5">
        <v>12.8</v>
      </c>
      <c r="X30" s="5">
        <v>0</v>
      </c>
      <c r="Y30" s="5">
        <v>14</v>
      </c>
      <c r="Z30" s="5">
        <v>1.8</v>
      </c>
      <c r="AA30" s="5">
        <v>5.8</v>
      </c>
      <c r="AB30" s="5">
        <v>5.6</v>
      </c>
      <c r="AC30" s="5">
        <v>4.8</v>
      </c>
      <c r="AD30" s="5">
        <v>10.199999999999999</v>
      </c>
      <c r="AE30" s="5"/>
      <c r="AF30" s="5">
        <f t="shared" si="6"/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63</v>
      </c>
      <c r="B31" s="5" t="s">
        <v>36</v>
      </c>
      <c r="C31" s="5"/>
      <c r="D31" s="5">
        <v>904</v>
      </c>
      <c r="E31" s="5">
        <v>347</v>
      </c>
      <c r="F31" s="5">
        <v>543</v>
      </c>
      <c r="G31" s="8">
        <v>0.4</v>
      </c>
      <c r="H31" s="5">
        <v>60</v>
      </c>
      <c r="I31" s="5" t="s">
        <v>37</v>
      </c>
      <c r="J31" s="5"/>
      <c r="K31" s="5">
        <v>446</v>
      </c>
      <c r="L31" s="5">
        <f t="shared" si="2"/>
        <v>-99</v>
      </c>
      <c r="M31" s="5"/>
      <c r="N31" s="5"/>
      <c r="O31" s="5">
        <v>221</v>
      </c>
      <c r="P31" s="5">
        <v>229</v>
      </c>
      <c r="Q31" s="5">
        <f t="shared" si="3"/>
        <v>69.400000000000006</v>
      </c>
      <c r="R31" s="4"/>
      <c r="S31" s="4"/>
      <c r="T31" s="5"/>
      <c r="U31" s="5">
        <f t="shared" si="4"/>
        <v>14.308357348703169</v>
      </c>
      <c r="V31" s="5">
        <f t="shared" si="5"/>
        <v>14.308357348703169</v>
      </c>
      <c r="W31" s="5">
        <v>21.6</v>
      </c>
      <c r="X31" s="5">
        <v>174.2</v>
      </c>
      <c r="Y31" s="5">
        <v>59.8</v>
      </c>
      <c r="Z31" s="5">
        <v>82</v>
      </c>
      <c r="AA31" s="5">
        <v>109.6</v>
      </c>
      <c r="AB31" s="5">
        <v>53.2</v>
      </c>
      <c r="AC31" s="5">
        <v>75</v>
      </c>
      <c r="AD31" s="5">
        <v>70.400000000000006</v>
      </c>
      <c r="AE31" s="5"/>
      <c r="AF31" s="5">
        <f t="shared" si="6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64</v>
      </c>
      <c r="B32" s="5" t="s">
        <v>36</v>
      </c>
      <c r="C32" s="5">
        <v>94</v>
      </c>
      <c r="D32" s="5"/>
      <c r="E32" s="5">
        <v>94</v>
      </c>
      <c r="F32" s="5">
        <v>2</v>
      </c>
      <c r="G32" s="8">
        <v>0.4</v>
      </c>
      <c r="H32" s="5">
        <v>60</v>
      </c>
      <c r="I32" s="5" t="s">
        <v>37</v>
      </c>
      <c r="J32" s="5"/>
      <c r="K32" s="5">
        <v>177</v>
      </c>
      <c r="L32" s="5">
        <f t="shared" si="2"/>
        <v>-83</v>
      </c>
      <c r="M32" s="5"/>
      <c r="N32" s="5"/>
      <c r="O32" s="5">
        <v>368</v>
      </c>
      <c r="P32" s="5">
        <v>382</v>
      </c>
      <c r="Q32" s="5">
        <f t="shared" si="3"/>
        <v>18.8</v>
      </c>
      <c r="R32" s="4"/>
      <c r="S32" s="4"/>
      <c r="T32" s="5"/>
      <c r="U32" s="5">
        <f t="shared" si="4"/>
        <v>40</v>
      </c>
      <c r="V32" s="5">
        <f t="shared" si="5"/>
        <v>40</v>
      </c>
      <c r="W32" s="5">
        <v>74.2</v>
      </c>
      <c r="X32" s="5">
        <v>43</v>
      </c>
      <c r="Y32" s="5">
        <v>54</v>
      </c>
      <c r="Z32" s="5">
        <v>42</v>
      </c>
      <c r="AA32" s="5">
        <v>46.6</v>
      </c>
      <c r="AB32" s="5">
        <v>43.2</v>
      </c>
      <c r="AC32" s="5">
        <v>65.8</v>
      </c>
      <c r="AD32" s="5">
        <v>43</v>
      </c>
      <c r="AE32" s="5"/>
      <c r="AF32" s="5">
        <f t="shared" si="6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65</v>
      </c>
      <c r="B33" s="5" t="s">
        <v>36</v>
      </c>
      <c r="C33" s="5">
        <v>4</v>
      </c>
      <c r="D33" s="5">
        <v>804</v>
      </c>
      <c r="E33" s="5">
        <v>410</v>
      </c>
      <c r="F33" s="5">
        <v>387</v>
      </c>
      <c r="G33" s="8">
        <v>0.4</v>
      </c>
      <c r="H33" s="5">
        <v>60</v>
      </c>
      <c r="I33" s="5" t="s">
        <v>37</v>
      </c>
      <c r="J33" s="5"/>
      <c r="K33" s="5">
        <v>420</v>
      </c>
      <c r="L33" s="5">
        <f t="shared" si="2"/>
        <v>-10</v>
      </c>
      <c r="M33" s="5"/>
      <c r="N33" s="5"/>
      <c r="O33" s="5">
        <v>98</v>
      </c>
      <c r="P33" s="5">
        <v>102</v>
      </c>
      <c r="Q33" s="5">
        <f t="shared" si="3"/>
        <v>82</v>
      </c>
      <c r="R33" s="4">
        <f t="shared" si="7"/>
        <v>561</v>
      </c>
      <c r="S33" s="4"/>
      <c r="T33" s="5"/>
      <c r="U33" s="5">
        <f t="shared" si="4"/>
        <v>14</v>
      </c>
      <c r="V33" s="5">
        <f t="shared" si="5"/>
        <v>7.1585365853658534</v>
      </c>
      <c r="W33" s="5">
        <v>54.8</v>
      </c>
      <c r="X33" s="5">
        <v>153.80000000000001</v>
      </c>
      <c r="Y33" s="5">
        <v>82.2</v>
      </c>
      <c r="Z33" s="5">
        <v>68.2</v>
      </c>
      <c r="AA33" s="5">
        <v>90.8</v>
      </c>
      <c r="AB33" s="5">
        <v>41</v>
      </c>
      <c r="AC33" s="5">
        <v>84</v>
      </c>
      <c r="AD33" s="5">
        <v>79.8</v>
      </c>
      <c r="AE33" s="5"/>
      <c r="AF33" s="5">
        <f t="shared" si="6"/>
        <v>224.4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10" t="s">
        <v>66</v>
      </c>
      <c r="B34" s="10" t="s">
        <v>36</v>
      </c>
      <c r="C34" s="10"/>
      <c r="D34" s="10">
        <v>1</v>
      </c>
      <c r="E34" s="10">
        <v>12</v>
      </c>
      <c r="F34" s="10"/>
      <c r="G34" s="11">
        <v>0</v>
      </c>
      <c r="H34" s="10">
        <v>45</v>
      </c>
      <c r="I34" s="10" t="s">
        <v>67</v>
      </c>
      <c r="J34" s="10"/>
      <c r="K34" s="10">
        <v>21</v>
      </c>
      <c r="L34" s="10">
        <f t="shared" si="2"/>
        <v>-9</v>
      </c>
      <c r="M34" s="10"/>
      <c r="N34" s="10"/>
      <c r="O34" s="10">
        <v>0</v>
      </c>
      <c r="P34" s="10"/>
      <c r="Q34" s="10">
        <f t="shared" si="3"/>
        <v>2.4</v>
      </c>
      <c r="R34" s="12"/>
      <c r="S34" s="12"/>
      <c r="T34" s="10"/>
      <c r="U34" s="10">
        <f t="shared" si="4"/>
        <v>0</v>
      </c>
      <c r="V34" s="10">
        <f t="shared" si="5"/>
        <v>0</v>
      </c>
      <c r="W34" s="10">
        <v>19</v>
      </c>
      <c r="X34" s="10">
        <v>16.600000000000001</v>
      </c>
      <c r="Y34" s="10">
        <v>7.8</v>
      </c>
      <c r="Z34" s="10">
        <v>16.2</v>
      </c>
      <c r="AA34" s="10">
        <v>10</v>
      </c>
      <c r="AB34" s="10">
        <v>5.6</v>
      </c>
      <c r="AC34" s="10">
        <v>8.6</v>
      </c>
      <c r="AD34" s="10">
        <v>7.2</v>
      </c>
      <c r="AE34" s="10"/>
      <c r="AF34" s="10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68</v>
      </c>
      <c r="B35" s="5" t="s">
        <v>36</v>
      </c>
      <c r="C35" s="5"/>
      <c r="D35" s="5">
        <v>476</v>
      </c>
      <c r="E35" s="5">
        <v>152</v>
      </c>
      <c r="F35" s="5">
        <v>317</v>
      </c>
      <c r="G35" s="8">
        <v>0.1</v>
      </c>
      <c r="H35" s="5">
        <v>60</v>
      </c>
      <c r="I35" s="5" t="s">
        <v>37</v>
      </c>
      <c r="J35" s="5"/>
      <c r="K35" s="5">
        <v>214</v>
      </c>
      <c r="L35" s="5">
        <f t="shared" si="2"/>
        <v>-62</v>
      </c>
      <c r="M35" s="5"/>
      <c r="N35" s="5"/>
      <c r="O35" s="5">
        <v>147</v>
      </c>
      <c r="P35" s="5">
        <v>153</v>
      </c>
      <c r="Q35" s="5">
        <f t="shared" si="3"/>
        <v>30.4</v>
      </c>
      <c r="R35" s="4"/>
      <c r="S35" s="4"/>
      <c r="T35" s="5"/>
      <c r="U35" s="5">
        <f t="shared" si="4"/>
        <v>20.296052631578949</v>
      </c>
      <c r="V35" s="5">
        <f t="shared" si="5"/>
        <v>20.296052631578949</v>
      </c>
      <c r="W35" s="5">
        <v>0</v>
      </c>
      <c r="X35" s="5">
        <v>83.6</v>
      </c>
      <c r="Y35" s="5">
        <v>22.2</v>
      </c>
      <c r="Z35" s="5">
        <v>56.8</v>
      </c>
      <c r="AA35" s="5">
        <v>34.200000000000003</v>
      </c>
      <c r="AB35" s="5">
        <v>14.6</v>
      </c>
      <c r="AC35" s="5">
        <v>31.8</v>
      </c>
      <c r="AD35" s="5">
        <v>37.6</v>
      </c>
      <c r="AE35" s="5"/>
      <c r="AF35" s="5">
        <f t="shared" ref="AF35:AF54" si="8">G35*R35</f>
        <v>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69</v>
      </c>
      <c r="B36" s="5" t="s">
        <v>36</v>
      </c>
      <c r="C36" s="5">
        <v>29</v>
      </c>
      <c r="D36" s="5">
        <v>340</v>
      </c>
      <c r="E36" s="5">
        <v>218</v>
      </c>
      <c r="F36" s="5">
        <v>147</v>
      </c>
      <c r="G36" s="8">
        <v>0.1</v>
      </c>
      <c r="H36" s="5">
        <v>60</v>
      </c>
      <c r="I36" s="5" t="s">
        <v>37</v>
      </c>
      <c r="J36" s="5"/>
      <c r="K36" s="5">
        <v>212</v>
      </c>
      <c r="L36" s="5">
        <f t="shared" si="2"/>
        <v>6</v>
      </c>
      <c r="M36" s="5"/>
      <c r="N36" s="5"/>
      <c r="O36" s="5">
        <v>246</v>
      </c>
      <c r="P36" s="5">
        <v>254</v>
      </c>
      <c r="Q36" s="5">
        <f t="shared" si="3"/>
        <v>43.6</v>
      </c>
      <c r="R36" s="4"/>
      <c r="S36" s="4"/>
      <c r="T36" s="5"/>
      <c r="U36" s="5">
        <f t="shared" si="4"/>
        <v>14.839449541284402</v>
      </c>
      <c r="V36" s="5">
        <f t="shared" si="5"/>
        <v>14.839449541284402</v>
      </c>
      <c r="W36" s="5">
        <v>55.6</v>
      </c>
      <c r="X36" s="5">
        <v>57.2</v>
      </c>
      <c r="Y36" s="5">
        <v>41</v>
      </c>
      <c r="Z36" s="5">
        <v>50.4</v>
      </c>
      <c r="AA36" s="5">
        <v>30.4</v>
      </c>
      <c r="AB36" s="5">
        <v>30.4</v>
      </c>
      <c r="AC36" s="5">
        <v>39.799999999999997</v>
      </c>
      <c r="AD36" s="5">
        <v>33</v>
      </c>
      <c r="AE36" s="5"/>
      <c r="AF36" s="5">
        <f t="shared" si="8"/>
        <v>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70</v>
      </c>
      <c r="B37" s="5" t="s">
        <v>36</v>
      </c>
      <c r="C37" s="5">
        <v>10</v>
      </c>
      <c r="D37" s="5">
        <v>130</v>
      </c>
      <c r="E37" s="5">
        <v>67</v>
      </c>
      <c r="F37" s="5">
        <v>82</v>
      </c>
      <c r="G37" s="8">
        <v>0.1</v>
      </c>
      <c r="H37" s="5">
        <v>45</v>
      </c>
      <c r="I37" s="5" t="s">
        <v>37</v>
      </c>
      <c r="J37" s="5"/>
      <c r="K37" s="5">
        <v>65</v>
      </c>
      <c r="L37" s="5">
        <f t="shared" si="2"/>
        <v>2</v>
      </c>
      <c r="M37" s="5"/>
      <c r="N37" s="5"/>
      <c r="O37" s="5">
        <v>34</v>
      </c>
      <c r="P37" s="5">
        <v>36</v>
      </c>
      <c r="Q37" s="5">
        <f t="shared" si="3"/>
        <v>13.4</v>
      </c>
      <c r="R37" s="4">
        <f t="shared" ref="R37:R54" si="9">14*Q37-P37-O37-F37</f>
        <v>35.599999999999994</v>
      </c>
      <c r="S37" s="4"/>
      <c r="T37" s="5"/>
      <c r="U37" s="5">
        <f t="shared" si="4"/>
        <v>14</v>
      </c>
      <c r="V37" s="5">
        <f t="shared" si="5"/>
        <v>11.343283582089551</v>
      </c>
      <c r="W37" s="5">
        <v>5.2</v>
      </c>
      <c r="X37" s="5">
        <v>37</v>
      </c>
      <c r="Y37" s="5">
        <v>15.6</v>
      </c>
      <c r="Z37" s="5">
        <v>0.4</v>
      </c>
      <c r="AA37" s="5">
        <v>5.6</v>
      </c>
      <c r="AB37" s="5">
        <v>18.399999999999999</v>
      </c>
      <c r="AC37" s="5">
        <v>8.8000000000000007</v>
      </c>
      <c r="AD37" s="5">
        <v>7.2</v>
      </c>
      <c r="AE37" s="5"/>
      <c r="AF37" s="5">
        <f t="shared" si="8"/>
        <v>3.5599999999999996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71</v>
      </c>
      <c r="B38" s="5" t="s">
        <v>36</v>
      </c>
      <c r="C38" s="5">
        <v>64</v>
      </c>
      <c r="D38" s="5">
        <v>35</v>
      </c>
      <c r="E38" s="5">
        <v>45</v>
      </c>
      <c r="F38" s="5">
        <v>1</v>
      </c>
      <c r="G38" s="8">
        <v>0.4</v>
      </c>
      <c r="H38" s="5">
        <v>45</v>
      </c>
      <c r="I38" s="5" t="s">
        <v>37</v>
      </c>
      <c r="J38" s="5"/>
      <c r="K38" s="5">
        <v>191</v>
      </c>
      <c r="L38" s="5">
        <f t="shared" ref="L38:L69" si="10">E38-K38</f>
        <v>-146</v>
      </c>
      <c r="M38" s="5"/>
      <c r="N38" s="5"/>
      <c r="O38" s="5">
        <v>189</v>
      </c>
      <c r="P38" s="5">
        <v>196</v>
      </c>
      <c r="Q38" s="5">
        <f t="shared" ref="Q38:Q69" si="11">E38/5</f>
        <v>9</v>
      </c>
      <c r="R38" s="4">
        <v>30</v>
      </c>
      <c r="S38" s="4"/>
      <c r="T38" s="5"/>
      <c r="U38" s="5">
        <f t="shared" ref="U38:U69" si="12">(F38+O38+P38+R38)/Q38</f>
        <v>46.222222222222221</v>
      </c>
      <c r="V38" s="5">
        <f t="shared" ref="V38:V69" si="13">(F38+O38+P38)/Q38</f>
        <v>42.888888888888886</v>
      </c>
      <c r="W38" s="5">
        <v>44.4</v>
      </c>
      <c r="X38" s="5">
        <v>25.8</v>
      </c>
      <c r="Y38" s="5">
        <v>44.6</v>
      </c>
      <c r="Z38" s="5">
        <v>20.8</v>
      </c>
      <c r="AA38" s="5">
        <v>32.4</v>
      </c>
      <c r="AB38" s="5">
        <v>22.4</v>
      </c>
      <c r="AC38" s="5">
        <v>54.8</v>
      </c>
      <c r="AD38" s="5">
        <v>52.6</v>
      </c>
      <c r="AE38" s="5"/>
      <c r="AF38" s="5">
        <f t="shared" si="8"/>
        <v>12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72</v>
      </c>
      <c r="B39" s="5" t="s">
        <v>39</v>
      </c>
      <c r="C39" s="5">
        <v>31.106000000000002</v>
      </c>
      <c r="D39" s="5">
        <v>128.01499999999999</v>
      </c>
      <c r="E39" s="5">
        <v>120.22799999999999</v>
      </c>
      <c r="F39" s="5">
        <v>31.965</v>
      </c>
      <c r="G39" s="8">
        <v>1</v>
      </c>
      <c r="H39" s="5">
        <v>60</v>
      </c>
      <c r="I39" s="5" t="s">
        <v>37</v>
      </c>
      <c r="J39" s="5"/>
      <c r="K39" s="5">
        <v>148.80000000000001</v>
      </c>
      <c r="L39" s="5">
        <f t="shared" si="10"/>
        <v>-28.572000000000017</v>
      </c>
      <c r="M39" s="5"/>
      <c r="N39" s="5"/>
      <c r="O39" s="5">
        <v>188</v>
      </c>
      <c r="P39" s="5">
        <v>194</v>
      </c>
      <c r="Q39" s="5">
        <f t="shared" si="11"/>
        <v>24.0456</v>
      </c>
      <c r="R39" s="4"/>
      <c r="S39" s="4"/>
      <c r="T39" s="5"/>
      <c r="U39" s="5">
        <f t="shared" si="12"/>
        <v>17.21583158665203</v>
      </c>
      <c r="V39" s="5">
        <f t="shared" si="13"/>
        <v>17.21583158665203</v>
      </c>
      <c r="W39" s="5">
        <v>44.188200000000002</v>
      </c>
      <c r="X39" s="5">
        <v>30.084199999999999</v>
      </c>
      <c r="Y39" s="5">
        <v>30.709</v>
      </c>
      <c r="Z39" s="5">
        <v>19.3262</v>
      </c>
      <c r="AA39" s="5">
        <v>22.103200000000001</v>
      </c>
      <c r="AB39" s="5">
        <v>28.352399999999999</v>
      </c>
      <c r="AC39" s="5">
        <v>20.414200000000001</v>
      </c>
      <c r="AD39" s="5">
        <v>23.080200000000001</v>
      </c>
      <c r="AE39" s="5"/>
      <c r="AF39" s="5">
        <f t="shared" si="8"/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73</v>
      </c>
      <c r="B40" s="5" t="s">
        <v>39</v>
      </c>
      <c r="C40" s="5">
        <v>68.930999999999997</v>
      </c>
      <c r="D40" s="5">
        <v>73.811000000000007</v>
      </c>
      <c r="E40" s="5">
        <v>119.50700000000001</v>
      </c>
      <c r="F40" s="5">
        <v>23.832999999999998</v>
      </c>
      <c r="G40" s="8">
        <v>1</v>
      </c>
      <c r="H40" s="5">
        <v>45</v>
      </c>
      <c r="I40" s="5" t="s">
        <v>37</v>
      </c>
      <c r="J40" s="5"/>
      <c r="K40" s="5">
        <v>132.5</v>
      </c>
      <c r="L40" s="5">
        <f t="shared" si="10"/>
        <v>-12.992999999999995</v>
      </c>
      <c r="M40" s="5"/>
      <c r="N40" s="5"/>
      <c r="O40" s="5">
        <v>196</v>
      </c>
      <c r="P40" s="5">
        <v>204</v>
      </c>
      <c r="Q40" s="5">
        <f t="shared" si="11"/>
        <v>23.901400000000002</v>
      </c>
      <c r="R40" s="4"/>
      <c r="S40" s="4"/>
      <c r="T40" s="5"/>
      <c r="U40" s="5">
        <f t="shared" si="12"/>
        <v>17.7325595990193</v>
      </c>
      <c r="V40" s="5">
        <f t="shared" si="13"/>
        <v>17.7325595990193</v>
      </c>
      <c r="W40" s="5">
        <v>34.384599999999999</v>
      </c>
      <c r="X40" s="5">
        <v>25.9574</v>
      </c>
      <c r="Y40" s="5">
        <v>31.5746</v>
      </c>
      <c r="Z40" s="5">
        <v>2.0670000000000002</v>
      </c>
      <c r="AA40" s="5">
        <v>20.998200000000001</v>
      </c>
      <c r="AB40" s="5">
        <v>25.7256</v>
      </c>
      <c r="AC40" s="5">
        <v>14.664400000000001</v>
      </c>
      <c r="AD40" s="5">
        <v>25.8584</v>
      </c>
      <c r="AE40" s="5"/>
      <c r="AF40" s="5">
        <f t="shared" si="8"/>
        <v>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74</v>
      </c>
      <c r="B41" s="5" t="s">
        <v>39</v>
      </c>
      <c r="C41" s="5">
        <v>-0.04</v>
      </c>
      <c r="D41" s="5">
        <v>173.75200000000001</v>
      </c>
      <c r="E41" s="5">
        <v>109.179</v>
      </c>
      <c r="F41" s="5">
        <v>42.347000000000001</v>
      </c>
      <c r="G41" s="8">
        <v>1</v>
      </c>
      <c r="H41" s="5">
        <v>45</v>
      </c>
      <c r="I41" s="5" t="s">
        <v>37</v>
      </c>
      <c r="J41" s="5"/>
      <c r="K41" s="5">
        <v>109</v>
      </c>
      <c r="L41" s="5">
        <f t="shared" si="10"/>
        <v>0.17900000000000205</v>
      </c>
      <c r="M41" s="5"/>
      <c r="N41" s="5"/>
      <c r="O41" s="5">
        <v>74</v>
      </c>
      <c r="P41" s="5">
        <v>76</v>
      </c>
      <c r="Q41" s="5">
        <f t="shared" si="11"/>
        <v>21.835799999999999</v>
      </c>
      <c r="R41" s="4">
        <f t="shared" si="9"/>
        <v>113.35419999999996</v>
      </c>
      <c r="S41" s="4"/>
      <c r="T41" s="5"/>
      <c r="U41" s="5">
        <f t="shared" si="12"/>
        <v>14</v>
      </c>
      <c r="V41" s="5">
        <f t="shared" si="13"/>
        <v>8.8087910678793548</v>
      </c>
      <c r="W41" s="5">
        <v>20.508600000000001</v>
      </c>
      <c r="X41" s="5">
        <v>32.862400000000001</v>
      </c>
      <c r="Y41" s="5">
        <v>27.6464</v>
      </c>
      <c r="Z41" s="5">
        <v>25.0152</v>
      </c>
      <c r="AA41" s="5">
        <v>29.303799999999999</v>
      </c>
      <c r="AB41" s="5">
        <v>24.7468</v>
      </c>
      <c r="AC41" s="5">
        <v>24.5398</v>
      </c>
      <c r="AD41" s="5">
        <v>30.13</v>
      </c>
      <c r="AE41" s="5"/>
      <c r="AF41" s="5">
        <f t="shared" si="8"/>
        <v>113.35419999999996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75</v>
      </c>
      <c r="B42" s="5" t="s">
        <v>36</v>
      </c>
      <c r="C42" s="5">
        <v>-8</v>
      </c>
      <c r="D42" s="5">
        <v>48</v>
      </c>
      <c r="E42" s="5">
        <v>24</v>
      </c>
      <c r="F42" s="5">
        <v>15</v>
      </c>
      <c r="G42" s="8">
        <v>0.35</v>
      </c>
      <c r="H42" s="5">
        <v>45</v>
      </c>
      <c r="I42" s="5" t="s">
        <v>37</v>
      </c>
      <c r="J42" s="5"/>
      <c r="K42" s="5">
        <v>25</v>
      </c>
      <c r="L42" s="5">
        <f t="shared" si="10"/>
        <v>-1</v>
      </c>
      <c r="M42" s="5"/>
      <c r="N42" s="5"/>
      <c r="O42" s="5">
        <v>49</v>
      </c>
      <c r="P42" s="5">
        <v>51</v>
      </c>
      <c r="Q42" s="5">
        <f t="shared" si="11"/>
        <v>4.8</v>
      </c>
      <c r="R42" s="4"/>
      <c r="S42" s="4"/>
      <c r="T42" s="5"/>
      <c r="U42" s="5">
        <f t="shared" si="12"/>
        <v>23.958333333333336</v>
      </c>
      <c r="V42" s="5">
        <f t="shared" si="13"/>
        <v>23.958333333333336</v>
      </c>
      <c r="W42" s="5">
        <v>7.4</v>
      </c>
      <c r="X42" s="5">
        <v>8.4</v>
      </c>
      <c r="Y42" s="5">
        <v>8.8000000000000007</v>
      </c>
      <c r="Z42" s="5">
        <v>2.4</v>
      </c>
      <c r="AA42" s="5">
        <v>4.4000000000000004</v>
      </c>
      <c r="AB42" s="5">
        <v>10</v>
      </c>
      <c r="AC42" s="5">
        <v>5</v>
      </c>
      <c r="AD42" s="5">
        <v>4.5999999999999996</v>
      </c>
      <c r="AE42" s="5"/>
      <c r="AF42" s="5">
        <f t="shared" si="8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76</v>
      </c>
      <c r="B43" s="5" t="s">
        <v>39</v>
      </c>
      <c r="C43" s="5">
        <v>9.0559999999999992</v>
      </c>
      <c r="D43" s="5">
        <v>107.405</v>
      </c>
      <c r="E43" s="5">
        <v>75.256</v>
      </c>
      <c r="F43" s="5">
        <v>27.068999999999999</v>
      </c>
      <c r="G43" s="8">
        <v>1</v>
      </c>
      <c r="H43" s="5">
        <v>45</v>
      </c>
      <c r="I43" s="5" t="s">
        <v>37</v>
      </c>
      <c r="J43" s="5"/>
      <c r="K43" s="5">
        <v>83</v>
      </c>
      <c r="L43" s="5">
        <f t="shared" si="10"/>
        <v>-7.7439999999999998</v>
      </c>
      <c r="M43" s="5"/>
      <c r="N43" s="5"/>
      <c r="O43" s="5">
        <v>74</v>
      </c>
      <c r="P43" s="5">
        <v>76</v>
      </c>
      <c r="Q43" s="5">
        <f t="shared" si="11"/>
        <v>15.0512</v>
      </c>
      <c r="R43" s="4">
        <f t="shared" si="9"/>
        <v>33.647800000000004</v>
      </c>
      <c r="S43" s="4"/>
      <c r="T43" s="5"/>
      <c r="U43" s="5">
        <f t="shared" si="12"/>
        <v>14.000000000000002</v>
      </c>
      <c r="V43" s="5">
        <f t="shared" si="13"/>
        <v>11.764444031040716</v>
      </c>
      <c r="W43" s="5">
        <v>13.569000000000001</v>
      </c>
      <c r="X43" s="5">
        <v>22.642800000000001</v>
      </c>
      <c r="Y43" s="5">
        <v>19.5442</v>
      </c>
      <c r="Z43" s="5">
        <v>24.739599999999999</v>
      </c>
      <c r="AA43" s="5">
        <v>18.594999999999999</v>
      </c>
      <c r="AB43" s="5">
        <v>18.113600000000002</v>
      </c>
      <c r="AC43" s="5">
        <v>19.178000000000001</v>
      </c>
      <c r="AD43" s="5">
        <v>19.627800000000001</v>
      </c>
      <c r="AE43" s="5"/>
      <c r="AF43" s="5">
        <f t="shared" si="8"/>
        <v>33.647800000000004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77</v>
      </c>
      <c r="B44" s="5" t="s">
        <v>36</v>
      </c>
      <c r="C44" s="5">
        <v>49</v>
      </c>
      <c r="D44" s="5">
        <v>567</v>
      </c>
      <c r="E44" s="5">
        <v>382</v>
      </c>
      <c r="F44" s="5">
        <v>180</v>
      </c>
      <c r="G44" s="8">
        <v>0.3</v>
      </c>
      <c r="H44" s="5">
        <v>45</v>
      </c>
      <c r="I44" s="5" t="s">
        <v>37</v>
      </c>
      <c r="J44" s="5"/>
      <c r="K44" s="5">
        <v>404</v>
      </c>
      <c r="L44" s="5">
        <f t="shared" si="10"/>
        <v>-22</v>
      </c>
      <c r="M44" s="5"/>
      <c r="N44" s="5"/>
      <c r="O44" s="5">
        <v>295</v>
      </c>
      <c r="P44" s="5">
        <v>305</v>
      </c>
      <c r="Q44" s="5">
        <f t="shared" si="11"/>
        <v>76.400000000000006</v>
      </c>
      <c r="R44" s="4">
        <f t="shared" si="9"/>
        <v>289.60000000000014</v>
      </c>
      <c r="S44" s="4"/>
      <c r="T44" s="5"/>
      <c r="U44" s="5">
        <f t="shared" si="12"/>
        <v>14</v>
      </c>
      <c r="V44" s="5">
        <f t="shared" si="13"/>
        <v>10.209424083769633</v>
      </c>
      <c r="W44" s="5">
        <v>74.2</v>
      </c>
      <c r="X44" s="5">
        <v>106.4</v>
      </c>
      <c r="Y44" s="5">
        <v>81.2</v>
      </c>
      <c r="Z44" s="5">
        <v>23.8</v>
      </c>
      <c r="AA44" s="5">
        <v>71.2</v>
      </c>
      <c r="AB44" s="5">
        <v>52.2</v>
      </c>
      <c r="AC44" s="5">
        <v>45</v>
      </c>
      <c r="AD44" s="5">
        <v>48</v>
      </c>
      <c r="AE44" s="5"/>
      <c r="AF44" s="5">
        <f t="shared" si="8"/>
        <v>86.880000000000038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78</v>
      </c>
      <c r="B45" s="5" t="s">
        <v>39</v>
      </c>
      <c r="C45" s="5">
        <v>-1.7999999999999999E-2</v>
      </c>
      <c r="D45" s="5">
        <v>155.745</v>
      </c>
      <c r="E45" s="5">
        <v>127.842</v>
      </c>
      <c r="F45" s="5">
        <v>9.0640000000000001</v>
      </c>
      <c r="G45" s="8">
        <v>1</v>
      </c>
      <c r="H45" s="5">
        <v>45</v>
      </c>
      <c r="I45" s="5" t="s">
        <v>37</v>
      </c>
      <c r="J45" s="5"/>
      <c r="K45" s="5">
        <v>121.5</v>
      </c>
      <c r="L45" s="5">
        <f t="shared" si="10"/>
        <v>6.3419999999999987</v>
      </c>
      <c r="M45" s="5"/>
      <c r="N45" s="5"/>
      <c r="O45" s="5">
        <v>0</v>
      </c>
      <c r="P45" s="5"/>
      <c r="Q45" s="5">
        <f t="shared" si="11"/>
        <v>25.5684</v>
      </c>
      <c r="R45" s="4">
        <f>9*Q45-P45-O45-F45</f>
        <v>221.05160000000001</v>
      </c>
      <c r="S45" s="4"/>
      <c r="T45" s="5"/>
      <c r="U45" s="5">
        <f t="shared" si="12"/>
        <v>9</v>
      </c>
      <c r="V45" s="5">
        <f t="shared" si="13"/>
        <v>0.35450008604371019</v>
      </c>
      <c r="W45" s="5">
        <v>9.4028000000000009</v>
      </c>
      <c r="X45" s="5">
        <v>32.837800000000001</v>
      </c>
      <c r="Y45" s="5">
        <v>21.473400000000002</v>
      </c>
      <c r="Z45" s="5">
        <v>25.375</v>
      </c>
      <c r="AA45" s="5">
        <v>31.1586</v>
      </c>
      <c r="AB45" s="5">
        <v>26.295000000000002</v>
      </c>
      <c r="AC45" s="5">
        <v>10.781000000000001</v>
      </c>
      <c r="AD45" s="5">
        <v>30.007200000000001</v>
      </c>
      <c r="AE45" s="5"/>
      <c r="AF45" s="5">
        <f t="shared" si="8"/>
        <v>221.05160000000001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79</v>
      </c>
      <c r="B46" s="5" t="s">
        <v>36</v>
      </c>
      <c r="C46" s="5">
        <v>114</v>
      </c>
      <c r="D46" s="5">
        <v>996</v>
      </c>
      <c r="E46" s="5">
        <v>474</v>
      </c>
      <c r="F46" s="5">
        <v>562</v>
      </c>
      <c r="G46" s="8">
        <v>0.35</v>
      </c>
      <c r="H46" s="5">
        <v>45</v>
      </c>
      <c r="I46" s="5" t="s">
        <v>37</v>
      </c>
      <c r="J46" s="5"/>
      <c r="K46" s="5">
        <v>543</v>
      </c>
      <c r="L46" s="5">
        <f t="shared" si="10"/>
        <v>-69</v>
      </c>
      <c r="M46" s="5"/>
      <c r="N46" s="5"/>
      <c r="O46" s="5">
        <v>98</v>
      </c>
      <c r="P46" s="5">
        <v>102</v>
      </c>
      <c r="Q46" s="5">
        <f t="shared" si="11"/>
        <v>94.8</v>
      </c>
      <c r="R46" s="4">
        <f t="shared" si="9"/>
        <v>565.20000000000005</v>
      </c>
      <c r="S46" s="4"/>
      <c r="T46" s="5"/>
      <c r="U46" s="5">
        <f t="shared" si="12"/>
        <v>14.000000000000002</v>
      </c>
      <c r="V46" s="5">
        <f t="shared" si="13"/>
        <v>8.037974683544304</v>
      </c>
      <c r="W46" s="5">
        <v>67.2</v>
      </c>
      <c r="X46" s="5">
        <v>173.8</v>
      </c>
      <c r="Y46" s="5">
        <v>109.2</v>
      </c>
      <c r="Z46" s="5">
        <v>83</v>
      </c>
      <c r="AA46" s="5">
        <v>102.4</v>
      </c>
      <c r="AB46" s="5">
        <v>67</v>
      </c>
      <c r="AC46" s="5">
        <v>99.2</v>
      </c>
      <c r="AD46" s="5">
        <v>104.6</v>
      </c>
      <c r="AE46" s="5"/>
      <c r="AF46" s="5">
        <f t="shared" si="8"/>
        <v>197.82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80</v>
      </c>
      <c r="B47" s="5" t="s">
        <v>36</v>
      </c>
      <c r="C47" s="5">
        <v>2</v>
      </c>
      <c r="D47" s="5">
        <v>216</v>
      </c>
      <c r="E47" s="5">
        <v>123</v>
      </c>
      <c r="F47" s="5">
        <v>82</v>
      </c>
      <c r="G47" s="8">
        <v>0.41</v>
      </c>
      <c r="H47" s="5">
        <v>45</v>
      </c>
      <c r="I47" s="5" t="s">
        <v>37</v>
      </c>
      <c r="J47" s="5"/>
      <c r="K47" s="5">
        <v>159</v>
      </c>
      <c r="L47" s="5">
        <f t="shared" si="10"/>
        <v>-36</v>
      </c>
      <c r="M47" s="5"/>
      <c r="N47" s="5"/>
      <c r="O47" s="5">
        <v>49</v>
      </c>
      <c r="P47" s="5">
        <v>51</v>
      </c>
      <c r="Q47" s="5">
        <f t="shared" si="11"/>
        <v>24.6</v>
      </c>
      <c r="R47" s="4">
        <f t="shared" si="9"/>
        <v>162.40000000000003</v>
      </c>
      <c r="S47" s="4"/>
      <c r="T47" s="5"/>
      <c r="U47" s="5">
        <f t="shared" si="12"/>
        <v>14</v>
      </c>
      <c r="V47" s="5">
        <f t="shared" si="13"/>
        <v>7.3983739837398366</v>
      </c>
      <c r="W47" s="5">
        <v>16.2</v>
      </c>
      <c r="X47" s="5">
        <v>48</v>
      </c>
      <c r="Y47" s="5">
        <v>32.6</v>
      </c>
      <c r="Z47" s="5">
        <v>29.4</v>
      </c>
      <c r="AA47" s="5">
        <v>34.4</v>
      </c>
      <c r="AB47" s="5">
        <v>19.2</v>
      </c>
      <c r="AC47" s="5">
        <v>38.935600000000001</v>
      </c>
      <c r="AD47" s="5">
        <v>66.599999999999994</v>
      </c>
      <c r="AE47" s="5"/>
      <c r="AF47" s="5">
        <f t="shared" si="8"/>
        <v>66.584000000000003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81</v>
      </c>
      <c r="B48" s="5" t="s">
        <v>36</v>
      </c>
      <c r="C48" s="5">
        <v>1</v>
      </c>
      <c r="D48" s="5">
        <v>16</v>
      </c>
      <c r="E48" s="5">
        <v>-1</v>
      </c>
      <c r="F48" s="5"/>
      <c r="G48" s="8">
        <v>0.41</v>
      </c>
      <c r="H48" s="5">
        <v>45</v>
      </c>
      <c r="I48" s="5" t="s">
        <v>37</v>
      </c>
      <c r="J48" s="5"/>
      <c r="K48" s="5">
        <v>53</v>
      </c>
      <c r="L48" s="5">
        <f t="shared" si="10"/>
        <v>-54</v>
      </c>
      <c r="M48" s="5"/>
      <c r="N48" s="5"/>
      <c r="O48" s="5">
        <v>172</v>
      </c>
      <c r="P48" s="5">
        <v>178</v>
      </c>
      <c r="Q48" s="5">
        <f t="shared" si="11"/>
        <v>-0.2</v>
      </c>
      <c r="R48" s="4"/>
      <c r="S48" s="4"/>
      <c r="T48" s="5"/>
      <c r="U48" s="5">
        <f t="shared" si="12"/>
        <v>-1750</v>
      </c>
      <c r="V48" s="5">
        <f t="shared" si="13"/>
        <v>-1750</v>
      </c>
      <c r="W48" s="5">
        <v>32.4</v>
      </c>
      <c r="X48" s="5">
        <v>17.2</v>
      </c>
      <c r="Y48" s="5">
        <v>24.6</v>
      </c>
      <c r="Z48" s="5">
        <v>41</v>
      </c>
      <c r="AA48" s="5">
        <v>19.8</v>
      </c>
      <c r="AB48" s="5">
        <v>26.6</v>
      </c>
      <c r="AC48" s="5">
        <v>25.4</v>
      </c>
      <c r="AD48" s="5">
        <v>1.4</v>
      </c>
      <c r="AE48" s="5"/>
      <c r="AF48" s="5">
        <f t="shared" si="8"/>
        <v>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82</v>
      </c>
      <c r="B49" s="5" t="s">
        <v>36</v>
      </c>
      <c r="C49" s="5">
        <v>1</v>
      </c>
      <c r="D49" s="5">
        <v>133</v>
      </c>
      <c r="E49" s="5">
        <v>72</v>
      </c>
      <c r="F49" s="5">
        <v>41</v>
      </c>
      <c r="G49" s="8">
        <v>0.36</v>
      </c>
      <c r="H49" s="5">
        <v>45</v>
      </c>
      <c r="I49" s="5" t="s">
        <v>37</v>
      </c>
      <c r="J49" s="5"/>
      <c r="K49" s="5">
        <v>84</v>
      </c>
      <c r="L49" s="5">
        <f t="shared" si="10"/>
        <v>-12</v>
      </c>
      <c r="M49" s="5"/>
      <c r="N49" s="5"/>
      <c r="O49" s="5">
        <v>29</v>
      </c>
      <c r="P49" s="5">
        <v>31</v>
      </c>
      <c r="Q49" s="5">
        <f t="shared" si="11"/>
        <v>14.4</v>
      </c>
      <c r="R49" s="4">
        <f t="shared" si="9"/>
        <v>100.6</v>
      </c>
      <c r="S49" s="4"/>
      <c r="T49" s="5"/>
      <c r="U49" s="5">
        <f t="shared" si="12"/>
        <v>14</v>
      </c>
      <c r="V49" s="5">
        <f t="shared" si="13"/>
        <v>7.0138888888888884</v>
      </c>
      <c r="W49" s="5">
        <v>12</v>
      </c>
      <c r="X49" s="5">
        <v>24.4</v>
      </c>
      <c r="Y49" s="5">
        <v>16.600000000000001</v>
      </c>
      <c r="Z49" s="5">
        <v>13</v>
      </c>
      <c r="AA49" s="5">
        <v>16.600000000000001</v>
      </c>
      <c r="AB49" s="5">
        <v>20.8</v>
      </c>
      <c r="AC49" s="5">
        <v>26.8</v>
      </c>
      <c r="AD49" s="5">
        <v>31.4</v>
      </c>
      <c r="AE49" s="5"/>
      <c r="AF49" s="5">
        <f t="shared" si="8"/>
        <v>36.215999999999994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83</v>
      </c>
      <c r="B50" s="5" t="s">
        <v>36</v>
      </c>
      <c r="C50" s="5">
        <v>3</v>
      </c>
      <c r="D50" s="5">
        <v>40</v>
      </c>
      <c r="E50" s="5">
        <v>17</v>
      </c>
      <c r="F50" s="5">
        <v>14</v>
      </c>
      <c r="G50" s="8">
        <v>0.33</v>
      </c>
      <c r="H50" s="5">
        <v>45</v>
      </c>
      <c r="I50" s="5" t="s">
        <v>37</v>
      </c>
      <c r="J50" s="5"/>
      <c r="K50" s="5">
        <v>19</v>
      </c>
      <c r="L50" s="5">
        <f t="shared" si="10"/>
        <v>-2</v>
      </c>
      <c r="M50" s="5"/>
      <c r="N50" s="5"/>
      <c r="O50" s="5">
        <v>50</v>
      </c>
      <c r="P50" s="5"/>
      <c r="Q50" s="5">
        <f t="shared" si="11"/>
        <v>3.4</v>
      </c>
      <c r="R50" s="4"/>
      <c r="S50" s="4"/>
      <c r="T50" s="5"/>
      <c r="U50" s="5">
        <f t="shared" si="12"/>
        <v>18.823529411764707</v>
      </c>
      <c r="V50" s="5">
        <f t="shared" si="13"/>
        <v>18.823529411764707</v>
      </c>
      <c r="W50" s="5">
        <v>0.6</v>
      </c>
      <c r="X50" s="5">
        <v>9.8000000000000007</v>
      </c>
      <c r="Y50" s="5">
        <v>6</v>
      </c>
      <c r="Z50" s="5">
        <v>6.8</v>
      </c>
      <c r="AA50" s="5">
        <v>3</v>
      </c>
      <c r="AB50" s="5">
        <v>7.2</v>
      </c>
      <c r="AC50" s="5">
        <v>5.8</v>
      </c>
      <c r="AD50" s="5">
        <v>3</v>
      </c>
      <c r="AE50" s="5"/>
      <c r="AF50" s="5">
        <f t="shared" si="8"/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84</v>
      </c>
      <c r="B51" s="5" t="s">
        <v>36</v>
      </c>
      <c r="C51" s="5">
        <v>8</v>
      </c>
      <c r="D51" s="5"/>
      <c r="E51" s="5">
        <v>4</v>
      </c>
      <c r="F51" s="5">
        <v>1</v>
      </c>
      <c r="G51" s="8">
        <v>0.33</v>
      </c>
      <c r="H51" s="5">
        <v>45</v>
      </c>
      <c r="I51" s="5" t="s">
        <v>37</v>
      </c>
      <c r="J51" s="5"/>
      <c r="K51" s="5">
        <v>7</v>
      </c>
      <c r="L51" s="5">
        <f t="shared" si="10"/>
        <v>-3</v>
      </c>
      <c r="M51" s="5"/>
      <c r="N51" s="5"/>
      <c r="O51" s="5">
        <v>50</v>
      </c>
      <c r="P51" s="5"/>
      <c r="Q51" s="5">
        <f t="shared" si="11"/>
        <v>0.8</v>
      </c>
      <c r="R51" s="4"/>
      <c r="S51" s="4"/>
      <c r="T51" s="5"/>
      <c r="U51" s="5">
        <f t="shared" si="12"/>
        <v>63.75</v>
      </c>
      <c r="V51" s="5">
        <f t="shared" si="13"/>
        <v>63.75</v>
      </c>
      <c r="W51" s="5">
        <v>2</v>
      </c>
      <c r="X51" s="5">
        <v>2.8</v>
      </c>
      <c r="Y51" s="5">
        <v>5.8</v>
      </c>
      <c r="Z51" s="5">
        <v>5.2</v>
      </c>
      <c r="AA51" s="5">
        <v>4.5999999999999996</v>
      </c>
      <c r="AB51" s="5">
        <v>9</v>
      </c>
      <c r="AC51" s="5">
        <v>5.6</v>
      </c>
      <c r="AD51" s="5">
        <v>2.6</v>
      </c>
      <c r="AE51" s="5"/>
      <c r="AF51" s="5">
        <f t="shared" si="8"/>
        <v>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85</v>
      </c>
      <c r="B52" s="5" t="s">
        <v>36</v>
      </c>
      <c r="C52" s="5">
        <v>138</v>
      </c>
      <c r="D52" s="5">
        <v>30</v>
      </c>
      <c r="E52" s="5">
        <v>135</v>
      </c>
      <c r="F52" s="5"/>
      <c r="G52" s="8">
        <v>0.33</v>
      </c>
      <c r="H52" s="5">
        <v>45</v>
      </c>
      <c r="I52" s="5" t="s">
        <v>37</v>
      </c>
      <c r="J52" s="5"/>
      <c r="K52" s="5">
        <v>152</v>
      </c>
      <c r="L52" s="5">
        <f t="shared" si="10"/>
        <v>-17</v>
      </c>
      <c r="M52" s="5"/>
      <c r="N52" s="5"/>
      <c r="O52" s="5">
        <v>196</v>
      </c>
      <c r="P52" s="5">
        <v>204</v>
      </c>
      <c r="Q52" s="5">
        <f t="shared" si="11"/>
        <v>27</v>
      </c>
      <c r="R52" s="4"/>
      <c r="S52" s="4"/>
      <c r="T52" s="5"/>
      <c r="U52" s="5">
        <f t="shared" si="12"/>
        <v>14.814814814814815</v>
      </c>
      <c r="V52" s="5">
        <f t="shared" si="13"/>
        <v>14.814814814814815</v>
      </c>
      <c r="W52" s="5">
        <v>34.6</v>
      </c>
      <c r="X52" s="5">
        <v>4.2</v>
      </c>
      <c r="Y52" s="5">
        <v>34.4</v>
      </c>
      <c r="Z52" s="5">
        <v>13.6</v>
      </c>
      <c r="AA52" s="5">
        <v>11.4</v>
      </c>
      <c r="AB52" s="5">
        <v>5</v>
      </c>
      <c r="AC52" s="5">
        <v>24.8</v>
      </c>
      <c r="AD52" s="5">
        <v>26.2</v>
      </c>
      <c r="AE52" s="5"/>
      <c r="AF52" s="5">
        <f t="shared" si="8"/>
        <v>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86</v>
      </c>
      <c r="B53" s="5" t="s">
        <v>36</v>
      </c>
      <c r="C53" s="5">
        <v>19</v>
      </c>
      <c r="D53" s="5">
        <v>37</v>
      </c>
      <c r="E53" s="5">
        <v>32</v>
      </c>
      <c r="F53" s="5">
        <v>6</v>
      </c>
      <c r="G53" s="8">
        <v>0.33</v>
      </c>
      <c r="H53" s="5">
        <v>45</v>
      </c>
      <c r="I53" s="5" t="s">
        <v>37</v>
      </c>
      <c r="J53" s="5"/>
      <c r="K53" s="5">
        <v>36</v>
      </c>
      <c r="L53" s="5">
        <f t="shared" si="10"/>
        <v>-4</v>
      </c>
      <c r="M53" s="5"/>
      <c r="N53" s="5"/>
      <c r="O53" s="5">
        <v>50</v>
      </c>
      <c r="P53" s="5"/>
      <c r="Q53" s="5">
        <f t="shared" si="11"/>
        <v>6.4</v>
      </c>
      <c r="R53" s="4">
        <f t="shared" si="9"/>
        <v>33.600000000000009</v>
      </c>
      <c r="S53" s="4"/>
      <c r="T53" s="5"/>
      <c r="U53" s="5">
        <f t="shared" si="12"/>
        <v>14</v>
      </c>
      <c r="V53" s="5">
        <f t="shared" si="13"/>
        <v>8.75</v>
      </c>
      <c r="W53" s="5">
        <v>4.2</v>
      </c>
      <c r="X53" s="5">
        <v>8.8000000000000007</v>
      </c>
      <c r="Y53" s="5">
        <v>8.1999999999999993</v>
      </c>
      <c r="Z53" s="5">
        <v>6.2</v>
      </c>
      <c r="AA53" s="5">
        <v>7.6</v>
      </c>
      <c r="AB53" s="5">
        <v>9.1999999999999993</v>
      </c>
      <c r="AC53" s="5">
        <v>5.6</v>
      </c>
      <c r="AD53" s="5">
        <v>3</v>
      </c>
      <c r="AE53" s="5"/>
      <c r="AF53" s="5">
        <f t="shared" si="8"/>
        <v>11.088000000000003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87</v>
      </c>
      <c r="B54" s="5" t="s">
        <v>39</v>
      </c>
      <c r="C54" s="5">
        <v>41.107999999999997</v>
      </c>
      <c r="D54" s="5">
        <v>708.62599999999998</v>
      </c>
      <c r="E54" s="5">
        <v>493.26799999999997</v>
      </c>
      <c r="F54" s="5">
        <v>232.41300000000001</v>
      </c>
      <c r="G54" s="8">
        <v>1</v>
      </c>
      <c r="H54" s="5">
        <v>45</v>
      </c>
      <c r="I54" s="5" t="s">
        <v>37</v>
      </c>
      <c r="J54" s="5"/>
      <c r="K54" s="5">
        <v>464</v>
      </c>
      <c r="L54" s="5">
        <f t="shared" si="10"/>
        <v>29.267999999999972</v>
      </c>
      <c r="M54" s="5"/>
      <c r="N54" s="5"/>
      <c r="O54" s="5">
        <v>540</v>
      </c>
      <c r="P54" s="5">
        <v>560</v>
      </c>
      <c r="Q54" s="5">
        <f t="shared" si="11"/>
        <v>98.653599999999997</v>
      </c>
      <c r="R54" s="4">
        <f t="shared" si="9"/>
        <v>48.73739999999998</v>
      </c>
      <c r="S54" s="4"/>
      <c r="T54" s="5"/>
      <c r="U54" s="5">
        <f t="shared" si="12"/>
        <v>14</v>
      </c>
      <c r="V54" s="5">
        <f t="shared" si="13"/>
        <v>13.505974439858251</v>
      </c>
      <c r="W54" s="5">
        <v>122.0908</v>
      </c>
      <c r="X54" s="5">
        <v>133.35419999999999</v>
      </c>
      <c r="Y54" s="5">
        <v>116.96080000000001</v>
      </c>
      <c r="Z54" s="5">
        <v>126.542</v>
      </c>
      <c r="AA54" s="5">
        <v>107.02979999999999</v>
      </c>
      <c r="AB54" s="5">
        <v>133.36959999999999</v>
      </c>
      <c r="AC54" s="5">
        <v>101.3676</v>
      </c>
      <c r="AD54" s="5">
        <v>128.01480000000001</v>
      </c>
      <c r="AE54" s="5"/>
      <c r="AF54" s="5">
        <f t="shared" si="8"/>
        <v>48.73739999999998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88</v>
      </c>
      <c r="B55" s="13" t="s">
        <v>39</v>
      </c>
      <c r="C55" s="13">
        <v>3.4</v>
      </c>
      <c r="D55" s="13"/>
      <c r="E55" s="13"/>
      <c r="F55" s="13"/>
      <c r="G55" s="14">
        <v>0</v>
      </c>
      <c r="H55" s="13">
        <v>30</v>
      </c>
      <c r="I55" s="13" t="s">
        <v>37</v>
      </c>
      <c r="J55" s="13"/>
      <c r="K55" s="13"/>
      <c r="L55" s="13">
        <f t="shared" si="10"/>
        <v>0</v>
      </c>
      <c r="M55" s="13"/>
      <c r="N55" s="13"/>
      <c r="O55" s="13">
        <v>0</v>
      </c>
      <c r="P55" s="13"/>
      <c r="Q55" s="13">
        <f t="shared" si="11"/>
        <v>0</v>
      </c>
      <c r="R55" s="15"/>
      <c r="S55" s="15"/>
      <c r="T55" s="13"/>
      <c r="U55" s="13" t="e">
        <f t="shared" si="12"/>
        <v>#DIV/0!</v>
      </c>
      <c r="V55" s="13" t="e">
        <f t="shared" si="13"/>
        <v>#DIV/0!</v>
      </c>
      <c r="W55" s="13">
        <v>0</v>
      </c>
      <c r="X55" s="13">
        <v>0</v>
      </c>
      <c r="Y55" s="13">
        <v>0.22520000000000001</v>
      </c>
      <c r="Z55" s="13">
        <v>-0.1426</v>
      </c>
      <c r="AA55" s="13">
        <v>0</v>
      </c>
      <c r="AB55" s="13">
        <v>0</v>
      </c>
      <c r="AC55" s="13">
        <v>0.51719999999999999</v>
      </c>
      <c r="AD55" s="13">
        <v>0.44059999999999999</v>
      </c>
      <c r="AE55" s="13" t="s">
        <v>89</v>
      </c>
      <c r="AF55" s="13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90</v>
      </c>
      <c r="B56" s="5" t="s">
        <v>36</v>
      </c>
      <c r="C56" s="5">
        <v>34</v>
      </c>
      <c r="D56" s="5">
        <v>92</v>
      </c>
      <c r="E56" s="5">
        <v>62</v>
      </c>
      <c r="F56" s="5">
        <v>71</v>
      </c>
      <c r="G56" s="8">
        <v>0.1</v>
      </c>
      <c r="H56" s="5">
        <v>60</v>
      </c>
      <c r="I56" s="5" t="s">
        <v>37</v>
      </c>
      <c r="J56" s="5"/>
      <c r="K56" s="5">
        <v>53</v>
      </c>
      <c r="L56" s="5">
        <f t="shared" si="10"/>
        <v>9</v>
      </c>
      <c r="M56" s="5"/>
      <c r="N56" s="5"/>
      <c r="O56" s="5">
        <v>74</v>
      </c>
      <c r="P56" s="5">
        <v>76</v>
      </c>
      <c r="Q56" s="5">
        <f t="shared" si="11"/>
        <v>12.4</v>
      </c>
      <c r="R56" s="4"/>
      <c r="S56" s="4"/>
      <c r="T56" s="5"/>
      <c r="U56" s="5">
        <f t="shared" si="12"/>
        <v>17.822580645161288</v>
      </c>
      <c r="V56" s="5">
        <f t="shared" si="13"/>
        <v>17.822580645161288</v>
      </c>
      <c r="W56" s="5">
        <v>10.6</v>
      </c>
      <c r="X56" s="5">
        <v>11.4</v>
      </c>
      <c r="Y56" s="5">
        <v>8.6</v>
      </c>
      <c r="Z56" s="5">
        <v>1</v>
      </c>
      <c r="AA56" s="5">
        <v>1.4</v>
      </c>
      <c r="AB56" s="5">
        <v>8</v>
      </c>
      <c r="AC56" s="5">
        <v>3</v>
      </c>
      <c r="AD56" s="5">
        <v>1.6</v>
      </c>
      <c r="AE56" s="5" t="s">
        <v>91</v>
      </c>
      <c r="AF56" s="5">
        <f t="shared" ref="AF56:AF84" si="14">G56*R56</f>
        <v>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92</v>
      </c>
      <c r="B57" s="5" t="s">
        <v>36</v>
      </c>
      <c r="C57" s="5">
        <v>9</v>
      </c>
      <c r="D57" s="5">
        <v>72</v>
      </c>
      <c r="E57" s="5">
        <v>47</v>
      </c>
      <c r="F57" s="5">
        <v>20</v>
      </c>
      <c r="G57" s="8">
        <v>0.4</v>
      </c>
      <c r="H57" s="5">
        <v>45</v>
      </c>
      <c r="I57" s="5" t="s">
        <v>37</v>
      </c>
      <c r="J57" s="5"/>
      <c r="K57" s="5">
        <v>67</v>
      </c>
      <c r="L57" s="5">
        <f t="shared" si="10"/>
        <v>-20</v>
      </c>
      <c r="M57" s="5"/>
      <c r="N57" s="5"/>
      <c r="O57" s="5">
        <v>191</v>
      </c>
      <c r="P57" s="5">
        <v>197</v>
      </c>
      <c r="Q57" s="5">
        <f t="shared" si="11"/>
        <v>9.4</v>
      </c>
      <c r="R57" s="4"/>
      <c r="S57" s="4"/>
      <c r="T57" s="5"/>
      <c r="U57" s="5">
        <f t="shared" si="12"/>
        <v>43.404255319148938</v>
      </c>
      <c r="V57" s="5">
        <f t="shared" si="13"/>
        <v>43.404255319148938</v>
      </c>
      <c r="W57" s="5">
        <v>41.2</v>
      </c>
      <c r="X57" s="5">
        <v>24</v>
      </c>
      <c r="Y57" s="5">
        <v>30.4</v>
      </c>
      <c r="Z57" s="5">
        <v>5</v>
      </c>
      <c r="AA57" s="5">
        <v>18</v>
      </c>
      <c r="AB57" s="5">
        <v>33.6</v>
      </c>
      <c r="AC57" s="5">
        <v>5.8</v>
      </c>
      <c r="AD57" s="5">
        <v>24.4</v>
      </c>
      <c r="AE57" s="5"/>
      <c r="AF57" s="5">
        <f t="shared" si="14"/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93</v>
      </c>
      <c r="B58" s="5" t="s">
        <v>39</v>
      </c>
      <c r="C58" s="5">
        <v>143.68299999999999</v>
      </c>
      <c r="D58" s="5">
        <v>5.94</v>
      </c>
      <c r="E58" s="5">
        <v>57.3</v>
      </c>
      <c r="F58" s="5">
        <v>46.567</v>
      </c>
      <c r="G58" s="8">
        <v>1</v>
      </c>
      <c r="H58" s="5">
        <v>60</v>
      </c>
      <c r="I58" s="5" t="s">
        <v>37</v>
      </c>
      <c r="J58" s="5"/>
      <c r="K58" s="5">
        <v>59.3</v>
      </c>
      <c r="L58" s="5">
        <f t="shared" si="10"/>
        <v>-2</v>
      </c>
      <c r="M58" s="5"/>
      <c r="N58" s="5"/>
      <c r="O58" s="5">
        <v>32</v>
      </c>
      <c r="P58" s="5">
        <v>34</v>
      </c>
      <c r="Q58" s="5">
        <f t="shared" si="11"/>
        <v>11.459999999999999</v>
      </c>
      <c r="R58" s="4">
        <f t="shared" ref="R58:R84" si="15">14*Q58-P58-O58-F58</f>
        <v>47.872999999999998</v>
      </c>
      <c r="S58" s="4"/>
      <c r="T58" s="5"/>
      <c r="U58" s="5">
        <f t="shared" si="12"/>
        <v>14.000000000000002</v>
      </c>
      <c r="V58" s="5">
        <f t="shared" si="13"/>
        <v>9.8226003490401403</v>
      </c>
      <c r="W58" s="5">
        <v>13.7674</v>
      </c>
      <c r="X58" s="5">
        <v>16.111999999999998</v>
      </c>
      <c r="Y58" s="5">
        <v>16.390599999999999</v>
      </c>
      <c r="Z58" s="5">
        <v>11.351000000000001</v>
      </c>
      <c r="AA58" s="5">
        <v>10.49</v>
      </c>
      <c r="AB58" s="5">
        <v>11.455</v>
      </c>
      <c r="AC58" s="5">
        <v>9.6623999999999999</v>
      </c>
      <c r="AD58" s="5">
        <v>11.5114</v>
      </c>
      <c r="AE58" s="5"/>
      <c r="AF58" s="5">
        <f t="shared" si="14"/>
        <v>47.872999999999998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94</v>
      </c>
      <c r="B59" s="5" t="s">
        <v>36</v>
      </c>
      <c r="C59" s="5">
        <v>13</v>
      </c>
      <c r="D59" s="5">
        <v>168</v>
      </c>
      <c r="E59" s="5">
        <v>36</v>
      </c>
      <c r="F59" s="5">
        <v>144</v>
      </c>
      <c r="G59" s="8">
        <v>0.25</v>
      </c>
      <c r="H59" s="5">
        <v>120</v>
      </c>
      <c r="I59" s="5" t="s">
        <v>37</v>
      </c>
      <c r="J59" s="5"/>
      <c r="K59" s="5">
        <v>33</v>
      </c>
      <c r="L59" s="5">
        <f t="shared" si="10"/>
        <v>3</v>
      </c>
      <c r="M59" s="5"/>
      <c r="N59" s="5"/>
      <c r="O59" s="5">
        <v>49</v>
      </c>
      <c r="P59" s="5">
        <v>51</v>
      </c>
      <c r="Q59" s="5">
        <f t="shared" si="11"/>
        <v>7.2</v>
      </c>
      <c r="R59" s="4"/>
      <c r="S59" s="4"/>
      <c r="T59" s="5"/>
      <c r="U59" s="5">
        <f t="shared" si="12"/>
        <v>33.888888888888886</v>
      </c>
      <c r="V59" s="5">
        <f t="shared" si="13"/>
        <v>33.888888888888886</v>
      </c>
      <c r="W59" s="5">
        <v>11.4</v>
      </c>
      <c r="X59" s="5">
        <v>33.6</v>
      </c>
      <c r="Y59" s="5">
        <v>12.2</v>
      </c>
      <c r="Z59" s="5">
        <v>16.399999999999999</v>
      </c>
      <c r="AA59" s="5">
        <v>5.6</v>
      </c>
      <c r="AB59" s="5">
        <v>6.8</v>
      </c>
      <c r="AC59" s="5">
        <v>9</v>
      </c>
      <c r="AD59" s="5">
        <v>3.2</v>
      </c>
      <c r="AE59" s="5"/>
      <c r="AF59" s="5">
        <f t="shared" si="14"/>
        <v>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95</v>
      </c>
      <c r="B60" s="5" t="s">
        <v>39</v>
      </c>
      <c r="C60" s="5">
        <v>-4.2000000000000003E-2</v>
      </c>
      <c r="D60" s="5">
        <v>112.639</v>
      </c>
      <c r="E60" s="5">
        <v>57.701999999999998</v>
      </c>
      <c r="F60" s="5">
        <v>43.116</v>
      </c>
      <c r="G60" s="8">
        <v>1</v>
      </c>
      <c r="H60" s="5">
        <v>45</v>
      </c>
      <c r="I60" s="5" t="s">
        <v>37</v>
      </c>
      <c r="J60" s="5"/>
      <c r="K60" s="5">
        <v>61</v>
      </c>
      <c r="L60" s="5">
        <f t="shared" si="10"/>
        <v>-3.2980000000000018</v>
      </c>
      <c r="M60" s="5"/>
      <c r="N60" s="5"/>
      <c r="O60" s="5">
        <v>102</v>
      </c>
      <c r="P60" s="5">
        <v>106</v>
      </c>
      <c r="Q60" s="5">
        <f t="shared" si="11"/>
        <v>11.5404</v>
      </c>
      <c r="R60" s="4"/>
      <c r="S60" s="4"/>
      <c r="T60" s="5"/>
      <c r="U60" s="5">
        <f t="shared" si="12"/>
        <v>21.759731031853313</v>
      </c>
      <c r="V60" s="5">
        <f t="shared" si="13"/>
        <v>21.759731031853313</v>
      </c>
      <c r="W60" s="5">
        <v>22.7912</v>
      </c>
      <c r="X60" s="5">
        <v>23.103999999999999</v>
      </c>
      <c r="Y60" s="5">
        <v>8.9727999999999994</v>
      </c>
      <c r="Z60" s="5">
        <v>25.002400000000002</v>
      </c>
      <c r="AA60" s="5">
        <v>15.615600000000001</v>
      </c>
      <c r="AB60" s="5">
        <v>3.8106</v>
      </c>
      <c r="AC60" s="5">
        <v>14.8278</v>
      </c>
      <c r="AD60" s="5">
        <v>17.759599999999999</v>
      </c>
      <c r="AE60" s="5"/>
      <c r="AF60" s="5">
        <f t="shared" si="14"/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96</v>
      </c>
      <c r="B61" s="5" t="s">
        <v>36</v>
      </c>
      <c r="C61" s="5">
        <v>41</v>
      </c>
      <c r="D61" s="5">
        <v>853</v>
      </c>
      <c r="E61" s="5">
        <v>395</v>
      </c>
      <c r="F61" s="16">
        <f>390+F91</f>
        <v>419</v>
      </c>
      <c r="G61" s="8">
        <v>0.41</v>
      </c>
      <c r="H61" s="5">
        <v>50</v>
      </c>
      <c r="I61" s="5" t="s">
        <v>37</v>
      </c>
      <c r="J61" s="5"/>
      <c r="K61" s="5">
        <v>510</v>
      </c>
      <c r="L61" s="5">
        <f t="shared" si="10"/>
        <v>-115</v>
      </c>
      <c r="M61" s="5"/>
      <c r="N61" s="5"/>
      <c r="O61" s="5">
        <v>393</v>
      </c>
      <c r="P61" s="5">
        <v>407</v>
      </c>
      <c r="Q61" s="5">
        <f t="shared" si="11"/>
        <v>79</v>
      </c>
      <c r="R61" s="4">
        <v>150</v>
      </c>
      <c r="S61" s="4"/>
      <c r="T61" s="5"/>
      <c r="U61" s="5">
        <f t="shared" si="12"/>
        <v>17.329113924050635</v>
      </c>
      <c r="V61" s="5">
        <f t="shared" si="13"/>
        <v>15.430379746835444</v>
      </c>
      <c r="W61" s="5">
        <v>110.2</v>
      </c>
      <c r="X61" s="5">
        <v>153.6</v>
      </c>
      <c r="Y61" s="5">
        <v>105.2</v>
      </c>
      <c r="Z61" s="5">
        <v>93.2</v>
      </c>
      <c r="AA61" s="5">
        <v>112</v>
      </c>
      <c r="AB61" s="5">
        <v>92.8</v>
      </c>
      <c r="AC61" s="5">
        <v>98.8</v>
      </c>
      <c r="AD61" s="5">
        <v>100.8</v>
      </c>
      <c r="AE61" s="5"/>
      <c r="AF61" s="5">
        <f t="shared" si="14"/>
        <v>61.499999999999993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97</v>
      </c>
      <c r="B62" s="5" t="s">
        <v>39</v>
      </c>
      <c r="C62" s="5">
        <v>150.40299999999999</v>
      </c>
      <c r="D62" s="5">
        <v>242.59</v>
      </c>
      <c r="E62" s="16">
        <f>301.669+E92</f>
        <v>315.16899999999998</v>
      </c>
      <c r="F62" s="16">
        <f>49.976+F92</f>
        <v>80.382999999999996</v>
      </c>
      <c r="G62" s="8">
        <v>1</v>
      </c>
      <c r="H62" s="5">
        <v>50</v>
      </c>
      <c r="I62" s="5" t="s">
        <v>37</v>
      </c>
      <c r="J62" s="5"/>
      <c r="K62" s="5">
        <v>325.8</v>
      </c>
      <c r="L62" s="5">
        <f t="shared" si="10"/>
        <v>-10.631000000000029</v>
      </c>
      <c r="M62" s="5"/>
      <c r="N62" s="5"/>
      <c r="O62" s="5">
        <v>295</v>
      </c>
      <c r="P62" s="5">
        <v>305</v>
      </c>
      <c r="Q62" s="5">
        <f t="shared" si="11"/>
        <v>63.033799999999999</v>
      </c>
      <c r="R62" s="4">
        <f t="shared" si="15"/>
        <v>202.09020000000004</v>
      </c>
      <c r="S62" s="4"/>
      <c r="T62" s="5"/>
      <c r="U62" s="5">
        <f t="shared" si="12"/>
        <v>14.000000000000002</v>
      </c>
      <c r="V62" s="5">
        <f t="shared" si="13"/>
        <v>10.793939124723561</v>
      </c>
      <c r="W62" s="5">
        <v>64.042000000000002</v>
      </c>
      <c r="X62" s="5">
        <v>62.418400000000013</v>
      </c>
      <c r="Y62" s="5">
        <v>61.465400000000002</v>
      </c>
      <c r="Z62" s="5">
        <v>65.116200000000006</v>
      </c>
      <c r="AA62" s="5">
        <v>56.833199999999998</v>
      </c>
      <c r="AB62" s="5">
        <v>52.449800000000003</v>
      </c>
      <c r="AC62" s="5">
        <v>59.7226</v>
      </c>
      <c r="AD62" s="5">
        <v>60.838800000000013</v>
      </c>
      <c r="AE62" s="5"/>
      <c r="AF62" s="5">
        <f t="shared" si="14"/>
        <v>202.09020000000004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98</v>
      </c>
      <c r="B63" s="5" t="s">
        <v>36</v>
      </c>
      <c r="C63" s="5">
        <v>35</v>
      </c>
      <c r="D63" s="5">
        <v>37</v>
      </c>
      <c r="E63" s="5">
        <v>46</v>
      </c>
      <c r="F63" s="5">
        <v>5</v>
      </c>
      <c r="G63" s="8">
        <v>0.35</v>
      </c>
      <c r="H63" s="5">
        <v>50</v>
      </c>
      <c r="I63" s="5" t="s">
        <v>37</v>
      </c>
      <c r="J63" s="5"/>
      <c r="K63" s="5">
        <v>46</v>
      </c>
      <c r="L63" s="5">
        <f t="shared" si="10"/>
        <v>0</v>
      </c>
      <c r="M63" s="5"/>
      <c r="N63" s="5"/>
      <c r="O63" s="5">
        <v>42</v>
      </c>
      <c r="P63" s="5">
        <v>43</v>
      </c>
      <c r="Q63" s="5">
        <f t="shared" si="11"/>
        <v>9.1999999999999993</v>
      </c>
      <c r="R63" s="4">
        <f t="shared" si="15"/>
        <v>38.799999999999983</v>
      </c>
      <c r="S63" s="4"/>
      <c r="T63" s="5"/>
      <c r="U63" s="5">
        <f t="shared" si="12"/>
        <v>14</v>
      </c>
      <c r="V63" s="5">
        <f t="shared" si="13"/>
        <v>9.7826086956521738</v>
      </c>
      <c r="W63" s="5">
        <v>9.8000000000000007</v>
      </c>
      <c r="X63" s="5">
        <v>10.4</v>
      </c>
      <c r="Y63" s="5">
        <v>13.6</v>
      </c>
      <c r="Z63" s="5">
        <v>7.8</v>
      </c>
      <c r="AA63" s="5">
        <v>11.8</v>
      </c>
      <c r="AB63" s="5">
        <v>11.6</v>
      </c>
      <c r="AC63" s="5">
        <v>11</v>
      </c>
      <c r="AD63" s="5">
        <v>11.6</v>
      </c>
      <c r="AE63" s="5"/>
      <c r="AF63" s="5">
        <f t="shared" si="14"/>
        <v>13.579999999999993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99</v>
      </c>
      <c r="B64" s="5" t="s">
        <v>39</v>
      </c>
      <c r="C64" s="5">
        <v>30.332000000000001</v>
      </c>
      <c r="D64" s="5">
        <v>96.298000000000002</v>
      </c>
      <c r="E64" s="5">
        <v>72.108000000000004</v>
      </c>
      <c r="F64" s="5">
        <v>44.997999999999998</v>
      </c>
      <c r="G64" s="8">
        <v>1</v>
      </c>
      <c r="H64" s="5">
        <v>50</v>
      </c>
      <c r="I64" s="5" t="s">
        <v>37</v>
      </c>
      <c r="J64" s="5"/>
      <c r="K64" s="5">
        <v>111.3</v>
      </c>
      <c r="L64" s="5">
        <f t="shared" si="10"/>
        <v>-39.191999999999993</v>
      </c>
      <c r="M64" s="5"/>
      <c r="N64" s="5"/>
      <c r="O64" s="5">
        <v>36</v>
      </c>
      <c r="P64" s="5">
        <v>38</v>
      </c>
      <c r="Q64" s="5">
        <f t="shared" si="11"/>
        <v>14.421600000000002</v>
      </c>
      <c r="R64" s="4">
        <f t="shared" si="15"/>
        <v>82.904400000000038</v>
      </c>
      <c r="S64" s="4"/>
      <c r="T64" s="5"/>
      <c r="U64" s="5">
        <f t="shared" si="12"/>
        <v>14</v>
      </c>
      <c r="V64" s="5">
        <f t="shared" si="13"/>
        <v>8.2513729405891141</v>
      </c>
      <c r="W64" s="5">
        <v>14.1616</v>
      </c>
      <c r="X64" s="5">
        <v>18.130800000000001</v>
      </c>
      <c r="Y64" s="5">
        <v>13.949</v>
      </c>
      <c r="Z64" s="5">
        <v>10.7898</v>
      </c>
      <c r="AA64" s="5">
        <v>13.407400000000001</v>
      </c>
      <c r="AB64" s="5">
        <v>15.814399999999999</v>
      </c>
      <c r="AC64" s="5">
        <v>13.143000000000001</v>
      </c>
      <c r="AD64" s="5">
        <v>13.467599999999999</v>
      </c>
      <c r="AE64" s="5"/>
      <c r="AF64" s="5">
        <f t="shared" si="14"/>
        <v>82.904400000000038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100</v>
      </c>
      <c r="B65" s="5" t="s">
        <v>36</v>
      </c>
      <c r="C65" s="5">
        <v>215</v>
      </c>
      <c r="D65" s="5">
        <v>583</v>
      </c>
      <c r="E65" s="5">
        <v>523</v>
      </c>
      <c r="F65" s="5">
        <v>212</v>
      </c>
      <c r="G65" s="8">
        <v>0.41</v>
      </c>
      <c r="H65" s="5">
        <v>50</v>
      </c>
      <c r="I65" s="5" t="s">
        <v>37</v>
      </c>
      <c r="J65" s="5"/>
      <c r="K65" s="5">
        <v>540.5</v>
      </c>
      <c r="L65" s="5">
        <f t="shared" si="10"/>
        <v>-17.5</v>
      </c>
      <c r="M65" s="5"/>
      <c r="N65" s="5"/>
      <c r="O65" s="5">
        <v>295</v>
      </c>
      <c r="P65" s="5">
        <v>305</v>
      </c>
      <c r="Q65" s="5">
        <f t="shared" si="11"/>
        <v>104.6</v>
      </c>
      <c r="R65" s="4">
        <f t="shared" si="15"/>
        <v>652.39999999999986</v>
      </c>
      <c r="S65" s="4"/>
      <c r="T65" s="5"/>
      <c r="U65" s="5">
        <f t="shared" si="12"/>
        <v>14</v>
      </c>
      <c r="V65" s="5">
        <f t="shared" si="13"/>
        <v>7.7629063097514344</v>
      </c>
      <c r="W65" s="5">
        <v>88.6</v>
      </c>
      <c r="X65" s="5">
        <v>127.8</v>
      </c>
      <c r="Y65" s="5">
        <v>96</v>
      </c>
      <c r="Z65" s="5">
        <v>71.8</v>
      </c>
      <c r="AA65" s="5">
        <v>82.6</v>
      </c>
      <c r="AB65" s="5">
        <v>63.6</v>
      </c>
      <c r="AC65" s="5">
        <v>85.8</v>
      </c>
      <c r="AD65" s="5">
        <v>95.8</v>
      </c>
      <c r="AE65" s="5"/>
      <c r="AF65" s="5">
        <f t="shared" si="14"/>
        <v>267.48399999999992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101</v>
      </c>
      <c r="B66" s="5" t="s">
        <v>39</v>
      </c>
      <c r="C66" s="5">
        <v>-1.0999999999999999E-2</v>
      </c>
      <c r="D66" s="5">
        <v>305.47300000000001</v>
      </c>
      <c r="E66" s="5">
        <v>175.08799999999999</v>
      </c>
      <c r="F66" s="5">
        <v>110.72199999999999</v>
      </c>
      <c r="G66" s="8">
        <v>1</v>
      </c>
      <c r="H66" s="5">
        <v>50</v>
      </c>
      <c r="I66" s="5" t="s">
        <v>37</v>
      </c>
      <c r="J66" s="5"/>
      <c r="K66" s="5">
        <v>188</v>
      </c>
      <c r="L66" s="5">
        <f t="shared" si="10"/>
        <v>-12.912000000000006</v>
      </c>
      <c r="M66" s="5"/>
      <c r="N66" s="5"/>
      <c r="O66" s="5">
        <v>179</v>
      </c>
      <c r="P66" s="5">
        <v>186</v>
      </c>
      <c r="Q66" s="5">
        <f t="shared" si="11"/>
        <v>35.017600000000002</v>
      </c>
      <c r="R66" s="4">
        <v>50</v>
      </c>
      <c r="S66" s="4"/>
      <c r="T66" s="5"/>
      <c r="U66" s="5">
        <f t="shared" si="12"/>
        <v>15.013079137348075</v>
      </c>
      <c r="V66" s="5">
        <f t="shared" si="13"/>
        <v>13.585225715068992</v>
      </c>
      <c r="W66" s="5">
        <v>46.9452</v>
      </c>
      <c r="X66" s="5">
        <v>58.433999999999997</v>
      </c>
      <c r="Y66" s="5">
        <v>46.984200000000001</v>
      </c>
      <c r="Z66" s="5">
        <v>49.415599999999998</v>
      </c>
      <c r="AA66" s="5">
        <v>49.915799999999997</v>
      </c>
      <c r="AB66" s="5">
        <v>46.925199999999997</v>
      </c>
      <c r="AC66" s="5">
        <v>42.840200000000003</v>
      </c>
      <c r="AD66" s="5">
        <v>42.795999999999999</v>
      </c>
      <c r="AE66" s="5"/>
      <c r="AF66" s="5">
        <f t="shared" si="14"/>
        <v>50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102</v>
      </c>
      <c r="B67" s="5" t="s">
        <v>36</v>
      </c>
      <c r="C67" s="5">
        <v>98</v>
      </c>
      <c r="D67" s="5">
        <v>49</v>
      </c>
      <c r="E67" s="5">
        <v>78</v>
      </c>
      <c r="F67" s="5">
        <v>62</v>
      </c>
      <c r="G67" s="8">
        <v>0.3</v>
      </c>
      <c r="H67" s="5">
        <v>50</v>
      </c>
      <c r="I67" s="5" t="s">
        <v>37</v>
      </c>
      <c r="J67" s="5"/>
      <c r="K67" s="5">
        <v>74</v>
      </c>
      <c r="L67" s="5">
        <f t="shared" si="10"/>
        <v>4</v>
      </c>
      <c r="M67" s="5"/>
      <c r="N67" s="5"/>
      <c r="O67" s="5">
        <v>50</v>
      </c>
      <c r="P67" s="5"/>
      <c r="Q67" s="5">
        <f t="shared" si="11"/>
        <v>15.6</v>
      </c>
      <c r="R67" s="4">
        <f t="shared" si="15"/>
        <v>106.4</v>
      </c>
      <c r="S67" s="4"/>
      <c r="T67" s="5"/>
      <c r="U67" s="5">
        <f t="shared" si="12"/>
        <v>14</v>
      </c>
      <c r="V67" s="5">
        <f t="shared" si="13"/>
        <v>7.1794871794871797</v>
      </c>
      <c r="W67" s="5">
        <v>12.6</v>
      </c>
      <c r="X67" s="5">
        <v>18.8</v>
      </c>
      <c r="Y67" s="5">
        <v>21</v>
      </c>
      <c r="Z67" s="5">
        <v>3</v>
      </c>
      <c r="AA67" s="5">
        <v>11.2</v>
      </c>
      <c r="AB67" s="5">
        <v>15</v>
      </c>
      <c r="AC67" s="5">
        <v>13.8</v>
      </c>
      <c r="AD67" s="5">
        <v>10</v>
      </c>
      <c r="AE67" s="5"/>
      <c r="AF67" s="5">
        <f t="shared" si="14"/>
        <v>31.92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103</v>
      </c>
      <c r="B68" s="5" t="s">
        <v>36</v>
      </c>
      <c r="C68" s="5">
        <v>47</v>
      </c>
      <c r="D68" s="5">
        <v>1</v>
      </c>
      <c r="E68" s="5">
        <v>43</v>
      </c>
      <c r="F68" s="5"/>
      <c r="G68" s="8">
        <v>0.18</v>
      </c>
      <c r="H68" s="5">
        <v>50</v>
      </c>
      <c r="I68" s="5" t="s">
        <v>37</v>
      </c>
      <c r="J68" s="5"/>
      <c r="K68" s="5">
        <v>71</v>
      </c>
      <c r="L68" s="5">
        <f t="shared" si="10"/>
        <v>-28</v>
      </c>
      <c r="M68" s="5"/>
      <c r="N68" s="5"/>
      <c r="O68" s="5">
        <v>172</v>
      </c>
      <c r="P68" s="5">
        <v>178</v>
      </c>
      <c r="Q68" s="5">
        <f t="shared" si="11"/>
        <v>8.6</v>
      </c>
      <c r="R68" s="4"/>
      <c r="S68" s="4"/>
      <c r="T68" s="5"/>
      <c r="U68" s="5">
        <f t="shared" si="12"/>
        <v>40.697674418604656</v>
      </c>
      <c r="V68" s="5">
        <f t="shared" si="13"/>
        <v>40.697674418604656</v>
      </c>
      <c r="W68" s="5">
        <v>33.799999999999997</v>
      </c>
      <c r="X68" s="5">
        <v>17.2</v>
      </c>
      <c r="Y68" s="5">
        <v>27.4</v>
      </c>
      <c r="Z68" s="5">
        <v>5.8</v>
      </c>
      <c r="AA68" s="5">
        <v>9</v>
      </c>
      <c r="AB68" s="5">
        <v>20.8</v>
      </c>
      <c r="AC68" s="5">
        <v>15.6</v>
      </c>
      <c r="AD68" s="5">
        <v>21</v>
      </c>
      <c r="AE68" s="5"/>
      <c r="AF68" s="5">
        <f t="shared" si="14"/>
        <v>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104</v>
      </c>
      <c r="B69" s="5" t="s">
        <v>39</v>
      </c>
      <c r="C69" s="5">
        <v>10.226000000000001</v>
      </c>
      <c r="D69" s="5">
        <v>90.522000000000006</v>
      </c>
      <c r="E69" s="5">
        <v>30.359000000000002</v>
      </c>
      <c r="F69" s="5">
        <v>63.713000000000001</v>
      </c>
      <c r="G69" s="8">
        <v>1</v>
      </c>
      <c r="H69" s="5">
        <v>45</v>
      </c>
      <c r="I69" s="5" t="s">
        <v>37</v>
      </c>
      <c r="J69" s="5"/>
      <c r="K69" s="5">
        <v>37</v>
      </c>
      <c r="L69" s="5">
        <f t="shared" si="10"/>
        <v>-6.6409999999999982</v>
      </c>
      <c r="M69" s="5"/>
      <c r="N69" s="5"/>
      <c r="O69" s="5">
        <v>33</v>
      </c>
      <c r="P69" s="5">
        <v>34</v>
      </c>
      <c r="Q69" s="5">
        <f t="shared" si="11"/>
        <v>6.0718000000000005</v>
      </c>
      <c r="R69" s="4"/>
      <c r="S69" s="4"/>
      <c r="T69" s="5"/>
      <c r="U69" s="5">
        <f t="shared" si="12"/>
        <v>21.527883000098814</v>
      </c>
      <c r="V69" s="5">
        <f t="shared" si="13"/>
        <v>21.527883000098814</v>
      </c>
      <c r="W69" s="5">
        <v>12.166399999999999</v>
      </c>
      <c r="X69" s="5">
        <v>19.082999999999998</v>
      </c>
      <c r="Y69" s="5">
        <v>12.1968</v>
      </c>
      <c r="Z69" s="5">
        <v>14.375400000000001</v>
      </c>
      <c r="AA69" s="5">
        <v>11.170999999999999</v>
      </c>
      <c r="AB69" s="5">
        <v>6.0472000000000001</v>
      </c>
      <c r="AC69" s="5">
        <v>16.082999999999998</v>
      </c>
      <c r="AD69" s="5">
        <v>13.8188</v>
      </c>
      <c r="AE69" s="5"/>
      <c r="AF69" s="5">
        <f t="shared" si="14"/>
        <v>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105</v>
      </c>
      <c r="B70" s="5" t="s">
        <v>36</v>
      </c>
      <c r="C70" s="5">
        <v>3</v>
      </c>
      <c r="D70" s="5">
        <v>51</v>
      </c>
      <c r="E70" s="5">
        <v>6</v>
      </c>
      <c r="F70" s="5">
        <v>43</v>
      </c>
      <c r="G70" s="8">
        <v>0.22</v>
      </c>
      <c r="H70" s="5">
        <v>120</v>
      </c>
      <c r="I70" s="5" t="s">
        <v>37</v>
      </c>
      <c r="J70" s="5"/>
      <c r="K70" s="5">
        <v>6</v>
      </c>
      <c r="L70" s="5">
        <f t="shared" ref="L70:L94" si="16">E70-K70</f>
        <v>0</v>
      </c>
      <c r="M70" s="5"/>
      <c r="N70" s="5"/>
      <c r="O70" s="5">
        <v>50</v>
      </c>
      <c r="P70" s="5"/>
      <c r="Q70" s="5">
        <f t="shared" ref="Q70:Q94" si="17">E70/5</f>
        <v>1.2</v>
      </c>
      <c r="R70" s="4"/>
      <c r="S70" s="4"/>
      <c r="T70" s="5"/>
      <c r="U70" s="5">
        <f t="shared" ref="U70:U94" si="18">(F70+O70+P70+R70)/Q70</f>
        <v>77.5</v>
      </c>
      <c r="V70" s="5">
        <f t="shared" ref="V70:V94" si="19">(F70+O70+P70)/Q70</f>
        <v>77.5</v>
      </c>
      <c r="W70" s="5">
        <v>3.4</v>
      </c>
      <c r="X70" s="5">
        <v>5.8</v>
      </c>
      <c r="Y70" s="5">
        <v>-0.2</v>
      </c>
      <c r="Z70" s="5">
        <v>-0.4</v>
      </c>
      <c r="AA70" s="5">
        <v>-0.2</v>
      </c>
      <c r="AB70" s="5">
        <v>0</v>
      </c>
      <c r="AC70" s="5">
        <v>0.6</v>
      </c>
      <c r="AD70" s="5">
        <v>2.6</v>
      </c>
      <c r="AE70" s="5"/>
      <c r="AF70" s="5">
        <f t="shared" si="14"/>
        <v>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106</v>
      </c>
      <c r="B71" s="5" t="s">
        <v>36</v>
      </c>
      <c r="C71" s="5"/>
      <c r="D71" s="5">
        <v>54</v>
      </c>
      <c r="E71" s="5">
        <v>10</v>
      </c>
      <c r="F71" s="5">
        <v>41</v>
      </c>
      <c r="G71" s="8">
        <v>0.84</v>
      </c>
      <c r="H71" s="5">
        <v>50</v>
      </c>
      <c r="I71" s="5" t="s">
        <v>37</v>
      </c>
      <c r="J71" s="5"/>
      <c r="K71" s="5">
        <v>23.4</v>
      </c>
      <c r="L71" s="5">
        <f t="shared" si="16"/>
        <v>-13.399999999999999</v>
      </c>
      <c r="M71" s="5"/>
      <c r="N71" s="5"/>
      <c r="O71" s="5">
        <v>50</v>
      </c>
      <c r="P71" s="5"/>
      <c r="Q71" s="5">
        <f t="shared" si="17"/>
        <v>2</v>
      </c>
      <c r="R71" s="4"/>
      <c r="S71" s="4"/>
      <c r="T71" s="5"/>
      <c r="U71" s="5">
        <f t="shared" si="18"/>
        <v>45.5</v>
      </c>
      <c r="V71" s="5">
        <f t="shared" si="19"/>
        <v>45.5</v>
      </c>
      <c r="W71" s="5">
        <v>6</v>
      </c>
      <c r="X71" s="5">
        <v>11.2</v>
      </c>
      <c r="Y71" s="5">
        <v>6.6</v>
      </c>
      <c r="Z71" s="5">
        <v>2.4</v>
      </c>
      <c r="AA71" s="5">
        <v>10.199999999999999</v>
      </c>
      <c r="AB71" s="5">
        <v>6.4</v>
      </c>
      <c r="AC71" s="5">
        <v>6.4</v>
      </c>
      <c r="AD71" s="5">
        <v>8.8000000000000007</v>
      </c>
      <c r="AE71" s="5"/>
      <c r="AF71" s="5">
        <f t="shared" si="14"/>
        <v>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107</v>
      </c>
      <c r="B72" s="5" t="s">
        <v>36</v>
      </c>
      <c r="C72" s="5">
        <v>128</v>
      </c>
      <c r="D72" s="5">
        <v>849</v>
      </c>
      <c r="E72" s="5">
        <v>523</v>
      </c>
      <c r="F72" s="5">
        <v>433</v>
      </c>
      <c r="G72" s="8">
        <v>0.35</v>
      </c>
      <c r="H72" s="5">
        <v>50</v>
      </c>
      <c r="I72" s="5" t="s">
        <v>37</v>
      </c>
      <c r="J72" s="5"/>
      <c r="K72" s="5">
        <v>538.5</v>
      </c>
      <c r="L72" s="5">
        <f t="shared" si="16"/>
        <v>-15.5</v>
      </c>
      <c r="M72" s="5"/>
      <c r="N72" s="5"/>
      <c r="O72" s="5">
        <v>49</v>
      </c>
      <c r="P72" s="5">
        <v>51</v>
      </c>
      <c r="Q72" s="5">
        <f t="shared" si="17"/>
        <v>104.6</v>
      </c>
      <c r="R72" s="4">
        <f t="shared" si="15"/>
        <v>931.39999999999986</v>
      </c>
      <c r="S72" s="4"/>
      <c r="T72" s="5"/>
      <c r="U72" s="5">
        <f t="shared" si="18"/>
        <v>14</v>
      </c>
      <c r="V72" s="5">
        <f t="shared" si="19"/>
        <v>5.095602294455067</v>
      </c>
      <c r="W72" s="5">
        <v>72</v>
      </c>
      <c r="X72" s="5">
        <v>156.6</v>
      </c>
      <c r="Y72" s="5">
        <v>88.6</v>
      </c>
      <c r="Z72" s="5">
        <v>67.2</v>
      </c>
      <c r="AA72" s="5">
        <v>64.8</v>
      </c>
      <c r="AB72" s="5">
        <v>50.6</v>
      </c>
      <c r="AC72" s="5">
        <v>90.8</v>
      </c>
      <c r="AD72" s="5">
        <v>105</v>
      </c>
      <c r="AE72" s="5"/>
      <c r="AF72" s="5">
        <f t="shared" si="14"/>
        <v>325.98999999999995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108</v>
      </c>
      <c r="B73" s="5" t="s">
        <v>39</v>
      </c>
      <c r="C73" s="5">
        <v>58.161000000000001</v>
      </c>
      <c r="D73" s="5">
        <v>392.45299999999997</v>
      </c>
      <c r="E73" s="5">
        <v>220.637</v>
      </c>
      <c r="F73" s="5">
        <v>198.13</v>
      </c>
      <c r="G73" s="8">
        <v>1</v>
      </c>
      <c r="H73" s="5">
        <v>50</v>
      </c>
      <c r="I73" s="5" t="s">
        <v>37</v>
      </c>
      <c r="J73" s="5"/>
      <c r="K73" s="5">
        <v>221</v>
      </c>
      <c r="L73" s="5">
        <f t="shared" si="16"/>
        <v>-0.36299999999999955</v>
      </c>
      <c r="M73" s="5"/>
      <c r="N73" s="5"/>
      <c r="O73" s="5">
        <v>0</v>
      </c>
      <c r="P73" s="5"/>
      <c r="Q73" s="5">
        <f t="shared" si="17"/>
        <v>44.127400000000002</v>
      </c>
      <c r="R73" s="4">
        <f>13*Q73-P73-O73-F73</f>
        <v>375.52620000000002</v>
      </c>
      <c r="S73" s="4"/>
      <c r="T73" s="5"/>
      <c r="U73" s="5">
        <f t="shared" si="18"/>
        <v>13</v>
      </c>
      <c r="V73" s="5">
        <f t="shared" si="19"/>
        <v>4.4899540874830599</v>
      </c>
      <c r="W73" s="5">
        <v>27.7316</v>
      </c>
      <c r="X73" s="5">
        <v>81.638800000000003</v>
      </c>
      <c r="Y73" s="5">
        <v>44.975200000000001</v>
      </c>
      <c r="Z73" s="5">
        <v>14.318</v>
      </c>
      <c r="AA73" s="5">
        <v>36.4968</v>
      </c>
      <c r="AB73" s="5">
        <v>73.562399999999997</v>
      </c>
      <c r="AC73" s="5">
        <v>16.7728</v>
      </c>
      <c r="AD73" s="5">
        <v>38.627400000000002</v>
      </c>
      <c r="AE73" s="5"/>
      <c r="AF73" s="5">
        <f t="shared" si="14"/>
        <v>375.52620000000002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109</v>
      </c>
      <c r="B74" s="5" t="s">
        <v>39</v>
      </c>
      <c r="C74" s="5">
        <v>14.411</v>
      </c>
      <c r="D74" s="5">
        <v>478.71</v>
      </c>
      <c r="E74" s="5">
        <v>267.245</v>
      </c>
      <c r="F74" s="5">
        <v>203.56700000000001</v>
      </c>
      <c r="G74" s="8">
        <v>1</v>
      </c>
      <c r="H74" s="5">
        <v>50</v>
      </c>
      <c r="I74" s="5" t="s">
        <v>37</v>
      </c>
      <c r="J74" s="5"/>
      <c r="K74" s="5">
        <v>252.72</v>
      </c>
      <c r="L74" s="5">
        <f t="shared" si="16"/>
        <v>14.525000000000006</v>
      </c>
      <c r="M74" s="5"/>
      <c r="N74" s="5"/>
      <c r="O74" s="5">
        <v>47</v>
      </c>
      <c r="P74" s="5">
        <v>49</v>
      </c>
      <c r="Q74" s="5">
        <f t="shared" si="17"/>
        <v>53.448999999999998</v>
      </c>
      <c r="R74" s="4">
        <f t="shared" si="15"/>
        <v>448.71899999999994</v>
      </c>
      <c r="S74" s="4"/>
      <c r="T74" s="5"/>
      <c r="U74" s="5">
        <f t="shared" si="18"/>
        <v>14</v>
      </c>
      <c r="V74" s="5">
        <f t="shared" si="19"/>
        <v>5.604726000486445</v>
      </c>
      <c r="W74" s="5">
        <v>41.6952</v>
      </c>
      <c r="X74" s="5">
        <v>105.0286</v>
      </c>
      <c r="Y74" s="5">
        <v>56.116399999999999</v>
      </c>
      <c r="Z74" s="5">
        <v>67.699600000000004</v>
      </c>
      <c r="AA74" s="5">
        <v>54.386200000000002</v>
      </c>
      <c r="AB74" s="5">
        <v>73.034999999999997</v>
      </c>
      <c r="AC74" s="5">
        <v>70.085799999999992</v>
      </c>
      <c r="AD74" s="5">
        <v>49.6188</v>
      </c>
      <c r="AE74" s="5"/>
      <c r="AF74" s="5">
        <f t="shared" si="14"/>
        <v>448.71899999999994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110</v>
      </c>
      <c r="B75" s="5" t="s">
        <v>36</v>
      </c>
      <c r="C75" s="5">
        <v>11</v>
      </c>
      <c r="D75" s="5">
        <v>1018</v>
      </c>
      <c r="E75" s="5">
        <v>356</v>
      </c>
      <c r="F75" s="5">
        <v>575</v>
      </c>
      <c r="G75" s="8">
        <v>0.35</v>
      </c>
      <c r="H75" s="5">
        <v>50</v>
      </c>
      <c r="I75" s="5" t="s">
        <v>37</v>
      </c>
      <c r="J75" s="5"/>
      <c r="K75" s="5">
        <v>444.4</v>
      </c>
      <c r="L75" s="5">
        <f t="shared" si="16"/>
        <v>-88.399999999999977</v>
      </c>
      <c r="M75" s="5"/>
      <c r="N75" s="5"/>
      <c r="O75" s="5">
        <v>172</v>
      </c>
      <c r="P75" s="5">
        <v>178</v>
      </c>
      <c r="Q75" s="5">
        <f t="shared" si="17"/>
        <v>71.2</v>
      </c>
      <c r="R75" s="4">
        <f t="shared" si="15"/>
        <v>71.800000000000068</v>
      </c>
      <c r="S75" s="4"/>
      <c r="T75" s="5"/>
      <c r="U75" s="5">
        <f t="shared" si="18"/>
        <v>14</v>
      </c>
      <c r="V75" s="5">
        <f t="shared" si="19"/>
        <v>12.991573033707864</v>
      </c>
      <c r="W75" s="5">
        <v>85.2</v>
      </c>
      <c r="X75" s="5">
        <v>172.8</v>
      </c>
      <c r="Y75" s="5">
        <v>98.2</v>
      </c>
      <c r="Z75" s="5">
        <v>99.2</v>
      </c>
      <c r="AA75" s="5">
        <v>85.2</v>
      </c>
      <c r="AB75" s="5">
        <v>59.2</v>
      </c>
      <c r="AC75" s="5">
        <v>104.6</v>
      </c>
      <c r="AD75" s="5">
        <v>102.4</v>
      </c>
      <c r="AE75" s="5"/>
      <c r="AF75" s="5">
        <f t="shared" si="14"/>
        <v>25.130000000000024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111</v>
      </c>
      <c r="B76" s="5" t="s">
        <v>36</v>
      </c>
      <c r="C76" s="5">
        <v>93</v>
      </c>
      <c r="D76" s="5">
        <v>120</v>
      </c>
      <c r="E76" s="5">
        <v>73</v>
      </c>
      <c r="F76" s="5">
        <v>138</v>
      </c>
      <c r="G76" s="8">
        <v>0.3</v>
      </c>
      <c r="H76" s="5">
        <v>50</v>
      </c>
      <c r="I76" s="5" t="s">
        <v>37</v>
      </c>
      <c r="J76" s="5"/>
      <c r="K76" s="5">
        <v>68</v>
      </c>
      <c r="L76" s="5">
        <f t="shared" si="16"/>
        <v>5</v>
      </c>
      <c r="M76" s="5"/>
      <c r="N76" s="5"/>
      <c r="O76" s="5">
        <v>0</v>
      </c>
      <c r="P76" s="5"/>
      <c r="Q76" s="5">
        <f t="shared" si="17"/>
        <v>14.6</v>
      </c>
      <c r="R76" s="4">
        <f t="shared" si="15"/>
        <v>66.400000000000006</v>
      </c>
      <c r="S76" s="4"/>
      <c r="T76" s="5"/>
      <c r="U76" s="5">
        <f t="shared" si="18"/>
        <v>14</v>
      </c>
      <c r="V76" s="5">
        <f t="shared" si="19"/>
        <v>9.4520547945205475</v>
      </c>
      <c r="W76" s="5">
        <v>12</v>
      </c>
      <c r="X76" s="5">
        <v>26.4</v>
      </c>
      <c r="Y76" s="5">
        <v>20</v>
      </c>
      <c r="Z76" s="5">
        <v>10</v>
      </c>
      <c r="AA76" s="5">
        <v>14.2</v>
      </c>
      <c r="AB76" s="5">
        <v>11.8</v>
      </c>
      <c r="AC76" s="5">
        <v>13.4</v>
      </c>
      <c r="AD76" s="5">
        <v>13</v>
      </c>
      <c r="AE76" s="5"/>
      <c r="AF76" s="5">
        <f t="shared" si="14"/>
        <v>19.920000000000002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112</v>
      </c>
      <c r="B77" s="5" t="s">
        <v>36</v>
      </c>
      <c r="C77" s="5"/>
      <c r="D77" s="5">
        <v>8</v>
      </c>
      <c r="E77" s="5">
        <v>8</v>
      </c>
      <c r="F77" s="5"/>
      <c r="G77" s="8">
        <v>0.3</v>
      </c>
      <c r="H77" s="5">
        <v>60</v>
      </c>
      <c r="I77" s="5" t="s">
        <v>37</v>
      </c>
      <c r="J77" s="5"/>
      <c r="K77" s="5">
        <v>12</v>
      </c>
      <c r="L77" s="5">
        <f t="shared" si="16"/>
        <v>-4</v>
      </c>
      <c r="M77" s="5"/>
      <c r="N77" s="5"/>
      <c r="O77" s="5">
        <v>27</v>
      </c>
      <c r="P77" s="5">
        <v>27</v>
      </c>
      <c r="Q77" s="5">
        <f t="shared" si="17"/>
        <v>1.6</v>
      </c>
      <c r="R77" s="4">
        <v>8</v>
      </c>
      <c r="S77" s="4"/>
      <c r="T77" s="5"/>
      <c r="U77" s="5">
        <f t="shared" si="18"/>
        <v>38.75</v>
      </c>
      <c r="V77" s="5">
        <f t="shared" si="19"/>
        <v>33.75</v>
      </c>
      <c r="W77" s="5">
        <v>6.2</v>
      </c>
      <c r="X77" s="5">
        <v>4</v>
      </c>
      <c r="Y77" s="5">
        <v>8.4</v>
      </c>
      <c r="Z77" s="5">
        <v>-0.2</v>
      </c>
      <c r="AA77" s="5">
        <v>1.4</v>
      </c>
      <c r="AB77" s="5">
        <v>7.4</v>
      </c>
      <c r="AC77" s="5">
        <v>1.8</v>
      </c>
      <c r="AD77" s="5">
        <v>2.6</v>
      </c>
      <c r="AE77" s="5"/>
      <c r="AF77" s="5">
        <f t="shared" si="14"/>
        <v>2.4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113</v>
      </c>
      <c r="B78" s="5" t="s">
        <v>36</v>
      </c>
      <c r="C78" s="5">
        <v>39</v>
      </c>
      <c r="D78" s="5">
        <v>722</v>
      </c>
      <c r="E78" s="5">
        <v>416</v>
      </c>
      <c r="F78" s="5">
        <v>252</v>
      </c>
      <c r="G78" s="8">
        <v>0.28000000000000003</v>
      </c>
      <c r="H78" s="5">
        <v>50</v>
      </c>
      <c r="I78" s="5" t="s">
        <v>37</v>
      </c>
      <c r="J78" s="5"/>
      <c r="K78" s="5">
        <v>418</v>
      </c>
      <c r="L78" s="5">
        <f t="shared" si="16"/>
        <v>-2</v>
      </c>
      <c r="M78" s="5"/>
      <c r="N78" s="5"/>
      <c r="O78" s="5">
        <v>123</v>
      </c>
      <c r="P78" s="5">
        <v>127</v>
      </c>
      <c r="Q78" s="5">
        <f t="shared" si="17"/>
        <v>83.2</v>
      </c>
      <c r="R78" s="4">
        <f t="shared" si="15"/>
        <v>662.8</v>
      </c>
      <c r="S78" s="4"/>
      <c r="T78" s="5"/>
      <c r="U78" s="5">
        <f t="shared" si="18"/>
        <v>13.999999999999998</v>
      </c>
      <c r="V78" s="5">
        <f t="shared" si="19"/>
        <v>6.0336538461538458</v>
      </c>
      <c r="W78" s="5">
        <v>63.6</v>
      </c>
      <c r="X78" s="5">
        <v>118.8</v>
      </c>
      <c r="Y78" s="5">
        <v>75.599999999999994</v>
      </c>
      <c r="Z78" s="5">
        <v>67.400000000000006</v>
      </c>
      <c r="AA78" s="5">
        <v>46.2</v>
      </c>
      <c r="AB78" s="5">
        <v>79</v>
      </c>
      <c r="AC78" s="5">
        <v>78.400000000000006</v>
      </c>
      <c r="AD78" s="5">
        <v>89.2</v>
      </c>
      <c r="AE78" s="5"/>
      <c r="AF78" s="5">
        <f t="shared" si="14"/>
        <v>185.584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114</v>
      </c>
      <c r="B79" s="5" t="s">
        <v>36</v>
      </c>
      <c r="C79" s="5">
        <v>44</v>
      </c>
      <c r="D79" s="5">
        <v>792</v>
      </c>
      <c r="E79" s="5">
        <v>456</v>
      </c>
      <c r="F79" s="5">
        <v>354</v>
      </c>
      <c r="G79" s="8">
        <v>0.28000000000000003</v>
      </c>
      <c r="H79" s="5">
        <v>45</v>
      </c>
      <c r="I79" s="5" t="s">
        <v>37</v>
      </c>
      <c r="J79" s="5"/>
      <c r="K79" s="5">
        <v>457</v>
      </c>
      <c r="L79" s="5">
        <f t="shared" si="16"/>
        <v>-1</v>
      </c>
      <c r="M79" s="5"/>
      <c r="N79" s="5"/>
      <c r="O79" s="5">
        <v>0</v>
      </c>
      <c r="P79" s="5"/>
      <c r="Q79" s="5">
        <f t="shared" si="17"/>
        <v>91.2</v>
      </c>
      <c r="R79" s="4">
        <f>13*Q79-P79-O79-F79</f>
        <v>831.60000000000014</v>
      </c>
      <c r="S79" s="4"/>
      <c r="T79" s="5"/>
      <c r="U79" s="5">
        <f t="shared" si="18"/>
        <v>13.000000000000002</v>
      </c>
      <c r="V79" s="5">
        <f t="shared" si="19"/>
        <v>3.8815789473684208</v>
      </c>
      <c r="W79" s="5">
        <v>55.4</v>
      </c>
      <c r="X79" s="5">
        <v>158</v>
      </c>
      <c r="Y79" s="5">
        <v>93.6</v>
      </c>
      <c r="Z79" s="5">
        <v>80.599999999999994</v>
      </c>
      <c r="AA79" s="5">
        <v>95.4</v>
      </c>
      <c r="AB79" s="5">
        <v>68.8</v>
      </c>
      <c r="AC79" s="5">
        <v>98</v>
      </c>
      <c r="AD79" s="5">
        <v>110.4</v>
      </c>
      <c r="AE79" s="5"/>
      <c r="AF79" s="5">
        <f t="shared" si="14"/>
        <v>232.84800000000007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115</v>
      </c>
      <c r="B80" s="5" t="s">
        <v>36</v>
      </c>
      <c r="C80" s="5"/>
      <c r="D80" s="5">
        <v>245</v>
      </c>
      <c r="E80" s="5">
        <v>103</v>
      </c>
      <c r="F80" s="5">
        <v>100</v>
      </c>
      <c r="G80" s="8">
        <v>0.28000000000000003</v>
      </c>
      <c r="H80" s="5">
        <v>45</v>
      </c>
      <c r="I80" s="5" t="s">
        <v>37</v>
      </c>
      <c r="J80" s="5"/>
      <c r="K80" s="5">
        <v>122</v>
      </c>
      <c r="L80" s="5">
        <f t="shared" si="16"/>
        <v>-19</v>
      </c>
      <c r="M80" s="5"/>
      <c r="N80" s="5"/>
      <c r="O80" s="5">
        <v>49</v>
      </c>
      <c r="P80" s="5">
        <v>51</v>
      </c>
      <c r="Q80" s="5">
        <f t="shared" si="17"/>
        <v>20.6</v>
      </c>
      <c r="R80" s="4">
        <f t="shared" si="15"/>
        <v>88.400000000000034</v>
      </c>
      <c r="S80" s="4"/>
      <c r="T80" s="5"/>
      <c r="U80" s="5">
        <f t="shared" si="18"/>
        <v>14</v>
      </c>
      <c r="V80" s="5">
        <f t="shared" si="19"/>
        <v>9.7087378640776691</v>
      </c>
      <c r="W80" s="5">
        <v>9.4</v>
      </c>
      <c r="X80" s="5">
        <v>42.6</v>
      </c>
      <c r="Y80" s="5">
        <v>26.8</v>
      </c>
      <c r="Z80" s="5">
        <v>29.2</v>
      </c>
      <c r="AA80" s="5">
        <v>28.4</v>
      </c>
      <c r="AB80" s="5">
        <v>29.4</v>
      </c>
      <c r="AC80" s="5">
        <v>28.6</v>
      </c>
      <c r="AD80" s="5">
        <v>23.6</v>
      </c>
      <c r="AE80" s="5"/>
      <c r="AF80" s="5">
        <f t="shared" si="14"/>
        <v>24.752000000000013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116</v>
      </c>
      <c r="B81" s="5" t="s">
        <v>36</v>
      </c>
      <c r="C81" s="5">
        <v>234</v>
      </c>
      <c r="D81" s="5">
        <v>370</v>
      </c>
      <c r="E81" s="5">
        <v>288</v>
      </c>
      <c r="F81" s="5">
        <v>263</v>
      </c>
      <c r="G81" s="8">
        <v>0.28000000000000003</v>
      </c>
      <c r="H81" s="5">
        <v>45</v>
      </c>
      <c r="I81" s="5" t="s">
        <v>37</v>
      </c>
      <c r="J81" s="5"/>
      <c r="K81" s="5">
        <v>285</v>
      </c>
      <c r="L81" s="5">
        <f t="shared" si="16"/>
        <v>3</v>
      </c>
      <c r="M81" s="5"/>
      <c r="N81" s="5"/>
      <c r="O81" s="5">
        <v>221</v>
      </c>
      <c r="P81" s="5">
        <v>229</v>
      </c>
      <c r="Q81" s="5">
        <f t="shared" si="17"/>
        <v>57.6</v>
      </c>
      <c r="R81" s="4">
        <f t="shared" si="15"/>
        <v>93.399999999999977</v>
      </c>
      <c r="S81" s="4"/>
      <c r="T81" s="5"/>
      <c r="U81" s="5">
        <f t="shared" si="18"/>
        <v>14</v>
      </c>
      <c r="V81" s="5">
        <f t="shared" si="19"/>
        <v>12.378472222222221</v>
      </c>
      <c r="W81" s="5">
        <v>67.8</v>
      </c>
      <c r="X81" s="5">
        <v>69.599999999999994</v>
      </c>
      <c r="Y81" s="5">
        <v>68.400000000000006</v>
      </c>
      <c r="Z81" s="5">
        <v>38.6</v>
      </c>
      <c r="AA81" s="5">
        <v>34.6</v>
      </c>
      <c r="AB81" s="5">
        <v>40.200000000000003</v>
      </c>
      <c r="AC81" s="5">
        <v>58.4</v>
      </c>
      <c r="AD81" s="5">
        <v>53.2</v>
      </c>
      <c r="AE81" s="5"/>
      <c r="AF81" s="5">
        <f t="shared" si="14"/>
        <v>26.151999999999997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117</v>
      </c>
      <c r="B82" s="5" t="s">
        <v>36</v>
      </c>
      <c r="C82" s="5">
        <v>4</v>
      </c>
      <c r="D82" s="5">
        <v>609</v>
      </c>
      <c r="E82" s="5">
        <v>347</v>
      </c>
      <c r="F82" s="5">
        <v>230</v>
      </c>
      <c r="G82" s="8">
        <v>0.4</v>
      </c>
      <c r="H82" s="5">
        <v>50</v>
      </c>
      <c r="I82" s="5" t="s">
        <v>37</v>
      </c>
      <c r="J82" s="5"/>
      <c r="K82" s="5">
        <v>411</v>
      </c>
      <c r="L82" s="5">
        <f t="shared" si="16"/>
        <v>-64</v>
      </c>
      <c r="M82" s="5"/>
      <c r="N82" s="5"/>
      <c r="O82" s="5">
        <v>98</v>
      </c>
      <c r="P82" s="5">
        <v>102</v>
      </c>
      <c r="Q82" s="5">
        <f t="shared" si="17"/>
        <v>69.400000000000006</v>
      </c>
      <c r="R82" s="4">
        <f t="shared" si="15"/>
        <v>541.60000000000014</v>
      </c>
      <c r="S82" s="4"/>
      <c r="T82" s="5"/>
      <c r="U82" s="5">
        <f t="shared" si="18"/>
        <v>14</v>
      </c>
      <c r="V82" s="5">
        <f t="shared" si="19"/>
        <v>6.195965417867435</v>
      </c>
      <c r="W82" s="5">
        <v>13.2</v>
      </c>
      <c r="X82" s="5">
        <v>131</v>
      </c>
      <c r="Y82" s="5">
        <v>46.2</v>
      </c>
      <c r="Z82" s="5">
        <v>69.400000000000006</v>
      </c>
      <c r="AA82" s="5">
        <v>53.6</v>
      </c>
      <c r="AB82" s="5">
        <v>10</v>
      </c>
      <c r="AC82" s="5">
        <v>39.799999999999997</v>
      </c>
      <c r="AD82" s="5">
        <v>4</v>
      </c>
      <c r="AE82" s="5"/>
      <c r="AF82" s="5">
        <f t="shared" si="14"/>
        <v>216.64000000000007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118</v>
      </c>
      <c r="B83" s="5" t="s">
        <v>36</v>
      </c>
      <c r="C83" s="5"/>
      <c r="D83" s="5">
        <v>14</v>
      </c>
      <c r="E83" s="5">
        <v>14</v>
      </c>
      <c r="F83" s="5"/>
      <c r="G83" s="8">
        <v>0.3</v>
      </c>
      <c r="H83" s="5">
        <v>50</v>
      </c>
      <c r="I83" s="5" t="s">
        <v>37</v>
      </c>
      <c r="J83" s="5"/>
      <c r="K83" s="5">
        <v>18</v>
      </c>
      <c r="L83" s="5">
        <f t="shared" si="16"/>
        <v>-4</v>
      </c>
      <c r="M83" s="5"/>
      <c r="N83" s="5"/>
      <c r="O83" s="5">
        <v>14</v>
      </c>
      <c r="P83" s="5"/>
      <c r="Q83" s="5">
        <f t="shared" si="17"/>
        <v>2.8</v>
      </c>
      <c r="R83" s="4">
        <f t="shared" si="15"/>
        <v>25.199999999999996</v>
      </c>
      <c r="S83" s="4"/>
      <c r="T83" s="5"/>
      <c r="U83" s="5">
        <f t="shared" si="18"/>
        <v>14</v>
      </c>
      <c r="V83" s="5">
        <f t="shared" si="19"/>
        <v>5</v>
      </c>
      <c r="W83" s="5">
        <v>0</v>
      </c>
      <c r="X83" s="5">
        <v>4</v>
      </c>
      <c r="Y83" s="5">
        <v>1.2</v>
      </c>
      <c r="Z83" s="5">
        <v>3.4</v>
      </c>
      <c r="AA83" s="5">
        <v>3.4</v>
      </c>
      <c r="AB83" s="5">
        <v>2</v>
      </c>
      <c r="AC83" s="5">
        <v>3.6</v>
      </c>
      <c r="AD83" s="5">
        <v>3.4</v>
      </c>
      <c r="AE83" s="5"/>
      <c r="AF83" s="5">
        <f t="shared" si="14"/>
        <v>7.5599999999999987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119</v>
      </c>
      <c r="B84" s="5" t="s">
        <v>36</v>
      </c>
      <c r="C84" s="5">
        <v>4</v>
      </c>
      <c r="D84" s="5">
        <v>30</v>
      </c>
      <c r="E84" s="5">
        <v>25</v>
      </c>
      <c r="F84" s="5">
        <v>4</v>
      </c>
      <c r="G84" s="8">
        <v>0.33</v>
      </c>
      <c r="H84" s="5">
        <v>30</v>
      </c>
      <c r="I84" s="5" t="s">
        <v>37</v>
      </c>
      <c r="J84" s="5"/>
      <c r="K84" s="5">
        <v>28</v>
      </c>
      <c r="L84" s="5">
        <f t="shared" si="16"/>
        <v>-3</v>
      </c>
      <c r="M84" s="5"/>
      <c r="N84" s="5"/>
      <c r="O84" s="5">
        <v>50</v>
      </c>
      <c r="P84" s="5"/>
      <c r="Q84" s="5">
        <f t="shared" si="17"/>
        <v>5</v>
      </c>
      <c r="R84" s="4">
        <f t="shared" si="15"/>
        <v>16</v>
      </c>
      <c r="S84" s="4"/>
      <c r="T84" s="5"/>
      <c r="U84" s="5">
        <f t="shared" si="18"/>
        <v>14</v>
      </c>
      <c r="V84" s="5">
        <f t="shared" si="19"/>
        <v>10.8</v>
      </c>
      <c r="W84" s="5">
        <v>1.6</v>
      </c>
      <c r="X84" s="5">
        <v>5.8</v>
      </c>
      <c r="Y84" s="5">
        <v>4.4000000000000004</v>
      </c>
      <c r="Z84" s="5">
        <v>1.8</v>
      </c>
      <c r="AA84" s="5">
        <v>6.4</v>
      </c>
      <c r="AB84" s="5">
        <v>3.8</v>
      </c>
      <c r="AC84" s="5">
        <v>5.8</v>
      </c>
      <c r="AD84" s="5">
        <v>6.4</v>
      </c>
      <c r="AE84" s="5"/>
      <c r="AF84" s="5">
        <f t="shared" si="14"/>
        <v>5.28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13" t="s">
        <v>120</v>
      </c>
      <c r="B85" s="13" t="s">
        <v>39</v>
      </c>
      <c r="C85" s="13"/>
      <c r="D85" s="13"/>
      <c r="E85" s="13"/>
      <c r="F85" s="13"/>
      <c r="G85" s="14">
        <v>0</v>
      </c>
      <c r="H85" s="13">
        <v>30</v>
      </c>
      <c r="I85" s="13" t="s">
        <v>37</v>
      </c>
      <c r="J85" s="13"/>
      <c r="K85" s="13"/>
      <c r="L85" s="13">
        <f t="shared" si="16"/>
        <v>0</v>
      </c>
      <c r="M85" s="13"/>
      <c r="N85" s="13"/>
      <c r="O85" s="13">
        <v>0</v>
      </c>
      <c r="P85" s="13"/>
      <c r="Q85" s="13">
        <f t="shared" si="17"/>
        <v>0</v>
      </c>
      <c r="R85" s="15"/>
      <c r="S85" s="15"/>
      <c r="T85" s="13"/>
      <c r="U85" s="13" t="e">
        <f t="shared" si="18"/>
        <v>#DIV/0!</v>
      </c>
      <c r="V85" s="13" t="e">
        <f t="shared" si="19"/>
        <v>#DIV/0!</v>
      </c>
      <c r="W85" s="13">
        <v>0</v>
      </c>
      <c r="X85" s="13">
        <v>0</v>
      </c>
      <c r="Y85" s="13">
        <v>-0.18579999999999999</v>
      </c>
      <c r="Z85" s="13">
        <v>0</v>
      </c>
      <c r="AA85" s="13">
        <v>-0.37119999999999997</v>
      </c>
      <c r="AB85" s="13">
        <v>0.18579999999999999</v>
      </c>
      <c r="AC85" s="13">
        <v>1.0793999999999999</v>
      </c>
      <c r="AD85" s="13">
        <v>0.81980000000000008</v>
      </c>
      <c r="AE85" s="13" t="s">
        <v>121</v>
      </c>
      <c r="AF85" s="13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122</v>
      </c>
      <c r="B86" s="5" t="s">
        <v>36</v>
      </c>
      <c r="C86" s="5">
        <v>32</v>
      </c>
      <c r="D86" s="5">
        <v>112</v>
      </c>
      <c r="E86" s="5">
        <v>92</v>
      </c>
      <c r="F86" s="5">
        <v>51</v>
      </c>
      <c r="G86" s="8">
        <v>0.28000000000000003</v>
      </c>
      <c r="H86" s="5">
        <v>50</v>
      </c>
      <c r="I86" s="5" t="s">
        <v>37</v>
      </c>
      <c r="J86" s="5"/>
      <c r="K86" s="5">
        <v>91</v>
      </c>
      <c r="L86" s="5">
        <f t="shared" si="16"/>
        <v>1</v>
      </c>
      <c r="M86" s="5"/>
      <c r="N86" s="5"/>
      <c r="O86" s="5">
        <v>49</v>
      </c>
      <c r="P86" s="5">
        <v>51</v>
      </c>
      <c r="Q86" s="5">
        <f t="shared" si="17"/>
        <v>18.399999999999999</v>
      </c>
      <c r="R86" s="4">
        <f t="shared" ref="R86:R87" si="20">14*Q86-P86-O86-F86</f>
        <v>106.59999999999997</v>
      </c>
      <c r="S86" s="4"/>
      <c r="T86" s="5"/>
      <c r="U86" s="5">
        <f t="shared" si="18"/>
        <v>14</v>
      </c>
      <c r="V86" s="5">
        <f t="shared" si="19"/>
        <v>8.2065217391304355</v>
      </c>
      <c r="W86" s="5">
        <v>8.6</v>
      </c>
      <c r="X86" s="5">
        <v>27.6</v>
      </c>
      <c r="Y86" s="5">
        <v>17</v>
      </c>
      <c r="Z86" s="5">
        <v>5.4</v>
      </c>
      <c r="AA86" s="5">
        <v>10.4</v>
      </c>
      <c r="AB86" s="5">
        <v>8.4</v>
      </c>
      <c r="AC86" s="5">
        <v>0.4</v>
      </c>
      <c r="AD86" s="5">
        <v>2.6</v>
      </c>
      <c r="AE86" s="5"/>
      <c r="AF86" s="5">
        <f>G86*R86</f>
        <v>29.847999999999992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123</v>
      </c>
      <c r="B87" s="5" t="s">
        <v>36</v>
      </c>
      <c r="C87" s="5">
        <v>59</v>
      </c>
      <c r="D87" s="5">
        <v>1</v>
      </c>
      <c r="E87" s="5">
        <v>55</v>
      </c>
      <c r="F87" s="5">
        <v>5</v>
      </c>
      <c r="G87" s="8">
        <v>0.28000000000000003</v>
      </c>
      <c r="H87" s="5">
        <v>50</v>
      </c>
      <c r="I87" s="5" t="s">
        <v>37</v>
      </c>
      <c r="J87" s="5"/>
      <c r="K87" s="5">
        <v>57</v>
      </c>
      <c r="L87" s="5">
        <f t="shared" si="16"/>
        <v>-2</v>
      </c>
      <c r="M87" s="5"/>
      <c r="N87" s="5"/>
      <c r="O87" s="5">
        <v>43</v>
      </c>
      <c r="P87" s="5">
        <v>44</v>
      </c>
      <c r="Q87" s="5">
        <f t="shared" si="17"/>
        <v>11</v>
      </c>
      <c r="R87" s="4">
        <f t="shared" si="20"/>
        <v>62</v>
      </c>
      <c r="S87" s="4"/>
      <c r="T87" s="5"/>
      <c r="U87" s="5">
        <f t="shared" si="18"/>
        <v>14</v>
      </c>
      <c r="V87" s="5">
        <f t="shared" si="19"/>
        <v>8.3636363636363633</v>
      </c>
      <c r="W87" s="5">
        <v>10.199999999999999</v>
      </c>
      <c r="X87" s="5">
        <v>5.2</v>
      </c>
      <c r="Y87" s="5">
        <v>14</v>
      </c>
      <c r="Z87" s="5">
        <v>2.6</v>
      </c>
      <c r="AA87" s="5">
        <v>6.2</v>
      </c>
      <c r="AB87" s="5">
        <v>13</v>
      </c>
      <c r="AC87" s="5">
        <v>0</v>
      </c>
      <c r="AD87" s="5">
        <v>2.4</v>
      </c>
      <c r="AE87" s="5"/>
      <c r="AF87" s="5">
        <f>G87*R87</f>
        <v>17.360000000000003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17" t="s">
        <v>124</v>
      </c>
      <c r="B88" s="5" t="s">
        <v>36</v>
      </c>
      <c r="C88" s="5"/>
      <c r="D88" s="5"/>
      <c r="E88" s="5"/>
      <c r="F88" s="5"/>
      <c r="G88" s="8">
        <v>0.4</v>
      </c>
      <c r="H88" s="5">
        <v>60</v>
      </c>
      <c r="I88" s="5" t="s">
        <v>37</v>
      </c>
      <c r="J88" s="5"/>
      <c r="K88" s="5">
        <v>2</v>
      </c>
      <c r="L88" s="5">
        <f t="shared" si="16"/>
        <v>-2</v>
      </c>
      <c r="M88" s="5"/>
      <c r="N88" s="5"/>
      <c r="O88" s="5">
        <v>29</v>
      </c>
      <c r="P88" s="5"/>
      <c r="Q88" s="5">
        <f t="shared" si="17"/>
        <v>0</v>
      </c>
      <c r="R88" s="4">
        <v>10</v>
      </c>
      <c r="S88" s="4"/>
      <c r="T88" s="5"/>
      <c r="U88" s="5" t="e">
        <f t="shared" si="18"/>
        <v>#DIV/0!</v>
      </c>
      <c r="V88" s="5" t="e">
        <f t="shared" si="19"/>
        <v>#DIV/0!</v>
      </c>
      <c r="W88" s="5">
        <v>3.2</v>
      </c>
      <c r="X88" s="5">
        <v>2</v>
      </c>
      <c r="Y88" s="5">
        <v>4.4000000000000004</v>
      </c>
      <c r="Z88" s="5">
        <v>1.2</v>
      </c>
      <c r="AA88" s="5">
        <v>1.6</v>
      </c>
      <c r="AB88" s="5">
        <v>0</v>
      </c>
      <c r="AC88" s="5">
        <v>2.2000000000000002</v>
      </c>
      <c r="AD88" s="5">
        <v>2.4</v>
      </c>
      <c r="AE88" s="5"/>
      <c r="AF88" s="5">
        <f>G88*R88</f>
        <v>4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125</v>
      </c>
      <c r="B89" s="5" t="s">
        <v>36</v>
      </c>
      <c r="C89" s="5"/>
      <c r="D89" s="5">
        <v>594</v>
      </c>
      <c r="E89" s="5">
        <v>118</v>
      </c>
      <c r="F89" s="5">
        <v>469</v>
      </c>
      <c r="G89" s="8">
        <v>0.12</v>
      </c>
      <c r="H89" s="5">
        <v>60</v>
      </c>
      <c r="I89" s="5" t="s">
        <v>37</v>
      </c>
      <c r="J89" s="5"/>
      <c r="K89" s="5">
        <v>148</v>
      </c>
      <c r="L89" s="5">
        <f t="shared" si="16"/>
        <v>-30</v>
      </c>
      <c r="M89" s="5"/>
      <c r="N89" s="5"/>
      <c r="O89" s="5">
        <v>147</v>
      </c>
      <c r="P89" s="5">
        <v>153</v>
      </c>
      <c r="Q89" s="5">
        <f t="shared" si="17"/>
        <v>23.6</v>
      </c>
      <c r="R89" s="4"/>
      <c r="S89" s="4"/>
      <c r="T89" s="5"/>
      <c r="U89" s="5">
        <f t="shared" si="18"/>
        <v>32.584745762711862</v>
      </c>
      <c r="V89" s="5">
        <f t="shared" si="19"/>
        <v>32.584745762711862</v>
      </c>
      <c r="W89" s="5">
        <v>26.8</v>
      </c>
      <c r="X89" s="5">
        <v>78</v>
      </c>
      <c r="Y89" s="5">
        <v>42.2</v>
      </c>
      <c r="Z89" s="5">
        <v>12.8</v>
      </c>
      <c r="AA89" s="5">
        <v>45.2</v>
      </c>
      <c r="AB89" s="5">
        <v>0</v>
      </c>
      <c r="AC89" s="5">
        <v>0</v>
      </c>
      <c r="AD89" s="5">
        <v>0</v>
      </c>
      <c r="AE89" s="5" t="s">
        <v>126</v>
      </c>
      <c r="AF89" s="5">
        <f>G89*R89</f>
        <v>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17" t="s">
        <v>127</v>
      </c>
      <c r="B90" s="5" t="s">
        <v>36</v>
      </c>
      <c r="C90" s="5"/>
      <c r="D90" s="5"/>
      <c r="E90" s="5"/>
      <c r="F90" s="5"/>
      <c r="G90" s="8">
        <v>0.1</v>
      </c>
      <c r="H90" s="5">
        <v>60</v>
      </c>
      <c r="I90" s="5" t="s">
        <v>37</v>
      </c>
      <c r="J90" s="5"/>
      <c r="K90" s="5"/>
      <c r="L90" s="5">
        <f t="shared" si="16"/>
        <v>0</v>
      </c>
      <c r="M90" s="5"/>
      <c r="N90" s="5"/>
      <c r="O90" s="5">
        <v>49</v>
      </c>
      <c r="P90" s="5">
        <v>51</v>
      </c>
      <c r="Q90" s="5">
        <f t="shared" si="17"/>
        <v>0</v>
      </c>
      <c r="R90" s="4"/>
      <c r="S90" s="4"/>
      <c r="T90" s="5"/>
      <c r="U90" s="5" t="e">
        <f t="shared" si="18"/>
        <v>#DIV/0!</v>
      </c>
      <c r="V90" s="5" t="e">
        <f t="shared" si="19"/>
        <v>#DIV/0!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 t="s">
        <v>128</v>
      </c>
      <c r="AF90" s="5">
        <f>G90*R90</f>
        <v>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13" t="s">
        <v>129</v>
      </c>
      <c r="B91" s="13" t="s">
        <v>36</v>
      </c>
      <c r="C91" s="13"/>
      <c r="D91" s="13">
        <v>29</v>
      </c>
      <c r="E91" s="13"/>
      <c r="F91" s="16">
        <v>29</v>
      </c>
      <c r="G91" s="14">
        <v>0</v>
      </c>
      <c r="H91" s="13" t="e">
        <v>#N/A</v>
      </c>
      <c r="I91" s="13" t="s">
        <v>130</v>
      </c>
      <c r="J91" s="13" t="s">
        <v>96</v>
      </c>
      <c r="K91" s="13">
        <v>3</v>
      </c>
      <c r="L91" s="13">
        <f t="shared" si="16"/>
        <v>-3</v>
      </c>
      <c r="M91" s="13"/>
      <c r="N91" s="13"/>
      <c r="O91" s="13"/>
      <c r="P91" s="13"/>
      <c r="Q91" s="13">
        <f t="shared" si="17"/>
        <v>0</v>
      </c>
      <c r="R91" s="15"/>
      <c r="S91" s="15"/>
      <c r="T91" s="13"/>
      <c r="U91" s="13" t="e">
        <f t="shared" si="18"/>
        <v>#DIV/0!</v>
      </c>
      <c r="V91" s="13" t="e">
        <f t="shared" si="19"/>
        <v>#DIV/0!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/>
      <c r="AF91" s="13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13" t="s">
        <v>131</v>
      </c>
      <c r="B92" s="13" t="s">
        <v>39</v>
      </c>
      <c r="C92" s="13"/>
      <c r="D92" s="13">
        <v>43.906999999999996</v>
      </c>
      <c r="E92" s="16">
        <v>13.5</v>
      </c>
      <c r="F92" s="16">
        <v>30.407</v>
      </c>
      <c r="G92" s="14">
        <v>0</v>
      </c>
      <c r="H92" s="13" t="e">
        <v>#N/A</v>
      </c>
      <c r="I92" s="13" t="s">
        <v>130</v>
      </c>
      <c r="J92" s="13" t="s">
        <v>97</v>
      </c>
      <c r="K92" s="13">
        <v>13.5</v>
      </c>
      <c r="L92" s="13">
        <f t="shared" si="16"/>
        <v>0</v>
      </c>
      <c r="M92" s="13"/>
      <c r="N92" s="13"/>
      <c r="O92" s="13">
        <v>0</v>
      </c>
      <c r="P92" s="13"/>
      <c r="Q92" s="13">
        <f t="shared" si="17"/>
        <v>2.7</v>
      </c>
      <c r="R92" s="15"/>
      <c r="S92" s="15"/>
      <c r="T92" s="13"/>
      <c r="U92" s="13">
        <f t="shared" si="18"/>
        <v>11.261851851851851</v>
      </c>
      <c r="V92" s="13">
        <f t="shared" si="19"/>
        <v>11.261851851851851</v>
      </c>
      <c r="W92" s="13">
        <v>2.7572000000000001</v>
      </c>
      <c r="X92" s="13">
        <v>4.9426000000000014</v>
      </c>
      <c r="Y92" s="13">
        <v>7.7907999999999999</v>
      </c>
      <c r="Z92" s="13">
        <v>9.1110000000000007</v>
      </c>
      <c r="AA92" s="13">
        <v>13.449400000000001</v>
      </c>
      <c r="AB92" s="13">
        <v>3.4453999999999998</v>
      </c>
      <c r="AC92" s="13">
        <v>10.6098</v>
      </c>
      <c r="AD92" s="13">
        <v>6.5174000000000003</v>
      </c>
      <c r="AE92" s="13"/>
      <c r="AF92" s="13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18" t="s">
        <v>132</v>
      </c>
      <c r="B93" s="18" t="s">
        <v>39</v>
      </c>
      <c r="C93" s="18"/>
      <c r="D93" s="18"/>
      <c r="E93" s="18"/>
      <c r="F93" s="18"/>
      <c r="G93" s="19">
        <v>1</v>
      </c>
      <c r="H93" s="18">
        <v>60</v>
      </c>
      <c r="I93" s="18" t="s">
        <v>37</v>
      </c>
      <c r="J93" s="18"/>
      <c r="K93" s="18"/>
      <c r="L93" s="18">
        <f t="shared" si="16"/>
        <v>0</v>
      </c>
      <c r="M93" s="18"/>
      <c r="N93" s="18"/>
      <c r="O93" s="18">
        <v>0</v>
      </c>
      <c r="P93" s="18"/>
      <c r="Q93" s="18">
        <f t="shared" si="17"/>
        <v>0</v>
      </c>
      <c r="R93" s="20"/>
      <c r="S93" s="20"/>
      <c r="T93" s="18"/>
      <c r="U93" s="18" t="e">
        <f t="shared" si="18"/>
        <v>#DIV/0!</v>
      </c>
      <c r="V93" s="18" t="e">
        <f t="shared" si="19"/>
        <v>#DIV/0!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 t="s">
        <v>133</v>
      </c>
      <c r="AF93" s="18">
        <f>G93*R93</f>
        <v>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10" t="s">
        <v>134</v>
      </c>
      <c r="B94" s="10" t="s">
        <v>36</v>
      </c>
      <c r="C94" s="10">
        <v>1</v>
      </c>
      <c r="D94" s="10"/>
      <c r="E94" s="10"/>
      <c r="F94" s="10"/>
      <c r="G94" s="11">
        <v>0</v>
      </c>
      <c r="H94" s="10" t="e">
        <v>#N/A</v>
      </c>
      <c r="I94" s="10" t="s">
        <v>67</v>
      </c>
      <c r="J94" s="10"/>
      <c r="K94" s="10">
        <v>3</v>
      </c>
      <c r="L94" s="10">
        <f t="shared" si="16"/>
        <v>-3</v>
      </c>
      <c r="M94" s="10"/>
      <c r="N94" s="10"/>
      <c r="O94" s="10">
        <v>0</v>
      </c>
      <c r="P94" s="10"/>
      <c r="Q94" s="10">
        <f t="shared" si="17"/>
        <v>0</v>
      </c>
      <c r="R94" s="12"/>
      <c r="S94" s="12"/>
      <c r="T94" s="10"/>
      <c r="U94" s="10" t="e">
        <f t="shared" si="18"/>
        <v>#DIV/0!</v>
      </c>
      <c r="V94" s="10" t="e">
        <f t="shared" si="19"/>
        <v>#DIV/0!</v>
      </c>
      <c r="W94" s="10">
        <v>6.6</v>
      </c>
      <c r="X94" s="10">
        <v>9.1999999999999993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135</v>
      </c>
      <c r="AF94" s="10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F9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2026-01-20T13:03:40Z</dcterms:created>
  <dcterms:modified xsi:type="dcterms:W3CDTF">2026-01-20T13:22:24Z</dcterms:modified>
</cp:coreProperties>
</file>