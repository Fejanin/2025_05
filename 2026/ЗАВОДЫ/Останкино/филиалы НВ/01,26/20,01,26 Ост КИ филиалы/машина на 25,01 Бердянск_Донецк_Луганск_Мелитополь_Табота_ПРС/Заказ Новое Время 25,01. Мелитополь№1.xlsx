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D3071CBF-BC22-4C83-9F2E-52EB97D331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3" i="1" s="1"/>
  <c r="A11" i="1"/>
  <c r="F3" i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<sst xmlns="http://schemas.openxmlformats.org/spreadsheetml/2006/main" count="259" uniqueCount="147">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</sst>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45682</v>
      </c>
      <c r="E3" s="7" t="s">
        <v>3</v>
      </c>
      <c r="F3" s="83">
        <f>D3+3</f>
        <v>45685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>
        <v>40</v>
      </c>
      <c r="F11" s="23">
        <v>0.84</v>
      </c>
      <c r="G11" s="23">
        <f>E11*F11</f>
        <v>33.6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150</v>
      </c>
      <c r="F12" s="23">
        <v>1.3340000000000001</v>
      </c>
      <c r="G12" s="23">
        <f>E12</f>
        <v>150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6</v>
      </c>
      <c r="F15" s="23">
        <v>1.35</v>
      </c>
      <c r="G15" s="23">
        <f>E15</f>
        <v>6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159</v>
      </c>
      <c r="F22" s="23">
        <v>1.35</v>
      </c>
      <c r="G22" s="23">
        <f>E22</f>
        <v>159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159</v>
      </c>
      <c r="F23" s="23">
        <v>0.4</v>
      </c>
      <c r="G23" s="23">
        <f>E23*F23</f>
        <v>63.6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98</v>
      </c>
      <c r="F24" s="23">
        <v>1.3540000000000001</v>
      </c>
      <c r="G24" s="23">
        <f>E24</f>
        <v>98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10</v>
      </c>
      <c r="F26" s="23">
        <v>0.4</v>
      </c>
      <c r="G26" s="23">
        <f>E26*F26</f>
        <v>4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>
        <v>60</v>
      </c>
      <c r="F27" s="23">
        <v>0.4</v>
      </c>
      <c r="G27" s="23">
        <f>E27*F27</f>
        <v>24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8</v>
      </c>
      <c r="F28" s="23">
        <v>0.3</v>
      </c>
      <c r="G28" s="23">
        <f>E28*F28</f>
        <v>2.4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101</v>
      </c>
      <c r="F29" s="23">
        <v>0.4</v>
      </c>
      <c r="G29" s="23">
        <f>E29*F29</f>
        <v>40.400000000000006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100</v>
      </c>
      <c r="F34" s="23">
        <v>0.4</v>
      </c>
      <c r="G34" s="23">
        <f>E34*F34</f>
        <v>40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7255</v>
      </c>
      <c r="B36" s="64" t="s">
        <v>49</v>
      </c>
      <c r="C36" s="65" t="s">
        <v>32</v>
      </c>
      <c r="D36" s="66">
        <v>1001025507255</v>
      </c>
      <c r="E36" s="24">
        <v>147</v>
      </c>
      <c r="F36" s="67">
        <v>0.4</v>
      </c>
      <c r="G36" s="23">
        <f>E36*F36</f>
        <v>58.800000000000004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51</v>
      </c>
      <c r="C38" s="54" t="s">
        <v>23</v>
      </c>
      <c r="D38" s="55">
        <v>1001022726303</v>
      </c>
      <c r="E38" s="24">
        <v>100</v>
      </c>
      <c r="F38" s="23">
        <v>1.05</v>
      </c>
      <c r="G38" s="23">
        <f>E38</f>
        <v>100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52</v>
      </c>
      <c r="C39" s="73" t="s">
        <v>21</v>
      </c>
      <c r="D39" s="74">
        <v>1001022725819</v>
      </c>
      <c r="E39" s="24">
        <v>150</v>
      </c>
      <c r="F39" s="23">
        <v>0.4</v>
      </c>
      <c r="G39" s="23">
        <f t="shared" ref="G39:G44" si="2">E39*F39</f>
        <v>60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6765</v>
      </c>
      <c r="B42" s="36" t="s">
        <v>55</v>
      </c>
      <c r="C42" s="73" t="s">
        <v>21</v>
      </c>
      <c r="D42" s="74">
        <v>1001023696765</v>
      </c>
      <c r="E42" s="24">
        <v>101</v>
      </c>
      <c r="F42" s="23">
        <v>0.36</v>
      </c>
      <c r="G42" s="23">
        <f t="shared" si="2"/>
        <v>36.36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1"/>
        <v>6616</v>
      </c>
      <c r="B44" s="36" t="s">
        <v>57</v>
      </c>
      <c r="C44" s="73" t="s">
        <v>21</v>
      </c>
      <c r="D44" s="74">
        <v>1001024976616</v>
      </c>
      <c r="E44" s="24">
        <v>98</v>
      </c>
      <c r="F44" s="23">
        <v>0.3</v>
      </c>
      <c r="G44" s="23">
        <f t="shared" si="2"/>
        <v>29.4</v>
      </c>
      <c r="H44" s="14"/>
      <c r="I44" s="14"/>
      <c r="J44" s="29"/>
      <c r="K44" s="27"/>
    </row>
    <row r="45" spans="1:11" ht="16.5" customHeight="1" x14ac:dyDescent="0.25">
      <c r="A45" s="60" t="str">
        <f t="shared" si="1"/>
        <v>7082</v>
      </c>
      <c r="B45" s="35" t="s">
        <v>58</v>
      </c>
      <c r="C45" s="73" t="s">
        <v>23</v>
      </c>
      <c r="D45" s="74">
        <v>1001022467082</v>
      </c>
      <c r="E45" s="24">
        <v>50</v>
      </c>
      <c r="F45" s="23">
        <v>2.125</v>
      </c>
      <c r="G45" s="23">
        <f>E45</f>
        <v>50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1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1"/>
        <v>7070</v>
      </c>
      <c r="B47" s="35" t="s">
        <v>60</v>
      </c>
      <c r="C47" s="73" t="s">
        <v>23</v>
      </c>
      <c r="D47" s="74">
        <v>1001022377070</v>
      </c>
      <c r="E47" s="24">
        <v>49</v>
      </c>
      <c r="F47" s="23"/>
      <c r="G47" s="23">
        <f>E47</f>
        <v>49</v>
      </c>
      <c r="H47" s="14"/>
      <c r="I47" s="14"/>
      <c r="J47" s="29"/>
    </row>
    <row r="48" spans="1:11" s="15" customFormat="1" ht="16.5" customHeight="1" x14ac:dyDescent="0.25">
      <c r="A48" s="60" t="str">
        <f t="shared" si="1"/>
        <v>6661</v>
      </c>
      <c r="B48" s="53" t="s">
        <v>61</v>
      </c>
      <c r="C48" s="54" t="s">
        <v>23</v>
      </c>
      <c r="D48" s="55">
        <v>1001022246661</v>
      </c>
      <c r="E48" s="24">
        <v>54</v>
      </c>
      <c r="F48" s="23">
        <v>1</v>
      </c>
      <c r="G48" s="23">
        <f>E48</f>
        <v>54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1"/>
        <v>6475</v>
      </c>
      <c r="B49" s="80" t="s">
        <v>62</v>
      </c>
      <c r="C49" s="73" t="s">
        <v>21</v>
      </c>
      <c r="D49" s="74">
        <v>1001025176475</v>
      </c>
      <c r="E49" s="24">
        <v>50</v>
      </c>
      <c r="F49" s="23">
        <v>0.4</v>
      </c>
      <c r="G49" s="23">
        <f>E49*F49</f>
        <v>20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1"/>
        <v>6713</v>
      </c>
      <c r="B50" s="57" t="s">
        <v>63</v>
      </c>
      <c r="C50" s="54" t="s">
        <v>21</v>
      </c>
      <c r="D50" s="55">
        <v>1001022246713</v>
      </c>
      <c r="E50" s="24">
        <v>40</v>
      </c>
      <c r="F50" s="23">
        <v>0.41</v>
      </c>
      <c r="G50" s="23">
        <f>E50*F50</f>
        <v>16.399999999999999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1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1"/>
        <v>7284</v>
      </c>
      <c r="B52" s="82" t="s">
        <v>65</v>
      </c>
      <c r="C52" s="73" t="s">
        <v>21</v>
      </c>
      <c r="D52" s="74">
        <v>1001025767284</v>
      </c>
      <c r="E52" s="24">
        <v>16</v>
      </c>
      <c r="F52" s="23">
        <v>0.33</v>
      </c>
      <c r="G52" s="23">
        <f>E52*F52</f>
        <v>5.28</v>
      </c>
      <c r="H52" s="14"/>
      <c r="I52" s="14"/>
      <c r="J52" s="29"/>
    </row>
    <row r="53" spans="1:11" ht="16.5" customHeight="1" x14ac:dyDescent="0.25">
      <c r="A53" s="60" t="str">
        <f t="shared" si="1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1"/>
        <v>6829</v>
      </c>
      <c r="B54" s="57" t="s">
        <v>67</v>
      </c>
      <c r="C54" s="54" t="s">
        <v>23</v>
      </c>
      <c r="D54" s="55">
        <v>1001024976829</v>
      </c>
      <c r="E54" s="24">
        <v>100</v>
      </c>
      <c r="F54" s="23">
        <v>1.0249999999999999</v>
      </c>
      <c r="G54" s="23">
        <f>E54</f>
        <v>100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1"/>
        <v>7075</v>
      </c>
      <c r="B55" s="82" t="s">
        <v>68</v>
      </c>
      <c r="C55" s="73" t="s">
        <v>23</v>
      </c>
      <c r="D55" s="74">
        <v>1001022657075</v>
      </c>
      <c r="E55" s="24">
        <v>50</v>
      </c>
      <c r="F55" s="23"/>
      <c r="G55" s="23">
        <f>E55</f>
        <v>50</v>
      </c>
      <c r="H55" s="14"/>
      <c r="I55" s="14"/>
      <c r="J55" s="29"/>
    </row>
    <row r="56" spans="1:11" ht="16.5" customHeight="1" x14ac:dyDescent="0.25">
      <c r="A56" s="60" t="str">
        <f t="shared" si="1"/>
        <v>7073</v>
      </c>
      <c r="B56" s="82" t="s">
        <v>69</v>
      </c>
      <c r="C56" s="73" t="s">
        <v>21</v>
      </c>
      <c r="D56" s="74">
        <v>1001022657073</v>
      </c>
      <c r="E56" s="24">
        <v>50</v>
      </c>
      <c r="F56" s="23">
        <v>0.35</v>
      </c>
      <c r="G56" s="23">
        <f>E56*F56</f>
        <v>17.5</v>
      </c>
      <c r="H56" s="14"/>
      <c r="I56" s="14"/>
      <c r="J56" s="29"/>
    </row>
    <row r="57" spans="1:11" ht="16.5" customHeight="1" x14ac:dyDescent="0.25">
      <c r="A57" s="60" t="str">
        <f t="shared" si="1"/>
        <v>6724</v>
      </c>
      <c r="B57" s="82" t="s">
        <v>70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1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ref="A59:A90" si="3">RIGHT(D59,4)</f>
        <v>7080</v>
      </c>
      <c r="B59" s="57" t="s">
        <v>72</v>
      </c>
      <c r="C59" s="54" t="s">
        <v>21</v>
      </c>
      <c r="D59" s="55">
        <v>1001022467080</v>
      </c>
      <c r="E59" s="24">
        <v>183</v>
      </c>
      <c r="F59" s="23">
        <v>0.41</v>
      </c>
      <c r="G59" s="23">
        <f>E59*F59</f>
        <v>75.03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73</v>
      </c>
      <c r="C60" s="54" t="s">
        <v>21</v>
      </c>
      <c r="D60" s="55">
        <v>1001022467276</v>
      </c>
      <c r="E60" s="24">
        <v>25</v>
      </c>
      <c r="F60" s="23">
        <v>0.3</v>
      </c>
      <c r="G60" s="23">
        <f>E60*F60</f>
        <v>7.5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74</v>
      </c>
      <c r="C61" s="54" t="s">
        <v>21</v>
      </c>
      <c r="D61" s="55">
        <v>1001022377066</v>
      </c>
      <c r="E61" s="24">
        <v>61</v>
      </c>
      <c r="F61" s="23">
        <v>0.41</v>
      </c>
      <c r="G61" s="23">
        <f>E61*F61</f>
        <v>25.009999999999998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78</v>
      </c>
      <c r="C65" s="73" t="s">
        <v>23</v>
      </c>
      <c r="D65" s="74">
        <v>1001032736550</v>
      </c>
      <c r="E65" s="24">
        <v>150</v>
      </c>
      <c r="F65" s="23">
        <v>1</v>
      </c>
      <c r="G65" s="23">
        <f>E65</f>
        <v>150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79</v>
      </c>
      <c r="C66" s="73" t="s">
        <v>23</v>
      </c>
      <c r="D66" s="74">
        <v>1001033856608</v>
      </c>
      <c r="E66" s="24">
        <v>50</v>
      </c>
      <c r="F66" s="23">
        <v>0.99</v>
      </c>
      <c r="G66" s="23">
        <f>E66</f>
        <v>50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82</v>
      </c>
      <c r="C69" s="73" t="s">
        <v>21</v>
      </c>
      <c r="D69" s="74">
        <v>1001214196459</v>
      </c>
      <c r="E69" s="24">
        <v>50</v>
      </c>
      <c r="F69" s="23">
        <v>0.1</v>
      </c>
      <c r="G69" s="23">
        <f t="shared" si="4"/>
        <v>5</v>
      </c>
      <c r="H69" s="14"/>
      <c r="I69" s="14"/>
      <c r="J69" s="29"/>
    </row>
    <row r="70" spans="1:10" ht="16.5" customHeight="1" x14ac:dyDescent="0.25">
      <c r="A70" s="60" t="str">
        <f t="shared" si="3"/>
        <v>7232</v>
      </c>
      <c r="B70" s="51" t="s">
        <v>83</v>
      </c>
      <c r="C70" s="73" t="s">
        <v>21</v>
      </c>
      <c r="D70" s="74">
        <v>1001302277232</v>
      </c>
      <c r="E70" s="24">
        <v>162</v>
      </c>
      <c r="F70" s="23">
        <v>0.28000000000000003</v>
      </c>
      <c r="G70" s="23">
        <f t="shared" si="4"/>
        <v>45.360000000000007</v>
      </c>
      <c r="H70" s="14"/>
      <c r="I70" s="14">
        <v>50</v>
      </c>
      <c r="J70" s="29"/>
    </row>
    <row r="71" spans="1:10" ht="16.5" customHeight="1" x14ac:dyDescent="0.25">
      <c r="A71" s="60" t="str">
        <f t="shared" si="3"/>
        <v>7332</v>
      </c>
      <c r="B71" s="51" t="s">
        <v>84</v>
      </c>
      <c r="C71" s="73" t="s">
        <v>21</v>
      </c>
      <c r="D71" s="74">
        <v>1001301777332</v>
      </c>
      <c r="E71" s="24">
        <v>44</v>
      </c>
      <c r="F71" s="23">
        <v>0.28000000000000003</v>
      </c>
      <c r="G71" s="23">
        <f t="shared" si="4"/>
        <v>12.32</v>
      </c>
      <c r="H71" s="14"/>
      <c r="I71" s="14"/>
      <c r="J71" s="29"/>
    </row>
    <row r="72" spans="1:10" ht="16.5" customHeight="1" x14ac:dyDescent="0.25">
      <c r="A72" s="60" t="str">
        <f t="shared" si="3"/>
        <v>7241</v>
      </c>
      <c r="B72" s="51" t="s">
        <v>85</v>
      </c>
      <c r="C72" s="73" t="s">
        <v>21</v>
      </c>
      <c r="D72" s="74">
        <v>1001303107241</v>
      </c>
      <c r="E72" s="24">
        <v>49</v>
      </c>
      <c r="F72" s="23">
        <v>0.28000000000000003</v>
      </c>
      <c r="G72" s="23">
        <f t="shared" si="4"/>
        <v>13.72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3"/>
        <v>7154</v>
      </c>
      <c r="B73" s="51" t="s">
        <v>86</v>
      </c>
      <c r="C73" s="73" t="s">
        <v>21</v>
      </c>
      <c r="D73" s="74">
        <v>1001300387154</v>
      </c>
      <c r="E73" s="24">
        <v>244</v>
      </c>
      <c r="F73" s="23">
        <v>0.35</v>
      </c>
      <c r="G73" s="23">
        <f t="shared" si="4"/>
        <v>85.399999999999991</v>
      </c>
      <c r="H73" s="14"/>
      <c r="I73" s="14">
        <v>50</v>
      </c>
      <c r="J73" s="29"/>
    </row>
    <row r="74" spans="1:10" ht="16.5" customHeight="1" x14ac:dyDescent="0.25">
      <c r="A74" s="60" t="str">
        <f t="shared" si="3"/>
        <v>6787</v>
      </c>
      <c r="B74" s="53" t="s">
        <v>87</v>
      </c>
      <c r="C74" s="54" t="s">
        <v>21</v>
      </c>
      <c r="D74" s="55">
        <v>1001300456787</v>
      </c>
      <c r="E74" s="24">
        <v>80</v>
      </c>
      <c r="F74" s="75">
        <v>0.33</v>
      </c>
      <c r="G74" s="23">
        <f t="shared" si="4"/>
        <v>26.400000000000002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3"/>
        <v>6697</v>
      </c>
      <c r="B75" s="51" t="s">
        <v>88</v>
      </c>
      <c r="C75" s="73" t="s">
        <v>21</v>
      </c>
      <c r="D75" s="74">
        <v>1001301876697</v>
      </c>
      <c r="E75" s="24">
        <v>159</v>
      </c>
      <c r="F75" s="23">
        <v>0.35</v>
      </c>
      <c r="G75" s="23">
        <f t="shared" si="4"/>
        <v>55.65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3"/>
        <v>7237</v>
      </c>
      <c r="B76" s="51" t="s">
        <v>89</v>
      </c>
      <c r="C76" s="73" t="s">
        <v>21</v>
      </c>
      <c r="D76" s="74">
        <v>1001304497237</v>
      </c>
      <c r="E76" s="24">
        <v>100</v>
      </c>
      <c r="F76" s="23">
        <v>0.28000000000000003</v>
      </c>
      <c r="G76" s="23">
        <f t="shared" si="4"/>
        <v>28.000000000000004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7236</v>
      </c>
      <c r="B77" s="53" t="s">
        <v>90</v>
      </c>
      <c r="C77" s="54" t="s">
        <v>21</v>
      </c>
      <c r="D77" s="55">
        <v>1001304507236</v>
      </c>
      <c r="E77" s="24">
        <v>220</v>
      </c>
      <c r="F77" s="23">
        <v>0.28000000000000003</v>
      </c>
      <c r="G77" s="23">
        <f t="shared" si="4"/>
        <v>61.600000000000009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3"/>
        <v>7333</v>
      </c>
      <c r="B78" s="53" t="s">
        <v>91</v>
      </c>
      <c r="C78" s="54" t="s">
        <v>21</v>
      </c>
      <c r="D78" s="55">
        <v>1001303987333</v>
      </c>
      <c r="E78" s="24">
        <v>62</v>
      </c>
      <c r="F78" s="23">
        <v>0.28000000000000003</v>
      </c>
      <c r="G78" s="23">
        <f t="shared" si="4"/>
        <v>17.360000000000003</v>
      </c>
      <c r="H78" s="14"/>
      <c r="I78" s="14"/>
      <c r="J78" s="29"/>
    </row>
    <row r="79" spans="1:10" ht="16.5" customHeight="1" x14ac:dyDescent="0.25">
      <c r="A79" s="60" t="str">
        <f t="shared" si="3"/>
        <v>7169</v>
      </c>
      <c r="B79" s="58" t="s">
        <v>92</v>
      </c>
      <c r="C79" s="54" t="s">
        <v>32</v>
      </c>
      <c r="D79" s="55">
        <v>1001303987169</v>
      </c>
      <c r="E79" s="24">
        <v>150</v>
      </c>
      <c r="F79" s="23">
        <v>0.35</v>
      </c>
      <c r="G79" s="23">
        <f t="shared" si="4"/>
        <v>52.5</v>
      </c>
      <c r="H79" s="14"/>
      <c r="I79" s="14">
        <v>50</v>
      </c>
      <c r="J79" s="29"/>
    </row>
    <row r="80" spans="1:10" ht="16.5" customHeight="1" x14ac:dyDescent="0.25">
      <c r="A80" s="60" t="str">
        <f t="shared" si="3"/>
        <v>7166</v>
      </c>
      <c r="B80" s="45" t="s">
        <v>93</v>
      </c>
      <c r="C80" s="73" t="s">
        <v>23</v>
      </c>
      <c r="D80" s="74">
        <v>1001303987166</v>
      </c>
      <c r="E80" s="24">
        <v>110</v>
      </c>
      <c r="F80" s="23">
        <v>1</v>
      </c>
      <c r="G80" s="23">
        <f>E80</f>
        <v>110</v>
      </c>
      <c r="H80" s="14"/>
      <c r="I80" s="14">
        <v>50</v>
      </c>
      <c r="J80" s="29"/>
    </row>
    <row r="81" spans="1:11" ht="15.75" customHeight="1" x14ac:dyDescent="0.25">
      <c r="A81" s="60" t="str">
        <f t="shared" si="3"/>
        <v>5544</v>
      </c>
      <c r="B81" s="80" t="s">
        <v>94</v>
      </c>
      <c r="C81" s="73" t="s">
        <v>23</v>
      </c>
      <c r="D81" s="74">
        <v>1001051875544</v>
      </c>
      <c r="E81" s="24">
        <v>85</v>
      </c>
      <c r="F81" s="23">
        <v>0.83399999999999996</v>
      </c>
      <c r="G81" s="23">
        <f>E81</f>
        <v>85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3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6791</v>
      </c>
      <c r="B83" s="80" t="s">
        <v>96</v>
      </c>
      <c r="C83" s="73" t="s">
        <v>21</v>
      </c>
      <c r="D83" s="74">
        <v>1001304096791</v>
      </c>
      <c r="E83" s="24">
        <v>70</v>
      </c>
      <c r="F83" s="23">
        <v>0.33</v>
      </c>
      <c r="G83" s="23">
        <f>E83*F83</f>
        <v>23.1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3"/>
        <v>7157</v>
      </c>
      <c r="B85" s="80" t="s">
        <v>98</v>
      </c>
      <c r="C85" s="73" t="s">
        <v>23</v>
      </c>
      <c r="D85" s="74">
        <v>1001300387157</v>
      </c>
      <c r="E85" s="24">
        <v>98</v>
      </c>
      <c r="F85" s="23">
        <v>1</v>
      </c>
      <c r="G85" s="23">
        <f>E85</f>
        <v>98</v>
      </c>
      <c r="H85" s="14"/>
      <c r="I85" s="14"/>
      <c r="J85" s="72"/>
    </row>
    <row r="86" spans="1:11" ht="15.75" customHeight="1" x14ac:dyDescent="0.25">
      <c r="A86" s="60" t="str">
        <f t="shared" si="3"/>
        <v>6793</v>
      </c>
      <c r="B86" s="80" t="s">
        <v>99</v>
      </c>
      <c r="C86" s="73" t="s">
        <v>21</v>
      </c>
      <c r="D86" s="74">
        <v>1001303636793</v>
      </c>
      <c r="E86" s="24">
        <v>120</v>
      </c>
      <c r="F86" s="23">
        <v>0.33</v>
      </c>
      <c r="G86" s="23">
        <f>E86*F86</f>
        <v>39.6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7131</v>
      </c>
      <c r="B87" s="80" t="s">
        <v>100</v>
      </c>
      <c r="C87" s="73" t="s">
        <v>23</v>
      </c>
      <c r="D87" s="74">
        <v>1001303637131</v>
      </c>
      <c r="E87" s="24">
        <v>50</v>
      </c>
      <c r="F87" s="23">
        <v>1</v>
      </c>
      <c r="G87" s="23">
        <f>E87</f>
        <v>50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3"/>
        <v>7135</v>
      </c>
      <c r="B90" s="80" t="s">
        <v>103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ref="A91:A122" si="5">RIGHT(D91,4)</f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>
        <v>100</v>
      </c>
      <c r="F92" s="23">
        <v>0.33</v>
      </c>
      <c r="G92" s="23">
        <f>E92*F92</f>
        <v>33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150</v>
      </c>
      <c r="F94" s="67">
        <v>0.22</v>
      </c>
      <c r="G94" s="23">
        <f t="shared" ref="G94:G99" si="6">E94*F94</f>
        <v>33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50</v>
      </c>
      <c r="F95" s="75">
        <v>0.1</v>
      </c>
      <c r="G95" s="23">
        <f t="shared" si="6"/>
        <v>5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 t="shared" si="6"/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100</v>
      </c>
      <c r="F97" s="23">
        <v>0.1</v>
      </c>
      <c r="G97" s="23">
        <f t="shared" si="6"/>
        <v>10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111</v>
      </c>
      <c r="C98" s="73" t="s">
        <v>32</v>
      </c>
      <c r="D98" s="74">
        <v>1001223907288</v>
      </c>
      <c r="E98" s="24">
        <v>100</v>
      </c>
      <c r="F98" s="23">
        <v>0.1</v>
      </c>
      <c r="G98" s="23">
        <f t="shared" si="6"/>
        <v>10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112</v>
      </c>
      <c r="C99" s="73" t="s">
        <v>32</v>
      </c>
      <c r="D99" s="74">
        <v>1001061973986</v>
      </c>
      <c r="E99" s="24"/>
      <c r="F99" s="23">
        <v>0.25</v>
      </c>
      <c r="G99" s="23">
        <f t="shared" si="6"/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113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114</v>
      </c>
      <c r="C101" s="73" t="s">
        <v>23</v>
      </c>
      <c r="D101" s="74">
        <v>1001065616832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115</v>
      </c>
      <c r="C102" s="73" t="s">
        <v>23</v>
      </c>
      <c r="D102" s="74">
        <v>1001060677299</v>
      </c>
      <c r="E102" s="24"/>
      <c r="F102" s="23"/>
      <c r="G102" s="23">
        <f>E102</f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116</v>
      </c>
      <c r="C103" s="73" t="s">
        <v>32</v>
      </c>
      <c r="D103" s="74">
        <v>1001060764993</v>
      </c>
      <c r="E103" s="24"/>
      <c r="F103" s="23">
        <v>0.25</v>
      </c>
      <c r="G103" s="23">
        <f t="shared" ref="G103:G112" si="7">E103*F103</f>
        <v>0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117</v>
      </c>
      <c r="C104" s="73" t="s">
        <v>32</v>
      </c>
      <c r="D104" s="74">
        <v>1001063656967</v>
      </c>
      <c r="E104" s="24"/>
      <c r="F104" s="23">
        <v>0.25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7382</v>
      </c>
      <c r="B105" s="80" t="s">
        <v>118</v>
      </c>
      <c r="C105" s="73" t="s">
        <v>21</v>
      </c>
      <c r="D105" s="74">
        <v>1001203117382</v>
      </c>
      <c r="E105" s="24">
        <v>60</v>
      </c>
      <c r="F105" s="23">
        <v>0.12</v>
      </c>
      <c r="G105" s="23">
        <f t="shared" si="7"/>
        <v>7.1999999999999993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5"/>
        <v>7147</v>
      </c>
      <c r="B106" s="80" t="s">
        <v>119</v>
      </c>
      <c r="C106" s="73" t="s">
        <v>21</v>
      </c>
      <c r="D106" s="74">
        <v>1001063237147</v>
      </c>
      <c r="E106" s="24">
        <v>20</v>
      </c>
      <c r="F106" s="23">
        <v>0.22</v>
      </c>
      <c r="G106" s="23">
        <f t="shared" si="7"/>
        <v>4.4000000000000004</v>
      </c>
      <c r="H106" s="14"/>
      <c r="I106" s="14"/>
      <c r="J106" s="29"/>
    </row>
    <row r="107" spans="1:10" ht="16.5" customHeight="1" x14ac:dyDescent="0.25">
      <c r="A107" s="60" t="str">
        <f t="shared" si="5"/>
        <v>7229</v>
      </c>
      <c r="B107" s="80" t="s">
        <v>120</v>
      </c>
      <c r="C107" s="73" t="s">
        <v>21</v>
      </c>
      <c r="D107" s="74">
        <v>1001063237229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7150</v>
      </c>
      <c r="B108" s="80" t="s">
        <v>121</v>
      </c>
      <c r="C108" s="73" t="s">
        <v>23</v>
      </c>
      <c r="D108" s="74">
        <v>1001063237150</v>
      </c>
      <c r="E108" s="24"/>
      <c r="F108" s="23">
        <v>1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7227</v>
      </c>
      <c r="B109" s="80" t="s">
        <v>122</v>
      </c>
      <c r="C109" s="73" t="s">
        <v>21</v>
      </c>
      <c r="D109" s="74">
        <v>1001063097227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7225</v>
      </c>
      <c r="B110" s="80" t="s">
        <v>123</v>
      </c>
      <c r="C110" s="73" t="s">
        <v>21</v>
      </c>
      <c r="D110" s="74">
        <v>1001066537225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7228</v>
      </c>
      <c r="B111" s="80" t="s">
        <v>124</v>
      </c>
      <c r="C111" s="73" t="s">
        <v>21</v>
      </c>
      <c r="D111" s="74">
        <v>1001066547228</v>
      </c>
      <c r="E111" s="24"/>
      <c r="F111" s="23">
        <v>0.18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5"/>
        <v>6221</v>
      </c>
      <c r="B112" s="80" t="s">
        <v>125</v>
      </c>
      <c r="C112" s="73" t="s">
        <v>21</v>
      </c>
      <c r="D112" s="74">
        <v>1001205376221</v>
      </c>
      <c r="E112" s="24">
        <v>100</v>
      </c>
      <c r="F112" s="23">
        <v>0.09</v>
      </c>
      <c r="G112" s="23">
        <f t="shared" si="7"/>
        <v>9</v>
      </c>
      <c r="H112" s="14"/>
      <c r="I112" s="14"/>
      <c r="J112" s="29"/>
    </row>
    <row r="113" spans="1:10" ht="16.5" customHeight="1" x14ac:dyDescent="0.25">
      <c r="A113" s="60" t="str">
        <f t="shared" si="5"/>
        <v>4117</v>
      </c>
      <c r="B113" s="80" t="s">
        <v>126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5"/>
        <v>5483</v>
      </c>
      <c r="B114" s="80" t="s">
        <v>127</v>
      </c>
      <c r="C114" s="73" t="s">
        <v>21</v>
      </c>
      <c r="D114" s="74">
        <v>1001062505483</v>
      </c>
      <c r="E114" s="24">
        <v>110</v>
      </c>
      <c r="F114" s="23">
        <v>0.25</v>
      </c>
      <c r="G114" s="23">
        <f>E114*F114</f>
        <v>27.5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5"/>
        <v>6453</v>
      </c>
      <c r="B115" s="80" t="s">
        <v>128</v>
      </c>
      <c r="C115" s="73" t="s">
        <v>32</v>
      </c>
      <c r="D115" s="74">
        <v>1001202506453</v>
      </c>
      <c r="E115" s="24"/>
      <c r="F115" s="23">
        <v>0.1</v>
      </c>
      <c r="G115" s="23">
        <f>E115*F115</f>
        <v>0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5"/>
        <v>6228</v>
      </c>
      <c r="B116" s="80" t="s">
        <v>129</v>
      </c>
      <c r="C116" s="73" t="s">
        <v>32</v>
      </c>
      <c r="D116" s="74">
        <v>1001225416228</v>
      </c>
      <c r="E116" s="24"/>
      <c r="F116" s="23">
        <v>0.09</v>
      </c>
      <c r="G116" s="23">
        <f>E116*F116</f>
        <v>0</v>
      </c>
      <c r="H116" s="14"/>
      <c r="I116" s="14"/>
      <c r="J116" s="29"/>
    </row>
    <row r="117" spans="1:10" ht="16.5" customHeight="1" thickBot="1" x14ac:dyDescent="0.3">
      <c r="A117" s="60" t="str">
        <f t="shared" si="5"/>
        <v>3287</v>
      </c>
      <c r="B117" s="80" t="s">
        <v>130</v>
      </c>
      <c r="C117" s="73" t="s">
        <v>23</v>
      </c>
      <c r="D117" s="74">
        <v>1001060763287</v>
      </c>
      <c r="E117" s="24"/>
      <c r="F117" s="23">
        <v>0.51300000000000001</v>
      </c>
      <c r="G117" s="23">
        <f>E117</f>
        <v>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5"/>
        <v/>
      </c>
      <c r="B118" s="47" t="s">
        <v>131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5"/>
        <v>6866</v>
      </c>
      <c r="B119" s="77" t="s">
        <v>132</v>
      </c>
      <c r="C119" s="73" t="s">
        <v>37</v>
      </c>
      <c r="D119" s="79">
        <v>1001095716866</v>
      </c>
      <c r="E119" s="24">
        <v>100</v>
      </c>
      <c r="F119" s="23"/>
      <c r="G119" s="23">
        <f>E119</f>
        <v>100</v>
      </c>
      <c r="H119" s="14"/>
      <c r="I119" s="14"/>
      <c r="J119" s="29"/>
    </row>
    <row r="120" spans="1:10" ht="16.5" customHeight="1" x14ac:dyDescent="0.25">
      <c r="A120" s="60" t="str">
        <f t="shared" si="5"/>
        <v>3215</v>
      </c>
      <c r="B120" s="80" t="s">
        <v>133</v>
      </c>
      <c r="C120" s="73" t="s">
        <v>32</v>
      </c>
      <c r="D120" s="42">
        <v>1001094053215</v>
      </c>
      <c r="E120" s="24">
        <v>100</v>
      </c>
      <c r="F120" s="23">
        <v>0.4</v>
      </c>
      <c r="G120" s="23">
        <f>E120*F120</f>
        <v>40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5"/>
        <v>5452</v>
      </c>
      <c r="B121" s="51" t="s">
        <v>134</v>
      </c>
      <c r="C121" s="73" t="s">
        <v>23</v>
      </c>
      <c r="D121" s="42">
        <v>1001092485452</v>
      </c>
      <c r="E121" s="24">
        <v>100</v>
      </c>
      <c r="F121" s="23">
        <v>1.367</v>
      </c>
      <c r="G121" s="23">
        <f>E121</f>
        <v>100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5"/>
        <v>5495</v>
      </c>
      <c r="B122" s="51" t="s">
        <v>135</v>
      </c>
      <c r="C122" s="73" t="s">
        <v>21</v>
      </c>
      <c r="D122" s="42">
        <v>1001093345495</v>
      </c>
      <c r="E122" s="24">
        <v>73</v>
      </c>
      <c r="F122" s="23">
        <v>0.4</v>
      </c>
      <c r="G122" s="23">
        <f>E122*F122</f>
        <v>29.200000000000003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ref="A123:A132" si="8">RIGHT(D123,4)</f>
        <v>6495</v>
      </c>
      <c r="B123" s="51" t="s">
        <v>136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8"/>
        <v/>
      </c>
      <c r="B124" s="47" t="s">
        <v>137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8"/>
        <v>6448</v>
      </c>
      <c r="B125" s="37" t="s">
        <v>138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8"/>
        <v>6620</v>
      </c>
      <c r="B126" s="37" t="s">
        <v>139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6279</v>
      </c>
      <c r="B127" s="37" t="s">
        <v>140</v>
      </c>
      <c r="C127" s="73" t="s">
        <v>21</v>
      </c>
      <c r="D127" s="74">
        <v>1001220286279</v>
      </c>
      <c r="E127" s="24">
        <v>40</v>
      </c>
      <c r="F127" s="23">
        <v>0.15</v>
      </c>
      <c r="G127" s="23">
        <f>F127*E127</f>
        <v>6</v>
      </c>
      <c r="H127" s="14"/>
      <c r="I127" s="14"/>
      <c r="J127" s="29"/>
    </row>
    <row r="128" spans="1:10" ht="16.5" customHeight="1" x14ac:dyDescent="0.25">
      <c r="A128" s="60" t="str">
        <f t="shared" si="8"/>
        <v>6208</v>
      </c>
      <c r="B128" s="37" t="s">
        <v>141</v>
      </c>
      <c r="C128" s="73" t="s">
        <v>21</v>
      </c>
      <c r="D128" s="74">
        <v>1001220226208</v>
      </c>
      <c r="E128" s="24">
        <v>40</v>
      </c>
      <c r="F128" s="23">
        <v>0.15</v>
      </c>
      <c r="G128" s="23">
        <f>F128*E128</f>
        <v>6</v>
      </c>
      <c r="H128" s="14"/>
      <c r="I128" s="14"/>
      <c r="J128" s="29"/>
    </row>
    <row r="129" spans="1:11" ht="16.5" customHeight="1" x14ac:dyDescent="0.25">
      <c r="A129" s="60" t="str">
        <f t="shared" si="8"/>
        <v>7090</v>
      </c>
      <c r="B129" s="37" t="s">
        <v>142</v>
      </c>
      <c r="C129" s="73" t="s">
        <v>32</v>
      </c>
      <c r="D129" s="74">
        <v>1001084217090</v>
      </c>
      <c r="E129" s="24">
        <v>106</v>
      </c>
      <c r="F129" s="23">
        <v>0.3</v>
      </c>
      <c r="G129" s="23">
        <f>E129*F129</f>
        <v>31.799999999999997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8"/>
        <v>7187</v>
      </c>
      <c r="B130" s="37" t="s">
        <v>143</v>
      </c>
      <c r="C130" s="73" t="s">
        <v>32</v>
      </c>
      <c r="D130" s="74">
        <v>1001085637187</v>
      </c>
      <c r="E130" s="24">
        <v>80</v>
      </c>
      <c r="F130" s="23">
        <v>0.3</v>
      </c>
      <c r="G130" s="23">
        <f>E130*F130</f>
        <v>24</v>
      </c>
      <c r="H130" s="14"/>
      <c r="I130" s="14"/>
      <c r="J130" s="29"/>
    </row>
    <row r="131" spans="1:11" s="71" customFormat="1" ht="16.5" customHeight="1" x14ac:dyDescent="0.25">
      <c r="A131" s="60" t="str">
        <f t="shared" si="8"/>
        <v>7103</v>
      </c>
      <c r="B131" s="59" t="s">
        <v>144</v>
      </c>
      <c r="C131" s="54" t="s">
        <v>32</v>
      </c>
      <c r="D131" s="55">
        <v>1001223297103</v>
      </c>
      <c r="E131" s="24">
        <v>100</v>
      </c>
      <c r="F131" s="75">
        <v>0.18</v>
      </c>
      <c r="G131" s="23">
        <f>E131*F131</f>
        <v>18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8"/>
        <v>6872</v>
      </c>
      <c r="B132" s="37" t="s">
        <v>145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146</v>
      </c>
      <c r="C133" s="16"/>
      <c r="D133" s="38"/>
      <c r="E133" s="17">
        <f>SUM(E10:E132)</f>
        <v>5797</v>
      </c>
      <c r="F133" s="17"/>
      <c r="G133" s="17">
        <f>SUM(G11:G132)</f>
        <v>2878.39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2026-01-21T11:36:33Z</dcterms:modified>
</cp:coreProperties>
</file>