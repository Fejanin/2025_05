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4BFFCC3-0E9A-4624-A267-9D9448EF28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5" i="1" s="1"/>
  <c r="A11" i="1"/>
  <c r="F3" i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<sst xmlns="http://schemas.openxmlformats.org/spreadsheetml/2006/main" count="283" uniqueCount="159">
  <si>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</si>
  <si>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</si>
  <si>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</si>
  <si>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</si>
  <si>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</si>
  <si>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</si>
  <si>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</si>
  <si>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</si>
  <si>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</si>
  <si>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</si>
  <si>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</si>
  <si>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</si>
  <si>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</si>
  <si>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</si>
  <si>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</si>
  <si>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</si>
  <si>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</si>
  <si>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</si>
  <si>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</si>
  <si>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</si>
  <si>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</si>
  <si>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</si>
  <si>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</si>
  <si>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</si>
  <si>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</si>
  <si>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</si>
  <si>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</si>
  <si>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</si>
  <si>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</si>
  <si>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</si>
  <si>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</si>
  <si>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</si>
  <si>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</si>
  <si>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</si>
  <si>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</si>
  <si>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</si>
  <si>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</si>
  <si>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</si>
  <si>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</si>
  <si>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</si>
  <si>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</si>
  <si>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</si>
  <si>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</si>
  <si>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</si>
  <si>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</si>
  <si>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</si>
  <si>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</si>
  <si>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</si>
  <si>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</si>
  <si>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</si>
  <si>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</si>
  <si>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</si>
  <si>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</si>
  <si>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</si>
  <si>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</si>
  <si>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</si>
  <si>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</si>
  <si>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</si>
  <si>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</si>
  <si>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</si>
  <si>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</si>
  <si>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</si>
  <si>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</si>
  <si>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</si>
  <si>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</si>
  <si>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</si>
  <si>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</si>
  <si>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</si>
  <si>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</si>
  <si>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</si>
  <si>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</si>
  <si>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</si>
  <si>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</si>
  <si>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</si>
  <si>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</si>
  <si>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</si>
  <si>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</si>
  <si>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</si>
  <si>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</si>
  <si>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</si>
  <si>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</si>
  <si>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</si>
  <si>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</si>
  <si>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</si>
  <si>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</si>
  <si>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</si>
  <si>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</si>
  <si>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</si>
  <si>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</si>
  <si>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</si>
  <si>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</si>
  <si>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</si>
  <si>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</si>
  <si>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</si>
  <si>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</si>
  <si>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</si>
  <si>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</si>
  <si>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</si>
  <si>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</si>
  <si>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</si>
  <si>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</si>
  <si>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</si>
  <si>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</si>
  <si>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</si>
  <si>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</si>
  <si>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</si>
  <si>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</si>
  <si>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</si>
  <si>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</si>
  <si>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</si>
  <si>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</si>
  <si>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</si>
  <si>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</si>
  <si>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</si>
  <si>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</si>
  <si>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</si>
  <si>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</si>
  <si>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</si>
  <si>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</si>
  <si>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</si>
  <si>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</si>
  <si>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</si>
  <si>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</si>
  <si>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</si>
  <si>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</si>
  <si>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</si>
  <si>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</si>
  <si>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</si>
  <si>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</si>
  <si>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</si>
  <si>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АРОМАТНАЯ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</si>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</sst>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J150" sqref="J15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46047</v>
      </c>
      <c r="E3" s="7" t="s">
        <v>3</v>
      </c>
      <c r="F3" s="82">
        <f>D3+3</f>
        <v>46050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936</v>
      </c>
      <c r="F12" s="23">
        <v>1.3340000000000001</v>
      </c>
      <c r="G12" s="23">
        <f>E12</f>
        <v>936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154</v>
      </c>
      <c r="F17" s="23">
        <v>1.35</v>
      </c>
      <c r="G17" s="23">
        <f t="shared" si="1"/>
        <v>154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114</v>
      </c>
      <c r="F23" s="23">
        <v>1.35</v>
      </c>
      <c r="G23" s="23">
        <f>E23</f>
        <v>114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102</v>
      </c>
      <c r="F25" s="23">
        <v>1.3540000000000001</v>
      </c>
      <c r="G25" s="23">
        <f>E25</f>
        <v>102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>
        <v>24</v>
      </c>
      <c r="F26" s="23">
        <v>0.4</v>
      </c>
      <c r="G26" s="23">
        <f>E26*F26</f>
        <v>9.6000000000000014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>
        <v>48.000000000000007</v>
      </c>
      <c r="F27" s="23">
        <v>0.4</v>
      </c>
      <c r="G27" s="23">
        <f>E27*F27</f>
        <v>19.200000000000003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12</v>
      </c>
      <c r="F33" s="66">
        <v>0.4</v>
      </c>
      <c r="G33" s="23">
        <f>E33*F33</f>
        <v>4.8000000000000007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360</v>
      </c>
      <c r="F35" s="23">
        <v>1.05</v>
      </c>
      <c r="G35" s="23">
        <f>E35</f>
        <v>360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>
        <v>24</v>
      </c>
      <c r="F38" s="23">
        <v>0.36</v>
      </c>
      <c r="G38" s="23">
        <f>E38*F38</f>
        <v>8.64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80</v>
      </c>
      <c r="F40" s="23">
        <v>2.125</v>
      </c>
      <c r="G40" s="23">
        <f>E40</f>
        <v>80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108</v>
      </c>
      <c r="F42" s="23"/>
      <c r="G42" s="23">
        <f>E42</f>
        <v>108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200</v>
      </c>
      <c r="F43" s="23">
        <v>1</v>
      </c>
      <c r="G43" s="23">
        <f>E43</f>
        <v>200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56</v>
      </c>
      <c r="F49" s="23">
        <v>1.0249999999999999</v>
      </c>
      <c r="G49" s="23">
        <f>E49</f>
        <v>56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8</v>
      </c>
      <c r="F50" s="23"/>
      <c r="G50" s="23">
        <f>E50</f>
        <v>8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>
        <v>3</v>
      </c>
      <c r="F59" s="23">
        <v>1</v>
      </c>
      <c r="G59" s="23">
        <f>E59</f>
        <v>3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>
        <v>60</v>
      </c>
      <c r="F60" s="23">
        <v>1</v>
      </c>
      <c r="G60" s="23">
        <f>E60</f>
        <v>60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>
        <v>30</v>
      </c>
      <c r="F61" s="23">
        <v>0.99</v>
      </c>
      <c r="G61" s="23">
        <f>E61</f>
        <v>30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>
        <v>48</v>
      </c>
      <c r="F71" s="23">
        <v>0.28000000000000003</v>
      </c>
      <c r="G71" s="23">
        <f t="shared" si="4"/>
        <v>13.440000000000001</v>
      </c>
      <c r="H71" s="14"/>
      <c r="I71" s="14"/>
      <c r="J71" s="29"/>
    </row>
    <row r="72" spans="1:10" ht="16.5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>
        <v>40</v>
      </c>
      <c r="F73" s="23">
        <v>0.28000000000000003</v>
      </c>
      <c r="G73" s="23">
        <f t="shared" si="4"/>
        <v>11.200000000000001</v>
      </c>
      <c r="H73" s="14"/>
      <c r="I73" s="14"/>
      <c r="J73" s="29"/>
    </row>
    <row r="74" spans="1:10" ht="16.5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>
        <v>16</v>
      </c>
      <c r="F77" s="23">
        <v>0.35</v>
      </c>
      <c r="G77" s="23">
        <f t="shared" si="5"/>
        <v>5.6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5"/>
        <v>0</v>
      </c>
      <c r="H79" s="14"/>
      <c r="I79" s="14"/>
      <c r="J79" s="29"/>
    </row>
    <row r="80" spans="1:10" ht="16.5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>
        <v>81</v>
      </c>
      <c r="F82" s="23"/>
      <c r="G82" s="23">
        <f>E82</f>
        <v>81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>
        <v>123</v>
      </c>
      <c r="F83" s="23"/>
      <c r="G83" s="23">
        <f>E83</f>
        <v>123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80</v>
      </c>
      <c r="F84" s="23">
        <v>0.35</v>
      </c>
      <c r="G84" s="23">
        <f>E84*F84</f>
        <v>28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80</v>
      </c>
      <c r="F85" s="23">
        <v>0.35</v>
      </c>
      <c r="G85" s="23">
        <f>E85*F85</f>
        <v>28</v>
      </c>
      <c r="H85" s="14"/>
      <c r="I85" s="14"/>
      <c r="J85" s="29"/>
    </row>
    <row r="86" spans="1:10" ht="16.5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>
        <v>136</v>
      </c>
      <c r="F87" s="23">
        <v>0.83399999999999996</v>
      </c>
      <c r="G87" s="23">
        <f>E87</f>
        <v>136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>
        <v>16</v>
      </c>
      <c r="F96" s="23">
        <v>0.28000000000000003</v>
      </c>
      <c r="G96" s="23">
        <f t="shared" si="7"/>
        <v>4.4800000000000004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40</v>
      </c>
      <c r="F97" s="23">
        <v>0.35</v>
      </c>
      <c r="G97" s="23">
        <f t="shared" si="7"/>
        <v>14</v>
      </c>
      <c r="H97" s="14"/>
      <c r="I97" s="14"/>
      <c r="J97" s="71"/>
    </row>
    <row r="98" spans="1:11" ht="15.75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>
        <v>10</v>
      </c>
      <c r="F98" s="23">
        <v>0.1</v>
      </c>
      <c r="G98" s="23">
        <f t="shared" si="7"/>
        <v>1</v>
      </c>
      <c r="H98" s="14"/>
      <c r="I98" s="14"/>
      <c r="J98" s="71"/>
    </row>
    <row r="99" spans="1:11" ht="15.75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>
        <v>32</v>
      </c>
      <c r="F100" s="23">
        <v>0.33</v>
      </c>
      <c r="G100" s="23">
        <f>E100*F100</f>
        <v>10.56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ref="A112:A144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>
        <v>32</v>
      </c>
      <c r="F116" s="23">
        <v>0.25</v>
      </c>
      <c r="G116" s="23">
        <f>F116*E116</f>
        <v>8</v>
      </c>
      <c r="H116" s="14"/>
      <c r="I116" s="14"/>
      <c r="J116" s="29"/>
    </row>
    <row r="117" spans="1:10" ht="16.5" customHeight="1" x14ac:dyDescent="0.25">
      <c r="A117" s="59" t="str">
        <f t="shared" si="8"/>
        <v>3986</v>
      </c>
      <c r="B117" s="80" t="s">
        <v>130</v>
      </c>
      <c r="C117" s="73" t="s">
        <v>21</v>
      </c>
      <c r="D117" s="74">
        <v>1001061973986</v>
      </c>
      <c r="E117" s="24">
        <v>32</v>
      </c>
      <c r="F117" s="23">
        <v>0.25</v>
      </c>
      <c r="G117" s="23">
        <f>F117*E117</f>
        <v>8</v>
      </c>
      <c r="H117" s="14"/>
      <c r="I117" s="14"/>
      <c r="J117" s="29"/>
    </row>
    <row r="118" spans="1:10" ht="16.5" customHeight="1" x14ac:dyDescent="0.25">
      <c r="A118" s="59" t="str">
        <f t="shared" si="8"/>
        <v>4993</v>
      </c>
      <c r="B118" s="80" t="s">
        <v>131</v>
      </c>
      <c r="C118" s="73" t="s">
        <v>33</v>
      </c>
      <c r="D118" s="74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6937</v>
      </c>
      <c r="B119" s="80" t="s">
        <v>132</v>
      </c>
      <c r="C119" s="73" t="s">
        <v>33</v>
      </c>
      <c r="D119" s="74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8"/>
        <v>5682</v>
      </c>
      <c r="B120" s="80" t="s">
        <v>133</v>
      </c>
      <c r="C120" s="73" t="s">
        <v>21</v>
      </c>
      <c r="D120" s="74">
        <v>1001193115682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8"/>
        <v>5679</v>
      </c>
      <c r="B121" s="80" t="s">
        <v>134</v>
      </c>
      <c r="C121" s="73" t="s">
        <v>21</v>
      </c>
      <c r="D121" s="74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4117</v>
      </c>
      <c r="B122" s="80" t="s">
        <v>135</v>
      </c>
      <c r="C122" s="73" t="s">
        <v>23</v>
      </c>
      <c r="D122" s="74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8"/>
        <v>5483</v>
      </c>
      <c r="B123" s="80" t="s">
        <v>136</v>
      </c>
      <c r="C123" s="73" t="s">
        <v>21</v>
      </c>
      <c r="D123" s="74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8"/>
        <v>6453</v>
      </c>
      <c r="B124" s="80" t="s">
        <v>137</v>
      </c>
      <c r="C124" s="73" t="s">
        <v>33</v>
      </c>
      <c r="D124" s="74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8"/>
        <v>6557</v>
      </c>
      <c r="B125" s="80" t="s">
        <v>138</v>
      </c>
      <c r="C125" s="73" t="s">
        <v>33</v>
      </c>
      <c r="D125" s="74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6228</v>
      </c>
      <c r="B126" s="80" t="s">
        <v>139</v>
      </c>
      <c r="C126" s="73" t="s">
        <v>33</v>
      </c>
      <c r="D126" s="74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8"/>
        <v>6221</v>
      </c>
      <c r="B127" s="80" t="s">
        <v>140</v>
      </c>
      <c r="C127" s="73" t="s">
        <v>33</v>
      </c>
      <c r="D127" s="74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8"/>
        <v>3287</v>
      </c>
      <c r="B128" s="80" t="s">
        <v>141</v>
      </c>
      <c r="C128" s="73" t="s">
        <v>23</v>
      </c>
      <c r="D128" s="74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8"/>
        <v/>
      </c>
      <c r="B129" s="46" t="s">
        <v>142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8"/>
        <v>6866</v>
      </c>
      <c r="B130" s="77" t="s">
        <v>143</v>
      </c>
      <c r="C130" s="73" t="s">
        <v>38</v>
      </c>
      <c r="D130" s="79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3215</v>
      </c>
      <c r="B131" s="80" t="s">
        <v>144</v>
      </c>
      <c r="C131" s="73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8"/>
        <v>6025</v>
      </c>
      <c r="B132" s="80" t="s">
        <v>145</v>
      </c>
      <c r="C132" s="73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6470</v>
      </c>
      <c r="B133" s="80" t="s">
        <v>146</v>
      </c>
      <c r="C133" s="73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4584</v>
      </c>
      <c r="B134" s="80" t="s">
        <v>147</v>
      </c>
      <c r="C134" s="73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6472</v>
      </c>
      <c r="B135" s="80" t="s">
        <v>148</v>
      </c>
      <c r="C135" s="73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8"/>
        <v>5452</v>
      </c>
      <c r="B136" s="50" t="s">
        <v>149</v>
      </c>
      <c r="C136" s="73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8"/>
        <v>5495</v>
      </c>
      <c r="B137" s="50" t="s">
        <v>150</v>
      </c>
      <c r="C137" s="73" t="s">
        <v>21</v>
      </c>
      <c r="D137" s="42">
        <v>1001093345495</v>
      </c>
      <c r="E137" s="24">
        <v>30</v>
      </c>
      <c r="F137" s="23">
        <v>0.4</v>
      </c>
      <c r="G137" s="23">
        <f>E137*F137</f>
        <v>12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8"/>
        <v>6495</v>
      </c>
      <c r="B138" s="50" t="s">
        <v>151</v>
      </c>
      <c r="C138" s="73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8"/>
        <v/>
      </c>
      <c r="B139" s="46" t="s">
        <v>152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8"/>
        <v>6448</v>
      </c>
      <c r="B140" s="37" t="s">
        <v>153</v>
      </c>
      <c r="C140" s="73" t="s">
        <v>33</v>
      </c>
      <c r="D140" s="74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8"/>
        <v>7090</v>
      </c>
      <c r="B141" s="37" t="s">
        <v>154</v>
      </c>
      <c r="C141" s="73" t="s">
        <v>33</v>
      </c>
      <c r="D141" s="74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8"/>
        <v>6208</v>
      </c>
      <c r="B142" s="37" t="s">
        <v>155</v>
      </c>
      <c r="C142" s="73" t="s">
        <v>21</v>
      </c>
      <c r="D142" s="74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8"/>
        <v>7053</v>
      </c>
      <c r="B143" s="37" t="s">
        <v>156</v>
      </c>
      <c r="C143" s="73" t="s">
        <v>23</v>
      </c>
      <c r="D143" s="74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8"/>
        <v>7103</v>
      </c>
      <c r="B144" s="58" t="s">
        <v>157</v>
      </c>
      <c r="C144" s="53" t="s">
        <v>33</v>
      </c>
      <c r="D144" s="54">
        <v>1001223297103</v>
      </c>
      <c r="E144" s="24"/>
      <c r="F144" s="75">
        <v>0.18</v>
      </c>
      <c r="G144" s="23">
        <f>E144*F144</f>
        <v>0</v>
      </c>
      <c r="H144" s="76">
        <v>1.8</v>
      </c>
      <c r="I144" s="76">
        <v>45</v>
      </c>
      <c r="J144" s="76"/>
      <c r="K144" s="27"/>
    </row>
    <row r="145" spans="1:10" ht="16.5" customHeight="1" thickTop="1" thickBot="1" x14ac:dyDescent="0.3">
      <c r="A145" s="62"/>
      <c r="B145" s="49" t="s">
        <v>158</v>
      </c>
      <c r="C145" s="16"/>
      <c r="D145" s="38"/>
      <c r="E145" s="17">
        <f>SUM(E10:E144)</f>
        <v>3115</v>
      </c>
      <c r="F145" s="17"/>
      <c r="G145" s="17">
        <f>SUM(G11:G144)</f>
        <v>2737.5199999999995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2026-01-21T10:27:16Z</dcterms:modified>
</cp:coreProperties>
</file>