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C2716837-8AD5-4795-8C54-846993C487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Бланк!$A$9:$J$133</definedName>
    <definedName name="кол_во_инд.__упак_к">Бланк!$AC$3:$AC$569</definedName>
    <definedName name="номин.вес_нетто__кг">Бланк!$W$3:$W$569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3" i="1" l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3" i="1" s="1"/>
  <c r="A11" i="1"/>
  <c r="F3" i="1"/>
</calcChain>
</file>

<file path=xl/sharedStrings.xml><?xml version="1.0" encoding="utf-8"?>
<sst xmlns="http://schemas.openxmlformats.org/spreadsheetml/2006/main" count="259" uniqueCount="147">
  <si>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</si>
  <si>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</si>
  <si>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</si>
  <si>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</si>
  <si>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</si>
  <si>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</si>
  <si>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</si>
  <si>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</si>
  <si>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</si>
  <si>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</si>
  <si>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</si>
  <si>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</si>
  <si>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</si>
  <si>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</si>
  <si>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</si>
  <si>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</si>
  <si>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</si>
  <si>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</si>
  <si>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</si>
  <si>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</si>
  <si>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</si>
  <si>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</si>
  <si>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</si>
  <si>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</si>
  <si>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</si>
  <si>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</si>
  <si>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</si>
  <si>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</si>
  <si>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</si>
  <si>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</si>
  <si>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</si>
  <si>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</si>
  <si>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</si>
  <si>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</si>
  <si>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</si>
  <si>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</si>
  <si>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</si>
  <si>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</si>
  <si>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</si>
  <si>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</si>
  <si>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</si>
  <si>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</si>
  <si>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</si>
  <si>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</si>
  <si>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</si>
  <si>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</si>
  <si>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</si>
  <si>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</si>
  <si>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</si>
  <si>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</si>
  <si>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</si>
  <si>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</si>
  <si>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</si>
  <si>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</si>
  <si>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</si>
  <si>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</si>
  <si>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</si>
  <si>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</si>
  <si>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</si>
  <si>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</si>
  <si>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</si>
  <si>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</si>
  <si>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</si>
  <si>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</si>
  <si>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</si>
  <si>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</si>
  <si>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</si>
  <si>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</si>
  <si>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</si>
  <si>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</si>
  <si>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</si>
  <si>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</si>
  <si>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</si>
  <si>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</si>
  <si>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</si>
  <si>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</si>
  <si>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</si>
  <si>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</si>
  <si>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</si>
  <si>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</si>
  <si>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</si>
  <si>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</si>
  <si>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</si>
  <si>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</si>
  <si>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</si>
  <si>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</si>
  <si>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</si>
  <si>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</si>
  <si>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</si>
  <si>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</si>
  <si>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</si>
  <si>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</si>
  <si>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</si>
  <si>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</si>
  <si>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</si>
  <si>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</si>
  <si>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</si>
  <si>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</si>
  <si>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</si>
  <si>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</si>
  <si>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</si>
  <si>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</si>
  <si>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</si>
  <si>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</si>
  <si>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</si>
  <si>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</si>
  <si>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</si>
  <si>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</si>
  <si>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</si>
  <si>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</si>
  <si>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</si>
  <si>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БАЛЫК с/к с/н в/у 1/100 10шт.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</si>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</sst>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7"/>
  <sheetViews>
    <sheetView tabSelected="1" zoomScale="87" zoomScaleNormal="87" workbookViewId="0">
      <pane ySplit="9" topLeftCell="A130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46047</v>
      </c>
      <c r="E3" s="7" t="s">
        <v>3</v>
      </c>
      <c r="F3" s="84">
        <f>D3+3</f>
        <v>46050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153</v>
      </c>
      <c r="F12" s="23">
        <v>1.3340000000000001</v>
      </c>
      <c r="G12" s="23">
        <f>E12</f>
        <v>153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244</v>
      </c>
      <c r="F13" s="23">
        <v>0.4</v>
      </c>
      <c r="G13" s="23">
        <f>E13*F13</f>
        <v>97.600000000000009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80</v>
      </c>
      <c r="F15" s="23">
        <v>1.35</v>
      </c>
      <c r="G15" s="23">
        <f>E15</f>
        <v>80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92</v>
      </c>
      <c r="F22" s="23">
        <v>1.35</v>
      </c>
      <c r="G22" s="23">
        <f>E22</f>
        <v>92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>
        <v>128</v>
      </c>
      <c r="F23" s="23">
        <v>0.4</v>
      </c>
      <c r="G23" s="23">
        <f>E23*F23</f>
        <v>51.2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100</v>
      </c>
      <c r="F24" s="23">
        <v>1.3540000000000001</v>
      </c>
      <c r="G24" s="23">
        <f>E24</f>
        <v>100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76</v>
      </c>
      <c r="F25" s="23">
        <v>0.4</v>
      </c>
      <c r="G25" s="23">
        <f>E25*F25</f>
        <v>30.400000000000002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83">
        <v>1001016747343</v>
      </c>
      <c r="E26" s="24">
        <v>6</v>
      </c>
      <c r="F26" s="23">
        <v>0.4</v>
      </c>
      <c r="G26" s="23">
        <f>E26*F26</f>
        <v>2.4000000000000004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>
        <v>56</v>
      </c>
      <c r="F27" s="23">
        <v>0.4</v>
      </c>
      <c r="G27" s="23">
        <f>E27*F27</f>
        <v>22.400000000000002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>
        <v>33</v>
      </c>
      <c r="F28" s="23">
        <v>0.3</v>
      </c>
      <c r="G28" s="23">
        <f>E28*F28</f>
        <v>9.9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/>
      <c r="F29" s="23">
        <v>0.4</v>
      </c>
      <c r="G29" s="23">
        <f>E29*F29</f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168</v>
      </c>
      <c r="F30" s="23">
        <v>1</v>
      </c>
      <c r="G30" s="23">
        <f>E30</f>
        <v>168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100</v>
      </c>
      <c r="F32" s="23">
        <v>1</v>
      </c>
      <c r="G32" s="23">
        <f>E32</f>
        <v>100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153</v>
      </c>
      <c r="F34" s="23">
        <v>0.4</v>
      </c>
      <c r="G34" s="23">
        <f>E34*F34</f>
        <v>61.2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49</v>
      </c>
      <c r="C36" s="65" t="s">
        <v>32</v>
      </c>
      <c r="D36" s="66">
        <v>1001025507255</v>
      </c>
      <c r="E36" s="24">
        <v>504</v>
      </c>
      <c r="F36" s="67">
        <v>0.4</v>
      </c>
      <c r="G36" s="23">
        <f>E36*F36</f>
        <v>201.60000000000002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68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153</v>
      </c>
      <c r="F39" s="23">
        <v>0.4</v>
      </c>
      <c r="G39" s="23">
        <f t="shared" ref="G39:G44" si="3">E39*F39</f>
        <v>61.2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6837</v>
      </c>
      <c r="B40" s="36" t="s">
        <v>53</v>
      </c>
      <c r="C40" s="73" t="s">
        <v>21</v>
      </c>
      <c r="D40" s="74">
        <v>1001022556837</v>
      </c>
      <c r="E40" s="24"/>
      <c r="F40" s="23">
        <v>0.4</v>
      </c>
      <c r="G40" s="23">
        <f t="shared" si="3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3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6765</v>
      </c>
      <c r="B42" s="36" t="s">
        <v>55</v>
      </c>
      <c r="C42" s="73" t="s">
        <v>21</v>
      </c>
      <c r="D42" s="74">
        <v>1001023696765</v>
      </c>
      <c r="E42" s="24">
        <v>80</v>
      </c>
      <c r="F42" s="23">
        <v>0.36</v>
      </c>
      <c r="G42" s="23">
        <f t="shared" si="3"/>
        <v>28.799999999999997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3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2"/>
        <v>6616</v>
      </c>
      <c r="B44" s="36" t="s">
        <v>57</v>
      </c>
      <c r="C44" s="73" t="s">
        <v>21</v>
      </c>
      <c r="D44" s="74">
        <v>1001024976616</v>
      </c>
      <c r="E44" s="24">
        <v>260</v>
      </c>
      <c r="F44" s="23">
        <v>0.3</v>
      </c>
      <c r="G44" s="23">
        <f t="shared" si="3"/>
        <v>78</v>
      </c>
      <c r="H44" s="14"/>
      <c r="I44" s="14"/>
      <c r="J44" s="29"/>
      <c r="K44" s="27"/>
    </row>
    <row r="45" spans="1:11" ht="16.5" customHeight="1" x14ac:dyDescent="0.25">
      <c r="A45" s="60" t="str">
        <f t="shared" si="2"/>
        <v>7082</v>
      </c>
      <c r="B45" s="35" t="s">
        <v>58</v>
      </c>
      <c r="C45" s="73" t="s">
        <v>23</v>
      </c>
      <c r="D45" s="74">
        <v>1001022467082</v>
      </c>
      <c r="E45" s="24">
        <v>58</v>
      </c>
      <c r="F45" s="23">
        <v>2.125</v>
      </c>
      <c r="G45" s="23">
        <f>E45</f>
        <v>58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2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2"/>
        <v>7070</v>
      </c>
      <c r="B47" s="35" t="s">
        <v>60</v>
      </c>
      <c r="C47" s="73" t="s">
        <v>23</v>
      </c>
      <c r="D47" s="74">
        <v>1001022377070</v>
      </c>
      <c r="E47" s="24">
        <v>113</v>
      </c>
      <c r="F47" s="23"/>
      <c r="G47" s="23">
        <f>E47</f>
        <v>113</v>
      </c>
      <c r="H47" s="14"/>
      <c r="I47" s="14"/>
      <c r="J47" s="29"/>
    </row>
    <row r="48" spans="1:11" s="15" customFormat="1" ht="16.5" customHeight="1" x14ac:dyDescent="0.25">
      <c r="A48" s="60" t="str">
        <f t="shared" si="2"/>
        <v>6661</v>
      </c>
      <c r="B48" s="53" t="s">
        <v>61</v>
      </c>
      <c r="C48" s="54" t="s">
        <v>23</v>
      </c>
      <c r="D48" s="55">
        <v>1001022246661</v>
      </c>
      <c r="E48" s="24">
        <v>6</v>
      </c>
      <c r="F48" s="23">
        <v>1</v>
      </c>
      <c r="G48" s="23">
        <f>E48</f>
        <v>6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2"/>
        <v>6475</v>
      </c>
      <c r="B49" s="80" t="s">
        <v>62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2"/>
        <v>6713</v>
      </c>
      <c r="B50" s="57" t="s">
        <v>63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2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2"/>
        <v>7284</v>
      </c>
      <c r="B52" s="82" t="s">
        <v>65</v>
      </c>
      <c r="C52" s="73" t="s">
        <v>21</v>
      </c>
      <c r="D52" s="74">
        <v>1001025767284</v>
      </c>
      <c r="E52" s="24">
        <v>12</v>
      </c>
      <c r="F52" s="23">
        <v>0.33</v>
      </c>
      <c r="G52" s="23">
        <f>E52*F52</f>
        <v>3.96</v>
      </c>
      <c r="H52" s="14"/>
      <c r="I52" s="14"/>
      <c r="J52" s="29"/>
    </row>
    <row r="53" spans="1:11" ht="16.5" customHeight="1" x14ac:dyDescent="0.25">
      <c r="A53" s="60" t="str">
        <f t="shared" si="2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2"/>
        <v>6829</v>
      </c>
      <c r="B54" s="57" t="s">
        <v>67</v>
      </c>
      <c r="C54" s="54" t="s">
        <v>23</v>
      </c>
      <c r="D54" s="55">
        <v>1001024976829</v>
      </c>
      <c r="E54" s="24">
        <v>137</v>
      </c>
      <c r="F54" s="23">
        <v>1.0249999999999999</v>
      </c>
      <c r="G54" s="23">
        <f>E54</f>
        <v>137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2"/>
        <v>7075</v>
      </c>
      <c r="B55" s="82" t="s">
        <v>68</v>
      </c>
      <c r="C55" s="73" t="s">
        <v>23</v>
      </c>
      <c r="D55" s="74">
        <v>1001022657075</v>
      </c>
      <c r="E55" s="24">
        <v>6</v>
      </c>
      <c r="F55" s="23"/>
      <c r="G55" s="23">
        <f>E55</f>
        <v>6</v>
      </c>
      <c r="H55" s="14"/>
      <c r="I55" s="14"/>
      <c r="J55" s="29"/>
    </row>
    <row r="56" spans="1:11" ht="16.5" customHeight="1" x14ac:dyDescent="0.25">
      <c r="A56" s="60" t="str">
        <f t="shared" si="2"/>
        <v>7073</v>
      </c>
      <c r="B56" s="82" t="s">
        <v>69</v>
      </c>
      <c r="C56" s="73" t="s">
        <v>21</v>
      </c>
      <c r="D56" s="74">
        <v>1001022657073</v>
      </c>
      <c r="E56" s="24">
        <v>162</v>
      </c>
      <c r="F56" s="23">
        <v>0.35</v>
      </c>
      <c r="G56" s="23">
        <f>E56*F56</f>
        <v>56.699999999999996</v>
      </c>
      <c r="H56" s="14"/>
      <c r="I56" s="14"/>
      <c r="J56" s="29"/>
    </row>
    <row r="57" spans="1:11" ht="16.5" customHeight="1" x14ac:dyDescent="0.25">
      <c r="A57" s="60" t="str">
        <f t="shared" si="2"/>
        <v>6724</v>
      </c>
      <c r="B57" s="82" t="s">
        <v>70</v>
      </c>
      <c r="C57" s="73" t="s">
        <v>21</v>
      </c>
      <c r="D57" s="74">
        <v>1001020836724</v>
      </c>
      <c r="E57" s="24">
        <v>82</v>
      </c>
      <c r="F57" s="23">
        <v>0.41</v>
      </c>
      <c r="G57" s="23">
        <f>F57*E57</f>
        <v>33.619999999999997</v>
      </c>
      <c r="H57" s="14"/>
      <c r="I57" s="14"/>
      <c r="J57" s="29"/>
    </row>
    <row r="58" spans="1:11" ht="16.5" customHeight="1" x14ac:dyDescent="0.25">
      <c r="A58" s="60" t="str">
        <f t="shared" si="2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2"/>
        <v>7080</v>
      </c>
      <c r="B59" s="57" t="s">
        <v>72</v>
      </c>
      <c r="C59" s="54" t="s">
        <v>21</v>
      </c>
      <c r="D59" s="55">
        <v>1001022467080</v>
      </c>
      <c r="E59" s="24">
        <v>363</v>
      </c>
      <c r="F59" s="23">
        <v>0.41</v>
      </c>
      <c r="G59" s="23">
        <f>E59*F59</f>
        <v>148.82999999999998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2"/>
        <v>7276</v>
      </c>
      <c r="B60" s="57" t="s">
        <v>73</v>
      </c>
      <c r="C60" s="54" t="s">
        <v>21</v>
      </c>
      <c r="D60" s="55">
        <v>1001022467276</v>
      </c>
      <c r="E60" s="24">
        <v>21</v>
      </c>
      <c r="F60" s="23">
        <v>0.3</v>
      </c>
      <c r="G60" s="23">
        <f>E60*F60</f>
        <v>6.3</v>
      </c>
      <c r="H60" s="14"/>
      <c r="I60" s="14"/>
      <c r="J60" s="29"/>
    </row>
    <row r="61" spans="1:11" ht="16.5" customHeight="1" thickBot="1" x14ac:dyDescent="0.3">
      <c r="A61" s="60" t="str">
        <f t="shared" si="2"/>
        <v>7066</v>
      </c>
      <c r="B61" s="57" t="s">
        <v>74</v>
      </c>
      <c r="C61" s="54" t="s">
        <v>21</v>
      </c>
      <c r="D61" s="55">
        <v>1001022377066</v>
      </c>
      <c r="E61" s="24">
        <v>458</v>
      </c>
      <c r="F61" s="23">
        <v>0.41</v>
      </c>
      <c r="G61" s="23">
        <f>E61*F61</f>
        <v>187.78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2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2"/>
        <v>7001</v>
      </c>
      <c r="B63" s="81" t="s">
        <v>76</v>
      </c>
      <c r="C63" s="54" t="s">
        <v>37</v>
      </c>
      <c r="D63" s="55">
        <v>1001035937001</v>
      </c>
      <c r="E63" s="24">
        <v>23</v>
      </c>
      <c r="F63" s="75">
        <v>0.98699999999999999</v>
      </c>
      <c r="G63" s="23">
        <f>E63</f>
        <v>23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2"/>
        <v>6527</v>
      </c>
      <c r="B64" s="82" t="s">
        <v>77</v>
      </c>
      <c r="C64" s="73" t="s">
        <v>37</v>
      </c>
      <c r="D64" s="74">
        <v>1001031076527</v>
      </c>
      <c r="E64" s="24">
        <v>130</v>
      </c>
      <c r="F64" s="23">
        <v>1</v>
      </c>
      <c r="G64" s="23">
        <f>E64</f>
        <v>130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2"/>
        <v>6550</v>
      </c>
      <c r="B65" s="52" t="s">
        <v>78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2"/>
        <v>6608</v>
      </c>
      <c r="B66" s="52" t="s">
        <v>79</v>
      </c>
      <c r="C66" s="73" t="s">
        <v>23</v>
      </c>
      <c r="D66" s="74">
        <v>1001033856608</v>
      </c>
      <c r="E66" s="24">
        <v>159</v>
      </c>
      <c r="F66" s="23">
        <v>0.99</v>
      </c>
      <c r="G66" s="23">
        <f>E66</f>
        <v>159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2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2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ref="A69:A100" si="5">RIGHT(D69,4)</f>
        <v>6459</v>
      </c>
      <c r="B69" s="80" t="s">
        <v>82</v>
      </c>
      <c r="C69" s="73" t="s">
        <v>21</v>
      </c>
      <c r="D69" s="74">
        <v>1001214196459</v>
      </c>
      <c r="E69" s="24">
        <v>119</v>
      </c>
      <c r="F69" s="23">
        <v>0.1</v>
      </c>
      <c r="G69" s="23">
        <f t="shared" si="4"/>
        <v>11.9</v>
      </c>
      <c r="H69" s="14"/>
      <c r="I69" s="14"/>
      <c r="J69" s="29"/>
    </row>
    <row r="70" spans="1:10" ht="16.5" customHeight="1" x14ac:dyDescent="0.25">
      <c r="A70" s="60" t="str">
        <f t="shared" si="5"/>
        <v>7232</v>
      </c>
      <c r="B70" s="51" t="s">
        <v>83</v>
      </c>
      <c r="C70" s="73" t="s">
        <v>21</v>
      </c>
      <c r="D70" s="74">
        <v>1001302277232</v>
      </c>
      <c r="E70" s="24">
        <v>167</v>
      </c>
      <c r="F70" s="23">
        <v>0.28000000000000003</v>
      </c>
      <c r="G70" s="23">
        <f t="shared" si="4"/>
        <v>46.760000000000005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84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85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86</v>
      </c>
      <c r="C73" s="73" t="s">
        <v>21</v>
      </c>
      <c r="D73" s="74">
        <v>1001300387154</v>
      </c>
      <c r="E73" s="24">
        <v>122</v>
      </c>
      <c r="F73" s="23">
        <v>0.35</v>
      </c>
      <c r="G73" s="23">
        <f t="shared" si="4"/>
        <v>42.699999999999996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87</v>
      </c>
      <c r="C74" s="54" t="s">
        <v>21</v>
      </c>
      <c r="D74" s="55">
        <v>1001300456787</v>
      </c>
      <c r="E74" s="24">
        <v>56</v>
      </c>
      <c r="F74" s="75">
        <v>0.33</v>
      </c>
      <c r="G74" s="23">
        <f t="shared" si="4"/>
        <v>18.48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88</v>
      </c>
      <c r="C75" s="73" t="s">
        <v>21</v>
      </c>
      <c r="D75" s="74">
        <v>1001301876697</v>
      </c>
      <c r="E75" s="24">
        <v>229</v>
      </c>
      <c r="F75" s="23">
        <v>0.35</v>
      </c>
      <c r="G75" s="23">
        <f t="shared" si="4"/>
        <v>80.149999999999991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89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90</v>
      </c>
      <c r="C77" s="54" t="s">
        <v>21</v>
      </c>
      <c r="D77" s="55">
        <v>1001304507236</v>
      </c>
      <c r="E77" s="24">
        <v>193</v>
      </c>
      <c r="F77" s="23">
        <v>0.28000000000000003</v>
      </c>
      <c r="G77" s="23">
        <f t="shared" si="4"/>
        <v>54.040000000000006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91</v>
      </c>
      <c r="C78" s="54" t="s">
        <v>21</v>
      </c>
      <c r="D78" s="55">
        <v>1001303987333</v>
      </c>
      <c r="E78" s="24">
        <v>8</v>
      </c>
      <c r="F78" s="23">
        <v>0.28000000000000003</v>
      </c>
      <c r="G78" s="23">
        <f t="shared" si="4"/>
        <v>2.2400000000000002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92</v>
      </c>
      <c r="C79" s="54" t="s">
        <v>32</v>
      </c>
      <c r="D79" s="55">
        <v>1001303987169</v>
      </c>
      <c r="E79" s="24">
        <v>122</v>
      </c>
      <c r="F79" s="23">
        <v>0.35</v>
      </c>
      <c r="G79" s="23">
        <f t="shared" si="4"/>
        <v>42.699999999999996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93</v>
      </c>
      <c r="C80" s="73" t="s">
        <v>23</v>
      </c>
      <c r="D80" s="74">
        <v>1001303987166</v>
      </c>
      <c r="E80" s="24">
        <v>89</v>
      </c>
      <c r="F80" s="23">
        <v>1</v>
      </c>
      <c r="G80" s="23">
        <f>E80</f>
        <v>89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94</v>
      </c>
      <c r="C81" s="73" t="s">
        <v>23</v>
      </c>
      <c r="D81" s="74">
        <v>1001051875544</v>
      </c>
      <c r="E81" s="24">
        <v>92</v>
      </c>
      <c r="F81" s="23">
        <v>0.83399999999999996</v>
      </c>
      <c r="G81" s="23">
        <f>E81</f>
        <v>92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96</v>
      </c>
      <c r="C83" s="73" t="s">
        <v>21</v>
      </c>
      <c r="D83" s="74">
        <v>1001304096791</v>
      </c>
      <c r="E83" s="24">
        <v>8</v>
      </c>
      <c r="F83" s="23">
        <v>0.33</v>
      </c>
      <c r="G83" s="23">
        <f>E83*F83</f>
        <v>2.64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98</v>
      </c>
      <c r="C85" s="73" t="s">
        <v>23</v>
      </c>
      <c r="D85" s="74">
        <v>1001300387157</v>
      </c>
      <c r="E85" s="24">
        <v>83</v>
      </c>
      <c r="F85" s="23">
        <v>1</v>
      </c>
      <c r="G85" s="23">
        <f>E85</f>
        <v>83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99</v>
      </c>
      <c r="C86" s="73" t="s">
        <v>21</v>
      </c>
      <c r="D86" s="74">
        <v>1001303636793</v>
      </c>
      <c r="E86" s="24">
        <v>71</v>
      </c>
      <c r="F86" s="23">
        <v>0.33</v>
      </c>
      <c r="G86" s="23">
        <f>E86*F86</f>
        <v>23.43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100</v>
      </c>
      <c r="C87" s="73" t="s">
        <v>23</v>
      </c>
      <c r="D87" s="74">
        <v>1001303637131</v>
      </c>
      <c r="E87" s="24">
        <v>6</v>
      </c>
      <c r="F87" s="23">
        <v>1</v>
      </c>
      <c r="G87" s="23">
        <f>E87</f>
        <v>6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103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>
        <v>82</v>
      </c>
      <c r="F94" s="67">
        <v>0.22</v>
      </c>
      <c r="G94" s="23">
        <f t="shared" ref="G94:G99" si="6">E94*F94</f>
        <v>18.04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>
        <v>100</v>
      </c>
      <c r="F95" s="75">
        <v>0.1</v>
      </c>
      <c r="G95" s="23">
        <f t="shared" si="6"/>
        <v>10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/>
      <c r="F96" s="23">
        <v>0.14000000000000001</v>
      </c>
      <c r="G96" s="23">
        <f t="shared" si="6"/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>
        <v>98</v>
      </c>
      <c r="F97" s="23">
        <v>0.1</v>
      </c>
      <c r="G97" s="23">
        <f t="shared" si="6"/>
        <v>9.8000000000000007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7288</v>
      </c>
      <c r="B98" s="80" t="s">
        <v>111</v>
      </c>
      <c r="C98" s="73" t="s">
        <v>32</v>
      </c>
      <c r="D98" s="74">
        <v>1001223907288</v>
      </c>
      <c r="E98" s="24"/>
      <c r="F98" s="23">
        <v>0.1</v>
      </c>
      <c r="G98" s="23">
        <f t="shared" si="6"/>
        <v>0</v>
      </c>
      <c r="H98" s="14"/>
      <c r="I98" s="14"/>
      <c r="J98" s="29"/>
    </row>
    <row r="99" spans="1:10" ht="16.5" customHeight="1" x14ac:dyDescent="0.25">
      <c r="A99" s="60" t="str">
        <f t="shared" si="5"/>
        <v>3986</v>
      </c>
      <c r="B99" s="80" t="s">
        <v>112</v>
      </c>
      <c r="C99" s="73" t="s">
        <v>32</v>
      </c>
      <c r="D99" s="74">
        <v>1001061973986</v>
      </c>
      <c r="E99" s="24">
        <v>200</v>
      </c>
      <c r="F99" s="23">
        <v>0.25</v>
      </c>
      <c r="G99" s="23">
        <f t="shared" si="6"/>
        <v>50</v>
      </c>
      <c r="H99" s="14"/>
      <c r="I99" s="14"/>
      <c r="J99" s="29"/>
    </row>
    <row r="100" spans="1:10" ht="16.5" customHeight="1" x14ac:dyDescent="0.25">
      <c r="A100" s="60" t="str">
        <f t="shared" si="5"/>
        <v>5708</v>
      </c>
      <c r="B100" s="80" t="s">
        <v>113</v>
      </c>
      <c r="C100" s="73" t="s">
        <v>23</v>
      </c>
      <c r="D100" s="74">
        <v>1001063145708</v>
      </c>
      <c r="E100" s="24">
        <v>6</v>
      </c>
      <c r="F100" s="23">
        <v>0.52500000000000002</v>
      </c>
      <c r="G100" s="23">
        <f>E100</f>
        <v>6</v>
      </c>
      <c r="H100" s="14">
        <v>4.2</v>
      </c>
      <c r="I100" s="14">
        <v>120</v>
      </c>
      <c r="J100" s="29"/>
    </row>
    <row r="101" spans="1:10" ht="16.5" customHeight="1" x14ac:dyDescent="0.25">
      <c r="A101" s="60" t="str">
        <f t="shared" ref="A101:A132" si="7">RIGHT(D101,4)</f>
        <v>6832</v>
      </c>
      <c r="B101" s="80" t="s">
        <v>114</v>
      </c>
      <c r="C101" s="73" t="s">
        <v>23</v>
      </c>
      <c r="D101" s="74">
        <v>1001065616832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7"/>
        <v>7299</v>
      </c>
      <c r="B102" s="80" t="s">
        <v>115</v>
      </c>
      <c r="C102" s="73" t="s">
        <v>23</v>
      </c>
      <c r="D102" s="74">
        <v>1001060677299</v>
      </c>
      <c r="E102" s="24"/>
      <c r="F102" s="23"/>
      <c r="G102" s="23">
        <f>E102</f>
        <v>0</v>
      </c>
      <c r="H102" s="14"/>
      <c r="I102" s="14"/>
      <c r="J102" s="29"/>
    </row>
    <row r="103" spans="1:10" ht="16.5" customHeight="1" x14ac:dyDescent="0.25">
      <c r="A103" s="60" t="str">
        <f t="shared" si="7"/>
        <v>4993</v>
      </c>
      <c r="B103" s="80" t="s">
        <v>116</v>
      </c>
      <c r="C103" s="73" t="s">
        <v>32</v>
      </c>
      <c r="D103" s="74">
        <v>1001060764993</v>
      </c>
      <c r="E103" s="24">
        <v>107</v>
      </c>
      <c r="F103" s="23">
        <v>0.25</v>
      </c>
      <c r="G103" s="23">
        <f t="shared" ref="G103:G112" si="8">E103*F103</f>
        <v>26.75</v>
      </c>
      <c r="H103" s="14">
        <v>2</v>
      </c>
      <c r="I103" s="14">
        <v>120</v>
      </c>
      <c r="J103" s="29"/>
    </row>
    <row r="104" spans="1:10" ht="16.5" customHeight="1" x14ac:dyDescent="0.25">
      <c r="A104" s="60" t="str">
        <f t="shared" si="7"/>
        <v>6967</v>
      </c>
      <c r="B104" s="80" t="s">
        <v>117</v>
      </c>
      <c r="C104" s="73" t="s">
        <v>32</v>
      </c>
      <c r="D104" s="74">
        <v>1001063656967</v>
      </c>
      <c r="E104" s="24">
        <v>29</v>
      </c>
      <c r="F104" s="23">
        <v>0.25</v>
      </c>
      <c r="G104" s="23">
        <f t="shared" si="8"/>
        <v>7.25</v>
      </c>
      <c r="H104" s="14"/>
      <c r="I104" s="14"/>
      <c r="J104" s="29"/>
    </row>
    <row r="105" spans="1:10" ht="16.5" customHeight="1" x14ac:dyDescent="0.25">
      <c r="A105" s="60" t="str">
        <f t="shared" si="7"/>
        <v>7382</v>
      </c>
      <c r="B105" s="80" t="s">
        <v>118</v>
      </c>
      <c r="C105" s="73" t="s">
        <v>21</v>
      </c>
      <c r="D105" s="74">
        <v>1001203117382</v>
      </c>
      <c r="E105" s="24">
        <v>153</v>
      </c>
      <c r="F105" s="23">
        <v>0.12</v>
      </c>
      <c r="G105" s="23">
        <f t="shared" si="8"/>
        <v>18.36</v>
      </c>
      <c r="H105" s="14">
        <v>0.96</v>
      </c>
      <c r="I105" s="14">
        <v>60</v>
      </c>
      <c r="J105" s="29"/>
    </row>
    <row r="106" spans="1:10" ht="16.5" customHeight="1" x14ac:dyDescent="0.25">
      <c r="A106" s="60" t="str">
        <f t="shared" si="7"/>
        <v>7147</v>
      </c>
      <c r="B106" s="80" t="s">
        <v>119</v>
      </c>
      <c r="C106" s="73" t="s">
        <v>21</v>
      </c>
      <c r="D106" s="74">
        <v>1001063237147</v>
      </c>
      <c r="E106" s="24"/>
      <c r="F106" s="23">
        <v>0.22</v>
      </c>
      <c r="G106" s="23">
        <f t="shared" si="8"/>
        <v>0</v>
      </c>
      <c r="H106" s="14"/>
      <c r="I106" s="14"/>
      <c r="J106" s="29"/>
    </row>
    <row r="107" spans="1:10" ht="16.5" customHeight="1" x14ac:dyDescent="0.25">
      <c r="A107" s="60" t="str">
        <f t="shared" si="7"/>
        <v>7229</v>
      </c>
      <c r="B107" s="80" t="s">
        <v>120</v>
      </c>
      <c r="C107" s="73" t="s">
        <v>21</v>
      </c>
      <c r="D107" s="74">
        <v>1001063237229</v>
      </c>
      <c r="E107" s="24"/>
      <c r="F107" s="23">
        <v>0.18</v>
      </c>
      <c r="G107" s="23">
        <f t="shared" si="8"/>
        <v>0</v>
      </c>
      <c r="H107" s="14"/>
      <c r="I107" s="14"/>
      <c r="J107" s="29"/>
    </row>
    <row r="108" spans="1:10" ht="16.5" customHeight="1" x14ac:dyDescent="0.25">
      <c r="A108" s="60" t="str">
        <f t="shared" si="7"/>
        <v>7150</v>
      </c>
      <c r="B108" s="80" t="s">
        <v>121</v>
      </c>
      <c r="C108" s="73" t="s">
        <v>23</v>
      </c>
      <c r="D108" s="74">
        <v>1001063237150</v>
      </c>
      <c r="E108" s="24"/>
      <c r="F108" s="23">
        <v>1</v>
      </c>
      <c r="G108" s="23">
        <f t="shared" si="8"/>
        <v>0</v>
      </c>
      <c r="H108" s="14"/>
      <c r="I108" s="14"/>
      <c r="J108" s="29"/>
    </row>
    <row r="109" spans="1:10" ht="16.5" customHeight="1" x14ac:dyDescent="0.25">
      <c r="A109" s="60" t="str">
        <f t="shared" si="7"/>
        <v>7227</v>
      </c>
      <c r="B109" s="80" t="s">
        <v>122</v>
      </c>
      <c r="C109" s="73" t="s">
        <v>21</v>
      </c>
      <c r="D109" s="74">
        <v>1001063097227</v>
      </c>
      <c r="E109" s="24"/>
      <c r="F109" s="23">
        <v>0.18</v>
      </c>
      <c r="G109" s="23">
        <f t="shared" si="8"/>
        <v>0</v>
      </c>
      <c r="H109" s="14"/>
      <c r="I109" s="14"/>
      <c r="J109" s="29"/>
    </row>
    <row r="110" spans="1:10" ht="16.5" customHeight="1" x14ac:dyDescent="0.25">
      <c r="A110" s="60" t="str">
        <f t="shared" si="7"/>
        <v>7225</v>
      </c>
      <c r="B110" s="80" t="s">
        <v>123</v>
      </c>
      <c r="C110" s="73" t="s">
        <v>21</v>
      </c>
      <c r="D110" s="74">
        <v>1001066537225</v>
      </c>
      <c r="E110" s="24"/>
      <c r="F110" s="23">
        <v>0.18</v>
      </c>
      <c r="G110" s="23">
        <f t="shared" si="8"/>
        <v>0</v>
      </c>
      <c r="H110" s="14"/>
      <c r="I110" s="14"/>
      <c r="J110" s="29"/>
    </row>
    <row r="111" spans="1:10" ht="16.5" customHeight="1" x14ac:dyDescent="0.25">
      <c r="A111" s="60" t="str">
        <f t="shared" si="7"/>
        <v>7228</v>
      </c>
      <c r="B111" s="80" t="s">
        <v>124</v>
      </c>
      <c r="C111" s="73" t="s">
        <v>21</v>
      </c>
      <c r="D111" s="74">
        <v>1001066547228</v>
      </c>
      <c r="E111" s="24"/>
      <c r="F111" s="23">
        <v>0.18</v>
      </c>
      <c r="G111" s="23">
        <f t="shared" si="8"/>
        <v>0</v>
      </c>
      <c r="H111" s="14"/>
      <c r="I111" s="14"/>
      <c r="J111" s="29"/>
    </row>
    <row r="112" spans="1:10" ht="16.5" customHeight="1" x14ac:dyDescent="0.25">
      <c r="A112" s="60" t="str">
        <f t="shared" si="7"/>
        <v>6221</v>
      </c>
      <c r="B112" s="80" t="s">
        <v>125</v>
      </c>
      <c r="C112" s="73" t="s">
        <v>21</v>
      </c>
      <c r="D112" s="74">
        <v>1001205376221</v>
      </c>
      <c r="E112" s="24">
        <v>67</v>
      </c>
      <c r="F112" s="23">
        <v>0.09</v>
      </c>
      <c r="G112" s="23">
        <f t="shared" si="8"/>
        <v>6.0299999999999994</v>
      </c>
      <c r="H112" s="14"/>
      <c r="I112" s="14"/>
      <c r="J112" s="29"/>
    </row>
    <row r="113" spans="1:10" ht="16.5" customHeight="1" x14ac:dyDescent="0.25">
      <c r="A113" s="60" t="str">
        <f t="shared" si="7"/>
        <v>4117</v>
      </c>
      <c r="B113" s="80" t="s">
        <v>126</v>
      </c>
      <c r="C113" s="73" t="s">
        <v>23</v>
      </c>
      <c r="D113" s="74">
        <v>1001062504117</v>
      </c>
      <c r="E113" s="24">
        <v>14</v>
      </c>
      <c r="F113" s="23">
        <v>0.50700000000000001</v>
      </c>
      <c r="G113" s="23">
        <f>E113</f>
        <v>14</v>
      </c>
      <c r="H113" s="14">
        <v>4.05</v>
      </c>
      <c r="I113" s="14">
        <v>120</v>
      </c>
      <c r="J113" s="29"/>
    </row>
    <row r="114" spans="1:10" ht="16.5" customHeight="1" x14ac:dyDescent="0.25">
      <c r="A114" s="60" t="str">
        <f t="shared" si="7"/>
        <v>5483</v>
      </c>
      <c r="B114" s="80" t="s">
        <v>127</v>
      </c>
      <c r="C114" s="73" t="s">
        <v>21</v>
      </c>
      <c r="D114" s="74">
        <v>1001062505483</v>
      </c>
      <c r="E114" s="24">
        <v>82</v>
      </c>
      <c r="F114" s="23">
        <v>0.25</v>
      </c>
      <c r="G114" s="23">
        <f>E114*F114</f>
        <v>20.5</v>
      </c>
      <c r="H114" s="14">
        <v>2</v>
      </c>
      <c r="I114" s="14">
        <v>120</v>
      </c>
      <c r="J114" s="29"/>
    </row>
    <row r="115" spans="1:10" ht="16.5" customHeight="1" x14ac:dyDescent="0.25">
      <c r="A115" s="60" t="str">
        <f t="shared" si="7"/>
        <v>6453</v>
      </c>
      <c r="B115" s="80" t="s">
        <v>128</v>
      </c>
      <c r="C115" s="73" t="s">
        <v>32</v>
      </c>
      <c r="D115" s="74">
        <v>1001202506453</v>
      </c>
      <c r="E115" s="24">
        <v>153</v>
      </c>
      <c r="F115" s="23">
        <v>0.1</v>
      </c>
      <c r="G115" s="23">
        <f>E115*F115</f>
        <v>15.3</v>
      </c>
      <c r="H115" s="14">
        <v>1.4</v>
      </c>
      <c r="I115" s="14">
        <v>60</v>
      </c>
      <c r="J115" s="29"/>
    </row>
    <row r="116" spans="1:10" ht="16.5" customHeight="1" x14ac:dyDescent="0.25">
      <c r="A116" s="60" t="str">
        <f t="shared" si="7"/>
        <v>6228</v>
      </c>
      <c r="B116" s="80" t="s">
        <v>129</v>
      </c>
      <c r="C116" s="73" t="s">
        <v>32</v>
      </c>
      <c r="D116" s="74">
        <v>1001225416228</v>
      </c>
      <c r="E116" s="24">
        <v>150</v>
      </c>
      <c r="F116" s="23">
        <v>0.09</v>
      </c>
      <c r="G116" s="23">
        <f>E116*F116</f>
        <v>13.5</v>
      </c>
      <c r="H116" s="14"/>
      <c r="I116" s="14"/>
      <c r="J116" s="29"/>
    </row>
    <row r="117" spans="1:10" ht="16.5" customHeight="1" thickBot="1" x14ac:dyDescent="0.3">
      <c r="A117" s="60" t="str">
        <f t="shared" si="7"/>
        <v>3287</v>
      </c>
      <c r="B117" s="80" t="s">
        <v>130</v>
      </c>
      <c r="C117" s="73" t="s">
        <v>23</v>
      </c>
      <c r="D117" s="74">
        <v>1001060763287</v>
      </c>
      <c r="E117" s="24">
        <v>34</v>
      </c>
      <c r="F117" s="23">
        <v>0.51300000000000001</v>
      </c>
      <c r="G117" s="23">
        <f>E117</f>
        <v>34</v>
      </c>
      <c r="H117" s="14">
        <v>4.0999999999999996</v>
      </c>
      <c r="I117" s="14">
        <v>120</v>
      </c>
      <c r="J117" s="29"/>
    </row>
    <row r="118" spans="1:10" ht="16.5" customHeight="1" thickTop="1" thickBot="1" x14ac:dyDescent="0.3">
      <c r="A118" s="60" t="str">
        <f t="shared" si="7"/>
        <v/>
      </c>
      <c r="B118" s="47" t="s">
        <v>131</v>
      </c>
      <c r="C118" s="47"/>
      <c r="D118" s="47"/>
      <c r="E118" s="47"/>
      <c r="F118" s="47"/>
      <c r="G118" s="23"/>
      <c r="H118" s="47"/>
      <c r="I118" s="47"/>
      <c r="J118" s="48"/>
    </row>
    <row r="119" spans="1:10" ht="16.5" customHeight="1" thickTop="1" x14ac:dyDescent="0.25">
      <c r="A119" s="60" t="str">
        <f t="shared" si="7"/>
        <v>6866</v>
      </c>
      <c r="B119" s="77" t="s">
        <v>132</v>
      </c>
      <c r="C119" s="73" t="s">
        <v>37</v>
      </c>
      <c r="D119" s="79">
        <v>1001095716866</v>
      </c>
      <c r="E119" s="24"/>
      <c r="F119" s="23"/>
      <c r="G119" s="23">
        <f>E119</f>
        <v>0</v>
      </c>
      <c r="H119" s="14"/>
      <c r="I119" s="14"/>
      <c r="J119" s="29"/>
    </row>
    <row r="120" spans="1:10" ht="16.5" customHeight="1" x14ac:dyDescent="0.25">
      <c r="A120" s="60" t="str">
        <f t="shared" si="7"/>
        <v>3215</v>
      </c>
      <c r="B120" s="80" t="s">
        <v>133</v>
      </c>
      <c r="C120" s="73" t="s">
        <v>32</v>
      </c>
      <c r="D120" s="42">
        <v>1001094053215</v>
      </c>
      <c r="E120" s="24">
        <v>140</v>
      </c>
      <c r="F120" s="23">
        <v>0.4</v>
      </c>
      <c r="G120" s="23">
        <f>E120*F120</f>
        <v>56</v>
      </c>
      <c r="H120" s="14">
        <v>3.2</v>
      </c>
      <c r="I120" s="14">
        <v>60</v>
      </c>
      <c r="J120" s="29"/>
    </row>
    <row r="121" spans="1:10" ht="16.5" customHeight="1" x14ac:dyDescent="0.25">
      <c r="A121" s="60" t="str">
        <f t="shared" si="7"/>
        <v>5452</v>
      </c>
      <c r="B121" s="51" t="s">
        <v>134</v>
      </c>
      <c r="C121" s="73" t="s">
        <v>23</v>
      </c>
      <c r="D121" s="42">
        <v>1001092485452</v>
      </c>
      <c r="E121" s="24">
        <v>92</v>
      </c>
      <c r="F121" s="23">
        <v>1.367</v>
      </c>
      <c r="G121" s="23">
        <f>E121</f>
        <v>92</v>
      </c>
      <c r="H121" s="14">
        <v>4.0999999999999996</v>
      </c>
      <c r="I121" s="14">
        <v>60</v>
      </c>
      <c r="J121" s="29"/>
    </row>
    <row r="122" spans="1:10" ht="16.5" customHeight="1" x14ac:dyDescent="0.25">
      <c r="A122" s="60" t="str">
        <f t="shared" si="7"/>
        <v>5495</v>
      </c>
      <c r="B122" s="51" t="s">
        <v>135</v>
      </c>
      <c r="C122" s="73" t="s">
        <v>21</v>
      </c>
      <c r="D122" s="42">
        <v>1001093345495</v>
      </c>
      <c r="E122" s="24">
        <v>135</v>
      </c>
      <c r="F122" s="23">
        <v>0.4</v>
      </c>
      <c r="G122" s="23">
        <f>E122*F122</f>
        <v>54</v>
      </c>
      <c r="H122" s="14">
        <v>2.4</v>
      </c>
      <c r="I122" s="14">
        <v>60</v>
      </c>
      <c r="J122" s="29"/>
    </row>
    <row r="123" spans="1:10" ht="15.75" customHeight="1" thickBot="1" x14ac:dyDescent="0.3">
      <c r="A123" s="60" t="str">
        <f t="shared" si="7"/>
        <v>6495</v>
      </c>
      <c r="B123" s="51" t="s">
        <v>136</v>
      </c>
      <c r="C123" s="73" t="s">
        <v>21</v>
      </c>
      <c r="D123" s="42">
        <v>1001092436495</v>
      </c>
      <c r="E123" s="24"/>
      <c r="F123" s="23">
        <v>0.3</v>
      </c>
      <c r="G123" s="23">
        <f>E123*F123</f>
        <v>0</v>
      </c>
      <c r="H123" s="14">
        <v>1.8</v>
      </c>
      <c r="I123" s="14">
        <v>45</v>
      </c>
      <c r="J123" s="29"/>
    </row>
    <row r="124" spans="1:10" ht="16.5" customHeight="1" thickTop="1" thickBot="1" x14ac:dyDescent="0.3">
      <c r="A124" s="60" t="str">
        <f t="shared" si="7"/>
        <v/>
      </c>
      <c r="B124" s="47" t="s">
        <v>137</v>
      </c>
      <c r="C124" s="47"/>
      <c r="D124" s="47"/>
      <c r="E124" s="47"/>
      <c r="F124" s="47"/>
      <c r="G124" s="23"/>
      <c r="H124" s="47"/>
      <c r="I124" s="47"/>
      <c r="J124" s="48"/>
    </row>
    <row r="125" spans="1:10" ht="16.5" customHeight="1" thickTop="1" x14ac:dyDescent="0.25">
      <c r="A125" s="60" t="str">
        <f t="shared" si="7"/>
        <v>6448</v>
      </c>
      <c r="B125" s="37" t="s">
        <v>138</v>
      </c>
      <c r="C125" s="73" t="s">
        <v>32</v>
      </c>
      <c r="D125" s="74">
        <v>1001234146448</v>
      </c>
      <c r="E125" s="24"/>
      <c r="F125" s="23">
        <v>0.1</v>
      </c>
      <c r="G125" s="23">
        <f>E125*F125</f>
        <v>0</v>
      </c>
      <c r="H125" s="14">
        <v>1</v>
      </c>
      <c r="I125" s="14">
        <v>45</v>
      </c>
      <c r="J125" s="29"/>
    </row>
    <row r="126" spans="1:10" ht="16.5" customHeight="1" x14ac:dyDescent="0.25">
      <c r="A126" s="60" t="str">
        <f t="shared" si="7"/>
        <v>6620</v>
      </c>
      <c r="B126" s="37" t="s">
        <v>139</v>
      </c>
      <c r="C126" s="73" t="s">
        <v>23</v>
      </c>
      <c r="D126" s="74">
        <v>1001081596620</v>
      </c>
      <c r="E126" s="24"/>
      <c r="F126" s="23"/>
      <c r="G126" s="23">
        <f>E126</f>
        <v>0</v>
      </c>
      <c r="H126" s="14"/>
      <c r="I126" s="14"/>
      <c r="J126" s="29"/>
    </row>
    <row r="127" spans="1:10" ht="16.5" customHeight="1" x14ac:dyDescent="0.25">
      <c r="A127" s="60" t="str">
        <f t="shared" si="7"/>
        <v>6279</v>
      </c>
      <c r="B127" s="37" t="s">
        <v>140</v>
      </c>
      <c r="C127" s="73" t="s">
        <v>21</v>
      </c>
      <c r="D127" s="74">
        <v>1001220286279</v>
      </c>
      <c r="E127" s="24">
        <v>31</v>
      </c>
      <c r="F127" s="23">
        <v>0.15</v>
      </c>
      <c r="G127" s="23">
        <f>F127*E127</f>
        <v>4.6499999999999995</v>
      </c>
      <c r="H127" s="14"/>
      <c r="I127" s="14"/>
      <c r="J127" s="29"/>
    </row>
    <row r="128" spans="1:10" ht="16.5" customHeight="1" x14ac:dyDescent="0.25">
      <c r="A128" s="60" t="str">
        <f t="shared" si="7"/>
        <v>6208</v>
      </c>
      <c r="B128" s="37" t="s">
        <v>141</v>
      </c>
      <c r="C128" s="73" t="s">
        <v>21</v>
      </c>
      <c r="D128" s="74">
        <v>1001220226208</v>
      </c>
      <c r="E128" s="24"/>
      <c r="F128" s="23">
        <v>0.15</v>
      </c>
      <c r="G128" s="23">
        <f>F128*E128</f>
        <v>0</v>
      </c>
      <c r="H128" s="14"/>
      <c r="I128" s="14"/>
      <c r="J128" s="29"/>
    </row>
    <row r="129" spans="1:11" ht="16.5" customHeight="1" x14ac:dyDescent="0.25">
      <c r="A129" s="60" t="str">
        <f t="shared" si="7"/>
        <v>7090</v>
      </c>
      <c r="B129" s="37" t="s">
        <v>142</v>
      </c>
      <c r="C129" s="73" t="s">
        <v>32</v>
      </c>
      <c r="D129" s="74">
        <v>1001084217090</v>
      </c>
      <c r="E129" s="24">
        <v>168</v>
      </c>
      <c r="F129" s="23">
        <v>0.3</v>
      </c>
      <c r="G129" s="23">
        <f>E129*F129</f>
        <v>50.4</v>
      </c>
      <c r="H129" s="14">
        <v>1.8</v>
      </c>
      <c r="I129" s="14">
        <v>45</v>
      </c>
      <c r="J129" s="29"/>
    </row>
    <row r="130" spans="1:11" ht="16.5" customHeight="1" x14ac:dyDescent="0.25">
      <c r="A130" s="60" t="str">
        <f t="shared" si="7"/>
        <v>7187</v>
      </c>
      <c r="B130" s="37" t="s">
        <v>143</v>
      </c>
      <c r="C130" s="73" t="s">
        <v>32</v>
      </c>
      <c r="D130" s="74">
        <v>1001085637187</v>
      </c>
      <c r="E130" s="24">
        <v>30</v>
      </c>
      <c r="F130" s="23">
        <v>0.3</v>
      </c>
      <c r="G130" s="23">
        <f>E130*F130</f>
        <v>9</v>
      </c>
      <c r="H130" s="14"/>
      <c r="I130" s="14"/>
      <c r="J130" s="29"/>
    </row>
    <row r="131" spans="1:11" s="71" customFormat="1" ht="16.5" customHeight="1" x14ac:dyDescent="0.25">
      <c r="A131" s="60" t="str">
        <f t="shared" si="7"/>
        <v>7103</v>
      </c>
      <c r="B131" s="59" t="s">
        <v>144</v>
      </c>
      <c r="C131" s="54" t="s">
        <v>32</v>
      </c>
      <c r="D131" s="55">
        <v>1001223297103</v>
      </c>
      <c r="E131" s="24">
        <v>80</v>
      </c>
      <c r="F131" s="75">
        <v>0.18</v>
      </c>
      <c r="G131" s="23">
        <f>E131*F131</f>
        <v>14.399999999999999</v>
      </c>
      <c r="H131" s="76">
        <v>1.8</v>
      </c>
      <c r="I131" s="76">
        <v>45</v>
      </c>
      <c r="J131" s="76"/>
      <c r="K131" s="27"/>
    </row>
    <row r="132" spans="1:11" ht="16.5" customHeight="1" thickBot="1" x14ac:dyDescent="0.3">
      <c r="A132" s="60" t="str">
        <f t="shared" si="7"/>
        <v>6872</v>
      </c>
      <c r="B132" s="37" t="s">
        <v>145</v>
      </c>
      <c r="C132" s="73" t="s">
        <v>23</v>
      </c>
      <c r="D132" s="74">
        <v>1002162216872</v>
      </c>
      <c r="E132" s="24"/>
      <c r="F132" s="23"/>
      <c r="G132" s="23">
        <f>E132</f>
        <v>0</v>
      </c>
      <c r="H132" s="14"/>
      <c r="I132" s="14">
        <v>90</v>
      </c>
      <c r="J132" s="29"/>
    </row>
    <row r="133" spans="1:11" ht="16.5" customHeight="1" thickTop="1" thickBot="1" x14ac:dyDescent="0.3">
      <c r="A133" s="63"/>
      <c r="B133" s="50" t="s">
        <v>146</v>
      </c>
      <c r="C133" s="16"/>
      <c r="D133" s="38"/>
      <c r="E133" s="17">
        <f>SUM(E10:E132)</f>
        <v>7432</v>
      </c>
      <c r="F133" s="17"/>
      <c r="G133" s="17">
        <f>SUM(G11:G132)</f>
        <v>3531.9100000000003</v>
      </c>
      <c r="H133" s="17"/>
      <c r="I133" s="17"/>
      <c r="J133" s="17"/>
    </row>
    <row r="134" spans="1:11" ht="15.75" customHeight="1" thickTop="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</sheetData>
  <autoFilter ref="A9:J133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2026-01-21T11:29:28Z</dcterms:modified>
</cp:coreProperties>
</file>