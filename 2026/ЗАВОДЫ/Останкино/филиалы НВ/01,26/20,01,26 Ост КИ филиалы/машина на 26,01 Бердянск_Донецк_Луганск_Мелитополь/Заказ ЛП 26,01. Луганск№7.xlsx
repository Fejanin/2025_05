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377AB742-B2B3-49E3-82BD-E585D17EE5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  <c r="F3" i="1"/>
</calcChain>
</file>

<file path=xl/sharedStrings.xml><?xml version="1.0" encoding="utf-8"?>
<sst xmlns="http://schemas.openxmlformats.org/spreadsheetml/2006/main" count="258" uniqueCount="147">
  <si>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</si>
  <si>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</si>
  <si>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</si>
  <si>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</si>
  <si>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</si>
  <si>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</si>
  <si>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</si>
  <si>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</si>
  <si>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</si>
  <si>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</si>
  <si>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</si>
  <si>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</si>
  <si>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</si>
  <si>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</si>
  <si>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</si>
  <si>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</si>
  <si>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</si>
  <si>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</si>
  <si>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</si>
  <si>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</si>
  <si>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</si>
  <si>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</si>
  <si>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</si>
  <si>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</si>
  <si>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</si>
  <si>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</si>
  <si>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</si>
  <si>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</si>
  <si>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</si>
  <si>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</si>
  <si>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</si>
  <si>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</si>
  <si>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</si>
  <si>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</si>
  <si>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</si>
  <si>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</si>
  <si>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</si>
  <si>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</si>
  <si>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</si>
  <si>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</si>
  <si>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</si>
  <si>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</si>
  <si>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</si>
  <si>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</si>
  <si>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</si>
  <si>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</si>
  <si>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</si>
  <si>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</si>
  <si>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</si>
  <si>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</si>
  <si>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</si>
  <si>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</si>
  <si>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</si>
  <si>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</si>
  <si>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</si>
  <si>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</si>
  <si>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</si>
  <si>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</si>
  <si>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</si>
  <si>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</si>
  <si>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</si>
  <si>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</si>
  <si>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</si>
  <si>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</si>
  <si>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</si>
  <si>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</si>
  <si>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</si>
  <si>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</si>
  <si>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</si>
  <si>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</si>
  <si>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</si>
  <si>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</si>
  <si>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</si>
  <si>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</si>
  <si>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</si>
  <si>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</si>
  <si>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</si>
  <si>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</si>
  <si>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</si>
  <si>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</si>
  <si>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</si>
  <si>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</si>
  <si>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</si>
  <si>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</si>
  <si>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</si>
  <si>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</si>
  <si>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</si>
  <si>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</si>
  <si>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</si>
  <si>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</si>
  <si>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</si>
  <si>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</si>
  <si>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</si>
  <si>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</si>
  <si>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</si>
  <si>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</si>
  <si>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</si>
  <si>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</si>
  <si>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</si>
  <si>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</si>
  <si>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</si>
  <si>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</si>
  <si>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</si>
  <si>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</si>
  <si>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</si>
  <si>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</si>
  <si>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</si>
  <si>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</si>
  <si>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</si>
  <si>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</si>
  <si>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</si>
  <si>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БАЛЫК с/к с/н в/у 1/100 10шт.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</si>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</sst>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45683</v>
      </c>
      <c r="E3" s="7" t="s">
        <v>3</v>
      </c>
      <c r="F3" s="83">
        <f>D3+3</f>
        <v>45686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>
        <v>270</v>
      </c>
      <c r="F13" s="23">
        <v>0.4</v>
      </c>
      <c r="G13" s="23">
        <f>E13*F13</f>
        <v>108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>
        <v>261</v>
      </c>
      <c r="F15" s="23">
        <v>1.35</v>
      </c>
      <c r="G15" s="23">
        <f>E15</f>
        <v>261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>
        <v>174</v>
      </c>
      <c r="F22" s="23">
        <v>1.35</v>
      </c>
      <c r="G22" s="23">
        <f>E22</f>
        <v>174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>
        <v>110</v>
      </c>
      <c r="F23" s="23">
        <v>0.4</v>
      </c>
      <c r="G23" s="23">
        <f>E23*F23</f>
        <v>44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/>
      <c r="F25" s="23">
        <v>0.4</v>
      </c>
      <c r="G25" s="23">
        <f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40</v>
      </c>
      <c r="C26" s="73" t="s">
        <v>22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41</v>
      </c>
      <c r="C27" s="73" t="s">
        <v>22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42</v>
      </c>
      <c r="C28" s="73" t="s">
        <v>22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43</v>
      </c>
      <c r="C29" s="73" t="s">
        <v>22</v>
      </c>
      <c r="D29" s="74">
        <v>1001010016324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44</v>
      </c>
      <c r="C30" s="73" t="s">
        <v>24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45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46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47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48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49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1"/>
        <v>7255</v>
      </c>
      <c r="B36" s="64" t="s">
        <v>50</v>
      </c>
      <c r="C36" s="65" t="s">
        <v>33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1"/>
        <v>6602</v>
      </c>
      <c r="B37" s="80" t="s">
        <v>51</v>
      </c>
      <c r="C37" s="73" t="s">
        <v>33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1"/>
        <v>6303</v>
      </c>
      <c r="B38" s="56" t="s">
        <v>52</v>
      </c>
      <c r="C38" s="54" t="s">
        <v>24</v>
      </c>
      <c r="D38" s="55">
        <v>1001022726303</v>
      </c>
      <c r="E38" s="24">
        <v>214</v>
      </c>
      <c r="F38" s="23">
        <v>1.05</v>
      </c>
      <c r="G38" s="23">
        <f>E38</f>
        <v>214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5819</v>
      </c>
      <c r="B39" s="36" t="s">
        <v>53</v>
      </c>
      <c r="C39" s="73" t="s">
        <v>22</v>
      </c>
      <c r="D39" s="74">
        <v>1001022725819</v>
      </c>
      <c r="E39" s="24"/>
      <c r="F39" s="23">
        <v>0.4</v>
      </c>
      <c r="G39" s="23">
        <f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1"/>
        <v>6762</v>
      </c>
      <c r="B40" s="36" t="s">
        <v>54</v>
      </c>
      <c r="C40" s="73" t="s">
        <v>22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6765</v>
      </c>
      <c r="B41" s="36" t="s">
        <v>55</v>
      </c>
      <c r="C41" s="73" t="s">
        <v>22</v>
      </c>
      <c r="D41" s="74">
        <v>1001023696765</v>
      </c>
      <c r="E41" s="24"/>
      <c r="F41" s="23">
        <v>0.36</v>
      </c>
      <c r="G41" s="23">
        <f>E41*F41</f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6759</v>
      </c>
      <c r="B42" s="36" t="s">
        <v>56</v>
      </c>
      <c r="C42" s="73" t="s">
        <v>22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6616</v>
      </c>
      <c r="B43" s="36" t="s">
        <v>57</v>
      </c>
      <c r="C43" s="73" t="s">
        <v>22</v>
      </c>
      <c r="D43" s="74">
        <v>1001024976616</v>
      </c>
      <c r="E43" s="24">
        <v>122</v>
      </c>
      <c r="F43" s="23">
        <v>0.3</v>
      </c>
      <c r="G43" s="23">
        <f>E43*F43</f>
        <v>36.6</v>
      </c>
      <c r="H43" s="14"/>
      <c r="I43" s="14"/>
      <c r="J43" s="29"/>
      <c r="K43" s="27"/>
    </row>
    <row r="44" spans="1:11" ht="16.5" customHeight="1" x14ac:dyDescent="0.25">
      <c r="A44" s="60" t="str">
        <f t="shared" si="1"/>
        <v>7082</v>
      </c>
      <c r="B44" s="35" t="s">
        <v>58</v>
      </c>
      <c r="C44" s="73" t="s">
        <v>24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1"/>
        <v>6767</v>
      </c>
      <c r="B45" s="35" t="s">
        <v>59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1"/>
        <v>7070</v>
      </c>
      <c r="B46" s="35" t="s">
        <v>60</v>
      </c>
      <c r="C46" s="73" t="s">
        <v>24</v>
      </c>
      <c r="D46" s="74">
        <v>1001022377070</v>
      </c>
      <c r="E46" s="24">
        <v>189</v>
      </c>
      <c r="F46" s="23"/>
      <c r="G46" s="23">
        <f>E46</f>
        <v>189</v>
      </c>
      <c r="H46" s="14"/>
      <c r="I46" s="14"/>
      <c r="J46" s="29"/>
    </row>
    <row r="47" spans="1:11" s="15" customFormat="1" ht="16.5" customHeight="1" x14ac:dyDescent="0.25">
      <c r="A47" s="60" t="str">
        <f t="shared" si="1"/>
        <v>6661</v>
      </c>
      <c r="B47" s="53" t="s">
        <v>61</v>
      </c>
      <c r="C47" s="54" t="s">
        <v>24</v>
      </c>
      <c r="D47" s="55">
        <v>1001022246661</v>
      </c>
      <c r="E47" s="24">
        <v>153</v>
      </c>
      <c r="F47" s="23">
        <v>1</v>
      </c>
      <c r="G47" s="23">
        <f>E47</f>
        <v>153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1"/>
        <v>6475</v>
      </c>
      <c r="B48" s="80" t="s">
        <v>62</v>
      </c>
      <c r="C48" s="73" t="s">
        <v>22</v>
      </c>
      <c r="D48" s="74">
        <v>1001025176475</v>
      </c>
      <c r="E48" s="24">
        <v>124</v>
      </c>
      <c r="F48" s="23">
        <v>0.4</v>
      </c>
      <c r="G48" s="23">
        <f>E48*F48</f>
        <v>49.6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1"/>
        <v>6713</v>
      </c>
      <c r="B49" s="57" t="s">
        <v>63</v>
      </c>
      <c r="C49" s="54" t="s">
        <v>22</v>
      </c>
      <c r="D49" s="55">
        <v>1001022246713</v>
      </c>
      <c r="E49" s="24">
        <v>447</v>
      </c>
      <c r="F49" s="23">
        <v>0.41</v>
      </c>
      <c r="G49" s="23">
        <f>E49*F49</f>
        <v>183.26999999999998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1"/>
        <v>6837</v>
      </c>
      <c r="B50" s="52" t="s">
        <v>64</v>
      </c>
      <c r="C50" s="73" t="s">
        <v>22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1"/>
        <v>7284</v>
      </c>
      <c r="B51" s="82" t="s">
        <v>65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1"/>
        <v>6764</v>
      </c>
      <c r="B52" s="52" t="s">
        <v>66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1"/>
        <v>6829</v>
      </c>
      <c r="B53" s="57" t="s">
        <v>67</v>
      </c>
      <c r="C53" s="54" t="s">
        <v>24</v>
      </c>
      <c r="D53" s="55">
        <v>1001024976829</v>
      </c>
      <c r="E53" s="24">
        <v>321</v>
      </c>
      <c r="F53" s="23">
        <v>1.0249999999999999</v>
      </c>
      <c r="G53" s="23">
        <f>E53</f>
        <v>321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1"/>
        <v>7075</v>
      </c>
      <c r="B54" s="82" t="s">
        <v>68</v>
      </c>
      <c r="C54" s="73" t="s">
        <v>24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1"/>
        <v>7073</v>
      </c>
      <c r="B55" s="82" t="s">
        <v>69</v>
      </c>
      <c r="C55" s="73" t="s">
        <v>22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1"/>
        <v>6724</v>
      </c>
      <c r="B56" s="82" t="s">
        <v>70</v>
      </c>
      <c r="C56" s="73" t="s">
        <v>22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1"/>
        <v>6761</v>
      </c>
      <c r="B57" s="52" t="s">
        <v>71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1"/>
        <v>7080</v>
      </c>
      <c r="B58" s="57" t="s">
        <v>72</v>
      </c>
      <c r="C58" s="54" t="s">
        <v>22</v>
      </c>
      <c r="D58" s="55">
        <v>1001022467080</v>
      </c>
      <c r="E58" s="24">
        <v>179</v>
      </c>
      <c r="F58" s="23">
        <v>0.41</v>
      </c>
      <c r="G58" s="23">
        <f>E58*F58</f>
        <v>73.39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ref="A59:A90" si="2">RIGHT(D59,4)</f>
        <v>7276</v>
      </c>
      <c r="B59" s="57" t="s">
        <v>73</v>
      </c>
      <c r="C59" s="54" t="s">
        <v>22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2"/>
        <v>7066</v>
      </c>
      <c r="B60" s="57" t="s">
        <v>74</v>
      </c>
      <c r="C60" s="54" t="s">
        <v>22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2"/>
        <v/>
      </c>
      <c r="B61" s="47" t="s">
        <v>75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2"/>
        <v>7001</v>
      </c>
      <c r="B62" s="81" t="s">
        <v>76</v>
      </c>
      <c r="C62" s="54" t="s">
        <v>38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2"/>
        <v>6527</v>
      </c>
      <c r="B63" s="82" t="s">
        <v>77</v>
      </c>
      <c r="C63" s="73" t="s">
        <v>38</v>
      </c>
      <c r="D63" s="74">
        <v>1001031076527</v>
      </c>
      <c r="E63" s="24">
        <v>110</v>
      </c>
      <c r="F63" s="23">
        <v>1</v>
      </c>
      <c r="G63" s="23">
        <f>E63</f>
        <v>110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2"/>
        <v>6550</v>
      </c>
      <c r="B64" s="52" t="s">
        <v>78</v>
      </c>
      <c r="C64" s="73" t="s">
        <v>24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2"/>
        <v>6608</v>
      </c>
      <c r="B65" s="52" t="s">
        <v>79</v>
      </c>
      <c r="C65" s="73" t="s">
        <v>24</v>
      </c>
      <c r="D65" s="74">
        <v>1001033856608</v>
      </c>
      <c r="E65" s="24">
        <v>155</v>
      </c>
      <c r="F65" s="23">
        <v>0.99</v>
      </c>
      <c r="G65" s="23">
        <f>E65</f>
        <v>155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2"/>
        <v/>
      </c>
      <c r="B66" s="47" t="s">
        <v>80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2"/>
        <v>6586</v>
      </c>
      <c r="B67" s="80" t="s">
        <v>81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3">E67*F67</f>
        <v>0</v>
      </c>
      <c r="H67" s="14"/>
      <c r="I67" s="14"/>
      <c r="J67" s="29"/>
    </row>
    <row r="68" spans="1:10" ht="16.5" customHeight="1" x14ac:dyDescent="0.25">
      <c r="A68" s="60" t="str">
        <f t="shared" si="2"/>
        <v>6459</v>
      </c>
      <c r="B68" s="80" t="s">
        <v>82</v>
      </c>
      <c r="C68" s="73" t="s">
        <v>22</v>
      </c>
      <c r="D68" s="74">
        <v>1001214196459</v>
      </c>
      <c r="E68" s="24"/>
      <c r="F68" s="23">
        <v>0.1</v>
      </c>
      <c r="G68" s="23">
        <f t="shared" si="3"/>
        <v>0</v>
      </c>
      <c r="H68" s="14"/>
      <c r="I68" s="14"/>
      <c r="J68" s="29"/>
    </row>
    <row r="69" spans="1:10" ht="16.5" customHeight="1" x14ac:dyDescent="0.25">
      <c r="A69" s="60" t="str">
        <f t="shared" si="2"/>
        <v>7232</v>
      </c>
      <c r="B69" s="51" t="s">
        <v>83</v>
      </c>
      <c r="C69" s="73" t="s">
        <v>22</v>
      </c>
      <c r="D69" s="74">
        <v>1001302277232</v>
      </c>
      <c r="E69" s="24"/>
      <c r="F69" s="23">
        <v>0.28000000000000003</v>
      </c>
      <c r="G69" s="23">
        <f t="shared" si="3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2"/>
        <v>7332</v>
      </c>
      <c r="B70" s="51" t="s">
        <v>84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3"/>
        <v>0</v>
      </c>
      <c r="H70" s="14"/>
      <c r="I70" s="14"/>
      <c r="J70" s="29"/>
    </row>
    <row r="71" spans="1:10" ht="16.5" customHeight="1" x14ac:dyDescent="0.25">
      <c r="A71" s="60" t="str">
        <f t="shared" si="2"/>
        <v>7241</v>
      </c>
      <c r="B71" s="51" t="s">
        <v>85</v>
      </c>
      <c r="C71" s="73" t="s">
        <v>22</v>
      </c>
      <c r="D71" s="74">
        <v>1001303107241</v>
      </c>
      <c r="E71" s="24">
        <v>326</v>
      </c>
      <c r="F71" s="23">
        <v>0.28000000000000003</v>
      </c>
      <c r="G71" s="23">
        <f t="shared" si="3"/>
        <v>91.280000000000015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2"/>
        <v>7154</v>
      </c>
      <c r="B72" s="51" t="s">
        <v>86</v>
      </c>
      <c r="C72" s="73" t="s">
        <v>22</v>
      </c>
      <c r="D72" s="74">
        <v>1001300387154</v>
      </c>
      <c r="E72" s="24">
        <v>206</v>
      </c>
      <c r="F72" s="23">
        <v>0.35</v>
      </c>
      <c r="G72" s="23">
        <f t="shared" si="3"/>
        <v>72.099999999999994</v>
      </c>
      <c r="H72" s="14"/>
      <c r="I72" s="14">
        <v>50</v>
      </c>
      <c r="J72" s="29"/>
    </row>
    <row r="73" spans="1:10" ht="16.5" customHeight="1" x14ac:dyDescent="0.25">
      <c r="A73" s="60" t="str">
        <f t="shared" si="2"/>
        <v>6787</v>
      </c>
      <c r="B73" s="53" t="s">
        <v>87</v>
      </c>
      <c r="C73" s="54" t="s">
        <v>22</v>
      </c>
      <c r="D73" s="55">
        <v>1001300456787</v>
      </c>
      <c r="E73" s="24"/>
      <c r="F73" s="75">
        <v>0.33</v>
      </c>
      <c r="G73" s="23">
        <f t="shared" si="3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2"/>
        <v>6697</v>
      </c>
      <c r="B74" s="51" t="s">
        <v>88</v>
      </c>
      <c r="C74" s="73" t="s">
        <v>22</v>
      </c>
      <c r="D74" s="74">
        <v>1001301876697</v>
      </c>
      <c r="E74" s="24">
        <v>209</v>
      </c>
      <c r="F74" s="23">
        <v>0.35</v>
      </c>
      <c r="G74" s="23">
        <f t="shared" si="3"/>
        <v>73.149999999999991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2"/>
        <v>7237</v>
      </c>
      <c r="B75" s="51" t="s">
        <v>89</v>
      </c>
      <c r="C75" s="73" t="s">
        <v>22</v>
      </c>
      <c r="D75" s="74">
        <v>1001304497237</v>
      </c>
      <c r="E75" s="24">
        <v>138</v>
      </c>
      <c r="F75" s="23">
        <v>0.28000000000000003</v>
      </c>
      <c r="G75" s="23">
        <f t="shared" si="3"/>
        <v>38.64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2"/>
        <v>7236</v>
      </c>
      <c r="B76" s="53" t="s">
        <v>90</v>
      </c>
      <c r="C76" s="54" t="s">
        <v>22</v>
      </c>
      <c r="D76" s="55">
        <v>1001304507236</v>
      </c>
      <c r="E76" s="24"/>
      <c r="F76" s="23">
        <v>0.28000000000000003</v>
      </c>
      <c r="G76" s="23">
        <f t="shared" si="3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2"/>
        <v>7333</v>
      </c>
      <c r="B77" s="53" t="s">
        <v>91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3"/>
        <v>0</v>
      </c>
      <c r="H77" s="14"/>
      <c r="I77" s="14"/>
      <c r="J77" s="29"/>
    </row>
    <row r="78" spans="1:10" ht="16.5" customHeight="1" x14ac:dyDescent="0.25">
      <c r="A78" s="60" t="str">
        <f t="shared" si="2"/>
        <v>7169</v>
      </c>
      <c r="B78" s="58" t="s">
        <v>92</v>
      </c>
      <c r="C78" s="54" t="s">
        <v>33</v>
      </c>
      <c r="D78" s="55">
        <v>1001303987169</v>
      </c>
      <c r="E78" s="24">
        <v>286</v>
      </c>
      <c r="F78" s="23">
        <v>0.35</v>
      </c>
      <c r="G78" s="23">
        <f t="shared" si="3"/>
        <v>100.1</v>
      </c>
      <c r="H78" s="14"/>
      <c r="I78" s="14">
        <v>50</v>
      </c>
      <c r="J78" s="29"/>
    </row>
    <row r="79" spans="1:10" ht="16.5" customHeight="1" x14ac:dyDescent="0.25">
      <c r="A79" s="60" t="str">
        <f t="shared" si="2"/>
        <v>7166</v>
      </c>
      <c r="B79" s="45" t="s">
        <v>93</v>
      </c>
      <c r="C79" s="73" t="s">
        <v>24</v>
      </c>
      <c r="D79" s="74">
        <v>1001303987166</v>
      </c>
      <c r="E79" s="24">
        <v>205</v>
      </c>
      <c r="F79" s="23">
        <v>1</v>
      </c>
      <c r="G79" s="23">
        <f>E79</f>
        <v>205</v>
      </c>
      <c r="H79" s="14"/>
      <c r="I79" s="14">
        <v>50</v>
      </c>
      <c r="J79" s="29"/>
    </row>
    <row r="80" spans="1:10" ht="15.75" customHeight="1" x14ac:dyDescent="0.25">
      <c r="A80" s="60" t="str">
        <f t="shared" si="2"/>
        <v>5544</v>
      </c>
      <c r="B80" s="80" t="s">
        <v>94</v>
      </c>
      <c r="C80" s="73" t="s">
        <v>24</v>
      </c>
      <c r="D80" s="74">
        <v>1001051875544</v>
      </c>
      <c r="E80" s="24">
        <v>240</v>
      </c>
      <c r="F80" s="23">
        <v>0.83399999999999996</v>
      </c>
      <c r="G80" s="23">
        <f>E80</f>
        <v>240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2"/>
        <v>7133</v>
      </c>
      <c r="B81" s="80" t="s">
        <v>95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2"/>
        <v>6791</v>
      </c>
      <c r="B82" s="80" t="s">
        <v>96</v>
      </c>
      <c r="C82" s="73" t="s">
        <v>22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2"/>
        <v>6792</v>
      </c>
      <c r="B83" s="80" t="s">
        <v>97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2"/>
        <v>7157</v>
      </c>
      <c r="B84" s="80" t="s">
        <v>98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2"/>
        <v>6793</v>
      </c>
      <c r="B85" s="80" t="s">
        <v>99</v>
      </c>
      <c r="C85" s="73" t="s">
        <v>22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2"/>
        <v>7131</v>
      </c>
      <c r="B86" s="80" t="s">
        <v>100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2"/>
        <v>7144</v>
      </c>
      <c r="B87" s="80" t="s">
        <v>101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2"/>
        <v>7146</v>
      </c>
      <c r="B88" s="80" t="s">
        <v>102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2"/>
        <v>7135</v>
      </c>
      <c r="B89" s="80" t="s">
        <v>103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2"/>
        <v>7134</v>
      </c>
      <c r="B90" s="80" t="s">
        <v>104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ref="A91:A122" si="4">RIGHT(D91,4)</f>
        <v>6807</v>
      </c>
      <c r="B91" s="80" t="s">
        <v>105</v>
      </c>
      <c r="C91" s="73" t="s">
        <v>22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4"/>
        <v/>
      </c>
      <c r="B92" s="47" t="s">
        <v>106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4"/>
        <v>5931</v>
      </c>
      <c r="B93" s="64" t="s">
        <v>107</v>
      </c>
      <c r="C93" s="65" t="s">
        <v>22</v>
      </c>
      <c r="D93" s="66">
        <v>1001060755931</v>
      </c>
      <c r="E93" s="24"/>
      <c r="F93" s="67">
        <v>0.22</v>
      </c>
      <c r="G93" s="23">
        <f t="shared" ref="G93:G98" si="5"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4"/>
        <v>6834</v>
      </c>
      <c r="B94" s="53" t="s">
        <v>108</v>
      </c>
      <c r="C94" s="54" t="s">
        <v>22</v>
      </c>
      <c r="D94" s="55">
        <v>1001203146834</v>
      </c>
      <c r="E94" s="24"/>
      <c r="F94" s="75">
        <v>0.1</v>
      </c>
      <c r="G94" s="23">
        <f t="shared" si="5"/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4"/>
        <v>7092</v>
      </c>
      <c r="B95" s="80" t="s">
        <v>109</v>
      </c>
      <c r="C95" s="73" t="s">
        <v>22</v>
      </c>
      <c r="D95" s="74">
        <v>1001223297092</v>
      </c>
      <c r="E95" s="24"/>
      <c r="F95" s="23">
        <v>0.14000000000000001</v>
      </c>
      <c r="G95" s="23">
        <f t="shared" si="5"/>
        <v>0</v>
      </c>
      <c r="H95" s="14"/>
      <c r="I95" s="14"/>
      <c r="J95" s="29"/>
    </row>
    <row r="96" spans="1:11" ht="16.5" customHeight="1" x14ac:dyDescent="0.25">
      <c r="A96" s="60" t="str">
        <f t="shared" si="4"/>
        <v>6454</v>
      </c>
      <c r="B96" s="80" t="s">
        <v>110</v>
      </c>
      <c r="C96" s="73" t="s">
        <v>33</v>
      </c>
      <c r="D96" s="74">
        <v>1001201976454</v>
      </c>
      <c r="E96" s="24">
        <v>486</v>
      </c>
      <c r="F96" s="23">
        <v>0.1</v>
      </c>
      <c r="G96" s="23">
        <f t="shared" si="5"/>
        <v>48.6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4"/>
        <v>7288</v>
      </c>
      <c r="B97" s="80" t="s">
        <v>111</v>
      </c>
      <c r="C97" s="73" t="s">
        <v>33</v>
      </c>
      <c r="D97" s="74">
        <v>1001223907288</v>
      </c>
      <c r="E97" s="24"/>
      <c r="F97" s="23">
        <v>0.1</v>
      </c>
      <c r="G97" s="23">
        <f t="shared" si="5"/>
        <v>0</v>
      </c>
      <c r="H97" s="14"/>
      <c r="I97" s="14"/>
      <c r="J97" s="29"/>
    </row>
    <row r="98" spans="1:10" ht="16.5" customHeight="1" x14ac:dyDescent="0.25">
      <c r="A98" s="60" t="str">
        <f t="shared" si="4"/>
        <v>3986</v>
      </c>
      <c r="B98" s="80" t="s">
        <v>112</v>
      </c>
      <c r="C98" s="73" t="s">
        <v>33</v>
      </c>
      <c r="D98" s="74">
        <v>1001061973986</v>
      </c>
      <c r="E98" s="24"/>
      <c r="F98" s="23">
        <v>0.25</v>
      </c>
      <c r="G98" s="23">
        <f t="shared" si="5"/>
        <v>0</v>
      </c>
      <c r="H98" s="14"/>
      <c r="I98" s="14"/>
      <c r="J98" s="29"/>
    </row>
    <row r="99" spans="1:10" ht="16.5" customHeight="1" x14ac:dyDescent="0.25">
      <c r="A99" s="60" t="str">
        <f t="shared" si="4"/>
        <v>5708</v>
      </c>
      <c r="B99" s="80" t="s">
        <v>113</v>
      </c>
      <c r="C99" s="73" t="s">
        <v>24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4"/>
        <v>6832</v>
      </c>
      <c r="B100" s="80" t="s">
        <v>114</v>
      </c>
      <c r="C100" s="73" t="s">
        <v>24</v>
      </c>
      <c r="D100" s="74">
        <v>1001065616832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4"/>
        <v>7299</v>
      </c>
      <c r="B101" s="80" t="s">
        <v>115</v>
      </c>
      <c r="C101" s="73" t="s">
        <v>24</v>
      </c>
      <c r="D101" s="74">
        <v>1001060677299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4"/>
        <v>4993</v>
      </c>
      <c r="B102" s="80" t="s">
        <v>116</v>
      </c>
      <c r="C102" s="73" t="s">
        <v>33</v>
      </c>
      <c r="D102" s="74">
        <v>1001060764993</v>
      </c>
      <c r="E102" s="24"/>
      <c r="F102" s="23">
        <v>0.25</v>
      </c>
      <c r="G102" s="23">
        <f t="shared" ref="G102:G111" si="6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4"/>
        <v>6967</v>
      </c>
      <c r="B103" s="80" t="s">
        <v>117</v>
      </c>
      <c r="C103" s="73" t="s">
        <v>33</v>
      </c>
      <c r="D103" s="74">
        <v>1001063656967</v>
      </c>
      <c r="E103" s="24"/>
      <c r="F103" s="23">
        <v>0.25</v>
      </c>
      <c r="G103" s="23">
        <f t="shared" si="6"/>
        <v>0</v>
      </c>
      <c r="H103" s="14"/>
      <c r="I103" s="14"/>
      <c r="J103" s="29"/>
    </row>
    <row r="104" spans="1:10" ht="16.5" customHeight="1" x14ac:dyDescent="0.25">
      <c r="A104" s="60" t="str">
        <f t="shared" si="4"/>
        <v>7382</v>
      </c>
      <c r="B104" s="80" t="s">
        <v>118</v>
      </c>
      <c r="C104" s="73" t="s">
        <v>22</v>
      </c>
      <c r="D104" s="74">
        <v>1001203117382</v>
      </c>
      <c r="E104" s="24"/>
      <c r="F104" s="23">
        <v>0.12</v>
      </c>
      <c r="G104" s="23">
        <f t="shared" si="6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4"/>
        <v>7147</v>
      </c>
      <c r="B105" s="80" t="s">
        <v>119</v>
      </c>
      <c r="C105" s="73" t="s">
        <v>22</v>
      </c>
      <c r="D105" s="74">
        <v>1001063237147</v>
      </c>
      <c r="E105" s="24"/>
      <c r="F105" s="23">
        <v>0.22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4"/>
        <v>7229</v>
      </c>
      <c r="B106" s="80" t="s">
        <v>120</v>
      </c>
      <c r="C106" s="73" t="s">
        <v>22</v>
      </c>
      <c r="D106" s="74">
        <v>1001063237229</v>
      </c>
      <c r="E106" s="24"/>
      <c r="F106" s="23">
        <v>0.18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4"/>
        <v>7150</v>
      </c>
      <c r="B107" s="80" t="s">
        <v>121</v>
      </c>
      <c r="C107" s="73" t="s">
        <v>24</v>
      </c>
      <c r="D107" s="74">
        <v>1001063237150</v>
      </c>
      <c r="E107" s="24"/>
      <c r="F107" s="23">
        <v>1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4"/>
        <v>7227</v>
      </c>
      <c r="B108" s="80" t="s">
        <v>122</v>
      </c>
      <c r="C108" s="73" t="s">
        <v>22</v>
      </c>
      <c r="D108" s="74">
        <v>1001063097227</v>
      </c>
      <c r="E108" s="24"/>
      <c r="F108" s="23">
        <v>0.18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4"/>
        <v>7225</v>
      </c>
      <c r="B109" s="80" t="s">
        <v>123</v>
      </c>
      <c r="C109" s="73" t="s">
        <v>22</v>
      </c>
      <c r="D109" s="74">
        <v>1001066537225</v>
      </c>
      <c r="E109" s="24"/>
      <c r="F109" s="23">
        <v>0.18</v>
      </c>
      <c r="G109" s="23">
        <f t="shared" si="6"/>
        <v>0</v>
      </c>
      <c r="H109" s="14"/>
      <c r="I109" s="14"/>
      <c r="J109" s="29"/>
    </row>
    <row r="110" spans="1:10" ht="16.5" customHeight="1" x14ac:dyDescent="0.25">
      <c r="A110" s="60" t="str">
        <f t="shared" si="4"/>
        <v>7228</v>
      </c>
      <c r="B110" s="80" t="s">
        <v>124</v>
      </c>
      <c r="C110" s="73" t="s">
        <v>22</v>
      </c>
      <c r="D110" s="74">
        <v>1001066547228</v>
      </c>
      <c r="E110" s="24"/>
      <c r="F110" s="23">
        <v>0.18</v>
      </c>
      <c r="G110" s="23">
        <f t="shared" si="6"/>
        <v>0</v>
      </c>
      <c r="H110" s="14"/>
      <c r="I110" s="14"/>
      <c r="J110" s="29"/>
    </row>
    <row r="111" spans="1:10" ht="16.5" customHeight="1" x14ac:dyDescent="0.25">
      <c r="A111" s="60" t="str">
        <f t="shared" si="4"/>
        <v>6221</v>
      </c>
      <c r="B111" s="80" t="s">
        <v>125</v>
      </c>
      <c r="C111" s="73" t="s">
        <v>22</v>
      </c>
      <c r="D111" s="74">
        <v>1001205376221</v>
      </c>
      <c r="E111" s="24">
        <v>121</v>
      </c>
      <c r="F111" s="23">
        <v>0.09</v>
      </c>
      <c r="G111" s="23">
        <f t="shared" si="6"/>
        <v>10.889999999999999</v>
      </c>
      <c r="H111" s="14"/>
      <c r="I111" s="14"/>
      <c r="J111" s="29"/>
    </row>
    <row r="112" spans="1:10" ht="16.5" customHeight="1" x14ac:dyDescent="0.25">
      <c r="A112" s="60" t="str">
        <f t="shared" si="4"/>
        <v>4117</v>
      </c>
      <c r="B112" s="80" t="s">
        <v>126</v>
      </c>
      <c r="C112" s="73" t="s">
        <v>24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4"/>
        <v>5483</v>
      </c>
      <c r="B113" s="80" t="s">
        <v>127</v>
      </c>
      <c r="C113" s="73" t="s">
        <v>22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4"/>
        <v>6453</v>
      </c>
      <c r="B114" s="80" t="s">
        <v>128</v>
      </c>
      <c r="C114" s="73" t="s">
        <v>33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4"/>
        <v>6228</v>
      </c>
      <c r="B115" s="80" t="s">
        <v>129</v>
      </c>
      <c r="C115" s="73" t="s">
        <v>33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4"/>
        <v>3287</v>
      </c>
      <c r="B116" s="80" t="s">
        <v>130</v>
      </c>
      <c r="C116" s="73" t="s">
        <v>24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4"/>
        <v/>
      </c>
      <c r="B117" s="47" t="s">
        <v>131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4"/>
        <v>6866</v>
      </c>
      <c r="B118" s="77" t="s">
        <v>132</v>
      </c>
      <c r="C118" s="73" t="s">
        <v>38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4"/>
        <v>3215</v>
      </c>
      <c r="B119" s="80" t="s">
        <v>133</v>
      </c>
      <c r="C119" s="73" t="s">
        <v>33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4"/>
        <v>5452</v>
      </c>
      <c r="B120" s="51" t="s">
        <v>134</v>
      </c>
      <c r="C120" s="73" t="s">
        <v>24</v>
      </c>
      <c r="D120" s="42">
        <v>1001092485452</v>
      </c>
      <c r="E120" s="24">
        <v>114</v>
      </c>
      <c r="F120" s="23">
        <v>1.367</v>
      </c>
      <c r="G120" s="23">
        <f>E120</f>
        <v>114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4"/>
        <v>5495</v>
      </c>
      <c r="B121" s="51" t="s">
        <v>135</v>
      </c>
      <c r="C121" s="73" t="s">
        <v>22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4"/>
        <v>6495</v>
      </c>
      <c r="B122" s="51" t="s">
        <v>136</v>
      </c>
      <c r="C122" s="73" t="s">
        <v>22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ref="A123:A131" si="7">RIGHT(D123,4)</f>
        <v/>
      </c>
      <c r="B123" s="47" t="s">
        <v>137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7"/>
        <v>6448</v>
      </c>
      <c r="B124" s="37" t="s">
        <v>138</v>
      </c>
      <c r="C124" s="73" t="s">
        <v>33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7"/>
        <v>6620</v>
      </c>
      <c r="B125" s="37" t="s">
        <v>139</v>
      </c>
      <c r="C125" s="73" t="s">
        <v>24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7"/>
        <v>6279</v>
      </c>
      <c r="B126" s="37" t="s">
        <v>140</v>
      </c>
      <c r="C126" s="73" t="s">
        <v>22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7"/>
        <v>6208</v>
      </c>
      <c r="B127" s="37" t="s">
        <v>141</v>
      </c>
      <c r="C127" s="73" t="s">
        <v>22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7"/>
        <v>7090</v>
      </c>
      <c r="B128" s="37" t="s">
        <v>142</v>
      </c>
      <c r="C128" s="73" t="s">
        <v>33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7"/>
        <v>7187</v>
      </c>
      <c r="B129" s="37" t="s">
        <v>143</v>
      </c>
      <c r="C129" s="73" t="s">
        <v>33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7"/>
        <v>7103</v>
      </c>
      <c r="B130" s="59" t="s">
        <v>144</v>
      </c>
      <c r="C130" s="54" t="s">
        <v>33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7"/>
        <v>6872</v>
      </c>
      <c r="B131" s="37" t="s">
        <v>145</v>
      </c>
      <c r="C131" s="73" t="s">
        <v>24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146</v>
      </c>
      <c r="C132" s="16"/>
      <c r="D132" s="38"/>
      <c r="E132" s="17">
        <f>SUM(E10:E131)</f>
        <v>5160</v>
      </c>
      <c r="F132" s="17"/>
      <c r="G132" s="17">
        <f>SUM(G11:G131)</f>
        <v>3065.6199999999994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2026-01-21T11:42:06Z</dcterms:modified>
</cp:coreProperties>
</file>