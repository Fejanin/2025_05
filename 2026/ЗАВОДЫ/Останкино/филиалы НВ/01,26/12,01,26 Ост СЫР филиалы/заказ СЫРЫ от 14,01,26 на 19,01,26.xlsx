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F11126DE-DF87-403F-9177-10950A6E540D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Бердянск!$A$3:$I$52</definedName>
    <definedName name="_xlnm._FilterDatabase" localSheetId="2" hidden="1">Донецк!$A$3:$I$52</definedName>
    <definedName name="_xlnm._FilterDatabase" localSheetId="3" hidden="1">Луганск!$A$3:$I$52</definedName>
    <definedName name="_xlnm._FilterDatabase" localSheetId="0" hidden="1">Мелитополь!$A$3:$I$52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" i="4" l="1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52" i="4" s="1"/>
  <c r="F4" i="4"/>
  <c r="H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52" i="2" s="1"/>
  <c r="F4" i="2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2" i="1" s="1"/>
  <c r="F4" i="1"/>
  <c r="A54" i="1" l="1"/>
</calcChain>
</file>

<file path=xl/sharedStrings.xml><?xml version="1.0" encoding="utf-8"?>
<sst xmlns="http://schemas.openxmlformats.org/spreadsheetml/2006/main" count="288" uniqueCount="70">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</sst>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pane ySplit="3" topLeftCell="A25" activePane="bottomLeft" state="frozen"/>
      <selection pane="bottomLeft" activeCell="B58" sqref="B5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290</v>
      </c>
      <c r="E4" s="20"/>
      <c r="F4" s="11">
        <f>D4/C4</f>
        <v>29</v>
      </c>
      <c r="G4" s="15">
        <v>0.18</v>
      </c>
      <c r="H4" s="11">
        <f>G4*D4</f>
        <v>52.199999999999996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115.5</v>
      </c>
      <c r="F5" s="11">
        <f>E5/16.5</f>
        <v>7</v>
      </c>
      <c r="G5" s="15">
        <v>3.2</v>
      </c>
      <c r="H5" s="11">
        <f>E5</f>
        <v>115.5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120</v>
      </c>
      <c r="E6" s="20"/>
      <c r="F6" s="11">
        <f>D6/C6</f>
        <v>12</v>
      </c>
      <c r="G6" s="15">
        <v>0.18</v>
      </c>
      <c r="H6" s="11">
        <f>G6*D6</f>
        <v>21.599999999999998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910</v>
      </c>
      <c r="E7" s="20"/>
      <c r="F7" s="11">
        <f>D7/C7</f>
        <v>91</v>
      </c>
      <c r="G7" s="15">
        <v>0.18</v>
      </c>
      <c r="H7" s="11">
        <f>G7*D7</f>
        <v>163.79999999999998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750</v>
      </c>
      <c r="E9" s="20"/>
      <c r="F9" s="11">
        <f>D9/C9</f>
        <v>75</v>
      </c>
      <c r="G9" s="15">
        <v>0.18</v>
      </c>
      <c r="H9" s="11">
        <f>G9*D9</f>
        <v>135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180</v>
      </c>
      <c r="E18" s="20"/>
      <c r="F18" s="11">
        <f t="shared" si="0"/>
        <v>18</v>
      </c>
      <c r="G18" s="15">
        <v>0.2</v>
      </c>
      <c r="H18" s="11">
        <f t="shared" si="1"/>
        <v>36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195</v>
      </c>
      <c r="F21" s="11">
        <f>E21/15</f>
        <v>13</v>
      </c>
      <c r="G21" s="15">
        <v>3.5</v>
      </c>
      <c r="H21" s="11">
        <f>E21</f>
        <v>195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>
        <v>96</v>
      </c>
      <c r="E26" s="20"/>
      <c r="F26" s="11">
        <f t="shared" si="2"/>
        <v>6</v>
      </c>
      <c r="G26" s="15">
        <v>0.14000000000000001</v>
      </c>
      <c r="H26" s="11">
        <f t="shared" si="3"/>
        <v>13.440000000000001</v>
      </c>
      <c r="I26" s="11"/>
    </row>
    <row r="27" spans="1:9">
      <c r="A27" s="2">
        <v>9988391</v>
      </c>
      <c r="B27" s="3" t="s">
        <v>42</v>
      </c>
      <c r="C27" s="9">
        <v>16</v>
      </c>
      <c r="D27" s="20">
        <v>224</v>
      </c>
      <c r="E27" s="20"/>
      <c r="F27" s="11">
        <f t="shared" si="2"/>
        <v>14</v>
      </c>
      <c r="G27" s="15">
        <v>0.14000000000000001</v>
      </c>
      <c r="H27" s="11">
        <f t="shared" si="3"/>
        <v>31.360000000000003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348</v>
      </c>
      <c r="E28" s="20"/>
      <c r="F28" s="11">
        <f t="shared" si="2"/>
        <v>58</v>
      </c>
      <c r="G28" s="15">
        <v>0.18</v>
      </c>
      <c r="H28" s="11">
        <f t="shared" si="3"/>
        <v>62.64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363</v>
      </c>
      <c r="F30" s="11">
        <f>E30/16.5</f>
        <v>22</v>
      </c>
      <c r="G30" s="15">
        <v>3.2</v>
      </c>
      <c r="H30" s="11">
        <f>E30</f>
        <v>363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352</v>
      </c>
      <c r="E33" s="20"/>
      <c r="F33" s="11">
        <f t="shared" si="4"/>
        <v>22</v>
      </c>
      <c r="G33" s="15">
        <v>0.18</v>
      </c>
      <c r="H33" s="11">
        <f t="shared" si="5"/>
        <v>63.36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176</v>
      </c>
      <c r="E34" s="20"/>
      <c r="F34" s="11">
        <f t="shared" si="4"/>
        <v>11</v>
      </c>
      <c r="G34" s="15">
        <v>0.18</v>
      </c>
      <c r="H34" s="11">
        <f t="shared" si="5"/>
        <v>31.68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176</v>
      </c>
      <c r="E35" s="20"/>
      <c r="F35" s="11">
        <f t="shared" si="4"/>
        <v>11</v>
      </c>
      <c r="G35" s="15">
        <v>0.18</v>
      </c>
      <c r="H35" s="11">
        <f t="shared" si="5"/>
        <v>31.68</v>
      </c>
      <c r="I35" s="11"/>
    </row>
    <row r="36" spans="1:9">
      <c r="A36" s="2">
        <v>9988421</v>
      </c>
      <c r="B36" s="3" t="s">
        <v>52</v>
      </c>
      <c r="C36" s="9">
        <v>16</v>
      </c>
      <c r="D36" s="20">
        <v>16</v>
      </c>
      <c r="E36" s="20"/>
      <c r="F36" s="11">
        <f t="shared" si="4"/>
        <v>1</v>
      </c>
      <c r="G36" s="15">
        <v>0.14000000000000001</v>
      </c>
      <c r="H36" s="11">
        <f t="shared" si="5"/>
        <v>2.2400000000000002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300</v>
      </c>
      <c r="E47" s="20"/>
      <c r="F47" s="11">
        <f>D47/C47</f>
        <v>25</v>
      </c>
      <c r="G47" s="15">
        <v>0.372</v>
      </c>
      <c r="H47" s="11">
        <f>G47*D47</f>
        <v>111.6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>
        <v>504</v>
      </c>
      <c r="E49" s="20"/>
      <c r="F49" s="11">
        <f>D49/C49</f>
        <v>42</v>
      </c>
      <c r="G49" s="15">
        <v>0.372</v>
      </c>
      <c r="H49" s="11">
        <f>G49*D49</f>
        <v>187.488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300</v>
      </c>
      <c r="E50" s="20"/>
      <c r="F50" s="11">
        <f>D50/C50</f>
        <v>25</v>
      </c>
      <c r="G50" s="15">
        <v>0.74399999999999999</v>
      </c>
      <c r="H50" s="11">
        <f>G50*D50</f>
        <v>223.2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1840.788</v>
      </c>
      <c r="I52" s="11"/>
    </row>
    <row r="54" spans="1:9">
      <c r="A54" s="10">
        <f>H52+Бердянск!H52+Донецк!H52+Луганск!H52</f>
        <v>2500.6680000000001</v>
      </c>
    </row>
  </sheetData>
  <autoFilter ref="A3:I52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>
      <pane ySplit="3" topLeftCell="A28" activePane="bottomLeft" state="frozen"/>
      <selection pane="bottomLeft" activeCell="D6" sqref="D6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40</v>
      </c>
      <c r="E4" s="20"/>
      <c r="F4" s="11">
        <f>D4/C4</f>
        <v>4</v>
      </c>
      <c r="G4" s="15">
        <v>0.18</v>
      </c>
      <c r="H4" s="11">
        <f>G4*D4</f>
        <v>7.1999999999999993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130</v>
      </c>
      <c r="E6" s="20"/>
      <c r="F6" s="11">
        <f>D6/C6</f>
        <v>13</v>
      </c>
      <c r="G6" s="15">
        <v>0.18</v>
      </c>
      <c r="H6" s="11">
        <f>G6*D6</f>
        <v>23.4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170</v>
      </c>
      <c r="E7" s="20"/>
      <c r="F7" s="11">
        <f>D7/C7</f>
        <v>17</v>
      </c>
      <c r="G7" s="15">
        <v>0.18</v>
      </c>
      <c r="H7" s="11">
        <f>G7*D7</f>
        <v>30.599999999999998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210</v>
      </c>
      <c r="E9" s="20"/>
      <c r="F9" s="11">
        <f>D9/C9</f>
        <v>21</v>
      </c>
      <c r="G9" s="15">
        <v>0.18</v>
      </c>
      <c r="H9" s="11">
        <f>G9*D9</f>
        <v>37.799999999999997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100</v>
      </c>
      <c r="E20" s="20"/>
      <c r="F20" s="11">
        <f>D20/C20</f>
        <v>10</v>
      </c>
      <c r="G20" s="15">
        <v>0.2</v>
      </c>
      <c r="H20" s="11">
        <f>G20*D20</f>
        <v>20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75</v>
      </c>
      <c r="F21" s="11">
        <f>E21/15</f>
        <v>5</v>
      </c>
      <c r="G21" s="15">
        <v>3.5</v>
      </c>
      <c r="H21" s="11">
        <f>E21</f>
        <v>75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192</v>
      </c>
      <c r="E22" s="20"/>
      <c r="F22" s="11">
        <f t="shared" ref="F22:F28" si="2">D22/C22</f>
        <v>32</v>
      </c>
      <c r="G22" s="15">
        <v>0.1</v>
      </c>
      <c r="H22" s="11">
        <f t="shared" ref="H22:H28" si="3">G22*D22</f>
        <v>19.200000000000003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126</v>
      </c>
      <c r="E23" s="20"/>
      <c r="F23" s="11">
        <f t="shared" si="2"/>
        <v>21</v>
      </c>
      <c r="G23" s="15">
        <v>0.1</v>
      </c>
      <c r="H23" s="11">
        <f t="shared" si="3"/>
        <v>12.600000000000001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>
        <v>96</v>
      </c>
      <c r="E26" s="20"/>
      <c r="F26" s="11">
        <f t="shared" si="2"/>
        <v>6</v>
      </c>
      <c r="G26" s="15">
        <v>0.14000000000000001</v>
      </c>
      <c r="H26" s="11">
        <f t="shared" si="3"/>
        <v>13.440000000000001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128</v>
      </c>
      <c r="E33" s="20"/>
      <c r="F33" s="11">
        <f t="shared" si="4"/>
        <v>8</v>
      </c>
      <c r="G33" s="15">
        <v>0.18</v>
      </c>
      <c r="H33" s="11">
        <f t="shared" si="5"/>
        <v>23.04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32</v>
      </c>
      <c r="E35" s="20"/>
      <c r="F35" s="11">
        <f t="shared" si="4"/>
        <v>2</v>
      </c>
      <c r="G35" s="15">
        <v>0.18</v>
      </c>
      <c r="H35" s="11">
        <f t="shared" si="5"/>
        <v>5.76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>
        <v>48</v>
      </c>
      <c r="E51" s="20"/>
      <c r="F51" s="11">
        <f>D51/C51</f>
        <v>4</v>
      </c>
      <c r="G51" s="15">
        <v>0.82499999999999996</v>
      </c>
      <c r="H51" s="11">
        <f>G51*D51</f>
        <v>39.599999999999994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307.64</v>
      </c>
      <c r="I52" s="11"/>
    </row>
  </sheetData>
  <autoFilter ref="A3:I5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workbookViewId="0">
      <pane ySplit="3" topLeftCell="A25" activePane="bottomLeft" state="frozen"/>
      <selection pane="bottomLeft" activeCell="D10" sqref="D10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140</v>
      </c>
      <c r="E6" s="20"/>
      <c r="F6" s="11">
        <f>D6/C6</f>
        <v>14</v>
      </c>
      <c r="G6" s="15">
        <v>0.18</v>
      </c>
      <c r="H6" s="11">
        <f>G6*D6</f>
        <v>25.2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20</v>
      </c>
      <c r="E12" s="20"/>
      <c r="F12" s="11">
        <f t="shared" ref="F12:F18" si="0">D12/C12</f>
        <v>2</v>
      </c>
      <c r="G12" s="15">
        <v>0.2</v>
      </c>
      <c r="H12" s="11">
        <f t="shared" ref="H12:H18" si="1">G12*D12</f>
        <v>4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130</v>
      </c>
      <c r="E18" s="20"/>
      <c r="F18" s="11">
        <f t="shared" si="0"/>
        <v>13</v>
      </c>
      <c r="G18" s="15">
        <v>0.2</v>
      </c>
      <c r="H18" s="11">
        <f t="shared" si="1"/>
        <v>26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198</v>
      </c>
      <c r="E22" s="20"/>
      <c r="F22" s="11">
        <f t="shared" ref="F22:F28" si="2">D22/C22</f>
        <v>33</v>
      </c>
      <c r="G22" s="15">
        <v>0.1</v>
      </c>
      <c r="H22" s="11">
        <f t="shared" ref="H22:H28" si="3">G22*D22</f>
        <v>19.8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264</v>
      </c>
      <c r="E23" s="20"/>
      <c r="F23" s="11">
        <f t="shared" si="2"/>
        <v>44</v>
      </c>
      <c r="G23" s="15">
        <v>0.1</v>
      </c>
      <c r="H23" s="11">
        <f t="shared" si="3"/>
        <v>26.400000000000002</v>
      </c>
      <c r="I23" s="11"/>
    </row>
    <row r="24" spans="1:9">
      <c r="A24" s="2">
        <v>8444163</v>
      </c>
      <c r="B24" s="3" t="s">
        <v>39</v>
      </c>
      <c r="C24" s="9">
        <v>8</v>
      </c>
      <c r="D24" s="20">
        <v>512</v>
      </c>
      <c r="E24" s="20"/>
      <c r="F24" s="11">
        <f t="shared" si="2"/>
        <v>64</v>
      </c>
      <c r="G24" s="15">
        <v>0.1</v>
      </c>
      <c r="H24" s="11">
        <f t="shared" si="3"/>
        <v>51.2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>
        <v>240</v>
      </c>
      <c r="E26" s="20"/>
      <c r="F26" s="11">
        <f t="shared" si="2"/>
        <v>15</v>
      </c>
      <c r="G26" s="15">
        <v>0.14000000000000001</v>
      </c>
      <c r="H26" s="11">
        <f t="shared" si="3"/>
        <v>33.6</v>
      </c>
      <c r="I26" s="11"/>
    </row>
    <row r="27" spans="1:9">
      <c r="A27" s="2">
        <v>9988391</v>
      </c>
      <c r="B27" s="3" t="s">
        <v>42</v>
      </c>
      <c r="C27" s="9">
        <v>16</v>
      </c>
      <c r="D27" s="20">
        <v>96</v>
      </c>
      <c r="E27" s="20"/>
      <c r="F27" s="11">
        <f t="shared" si="2"/>
        <v>6</v>
      </c>
      <c r="G27" s="15">
        <v>0.14000000000000001</v>
      </c>
      <c r="H27" s="11">
        <f t="shared" si="3"/>
        <v>13.440000000000001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64</v>
      </c>
      <c r="E33" s="20"/>
      <c r="F33" s="11">
        <f t="shared" si="4"/>
        <v>4</v>
      </c>
      <c r="G33" s="15">
        <v>0.18</v>
      </c>
      <c r="H33" s="11">
        <f t="shared" si="5"/>
        <v>11.52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48</v>
      </c>
      <c r="E34" s="20"/>
      <c r="F34" s="11">
        <f t="shared" si="4"/>
        <v>3</v>
      </c>
      <c r="G34" s="15">
        <v>0.18</v>
      </c>
      <c r="H34" s="11">
        <f t="shared" si="5"/>
        <v>8.64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48</v>
      </c>
      <c r="E35" s="20"/>
      <c r="F35" s="11">
        <f t="shared" si="4"/>
        <v>3</v>
      </c>
      <c r="G35" s="15">
        <v>0.18</v>
      </c>
      <c r="H35" s="11">
        <f t="shared" si="5"/>
        <v>8.64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228.44</v>
      </c>
      <c r="I52" s="11"/>
    </row>
  </sheetData>
  <autoFilter ref="A3:I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pane ySplit="3" topLeftCell="A34" activePane="bottomLeft" state="frozen"/>
      <selection pane="bottomLeft" activeCell="D8" sqref="D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60</v>
      </c>
      <c r="E4" s="20"/>
      <c r="F4" s="11">
        <f>D4/C4</f>
        <v>6</v>
      </c>
      <c r="G4" s="15">
        <v>0.18</v>
      </c>
      <c r="H4" s="11">
        <f>G4*D4</f>
        <v>10.799999999999999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50</v>
      </c>
      <c r="E6" s="20"/>
      <c r="F6" s="11">
        <f>D6/C6</f>
        <v>5</v>
      </c>
      <c r="G6" s="15">
        <v>0.18</v>
      </c>
      <c r="H6" s="11">
        <f>G6*D6</f>
        <v>9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210</v>
      </c>
      <c r="E18" s="20"/>
      <c r="F18" s="11">
        <f t="shared" si="0"/>
        <v>21</v>
      </c>
      <c r="G18" s="15">
        <v>0.2</v>
      </c>
      <c r="H18" s="11">
        <f t="shared" si="1"/>
        <v>42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>
        <v>30</v>
      </c>
      <c r="F19" s="11">
        <f>E19/15</f>
        <v>2</v>
      </c>
      <c r="G19" s="15">
        <v>3.5</v>
      </c>
      <c r="H19" s="11">
        <f>E19</f>
        <v>30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160</v>
      </c>
      <c r="E20" s="20"/>
      <c r="F20" s="11">
        <f>D20/C20</f>
        <v>16</v>
      </c>
      <c r="G20" s="15">
        <v>0.2</v>
      </c>
      <c r="H20" s="11">
        <f>G20*D20</f>
        <v>32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123.8</v>
      </c>
      <c r="I52" s="11"/>
    </row>
  </sheetData>
  <autoFilter ref="A3:I5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2026-01-14T11:14:43Z</dcterms:modified>
</cp:coreProperties>
</file>