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Ост СЫР филиалы\"/>
    </mc:Choice>
  </mc:AlternateContent>
  <xr:revisionPtr revIDLastSave="0" documentId="13_ncr:1_{07FCBD45-AD15-4BB2-ACC0-581E73E5C7C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Sheet!$A$3:$AF$44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9" i="1" l="1"/>
  <c r="AF39" i="1" s="1"/>
  <c r="R33" i="1"/>
  <c r="R25" i="1"/>
  <c r="R43" i="1"/>
  <c r="AF48" i="1"/>
  <c r="R46" i="1"/>
  <c r="AF33" i="1"/>
  <c r="R29" i="1"/>
  <c r="AF29" i="1" s="1"/>
  <c r="AF21" i="1"/>
  <c r="AF19" i="1"/>
  <c r="AF17" i="1"/>
  <c r="AF15" i="1"/>
  <c r="AF13" i="1"/>
  <c r="AF11" i="1"/>
  <c r="AF9" i="1"/>
  <c r="AF7" i="1"/>
  <c r="Q49" i="1"/>
  <c r="U49" i="1" s="1"/>
  <c r="Q6" i="1"/>
  <c r="U6" i="1" s="1"/>
  <c r="Q7" i="1"/>
  <c r="U7" i="1" s="1"/>
  <c r="Q8" i="1"/>
  <c r="U8" i="1" s="1"/>
  <c r="Q9" i="1"/>
  <c r="U9" i="1" s="1"/>
  <c r="Q10" i="1"/>
  <c r="U10" i="1" s="1"/>
  <c r="Q11" i="1"/>
  <c r="U11" i="1" s="1"/>
  <c r="Q12" i="1"/>
  <c r="U12" i="1" s="1"/>
  <c r="Q46" i="1"/>
  <c r="U46" i="1" s="1"/>
  <c r="Q47" i="1"/>
  <c r="U47" i="1" s="1"/>
  <c r="Q13" i="1"/>
  <c r="U13" i="1" s="1"/>
  <c r="Q14" i="1"/>
  <c r="U14" i="1" s="1"/>
  <c r="Q15" i="1"/>
  <c r="U15" i="1" s="1"/>
  <c r="Q16" i="1"/>
  <c r="U16" i="1" s="1"/>
  <c r="Q17" i="1"/>
  <c r="U17" i="1" s="1"/>
  <c r="Q18" i="1"/>
  <c r="U18" i="1" s="1"/>
  <c r="Q19" i="1"/>
  <c r="U19" i="1" s="1"/>
  <c r="Q20" i="1"/>
  <c r="U20" i="1" s="1"/>
  <c r="Q21" i="1"/>
  <c r="U21" i="1" s="1"/>
  <c r="Q22" i="1"/>
  <c r="U22" i="1" s="1"/>
  <c r="Q23" i="1"/>
  <c r="U23" i="1" s="1"/>
  <c r="Q24" i="1"/>
  <c r="U24" i="1" s="1"/>
  <c r="Q25" i="1"/>
  <c r="U25" i="1" s="1"/>
  <c r="Q26" i="1"/>
  <c r="U26" i="1" s="1"/>
  <c r="Q27" i="1"/>
  <c r="U27" i="1" s="1"/>
  <c r="Q28" i="1"/>
  <c r="U28" i="1" s="1"/>
  <c r="Q29" i="1"/>
  <c r="U29" i="1" s="1"/>
  <c r="Q30" i="1"/>
  <c r="U30" i="1" s="1"/>
  <c r="Q31" i="1"/>
  <c r="U31" i="1" s="1"/>
  <c r="Q32" i="1"/>
  <c r="U32" i="1" s="1"/>
  <c r="Q33" i="1"/>
  <c r="Q34" i="1"/>
  <c r="U34" i="1" s="1"/>
  <c r="Q35" i="1"/>
  <c r="U35" i="1" s="1"/>
  <c r="Q36" i="1"/>
  <c r="U36" i="1" s="1"/>
  <c r="Q37" i="1"/>
  <c r="U37" i="1" s="1"/>
  <c r="Q38" i="1"/>
  <c r="U38" i="1" s="1"/>
  <c r="Q39" i="1"/>
  <c r="Q40" i="1"/>
  <c r="U40" i="1" s="1"/>
  <c r="Q41" i="1"/>
  <c r="U41" i="1" s="1"/>
  <c r="Q42" i="1"/>
  <c r="U42" i="1" s="1"/>
  <c r="Q43" i="1"/>
  <c r="U43" i="1" s="1"/>
  <c r="Q44" i="1"/>
  <c r="U44" i="1" s="1"/>
  <c r="Q48" i="1"/>
  <c r="V48" i="1" s="1"/>
  <c r="L44" i="1"/>
  <c r="AF43" i="1"/>
  <c r="L43" i="1"/>
  <c r="L42" i="1"/>
  <c r="AF41" i="1"/>
  <c r="L41" i="1"/>
  <c r="L40" i="1"/>
  <c r="L39" i="1"/>
  <c r="L38" i="1"/>
  <c r="AF37" i="1"/>
  <c r="L37" i="1"/>
  <c r="AF36" i="1"/>
  <c r="L36" i="1"/>
  <c r="L35" i="1"/>
  <c r="AF34" i="1"/>
  <c r="L34" i="1"/>
  <c r="L33" i="1"/>
  <c r="AF32" i="1"/>
  <c r="L32" i="1"/>
  <c r="L31" i="1"/>
  <c r="AF30" i="1"/>
  <c r="L30" i="1"/>
  <c r="L29" i="1"/>
  <c r="L28" i="1"/>
  <c r="L27" i="1"/>
  <c r="L26" i="1"/>
  <c r="AF25" i="1"/>
  <c r="L25" i="1"/>
  <c r="L24" i="1"/>
  <c r="AF23" i="1"/>
  <c r="L23" i="1"/>
  <c r="AF22" i="1"/>
  <c r="L22" i="1"/>
  <c r="L21" i="1"/>
  <c r="AF20" i="1"/>
  <c r="L20" i="1"/>
  <c r="L19" i="1"/>
  <c r="AF18" i="1"/>
  <c r="L18" i="1"/>
  <c r="L17" i="1"/>
  <c r="AF16" i="1"/>
  <c r="L16" i="1"/>
  <c r="L15" i="1"/>
  <c r="AF14" i="1"/>
  <c r="L14" i="1"/>
  <c r="L13" i="1"/>
  <c r="AF47" i="1"/>
  <c r="L47" i="1"/>
  <c r="AF46" i="1"/>
  <c r="L46" i="1"/>
  <c r="AF12" i="1"/>
  <c r="L12" i="1"/>
  <c r="L11" i="1"/>
  <c r="AF10" i="1"/>
  <c r="L10" i="1"/>
  <c r="L9" i="1"/>
  <c r="AF8" i="1"/>
  <c r="L8" i="1"/>
  <c r="L7" i="1"/>
  <c r="AF6" i="1"/>
  <c r="L6" i="1"/>
  <c r="AF49" i="1"/>
  <c r="L49" i="1"/>
  <c r="L48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F5" i="1"/>
  <c r="E5" i="1"/>
  <c r="U39" i="1" l="1"/>
  <c r="U33" i="1"/>
  <c r="R5" i="1"/>
  <c r="V41" i="1"/>
  <c r="V33" i="1"/>
  <c r="V25" i="1"/>
  <c r="V17" i="1"/>
  <c r="V11" i="1"/>
  <c r="U48" i="1"/>
  <c r="V37" i="1"/>
  <c r="V29" i="1"/>
  <c r="V21" i="1"/>
  <c r="V13" i="1"/>
  <c r="V7" i="1"/>
  <c r="V43" i="1"/>
  <c r="V39" i="1"/>
  <c r="V35" i="1"/>
  <c r="V31" i="1"/>
  <c r="V27" i="1"/>
  <c r="V23" i="1"/>
  <c r="V19" i="1"/>
  <c r="V15" i="1"/>
  <c r="V46" i="1"/>
  <c r="V9" i="1"/>
  <c r="V49" i="1"/>
  <c r="V44" i="1"/>
  <c r="V42" i="1"/>
  <c r="V40" i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47" i="1"/>
  <c r="V12" i="1"/>
  <c r="V10" i="1"/>
  <c r="V8" i="1"/>
  <c r="V6" i="1"/>
  <c r="L5" i="1"/>
  <c r="AF5" i="1"/>
  <c r="Q5" i="1"/>
</calcChain>
</file>

<file path=xl/sharedStrings.xml><?xml version="1.0" encoding="utf-8"?>
<sst xmlns="http://schemas.openxmlformats.org/spreadsheetml/2006/main" count="170" uniqueCount="100">
  <si>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</si>
  <si>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</si>
  <si>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</si>
  <si>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</si>
  <si>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</si>
  <si>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</si>
  <si>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</si>
  <si>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</si>
  <si>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</si>
  <si>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</si>
  <si>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</si>
  <si>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</si>
  <si>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</si>
  <si>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</si>
  <si>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</si>
  <si>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</si>
  <si>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</si>
  <si>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</si>
  <si>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</si>
  <si>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</si>
  <si>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</si>
  <si>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</si>
  <si>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</si>
  <si>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</si>
  <si>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26,01,</t>
  </si>
  <si>
    <t>26,01,(дозаказ спреды)</t>
  </si>
  <si>
    <t>19,01,</t>
  </si>
  <si>
    <t>12,01,</t>
  </si>
  <si>
    <t>05,01,</t>
  </si>
  <si>
    <t>23,12,</t>
  </si>
  <si>
    <t>16,12,</t>
  </si>
  <si>
    <t>08,12,</t>
  </si>
  <si>
    <t>01,12,</t>
  </si>
  <si>
    <t>24,11,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</si>
  <si>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</si>
  <si>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</si>
  <si>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</si>
  <si>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</si>
  <si>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новинка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</si>
  <si>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</si>
  <si>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</si>
  <si>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</si>
  <si>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</si>
  <si>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</si>
  <si>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</si>
  <si>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</si>
  <si>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</si>
  <si>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14,01,26 списание 1000шт.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</si>
  <si>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</si>
  <si>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</si>
  <si>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19,08,25 списание 47 шт. (сроки)</t>
  </si>
  <si>
    <t>Сыр "Пармезан" 40% кусок 180 гр  ОСТАНКИНО</t>
  </si>
  <si>
    <t>Сыр Боккончини копченый 40% 100 гр.  ОСТАНКИНО</t>
  </si>
  <si>
    <t>03,11,25 завод не отгрузил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</si>
  <si>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</si>
  <si>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</si>
  <si>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</si>
  <si>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</si>
  <si>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</si>
  <si>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</si>
  <si>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</si>
  <si>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</si>
  <si>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</si>
  <si>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</si>
  <si>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"Российский традиционный"  50%, вакуум  Останкино</t>
  </si>
  <si>
    <t>05,12,25 заказ под клиента (250кг) / 20,10,25 заказ под клиента (500кг)</t>
  </si>
  <si>
    <t>Сыр полутвердый "Российский" с массовой долей жира 50%  Останкино</t>
  </si>
  <si>
    <t>Сыр Сливочный со вкусом топленого молока 45% ти Папа Может, брус (2 шт)  Останкино</t>
  </si>
  <si>
    <t>вывод / 5522704</t>
  </si>
  <si>
    <t>4001481 Сыр Бурмакинский со вкусом топленого молока 45%( брус)  Останкино</t>
  </si>
  <si>
    <t>дубль / вывод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</si>
  <si>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</si>
  <si>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</si>
  <si>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</si>
  <si>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</si>
  <si>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</si>
  <si>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11,08,25 завод не отгрузил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</si>
  <si>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</si>
  <si>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</si>
  <si>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</si>
  <si>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</si>
  <si>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</si>
  <si>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</si>
  <si>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</si>
  <si>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</si>
  <si>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</si>
  <si>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</si>
  <si>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05,12,25 заказ под клиента (250кг) / 20,10,25 заказ под клиента (520кг)</t>
  </si>
  <si>
    <t>Сыч/Прод Коровино Российский Оригин 50% ВЕС НОВАЯ (3,5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</si>
  <si>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</si>
  <si>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</si>
  <si>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</si>
  <si>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</si>
  <si>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</si>
  <si>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(105 кг)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</si>
  <si>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</si>
  <si>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</si>
  <si>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</si>
  <si>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17,11,25 завод не отгрузит / 10,11,25 завод не отгрузит / 03,11,25 завод не отгрузит</t>
    </r>
  </si>
  <si>
    <t>500шт. помощь заводу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</si>
</sst>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0" fontId="0" fillId="0" borderId="1" xfId="0"/>
    <xf numFmtId="164" fontId="1" fillId="0" borderId="2" xfId="1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6" xfId="1" applyNumberFormat="1" applyFill="1" applyBorder="1"/>
    <xf numFmtId="164" fontId="1" fillId="7" borderId="7" xfId="1" applyNumberFormat="1" applyFill="1" applyBorder="1"/>
    <xf numFmtId="164" fontId="1" fillId="7" borderId="8" xfId="1" applyNumberFormat="1" applyFill="1" applyBorder="1"/>
    <xf numFmtId="2" fontId="1" fillId="7" borderId="1" xfId="1" applyNumberFormat="1" applyFill="1"/>
    <xf numFmtId="164" fontId="1" fillId="7" borderId="1" xfId="1" applyNumberFormat="1" applyFill="1"/>
    <xf numFmtId="164" fontId="1" fillId="7" borderId="2" xfId="1" applyNumberFormat="1" applyFill="1" applyBorder="1"/>
    <xf numFmtId="164" fontId="1" fillId="7" borderId="3" xfId="1" applyNumberFormat="1" applyFill="1" applyBorder="1"/>
    <xf numFmtId="164" fontId="1" fillId="7" borderId="4" xfId="1" applyNumberFormat="1" applyFill="1" applyBorder="1"/>
    <xf numFmtId="164" fontId="1" fillId="7" borderId="5" xfId="1" applyNumberFormat="1" applyFill="1" applyBorder="1"/>
    <xf numFmtId="164" fontId="4" fillId="8" borderId="1" xfId="1" applyNumberFormat="1" applyFont="1" applyFill="1"/>
    <xf numFmtId="164" fontId="5" fillId="8" borderId="1" xfId="1" applyNumberFormat="1" applyFont="1" applyFill="1"/>
    <xf numFmtId="164" fontId="4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4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5" sqref="T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7" customWidth="1"/>
    <col min="17" max="19" width="7" customWidth="1"/>
    <col min="20" max="20" width="21" customWidth="1"/>
    <col min="21" max="22" width="5" customWidth="1"/>
    <col min="23" max="30" width="6" customWidth="1"/>
    <col min="31" max="31" width="46.7109375" customWidth="1"/>
    <col min="32" max="32" width="7" customWidth="1"/>
    <col min="33" max="51" width="3" customWidth="1"/>
  </cols>
  <sheetData>
    <row r="1" spans="1:51" x14ac:dyDescent="0.25">
      <c r="A1" s="1"/>
      <c r="B1" s="1"/>
      <c r="C1" s="1"/>
      <c r="D1" s="1"/>
      <c r="E1" s="1"/>
      <c r="F1" s="1"/>
      <c r="G1" s="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0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6" t="s">
        <v>17</v>
      </c>
      <c r="T3" s="6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9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24</v>
      </c>
      <c r="R4" s="1"/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SUM(E6:E496)</f>
        <v>2742.9110000000001</v>
      </c>
      <c r="F5" s="4">
        <f>SUM(F6:F496)</f>
        <v>6677.2249999999995</v>
      </c>
      <c r="G5" s="9"/>
      <c r="H5" s="1"/>
      <c r="I5" s="1"/>
      <c r="J5" s="1"/>
      <c r="K5" s="4">
        <f t="shared" ref="K5:S5" si="0">SUM(K6:K496)</f>
        <v>2831.9</v>
      </c>
      <c r="L5" s="4">
        <f t="shared" si="0"/>
        <v>-88.988999999999976</v>
      </c>
      <c r="M5" s="4">
        <f t="shared" si="0"/>
        <v>0</v>
      </c>
      <c r="N5" s="4">
        <f t="shared" si="0"/>
        <v>0</v>
      </c>
      <c r="O5" s="4">
        <f t="shared" si="0"/>
        <v>6761</v>
      </c>
      <c r="P5" s="4">
        <f t="shared" si="0"/>
        <v>1000</v>
      </c>
      <c r="Q5" s="4">
        <f t="shared" si="0"/>
        <v>548.58219999999994</v>
      </c>
      <c r="R5" s="4">
        <f t="shared" si="0"/>
        <v>1353.2287999999999</v>
      </c>
      <c r="S5" s="4">
        <f t="shared" si="0"/>
        <v>0</v>
      </c>
      <c r="T5" s="1"/>
      <c r="U5" s="1"/>
      <c r="V5" s="1"/>
      <c r="W5" s="4">
        <f t="shared" ref="W5:AD5" si="1">SUM(W6:W496)</f>
        <v>951.84660000000019</v>
      </c>
      <c r="X5" s="4">
        <f t="shared" si="1"/>
        <v>553.74779999999998</v>
      </c>
      <c r="Y5" s="4">
        <f t="shared" si="1"/>
        <v>871.10633333333351</v>
      </c>
      <c r="Z5" s="4">
        <f t="shared" si="1"/>
        <v>550.36959999999999</v>
      </c>
      <c r="AA5" s="4">
        <f t="shared" si="1"/>
        <v>394.65559999999999</v>
      </c>
      <c r="AB5" s="4">
        <f t="shared" si="1"/>
        <v>517.39360000000011</v>
      </c>
      <c r="AC5" s="4">
        <f t="shared" si="1"/>
        <v>540.12619999999993</v>
      </c>
      <c r="AD5" s="4">
        <f t="shared" si="1"/>
        <v>457.36360000000002</v>
      </c>
      <c r="AE5" s="1"/>
      <c r="AF5" s="4">
        <f>SUM(AF6:AF496)</f>
        <v>952.58879999999988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37</v>
      </c>
      <c r="B6" s="1" t="s">
        <v>35</v>
      </c>
      <c r="C6" s="1">
        <v>32</v>
      </c>
      <c r="D6" s="1">
        <v>48</v>
      </c>
      <c r="E6" s="1">
        <v>7</v>
      </c>
      <c r="F6" s="1">
        <v>73</v>
      </c>
      <c r="G6" s="9">
        <v>0.82450000000000001</v>
      </c>
      <c r="H6" s="1">
        <v>180</v>
      </c>
      <c r="I6" s="1">
        <v>6948249</v>
      </c>
      <c r="J6" s="1"/>
      <c r="K6" s="1">
        <v>7</v>
      </c>
      <c r="L6" s="1">
        <f t="shared" ref="L6:L44" si="2">E6-K6</f>
        <v>0</v>
      </c>
      <c r="M6" s="1"/>
      <c r="N6" s="1"/>
      <c r="O6" s="1">
        <v>0</v>
      </c>
      <c r="P6" s="1"/>
      <c r="Q6" s="1">
        <f t="shared" ref="Q6:Q44" si="3">E6/5</f>
        <v>1.4</v>
      </c>
      <c r="R6" s="8"/>
      <c r="S6" s="8"/>
      <c r="T6" s="1"/>
      <c r="U6" s="1">
        <f t="shared" ref="U6:U44" si="4">(F6+O6+P6+R6)/Q6</f>
        <v>52.142857142857146</v>
      </c>
      <c r="V6" s="1">
        <f t="shared" ref="V6:V44" si="5">(F6+O6+P6)/Q6</f>
        <v>52.142857142857146</v>
      </c>
      <c r="W6" s="1">
        <v>4.2</v>
      </c>
      <c r="X6" s="1">
        <v>3.8</v>
      </c>
      <c r="Y6" s="1">
        <v>2</v>
      </c>
      <c r="Z6" s="1">
        <v>0.6</v>
      </c>
      <c r="AA6" s="1">
        <v>0</v>
      </c>
      <c r="AB6" s="1">
        <v>0</v>
      </c>
      <c r="AC6" s="1">
        <v>0</v>
      </c>
      <c r="AD6" s="1">
        <v>0</v>
      </c>
      <c r="AE6" s="28" t="s">
        <v>96</v>
      </c>
      <c r="AF6" s="1">
        <f t="shared" ref="AF6:AF23" si="6"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39</v>
      </c>
      <c r="B7" s="1" t="s">
        <v>35</v>
      </c>
      <c r="C7" s="1">
        <v>675</v>
      </c>
      <c r="D7" s="1"/>
      <c r="E7" s="1">
        <v>49</v>
      </c>
      <c r="F7" s="1">
        <v>626</v>
      </c>
      <c r="G7" s="9">
        <v>0.372</v>
      </c>
      <c r="H7" s="1">
        <v>180</v>
      </c>
      <c r="I7" s="1">
        <v>6948256</v>
      </c>
      <c r="J7" s="1"/>
      <c r="K7" s="1">
        <v>49</v>
      </c>
      <c r="L7" s="1">
        <f t="shared" si="2"/>
        <v>0</v>
      </c>
      <c r="M7" s="1"/>
      <c r="N7" s="1"/>
      <c r="O7" s="1">
        <v>0</v>
      </c>
      <c r="P7" s="1"/>
      <c r="Q7" s="1">
        <f t="shared" si="3"/>
        <v>9.8000000000000007</v>
      </c>
      <c r="R7" s="8"/>
      <c r="S7" s="8"/>
      <c r="T7" s="1"/>
      <c r="U7" s="1">
        <f t="shared" si="4"/>
        <v>63.877551020408156</v>
      </c>
      <c r="V7" s="1">
        <f t="shared" si="5"/>
        <v>63.877551020408156</v>
      </c>
      <c r="W7" s="1">
        <v>26.2</v>
      </c>
      <c r="X7" s="1">
        <v>15</v>
      </c>
      <c r="Y7" s="1">
        <v>46.333333333333343</v>
      </c>
      <c r="Z7" s="1">
        <v>13.6</v>
      </c>
      <c r="AA7" s="1">
        <v>0</v>
      </c>
      <c r="AB7" s="1">
        <v>0</v>
      </c>
      <c r="AC7" s="1">
        <v>0</v>
      </c>
      <c r="AD7" s="1">
        <v>0</v>
      </c>
      <c r="AE7" s="28" t="s">
        <v>96</v>
      </c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40</v>
      </c>
      <c r="B8" s="1" t="s">
        <v>35</v>
      </c>
      <c r="C8" s="1">
        <v>294</v>
      </c>
      <c r="D8" s="1"/>
      <c r="E8" s="1">
        <v>22</v>
      </c>
      <c r="F8" s="1">
        <v>272</v>
      </c>
      <c r="G8" s="9">
        <v>0.74399999999999999</v>
      </c>
      <c r="H8" s="1">
        <v>180</v>
      </c>
      <c r="I8" s="1">
        <v>6948263</v>
      </c>
      <c r="J8" s="1"/>
      <c r="K8" s="1">
        <v>22</v>
      </c>
      <c r="L8" s="1">
        <f t="shared" si="2"/>
        <v>0</v>
      </c>
      <c r="M8" s="1"/>
      <c r="N8" s="1"/>
      <c r="O8" s="1">
        <v>0</v>
      </c>
      <c r="P8" s="1"/>
      <c r="Q8" s="1">
        <f t="shared" si="3"/>
        <v>4.4000000000000004</v>
      </c>
      <c r="R8" s="8"/>
      <c r="S8" s="8"/>
      <c r="T8" s="1"/>
      <c r="U8" s="1">
        <f t="shared" si="4"/>
        <v>61.818181818181813</v>
      </c>
      <c r="V8" s="1">
        <f t="shared" si="5"/>
        <v>61.818181818181813</v>
      </c>
      <c r="W8" s="1">
        <v>13</v>
      </c>
      <c r="X8" s="1">
        <v>14.6</v>
      </c>
      <c r="Y8" s="1">
        <v>24</v>
      </c>
      <c r="Z8" s="1">
        <v>6</v>
      </c>
      <c r="AA8" s="1">
        <v>0</v>
      </c>
      <c r="AB8" s="1">
        <v>0</v>
      </c>
      <c r="AC8" s="1">
        <v>0</v>
      </c>
      <c r="AD8" s="1">
        <v>0</v>
      </c>
      <c r="AE8" s="28" t="s">
        <v>96</v>
      </c>
      <c r="AF8" s="1">
        <f t="shared" si="6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35</v>
      </c>
      <c r="C9" s="1">
        <v>737</v>
      </c>
      <c r="D9" s="1">
        <v>5</v>
      </c>
      <c r="E9" s="1">
        <v>169</v>
      </c>
      <c r="F9" s="1">
        <v>568</v>
      </c>
      <c r="G9" s="9">
        <v>0.372</v>
      </c>
      <c r="H9" s="1">
        <v>180</v>
      </c>
      <c r="I9" s="1">
        <v>6948270</v>
      </c>
      <c r="J9" s="1"/>
      <c r="K9" s="1">
        <v>167</v>
      </c>
      <c r="L9" s="1">
        <f t="shared" si="2"/>
        <v>2</v>
      </c>
      <c r="M9" s="1"/>
      <c r="N9" s="1"/>
      <c r="O9" s="1">
        <v>168</v>
      </c>
      <c r="P9" s="1"/>
      <c r="Q9" s="1">
        <f t="shared" si="3"/>
        <v>33.799999999999997</v>
      </c>
      <c r="R9" s="8"/>
      <c r="S9" s="8"/>
      <c r="T9" s="1"/>
      <c r="U9" s="1">
        <f t="shared" si="4"/>
        <v>21.775147928994084</v>
      </c>
      <c r="V9" s="1">
        <f t="shared" si="5"/>
        <v>21.775147928994084</v>
      </c>
      <c r="W9" s="1">
        <v>45</v>
      </c>
      <c r="X9" s="1">
        <v>10</v>
      </c>
      <c r="Y9" s="1">
        <v>53.666666666666657</v>
      </c>
      <c r="Z9" s="1">
        <v>14.8</v>
      </c>
      <c r="AA9" s="1">
        <v>0</v>
      </c>
      <c r="AB9" s="1">
        <v>0</v>
      </c>
      <c r="AC9" s="1">
        <v>0</v>
      </c>
      <c r="AD9" s="1">
        <v>0</v>
      </c>
      <c r="AE9" s="1" t="s">
        <v>38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42</v>
      </c>
      <c r="B10" s="1" t="s">
        <v>35</v>
      </c>
      <c r="C10" s="1">
        <v>585</v>
      </c>
      <c r="D10" s="1">
        <v>5</v>
      </c>
      <c r="E10" s="1">
        <v>62</v>
      </c>
      <c r="F10" s="1">
        <v>523</v>
      </c>
      <c r="G10" s="9">
        <v>0.74399999999999999</v>
      </c>
      <c r="H10" s="1">
        <v>180</v>
      </c>
      <c r="I10" s="1">
        <v>6948287</v>
      </c>
      <c r="J10" s="1"/>
      <c r="K10" s="1">
        <v>63</v>
      </c>
      <c r="L10" s="1">
        <f t="shared" si="2"/>
        <v>-1</v>
      </c>
      <c r="M10" s="1"/>
      <c r="N10" s="1"/>
      <c r="O10" s="1">
        <v>48</v>
      </c>
      <c r="P10" s="1"/>
      <c r="Q10" s="1">
        <f t="shared" si="3"/>
        <v>12.4</v>
      </c>
      <c r="R10" s="8"/>
      <c r="S10" s="8"/>
      <c r="T10" s="1"/>
      <c r="U10" s="1">
        <f t="shared" si="4"/>
        <v>46.048387096774192</v>
      </c>
      <c r="V10" s="1">
        <f t="shared" si="5"/>
        <v>46.048387096774192</v>
      </c>
      <c r="W10" s="1">
        <v>31.8</v>
      </c>
      <c r="X10" s="1">
        <v>5</v>
      </c>
      <c r="Y10" s="1">
        <v>43</v>
      </c>
      <c r="Z10" s="1">
        <v>9.4</v>
      </c>
      <c r="AA10" s="1">
        <v>0</v>
      </c>
      <c r="AB10" s="1">
        <v>0</v>
      </c>
      <c r="AC10" s="1">
        <v>0</v>
      </c>
      <c r="AD10" s="1">
        <v>0</v>
      </c>
      <c r="AE10" s="28" t="s">
        <v>96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43</v>
      </c>
      <c r="B11" s="1" t="s">
        <v>35</v>
      </c>
      <c r="C11" s="1">
        <v>63</v>
      </c>
      <c r="D11" s="1">
        <v>2</v>
      </c>
      <c r="E11" s="1">
        <v>40</v>
      </c>
      <c r="F11" s="1">
        <v>23</v>
      </c>
      <c r="G11" s="9">
        <v>0.18</v>
      </c>
      <c r="H11" s="1">
        <v>270</v>
      </c>
      <c r="I11" s="1">
        <v>9988438</v>
      </c>
      <c r="J11" s="1"/>
      <c r="K11" s="1">
        <v>40</v>
      </c>
      <c r="L11" s="1">
        <f t="shared" si="2"/>
        <v>0</v>
      </c>
      <c r="M11" s="1"/>
      <c r="N11" s="1"/>
      <c r="O11" s="1">
        <v>192</v>
      </c>
      <c r="P11" s="1"/>
      <c r="Q11" s="1">
        <f t="shared" si="3"/>
        <v>8</v>
      </c>
      <c r="R11" s="8"/>
      <c r="S11" s="8"/>
      <c r="T11" s="1"/>
      <c r="U11" s="1">
        <f t="shared" si="4"/>
        <v>26.875</v>
      </c>
      <c r="V11" s="1">
        <f t="shared" si="5"/>
        <v>26.875</v>
      </c>
      <c r="W11" s="1">
        <v>13</v>
      </c>
      <c r="X11" s="1">
        <v>6.6</v>
      </c>
      <c r="Y11" s="1">
        <v>8.5</v>
      </c>
      <c r="Z11" s="1">
        <v>6.8</v>
      </c>
      <c r="AA11" s="1">
        <v>5.6</v>
      </c>
      <c r="AB11" s="1">
        <v>5.6</v>
      </c>
      <c r="AC11" s="1">
        <v>5</v>
      </c>
      <c r="AD11" s="1">
        <v>8.8000000000000007</v>
      </c>
      <c r="AE11" s="1"/>
      <c r="AF11" s="1">
        <f t="shared" si="6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44</v>
      </c>
      <c r="B12" s="1" t="s">
        <v>35</v>
      </c>
      <c r="C12" s="1">
        <v>38</v>
      </c>
      <c r="D12" s="1">
        <v>33</v>
      </c>
      <c r="E12" s="1">
        <v>34</v>
      </c>
      <c r="F12" s="1">
        <v>36</v>
      </c>
      <c r="G12" s="9">
        <v>0.18</v>
      </c>
      <c r="H12" s="1">
        <v>270</v>
      </c>
      <c r="I12" s="1">
        <v>9988445</v>
      </c>
      <c r="J12" s="1"/>
      <c r="K12" s="1">
        <v>34</v>
      </c>
      <c r="L12" s="1">
        <f t="shared" si="2"/>
        <v>0</v>
      </c>
      <c r="M12" s="1"/>
      <c r="N12" s="1"/>
      <c r="O12" s="1">
        <v>208</v>
      </c>
      <c r="P12" s="1"/>
      <c r="Q12" s="1">
        <f t="shared" si="3"/>
        <v>6.8</v>
      </c>
      <c r="R12" s="8"/>
      <c r="S12" s="8"/>
      <c r="T12" s="1"/>
      <c r="U12" s="1">
        <f t="shared" si="4"/>
        <v>35.882352941176471</v>
      </c>
      <c r="V12" s="1">
        <f t="shared" si="5"/>
        <v>35.882352941176471</v>
      </c>
      <c r="W12" s="1">
        <v>13.6</v>
      </c>
      <c r="X12" s="1">
        <v>7.2</v>
      </c>
      <c r="Y12" s="1">
        <v>8</v>
      </c>
      <c r="Z12" s="1">
        <v>8</v>
      </c>
      <c r="AA12" s="1">
        <v>6.6</v>
      </c>
      <c r="AB12" s="1">
        <v>5.8</v>
      </c>
      <c r="AC12" s="1">
        <v>5.4</v>
      </c>
      <c r="AD12" s="1">
        <v>9.6</v>
      </c>
      <c r="AE12" s="1"/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48</v>
      </c>
      <c r="B13" s="1" t="s">
        <v>35</v>
      </c>
      <c r="C13" s="1">
        <v>9</v>
      </c>
      <c r="D13" s="1"/>
      <c r="E13" s="1">
        <v>3</v>
      </c>
      <c r="F13" s="1">
        <v>6</v>
      </c>
      <c r="G13" s="9">
        <v>0.4</v>
      </c>
      <c r="H13" s="1">
        <v>270</v>
      </c>
      <c r="I13" s="1">
        <v>9988452</v>
      </c>
      <c r="J13" s="1"/>
      <c r="K13" s="1">
        <v>3</v>
      </c>
      <c r="L13" s="1">
        <f t="shared" si="2"/>
        <v>0</v>
      </c>
      <c r="M13" s="1"/>
      <c r="N13" s="1"/>
      <c r="O13" s="1">
        <v>72</v>
      </c>
      <c r="P13" s="1"/>
      <c r="Q13" s="1">
        <f t="shared" si="3"/>
        <v>0.6</v>
      </c>
      <c r="R13" s="8"/>
      <c r="S13" s="8"/>
      <c r="T13" s="1"/>
      <c r="U13" s="1">
        <f t="shared" si="4"/>
        <v>130</v>
      </c>
      <c r="V13" s="1">
        <f t="shared" si="5"/>
        <v>130</v>
      </c>
      <c r="W13" s="1">
        <v>4.5999999999999996</v>
      </c>
      <c r="X13" s="1">
        <v>1.4</v>
      </c>
      <c r="Y13" s="1">
        <v>0.16666666666666671</v>
      </c>
      <c r="Z13" s="1">
        <v>1.2</v>
      </c>
      <c r="AA13" s="1">
        <v>2.4</v>
      </c>
      <c r="AB13" s="1">
        <v>1</v>
      </c>
      <c r="AC13" s="1">
        <v>0.4</v>
      </c>
      <c r="AD13" s="1">
        <v>1.6</v>
      </c>
      <c r="AE13" s="1"/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49</v>
      </c>
      <c r="B14" s="1" t="s">
        <v>35</v>
      </c>
      <c r="C14" s="1">
        <v>7</v>
      </c>
      <c r="D14" s="1"/>
      <c r="E14" s="1"/>
      <c r="F14" s="1">
        <v>7</v>
      </c>
      <c r="G14" s="9">
        <v>0.4</v>
      </c>
      <c r="H14" s="1">
        <v>270</v>
      </c>
      <c r="I14" s="1">
        <v>9988476</v>
      </c>
      <c r="J14" s="1"/>
      <c r="K14" s="1"/>
      <c r="L14" s="1">
        <f t="shared" si="2"/>
        <v>0</v>
      </c>
      <c r="M14" s="1"/>
      <c r="N14" s="1"/>
      <c r="O14" s="1">
        <v>84</v>
      </c>
      <c r="P14" s="1"/>
      <c r="Q14" s="1">
        <f t="shared" si="3"/>
        <v>0</v>
      </c>
      <c r="R14" s="8"/>
      <c r="S14" s="8"/>
      <c r="T14" s="1"/>
      <c r="U14" s="1" t="e">
        <f t="shared" si="4"/>
        <v>#DIV/0!</v>
      </c>
      <c r="V14" s="1" t="e">
        <f t="shared" si="5"/>
        <v>#DIV/0!</v>
      </c>
      <c r="W14" s="1">
        <v>7.4</v>
      </c>
      <c r="X14" s="1">
        <v>1.6</v>
      </c>
      <c r="Y14" s="1">
        <v>0.33333333333333331</v>
      </c>
      <c r="Z14" s="1">
        <v>2.2000000000000002</v>
      </c>
      <c r="AA14" s="1">
        <v>2.4</v>
      </c>
      <c r="AB14" s="1">
        <v>1</v>
      </c>
      <c r="AC14" s="1">
        <v>4</v>
      </c>
      <c r="AD14" s="1">
        <v>0</v>
      </c>
      <c r="AE14" s="1" t="s">
        <v>50</v>
      </c>
      <c r="AF14" s="1">
        <f t="shared" si="6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51</v>
      </c>
      <c r="B15" s="1" t="s">
        <v>35</v>
      </c>
      <c r="C15" s="1">
        <v>159</v>
      </c>
      <c r="D15" s="1">
        <v>4</v>
      </c>
      <c r="E15" s="1">
        <v>60</v>
      </c>
      <c r="F15" s="1">
        <v>98</v>
      </c>
      <c r="G15" s="9">
        <v>0.18</v>
      </c>
      <c r="H15" s="1">
        <v>150</v>
      </c>
      <c r="I15" s="1">
        <v>5034819</v>
      </c>
      <c r="J15" s="1"/>
      <c r="K15" s="1">
        <v>62</v>
      </c>
      <c r="L15" s="1">
        <f t="shared" si="2"/>
        <v>-2</v>
      </c>
      <c r="M15" s="1"/>
      <c r="N15" s="1"/>
      <c r="O15" s="1">
        <v>192</v>
      </c>
      <c r="P15" s="1"/>
      <c r="Q15" s="1">
        <f t="shared" si="3"/>
        <v>12</v>
      </c>
      <c r="R15" s="8"/>
      <c r="S15" s="8"/>
      <c r="T15" s="1"/>
      <c r="U15" s="1">
        <f t="shared" si="4"/>
        <v>24.166666666666668</v>
      </c>
      <c r="V15" s="1">
        <f t="shared" si="5"/>
        <v>24.166666666666668</v>
      </c>
      <c r="W15" s="1">
        <v>17.399999999999999</v>
      </c>
      <c r="X15" s="1">
        <v>12.6</v>
      </c>
      <c r="Y15" s="1">
        <v>20.166666666666671</v>
      </c>
      <c r="Z15" s="1">
        <v>16.399999999999999</v>
      </c>
      <c r="AA15" s="1">
        <v>14.6</v>
      </c>
      <c r="AB15" s="1">
        <v>14</v>
      </c>
      <c r="AC15" s="1">
        <v>14.8</v>
      </c>
      <c r="AD15" s="1">
        <v>14.4</v>
      </c>
      <c r="AE15" s="1"/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52</v>
      </c>
      <c r="B16" s="1" t="s">
        <v>35</v>
      </c>
      <c r="C16" s="1">
        <v>75</v>
      </c>
      <c r="D16" s="1"/>
      <c r="E16" s="1">
        <v>60</v>
      </c>
      <c r="F16" s="1">
        <v>15</v>
      </c>
      <c r="G16" s="9">
        <v>0.1</v>
      </c>
      <c r="H16" s="1">
        <v>90</v>
      </c>
      <c r="I16" s="1">
        <v>8444163</v>
      </c>
      <c r="J16" s="1"/>
      <c r="K16" s="1">
        <v>86</v>
      </c>
      <c r="L16" s="1">
        <f t="shared" si="2"/>
        <v>-26</v>
      </c>
      <c r="M16" s="1"/>
      <c r="N16" s="1"/>
      <c r="O16" s="1">
        <v>392</v>
      </c>
      <c r="P16" s="1"/>
      <c r="Q16" s="1">
        <f t="shared" si="3"/>
        <v>12</v>
      </c>
      <c r="R16" s="8"/>
      <c r="S16" s="8"/>
      <c r="T16" s="1"/>
      <c r="U16" s="1">
        <f t="shared" si="4"/>
        <v>33.916666666666664</v>
      </c>
      <c r="V16" s="1">
        <f t="shared" si="5"/>
        <v>33.916666666666664</v>
      </c>
      <c r="W16" s="1">
        <v>31</v>
      </c>
      <c r="X16" s="1">
        <v>1.8</v>
      </c>
      <c r="Y16" s="1">
        <v>11.16666666666667</v>
      </c>
      <c r="Z16" s="1">
        <v>10.4</v>
      </c>
      <c r="AA16" s="1">
        <v>3.8</v>
      </c>
      <c r="AB16" s="1">
        <v>-0.4</v>
      </c>
      <c r="AC16" s="1">
        <v>9.6</v>
      </c>
      <c r="AD16" s="1">
        <v>-0.2</v>
      </c>
      <c r="AE16" s="1" t="s">
        <v>53</v>
      </c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54</v>
      </c>
      <c r="B17" s="1" t="s">
        <v>35</v>
      </c>
      <c r="C17" s="1">
        <v>329</v>
      </c>
      <c r="D17" s="1">
        <v>178</v>
      </c>
      <c r="E17" s="1">
        <v>141</v>
      </c>
      <c r="F17" s="1">
        <v>356</v>
      </c>
      <c r="G17" s="9">
        <v>0.18</v>
      </c>
      <c r="H17" s="1">
        <v>150</v>
      </c>
      <c r="I17" s="1">
        <v>5038411</v>
      </c>
      <c r="J17" s="1"/>
      <c r="K17" s="1">
        <v>144</v>
      </c>
      <c r="L17" s="1">
        <f t="shared" si="2"/>
        <v>-3</v>
      </c>
      <c r="M17" s="1"/>
      <c r="N17" s="1"/>
      <c r="O17" s="1">
        <v>210</v>
      </c>
      <c r="P17" s="1"/>
      <c r="Q17" s="1">
        <f t="shared" si="3"/>
        <v>28.2</v>
      </c>
      <c r="R17" s="8"/>
      <c r="S17" s="8"/>
      <c r="T17" s="1"/>
      <c r="U17" s="1">
        <f t="shared" si="4"/>
        <v>20.070921985815602</v>
      </c>
      <c r="V17" s="1">
        <f t="shared" si="5"/>
        <v>20.070921985815602</v>
      </c>
      <c r="W17" s="1">
        <v>35.6</v>
      </c>
      <c r="X17" s="1">
        <v>33.799999999999997</v>
      </c>
      <c r="Y17" s="1">
        <v>37.666666666666657</v>
      </c>
      <c r="Z17" s="1">
        <v>30.8</v>
      </c>
      <c r="AA17" s="1">
        <v>36</v>
      </c>
      <c r="AB17" s="1">
        <v>27.2</v>
      </c>
      <c r="AC17" s="1">
        <v>29.6</v>
      </c>
      <c r="AD17" s="1">
        <v>17.8</v>
      </c>
      <c r="AE17" s="1"/>
      <c r="AF17" s="1">
        <f t="shared" si="6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55</v>
      </c>
      <c r="B18" s="1" t="s">
        <v>35</v>
      </c>
      <c r="C18" s="1">
        <v>496</v>
      </c>
      <c r="D18" s="1">
        <v>138</v>
      </c>
      <c r="E18" s="1">
        <v>157</v>
      </c>
      <c r="F18" s="1">
        <v>467</v>
      </c>
      <c r="G18" s="9">
        <v>0.18</v>
      </c>
      <c r="H18" s="1">
        <v>150</v>
      </c>
      <c r="I18" s="1">
        <v>5038459</v>
      </c>
      <c r="J18" s="1"/>
      <c r="K18" s="1">
        <v>162</v>
      </c>
      <c r="L18" s="1">
        <f t="shared" si="2"/>
        <v>-5</v>
      </c>
      <c r="M18" s="1"/>
      <c r="N18" s="1"/>
      <c r="O18" s="1">
        <v>240</v>
      </c>
      <c r="P18" s="1"/>
      <c r="Q18" s="1">
        <f t="shared" si="3"/>
        <v>31.4</v>
      </c>
      <c r="R18" s="8"/>
      <c r="S18" s="8"/>
      <c r="T18" s="1"/>
      <c r="U18" s="1">
        <f t="shared" si="4"/>
        <v>22.515923566878982</v>
      </c>
      <c r="V18" s="1">
        <f t="shared" si="5"/>
        <v>22.515923566878982</v>
      </c>
      <c r="W18" s="1">
        <v>43.4</v>
      </c>
      <c r="X18" s="1">
        <v>42.2</v>
      </c>
      <c r="Y18" s="1">
        <v>52.333333333333343</v>
      </c>
      <c r="Z18" s="1">
        <v>34.200000000000003</v>
      </c>
      <c r="AA18" s="1">
        <v>32.200000000000003</v>
      </c>
      <c r="AB18" s="1">
        <v>37.200000000000003</v>
      </c>
      <c r="AC18" s="1">
        <v>34.6</v>
      </c>
      <c r="AD18" s="1">
        <v>46.2</v>
      </c>
      <c r="AE18" s="1"/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56</v>
      </c>
      <c r="B19" s="1" t="s">
        <v>35</v>
      </c>
      <c r="C19" s="1">
        <v>193</v>
      </c>
      <c r="D19" s="1">
        <v>14</v>
      </c>
      <c r="E19" s="1">
        <v>56</v>
      </c>
      <c r="F19" s="1">
        <v>136</v>
      </c>
      <c r="G19" s="9">
        <v>0.18</v>
      </c>
      <c r="H19" s="1">
        <v>150</v>
      </c>
      <c r="I19" s="1">
        <v>5038831</v>
      </c>
      <c r="J19" s="1"/>
      <c r="K19" s="1">
        <v>57</v>
      </c>
      <c r="L19" s="1">
        <f t="shared" si="2"/>
        <v>-1</v>
      </c>
      <c r="M19" s="1"/>
      <c r="N19" s="1"/>
      <c r="O19" s="1">
        <v>310</v>
      </c>
      <c r="P19" s="1"/>
      <c r="Q19" s="1">
        <f t="shared" si="3"/>
        <v>11.2</v>
      </c>
      <c r="R19" s="8"/>
      <c r="S19" s="8"/>
      <c r="T19" s="1"/>
      <c r="U19" s="1">
        <f t="shared" si="4"/>
        <v>39.821428571428577</v>
      </c>
      <c r="V19" s="1">
        <f t="shared" si="5"/>
        <v>39.821428571428577</v>
      </c>
      <c r="W19" s="1">
        <v>31.6</v>
      </c>
      <c r="X19" s="1">
        <v>-0.2</v>
      </c>
      <c r="Y19" s="1">
        <v>7.833333333333333</v>
      </c>
      <c r="Z19" s="1">
        <v>19.399999999999999</v>
      </c>
      <c r="AA19" s="1">
        <v>6.2</v>
      </c>
      <c r="AB19" s="1">
        <v>9.1999999999999993</v>
      </c>
      <c r="AC19" s="1">
        <v>18.2</v>
      </c>
      <c r="AD19" s="1">
        <v>21.2</v>
      </c>
      <c r="AE19" s="29" t="s">
        <v>97</v>
      </c>
      <c r="AF19" s="1">
        <f t="shared" si="6"/>
        <v>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57</v>
      </c>
      <c r="B20" s="1" t="s">
        <v>35</v>
      </c>
      <c r="C20" s="1">
        <v>19</v>
      </c>
      <c r="D20" s="1">
        <v>1</v>
      </c>
      <c r="E20" s="1"/>
      <c r="F20" s="1">
        <v>19</v>
      </c>
      <c r="G20" s="9">
        <v>0.18</v>
      </c>
      <c r="H20" s="1">
        <v>120</v>
      </c>
      <c r="I20" s="1">
        <v>5038855</v>
      </c>
      <c r="J20" s="1"/>
      <c r="K20" s="1">
        <v>5</v>
      </c>
      <c r="L20" s="1">
        <f t="shared" si="2"/>
        <v>-5</v>
      </c>
      <c r="M20" s="1"/>
      <c r="N20" s="1"/>
      <c r="O20" s="1">
        <v>20</v>
      </c>
      <c r="P20" s="1"/>
      <c r="Q20" s="1">
        <f t="shared" si="3"/>
        <v>0</v>
      </c>
      <c r="R20" s="8"/>
      <c r="S20" s="8"/>
      <c r="T20" s="1"/>
      <c r="U20" s="1" t="e">
        <f t="shared" si="4"/>
        <v>#DIV/0!</v>
      </c>
      <c r="V20" s="1" t="e">
        <f t="shared" si="5"/>
        <v>#DIV/0!</v>
      </c>
      <c r="W20" s="1">
        <v>0</v>
      </c>
      <c r="X20" s="1">
        <v>6.4</v>
      </c>
      <c r="Y20" s="1">
        <v>18</v>
      </c>
      <c r="Z20" s="1">
        <v>0.4</v>
      </c>
      <c r="AA20" s="1">
        <v>0.2</v>
      </c>
      <c r="AB20" s="1">
        <v>11.2</v>
      </c>
      <c r="AC20" s="1">
        <v>-0.2</v>
      </c>
      <c r="AD20" s="1">
        <v>0</v>
      </c>
      <c r="AE20" s="28" t="s">
        <v>98</v>
      </c>
      <c r="AF20" s="1">
        <f t="shared" si="6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58</v>
      </c>
      <c r="B21" s="1" t="s">
        <v>35</v>
      </c>
      <c r="C21" s="1">
        <v>805</v>
      </c>
      <c r="D21" s="1">
        <v>76</v>
      </c>
      <c r="E21" s="1">
        <v>169</v>
      </c>
      <c r="F21" s="1">
        <v>673</v>
      </c>
      <c r="G21" s="9">
        <v>0.18</v>
      </c>
      <c r="H21" s="1">
        <v>150</v>
      </c>
      <c r="I21" s="1">
        <v>5038435</v>
      </c>
      <c r="J21" s="1"/>
      <c r="K21" s="1">
        <v>192</v>
      </c>
      <c r="L21" s="1">
        <f t="shared" si="2"/>
        <v>-23</v>
      </c>
      <c r="M21" s="1"/>
      <c r="N21" s="1"/>
      <c r="O21" s="1">
        <v>350</v>
      </c>
      <c r="P21" s="1"/>
      <c r="Q21" s="1">
        <f t="shared" si="3"/>
        <v>33.799999999999997</v>
      </c>
      <c r="R21" s="8"/>
      <c r="S21" s="8"/>
      <c r="T21" s="1"/>
      <c r="U21" s="1">
        <f t="shared" si="4"/>
        <v>30.266272189349117</v>
      </c>
      <c r="V21" s="1">
        <f t="shared" si="5"/>
        <v>30.266272189349117</v>
      </c>
      <c r="W21" s="1">
        <v>59.8</v>
      </c>
      <c r="X21" s="1">
        <v>57</v>
      </c>
      <c r="Y21" s="1">
        <v>77.666666666666671</v>
      </c>
      <c r="Z21" s="1">
        <v>47</v>
      </c>
      <c r="AA21" s="1">
        <v>50.2</v>
      </c>
      <c r="AB21" s="1">
        <v>48.4</v>
      </c>
      <c r="AC21" s="1">
        <v>53.2</v>
      </c>
      <c r="AD21" s="1">
        <v>80.8</v>
      </c>
      <c r="AE21" s="29" t="s">
        <v>97</v>
      </c>
      <c r="AF21" s="1">
        <f t="shared" si="6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ht="15.75" thickBot="1" x14ac:dyDescent="0.3">
      <c r="A22" s="1" t="s">
        <v>59</v>
      </c>
      <c r="B22" s="1" t="s">
        <v>35</v>
      </c>
      <c r="C22" s="1">
        <v>263</v>
      </c>
      <c r="D22" s="1">
        <v>225</v>
      </c>
      <c r="E22" s="1">
        <v>89</v>
      </c>
      <c r="F22" s="1">
        <v>380</v>
      </c>
      <c r="G22" s="9">
        <v>0.18</v>
      </c>
      <c r="H22" s="1">
        <v>120</v>
      </c>
      <c r="I22" s="1">
        <v>5038398</v>
      </c>
      <c r="J22" s="1"/>
      <c r="K22" s="1">
        <v>93</v>
      </c>
      <c r="L22" s="1">
        <f t="shared" si="2"/>
        <v>-4</v>
      </c>
      <c r="M22" s="1"/>
      <c r="N22" s="1"/>
      <c r="O22" s="1">
        <v>130</v>
      </c>
      <c r="P22" s="1"/>
      <c r="Q22" s="1">
        <f t="shared" si="3"/>
        <v>17.8</v>
      </c>
      <c r="R22" s="8"/>
      <c r="S22" s="8"/>
      <c r="T22" s="1"/>
      <c r="U22" s="1">
        <f t="shared" si="4"/>
        <v>28.651685393258425</v>
      </c>
      <c r="V22" s="1">
        <f t="shared" si="5"/>
        <v>28.651685393258425</v>
      </c>
      <c r="W22" s="1">
        <v>30</v>
      </c>
      <c r="X22" s="1">
        <v>31.2</v>
      </c>
      <c r="Y22" s="1">
        <v>32.333333333333343</v>
      </c>
      <c r="Z22" s="1">
        <v>29.8</v>
      </c>
      <c r="AA22" s="1">
        <v>27</v>
      </c>
      <c r="AB22" s="1">
        <v>22</v>
      </c>
      <c r="AC22" s="1">
        <v>27.2</v>
      </c>
      <c r="AD22" s="1">
        <v>33.799999999999997</v>
      </c>
      <c r="AE22" s="29" t="s">
        <v>97</v>
      </c>
      <c r="AF22" s="1">
        <f t="shared" si="6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3" t="s">
        <v>60</v>
      </c>
      <c r="B23" s="14" t="s">
        <v>61</v>
      </c>
      <c r="C23" s="14"/>
      <c r="D23" s="14"/>
      <c r="E23" s="14"/>
      <c r="F23" s="15"/>
      <c r="G23" s="9">
        <v>1</v>
      </c>
      <c r="H23" s="1">
        <v>150</v>
      </c>
      <c r="I23" s="1">
        <v>8785242</v>
      </c>
      <c r="J23" s="1"/>
      <c r="K23" s="1"/>
      <c r="L23" s="1">
        <f t="shared" si="2"/>
        <v>0</v>
      </c>
      <c r="M23" s="1"/>
      <c r="N23" s="1"/>
      <c r="O23" s="1">
        <v>165</v>
      </c>
      <c r="P23" s="1"/>
      <c r="Q23" s="1">
        <f t="shared" si="3"/>
        <v>0</v>
      </c>
      <c r="R23" s="8"/>
      <c r="S23" s="8"/>
      <c r="T23" s="1"/>
      <c r="U23" s="1" t="e">
        <f t="shared" si="4"/>
        <v>#DIV/0!</v>
      </c>
      <c r="V23" s="1" t="e">
        <f t="shared" si="5"/>
        <v>#DIV/0!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/>
      <c r="AF23" s="1">
        <f t="shared" si="6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ht="15.75" thickBot="1" x14ac:dyDescent="0.3">
      <c r="A24" s="19" t="s">
        <v>62</v>
      </c>
      <c r="B24" s="20" t="s">
        <v>61</v>
      </c>
      <c r="C24" s="20">
        <v>32.83</v>
      </c>
      <c r="D24" s="20"/>
      <c r="E24" s="20">
        <v>16.53</v>
      </c>
      <c r="F24" s="21">
        <v>16.3</v>
      </c>
      <c r="G24" s="22">
        <v>0</v>
      </c>
      <c r="H24" s="23" t="e">
        <v>#N/A</v>
      </c>
      <c r="I24" s="23" t="s">
        <v>63</v>
      </c>
      <c r="J24" s="23" t="s">
        <v>60</v>
      </c>
      <c r="K24" s="23">
        <v>15.3</v>
      </c>
      <c r="L24" s="23">
        <f t="shared" si="2"/>
        <v>1.2300000000000004</v>
      </c>
      <c r="M24" s="23"/>
      <c r="N24" s="23"/>
      <c r="O24" s="23">
        <v>0</v>
      </c>
      <c r="P24" s="23"/>
      <c r="Q24" s="23">
        <f t="shared" si="3"/>
        <v>3.306</v>
      </c>
      <c r="R24" s="24"/>
      <c r="S24" s="24"/>
      <c r="T24" s="23"/>
      <c r="U24" s="23">
        <f t="shared" si="4"/>
        <v>4.9304295220810648</v>
      </c>
      <c r="V24" s="23">
        <f t="shared" si="5"/>
        <v>4.9304295220810648</v>
      </c>
      <c r="W24" s="23">
        <v>12.48</v>
      </c>
      <c r="X24" s="23">
        <v>0</v>
      </c>
      <c r="Y24" s="23">
        <v>6.4778333333333329</v>
      </c>
      <c r="Z24" s="23">
        <v>5.2610000000000001</v>
      </c>
      <c r="AA24" s="23">
        <v>0</v>
      </c>
      <c r="AB24" s="23">
        <v>2.0608</v>
      </c>
      <c r="AC24" s="23">
        <v>2.7292000000000001</v>
      </c>
      <c r="AD24" s="23">
        <v>2.0215999999999998</v>
      </c>
      <c r="AE24" s="23"/>
      <c r="AF24" s="23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3" t="s">
        <v>64</v>
      </c>
      <c r="B25" s="14" t="s">
        <v>61</v>
      </c>
      <c r="C25" s="14"/>
      <c r="D25" s="14"/>
      <c r="E25" s="14"/>
      <c r="F25" s="15"/>
      <c r="G25" s="9">
        <v>1</v>
      </c>
      <c r="H25" s="1">
        <v>120</v>
      </c>
      <c r="I25" s="1">
        <v>8785204</v>
      </c>
      <c r="J25" s="1"/>
      <c r="K25" s="1"/>
      <c r="L25" s="1">
        <f t="shared" si="2"/>
        <v>0</v>
      </c>
      <c r="M25" s="1"/>
      <c r="N25" s="1"/>
      <c r="O25" s="1">
        <v>198</v>
      </c>
      <c r="P25" s="1"/>
      <c r="Q25" s="1">
        <f t="shared" si="3"/>
        <v>0</v>
      </c>
      <c r="R25" s="8">
        <f>20*(Q25+Q26)-P25-P26-O25-O26-F25-F26</f>
        <v>8.0579999999999359</v>
      </c>
      <c r="S25" s="8"/>
      <c r="T25" s="1"/>
      <c r="U25" s="1" t="e">
        <f t="shared" si="4"/>
        <v>#DIV/0!</v>
      </c>
      <c r="V25" s="1" t="e">
        <f t="shared" si="5"/>
        <v>#DIV/0!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 t="s">
        <v>65</v>
      </c>
      <c r="AF25" s="1">
        <f>G25*R25</f>
        <v>8.0579999999999359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ht="15.75" thickBot="1" x14ac:dyDescent="0.3">
      <c r="A26" s="19" t="s">
        <v>66</v>
      </c>
      <c r="B26" s="20" t="s">
        <v>61</v>
      </c>
      <c r="C26" s="20">
        <v>207.56800000000001</v>
      </c>
      <c r="D26" s="20"/>
      <c r="E26" s="20">
        <v>85.995999999999995</v>
      </c>
      <c r="F26" s="21">
        <v>137.92599999999999</v>
      </c>
      <c r="G26" s="22">
        <v>0</v>
      </c>
      <c r="H26" s="23" t="e">
        <v>#N/A</v>
      </c>
      <c r="I26" s="23" t="s">
        <v>63</v>
      </c>
      <c r="J26" s="23" t="s">
        <v>64</v>
      </c>
      <c r="K26" s="23">
        <v>82.087999999999994</v>
      </c>
      <c r="L26" s="23">
        <f t="shared" si="2"/>
        <v>3.9080000000000013</v>
      </c>
      <c r="M26" s="23"/>
      <c r="N26" s="23"/>
      <c r="O26" s="23">
        <v>0</v>
      </c>
      <c r="P26" s="23"/>
      <c r="Q26" s="23">
        <f t="shared" si="3"/>
        <v>17.199199999999998</v>
      </c>
      <c r="R26" s="24"/>
      <c r="S26" s="24"/>
      <c r="T26" s="23"/>
      <c r="U26" s="23">
        <f t="shared" si="4"/>
        <v>8.0193264803014106</v>
      </c>
      <c r="V26" s="23">
        <f t="shared" si="5"/>
        <v>8.0193264803014106</v>
      </c>
      <c r="W26" s="23">
        <v>90.125199999999992</v>
      </c>
      <c r="X26" s="23">
        <v>0</v>
      </c>
      <c r="Y26" s="23">
        <v>35.9315</v>
      </c>
      <c r="Z26" s="23">
        <v>18.3932</v>
      </c>
      <c r="AA26" s="23">
        <v>9.2034000000000002</v>
      </c>
      <c r="AB26" s="23">
        <v>6.4923999999999999</v>
      </c>
      <c r="AC26" s="23">
        <v>12</v>
      </c>
      <c r="AD26" s="23">
        <v>6.2435999999999998</v>
      </c>
      <c r="AE26" s="23"/>
      <c r="AF26" s="23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25" t="s">
        <v>67</v>
      </c>
      <c r="B27" s="26" t="s">
        <v>61</v>
      </c>
      <c r="C27" s="26">
        <v>35.805999999999997</v>
      </c>
      <c r="D27" s="26">
        <v>8.8339999999999996</v>
      </c>
      <c r="E27" s="26">
        <v>8.5530000000000008</v>
      </c>
      <c r="F27" s="27">
        <v>23.939</v>
      </c>
      <c r="G27" s="22">
        <v>0</v>
      </c>
      <c r="H27" s="23">
        <v>120</v>
      </c>
      <c r="I27" s="23" t="s">
        <v>68</v>
      </c>
      <c r="J27" s="23"/>
      <c r="K27" s="23">
        <v>17</v>
      </c>
      <c r="L27" s="23">
        <f t="shared" si="2"/>
        <v>-8.4469999999999992</v>
      </c>
      <c r="M27" s="23"/>
      <c r="N27" s="23"/>
      <c r="O27" s="23">
        <v>0</v>
      </c>
      <c r="P27" s="23"/>
      <c r="Q27" s="23">
        <f t="shared" si="3"/>
        <v>1.7106000000000001</v>
      </c>
      <c r="R27" s="24"/>
      <c r="S27" s="24"/>
      <c r="T27" s="23"/>
      <c r="U27" s="23">
        <f t="shared" si="4"/>
        <v>13.994504852098677</v>
      </c>
      <c r="V27" s="23">
        <f t="shared" si="5"/>
        <v>13.994504852098677</v>
      </c>
      <c r="W27" s="23">
        <v>2.4234</v>
      </c>
      <c r="X27" s="23">
        <v>18.067</v>
      </c>
      <c r="Y27" s="23">
        <v>1.5056666666666669</v>
      </c>
      <c r="Z27" s="23">
        <v>4.5590000000000002</v>
      </c>
      <c r="AA27" s="23">
        <v>6.6226000000000003</v>
      </c>
      <c r="AB27" s="23">
        <v>4.3331999999999997</v>
      </c>
      <c r="AC27" s="23">
        <v>11.477399999999999</v>
      </c>
      <c r="AD27" s="23">
        <v>2.4104000000000001</v>
      </c>
      <c r="AE27" s="23"/>
      <c r="AF27" s="23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ht="15.75" thickBot="1" x14ac:dyDescent="0.3">
      <c r="A28" s="19" t="s">
        <v>69</v>
      </c>
      <c r="B28" s="20" t="s">
        <v>61</v>
      </c>
      <c r="C28" s="20">
        <v>4.9459999999999997</v>
      </c>
      <c r="D28" s="20"/>
      <c r="E28" s="20"/>
      <c r="F28" s="21">
        <v>4.9459999999999997</v>
      </c>
      <c r="G28" s="22">
        <v>0</v>
      </c>
      <c r="H28" s="23" t="e">
        <v>#N/A</v>
      </c>
      <c r="I28" s="23" t="s">
        <v>70</v>
      </c>
      <c r="J28" s="23" t="s">
        <v>67</v>
      </c>
      <c r="K28" s="23"/>
      <c r="L28" s="23">
        <f t="shared" si="2"/>
        <v>0</v>
      </c>
      <c r="M28" s="23"/>
      <c r="N28" s="23"/>
      <c r="O28" s="23">
        <v>0</v>
      </c>
      <c r="P28" s="23"/>
      <c r="Q28" s="23">
        <f t="shared" si="3"/>
        <v>0</v>
      </c>
      <c r="R28" s="24"/>
      <c r="S28" s="24"/>
      <c r="T28" s="23"/>
      <c r="U28" s="23" t="e">
        <f t="shared" si="4"/>
        <v>#DIV/0!</v>
      </c>
      <c r="V28" s="23" t="e">
        <f t="shared" si="5"/>
        <v>#DIV/0!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/>
      <c r="AF28" s="23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71</v>
      </c>
      <c r="B29" s="1" t="s">
        <v>35</v>
      </c>
      <c r="C29" s="1">
        <v>45</v>
      </c>
      <c r="D29" s="1"/>
      <c r="E29" s="1">
        <v>11</v>
      </c>
      <c r="F29" s="1">
        <v>33</v>
      </c>
      <c r="G29" s="9">
        <v>0.14000000000000001</v>
      </c>
      <c r="H29" s="1">
        <v>180</v>
      </c>
      <c r="I29" s="1">
        <v>9988391</v>
      </c>
      <c r="J29" s="1"/>
      <c r="K29" s="1">
        <v>12</v>
      </c>
      <c r="L29" s="1">
        <f t="shared" si="2"/>
        <v>-1</v>
      </c>
      <c r="M29" s="1"/>
      <c r="N29" s="1"/>
      <c r="O29" s="1">
        <v>0</v>
      </c>
      <c r="P29" s="1"/>
      <c r="Q29" s="1">
        <f t="shared" si="3"/>
        <v>2.2000000000000002</v>
      </c>
      <c r="R29" s="8">
        <f t="shared" ref="R29" si="7">20*Q29-P29-O29-F29</f>
        <v>11</v>
      </c>
      <c r="S29" s="8"/>
      <c r="T29" s="1"/>
      <c r="U29" s="1">
        <f t="shared" si="4"/>
        <v>20</v>
      </c>
      <c r="V29" s="1">
        <f t="shared" si="5"/>
        <v>14.999999999999998</v>
      </c>
      <c r="W29" s="1">
        <v>2</v>
      </c>
      <c r="X29" s="1">
        <v>2.6</v>
      </c>
      <c r="Y29" s="1">
        <v>3.333333333333333</v>
      </c>
      <c r="Z29" s="1">
        <v>4.5999999999999996</v>
      </c>
      <c r="AA29" s="1">
        <v>2.4</v>
      </c>
      <c r="AB29" s="1">
        <v>3.4</v>
      </c>
      <c r="AC29" s="1">
        <v>2.2000000000000002</v>
      </c>
      <c r="AD29" s="1">
        <v>5</v>
      </c>
      <c r="AE29" s="1"/>
      <c r="AF29" s="1">
        <f>G29*R29</f>
        <v>1.54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72</v>
      </c>
      <c r="B30" s="1" t="s">
        <v>35</v>
      </c>
      <c r="C30" s="1">
        <v>39</v>
      </c>
      <c r="D30" s="1">
        <v>133</v>
      </c>
      <c r="E30" s="1">
        <v>44</v>
      </c>
      <c r="F30" s="1">
        <v>123</v>
      </c>
      <c r="G30" s="9">
        <v>0.18</v>
      </c>
      <c r="H30" s="1">
        <v>270</v>
      </c>
      <c r="I30" s="1">
        <v>9988681</v>
      </c>
      <c r="J30" s="1"/>
      <c r="K30" s="1">
        <v>47</v>
      </c>
      <c r="L30" s="1">
        <f t="shared" si="2"/>
        <v>-3</v>
      </c>
      <c r="M30" s="1"/>
      <c r="N30" s="1"/>
      <c r="O30" s="1">
        <v>272</v>
      </c>
      <c r="P30" s="1"/>
      <c r="Q30" s="1">
        <f t="shared" si="3"/>
        <v>8.8000000000000007</v>
      </c>
      <c r="R30" s="8"/>
      <c r="S30" s="8"/>
      <c r="T30" s="1"/>
      <c r="U30" s="1">
        <f t="shared" si="4"/>
        <v>44.886363636363633</v>
      </c>
      <c r="V30" s="1">
        <f t="shared" si="5"/>
        <v>44.886363636363633</v>
      </c>
      <c r="W30" s="1">
        <v>21.6</v>
      </c>
      <c r="X30" s="1">
        <v>13.4</v>
      </c>
      <c r="Y30" s="1">
        <v>11.83333333333333</v>
      </c>
      <c r="Z30" s="1">
        <v>11.2</v>
      </c>
      <c r="AA30" s="1">
        <v>13.6</v>
      </c>
      <c r="AB30" s="1">
        <v>7.4</v>
      </c>
      <c r="AC30" s="1">
        <v>18.2</v>
      </c>
      <c r="AD30" s="1">
        <v>15.6</v>
      </c>
      <c r="AE30" s="1"/>
      <c r="AF30" s="1">
        <f>G30*R30</f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23" t="s">
        <v>73</v>
      </c>
      <c r="B31" s="23" t="s">
        <v>61</v>
      </c>
      <c r="C31" s="23">
        <v>-3.3439999999999999</v>
      </c>
      <c r="D31" s="23"/>
      <c r="E31" s="23"/>
      <c r="F31" s="23">
        <v>-3.3439999999999999</v>
      </c>
      <c r="G31" s="22">
        <v>0</v>
      </c>
      <c r="H31" s="23" t="e">
        <v>#N/A</v>
      </c>
      <c r="I31" s="23" t="s">
        <v>70</v>
      </c>
      <c r="J31" s="23"/>
      <c r="K31" s="23"/>
      <c r="L31" s="23">
        <f t="shared" si="2"/>
        <v>0</v>
      </c>
      <c r="M31" s="23"/>
      <c r="N31" s="23"/>
      <c r="O31" s="23">
        <v>0</v>
      </c>
      <c r="P31" s="23"/>
      <c r="Q31" s="23">
        <f t="shared" si="3"/>
        <v>0</v>
      </c>
      <c r="R31" s="24"/>
      <c r="S31" s="24"/>
      <c r="T31" s="23"/>
      <c r="U31" s="23" t="e">
        <f t="shared" si="4"/>
        <v>#DIV/0!</v>
      </c>
      <c r="V31" s="23" t="e">
        <f t="shared" si="5"/>
        <v>#DIV/0!</v>
      </c>
      <c r="W31" s="23">
        <v>0.62680000000000002</v>
      </c>
      <c r="X31" s="23">
        <v>2.0099999999999998</v>
      </c>
      <c r="Y31" s="23">
        <v>9.6536666666666662</v>
      </c>
      <c r="Z31" s="23">
        <v>4.4256000000000002</v>
      </c>
      <c r="AA31" s="23">
        <v>2.6778</v>
      </c>
      <c r="AB31" s="23">
        <v>4.806</v>
      </c>
      <c r="AC31" s="23">
        <v>6.1696</v>
      </c>
      <c r="AD31" s="23">
        <v>0.66800000000000004</v>
      </c>
      <c r="AE31" s="23"/>
      <c r="AF31" s="23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74</v>
      </c>
      <c r="B32" s="1" t="s">
        <v>61</v>
      </c>
      <c r="C32" s="1">
        <v>398.23</v>
      </c>
      <c r="D32" s="1"/>
      <c r="E32" s="1">
        <v>117.062</v>
      </c>
      <c r="F32" s="1">
        <v>281.16800000000001</v>
      </c>
      <c r="G32" s="9">
        <v>1</v>
      </c>
      <c r="H32" s="1">
        <v>120</v>
      </c>
      <c r="I32" s="1">
        <v>8785198</v>
      </c>
      <c r="J32" s="1"/>
      <c r="K32" s="1">
        <v>116.312</v>
      </c>
      <c r="L32" s="1">
        <f t="shared" si="2"/>
        <v>0.75</v>
      </c>
      <c r="M32" s="1"/>
      <c r="N32" s="1"/>
      <c r="O32" s="1">
        <v>396</v>
      </c>
      <c r="P32" s="1"/>
      <c r="Q32" s="1">
        <f t="shared" si="3"/>
        <v>23.412399999999998</v>
      </c>
      <c r="R32" s="8"/>
      <c r="S32" s="8"/>
      <c r="T32" s="1"/>
      <c r="U32" s="1">
        <f t="shared" si="4"/>
        <v>28.923476448377784</v>
      </c>
      <c r="V32" s="1">
        <f t="shared" si="5"/>
        <v>28.923476448377784</v>
      </c>
      <c r="W32" s="1">
        <v>40.0428</v>
      </c>
      <c r="X32" s="1">
        <v>3.9788000000000001</v>
      </c>
      <c r="Y32" s="1">
        <v>34.770666666666664</v>
      </c>
      <c r="Z32" s="1">
        <v>31.4984</v>
      </c>
      <c r="AA32" s="1">
        <v>13.985799999999999</v>
      </c>
      <c r="AB32" s="1">
        <v>21.2684</v>
      </c>
      <c r="AC32" s="1">
        <v>25.011199999999999</v>
      </c>
      <c r="AD32" s="1">
        <v>15.8088</v>
      </c>
      <c r="AE32" s="1"/>
      <c r="AF32" s="1">
        <f>G32*R32</f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75</v>
      </c>
      <c r="B33" s="1" t="s">
        <v>35</v>
      </c>
      <c r="C33" s="1">
        <v>452</v>
      </c>
      <c r="D33" s="1">
        <v>135</v>
      </c>
      <c r="E33" s="1">
        <v>237</v>
      </c>
      <c r="F33" s="1">
        <v>330</v>
      </c>
      <c r="G33" s="9">
        <v>0.1</v>
      </c>
      <c r="H33" s="1">
        <v>60</v>
      </c>
      <c r="I33" s="1">
        <v>8444187</v>
      </c>
      <c r="J33" s="1"/>
      <c r="K33" s="1">
        <v>246</v>
      </c>
      <c r="L33" s="1">
        <f t="shared" si="2"/>
        <v>-9</v>
      </c>
      <c r="M33" s="1"/>
      <c r="N33" s="1"/>
      <c r="O33" s="1">
        <v>186</v>
      </c>
      <c r="P33" s="1"/>
      <c r="Q33" s="1">
        <f t="shared" si="3"/>
        <v>47.4</v>
      </c>
      <c r="R33" s="8">
        <f>16*Q33-P33-O33-F33</f>
        <v>242.39999999999998</v>
      </c>
      <c r="S33" s="8"/>
      <c r="T33" s="1"/>
      <c r="U33" s="1">
        <f t="shared" si="4"/>
        <v>16</v>
      </c>
      <c r="V33" s="1">
        <f t="shared" si="5"/>
        <v>10.88607594936709</v>
      </c>
      <c r="W33" s="1">
        <v>47.6</v>
      </c>
      <c r="X33" s="1">
        <v>51.6</v>
      </c>
      <c r="Y33" s="1">
        <v>68.666666666666671</v>
      </c>
      <c r="Z33" s="1">
        <v>44.4</v>
      </c>
      <c r="AA33" s="1">
        <v>43</v>
      </c>
      <c r="AB33" s="1">
        <v>63.2</v>
      </c>
      <c r="AC33" s="1">
        <v>47.8</v>
      </c>
      <c r="AD33" s="1">
        <v>43</v>
      </c>
      <c r="AE33" s="1" t="s">
        <v>76</v>
      </c>
      <c r="AF33" s="1">
        <f>G33*R33</f>
        <v>24.24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77</v>
      </c>
      <c r="B34" s="1" t="s">
        <v>35</v>
      </c>
      <c r="C34" s="1">
        <v>231</v>
      </c>
      <c r="D34" s="1">
        <v>204</v>
      </c>
      <c r="E34" s="1">
        <v>142</v>
      </c>
      <c r="F34" s="1">
        <v>280</v>
      </c>
      <c r="G34" s="9">
        <v>0.1</v>
      </c>
      <c r="H34" s="1">
        <v>90</v>
      </c>
      <c r="I34" s="1">
        <v>8444194</v>
      </c>
      <c r="J34" s="1"/>
      <c r="K34" s="1">
        <v>150.19999999999999</v>
      </c>
      <c r="L34" s="1">
        <f t="shared" si="2"/>
        <v>-8.1999999999999886</v>
      </c>
      <c r="M34" s="1"/>
      <c r="N34" s="1"/>
      <c r="O34" s="1">
        <v>408</v>
      </c>
      <c r="P34" s="1"/>
      <c r="Q34" s="1">
        <f t="shared" si="3"/>
        <v>28.4</v>
      </c>
      <c r="R34" s="8"/>
      <c r="S34" s="8"/>
      <c r="T34" s="1"/>
      <c r="U34" s="1">
        <f t="shared" si="4"/>
        <v>24.225352112676056</v>
      </c>
      <c r="V34" s="1">
        <f t="shared" si="5"/>
        <v>24.225352112676056</v>
      </c>
      <c r="W34" s="1">
        <v>46</v>
      </c>
      <c r="X34" s="1">
        <v>36.4</v>
      </c>
      <c r="Y34" s="1">
        <v>32.333333333333343</v>
      </c>
      <c r="Z34" s="1">
        <v>44.4</v>
      </c>
      <c r="AA34" s="1">
        <v>23.4</v>
      </c>
      <c r="AB34" s="1">
        <v>52.2</v>
      </c>
      <c r="AC34" s="1">
        <v>43.2</v>
      </c>
      <c r="AD34" s="1">
        <v>36.4</v>
      </c>
      <c r="AE34" s="1"/>
      <c r="AF34" s="1">
        <f>G34*R34</f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6" t="s">
        <v>78</v>
      </c>
      <c r="B35" s="16" t="s">
        <v>61</v>
      </c>
      <c r="C35" s="16"/>
      <c r="D35" s="16"/>
      <c r="E35" s="16"/>
      <c r="F35" s="16"/>
      <c r="G35" s="17">
        <v>0</v>
      </c>
      <c r="H35" s="16">
        <v>150</v>
      </c>
      <c r="I35" s="16">
        <v>8786928</v>
      </c>
      <c r="J35" s="16"/>
      <c r="K35" s="16"/>
      <c r="L35" s="16">
        <f t="shared" si="2"/>
        <v>0</v>
      </c>
      <c r="M35" s="16"/>
      <c r="N35" s="16"/>
      <c r="O35" s="16">
        <v>0</v>
      </c>
      <c r="P35" s="16"/>
      <c r="Q35" s="16">
        <f t="shared" si="3"/>
        <v>0</v>
      </c>
      <c r="R35" s="18"/>
      <c r="S35" s="18"/>
      <c r="T35" s="16"/>
      <c r="U35" s="16" t="e">
        <f t="shared" si="4"/>
        <v>#DIV/0!</v>
      </c>
      <c r="V35" s="16" t="e">
        <f t="shared" si="5"/>
        <v>#DIV/0!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 t="s">
        <v>79</v>
      </c>
      <c r="AF35" s="16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ht="15.75" thickBot="1" x14ac:dyDescent="0.3">
      <c r="A36" s="1" t="s">
        <v>80</v>
      </c>
      <c r="B36" s="1" t="s">
        <v>35</v>
      </c>
      <c r="C36" s="1">
        <v>66</v>
      </c>
      <c r="D36" s="1">
        <v>97</v>
      </c>
      <c r="E36" s="1">
        <v>23</v>
      </c>
      <c r="F36" s="1">
        <v>139</v>
      </c>
      <c r="G36" s="9">
        <v>0.14000000000000001</v>
      </c>
      <c r="H36" s="1">
        <v>180</v>
      </c>
      <c r="I36" s="1">
        <v>9988377</v>
      </c>
      <c r="J36" s="1"/>
      <c r="K36" s="1">
        <v>23</v>
      </c>
      <c r="L36" s="1">
        <f t="shared" si="2"/>
        <v>0</v>
      </c>
      <c r="M36" s="1"/>
      <c r="N36" s="1"/>
      <c r="O36" s="1">
        <v>0</v>
      </c>
      <c r="P36" s="1"/>
      <c r="Q36" s="1">
        <f t="shared" si="3"/>
        <v>4.5999999999999996</v>
      </c>
      <c r="R36" s="8"/>
      <c r="S36" s="8"/>
      <c r="T36" s="1"/>
      <c r="U36" s="1">
        <f t="shared" si="4"/>
        <v>30.217391304347828</v>
      </c>
      <c r="V36" s="1">
        <f t="shared" si="5"/>
        <v>30.217391304347828</v>
      </c>
      <c r="W36" s="1">
        <v>3.4</v>
      </c>
      <c r="X36" s="1">
        <v>9.8000000000000007</v>
      </c>
      <c r="Y36" s="1">
        <v>7.333333333333333</v>
      </c>
      <c r="Z36" s="1">
        <v>3.8</v>
      </c>
      <c r="AA36" s="1">
        <v>0.4</v>
      </c>
      <c r="AB36" s="1">
        <v>0</v>
      </c>
      <c r="AC36" s="1">
        <v>0</v>
      </c>
      <c r="AD36" s="1">
        <v>0</v>
      </c>
      <c r="AE36" s="28" t="s">
        <v>96</v>
      </c>
      <c r="AF36" s="1">
        <f>G36*R36</f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3" t="s">
        <v>81</v>
      </c>
      <c r="B37" s="14" t="s">
        <v>35</v>
      </c>
      <c r="C37" s="14">
        <v>6</v>
      </c>
      <c r="D37" s="14"/>
      <c r="E37" s="14"/>
      <c r="F37" s="15">
        <v>6</v>
      </c>
      <c r="G37" s="9">
        <v>0.2</v>
      </c>
      <c r="H37" s="1">
        <v>120</v>
      </c>
      <c r="I37" s="1" t="s">
        <v>82</v>
      </c>
      <c r="J37" s="1"/>
      <c r="K37" s="1"/>
      <c r="L37" s="1">
        <f t="shared" si="2"/>
        <v>0</v>
      </c>
      <c r="M37" s="1"/>
      <c r="N37" s="1"/>
      <c r="O37" s="1">
        <v>40</v>
      </c>
      <c r="P37" s="1"/>
      <c r="Q37" s="1">
        <f t="shared" si="3"/>
        <v>0</v>
      </c>
      <c r="R37" s="8"/>
      <c r="S37" s="8"/>
      <c r="T37" s="1"/>
      <c r="U37" s="1" t="e">
        <f t="shared" si="4"/>
        <v>#DIV/0!</v>
      </c>
      <c r="V37" s="1" t="e">
        <f t="shared" si="5"/>
        <v>#DIV/0!</v>
      </c>
      <c r="W37" s="1">
        <v>-0.2</v>
      </c>
      <c r="X37" s="1">
        <v>-0.2</v>
      </c>
      <c r="Y37" s="1">
        <v>-0.16666666666666671</v>
      </c>
      <c r="Z37" s="1">
        <v>-0.2</v>
      </c>
      <c r="AA37" s="1">
        <v>-0.2</v>
      </c>
      <c r="AB37" s="1">
        <v>0</v>
      </c>
      <c r="AC37" s="1">
        <v>1.2</v>
      </c>
      <c r="AD37" s="1">
        <v>9.1999999999999993</v>
      </c>
      <c r="AE37" s="1" t="s">
        <v>83</v>
      </c>
      <c r="AF37" s="1">
        <f>G37*R37</f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ht="15.75" thickBot="1" x14ac:dyDescent="0.3">
      <c r="A38" s="19" t="s">
        <v>84</v>
      </c>
      <c r="B38" s="20" t="s">
        <v>35</v>
      </c>
      <c r="C38" s="20">
        <v>-3</v>
      </c>
      <c r="D38" s="20"/>
      <c r="E38" s="20"/>
      <c r="F38" s="21">
        <v>-3</v>
      </c>
      <c r="G38" s="22">
        <v>0</v>
      </c>
      <c r="H38" s="23" t="e">
        <v>#N/A</v>
      </c>
      <c r="I38" s="23" t="s">
        <v>63</v>
      </c>
      <c r="J38" s="23" t="s">
        <v>81</v>
      </c>
      <c r="K38" s="23"/>
      <c r="L38" s="23">
        <f t="shared" si="2"/>
        <v>0</v>
      </c>
      <c r="M38" s="23"/>
      <c r="N38" s="23"/>
      <c r="O38" s="23">
        <v>0</v>
      </c>
      <c r="P38" s="23"/>
      <c r="Q38" s="23">
        <f t="shared" si="3"/>
        <v>0</v>
      </c>
      <c r="R38" s="24"/>
      <c r="S38" s="24"/>
      <c r="T38" s="23"/>
      <c r="U38" s="23" t="e">
        <f t="shared" si="4"/>
        <v>#DIV/0!</v>
      </c>
      <c r="V38" s="23" t="e">
        <f t="shared" si="5"/>
        <v>#DIV/0!</v>
      </c>
      <c r="W38" s="23">
        <v>2.6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/>
      <c r="AF38" s="23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3" t="s">
        <v>85</v>
      </c>
      <c r="B39" s="14" t="s">
        <v>61</v>
      </c>
      <c r="C39" s="14">
        <v>253.86199999999999</v>
      </c>
      <c r="D39" s="14"/>
      <c r="E39" s="14">
        <v>155.024</v>
      </c>
      <c r="F39" s="15">
        <v>98.837999999999994</v>
      </c>
      <c r="G39" s="9">
        <v>1</v>
      </c>
      <c r="H39" s="1">
        <v>120</v>
      </c>
      <c r="I39" s="1" t="s">
        <v>86</v>
      </c>
      <c r="J39" s="1"/>
      <c r="K39" s="1">
        <v>152.4</v>
      </c>
      <c r="L39" s="1">
        <f t="shared" si="2"/>
        <v>2.6239999999999952</v>
      </c>
      <c r="M39" s="1"/>
      <c r="N39" s="1"/>
      <c r="O39" s="1">
        <v>0</v>
      </c>
      <c r="P39" s="1"/>
      <c r="Q39" s="1">
        <f t="shared" si="3"/>
        <v>31.004799999999999</v>
      </c>
      <c r="R39" s="8">
        <f>16*(Q39+Q40)-P39-P40-O39-O40-F39-F40</f>
        <v>449.47279999999995</v>
      </c>
      <c r="S39" s="8"/>
      <c r="T39" s="1"/>
      <c r="U39" s="1">
        <f t="shared" si="4"/>
        <v>17.684706884095366</v>
      </c>
      <c r="V39" s="1">
        <f t="shared" si="5"/>
        <v>3.1878289813190213</v>
      </c>
      <c r="W39" s="1">
        <v>1.8351999999999999</v>
      </c>
      <c r="X39" s="1">
        <v>0</v>
      </c>
      <c r="Y39" s="1">
        <v>2.125</v>
      </c>
      <c r="Z39" s="1">
        <v>7.6539999999999999</v>
      </c>
      <c r="AA39" s="1">
        <v>3.1576</v>
      </c>
      <c r="AB39" s="1">
        <v>2.7071999999999998</v>
      </c>
      <c r="AC39" s="1">
        <v>0</v>
      </c>
      <c r="AD39" s="1">
        <v>0</v>
      </c>
      <c r="AE39" s="1" t="s">
        <v>87</v>
      </c>
      <c r="AF39" s="1">
        <f>G39*R39</f>
        <v>449.47279999999995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ht="15.75" thickBot="1" x14ac:dyDescent="0.3">
      <c r="A40" s="19" t="s">
        <v>88</v>
      </c>
      <c r="B40" s="20" t="s">
        <v>61</v>
      </c>
      <c r="C40" s="20">
        <v>-52.234000000000002</v>
      </c>
      <c r="D40" s="20"/>
      <c r="E40" s="20"/>
      <c r="F40" s="21">
        <v>-52.234000000000002</v>
      </c>
      <c r="G40" s="22">
        <v>0</v>
      </c>
      <c r="H40" s="23" t="e">
        <v>#N/A</v>
      </c>
      <c r="I40" s="23" t="s">
        <v>63</v>
      </c>
      <c r="J40" s="23" t="s">
        <v>85</v>
      </c>
      <c r="K40" s="23"/>
      <c r="L40" s="23">
        <f t="shared" si="2"/>
        <v>0</v>
      </c>
      <c r="M40" s="23"/>
      <c r="N40" s="23"/>
      <c r="O40" s="23">
        <v>0</v>
      </c>
      <c r="P40" s="23"/>
      <c r="Q40" s="23">
        <f t="shared" si="3"/>
        <v>0</v>
      </c>
      <c r="R40" s="24"/>
      <c r="S40" s="24"/>
      <c r="T40" s="23"/>
      <c r="U40" s="23" t="e">
        <f t="shared" si="4"/>
        <v>#DIV/0!</v>
      </c>
      <c r="V40" s="23" t="e">
        <f t="shared" si="5"/>
        <v>#DIV/0!</v>
      </c>
      <c r="W40" s="23">
        <v>32.921599999999998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/>
      <c r="AF40" s="23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3" t="s">
        <v>89</v>
      </c>
      <c r="B41" s="14" t="s">
        <v>35</v>
      </c>
      <c r="C41" s="14"/>
      <c r="D41" s="14"/>
      <c r="E41" s="14"/>
      <c r="F41" s="15"/>
      <c r="G41" s="9">
        <v>0.2</v>
      </c>
      <c r="H41" s="1">
        <v>120</v>
      </c>
      <c r="I41" s="1" t="s">
        <v>90</v>
      </c>
      <c r="J41" s="1"/>
      <c r="K41" s="1"/>
      <c r="L41" s="1">
        <f t="shared" si="2"/>
        <v>0</v>
      </c>
      <c r="M41" s="1"/>
      <c r="N41" s="1"/>
      <c r="O41" s="1">
        <v>90</v>
      </c>
      <c r="P41" s="1"/>
      <c r="Q41" s="1">
        <f t="shared" si="3"/>
        <v>0</v>
      </c>
      <c r="R41" s="8"/>
      <c r="S41" s="8"/>
      <c r="T41" s="1"/>
      <c r="U41" s="1" t="e">
        <f t="shared" si="4"/>
        <v>#DIV/0!</v>
      </c>
      <c r="V41" s="1" t="e">
        <f t="shared" si="5"/>
        <v>#DIV/0!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-0.2</v>
      </c>
      <c r="AE41" s="1"/>
      <c r="AF41" s="1">
        <f>G41*R41</f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ht="15.75" thickBot="1" x14ac:dyDescent="0.3">
      <c r="A42" s="19" t="s">
        <v>91</v>
      </c>
      <c r="B42" s="20" t="s">
        <v>35</v>
      </c>
      <c r="C42" s="20">
        <v>63</v>
      </c>
      <c r="D42" s="20">
        <v>102</v>
      </c>
      <c r="E42" s="20">
        <v>51</v>
      </c>
      <c r="F42" s="21">
        <v>112</v>
      </c>
      <c r="G42" s="22">
        <v>0</v>
      </c>
      <c r="H42" s="23" t="e">
        <v>#N/A</v>
      </c>
      <c r="I42" s="23" t="s">
        <v>63</v>
      </c>
      <c r="J42" s="23" t="s">
        <v>89</v>
      </c>
      <c r="K42" s="23">
        <v>51</v>
      </c>
      <c r="L42" s="23">
        <f t="shared" si="2"/>
        <v>0</v>
      </c>
      <c r="M42" s="23"/>
      <c r="N42" s="23"/>
      <c r="O42" s="23">
        <v>0</v>
      </c>
      <c r="P42" s="23"/>
      <c r="Q42" s="23">
        <f t="shared" si="3"/>
        <v>10.199999999999999</v>
      </c>
      <c r="R42" s="24"/>
      <c r="S42" s="24"/>
      <c r="T42" s="23"/>
      <c r="U42" s="23">
        <f t="shared" si="4"/>
        <v>10.980392156862745</v>
      </c>
      <c r="V42" s="23">
        <f t="shared" si="5"/>
        <v>10.980392156862745</v>
      </c>
      <c r="W42" s="23">
        <v>12.6</v>
      </c>
      <c r="X42" s="23">
        <v>11.4</v>
      </c>
      <c r="Y42" s="23">
        <v>9</v>
      </c>
      <c r="Z42" s="23">
        <v>10</v>
      </c>
      <c r="AA42" s="23">
        <v>8.8000000000000007</v>
      </c>
      <c r="AB42" s="23">
        <v>11.4</v>
      </c>
      <c r="AC42" s="23">
        <v>8</v>
      </c>
      <c r="AD42" s="23">
        <v>8</v>
      </c>
      <c r="AE42" s="23"/>
      <c r="AF42" s="23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3" t="s">
        <v>92</v>
      </c>
      <c r="B43" s="14" t="s">
        <v>61</v>
      </c>
      <c r="C43" s="14"/>
      <c r="D43" s="14"/>
      <c r="E43" s="14"/>
      <c r="F43" s="15"/>
      <c r="G43" s="9">
        <v>1</v>
      </c>
      <c r="H43" s="1">
        <v>120</v>
      </c>
      <c r="I43" s="1" t="s">
        <v>93</v>
      </c>
      <c r="J43" s="1"/>
      <c r="K43" s="1"/>
      <c r="L43" s="1">
        <f t="shared" si="2"/>
        <v>0</v>
      </c>
      <c r="M43" s="1"/>
      <c r="N43" s="1"/>
      <c r="O43" s="1">
        <v>60</v>
      </c>
      <c r="P43" s="1"/>
      <c r="Q43" s="1">
        <f t="shared" si="3"/>
        <v>0</v>
      </c>
      <c r="R43" s="8">
        <f>20*(Q43+Q44)-P43-P44-O43-O44-F43-F44</f>
        <v>431.298</v>
      </c>
      <c r="S43" s="8"/>
      <c r="T43" s="1"/>
      <c r="U43" s="1" t="e">
        <f t="shared" si="4"/>
        <v>#DIV/0!</v>
      </c>
      <c r="V43" s="1" t="e">
        <f t="shared" si="5"/>
        <v>#DIV/0!</v>
      </c>
      <c r="W43" s="1">
        <v>0</v>
      </c>
      <c r="X43" s="1">
        <v>0</v>
      </c>
      <c r="Y43" s="1">
        <v>3.0363333333333329</v>
      </c>
      <c r="Z43" s="1">
        <v>14.5784</v>
      </c>
      <c r="AA43" s="1">
        <v>22.008400000000002</v>
      </c>
      <c r="AB43" s="1">
        <v>17.325600000000001</v>
      </c>
      <c r="AC43" s="1">
        <v>2.8696000000000002</v>
      </c>
      <c r="AD43" s="1">
        <v>0</v>
      </c>
      <c r="AE43" s="1" t="s">
        <v>94</v>
      </c>
      <c r="AF43" s="1">
        <f>G43*R43</f>
        <v>431.298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ht="15.75" thickBot="1" x14ac:dyDescent="0.3">
      <c r="A44" s="19" t="s">
        <v>95</v>
      </c>
      <c r="B44" s="20" t="s">
        <v>61</v>
      </c>
      <c r="C44" s="20">
        <v>220.26400000000001</v>
      </c>
      <c r="D44" s="20">
        <v>72.168000000000006</v>
      </c>
      <c r="E44" s="20">
        <v>156.74600000000001</v>
      </c>
      <c r="F44" s="21">
        <v>135.68600000000001</v>
      </c>
      <c r="G44" s="22">
        <v>0</v>
      </c>
      <c r="H44" s="23" t="e">
        <v>#N/A</v>
      </c>
      <c r="I44" s="23" t="s">
        <v>63</v>
      </c>
      <c r="J44" s="23" t="s">
        <v>92</v>
      </c>
      <c r="K44" s="23">
        <v>150.6</v>
      </c>
      <c r="L44" s="23">
        <f t="shared" si="2"/>
        <v>6.146000000000015</v>
      </c>
      <c r="M44" s="23"/>
      <c r="N44" s="23"/>
      <c r="O44" s="23">
        <v>0</v>
      </c>
      <c r="P44" s="23"/>
      <c r="Q44" s="23">
        <f t="shared" si="3"/>
        <v>31.349200000000003</v>
      </c>
      <c r="R44" s="24"/>
      <c r="S44" s="24"/>
      <c r="T44" s="23"/>
      <c r="U44" s="23">
        <f t="shared" si="4"/>
        <v>4.3282125221696246</v>
      </c>
      <c r="V44" s="23">
        <f t="shared" si="5"/>
        <v>4.3282125221696246</v>
      </c>
      <c r="W44" s="23">
        <v>17.3916</v>
      </c>
      <c r="X44" s="23">
        <v>19.492000000000001</v>
      </c>
      <c r="Y44" s="23">
        <v>17.605666666666671</v>
      </c>
      <c r="Z44" s="23">
        <v>0</v>
      </c>
      <c r="AA44" s="23">
        <v>0</v>
      </c>
      <c r="AB44" s="23">
        <v>0</v>
      </c>
      <c r="AC44" s="23">
        <v>10.2692</v>
      </c>
      <c r="AD44" s="23">
        <v>16.011199999999999</v>
      </c>
      <c r="AE44" s="23"/>
      <c r="AF44" s="23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1"/>
      <c r="B45" s="11"/>
      <c r="C45" s="11"/>
      <c r="D45" s="11"/>
      <c r="E45" s="11"/>
      <c r="F45" s="11"/>
      <c r="G45" s="12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45</v>
      </c>
      <c r="B46" s="1" t="s">
        <v>35</v>
      </c>
      <c r="C46" s="1">
        <v>904</v>
      </c>
      <c r="D46" s="1">
        <v>10</v>
      </c>
      <c r="E46" s="1">
        <v>363</v>
      </c>
      <c r="F46" s="1">
        <v>541</v>
      </c>
      <c r="G46" s="9">
        <v>0.18</v>
      </c>
      <c r="H46" s="1">
        <v>120</v>
      </c>
      <c r="I46" s="1"/>
      <c r="J46" s="1"/>
      <c r="K46" s="1">
        <v>363</v>
      </c>
      <c r="L46" s="1">
        <f>E46-K46</f>
        <v>0</v>
      </c>
      <c r="M46" s="1"/>
      <c r="N46" s="1"/>
      <c r="O46" s="1">
        <v>700</v>
      </c>
      <c r="P46" s="1"/>
      <c r="Q46" s="1">
        <f>E46/5</f>
        <v>72.599999999999994</v>
      </c>
      <c r="R46" s="8">
        <f t="shared" ref="R46" si="8">20*Q46-P46-O46-F46</f>
        <v>211</v>
      </c>
      <c r="S46" s="8"/>
      <c r="T46" s="1"/>
      <c r="U46" s="1">
        <f>(F46+O46+P46+R46)/Q46</f>
        <v>20</v>
      </c>
      <c r="V46" s="1">
        <f>(F46+O46+P46)/Q46</f>
        <v>17.093663911845731</v>
      </c>
      <c r="W46" s="1">
        <v>81.2</v>
      </c>
      <c r="X46" s="1">
        <v>45.4</v>
      </c>
      <c r="Y46" s="1">
        <v>76.666666666666671</v>
      </c>
      <c r="Z46" s="1">
        <v>89.8</v>
      </c>
      <c r="AA46" s="1">
        <v>50.8</v>
      </c>
      <c r="AB46" s="1">
        <v>39.6</v>
      </c>
      <c r="AC46" s="1">
        <v>63</v>
      </c>
      <c r="AD46" s="1">
        <v>70.8</v>
      </c>
      <c r="AE46" s="1"/>
      <c r="AF46" s="1">
        <f>G46*R46</f>
        <v>37.979999999999997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46</v>
      </c>
      <c r="B47" s="1" t="s">
        <v>35</v>
      </c>
      <c r="C47" s="1">
        <v>151</v>
      </c>
      <c r="D47" s="1">
        <v>120</v>
      </c>
      <c r="E47" s="1">
        <v>153</v>
      </c>
      <c r="F47" s="1">
        <v>94</v>
      </c>
      <c r="G47" s="9">
        <v>0.18</v>
      </c>
      <c r="H47" s="1">
        <v>120</v>
      </c>
      <c r="I47" s="1"/>
      <c r="J47" s="1"/>
      <c r="K47" s="1">
        <v>159</v>
      </c>
      <c r="L47" s="1">
        <f>E47-K47</f>
        <v>-6</v>
      </c>
      <c r="M47" s="1"/>
      <c r="N47" s="1"/>
      <c r="O47" s="1">
        <v>1450</v>
      </c>
      <c r="P47" s="1"/>
      <c r="Q47" s="1">
        <f>E47/5</f>
        <v>30.6</v>
      </c>
      <c r="R47" s="8"/>
      <c r="S47" s="8"/>
      <c r="T47" s="1"/>
      <c r="U47" s="1">
        <f>(F47+O47+P47+R47)/Q47</f>
        <v>50.457516339869279</v>
      </c>
      <c r="V47" s="1">
        <f>(F47+O47+P47)/Q47</f>
        <v>50.457516339869279</v>
      </c>
      <c r="W47" s="1">
        <v>106.2</v>
      </c>
      <c r="X47" s="1">
        <v>87.8</v>
      </c>
      <c r="Y47" s="1">
        <v>106.1666666666667</v>
      </c>
      <c r="Z47" s="1">
        <v>2.6</v>
      </c>
      <c r="AA47" s="1">
        <v>6.2</v>
      </c>
      <c r="AB47" s="1">
        <v>88.4</v>
      </c>
      <c r="AC47" s="1">
        <v>74.8</v>
      </c>
      <c r="AD47" s="1">
        <v>-16.8</v>
      </c>
      <c r="AE47" s="1" t="s">
        <v>47</v>
      </c>
      <c r="AF47" s="1">
        <f>G47*R47</f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34</v>
      </c>
      <c r="B48" s="1" t="s">
        <v>35</v>
      </c>
      <c r="C48" s="1">
        <v>109</v>
      </c>
      <c r="D48" s="1"/>
      <c r="E48" s="1">
        <v>40</v>
      </c>
      <c r="F48" s="1">
        <v>69</v>
      </c>
      <c r="G48" s="9">
        <v>0.18</v>
      </c>
      <c r="H48" s="1"/>
      <c r="I48" s="1">
        <v>4421577</v>
      </c>
      <c r="J48" s="1"/>
      <c r="K48" s="1">
        <v>40</v>
      </c>
      <c r="L48" s="1">
        <f>E48-K48</f>
        <v>0</v>
      </c>
      <c r="M48" s="1"/>
      <c r="N48" s="1"/>
      <c r="O48" s="1">
        <v>80</v>
      </c>
      <c r="P48" s="1">
        <v>500</v>
      </c>
      <c r="Q48" s="1">
        <f>E48/5</f>
        <v>8</v>
      </c>
      <c r="R48" s="8"/>
      <c r="S48" s="8"/>
      <c r="T48" s="1"/>
      <c r="U48" s="1">
        <f>(F48+O48+P48+R48)/Q48</f>
        <v>81.125</v>
      </c>
      <c r="V48" s="1">
        <f>(F48+O48+P48)/Q48</f>
        <v>81.125</v>
      </c>
      <c r="W48" s="1">
        <v>12.4</v>
      </c>
      <c r="X48" s="1">
        <v>0</v>
      </c>
      <c r="Y48" s="1">
        <v>0.83333333333333337</v>
      </c>
      <c r="Z48" s="1">
        <v>1</v>
      </c>
      <c r="AA48" s="1">
        <v>0.2</v>
      </c>
      <c r="AB48" s="1">
        <v>8.6</v>
      </c>
      <c r="AC48" s="1">
        <v>2.8</v>
      </c>
      <c r="AD48" s="1">
        <v>5.6</v>
      </c>
      <c r="AE48" s="30" t="s">
        <v>99</v>
      </c>
      <c r="AF48" s="1">
        <f>G48*R48</f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36</v>
      </c>
      <c r="B49" s="1" t="s">
        <v>35</v>
      </c>
      <c r="C49" s="1">
        <v>53</v>
      </c>
      <c r="D49" s="1"/>
      <c r="E49" s="1">
        <v>21</v>
      </c>
      <c r="F49" s="1">
        <v>32</v>
      </c>
      <c r="G49" s="9">
        <v>0.18</v>
      </c>
      <c r="H49" s="1"/>
      <c r="I49" s="1">
        <v>4421584</v>
      </c>
      <c r="J49" s="1"/>
      <c r="K49" s="1">
        <v>21</v>
      </c>
      <c r="L49" s="1">
        <f>E49-K49</f>
        <v>0</v>
      </c>
      <c r="M49" s="1"/>
      <c r="N49" s="1"/>
      <c r="O49" s="1">
        <v>100</v>
      </c>
      <c r="P49" s="1">
        <v>500</v>
      </c>
      <c r="Q49" s="1">
        <f>E49/5</f>
        <v>4.2</v>
      </c>
      <c r="R49" s="8"/>
      <c r="S49" s="8"/>
      <c r="T49" s="1"/>
      <c r="U49" s="1">
        <f>(F49+O49+P49+R49)/Q49</f>
        <v>150.47619047619048</v>
      </c>
      <c r="V49" s="1">
        <f>(F49+O49+P49)/Q49</f>
        <v>150.47619047619048</v>
      </c>
      <c r="W49" s="1">
        <v>11</v>
      </c>
      <c r="X49" s="1">
        <v>2</v>
      </c>
      <c r="Y49" s="1">
        <v>0.83333333333333337</v>
      </c>
      <c r="Z49" s="1">
        <v>1.4</v>
      </c>
      <c r="AA49" s="1">
        <v>1.2</v>
      </c>
      <c r="AB49" s="1">
        <v>2</v>
      </c>
      <c r="AC49" s="1">
        <v>6.6</v>
      </c>
      <c r="AD49" s="1">
        <v>3.6</v>
      </c>
      <c r="AE49" s="30" t="s">
        <v>99</v>
      </c>
      <c r="AF49" s="1">
        <f>G49*R49</f>
        <v>0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</sheetData>
  <autoFilter ref="A3:AF44" xr:uid="{0EF81E8D-B2DD-4181-8911-2A8C26582D5F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2026-01-26T07:51:28Z</dcterms:created>
  <dcterms:modified xsi:type="dcterms:W3CDTF">2026-01-26T08:07:49Z</dcterms:modified>
</cp:coreProperties>
</file>