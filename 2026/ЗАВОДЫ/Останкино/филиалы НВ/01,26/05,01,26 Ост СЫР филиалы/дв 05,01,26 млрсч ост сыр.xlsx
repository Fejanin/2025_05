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5,01,26 Ост СЫР филиалы\"/>
    </mc:Choice>
  </mc:AlternateContent>
  <xr:revisionPtr revIDLastSave="0" documentId="13_ncr:1_{0A3702B9-CEB7-4A08-90FB-BD318FA4EEA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Sheet!$A$3:$AF$43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7" i="1" l="1"/>
  <c r="V8" i="1"/>
  <c r="V9" i="1"/>
  <c r="V10" i="1"/>
  <c r="V6" i="1"/>
  <c r="U7" i="1"/>
  <c r="U8" i="1"/>
  <c r="U9" i="1"/>
  <c r="U10" i="1"/>
  <c r="U6" i="1"/>
  <c r="R19" i="1"/>
  <c r="R43" i="1"/>
  <c r="R22" i="1"/>
  <c r="R8" i="1"/>
  <c r="R7" i="1"/>
  <c r="P5" i="1"/>
  <c r="R27" i="1" l="1"/>
  <c r="AF27" i="1" s="1"/>
  <c r="AF22" i="1"/>
  <c r="R21" i="1"/>
  <c r="AF21" i="1" s="1"/>
  <c r="R20" i="1"/>
  <c r="AF20" i="1" s="1"/>
  <c r="R17" i="1"/>
  <c r="AF11" i="1"/>
  <c r="R23" i="1"/>
  <c r="R24" i="1"/>
  <c r="AF41" i="1"/>
  <c r="AF47" i="1"/>
  <c r="R46" i="1"/>
  <c r="R45" i="1"/>
  <c r="R32" i="1"/>
  <c r="R31" i="1"/>
  <c r="R15" i="1"/>
  <c r="R13" i="1"/>
  <c r="AF6" i="1"/>
  <c r="Q48" i="1"/>
  <c r="U48" i="1" s="1"/>
  <c r="Q6" i="1"/>
  <c r="Q7" i="1"/>
  <c r="Q8" i="1"/>
  <c r="Q9" i="1"/>
  <c r="Q10" i="1"/>
  <c r="Q11" i="1"/>
  <c r="U11" i="1" s="1"/>
  <c r="Q12" i="1"/>
  <c r="U12" i="1" s="1"/>
  <c r="Q13" i="1"/>
  <c r="U13" i="1" s="1"/>
  <c r="Q45" i="1"/>
  <c r="Q46" i="1"/>
  <c r="U46" i="1" s="1"/>
  <c r="Q14" i="1"/>
  <c r="U14" i="1" s="1"/>
  <c r="Q15" i="1"/>
  <c r="U15" i="1" s="1"/>
  <c r="Q16" i="1"/>
  <c r="U16" i="1" s="1"/>
  <c r="Q17" i="1"/>
  <c r="Q18" i="1"/>
  <c r="U18" i="1" s="1"/>
  <c r="Q19" i="1"/>
  <c r="U19" i="1" s="1"/>
  <c r="Q20" i="1"/>
  <c r="Q21" i="1"/>
  <c r="Q22" i="1"/>
  <c r="Q23" i="1"/>
  <c r="U23" i="1" s="1"/>
  <c r="Q24" i="1"/>
  <c r="U24" i="1" s="1"/>
  <c r="Q25" i="1"/>
  <c r="U25" i="1" s="1"/>
  <c r="Q26" i="1"/>
  <c r="U26" i="1" s="1"/>
  <c r="Q27" i="1"/>
  <c r="Q28" i="1"/>
  <c r="U28" i="1" s="1"/>
  <c r="Q29" i="1"/>
  <c r="U29" i="1" s="1"/>
  <c r="Q30" i="1"/>
  <c r="U30" i="1" s="1"/>
  <c r="Q31" i="1"/>
  <c r="U31" i="1" s="1"/>
  <c r="Q32" i="1"/>
  <c r="U32" i="1" s="1"/>
  <c r="Q33" i="1"/>
  <c r="U33" i="1" s="1"/>
  <c r="Q34" i="1"/>
  <c r="U34" i="1" s="1"/>
  <c r="Q35" i="1"/>
  <c r="U35" i="1" s="1"/>
  <c r="Q36" i="1"/>
  <c r="U36" i="1" s="1"/>
  <c r="Q37" i="1"/>
  <c r="U37" i="1" s="1"/>
  <c r="Q38" i="1"/>
  <c r="U38" i="1" s="1"/>
  <c r="Q39" i="1"/>
  <c r="U39" i="1" s="1"/>
  <c r="Q40" i="1"/>
  <c r="U40" i="1" s="1"/>
  <c r="Q41" i="1"/>
  <c r="U41" i="1" s="1"/>
  <c r="Q42" i="1"/>
  <c r="U42" i="1" s="1"/>
  <c r="Q43" i="1"/>
  <c r="U43" i="1" s="1"/>
  <c r="Q47" i="1"/>
  <c r="V47" i="1" s="1"/>
  <c r="AF43" i="1"/>
  <c r="L43" i="1"/>
  <c r="L42" i="1"/>
  <c r="L41" i="1"/>
  <c r="AF40" i="1"/>
  <c r="L40" i="1"/>
  <c r="L39" i="1"/>
  <c r="AF38" i="1"/>
  <c r="L38" i="1"/>
  <c r="AF37" i="1"/>
  <c r="L37" i="1"/>
  <c r="L36" i="1"/>
  <c r="AF35" i="1"/>
  <c r="L35" i="1"/>
  <c r="AF34" i="1"/>
  <c r="L34" i="1"/>
  <c r="AF33" i="1"/>
  <c r="L33" i="1"/>
  <c r="AF32" i="1"/>
  <c r="L32" i="1"/>
  <c r="AF31" i="1"/>
  <c r="L31" i="1"/>
  <c r="L30" i="1"/>
  <c r="L29" i="1"/>
  <c r="L28" i="1"/>
  <c r="L27" i="1"/>
  <c r="L26" i="1"/>
  <c r="L25" i="1"/>
  <c r="AF24" i="1"/>
  <c r="L24" i="1"/>
  <c r="AF23" i="1"/>
  <c r="L23" i="1"/>
  <c r="L22" i="1"/>
  <c r="L21" i="1"/>
  <c r="L20" i="1"/>
  <c r="AF19" i="1"/>
  <c r="L19" i="1"/>
  <c r="AF18" i="1"/>
  <c r="L18" i="1"/>
  <c r="AF17" i="1"/>
  <c r="L17" i="1"/>
  <c r="AF16" i="1"/>
  <c r="L16" i="1"/>
  <c r="AF15" i="1"/>
  <c r="L15" i="1"/>
  <c r="AF14" i="1"/>
  <c r="L14" i="1"/>
  <c r="AF46" i="1"/>
  <c r="L46" i="1"/>
  <c r="AF45" i="1"/>
  <c r="L45" i="1"/>
  <c r="AF13" i="1"/>
  <c r="L13" i="1"/>
  <c r="AF12" i="1"/>
  <c r="L12" i="1"/>
  <c r="L11" i="1"/>
  <c r="AF10" i="1"/>
  <c r="L10" i="1"/>
  <c r="AF9" i="1"/>
  <c r="L9" i="1"/>
  <c r="AF8" i="1"/>
  <c r="L8" i="1"/>
  <c r="AF7" i="1"/>
  <c r="L7" i="1"/>
  <c r="L6" i="1"/>
  <c r="AF48" i="1"/>
  <c r="L48" i="1"/>
  <c r="L47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F5" i="1"/>
  <c r="E5" i="1"/>
  <c r="U22" i="1" l="1"/>
  <c r="U21" i="1"/>
  <c r="U20" i="1"/>
  <c r="U17" i="1"/>
  <c r="U27" i="1"/>
  <c r="U45" i="1"/>
  <c r="R5" i="1"/>
  <c r="V40" i="1"/>
  <c r="V32" i="1"/>
  <c r="V25" i="1"/>
  <c r="V17" i="1"/>
  <c r="V11" i="1"/>
  <c r="AF5" i="1"/>
  <c r="U47" i="1"/>
  <c r="V36" i="1"/>
  <c r="V28" i="1"/>
  <c r="V21" i="1"/>
  <c r="V46" i="1"/>
  <c r="V42" i="1"/>
  <c r="V38" i="1"/>
  <c r="V34" i="1"/>
  <c r="V30" i="1"/>
  <c r="V26" i="1"/>
  <c r="V23" i="1"/>
  <c r="V19" i="1"/>
  <c r="V15" i="1"/>
  <c r="V13" i="1"/>
  <c r="V48" i="1"/>
  <c r="V43" i="1"/>
  <c r="V41" i="1"/>
  <c r="V39" i="1"/>
  <c r="V37" i="1"/>
  <c r="V35" i="1"/>
  <c r="V33" i="1"/>
  <c r="V31" i="1"/>
  <c r="V29" i="1"/>
  <c r="V27" i="1"/>
  <c r="V24" i="1"/>
  <c r="V22" i="1"/>
  <c r="V20" i="1"/>
  <c r="V18" i="1"/>
  <c r="V16" i="1"/>
  <c r="V14" i="1"/>
  <c r="V45" i="1"/>
  <c r="V12" i="1"/>
  <c r="L5" i="1"/>
  <c r="Q5" i="1"/>
</calcChain>
</file>

<file path=xl/sharedStrings.xml><?xml version="1.0" encoding="utf-8"?>
<sst xmlns="http://schemas.openxmlformats.org/spreadsheetml/2006/main" count="154" uniqueCount="96">
  <si>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</si>
  <si>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</si>
  <si>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</si>
  <si>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</si>
  <si>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</si>
  <si>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</si>
  <si>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</si>
  <si>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</si>
  <si>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</si>
  <si>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</si>
  <si>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</si>
  <si>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</si>
  <si>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</si>
  <si>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</si>
  <si>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</si>
  <si>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</si>
  <si>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</si>
  <si>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</si>
  <si>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</si>
  <si>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</si>
  <si>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</si>
  <si>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</si>
  <si>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</si>
  <si>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</si>
  <si>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05,01,</t>
  </si>
  <si>
    <t>23,12,</t>
  </si>
  <si>
    <t>16,12,</t>
  </si>
  <si>
    <t>08,12,</t>
  </si>
  <si>
    <t>01,12,</t>
  </si>
  <si>
    <t>24,11,</t>
  </si>
  <si>
    <t>17,11,</t>
  </si>
  <si>
    <t>10,11,</t>
  </si>
  <si>
    <t>03,11,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</si>
  <si>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</si>
  <si>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</si>
  <si>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</si>
  <si>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</si>
  <si>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</si>
  <si>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</si>
  <si>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</si>
  <si>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</si>
  <si>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</si>
  <si>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26,08,25 списание 140шт (недостача)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</si>
  <si>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</si>
  <si>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</si>
  <si>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</si>
  <si>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</si>
  <si>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брак возвращен поставщику (по 1С)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</si>
  <si>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</si>
  <si>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</si>
  <si>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</si>
  <si>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18,08,25 завод не отгрузил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</si>
  <si>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</si>
  <si>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</si>
  <si>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</si>
  <si>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</si>
  <si>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</si>
  <si>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</si>
  <si>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</si>
  <si>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</si>
  <si>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</si>
  <si>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</si>
  <si>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</si>
  <si>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</si>
  <si>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полутвердый "Голландский" с массовой долей жира в пересчете на сухое  Останкино</t>
  </si>
  <si>
    <t>дубль / вывод</t>
  </si>
  <si>
    <t>Сыр Папа Может "Российский традиционный"  50%, вакуум  Останкино</t>
  </si>
  <si>
    <t>Российский сливочный 45% ТМ Папа Может, брус (2шт)  Останкино</t>
  </si>
  <si>
    <t>Сыр полутвердый "Российский" с массовой долей жира 50%  Останкино</t>
  </si>
  <si>
    <t>Сыр Сливочный со вкусом топленого молока 45% ти Папа Может, брус (2 шт)  Останкино</t>
  </si>
  <si>
    <t>не в матрице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</si>
  <si>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</si>
  <si>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</si>
  <si>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</si>
  <si>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</si>
  <si>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</si>
  <si>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</si>
  <si>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нет потребности</t>
  </si>
  <si>
    <t>Сыр творожный Сливочный 140 гр.  Останкино</t>
  </si>
  <si>
    <t>Сыч/Прод Коровино Российский 50% 200г СЗМЖ  Останкино</t>
  </si>
  <si>
    <t>783К798</t>
  </si>
  <si>
    <t>15,12,25 завод не отгрузил / 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</si>
  <si>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</si>
  <si>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</si>
  <si>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</si>
  <si>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</si>
  <si>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</si>
  <si>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</si>
  <si>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</si>
  <si>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</si>
  <si>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(150кг) / 04,08,25 завод отгрузил 160кг из заказанных 500кг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</si>
  <si>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29,09,25 завод не отгрузил</t>
    </r>
  </si>
  <si>
    <t>нужно увеличить продажи / новинка</t>
  </si>
  <si>
    <t>нужно увеличить продажи!!!</t>
  </si>
  <si>
    <t>нужно увеличить продажи</t>
  </si>
  <si>
    <t>05,01,(дозаказ)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</si>
</sst>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164" fontId="1" fillId="0" borderId="2" xfId="1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6" borderId="9" xfId="1" applyNumberFormat="1" applyFill="1" applyBorder="1"/>
    <xf numFmtId="164" fontId="1" fillId="6" borderId="1" xfId="1" applyNumberFormat="1" applyFill="1" applyBorder="1"/>
    <xf numFmtId="164" fontId="1" fillId="6" borderId="10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  <xf numFmtId="164" fontId="4" fillId="8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4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5" width="7" customWidth="1"/>
    <col min="16" max="16" width="7" style="29" customWidth="1"/>
    <col min="17" max="19" width="7" customWidth="1"/>
    <col min="20" max="20" width="21" customWidth="1"/>
    <col min="21" max="22" width="5" customWidth="1"/>
    <col min="23" max="30" width="6" customWidth="1"/>
    <col min="31" max="31" width="48.42578125" customWidth="1"/>
    <col min="32" max="32" width="7" customWidth="1"/>
    <col min="33" max="51" width="3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6" t="s">
        <v>17</v>
      </c>
      <c r="T3" s="6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95</v>
      </c>
      <c r="Q4" s="1" t="s">
        <v>24</v>
      </c>
      <c r="R4" s="1"/>
      <c r="S4" s="1"/>
      <c r="T4" s="1"/>
      <c r="U4" s="1"/>
      <c r="V4" s="1"/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SUM(E6:E495)</f>
        <v>9681.773000000001</v>
      </c>
      <c r="F5" s="4">
        <f>SUM(F6:F495)</f>
        <v>10074.946</v>
      </c>
      <c r="G5" s="8"/>
      <c r="H5" s="1"/>
      <c r="I5" s="1"/>
      <c r="J5" s="1"/>
      <c r="K5" s="4">
        <f t="shared" ref="K5:S5" si="0">SUM(K6:K495)</f>
        <v>10200.088</v>
      </c>
      <c r="L5" s="4">
        <f t="shared" si="0"/>
        <v>-518.31500000000005</v>
      </c>
      <c r="M5" s="4">
        <f t="shared" si="0"/>
        <v>0</v>
      </c>
      <c r="N5" s="4">
        <f t="shared" si="0"/>
        <v>0</v>
      </c>
      <c r="O5" s="4">
        <f t="shared" si="0"/>
        <v>7772</v>
      </c>
      <c r="P5" s="4">
        <f t="shared" si="0"/>
        <v>750</v>
      </c>
      <c r="Q5" s="4">
        <f t="shared" si="0"/>
        <v>1613.6288333333334</v>
      </c>
      <c r="R5" s="4">
        <f t="shared" si="0"/>
        <v>10062.363333333331</v>
      </c>
      <c r="S5" s="4">
        <f t="shared" si="0"/>
        <v>0</v>
      </c>
      <c r="T5" s="1"/>
      <c r="U5" s="1"/>
      <c r="V5" s="1"/>
      <c r="W5" s="4">
        <f t="shared" ref="W5:AD5" si="1">SUM(W6:W495)</f>
        <v>1234.0373999999999</v>
      </c>
      <c r="X5" s="4">
        <f t="shared" si="1"/>
        <v>1082.7646</v>
      </c>
      <c r="Y5" s="4">
        <f t="shared" si="1"/>
        <v>929.0648000000001</v>
      </c>
      <c r="Z5" s="4">
        <f t="shared" si="1"/>
        <v>829.4799999999999</v>
      </c>
      <c r="AA5" s="4">
        <f t="shared" si="1"/>
        <v>843.97040000000004</v>
      </c>
      <c r="AB5" s="4">
        <f t="shared" si="1"/>
        <v>973.03700000000015</v>
      </c>
      <c r="AC5" s="4">
        <f t="shared" si="1"/>
        <v>1035.4359999999999</v>
      </c>
      <c r="AD5" s="4">
        <f t="shared" si="1"/>
        <v>969.89660000000003</v>
      </c>
      <c r="AE5" s="1"/>
      <c r="AF5" s="4">
        <f>SUM(AF6:AF495)</f>
        <v>3778.7906666666663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36</v>
      </c>
      <c r="B6" s="1" t="s">
        <v>34</v>
      </c>
      <c r="C6" s="1">
        <v>8</v>
      </c>
      <c r="D6" s="1"/>
      <c r="E6" s="1">
        <v>7</v>
      </c>
      <c r="F6" s="1"/>
      <c r="G6" s="8">
        <v>0.82450000000000001</v>
      </c>
      <c r="H6" s="1">
        <v>180</v>
      </c>
      <c r="I6" s="1">
        <v>6948249</v>
      </c>
      <c r="J6" s="1"/>
      <c r="K6" s="1">
        <v>7</v>
      </c>
      <c r="L6" s="1">
        <f t="shared" ref="L6:L43" si="2">E6-K6</f>
        <v>0</v>
      </c>
      <c r="M6" s="1"/>
      <c r="N6" s="1"/>
      <c r="O6" s="1">
        <v>96</v>
      </c>
      <c r="P6" s="1"/>
      <c r="Q6" s="1">
        <f t="shared" ref="Q6:Q43" si="3">E6/6</f>
        <v>1.1666666666666667</v>
      </c>
      <c r="R6" s="7"/>
      <c r="S6" s="7"/>
      <c r="T6" s="1"/>
      <c r="U6" s="1">
        <f>(F6+O6+R6+P6)/Q6</f>
        <v>82.285714285714278</v>
      </c>
      <c r="V6" s="1">
        <f>(F6+O6+P6)/Q6</f>
        <v>82.285714285714278</v>
      </c>
      <c r="W6" s="1">
        <v>9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/>
      <c r="AF6" s="1">
        <f t="shared" ref="AF6:AF24" si="4"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37</v>
      </c>
      <c r="B7" s="1" t="s">
        <v>34</v>
      </c>
      <c r="C7" s="1">
        <v>473</v>
      </c>
      <c r="D7" s="1"/>
      <c r="E7" s="1">
        <v>407</v>
      </c>
      <c r="F7" s="1">
        <v>66</v>
      </c>
      <c r="G7" s="8">
        <v>0.372</v>
      </c>
      <c r="H7" s="1">
        <v>180</v>
      </c>
      <c r="I7" s="1">
        <v>6948256</v>
      </c>
      <c r="J7" s="1"/>
      <c r="K7" s="1">
        <v>415</v>
      </c>
      <c r="L7" s="1">
        <f t="shared" si="2"/>
        <v>-8</v>
      </c>
      <c r="M7" s="1"/>
      <c r="N7" s="1"/>
      <c r="O7" s="1">
        <v>600</v>
      </c>
      <c r="P7" s="1">
        <v>200</v>
      </c>
      <c r="Q7" s="1">
        <f t="shared" si="3"/>
        <v>67.833333333333329</v>
      </c>
      <c r="R7" s="7">
        <f>18*Q7-O7-F7-P7</f>
        <v>355</v>
      </c>
      <c r="S7" s="7"/>
      <c r="T7" s="1"/>
      <c r="U7" s="1">
        <f t="shared" ref="U7:U10" si="5">(F7+O7+R7+P7)/Q7</f>
        <v>18</v>
      </c>
      <c r="V7" s="1">
        <f t="shared" ref="V7:V10" si="6">(F7+O7+P7)/Q7</f>
        <v>12.766584766584767</v>
      </c>
      <c r="W7" s="1">
        <v>44.2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/>
      <c r="AF7" s="1">
        <f t="shared" si="4"/>
        <v>132.06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38</v>
      </c>
      <c r="B8" s="1" t="s">
        <v>34</v>
      </c>
      <c r="C8" s="1">
        <v>288</v>
      </c>
      <c r="D8" s="1"/>
      <c r="E8" s="1">
        <v>288</v>
      </c>
      <c r="F8" s="1"/>
      <c r="G8" s="8">
        <v>0.74399999999999999</v>
      </c>
      <c r="H8" s="1">
        <v>180</v>
      </c>
      <c r="I8" s="1">
        <v>6948263</v>
      </c>
      <c r="J8" s="1"/>
      <c r="K8" s="1">
        <v>281</v>
      </c>
      <c r="L8" s="1">
        <f t="shared" si="2"/>
        <v>7</v>
      </c>
      <c r="M8" s="1"/>
      <c r="N8" s="1"/>
      <c r="O8" s="1">
        <v>408</v>
      </c>
      <c r="P8" s="1">
        <v>100</v>
      </c>
      <c r="Q8" s="1">
        <f t="shared" si="3"/>
        <v>48</v>
      </c>
      <c r="R8" s="7">
        <f t="shared" ref="R8:R10" si="7">18*Q8-O8-F8-P8</f>
        <v>356</v>
      </c>
      <c r="S8" s="7"/>
      <c r="T8" s="1"/>
      <c r="U8" s="1">
        <f t="shared" si="5"/>
        <v>18</v>
      </c>
      <c r="V8" s="1">
        <f t="shared" si="6"/>
        <v>10.583333333333334</v>
      </c>
      <c r="W8" s="1">
        <v>34.799999999999997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/>
      <c r="AF8" s="1">
        <f t="shared" si="4"/>
        <v>264.86399999999998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39</v>
      </c>
      <c r="B9" s="1" t="s">
        <v>34</v>
      </c>
      <c r="C9" s="1">
        <v>371</v>
      </c>
      <c r="D9" s="1"/>
      <c r="E9" s="1">
        <v>370</v>
      </c>
      <c r="F9" s="1"/>
      <c r="G9" s="8">
        <v>0.372</v>
      </c>
      <c r="H9" s="1">
        <v>180</v>
      </c>
      <c r="I9" s="1">
        <v>6948270</v>
      </c>
      <c r="J9" s="1"/>
      <c r="K9" s="1">
        <v>434</v>
      </c>
      <c r="L9" s="1">
        <f t="shared" si="2"/>
        <v>-64</v>
      </c>
      <c r="M9" s="1"/>
      <c r="N9" s="1"/>
      <c r="O9" s="1">
        <v>996</v>
      </c>
      <c r="P9" s="1">
        <v>200</v>
      </c>
      <c r="Q9" s="1">
        <f t="shared" si="3"/>
        <v>61.666666666666664</v>
      </c>
      <c r="R9" s="7"/>
      <c r="S9" s="7"/>
      <c r="T9" s="1"/>
      <c r="U9" s="1">
        <f t="shared" si="5"/>
        <v>19.394594594594594</v>
      </c>
      <c r="V9" s="1">
        <f t="shared" si="6"/>
        <v>19.394594594594594</v>
      </c>
      <c r="W9" s="1">
        <v>78.8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/>
      <c r="AF9" s="1">
        <f t="shared" si="4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40</v>
      </c>
      <c r="B10" s="1" t="s">
        <v>34</v>
      </c>
      <c r="C10" s="1">
        <v>227</v>
      </c>
      <c r="D10" s="1">
        <v>1</v>
      </c>
      <c r="E10" s="1">
        <v>228</v>
      </c>
      <c r="F10" s="1"/>
      <c r="G10" s="8">
        <v>0.74399999999999999</v>
      </c>
      <c r="H10" s="1">
        <v>180</v>
      </c>
      <c r="I10" s="1">
        <v>6948287</v>
      </c>
      <c r="J10" s="1"/>
      <c r="K10" s="1">
        <v>332</v>
      </c>
      <c r="L10" s="1">
        <f t="shared" si="2"/>
        <v>-104</v>
      </c>
      <c r="M10" s="1"/>
      <c r="N10" s="1"/>
      <c r="O10" s="1">
        <v>600</v>
      </c>
      <c r="P10" s="1">
        <v>100</v>
      </c>
      <c r="Q10" s="1">
        <f t="shared" si="3"/>
        <v>38</v>
      </c>
      <c r="R10" s="7"/>
      <c r="S10" s="7"/>
      <c r="T10" s="1"/>
      <c r="U10" s="1">
        <f t="shared" si="5"/>
        <v>18.421052631578949</v>
      </c>
      <c r="V10" s="1">
        <f t="shared" si="6"/>
        <v>18.421052631578949</v>
      </c>
      <c r="W10" s="1">
        <v>58.2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/>
      <c r="AF10" s="1">
        <f t="shared" si="4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41</v>
      </c>
      <c r="B11" s="1" t="s">
        <v>34</v>
      </c>
      <c r="C11" s="1">
        <v>19</v>
      </c>
      <c r="D11" s="1"/>
      <c r="E11" s="1">
        <v>19</v>
      </c>
      <c r="F11" s="1"/>
      <c r="G11" s="8">
        <v>0.14000000000000001</v>
      </c>
      <c r="H11" s="1">
        <v>180</v>
      </c>
      <c r="I11" s="1">
        <v>9988421</v>
      </c>
      <c r="J11" s="1"/>
      <c r="K11" s="1">
        <v>21</v>
      </c>
      <c r="L11" s="1">
        <f t="shared" si="2"/>
        <v>-2</v>
      </c>
      <c r="M11" s="1"/>
      <c r="N11" s="1"/>
      <c r="O11" s="1">
        <v>0</v>
      </c>
      <c r="P11" s="1"/>
      <c r="Q11" s="1">
        <f t="shared" si="3"/>
        <v>3.1666666666666665</v>
      </c>
      <c r="R11" s="7">
        <v>50</v>
      </c>
      <c r="S11" s="7"/>
      <c r="T11" s="1"/>
      <c r="U11" s="1">
        <f t="shared" ref="U6:U43" si="8">(F11+O11+R11)/Q11</f>
        <v>15.789473684210527</v>
      </c>
      <c r="V11" s="1">
        <f t="shared" ref="V6:V43" si="9">(F11+O11)/Q11</f>
        <v>0</v>
      </c>
      <c r="W11" s="1">
        <v>3.8</v>
      </c>
      <c r="X11" s="1">
        <v>6</v>
      </c>
      <c r="Y11" s="1">
        <v>3.6</v>
      </c>
      <c r="Z11" s="1">
        <v>4.2</v>
      </c>
      <c r="AA11" s="1">
        <v>0</v>
      </c>
      <c r="AB11" s="1">
        <v>1</v>
      </c>
      <c r="AC11" s="1">
        <v>5</v>
      </c>
      <c r="AD11" s="1">
        <v>5.6</v>
      </c>
      <c r="AE11" s="1" t="s">
        <v>42</v>
      </c>
      <c r="AF11" s="1">
        <f t="shared" si="4"/>
        <v>7.0000000000000009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43</v>
      </c>
      <c r="B12" s="1" t="s">
        <v>34</v>
      </c>
      <c r="C12" s="1">
        <v>118</v>
      </c>
      <c r="D12" s="1">
        <v>531</v>
      </c>
      <c r="E12" s="1">
        <v>99</v>
      </c>
      <c r="F12" s="1">
        <v>275</v>
      </c>
      <c r="G12" s="8">
        <v>0.18</v>
      </c>
      <c r="H12" s="1">
        <v>270</v>
      </c>
      <c r="I12" s="1">
        <v>9988438</v>
      </c>
      <c r="J12" s="1"/>
      <c r="K12" s="1">
        <v>99</v>
      </c>
      <c r="L12" s="1">
        <f t="shared" si="2"/>
        <v>0</v>
      </c>
      <c r="M12" s="1"/>
      <c r="N12" s="1"/>
      <c r="O12" s="1">
        <v>32</v>
      </c>
      <c r="P12" s="1"/>
      <c r="Q12" s="1">
        <f t="shared" si="3"/>
        <v>16.5</v>
      </c>
      <c r="R12" s="7"/>
      <c r="S12" s="7"/>
      <c r="T12" s="1"/>
      <c r="U12" s="1">
        <f t="shared" si="8"/>
        <v>18.606060606060606</v>
      </c>
      <c r="V12" s="1">
        <f t="shared" si="9"/>
        <v>18.606060606060606</v>
      </c>
      <c r="W12" s="1">
        <v>18.399999999999999</v>
      </c>
      <c r="X12" s="1">
        <v>18.399999999999999</v>
      </c>
      <c r="Y12" s="1">
        <v>15.4</v>
      </c>
      <c r="Z12" s="1">
        <v>16</v>
      </c>
      <c r="AA12" s="1">
        <v>14.6</v>
      </c>
      <c r="AB12" s="1">
        <v>12.8</v>
      </c>
      <c r="AC12" s="1">
        <v>17.600000000000001</v>
      </c>
      <c r="AD12" s="1">
        <v>11.8</v>
      </c>
      <c r="AE12" s="1"/>
      <c r="AF12" s="1">
        <f t="shared" si="4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44</v>
      </c>
      <c r="B13" s="1" t="s">
        <v>34</v>
      </c>
      <c r="C13" s="1">
        <v>184</v>
      </c>
      <c r="D13" s="1">
        <v>186</v>
      </c>
      <c r="E13" s="1">
        <v>94</v>
      </c>
      <c r="F13" s="1">
        <v>138</v>
      </c>
      <c r="G13" s="8">
        <v>0.18</v>
      </c>
      <c r="H13" s="1">
        <v>270</v>
      </c>
      <c r="I13" s="1">
        <v>9988445</v>
      </c>
      <c r="J13" s="1"/>
      <c r="K13" s="1">
        <v>94</v>
      </c>
      <c r="L13" s="1">
        <f t="shared" si="2"/>
        <v>0</v>
      </c>
      <c r="M13" s="1"/>
      <c r="N13" s="1"/>
      <c r="O13" s="1">
        <v>128</v>
      </c>
      <c r="P13" s="1"/>
      <c r="Q13" s="1">
        <f t="shared" si="3"/>
        <v>15.666666666666666</v>
      </c>
      <c r="R13" s="7">
        <f t="shared" ref="R7:R23" si="10">18*Q13-O13-F13</f>
        <v>16</v>
      </c>
      <c r="S13" s="7"/>
      <c r="T13" s="1"/>
      <c r="U13" s="1">
        <f t="shared" si="8"/>
        <v>18</v>
      </c>
      <c r="V13" s="1">
        <f t="shared" si="9"/>
        <v>16.978723404255319</v>
      </c>
      <c r="W13" s="1">
        <v>16.8</v>
      </c>
      <c r="X13" s="1">
        <v>12.6</v>
      </c>
      <c r="Y13" s="1">
        <v>15.4</v>
      </c>
      <c r="Z13" s="1">
        <v>15.4</v>
      </c>
      <c r="AA13" s="1">
        <v>13.2</v>
      </c>
      <c r="AB13" s="1">
        <v>10.4</v>
      </c>
      <c r="AC13" s="1">
        <v>14.6</v>
      </c>
      <c r="AD13" s="1">
        <v>12.8</v>
      </c>
      <c r="AE13" s="1"/>
      <c r="AF13" s="1">
        <f t="shared" si="4"/>
        <v>2.88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48</v>
      </c>
      <c r="B14" s="1" t="s">
        <v>34</v>
      </c>
      <c r="C14" s="1">
        <v>102</v>
      </c>
      <c r="D14" s="1">
        <v>224</v>
      </c>
      <c r="E14" s="1">
        <v>36</v>
      </c>
      <c r="F14" s="1">
        <v>144</v>
      </c>
      <c r="G14" s="8">
        <v>0.4</v>
      </c>
      <c r="H14" s="1">
        <v>270</v>
      </c>
      <c r="I14" s="1">
        <v>9988452</v>
      </c>
      <c r="J14" s="1"/>
      <c r="K14" s="1">
        <v>36</v>
      </c>
      <c r="L14" s="1">
        <f t="shared" si="2"/>
        <v>0</v>
      </c>
      <c r="M14" s="1"/>
      <c r="N14" s="1"/>
      <c r="O14" s="1">
        <v>0</v>
      </c>
      <c r="P14" s="1"/>
      <c r="Q14" s="1">
        <f t="shared" si="3"/>
        <v>6</v>
      </c>
      <c r="R14" s="7"/>
      <c r="S14" s="7"/>
      <c r="T14" s="1"/>
      <c r="U14" s="1">
        <f t="shared" si="8"/>
        <v>24</v>
      </c>
      <c r="V14" s="1">
        <f t="shared" si="9"/>
        <v>24</v>
      </c>
      <c r="W14" s="1">
        <v>4.2</v>
      </c>
      <c r="X14" s="1">
        <v>7.8</v>
      </c>
      <c r="Y14" s="1">
        <v>5.8</v>
      </c>
      <c r="Z14" s="1">
        <v>9.6</v>
      </c>
      <c r="AA14" s="1">
        <v>6.4</v>
      </c>
      <c r="AB14" s="1">
        <v>6.2</v>
      </c>
      <c r="AC14" s="1">
        <v>1.8</v>
      </c>
      <c r="AD14" s="1">
        <v>10.6</v>
      </c>
      <c r="AE14" s="27" t="s">
        <v>91</v>
      </c>
      <c r="AF14" s="1">
        <f t="shared" si="4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49</v>
      </c>
      <c r="B15" s="1" t="s">
        <v>34</v>
      </c>
      <c r="C15" s="1">
        <v>70</v>
      </c>
      <c r="D15" s="1">
        <v>44</v>
      </c>
      <c r="E15" s="1">
        <v>26</v>
      </c>
      <c r="F15" s="1">
        <v>44</v>
      </c>
      <c r="G15" s="8">
        <v>0.4</v>
      </c>
      <c r="H15" s="1">
        <v>270</v>
      </c>
      <c r="I15" s="1">
        <v>9988476</v>
      </c>
      <c r="J15" s="1"/>
      <c r="K15" s="1">
        <v>26</v>
      </c>
      <c r="L15" s="1">
        <f t="shared" si="2"/>
        <v>0</v>
      </c>
      <c r="M15" s="1"/>
      <c r="N15" s="1"/>
      <c r="O15" s="1">
        <v>28</v>
      </c>
      <c r="P15" s="1"/>
      <c r="Q15" s="1">
        <f t="shared" si="3"/>
        <v>4.333333333333333</v>
      </c>
      <c r="R15" s="7">
        <f t="shared" si="10"/>
        <v>6</v>
      </c>
      <c r="S15" s="7"/>
      <c r="T15" s="1"/>
      <c r="U15" s="1">
        <f t="shared" si="8"/>
        <v>18</v>
      </c>
      <c r="V15" s="1">
        <f t="shared" si="9"/>
        <v>16.615384615384617</v>
      </c>
      <c r="W15" s="1">
        <v>3.8</v>
      </c>
      <c r="X15" s="1">
        <v>3.6</v>
      </c>
      <c r="Y15" s="1">
        <v>4.2</v>
      </c>
      <c r="Z15" s="1">
        <v>7.2</v>
      </c>
      <c r="AA15" s="1">
        <v>2.6</v>
      </c>
      <c r="AB15" s="1">
        <v>5</v>
      </c>
      <c r="AC15" s="1">
        <v>2.2000000000000002</v>
      </c>
      <c r="AD15" s="1">
        <v>5.8</v>
      </c>
      <c r="AE15" s="1"/>
      <c r="AF15" s="1">
        <f t="shared" si="4"/>
        <v>2.4000000000000004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50</v>
      </c>
      <c r="B16" s="1" t="s">
        <v>34</v>
      </c>
      <c r="C16" s="1">
        <v>1</v>
      </c>
      <c r="D16" s="1">
        <v>1107</v>
      </c>
      <c r="E16" s="1">
        <v>92</v>
      </c>
      <c r="F16" s="1">
        <v>507</v>
      </c>
      <c r="G16" s="8">
        <v>0.18</v>
      </c>
      <c r="H16" s="1">
        <v>150</v>
      </c>
      <c r="I16" s="1">
        <v>5034819</v>
      </c>
      <c r="J16" s="1"/>
      <c r="K16" s="1">
        <v>120</v>
      </c>
      <c r="L16" s="1">
        <f t="shared" si="2"/>
        <v>-28</v>
      </c>
      <c r="M16" s="1"/>
      <c r="N16" s="1"/>
      <c r="O16" s="1">
        <v>102</v>
      </c>
      <c r="P16" s="1"/>
      <c r="Q16" s="1">
        <f t="shared" si="3"/>
        <v>15.333333333333334</v>
      </c>
      <c r="R16" s="7"/>
      <c r="S16" s="7"/>
      <c r="T16" s="1"/>
      <c r="U16" s="1">
        <f t="shared" si="8"/>
        <v>39.717391304347828</v>
      </c>
      <c r="V16" s="1">
        <f t="shared" si="9"/>
        <v>39.717391304347828</v>
      </c>
      <c r="W16" s="1">
        <v>31.6</v>
      </c>
      <c r="X16" s="1">
        <v>37</v>
      </c>
      <c r="Y16" s="1">
        <v>12.2</v>
      </c>
      <c r="Z16" s="1">
        <v>22.8</v>
      </c>
      <c r="AA16" s="1">
        <v>21.2</v>
      </c>
      <c r="AB16" s="1">
        <v>32.799999999999997</v>
      </c>
      <c r="AC16" s="1">
        <v>32</v>
      </c>
      <c r="AD16" s="1">
        <v>31.6</v>
      </c>
      <c r="AE16" s="1" t="s">
        <v>51</v>
      </c>
      <c r="AF16" s="1">
        <f t="shared" si="4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52</v>
      </c>
      <c r="B17" s="1" t="s">
        <v>34</v>
      </c>
      <c r="C17" s="1">
        <v>103</v>
      </c>
      <c r="D17" s="1">
        <v>51</v>
      </c>
      <c r="E17" s="1">
        <v>49</v>
      </c>
      <c r="F17" s="1">
        <v>51</v>
      </c>
      <c r="G17" s="8">
        <v>0.1</v>
      </c>
      <c r="H17" s="1">
        <v>90</v>
      </c>
      <c r="I17" s="1">
        <v>8444163</v>
      </c>
      <c r="J17" s="1"/>
      <c r="K17" s="1">
        <v>49</v>
      </c>
      <c r="L17" s="1">
        <f t="shared" si="2"/>
        <v>0</v>
      </c>
      <c r="M17" s="1"/>
      <c r="N17" s="1"/>
      <c r="O17" s="1">
        <v>0</v>
      </c>
      <c r="P17" s="1"/>
      <c r="Q17" s="1">
        <f t="shared" si="3"/>
        <v>8.1666666666666661</v>
      </c>
      <c r="R17" s="7">
        <f>16*Q17-O17-F17</f>
        <v>79.666666666666657</v>
      </c>
      <c r="S17" s="7"/>
      <c r="T17" s="1"/>
      <c r="U17" s="1">
        <f t="shared" si="8"/>
        <v>16</v>
      </c>
      <c r="V17" s="1">
        <f t="shared" si="9"/>
        <v>6.2448979591836737</v>
      </c>
      <c r="W17" s="1">
        <v>3.4</v>
      </c>
      <c r="X17" s="1">
        <v>4.8</v>
      </c>
      <c r="Y17" s="1">
        <v>9.1999999999999993</v>
      </c>
      <c r="Z17" s="1">
        <v>6.8</v>
      </c>
      <c r="AA17" s="1">
        <v>2.8</v>
      </c>
      <c r="AB17" s="1">
        <v>4.4000000000000004</v>
      </c>
      <c r="AC17" s="1">
        <v>11</v>
      </c>
      <c r="AD17" s="1">
        <v>2.4</v>
      </c>
      <c r="AE17" s="1"/>
      <c r="AF17" s="1">
        <f t="shared" si="4"/>
        <v>7.9666666666666659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53</v>
      </c>
      <c r="B18" s="1" t="s">
        <v>34</v>
      </c>
      <c r="C18" s="1">
        <v>125</v>
      </c>
      <c r="D18" s="1">
        <v>1950</v>
      </c>
      <c r="E18" s="1">
        <v>250</v>
      </c>
      <c r="F18" s="1">
        <v>900</v>
      </c>
      <c r="G18" s="8">
        <v>0.18</v>
      </c>
      <c r="H18" s="1">
        <v>150</v>
      </c>
      <c r="I18" s="1">
        <v>5038411</v>
      </c>
      <c r="J18" s="1"/>
      <c r="K18" s="1">
        <v>358</v>
      </c>
      <c r="L18" s="1">
        <f t="shared" si="2"/>
        <v>-108</v>
      </c>
      <c r="M18" s="1"/>
      <c r="N18" s="1"/>
      <c r="O18" s="1">
        <v>200</v>
      </c>
      <c r="P18" s="1"/>
      <c r="Q18" s="1">
        <f t="shared" si="3"/>
        <v>41.666666666666664</v>
      </c>
      <c r="R18" s="7"/>
      <c r="S18" s="7"/>
      <c r="T18" s="1"/>
      <c r="U18" s="1">
        <f t="shared" si="8"/>
        <v>26.400000000000002</v>
      </c>
      <c r="V18" s="1">
        <f t="shared" si="9"/>
        <v>26.400000000000002</v>
      </c>
      <c r="W18" s="1">
        <v>62</v>
      </c>
      <c r="X18" s="1">
        <v>72.400000000000006</v>
      </c>
      <c r="Y18" s="1">
        <v>45.6</v>
      </c>
      <c r="Z18" s="1">
        <v>33.799999999999997</v>
      </c>
      <c r="AA18" s="1">
        <v>50.8</v>
      </c>
      <c r="AB18" s="1">
        <v>48.6</v>
      </c>
      <c r="AC18" s="1">
        <v>50.8</v>
      </c>
      <c r="AD18" s="1">
        <v>48</v>
      </c>
      <c r="AE18" s="1"/>
      <c r="AF18" s="1">
        <f t="shared" si="4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54</v>
      </c>
      <c r="B19" s="1" t="s">
        <v>34</v>
      </c>
      <c r="C19" s="1">
        <v>312</v>
      </c>
      <c r="D19" s="1">
        <v>1654</v>
      </c>
      <c r="E19" s="1">
        <v>713</v>
      </c>
      <c r="F19" s="1">
        <v>624</v>
      </c>
      <c r="G19" s="8">
        <v>0.18</v>
      </c>
      <c r="H19" s="1">
        <v>150</v>
      </c>
      <c r="I19" s="1">
        <v>5038459</v>
      </c>
      <c r="J19" s="1"/>
      <c r="K19" s="1">
        <v>728</v>
      </c>
      <c r="L19" s="1">
        <f t="shared" si="2"/>
        <v>-15</v>
      </c>
      <c r="M19" s="1"/>
      <c r="N19" s="1"/>
      <c r="O19" s="1">
        <v>520</v>
      </c>
      <c r="P19" s="1"/>
      <c r="Q19" s="1">
        <f t="shared" si="3"/>
        <v>118.83333333333333</v>
      </c>
      <c r="R19" s="7">
        <f>17*Q19-O19-F19</f>
        <v>876.16666666666652</v>
      </c>
      <c r="S19" s="7"/>
      <c r="T19" s="1"/>
      <c r="U19" s="1">
        <f t="shared" si="8"/>
        <v>17</v>
      </c>
      <c r="V19" s="1">
        <f t="shared" si="9"/>
        <v>9.626928471248247</v>
      </c>
      <c r="W19" s="1">
        <v>89.6</v>
      </c>
      <c r="X19" s="1">
        <v>86.4</v>
      </c>
      <c r="Y19" s="1">
        <v>63.6</v>
      </c>
      <c r="Z19" s="1">
        <v>61.6</v>
      </c>
      <c r="AA19" s="1">
        <v>63.8</v>
      </c>
      <c r="AB19" s="1">
        <v>51.6</v>
      </c>
      <c r="AC19" s="1">
        <v>76.8</v>
      </c>
      <c r="AD19" s="1">
        <v>55.6</v>
      </c>
      <c r="AE19" s="1"/>
      <c r="AF19" s="1">
        <f t="shared" si="4"/>
        <v>157.70999999999998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55</v>
      </c>
      <c r="B20" s="1" t="s">
        <v>34</v>
      </c>
      <c r="C20" s="1">
        <v>269</v>
      </c>
      <c r="D20" s="1">
        <v>490</v>
      </c>
      <c r="E20" s="1">
        <v>463</v>
      </c>
      <c r="F20" s="1">
        <v>140</v>
      </c>
      <c r="G20" s="8">
        <v>0.18</v>
      </c>
      <c r="H20" s="1">
        <v>150</v>
      </c>
      <c r="I20" s="1">
        <v>5038831</v>
      </c>
      <c r="J20" s="1"/>
      <c r="K20" s="1">
        <v>493</v>
      </c>
      <c r="L20" s="1">
        <f t="shared" si="2"/>
        <v>-30</v>
      </c>
      <c r="M20" s="1"/>
      <c r="N20" s="1"/>
      <c r="O20" s="1">
        <v>0</v>
      </c>
      <c r="P20" s="1"/>
      <c r="Q20" s="1">
        <f t="shared" si="3"/>
        <v>77.166666666666671</v>
      </c>
      <c r="R20" s="7">
        <f>12*Q20-O20-F20</f>
        <v>786</v>
      </c>
      <c r="S20" s="7"/>
      <c r="T20" s="1"/>
      <c r="U20" s="1">
        <f t="shared" si="8"/>
        <v>12</v>
      </c>
      <c r="V20" s="1">
        <f t="shared" si="9"/>
        <v>1.8142548596112309</v>
      </c>
      <c r="W20" s="1">
        <v>26.6</v>
      </c>
      <c r="X20" s="1">
        <v>30</v>
      </c>
      <c r="Y20" s="1">
        <v>31</v>
      </c>
      <c r="Z20" s="1">
        <v>22.6</v>
      </c>
      <c r="AA20" s="1">
        <v>26.4</v>
      </c>
      <c r="AB20" s="1">
        <v>33.6</v>
      </c>
      <c r="AC20" s="1">
        <v>36.4</v>
      </c>
      <c r="AD20" s="1">
        <v>30.8</v>
      </c>
      <c r="AE20" s="1"/>
      <c r="AF20" s="1">
        <f t="shared" si="4"/>
        <v>141.47999999999999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56</v>
      </c>
      <c r="B21" s="1" t="s">
        <v>34</v>
      </c>
      <c r="C21" s="1">
        <v>382</v>
      </c>
      <c r="D21" s="1"/>
      <c r="E21" s="1">
        <v>379</v>
      </c>
      <c r="F21" s="1">
        <v>-20</v>
      </c>
      <c r="G21" s="8">
        <v>0.18</v>
      </c>
      <c r="H21" s="1">
        <v>120</v>
      </c>
      <c r="I21" s="1">
        <v>5038855</v>
      </c>
      <c r="J21" s="1"/>
      <c r="K21" s="1">
        <v>391</v>
      </c>
      <c r="L21" s="1">
        <f t="shared" si="2"/>
        <v>-12</v>
      </c>
      <c r="M21" s="1"/>
      <c r="N21" s="1"/>
      <c r="O21" s="1">
        <v>30</v>
      </c>
      <c r="P21" s="1"/>
      <c r="Q21" s="1">
        <f t="shared" si="3"/>
        <v>63.166666666666664</v>
      </c>
      <c r="R21" s="7">
        <f>11*Q21-O21-F21</f>
        <v>684.83333333333326</v>
      </c>
      <c r="S21" s="7"/>
      <c r="T21" s="1"/>
      <c r="U21" s="1">
        <f t="shared" si="8"/>
        <v>11</v>
      </c>
      <c r="V21" s="1">
        <f t="shared" si="9"/>
        <v>0.15831134564643801</v>
      </c>
      <c r="W21" s="1">
        <v>17.8</v>
      </c>
      <c r="X21" s="1">
        <v>6.6</v>
      </c>
      <c r="Y21" s="1">
        <v>32.4</v>
      </c>
      <c r="Z21" s="1">
        <v>7.2</v>
      </c>
      <c r="AA21" s="1">
        <v>-0.8</v>
      </c>
      <c r="AB21" s="1">
        <v>-0.2</v>
      </c>
      <c r="AC21" s="1">
        <v>0</v>
      </c>
      <c r="AD21" s="1">
        <v>-1.2</v>
      </c>
      <c r="AE21" s="1" t="s">
        <v>57</v>
      </c>
      <c r="AF21" s="1">
        <f t="shared" si="4"/>
        <v>123.26999999999998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58</v>
      </c>
      <c r="B22" s="1" t="s">
        <v>34</v>
      </c>
      <c r="C22" s="1">
        <v>682</v>
      </c>
      <c r="D22" s="1">
        <v>2711</v>
      </c>
      <c r="E22" s="1">
        <v>1243</v>
      </c>
      <c r="F22" s="1">
        <v>1071</v>
      </c>
      <c r="G22" s="8">
        <v>0.18</v>
      </c>
      <c r="H22" s="1">
        <v>150</v>
      </c>
      <c r="I22" s="1">
        <v>5038435</v>
      </c>
      <c r="J22" s="1"/>
      <c r="K22" s="1">
        <v>1264</v>
      </c>
      <c r="L22" s="1">
        <f t="shared" si="2"/>
        <v>-21</v>
      </c>
      <c r="M22" s="1"/>
      <c r="N22" s="1"/>
      <c r="O22" s="1">
        <v>0</v>
      </c>
      <c r="P22" s="1"/>
      <c r="Q22" s="1">
        <f t="shared" si="3"/>
        <v>207.16666666666666</v>
      </c>
      <c r="R22" s="7">
        <f>13*Q22-O22-F22</f>
        <v>1622.1666666666665</v>
      </c>
      <c r="S22" s="7"/>
      <c r="T22" s="1"/>
      <c r="U22" s="1">
        <f t="shared" si="8"/>
        <v>13</v>
      </c>
      <c r="V22" s="1">
        <f t="shared" si="9"/>
        <v>5.1697506033789224</v>
      </c>
      <c r="W22" s="1">
        <v>65</v>
      </c>
      <c r="X22" s="1">
        <v>136.80000000000001</v>
      </c>
      <c r="Y22" s="1">
        <v>94.2</v>
      </c>
      <c r="Z22" s="1">
        <v>76.400000000000006</v>
      </c>
      <c r="AA22" s="1">
        <v>94.6</v>
      </c>
      <c r="AB22" s="1">
        <v>112.4</v>
      </c>
      <c r="AC22" s="1">
        <v>95.2</v>
      </c>
      <c r="AD22" s="1">
        <v>89.4</v>
      </c>
      <c r="AE22" s="1"/>
      <c r="AF22" s="1">
        <f t="shared" si="4"/>
        <v>291.98999999999995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ht="15.75" thickBot="1" x14ac:dyDescent="0.3">
      <c r="A23" s="1" t="s">
        <v>59</v>
      </c>
      <c r="B23" s="1" t="s">
        <v>34</v>
      </c>
      <c r="C23" s="1">
        <v>196</v>
      </c>
      <c r="D23" s="1">
        <v>1467</v>
      </c>
      <c r="E23" s="1">
        <v>325</v>
      </c>
      <c r="F23" s="1">
        <v>667</v>
      </c>
      <c r="G23" s="8">
        <v>0.18</v>
      </c>
      <c r="H23" s="1">
        <v>120</v>
      </c>
      <c r="I23" s="1">
        <v>5038398</v>
      </c>
      <c r="J23" s="1"/>
      <c r="K23" s="1">
        <v>421</v>
      </c>
      <c r="L23" s="1">
        <f t="shared" si="2"/>
        <v>-96</v>
      </c>
      <c r="M23" s="1"/>
      <c r="N23" s="1"/>
      <c r="O23" s="1">
        <v>0</v>
      </c>
      <c r="P23" s="1"/>
      <c r="Q23" s="1">
        <f t="shared" si="3"/>
        <v>54.166666666666664</v>
      </c>
      <c r="R23" s="7">
        <f t="shared" si="10"/>
        <v>308</v>
      </c>
      <c r="S23" s="7"/>
      <c r="T23" s="1"/>
      <c r="U23" s="1">
        <f t="shared" si="8"/>
        <v>18</v>
      </c>
      <c r="V23" s="1">
        <f t="shared" si="9"/>
        <v>12.313846153846155</v>
      </c>
      <c r="W23" s="1">
        <v>31.4</v>
      </c>
      <c r="X23" s="1">
        <v>54.4</v>
      </c>
      <c r="Y23" s="1">
        <v>34.200000000000003</v>
      </c>
      <c r="Z23" s="1">
        <v>26.8</v>
      </c>
      <c r="AA23" s="1">
        <v>31</v>
      </c>
      <c r="AB23" s="1">
        <v>37</v>
      </c>
      <c r="AC23" s="1">
        <v>51.8</v>
      </c>
      <c r="AD23" s="1">
        <v>58.2</v>
      </c>
      <c r="AE23" s="1"/>
      <c r="AF23" s="1">
        <f t="shared" si="4"/>
        <v>55.44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2" t="s">
        <v>60</v>
      </c>
      <c r="B24" s="13" t="s">
        <v>61</v>
      </c>
      <c r="C24" s="13"/>
      <c r="D24" s="13"/>
      <c r="E24" s="13"/>
      <c r="F24" s="14"/>
      <c r="G24" s="8">
        <v>1</v>
      </c>
      <c r="H24" s="1">
        <v>150</v>
      </c>
      <c r="I24" s="1">
        <v>8785242</v>
      </c>
      <c r="J24" s="1"/>
      <c r="K24" s="1"/>
      <c r="L24" s="1">
        <f t="shared" si="2"/>
        <v>0</v>
      </c>
      <c r="M24" s="1"/>
      <c r="N24" s="1"/>
      <c r="O24" s="1">
        <v>99</v>
      </c>
      <c r="P24" s="1"/>
      <c r="Q24" s="1">
        <f t="shared" si="3"/>
        <v>0</v>
      </c>
      <c r="R24" s="7">
        <f>18*(Q24+Q25)-O25-O24-F24-F25</f>
        <v>130.49099999999999</v>
      </c>
      <c r="S24" s="7"/>
      <c r="T24" s="1"/>
      <c r="U24" s="1" t="e">
        <f t="shared" si="8"/>
        <v>#DIV/0!</v>
      </c>
      <c r="V24" s="1" t="e">
        <f t="shared" si="9"/>
        <v>#DIV/0!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/>
      <c r="AF24" s="1">
        <f t="shared" si="4"/>
        <v>130.49099999999999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ht="15.75" thickBot="1" x14ac:dyDescent="0.3">
      <c r="A25" s="15" t="s">
        <v>62</v>
      </c>
      <c r="B25" s="16" t="s">
        <v>61</v>
      </c>
      <c r="C25" s="16">
        <v>190.49799999999999</v>
      </c>
      <c r="D25" s="16">
        <v>89.138999999999996</v>
      </c>
      <c r="E25" s="16">
        <v>105.517</v>
      </c>
      <c r="F25" s="17">
        <v>87.06</v>
      </c>
      <c r="G25" s="18">
        <v>0</v>
      </c>
      <c r="H25" s="19" t="e">
        <v>#N/A</v>
      </c>
      <c r="I25" s="19" t="s">
        <v>63</v>
      </c>
      <c r="J25" s="19" t="s">
        <v>60</v>
      </c>
      <c r="K25" s="19">
        <v>100.23</v>
      </c>
      <c r="L25" s="19">
        <f t="shared" si="2"/>
        <v>5.2869999999999919</v>
      </c>
      <c r="M25" s="19"/>
      <c r="N25" s="19"/>
      <c r="O25" s="19">
        <v>0</v>
      </c>
      <c r="P25" s="19"/>
      <c r="Q25" s="19">
        <f t="shared" si="3"/>
        <v>17.586166666666667</v>
      </c>
      <c r="R25" s="20"/>
      <c r="S25" s="20"/>
      <c r="T25" s="19"/>
      <c r="U25" s="19">
        <f t="shared" si="8"/>
        <v>4.9504819128671214</v>
      </c>
      <c r="V25" s="19">
        <f t="shared" si="9"/>
        <v>4.9504819128671214</v>
      </c>
      <c r="W25" s="19">
        <v>12.811199999999999</v>
      </c>
      <c r="X25" s="19">
        <v>3.19</v>
      </c>
      <c r="Y25" s="19">
        <v>14.999000000000001</v>
      </c>
      <c r="Z25" s="19">
        <v>8.9885999999999999</v>
      </c>
      <c r="AA25" s="19">
        <v>8.9421999999999997</v>
      </c>
      <c r="AB25" s="19">
        <v>10.83</v>
      </c>
      <c r="AC25" s="19">
        <v>9.6608000000000001</v>
      </c>
      <c r="AD25" s="19">
        <v>11.423400000000001</v>
      </c>
      <c r="AE25" s="19"/>
      <c r="AF25" s="19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ht="15.75" thickBot="1" x14ac:dyDescent="0.3">
      <c r="A26" s="19" t="s">
        <v>64</v>
      </c>
      <c r="B26" s="19" t="s">
        <v>61</v>
      </c>
      <c r="C26" s="19">
        <v>56.048000000000002</v>
      </c>
      <c r="D26" s="19">
        <v>4.3999999999999997E-2</v>
      </c>
      <c r="E26" s="19">
        <v>56.091999999999999</v>
      </c>
      <c r="F26" s="19"/>
      <c r="G26" s="18">
        <v>0</v>
      </c>
      <c r="H26" s="19" t="e">
        <v>#N/A</v>
      </c>
      <c r="I26" s="19" t="s">
        <v>65</v>
      </c>
      <c r="J26" s="19"/>
      <c r="K26" s="19">
        <v>51.55</v>
      </c>
      <c r="L26" s="19">
        <f t="shared" si="2"/>
        <v>4.5420000000000016</v>
      </c>
      <c r="M26" s="19"/>
      <c r="N26" s="19"/>
      <c r="O26" s="19">
        <v>0</v>
      </c>
      <c r="P26" s="19"/>
      <c r="Q26" s="19">
        <f t="shared" si="3"/>
        <v>9.3486666666666665</v>
      </c>
      <c r="R26" s="20"/>
      <c r="S26" s="20"/>
      <c r="T26" s="19"/>
      <c r="U26" s="19">
        <f t="shared" si="8"/>
        <v>0</v>
      </c>
      <c r="V26" s="19">
        <f t="shared" si="9"/>
        <v>0</v>
      </c>
      <c r="W26" s="19">
        <v>10.6044</v>
      </c>
      <c r="X26" s="19">
        <v>13.208399999999999</v>
      </c>
      <c r="Y26" s="19">
        <v>9.791599999999999</v>
      </c>
      <c r="Z26" s="19">
        <v>3.3694000000000002</v>
      </c>
      <c r="AA26" s="19">
        <v>6.1909999999999998</v>
      </c>
      <c r="AB26" s="19">
        <v>10.3796</v>
      </c>
      <c r="AC26" s="19">
        <v>4.7618</v>
      </c>
      <c r="AD26" s="19">
        <v>7.4278000000000004</v>
      </c>
      <c r="AE26" s="19"/>
      <c r="AF26" s="19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2" t="s">
        <v>66</v>
      </c>
      <c r="B27" s="13" t="s">
        <v>61</v>
      </c>
      <c r="C27" s="13"/>
      <c r="D27" s="13"/>
      <c r="E27" s="13"/>
      <c r="F27" s="14"/>
      <c r="G27" s="8">
        <v>1</v>
      </c>
      <c r="H27" s="1">
        <v>120</v>
      </c>
      <c r="I27" s="1">
        <v>8785204</v>
      </c>
      <c r="J27" s="1"/>
      <c r="K27" s="1"/>
      <c r="L27" s="1">
        <f t="shared" si="2"/>
        <v>0</v>
      </c>
      <c r="M27" s="1"/>
      <c r="N27" s="1"/>
      <c r="O27" s="1">
        <v>198</v>
      </c>
      <c r="P27" s="1"/>
      <c r="Q27" s="1">
        <f t="shared" si="3"/>
        <v>0</v>
      </c>
      <c r="R27" s="7">
        <f>17*(Q27+Q28+Q29)-O28-O27-F27-F28-O29-F29</f>
        <v>426.98599999999988</v>
      </c>
      <c r="S27" s="7"/>
      <c r="T27" s="1"/>
      <c r="U27" s="1" t="e">
        <f t="shared" si="8"/>
        <v>#DIV/0!</v>
      </c>
      <c r="V27" s="1" t="e">
        <f t="shared" si="9"/>
        <v>#DIV/0!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/>
      <c r="AF27" s="1">
        <f>G27*R27</f>
        <v>426.98599999999988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21" t="s">
        <v>67</v>
      </c>
      <c r="B28" s="22" t="s">
        <v>61</v>
      </c>
      <c r="C28" s="22"/>
      <c r="D28" s="22"/>
      <c r="E28" s="22"/>
      <c r="F28" s="23">
        <v>-25</v>
      </c>
      <c r="G28" s="18">
        <v>0</v>
      </c>
      <c r="H28" s="19" t="e">
        <v>#N/A</v>
      </c>
      <c r="I28" s="19" t="s">
        <v>63</v>
      </c>
      <c r="J28" s="19" t="s">
        <v>66</v>
      </c>
      <c r="K28" s="19"/>
      <c r="L28" s="19">
        <f t="shared" si="2"/>
        <v>0</v>
      </c>
      <c r="M28" s="19"/>
      <c r="N28" s="19"/>
      <c r="O28" s="19"/>
      <c r="P28" s="19"/>
      <c r="Q28" s="19">
        <f t="shared" si="3"/>
        <v>0</v>
      </c>
      <c r="R28" s="20"/>
      <c r="S28" s="20"/>
      <c r="T28" s="19"/>
      <c r="U28" s="19" t="e">
        <f t="shared" si="8"/>
        <v>#DIV/0!</v>
      </c>
      <c r="V28" s="19" t="e">
        <f t="shared" si="9"/>
        <v>#DIV/0!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/>
      <c r="AF28" s="19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ht="15.75" thickBot="1" x14ac:dyDescent="0.3">
      <c r="A29" s="15" t="s">
        <v>68</v>
      </c>
      <c r="B29" s="16" t="s">
        <v>61</v>
      </c>
      <c r="C29" s="16">
        <v>217.773</v>
      </c>
      <c r="D29" s="16">
        <v>520.42999999999995</v>
      </c>
      <c r="E29" s="16">
        <v>290.33999999999997</v>
      </c>
      <c r="F29" s="17">
        <v>222.64400000000001</v>
      </c>
      <c r="G29" s="18">
        <v>0</v>
      </c>
      <c r="H29" s="19" t="e">
        <v>#N/A</v>
      </c>
      <c r="I29" s="19" t="s">
        <v>63</v>
      </c>
      <c r="J29" s="19" t="s">
        <v>66</v>
      </c>
      <c r="K29" s="19">
        <v>266.64</v>
      </c>
      <c r="L29" s="19">
        <f t="shared" si="2"/>
        <v>23.699999999999989</v>
      </c>
      <c r="M29" s="19"/>
      <c r="N29" s="19"/>
      <c r="O29" s="19">
        <v>0</v>
      </c>
      <c r="P29" s="19"/>
      <c r="Q29" s="19">
        <f t="shared" si="3"/>
        <v>48.389999999999993</v>
      </c>
      <c r="R29" s="20"/>
      <c r="S29" s="20"/>
      <c r="T29" s="19"/>
      <c r="U29" s="19">
        <f t="shared" si="8"/>
        <v>4.6010332713370534</v>
      </c>
      <c r="V29" s="19">
        <f t="shared" si="9"/>
        <v>4.6010332713370534</v>
      </c>
      <c r="W29" s="19">
        <v>32.822800000000001</v>
      </c>
      <c r="X29" s="19">
        <v>30.130400000000002</v>
      </c>
      <c r="Y29" s="19">
        <v>27.1464</v>
      </c>
      <c r="Z29" s="19">
        <v>24.015599999999999</v>
      </c>
      <c r="AA29" s="19">
        <v>22.155000000000001</v>
      </c>
      <c r="AB29" s="19">
        <v>21.588200000000001</v>
      </c>
      <c r="AC29" s="19">
        <v>28.439599999999999</v>
      </c>
      <c r="AD29" s="19">
        <v>17.607399999999998</v>
      </c>
      <c r="AE29" s="19"/>
      <c r="AF29" s="19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9" t="s">
        <v>69</v>
      </c>
      <c r="B30" s="19" t="s">
        <v>61</v>
      </c>
      <c r="C30" s="19"/>
      <c r="D30" s="19"/>
      <c r="E30" s="19"/>
      <c r="F30" s="19">
        <v>-20</v>
      </c>
      <c r="G30" s="18">
        <v>0</v>
      </c>
      <c r="H30" s="19" t="e">
        <v>#N/A</v>
      </c>
      <c r="I30" s="19" t="s">
        <v>70</v>
      </c>
      <c r="J30" s="19"/>
      <c r="K30" s="19"/>
      <c r="L30" s="19">
        <f t="shared" si="2"/>
        <v>0</v>
      </c>
      <c r="M30" s="19"/>
      <c r="N30" s="19"/>
      <c r="O30" s="19"/>
      <c r="P30" s="19"/>
      <c r="Q30" s="19">
        <f t="shared" si="3"/>
        <v>0</v>
      </c>
      <c r="R30" s="20"/>
      <c r="S30" s="20"/>
      <c r="T30" s="19"/>
      <c r="U30" s="19" t="e">
        <f t="shared" si="8"/>
        <v>#DIV/0!</v>
      </c>
      <c r="V30" s="19" t="e">
        <f t="shared" si="9"/>
        <v>#DIV/0!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/>
      <c r="AF30" s="19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71</v>
      </c>
      <c r="B31" s="1" t="s">
        <v>34</v>
      </c>
      <c r="C31" s="1">
        <v>64</v>
      </c>
      <c r="D31" s="1">
        <v>314</v>
      </c>
      <c r="E31" s="1">
        <v>54</v>
      </c>
      <c r="F31" s="1">
        <v>90</v>
      </c>
      <c r="G31" s="8">
        <v>0.14000000000000001</v>
      </c>
      <c r="H31" s="1">
        <v>180</v>
      </c>
      <c r="I31" s="1">
        <v>9988391</v>
      </c>
      <c r="J31" s="1"/>
      <c r="K31" s="1">
        <v>54</v>
      </c>
      <c r="L31" s="1">
        <f t="shared" si="2"/>
        <v>0</v>
      </c>
      <c r="M31" s="1"/>
      <c r="N31" s="1"/>
      <c r="O31" s="1">
        <v>0</v>
      </c>
      <c r="P31" s="1"/>
      <c r="Q31" s="1">
        <f t="shared" si="3"/>
        <v>9</v>
      </c>
      <c r="R31" s="7">
        <f t="shared" ref="R31:R32" si="11">18*Q31-O31-F31</f>
        <v>72</v>
      </c>
      <c r="S31" s="7"/>
      <c r="T31" s="1"/>
      <c r="U31" s="1">
        <f t="shared" si="8"/>
        <v>18</v>
      </c>
      <c r="V31" s="1">
        <f t="shared" si="9"/>
        <v>10</v>
      </c>
      <c r="W31" s="1">
        <v>6.6</v>
      </c>
      <c r="X31" s="1">
        <v>7.4</v>
      </c>
      <c r="Y31" s="1">
        <v>5.8</v>
      </c>
      <c r="Z31" s="1">
        <v>8</v>
      </c>
      <c r="AA31" s="1">
        <v>4</v>
      </c>
      <c r="AB31" s="1">
        <v>4.5999999999999996</v>
      </c>
      <c r="AC31" s="1">
        <v>5.6</v>
      </c>
      <c r="AD31" s="1">
        <v>6.8</v>
      </c>
      <c r="AE31" s="1"/>
      <c r="AF31" s="1">
        <f>G31*R31</f>
        <v>10.080000000000002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72</v>
      </c>
      <c r="B32" s="1" t="s">
        <v>34</v>
      </c>
      <c r="C32" s="1">
        <v>457</v>
      </c>
      <c r="D32" s="1">
        <v>218</v>
      </c>
      <c r="E32" s="1">
        <v>239</v>
      </c>
      <c r="F32" s="1">
        <v>218</v>
      </c>
      <c r="G32" s="8">
        <v>0.18</v>
      </c>
      <c r="H32" s="1">
        <v>270</v>
      </c>
      <c r="I32" s="1">
        <v>9988681</v>
      </c>
      <c r="J32" s="1"/>
      <c r="K32" s="1">
        <v>242</v>
      </c>
      <c r="L32" s="1">
        <f t="shared" si="2"/>
        <v>-3</v>
      </c>
      <c r="M32" s="1"/>
      <c r="N32" s="1"/>
      <c r="O32" s="1">
        <v>304</v>
      </c>
      <c r="P32" s="1"/>
      <c r="Q32" s="1">
        <f t="shared" si="3"/>
        <v>39.833333333333336</v>
      </c>
      <c r="R32" s="7">
        <f t="shared" si="11"/>
        <v>195</v>
      </c>
      <c r="S32" s="7"/>
      <c r="T32" s="1"/>
      <c r="U32" s="1">
        <f t="shared" si="8"/>
        <v>18</v>
      </c>
      <c r="V32" s="1">
        <f t="shared" si="9"/>
        <v>13.10460251046025</v>
      </c>
      <c r="W32" s="1">
        <v>35.799999999999997</v>
      </c>
      <c r="X32" s="1">
        <v>29.4</v>
      </c>
      <c r="Y32" s="1">
        <v>34.6</v>
      </c>
      <c r="Z32" s="1">
        <v>24.2</v>
      </c>
      <c r="AA32" s="1">
        <v>28.2</v>
      </c>
      <c r="AB32" s="1">
        <v>26.4</v>
      </c>
      <c r="AC32" s="1">
        <v>35.200000000000003</v>
      </c>
      <c r="AD32" s="1">
        <v>22.4</v>
      </c>
      <c r="AE32" s="1"/>
      <c r="AF32" s="1">
        <f>G32*R32</f>
        <v>35.1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73</v>
      </c>
      <c r="B33" s="1" t="s">
        <v>61</v>
      </c>
      <c r="C33" s="1">
        <v>346.142</v>
      </c>
      <c r="D33" s="1">
        <v>558.71799999999996</v>
      </c>
      <c r="E33" s="1">
        <v>380.14</v>
      </c>
      <c r="F33" s="1">
        <v>262.23</v>
      </c>
      <c r="G33" s="8">
        <v>1</v>
      </c>
      <c r="H33" s="1">
        <v>120</v>
      </c>
      <c r="I33" s="1">
        <v>8785198</v>
      </c>
      <c r="J33" s="1"/>
      <c r="K33" s="1">
        <v>333.34</v>
      </c>
      <c r="L33" s="1">
        <f t="shared" si="2"/>
        <v>46.800000000000011</v>
      </c>
      <c r="M33" s="1"/>
      <c r="N33" s="1"/>
      <c r="O33" s="1">
        <v>0</v>
      </c>
      <c r="P33" s="1"/>
      <c r="Q33" s="1">
        <f t="shared" si="3"/>
        <v>63.356666666666662</v>
      </c>
      <c r="R33" s="7">
        <v>600</v>
      </c>
      <c r="S33" s="7"/>
      <c r="T33" s="1"/>
      <c r="U33" s="1">
        <f t="shared" si="8"/>
        <v>13.609143999579103</v>
      </c>
      <c r="V33" s="1">
        <f t="shared" si="9"/>
        <v>4.1389488083337724</v>
      </c>
      <c r="W33" s="1">
        <v>29.614000000000001</v>
      </c>
      <c r="X33" s="1">
        <v>36.369399999999999</v>
      </c>
      <c r="Y33" s="1">
        <v>34.729399999999998</v>
      </c>
      <c r="Z33" s="1">
        <v>25.0214</v>
      </c>
      <c r="AA33" s="1">
        <v>33.119600000000013</v>
      </c>
      <c r="AB33" s="1">
        <v>32.2744</v>
      </c>
      <c r="AC33" s="1">
        <v>28.939599999999999</v>
      </c>
      <c r="AD33" s="1">
        <v>23.622800000000002</v>
      </c>
      <c r="AE33" s="1"/>
      <c r="AF33" s="1">
        <f>G33*R33</f>
        <v>600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74</v>
      </c>
      <c r="B34" s="1" t="s">
        <v>34</v>
      </c>
      <c r="C34" s="1">
        <v>15</v>
      </c>
      <c r="D34" s="1">
        <v>192</v>
      </c>
      <c r="E34" s="1">
        <v>57</v>
      </c>
      <c r="F34" s="1">
        <v>72</v>
      </c>
      <c r="G34" s="8">
        <v>0.1</v>
      </c>
      <c r="H34" s="1">
        <v>60</v>
      </c>
      <c r="I34" s="1">
        <v>8444187</v>
      </c>
      <c r="J34" s="1"/>
      <c r="K34" s="1">
        <v>81</v>
      </c>
      <c r="L34" s="1">
        <f t="shared" si="2"/>
        <v>-24</v>
      </c>
      <c r="M34" s="1"/>
      <c r="N34" s="1"/>
      <c r="O34" s="1">
        <v>168</v>
      </c>
      <c r="P34" s="1"/>
      <c r="Q34" s="1">
        <f t="shared" si="3"/>
        <v>9.5</v>
      </c>
      <c r="R34" s="7">
        <v>30</v>
      </c>
      <c r="S34" s="7"/>
      <c r="T34" s="1"/>
      <c r="U34" s="1">
        <f t="shared" si="8"/>
        <v>28.421052631578949</v>
      </c>
      <c r="V34" s="1">
        <f t="shared" si="9"/>
        <v>25.263157894736842</v>
      </c>
      <c r="W34" s="1">
        <v>18</v>
      </c>
      <c r="X34" s="1">
        <v>13</v>
      </c>
      <c r="Y34" s="1">
        <v>7.2</v>
      </c>
      <c r="Z34" s="1">
        <v>13.8</v>
      </c>
      <c r="AA34" s="1">
        <v>17.399999999999999</v>
      </c>
      <c r="AB34" s="1">
        <v>7.2</v>
      </c>
      <c r="AC34" s="1">
        <v>10.199999999999999</v>
      </c>
      <c r="AD34" s="1">
        <v>6</v>
      </c>
      <c r="AE34" s="1"/>
      <c r="AF34" s="1">
        <f>G34*R34</f>
        <v>3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75</v>
      </c>
      <c r="B35" s="1" t="s">
        <v>34</v>
      </c>
      <c r="C35" s="1">
        <v>67</v>
      </c>
      <c r="D35" s="1"/>
      <c r="E35" s="1">
        <v>66</v>
      </c>
      <c r="F35" s="1"/>
      <c r="G35" s="8">
        <v>0.1</v>
      </c>
      <c r="H35" s="1">
        <v>90</v>
      </c>
      <c r="I35" s="1">
        <v>8444194</v>
      </c>
      <c r="J35" s="1"/>
      <c r="K35" s="1">
        <v>83</v>
      </c>
      <c r="L35" s="1">
        <f t="shared" si="2"/>
        <v>-17</v>
      </c>
      <c r="M35" s="1"/>
      <c r="N35" s="1"/>
      <c r="O35" s="1">
        <v>348</v>
      </c>
      <c r="P35" s="1"/>
      <c r="Q35" s="1">
        <f t="shared" si="3"/>
        <v>11</v>
      </c>
      <c r="R35" s="7"/>
      <c r="S35" s="7"/>
      <c r="T35" s="1"/>
      <c r="U35" s="1">
        <f t="shared" si="8"/>
        <v>31.636363636363637</v>
      </c>
      <c r="V35" s="1">
        <f t="shared" si="9"/>
        <v>31.636363636363637</v>
      </c>
      <c r="W35" s="1">
        <v>23.6</v>
      </c>
      <c r="X35" s="1">
        <v>2.4</v>
      </c>
      <c r="Y35" s="1">
        <v>9.1999999999999993</v>
      </c>
      <c r="Z35" s="1">
        <v>19</v>
      </c>
      <c r="AA35" s="1">
        <v>4.4000000000000004</v>
      </c>
      <c r="AB35" s="1">
        <v>4</v>
      </c>
      <c r="AC35" s="1">
        <v>16.600000000000001</v>
      </c>
      <c r="AD35" s="1">
        <v>7</v>
      </c>
      <c r="AE35" s="1"/>
      <c r="AF35" s="1">
        <f>G35*R35</f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24" t="s">
        <v>76</v>
      </c>
      <c r="B36" s="24" t="s">
        <v>61</v>
      </c>
      <c r="C36" s="24"/>
      <c r="D36" s="24"/>
      <c r="E36" s="24"/>
      <c r="F36" s="24"/>
      <c r="G36" s="25">
        <v>0</v>
      </c>
      <c r="H36" s="24">
        <v>150</v>
      </c>
      <c r="I36" s="24">
        <v>8786928</v>
      </c>
      <c r="J36" s="24"/>
      <c r="K36" s="24"/>
      <c r="L36" s="24">
        <f t="shared" si="2"/>
        <v>0</v>
      </c>
      <c r="M36" s="24"/>
      <c r="N36" s="24"/>
      <c r="O36" s="24">
        <v>0</v>
      </c>
      <c r="P36" s="24"/>
      <c r="Q36" s="24">
        <f t="shared" si="3"/>
        <v>0</v>
      </c>
      <c r="R36" s="26"/>
      <c r="S36" s="26"/>
      <c r="T36" s="24"/>
      <c r="U36" s="24" t="e">
        <f t="shared" si="8"/>
        <v>#DIV/0!</v>
      </c>
      <c r="V36" s="24" t="e">
        <f t="shared" si="9"/>
        <v>#DIV/0!</v>
      </c>
      <c r="W36" s="24">
        <v>0</v>
      </c>
      <c r="X36" s="24">
        <v>0</v>
      </c>
      <c r="Y36" s="24">
        <v>0</v>
      </c>
      <c r="Z36" s="24">
        <v>0</v>
      </c>
      <c r="AA36" s="24">
        <v>0</v>
      </c>
      <c r="AB36" s="24">
        <v>0</v>
      </c>
      <c r="AC36" s="24">
        <v>0</v>
      </c>
      <c r="AD36" s="24">
        <v>0</v>
      </c>
      <c r="AE36" s="24" t="s">
        <v>77</v>
      </c>
      <c r="AF36" s="24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ht="15.75" thickBot="1" x14ac:dyDescent="0.3">
      <c r="A37" s="1" t="s">
        <v>78</v>
      </c>
      <c r="B37" s="1" t="s">
        <v>34</v>
      </c>
      <c r="C37" s="1">
        <v>296</v>
      </c>
      <c r="D37" s="1">
        <v>491</v>
      </c>
      <c r="E37" s="1">
        <v>93</v>
      </c>
      <c r="F37" s="1">
        <v>347</v>
      </c>
      <c r="G37" s="8">
        <v>0.14000000000000001</v>
      </c>
      <c r="H37" s="1">
        <v>180</v>
      </c>
      <c r="I37" s="1">
        <v>9988377</v>
      </c>
      <c r="J37" s="1"/>
      <c r="K37" s="1">
        <v>99</v>
      </c>
      <c r="L37" s="1">
        <f t="shared" si="2"/>
        <v>-6</v>
      </c>
      <c r="M37" s="1"/>
      <c r="N37" s="1"/>
      <c r="O37" s="1">
        <v>0</v>
      </c>
      <c r="P37" s="1"/>
      <c r="Q37" s="1">
        <f t="shared" si="3"/>
        <v>15.5</v>
      </c>
      <c r="R37" s="7"/>
      <c r="S37" s="7"/>
      <c r="T37" s="1"/>
      <c r="U37" s="1">
        <f t="shared" si="8"/>
        <v>22.387096774193548</v>
      </c>
      <c r="V37" s="1">
        <f t="shared" si="9"/>
        <v>22.387096774193548</v>
      </c>
      <c r="W37" s="1">
        <v>9.8000000000000007</v>
      </c>
      <c r="X37" s="1">
        <v>8.4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27" t="s">
        <v>92</v>
      </c>
      <c r="AF37" s="1">
        <f>G37*R37</f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2" t="s">
        <v>79</v>
      </c>
      <c r="B38" s="13" t="s">
        <v>34</v>
      </c>
      <c r="C38" s="13"/>
      <c r="D38" s="13"/>
      <c r="E38" s="13"/>
      <c r="F38" s="14"/>
      <c r="G38" s="8">
        <v>0.2</v>
      </c>
      <c r="H38" s="1">
        <v>120</v>
      </c>
      <c r="I38" s="1" t="s">
        <v>80</v>
      </c>
      <c r="J38" s="1"/>
      <c r="K38" s="1"/>
      <c r="L38" s="1">
        <f t="shared" si="2"/>
        <v>0</v>
      </c>
      <c r="M38" s="1"/>
      <c r="N38" s="1"/>
      <c r="O38" s="1">
        <v>300</v>
      </c>
      <c r="P38" s="1">
        <v>150</v>
      </c>
      <c r="Q38" s="1">
        <f t="shared" si="3"/>
        <v>0</v>
      </c>
      <c r="R38" s="7"/>
      <c r="S38" s="7"/>
      <c r="T38" s="1"/>
      <c r="U38" s="1" t="e">
        <f t="shared" si="8"/>
        <v>#DIV/0!</v>
      </c>
      <c r="V38" s="1" t="e">
        <f t="shared" si="9"/>
        <v>#DIV/0!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 t="s">
        <v>81</v>
      </c>
      <c r="AF38" s="1">
        <f>G38*R38</f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ht="15.75" thickBot="1" x14ac:dyDescent="0.3">
      <c r="A39" s="15" t="s">
        <v>82</v>
      </c>
      <c r="B39" s="16" t="s">
        <v>34</v>
      </c>
      <c r="C39" s="16">
        <v>-1</v>
      </c>
      <c r="D39" s="16">
        <v>839</v>
      </c>
      <c r="E39" s="16">
        <v>138</v>
      </c>
      <c r="F39" s="17">
        <v>349</v>
      </c>
      <c r="G39" s="18">
        <v>0</v>
      </c>
      <c r="H39" s="19" t="e">
        <v>#N/A</v>
      </c>
      <c r="I39" s="19" t="s">
        <v>63</v>
      </c>
      <c r="J39" s="19" t="s">
        <v>79</v>
      </c>
      <c r="K39" s="19">
        <v>139</v>
      </c>
      <c r="L39" s="19">
        <f t="shared" si="2"/>
        <v>-1</v>
      </c>
      <c r="M39" s="19"/>
      <c r="N39" s="19"/>
      <c r="O39" s="19">
        <v>0</v>
      </c>
      <c r="P39" s="19"/>
      <c r="Q39" s="19">
        <f t="shared" si="3"/>
        <v>23</v>
      </c>
      <c r="R39" s="20"/>
      <c r="S39" s="20"/>
      <c r="T39" s="19"/>
      <c r="U39" s="19">
        <f t="shared" si="8"/>
        <v>15.173913043478262</v>
      </c>
      <c r="V39" s="19">
        <f t="shared" si="9"/>
        <v>15.173913043478262</v>
      </c>
      <c r="W39" s="19">
        <v>16.600000000000001</v>
      </c>
      <c r="X39" s="19">
        <v>48.8</v>
      </c>
      <c r="Y39" s="19">
        <v>37.799999999999997</v>
      </c>
      <c r="Z39" s="19">
        <v>32</v>
      </c>
      <c r="AA39" s="19">
        <v>35.200000000000003</v>
      </c>
      <c r="AB39" s="19">
        <v>39.4</v>
      </c>
      <c r="AC39" s="19">
        <v>37.200000000000003</v>
      </c>
      <c r="AD39" s="19">
        <v>42.8</v>
      </c>
      <c r="AE39" s="19"/>
      <c r="AF39" s="19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ht="15.75" thickBot="1" x14ac:dyDescent="0.3">
      <c r="A40" s="1" t="s">
        <v>83</v>
      </c>
      <c r="B40" s="1" t="s">
        <v>61</v>
      </c>
      <c r="C40" s="1">
        <v>35.469000000000001</v>
      </c>
      <c r="D40" s="1">
        <v>489.87900000000002</v>
      </c>
      <c r="E40" s="1">
        <v>68.385999999999996</v>
      </c>
      <c r="F40" s="1">
        <v>146.554</v>
      </c>
      <c r="G40" s="8">
        <v>1</v>
      </c>
      <c r="H40" s="1">
        <v>120</v>
      </c>
      <c r="I40" s="1" t="s">
        <v>84</v>
      </c>
      <c r="J40" s="1"/>
      <c r="K40" s="1">
        <v>73.5</v>
      </c>
      <c r="L40" s="1">
        <f t="shared" si="2"/>
        <v>-5.1140000000000043</v>
      </c>
      <c r="M40" s="1"/>
      <c r="N40" s="1"/>
      <c r="O40" s="1">
        <v>315</v>
      </c>
      <c r="P40" s="1"/>
      <c r="Q40" s="1">
        <f t="shared" si="3"/>
        <v>11.397666666666666</v>
      </c>
      <c r="R40" s="7"/>
      <c r="S40" s="7"/>
      <c r="T40" s="1"/>
      <c r="U40" s="1">
        <f t="shared" si="8"/>
        <v>40.495481531307576</v>
      </c>
      <c r="V40" s="1">
        <f t="shared" si="9"/>
        <v>40.495481531307576</v>
      </c>
      <c r="W40" s="1">
        <v>34.1584</v>
      </c>
      <c r="X40" s="1">
        <v>23.210599999999999</v>
      </c>
      <c r="Y40" s="1">
        <v>10.447800000000001</v>
      </c>
      <c r="Z40" s="1">
        <v>9.5518000000000001</v>
      </c>
      <c r="AA40" s="1">
        <v>7.8756000000000004</v>
      </c>
      <c r="AB40" s="1">
        <v>20.768000000000001</v>
      </c>
      <c r="AC40" s="1">
        <v>20.1858</v>
      </c>
      <c r="AD40" s="1">
        <v>16.988199999999999</v>
      </c>
      <c r="AE40" s="1"/>
      <c r="AF40" s="1">
        <f>G40*R40</f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2" t="s">
        <v>85</v>
      </c>
      <c r="B41" s="13" t="s">
        <v>34</v>
      </c>
      <c r="C41" s="13"/>
      <c r="D41" s="13"/>
      <c r="E41" s="13"/>
      <c r="F41" s="14"/>
      <c r="G41" s="8">
        <v>0.2</v>
      </c>
      <c r="H41" s="1">
        <v>120</v>
      </c>
      <c r="I41" s="1" t="s">
        <v>86</v>
      </c>
      <c r="J41" s="1"/>
      <c r="K41" s="1"/>
      <c r="L41" s="1">
        <f t="shared" si="2"/>
        <v>0</v>
      </c>
      <c r="M41" s="1"/>
      <c r="N41" s="1"/>
      <c r="O41" s="1">
        <v>400</v>
      </c>
      <c r="P41" s="1"/>
      <c r="Q41" s="1">
        <f t="shared" si="3"/>
        <v>0</v>
      </c>
      <c r="R41" s="7"/>
      <c r="S41" s="7"/>
      <c r="T41" s="1"/>
      <c r="U41" s="1" t="e">
        <f t="shared" si="8"/>
        <v>#DIV/0!</v>
      </c>
      <c r="V41" s="1" t="e">
        <f t="shared" si="9"/>
        <v>#DIV/0!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/>
      <c r="AF41" s="1">
        <f>G41*R41</f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ht="15.75" thickBot="1" x14ac:dyDescent="0.3">
      <c r="A42" s="15" t="s">
        <v>87</v>
      </c>
      <c r="B42" s="16" t="s">
        <v>34</v>
      </c>
      <c r="C42" s="16">
        <v>129</v>
      </c>
      <c r="D42" s="16">
        <v>908</v>
      </c>
      <c r="E42" s="16">
        <v>220</v>
      </c>
      <c r="F42" s="17">
        <v>408</v>
      </c>
      <c r="G42" s="18">
        <v>0</v>
      </c>
      <c r="H42" s="19" t="e">
        <v>#N/A</v>
      </c>
      <c r="I42" s="19" t="s">
        <v>63</v>
      </c>
      <c r="J42" s="19" t="s">
        <v>85</v>
      </c>
      <c r="K42" s="19">
        <v>267</v>
      </c>
      <c r="L42" s="19">
        <f t="shared" si="2"/>
        <v>-47</v>
      </c>
      <c r="M42" s="19"/>
      <c r="N42" s="19"/>
      <c r="O42" s="19">
        <v>0</v>
      </c>
      <c r="P42" s="19"/>
      <c r="Q42" s="19">
        <f t="shared" si="3"/>
        <v>36.666666666666664</v>
      </c>
      <c r="R42" s="20"/>
      <c r="S42" s="20"/>
      <c r="T42" s="19"/>
      <c r="U42" s="19">
        <f t="shared" si="8"/>
        <v>11.127272727272729</v>
      </c>
      <c r="V42" s="19">
        <f t="shared" si="9"/>
        <v>11.127272727272729</v>
      </c>
      <c r="W42" s="19">
        <v>46.8</v>
      </c>
      <c r="X42" s="19">
        <v>36.200000000000003</v>
      </c>
      <c r="Y42" s="19">
        <v>25.2</v>
      </c>
      <c r="Z42" s="19">
        <v>25.4</v>
      </c>
      <c r="AA42" s="19">
        <v>19.399999999999999</v>
      </c>
      <c r="AB42" s="19">
        <v>31</v>
      </c>
      <c r="AC42" s="19">
        <v>28.4</v>
      </c>
      <c r="AD42" s="19">
        <v>37</v>
      </c>
      <c r="AE42" s="19"/>
      <c r="AF42" s="19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88</v>
      </c>
      <c r="B43" s="1" t="s">
        <v>61</v>
      </c>
      <c r="C43" s="1">
        <v>631.94000000000005</v>
      </c>
      <c r="D43" s="1">
        <v>1445.2739999999999</v>
      </c>
      <c r="E43" s="1">
        <v>590.298</v>
      </c>
      <c r="F43" s="1">
        <v>743.45799999999997</v>
      </c>
      <c r="G43" s="8">
        <v>1</v>
      </c>
      <c r="H43" s="1">
        <v>120</v>
      </c>
      <c r="I43" s="1" t="s">
        <v>89</v>
      </c>
      <c r="J43" s="1"/>
      <c r="K43" s="1">
        <v>579.82799999999997</v>
      </c>
      <c r="L43" s="1">
        <f t="shared" si="2"/>
        <v>10.470000000000027</v>
      </c>
      <c r="M43" s="1"/>
      <c r="N43" s="1"/>
      <c r="O43" s="1">
        <v>0</v>
      </c>
      <c r="P43" s="1"/>
      <c r="Q43" s="1">
        <f t="shared" si="3"/>
        <v>98.382999999999996</v>
      </c>
      <c r="R43" s="7">
        <f>17*Q43-O43-F43</f>
        <v>929.053</v>
      </c>
      <c r="S43" s="7"/>
      <c r="T43" s="1"/>
      <c r="U43" s="1">
        <f t="shared" si="8"/>
        <v>17</v>
      </c>
      <c r="V43" s="1">
        <f t="shared" si="9"/>
        <v>7.5567730197290182</v>
      </c>
      <c r="W43" s="1">
        <v>40.226599999999998</v>
      </c>
      <c r="X43" s="1">
        <v>68.255799999999994</v>
      </c>
      <c r="Y43" s="1">
        <v>62.150599999999997</v>
      </c>
      <c r="Z43" s="1">
        <v>58.933199999999999</v>
      </c>
      <c r="AA43" s="1">
        <v>50.286999999999999</v>
      </c>
      <c r="AB43" s="1">
        <v>61.196800000000003</v>
      </c>
      <c r="AC43" s="1">
        <v>49.648400000000002</v>
      </c>
      <c r="AD43" s="1">
        <v>67.227000000000004</v>
      </c>
      <c r="AE43" s="1" t="s">
        <v>90</v>
      </c>
      <c r="AF43" s="1">
        <f>G43*R43</f>
        <v>929.053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0"/>
      <c r="B44" s="10"/>
      <c r="C44" s="10"/>
      <c r="D44" s="10"/>
      <c r="E44" s="10"/>
      <c r="F44" s="10"/>
      <c r="G44" s="11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45</v>
      </c>
      <c r="B45" s="1" t="s">
        <v>34</v>
      </c>
      <c r="C45" s="1">
        <v>1034</v>
      </c>
      <c r="D45" s="1">
        <v>800</v>
      </c>
      <c r="E45" s="1">
        <v>1036</v>
      </c>
      <c r="F45" s="1">
        <v>300</v>
      </c>
      <c r="G45" s="8">
        <v>0.18</v>
      </c>
      <c r="H45" s="1">
        <v>120</v>
      </c>
      <c r="I45" s="1"/>
      <c r="J45" s="1"/>
      <c r="K45" s="1">
        <v>1031</v>
      </c>
      <c r="L45" s="1">
        <f>E45-K45</f>
        <v>5</v>
      </c>
      <c r="M45" s="1"/>
      <c r="N45" s="1"/>
      <c r="O45" s="1">
        <v>1500</v>
      </c>
      <c r="P45" s="1"/>
      <c r="Q45" s="1">
        <f>E45/6</f>
        <v>172.66666666666666</v>
      </c>
      <c r="R45" s="7">
        <f t="shared" ref="R45:R46" si="12">18*Q45-O45-F45</f>
        <v>1308</v>
      </c>
      <c r="S45" s="7"/>
      <c r="T45" s="1"/>
      <c r="U45" s="1">
        <f>(F45+O45+R45)/Q45</f>
        <v>18</v>
      </c>
      <c r="V45" s="1">
        <f>(F45+O45)/Q45</f>
        <v>10.424710424710426</v>
      </c>
      <c r="W45" s="1">
        <v>148.4</v>
      </c>
      <c r="X45" s="1">
        <v>114</v>
      </c>
      <c r="Y45" s="1">
        <v>129.19999999999999</v>
      </c>
      <c r="Z45" s="1">
        <v>139.80000000000001</v>
      </c>
      <c r="AA45" s="1">
        <v>135</v>
      </c>
      <c r="AB45" s="1">
        <v>109.2</v>
      </c>
      <c r="AC45" s="1">
        <v>110.4</v>
      </c>
      <c r="AD45" s="1">
        <v>85.4</v>
      </c>
      <c r="AE45" s="1"/>
      <c r="AF45" s="1">
        <f>G45*R45</f>
        <v>235.44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46</v>
      </c>
      <c r="B46" s="1" t="s">
        <v>34</v>
      </c>
      <c r="C46" s="1">
        <v>1218</v>
      </c>
      <c r="D46" s="1">
        <v>3773</v>
      </c>
      <c r="E46" s="1">
        <v>1080</v>
      </c>
      <c r="F46" s="1">
        <v>2009</v>
      </c>
      <c r="G46" s="8">
        <v>0.18</v>
      </c>
      <c r="H46" s="1">
        <v>120</v>
      </c>
      <c r="I46" s="1"/>
      <c r="J46" s="1"/>
      <c r="K46" s="1">
        <v>1107</v>
      </c>
      <c r="L46" s="1">
        <f>E46-K46</f>
        <v>-27</v>
      </c>
      <c r="M46" s="1"/>
      <c r="N46" s="1"/>
      <c r="O46" s="1">
        <v>0</v>
      </c>
      <c r="P46" s="1"/>
      <c r="Q46" s="1">
        <f>E46/6</f>
        <v>180</v>
      </c>
      <c r="R46" s="7">
        <f t="shared" si="12"/>
        <v>1231</v>
      </c>
      <c r="S46" s="7"/>
      <c r="T46" s="1"/>
      <c r="U46" s="1">
        <f>(F46+O46+R46)/Q46</f>
        <v>18</v>
      </c>
      <c r="V46" s="1">
        <f>(F46+O46)/Q46</f>
        <v>11.161111111111111</v>
      </c>
      <c r="W46" s="1">
        <v>130</v>
      </c>
      <c r="X46" s="1">
        <v>148.19999999999999</v>
      </c>
      <c r="Y46" s="1">
        <v>133</v>
      </c>
      <c r="Z46" s="1">
        <v>110.8</v>
      </c>
      <c r="AA46" s="1">
        <v>117.2</v>
      </c>
      <c r="AB46" s="1">
        <v>217.8</v>
      </c>
      <c r="AC46" s="1">
        <v>245.4</v>
      </c>
      <c r="AD46" s="1">
        <v>228</v>
      </c>
      <c r="AE46" s="1" t="s">
        <v>47</v>
      </c>
      <c r="AF46" s="1">
        <f>G46*R46</f>
        <v>221.57999999999998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33</v>
      </c>
      <c r="B47" s="1" t="s">
        <v>34</v>
      </c>
      <c r="C47" s="1">
        <v>68</v>
      </c>
      <c r="D47" s="1"/>
      <c r="E47" s="1">
        <v>56</v>
      </c>
      <c r="F47" s="1">
        <v>12</v>
      </c>
      <c r="G47" s="8">
        <v>0.18</v>
      </c>
      <c r="H47" s="1"/>
      <c r="I47" s="1">
        <v>4421577</v>
      </c>
      <c r="J47" s="1"/>
      <c r="K47" s="1">
        <v>57</v>
      </c>
      <c r="L47" s="1">
        <f>E47-K47</f>
        <v>-1</v>
      </c>
      <c r="M47" s="1"/>
      <c r="N47" s="1"/>
      <c r="O47" s="1">
        <v>200</v>
      </c>
      <c r="P47" s="1"/>
      <c r="Q47" s="1">
        <f>E47/6</f>
        <v>9.3333333333333339</v>
      </c>
      <c r="R47" s="7"/>
      <c r="S47" s="7"/>
      <c r="T47" s="1"/>
      <c r="U47" s="1">
        <f>(F47+O47+R47)/Q47</f>
        <v>22.714285714285712</v>
      </c>
      <c r="V47" s="1">
        <f>(F47+O47)/Q47</f>
        <v>22.714285714285712</v>
      </c>
      <c r="W47" s="1">
        <v>14.6</v>
      </c>
      <c r="X47" s="1">
        <v>4</v>
      </c>
      <c r="Y47" s="1">
        <v>7.4</v>
      </c>
      <c r="Z47" s="1">
        <v>7.4</v>
      </c>
      <c r="AA47" s="1">
        <v>10.4</v>
      </c>
      <c r="AB47" s="1">
        <v>9.6</v>
      </c>
      <c r="AC47" s="1">
        <v>6.8</v>
      </c>
      <c r="AD47" s="1">
        <v>11.6</v>
      </c>
      <c r="AE47" s="27" t="s">
        <v>94</v>
      </c>
      <c r="AF47" s="1">
        <f>G47*R47</f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35</v>
      </c>
      <c r="B48" s="1" t="s">
        <v>34</v>
      </c>
      <c r="C48" s="1">
        <v>58</v>
      </c>
      <c r="D48" s="1">
        <v>504</v>
      </c>
      <c r="E48" s="1">
        <v>64</v>
      </c>
      <c r="F48" s="1">
        <v>246</v>
      </c>
      <c r="G48" s="8">
        <v>0.18</v>
      </c>
      <c r="H48" s="1"/>
      <c r="I48" s="1">
        <v>4421584</v>
      </c>
      <c r="J48" s="1"/>
      <c r="K48" s="1">
        <v>66</v>
      </c>
      <c r="L48" s="1">
        <f>E48-K48</f>
        <v>-2</v>
      </c>
      <c r="M48" s="1"/>
      <c r="N48" s="1"/>
      <c r="O48" s="1">
        <v>200</v>
      </c>
      <c r="P48" s="1"/>
      <c r="Q48" s="1">
        <f>E48/6</f>
        <v>10.666666666666666</v>
      </c>
      <c r="R48" s="7"/>
      <c r="S48" s="7"/>
      <c r="T48" s="1"/>
      <c r="U48" s="1">
        <f>(F48+O48+R48)/Q48</f>
        <v>41.8125</v>
      </c>
      <c r="V48" s="1">
        <f>(F48+O48)/Q48</f>
        <v>41.8125</v>
      </c>
      <c r="W48" s="1">
        <v>24.2</v>
      </c>
      <c r="X48" s="1">
        <v>19.8</v>
      </c>
      <c r="Y48" s="1">
        <v>13.6</v>
      </c>
      <c r="Z48" s="1">
        <v>8.8000000000000007</v>
      </c>
      <c r="AA48" s="1">
        <v>17.600000000000001</v>
      </c>
      <c r="AB48" s="1">
        <v>11.2</v>
      </c>
      <c r="AC48" s="1">
        <v>2.8</v>
      </c>
      <c r="AD48" s="1">
        <v>17.2</v>
      </c>
      <c r="AE48" s="28" t="s">
        <v>93</v>
      </c>
      <c r="AF48" s="1">
        <f>G48*R48</f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</sheetData>
  <autoFilter ref="A3:AF43" xr:uid="{23302AC7-67F3-4F9D-A444-E2EF43FDF1DA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2026-01-05T10:15:51Z</dcterms:created>
  <dcterms:modified xsi:type="dcterms:W3CDTF">2026-01-05T10:38:52Z</dcterms:modified>
</cp:coreProperties>
</file>