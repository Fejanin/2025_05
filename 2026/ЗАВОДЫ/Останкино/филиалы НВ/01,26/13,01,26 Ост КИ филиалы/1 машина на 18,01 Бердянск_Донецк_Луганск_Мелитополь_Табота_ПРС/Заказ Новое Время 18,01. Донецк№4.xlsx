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E22669E7-1A39-47D7-9B99-C4292308E7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2" i="1" s="1"/>
  <c r="A11" i="1"/>
  <c r="F3" i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<sst xmlns="http://schemas.openxmlformats.org/spreadsheetml/2006/main" count="257" uniqueCount="146">
  <si>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</si>
  <si>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</si>
  <si>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</si>
  <si>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</si>
  <si>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</si>
  <si>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</si>
  <si>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</si>
  <si>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</si>
  <si>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</si>
  <si>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</si>
  <si>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</si>
  <si>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</si>
  <si>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</si>
  <si>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</si>
  <si>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</si>
  <si>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</si>
  <si>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</si>
  <si>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</si>
  <si>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</si>
  <si>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</si>
  <si>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</si>
  <si>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</si>
  <si>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</si>
  <si>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</si>
  <si>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</si>
  <si>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</si>
  <si>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</si>
  <si>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</si>
  <si>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</si>
  <si>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</si>
  <si>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</si>
  <si>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</si>
  <si>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</si>
  <si>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</si>
  <si>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</si>
  <si>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</si>
  <si>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</si>
  <si>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</si>
  <si>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</si>
  <si>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</si>
  <si>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</si>
  <si>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</si>
  <si>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</si>
  <si>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</si>
  <si>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</si>
  <si>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</si>
  <si>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</si>
  <si>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</si>
  <si>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</si>
  <si>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</si>
  <si>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</si>
  <si>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</si>
  <si>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</si>
  <si>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</si>
  <si>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</si>
  <si>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</si>
  <si>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</si>
  <si>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</si>
  <si>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</si>
  <si>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</si>
  <si>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</si>
  <si>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</si>
  <si>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</si>
  <si>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</si>
  <si>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</si>
  <si>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</si>
  <si>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</si>
  <si>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</si>
  <si>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</si>
  <si>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</si>
  <si>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</si>
  <si>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</si>
  <si>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</si>
  <si>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</si>
  <si>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</si>
  <si>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</si>
  <si>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</si>
  <si>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</si>
  <si>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</si>
  <si>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</si>
  <si>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</si>
  <si>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</si>
  <si>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</si>
  <si>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</si>
  <si>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</si>
  <si>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</si>
  <si>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</si>
  <si>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</si>
  <si>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</si>
  <si>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</si>
  <si>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</si>
  <si>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</si>
  <si>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</si>
  <si>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</si>
  <si>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</si>
  <si>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</si>
  <si>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</si>
  <si>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</si>
  <si>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</si>
  <si>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</si>
  <si>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</si>
  <si>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</si>
  <si>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</si>
  <si>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</si>
  <si>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</si>
  <si>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</si>
  <si>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</si>
  <si>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</si>
  <si>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</si>
  <si>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</si>
  <si>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БАЛЫК с/к с/н в/у 1/100 10шт.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</si>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</sst>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12" borderId="0" xfId="0" applyFont="1" applyFill="1" applyAlignment="1">
      <alignment horizontal="center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45675</v>
      </c>
      <c r="E3" s="7" t="s">
        <v>3</v>
      </c>
      <c r="F3" s="84">
        <f>D3+3</f>
        <v>45678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543</v>
      </c>
      <c r="F12" s="23">
        <v>1.3340000000000001</v>
      </c>
      <c r="G12" s="23">
        <f>E12</f>
        <v>543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>
        <v>98</v>
      </c>
      <c r="F15" s="23">
        <v>1.35</v>
      </c>
      <c r="G15" s="23">
        <f>E15</f>
        <v>98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260</v>
      </c>
      <c r="F22" s="23">
        <v>1.35</v>
      </c>
      <c r="G22" s="23">
        <f>E22</f>
        <v>260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>
        <v>394</v>
      </c>
      <c r="F23" s="23">
        <v>0.4</v>
      </c>
      <c r="G23" s="23">
        <f>E23*F23</f>
        <v>157.60000000000002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311</v>
      </c>
      <c r="F24" s="23">
        <v>1.3540000000000001</v>
      </c>
      <c r="G24" s="23">
        <f>E24</f>
        <v>311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213</v>
      </c>
      <c r="F25" s="23">
        <v>0.4</v>
      </c>
      <c r="G25" s="23">
        <f>E25*F25</f>
        <v>85.2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74">
        <v>1001016747343</v>
      </c>
      <c r="E26" s="24">
        <v>100</v>
      </c>
      <c r="F26" s="23">
        <v>0.4</v>
      </c>
      <c r="G26" s="23">
        <f>E26*F26</f>
        <v>40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>
        <v>50</v>
      </c>
      <c r="F27" s="23">
        <v>0.4</v>
      </c>
      <c r="G27" s="23">
        <f>E27*F27</f>
        <v>20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>
        <v>44</v>
      </c>
      <c r="F28" s="23">
        <v>0.3</v>
      </c>
      <c r="G28" s="23">
        <f>E28*F28</f>
        <v>13.2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113</v>
      </c>
      <c r="F30" s="23">
        <v>1</v>
      </c>
      <c r="G30" s="23">
        <f>E30</f>
        <v>113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>
        <v>193</v>
      </c>
      <c r="F32" s="23">
        <v>1</v>
      </c>
      <c r="G32" s="23">
        <f>E32</f>
        <v>193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98</v>
      </c>
      <c r="F34" s="23">
        <v>0.4</v>
      </c>
      <c r="G34" s="23">
        <f>E34*F34</f>
        <v>39.200000000000003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3">
        <v>7255</v>
      </c>
      <c r="B36" s="64" t="s">
        <v>49</v>
      </c>
      <c r="C36" s="65" t="s">
        <v>32</v>
      </c>
      <c r="D36" s="66">
        <v>1001025507255</v>
      </c>
      <c r="E36" s="24">
        <v>332</v>
      </c>
      <c r="F36" s="67">
        <v>0.4</v>
      </c>
      <c r="G36" s="23">
        <f>E36*F36</f>
        <v>132.80000000000001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49" si="2">RIGHT(D37,4)</f>
        <v>6602</v>
      </c>
      <c r="B37" s="80" t="s">
        <v>50</v>
      </c>
      <c r="C37" s="73" t="s">
        <v>32</v>
      </c>
      <c r="D37" s="74">
        <v>1001021966602</v>
      </c>
      <c r="E37" s="24">
        <v>11</v>
      </c>
      <c r="F37" s="23">
        <v>0.35</v>
      </c>
      <c r="G37" s="23">
        <f>E37*F37</f>
        <v>3.8499999999999996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>
        <v>279</v>
      </c>
      <c r="F38" s="23">
        <v>1.05</v>
      </c>
      <c r="G38" s="23">
        <f>E38</f>
        <v>279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>
        <v>38</v>
      </c>
      <c r="F39" s="23">
        <v>0.4</v>
      </c>
      <c r="G39" s="23">
        <f>E39*F39</f>
        <v>15.200000000000001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6762</v>
      </c>
      <c r="B40" s="36" t="s">
        <v>53</v>
      </c>
      <c r="C40" s="73" t="s">
        <v>21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6765</v>
      </c>
      <c r="B41" s="36" t="s">
        <v>54</v>
      </c>
      <c r="C41" s="73" t="s">
        <v>21</v>
      </c>
      <c r="D41" s="74">
        <v>1001023696765</v>
      </c>
      <c r="E41" s="24">
        <v>260</v>
      </c>
      <c r="F41" s="23">
        <v>0.36</v>
      </c>
      <c r="G41" s="23">
        <f>E41*F41</f>
        <v>93.6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6759</v>
      </c>
      <c r="B42" s="36" t="s">
        <v>55</v>
      </c>
      <c r="C42" s="73" t="s">
        <v>21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6616</v>
      </c>
      <c r="B43" s="36" t="s">
        <v>56</v>
      </c>
      <c r="C43" s="73" t="s">
        <v>21</v>
      </c>
      <c r="D43" s="74">
        <v>1001024976616</v>
      </c>
      <c r="E43" s="24">
        <v>167</v>
      </c>
      <c r="F43" s="23">
        <v>0.3</v>
      </c>
      <c r="G43" s="23">
        <f>E43*F43</f>
        <v>50.1</v>
      </c>
      <c r="H43" s="14"/>
      <c r="I43" s="14"/>
      <c r="J43" s="29"/>
      <c r="K43" s="27"/>
    </row>
    <row r="44" spans="1:11" ht="16.5" customHeight="1" x14ac:dyDescent="0.25">
      <c r="A44" s="60" t="str">
        <f t="shared" si="2"/>
        <v>7082</v>
      </c>
      <c r="B44" s="35" t="s">
        <v>57</v>
      </c>
      <c r="C44" s="73" t="s">
        <v>23</v>
      </c>
      <c r="D44" s="74">
        <v>1001022467082</v>
      </c>
      <c r="E44" s="24">
        <v>169</v>
      </c>
      <c r="F44" s="23">
        <v>2.125</v>
      </c>
      <c r="G44" s="23">
        <f>E44</f>
        <v>169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2"/>
        <v>6767</v>
      </c>
      <c r="B45" s="35" t="s">
        <v>58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2"/>
        <v>7070</v>
      </c>
      <c r="B46" s="35" t="s">
        <v>59</v>
      </c>
      <c r="C46" s="73" t="s">
        <v>23</v>
      </c>
      <c r="D46" s="74">
        <v>1001022377070</v>
      </c>
      <c r="E46" s="24">
        <v>252</v>
      </c>
      <c r="F46" s="23"/>
      <c r="G46" s="23">
        <f>E46</f>
        <v>252</v>
      </c>
      <c r="H46" s="14"/>
      <c r="I46" s="14"/>
      <c r="J46" s="29"/>
    </row>
    <row r="47" spans="1:11" s="15" customFormat="1" ht="16.5" customHeight="1" x14ac:dyDescent="0.25">
      <c r="A47" s="60" t="str">
        <f t="shared" si="2"/>
        <v>6661</v>
      </c>
      <c r="B47" s="53" t="s">
        <v>60</v>
      </c>
      <c r="C47" s="54" t="s">
        <v>23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2"/>
        <v>6475</v>
      </c>
      <c r="B48" s="80" t="s">
        <v>61</v>
      </c>
      <c r="C48" s="73" t="s">
        <v>21</v>
      </c>
      <c r="D48" s="74">
        <v>1001025176475</v>
      </c>
      <c r="E48" s="24">
        <v>216</v>
      </c>
      <c r="F48" s="23">
        <v>0.4</v>
      </c>
      <c r="G48" s="23">
        <f>E48*F48</f>
        <v>86.4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2"/>
        <v>6713</v>
      </c>
      <c r="B49" s="57" t="s">
        <v>62</v>
      </c>
      <c r="C49" s="54" t="s">
        <v>21</v>
      </c>
      <c r="D49" s="55">
        <v>1001022246713</v>
      </c>
      <c r="E49" s="24">
        <v>229</v>
      </c>
      <c r="F49" s="23">
        <v>0.41</v>
      </c>
      <c r="G49" s="23">
        <f>E49*F49</f>
        <v>93.89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63</v>
      </c>
      <c r="C50" s="73" t="s">
        <v>21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ref="A51:A82" si="3">RIGHT(D51,4)</f>
        <v>7284</v>
      </c>
      <c r="B51" s="82" t="s">
        <v>64</v>
      </c>
      <c r="C51" s="73" t="s">
        <v>21</v>
      </c>
      <c r="D51" s="74">
        <v>1001025767284</v>
      </c>
      <c r="E51" s="24">
        <v>30</v>
      </c>
      <c r="F51" s="23">
        <v>0.33</v>
      </c>
      <c r="G51" s="23">
        <f>E51*F51</f>
        <v>9.9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65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66</v>
      </c>
      <c r="C53" s="54" t="s">
        <v>23</v>
      </c>
      <c r="D53" s="55">
        <v>1001024976829</v>
      </c>
      <c r="E53" s="24">
        <v>484</v>
      </c>
      <c r="F53" s="23">
        <v>1.0249999999999999</v>
      </c>
      <c r="G53" s="23">
        <f>E53</f>
        <v>484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67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68</v>
      </c>
      <c r="C55" s="73" t="s">
        <v>21</v>
      </c>
      <c r="D55" s="74">
        <v>1001022657073</v>
      </c>
      <c r="E55" s="24">
        <v>86</v>
      </c>
      <c r="F55" s="23">
        <v>0.35</v>
      </c>
      <c r="G55" s="23">
        <f>E55*F55</f>
        <v>30.099999999999998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69</v>
      </c>
      <c r="C56" s="73" t="s">
        <v>21</v>
      </c>
      <c r="D56" s="74">
        <v>1001020836724</v>
      </c>
      <c r="E56" s="24">
        <v>61</v>
      </c>
      <c r="F56" s="23">
        <v>0.41</v>
      </c>
      <c r="G56" s="23">
        <f>F56*E56</f>
        <v>25.009999999999998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70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71</v>
      </c>
      <c r="C58" s="54" t="s">
        <v>21</v>
      </c>
      <c r="D58" s="55">
        <v>1001022467080</v>
      </c>
      <c r="E58" s="24">
        <v>492</v>
      </c>
      <c r="F58" s="23">
        <v>0.41</v>
      </c>
      <c r="G58" s="23">
        <f>E58*F58</f>
        <v>201.72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72</v>
      </c>
      <c r="C59" s="54" t="s">
        <v>21</v>
      </c>
      <c r="D59" s="55">
        <v>1001022467276</v>
      </c>
      <c r="E59" s="24">
        <v>60</v>
      </c>
      <c r="F59" s="23">
        <v>0.3</v>
      </c>
      <c r="G59" s="23">
        <f>E59*F59</f>
        <v>18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73</v>
      </c>
      <c r="C60" s="54" t="s">
        <v>21</v>
      </c>
      <c r="D60" s="55">
        <v>1001022377066</v>
      </c>
      <c r="E60" s="24">
        <v>579</v>
      </c>
      <c r="F60" s="23">
        <v>0.41</v>
      </c>
      <c r="G60" s="23">
        <f>E60*F60</f>
        <v>237.39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74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75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76</v>
      </c>
      <c r="C63" s="73" t="s">
        <v>37</v>
      </c>
      <c r="D63" s="74">
        <v>1001031076527</v>
      </c>
      <c r="E63" s="24">
        <v>14</v>
      </c>
      <c r="F63" s="23">
        <v>1</v>
      </c>
      <c r="G63" s="23">
        <f>E63</f>
        <v>14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77</v>
      </c>
      <c r="C64" s="73" t="s">
        <v>23</v>
      </c>
      <c r="D64" s="74">
        <v>1001032736550</v>
      </c>
      <c r="E64" s="24">
        <v>69</v>
      </c>
      <c r="F64" s="23">
        <v>1</v>
      </c>
      <c r="G64" s="23">
        <f>E64</f>
        <v>69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78</v>
      </c>
      <c r="C65" s="73" t="s">
        <v>23</v>
      </c>
      <c r="D65" s="74">
        <v>1001033856608</v>
      </c>
      <c r="E65" s="24">
        <v>73</v>
      </c>
      <c r="F65" s="23">
        <v>0.99</v>
      </c>
      <c r="G65" s="23">
        <f>E65</f>
        <v>73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79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80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81</v>
      </c>
      <c r="C68" s="73" t="s">
        <v>21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si="3"/>
        <v>7232</v>
      </c>
      <c r="B69" s="51" t="s">
        <v>82</v>
      </c>
      <c r="C69" s="73" t="s">
        <v>21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3"/>
        <v>7332</v>
      </c>
      <c r="B70" s="51" t="s">
        <v>83</v>
      </c>
      <c r="C70" s="73" t="s">
        <v>21</v>
      </c>
      <c r="D70" s="74">
        <v>1001301777332</v>
      </c>
      <c r="E70" s="24">
        <v>36</v>
      </c>
      <c r="F70" s="23">
        <v>0.28000000000000003</v>
      </c>
      <c r="G70" s="23">
        <f t="shared" si="4"/>
        <v>10.080000000000002</v>
      </c>
      <c r="H70" s="14"/>
      <c r="I70" s="14"/>
      <c r="J70" s="29"/>
    </row>
    <row r="71" spans="1:10" ht="16.5" customHeight="1" x14ac:dyDescent="0.25">
      <c r="A71" s="60" t="str">
        <f t="shared" si="3"/>
        <v>7241</v>
      </c>
      <c r="B71" s="51" t="s">
        <v>84</v>
      </c>
      <c r="C71" s="73" t="s">
        <v>21</v>
      </c>
      <c r="D71" s="74">
        <v>1001303107241</v>
      </c>
      <c r="E71" s="24">
        <v>55</v>
      </c>
      <c r="F71" s="23">
        <v>0.28000000000000003</v>
      </c>
      <c r="G71" s="23">
        <f t="shared" si="4"/>
        <v>15.400000000000002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3"/>
        <v>7154</v>
      </c>
      <c r="B72" s="51" t="s">
        <v>85</v>
      </c>
      <c r="C72" s="73" t="s">
        <v>21</v>
      </c>
      <c r="D72" s="74">
        <v>1001300387154</v>
      </c>
      <c r="E72" s="24">
        <v>263</v>
      </c>
      <c r="F72" s="23">
        <v>0.35</v>
      </c>
      <c r="G72" s="23">
        <f t="shared" si="4"/>
        <v>92.05</v>
      </c>
      <c r="H72" s="14"/>
      <c r="I72" s="14">
        <v>50</v>
      </c>
      <c r="J72" s="29"/>
    </row>
    <row r="73" spans="1:10" ht="16.5" customHeight="1" x14ac:dyDescent="0.25">
      <c r="A73" s="60" t="str">
        <f t="shared" si="3"/>
        <v>6787</v>
      </c>
      <c r="B73" s="53" t="s">
        <v>86</v>
      </c>
      <c r="C73" s="54" t="s">
        <v>21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3"/>
        <v>6697</v>
      </c>
      <c r="B74" s="51" t="s">
        <v>87</v>
      </c>
      <c r="C74" s="73" t="s">
        <v>21</v>
      </c>
      <c r="D74" s="74">
        <v>1001301876697</v>
      </c>
      <c r="E74" s="24">
        <v>156</v>
      </c>
      <c r="F74" s="23">
        <v>0.35</v>
      </c>
      <c r="G74" s="23">
        <f t="shared" si="4"/>
        <v>54.599999999999994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3"/>
        <v>7237</v>
      </c>
      <c r="B75" s="51" t="s">
        <v>88</v>
      </c>
      <c r="C75" s="73" t="s">
        <v>21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3"/>
        <v>7236</v>
      </c>
      <c r="B76" s="53" t="s">
        <v>89</v>
      </c>
      <c r="C76" s="54" t="s">
        <v>21</v>
      </c>
      <c r="D76" s="55">
        <v>1001304507236</v>
      </c>
      <c r="E76" s="24">
        <v>200</v>
      </c>
      <c r="F76" s="23">
        <v>0.28000000000000003</v>
      </c>
      <c r="G76" s="23">
        <f t="shared" si="4"/>
        <v>56.000000000000007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3"/>
        <v>7333</v>
      </c>
      <c r="B77" s="53" t="s">
        <v>90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3"/>
        <v>7169</v>
      </c>
      <c r="B78" s="58" t="s">
        <v>91</v>
      </c>
      <c r="C78" s="54" t="s">
        <v>32</v>
      </c>
      <c r="D78" s="55">
        <v>1001303987169</v>
      </c>
      <c r="E78" s="24">
        <v>756</v>
      </c>
      <c r="F78" s="23">
        <v>0.35</v>
      </c>
      <c r="G78" s="23">
        <f t="shared" si="4"/>
        <v>264.59999999999997</v>
      </c>
      <c r="H78" s="14"/>
      <c r="I78" s="14">
        <v>50</v>
      </c>
      <c r="J78" s="29"/>
    </row>
    <row r="79" spans="1:10" ht="16.5" customHeight="1" x14ac:dyDescent="0.25">
      <c r="A79" s="60" t="str">
        <f t="shared" si="3"/>
        <v>7166</v>
      </c>
      <c r="B79" s="45" t="s">
        <v>92</v>
      </c>
      <c r="C79" s="73" t="s">
        <v>23</v>
      </c>
      <c r="D79" s="74">
        <v>1001303987166</v>
      </c>
      <c r="E79" s="24">
        <v>58</v>
      </c>
      <c r="F79" s="23">
        <v>1</v>
      </c>
      <c r="G79" s="23">
        <f>E79</f>
        <v>58</v>
      </c>
      <c r="H79" s="14"/>
      <c r="I79" s="14">
        <v>50</v>
      </c>
      <c r="J79" s="29"/>
    </row>
    <row r="80" spans="1:10" ht="15.75" customHeight="1" x14ac:dyDescent="0.25">
      <c r="A80" s="60" t="str">
        <f t="shared" si="3"/>
        <v>5544</v>
      </c>
      <c r="B80" s="80" t="s">
        <v>93</v>
      </c>
      <c r="C80" s="73" t="s">
        <v>23</v>
      </c>
      <c r="D80" s="74">
        <v>1001051875544</v>
      </c>
      <c r="E80" s="24">
        <v>30</v>
      </c>
      <c r="F80" s="23">
        <v>0.83399999999999996</v>
      </c>
      <c r="G80" s="23">
        <f>E80</f>
        <v>30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3"/>
        <v>7133</v>
      </c>
      <c r="B81" s="80" t="s">
        <v>94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3"/>
        <v>6791</v>
      </c>
      <c r="B82" s="80" t="s">
        <v>95</v>
      </c>
      <c r="C82" s="73" t="s">
        <v>21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ref="A83:A114" si="5">RIGHT(D83,4)</f>
        <v>6792</v>
      </c>
      <c r="B83" s="80" t="s">
        <v>96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97</v>
      </c>
      <c r="C84" s="73" t="s">
        <v>23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98</v>
      </c>
      <c r="C85" s="73" t="s">
        <v>21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99</v>
      </c>
      <c r="C86" s="73" t="s">
        <v>23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100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101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102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103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104</v>
      </c>
      <c r="C91" s="73" t="s">
        <v>21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105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106</v>
      </c>
      <c r="C93" s="65" t="s">
        <v>21</v>
      </c>
      <c r="D93" s="66">
        <v>1001060755931</v>
      </c>
      <c r="E93" s="24">
        <v>34</v>
      </c>
      <c r="F93" s="67">
        <v>0.22</v>
      </c>
      <c r="G93" s="23">
        <f t="shared" ref="G93:G98" si="6">E93*F93</f>
        <v>7.48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107</v>
      </c>
      <c r="C94" s="54" t="s">
        <v>21</v>
      </c>
      <c r="D94" s="55">
        <v>1001203146834</v>
      </c>
      <c r="E94" s="24">
        <v>30</v>
      </c>
      <c r="F94" s="75">
        <v>0.1</v>
      </c>
      <c r="G94" s="23">
        <f t="shared" si="6"/>
        <v>3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108</v>
      </c>
      <c r="C95" s="73" t="s">
        <v>21</v>
      </c>
      <c r="D95" s="74">
        <v>1001223297092</v>
      </c>
      <c r="E95" s="24"/>
      <c r="F95" s="23">
        <v>0.14000000000000001</v>
      </c>
      <c r="G95" s="23">
        <f t="shared" si="6"/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109</v>
      </c>
      <c r="C96" s="73" t="s">
        <v>32</v>
      </c>
      <c r="D96" s="74">
        <v>1001201976454</v>
      </c>
      <c r="E96" s="24">
        <v>30</v>
      </c>
      <c r="F96" s="23">
        <v>0.1</v>
      </c>
      <c r="G96" s="23">
        <f t="shared" si="6"/>
        <v>3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7288</v>
      </c>
      <c r="B97" s="80" t="s">
        <v>110</v>
      </c>
      <c r="C97" s="73" t="s">
        <v>32</v>
      </c>
      <c r="D97" s="74">
        <v>1001223907288</v>
      </c>
      <c r="E97" s="24"/>
      <c r="F97" s="23">
        <v>0.1</v>
      </c>
      <c r="G97" s="23">
        <f t="shared" si="6"/>
        <v>0</v>
      </c>
      <c r="H97" s="14"/>
      <c r="I97" s="14"/>
      <c r="J97" s="29"/>
    </row>
    <row r="98" spans="1:10" ht="16.5" customHeight="1" x14ac:dyDescent="0.25">
      <c r="A98" s="60" t="str">
        <f t="shared" si="5"/>
        <v>3986</v>
      </c>
      <c r="B98" s="80" t="s">
        <v>111</v>
      </c>
      <c r="C98" s="73" t="s">
        <v>32</v>
      </c>
      <c r="D98" s="74">
        <v>1001061973986</v>
      </c>
      <c r="E98" s="24">
        <v>98</v>
      </c>
      <c r="F98" s="23">
        <v>0.25</v>
      </c>
      <c r="G98" s="23">
        <f t="shared" si="6"/>
        <v>24.5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112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113</v>
      </c>
      <c r="C100" s="73" t="s">
        <v>23</v>
      </c>
      <c r="D100" s="74">
        <v>1001065616832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7299</v>
      </c>
      <c r="B101" s="80" t="s">
        <v>114</v>
      </c>
      <c r="C101" s="73" t="s">
        <v>23</v>
      </c>
      <c r="D101" s="74">
        <v>1001060677299</v>
      </c>
      <c r="E101" s="24">
        <v>8</v>
      </c>
      <c r="F101" s="23"/>
      <c r="G101" s="23">
        <f>E101</f>
        <v>8</v>
      </c>
      <c r="H101" s="14"/>
      <c r="I101" s="14"/>
      <c r="J101" s="29"/>
    </row>
    <row r="102" spans="1:10" ht="16.5" customHeight="1" x14ac:dyDescent="0.25">
      <c r="A102" s="60" t="str">
        <f t="shared" si="5"/>
        <v>4993</v>
      </c>
      <c r="B102" s="80" t="s">
        <v>115</v>
      </c>
      <c r="C102" s="73" t="s">
        <v>32</v>
      </c>
      <c r="D102" s="74">
        <v>1001060764993</v>
      </c>
      <c r="E102" s="24">
        <v>29</v>
      </c>
      <c r="F102" s="23">
        <v>0.25</v>
      </c>
      <c r="G102" s="23">
        <f t="shared" ref="G102:G111" si="7">E102*F102</f>
        <v>7.25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5"/>
        <v>6967</v>
      </c>
      <c r="B103" s="80" t="s">
        <v>116</v>
      </c>
      <c r="C103" s="73" t="s">
        <v>32</v>
      </c>
      <c r="D103" s="74">
        <v>1001063656967</v>
      </c>
      <c r="E103" s="24">
        <v>190</v>
      </c>
      <c r="F103" s="23">
        <v>0.25</v>
      </c>
      <c r="G103" s="23">
        <f t="shared" si="7"/>
        <v>47.5</v>
      </c>
      <c r="H103" s="14"/>
      <c r="I103" s="14"/>
      <c r="J103" s="29"/>
    </row>
    <row r="104" spans="1:10" ht="16.5" customHeight="1" x14ac:dyDescent="0.25">
      <c r="A104" s="60" t="str">
        <f t="shared" si="5"/>
        <v>7382</v>
      </c>
      <c r="B104" s="80" t="s">
        <v>117</v>
      </c>
      <c r="C104" s="73" t="s">
        <v>21</v>
      </c>
      <c r="D104" s="74">
        <v>1001203117382</v>
      </c>
      <c r="E104" s="24">
        <v>34</v>
      </c>
      <c r="F104" s="23">
        <v>0.12</v>
      </c>
      <c r="G104" s="23">
        <f t="shared" si="7"/>
        <v>4.08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5"/>
        <v>7147</v>
      </c>
      <c r="B105" s="80" t="s">
        <v>118</v>
      </c>
      <c r="C105" s="73" t="s">
        <v>21</v>
      </c>
      <c r="D105" s="74">
        <v>1001063237147</v>
      </c>
      <c r="E105" s="24">
        <v>30</v>
      </c>
      <c r="F105" s="23">
        <v>0.22</v>
      </c>
      <c r="G105" s="23">
        <f t="shared" si="7"/>
        <v>6.6</v>
      </c>
      <c r="H105" s="14"/>
      <c r="I105" s="14"/>
      <c r="J105" s="29"/>
    </row>
    <row r="106" spans="1:10" ht="16.5" customHeight="1" x14ac:dyDescent="0.25">
      <c r="A106" s="60" t="str">
        <f t="shared" si="5"/>
        <v>7229</v>
      </c>
      <c r="B106" s="80" t="s">
        <v>119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5"/>
        <v>7150</v>
      </c>
      <c r="B107" s="80" t="s">
        <v>120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5"/>
        <v>7227</v>
      </c>
      <c r="B108" s="80" t="s">
        <v>121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5"/>
        <v>7225</v>
      </c>
      <c r="B109" s="80" t="s">
        <v>122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5"/>
        <v>7228</v>
      </c>
      <c r="B110" s="80" t="s">
        <v>123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5"/>
        <v>6221</v>
      </c>
      <c r="B111" s="80" t="s">
        <v>124</v>
      </c>
      <c r="C111" s="73" t="s">
        <v>21</v>
      </c>
      <c r="D111" s="74">
        <v>1001205376221</v>
      </c>
      <c r="E111" s="24"/>
      <c r="F111" s="23">
        <v>0.09</v>
      </c>
      <c r="G111" s="23">
        <f t="shared" si="7"/>
        <v>0</v>
      </c>
      <c r="H111" s="14"/>
      <c r="I111" s="14"/>
      <c r="J111" s="29"/>
    </row>
    <row r="112" spans="1:10" ht="16.5" customHeight="1" x14ac:dyDescent="0.25">
      <c r="A112" s="60" t="str">
        <f t="shared" si="5"/>
        <v>4117</v>
      </c>
      <c r="B112" s="80" t="s">
        <v>125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5"/>
        <v>5483</v>
      </c>
      <c r="B113" s="80" t="s">
        <v>126</v>
      </c>
      <c r="C113" s="73" t="s">
        <v>21</v>
      </c>
      <c r="D113" s="74">
        <v>1001062505483</v>
      </c>
      <c r="E113" s="24">
        <v>133</v>
      </c>
      <c r="F113" s="23">
        <v>0.25</v>
      </c>
      <c r="G113" s="23">
        <f>E113*F113</f>
        <v>33.25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5"/>
        <v>6453</v>
      </c>
      <c r="B114" s="80" t="s">
        <v>127</v>
      </c>
      <c r="C114" s="73" t="s">
        <v>32</v>
      </c>
      <c r="D114" s="74">
        <v>1001202506453</v>
      </c>
      <c r="E114" s="24">
        <v>176</v>
      </c>
      <c r="F114" s="23">
        <v>0.1</v>
      </c>
      <c r="G114" s="23">
        <f>E114*F114</f>
        <v>17.600000000000001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ref="A115:A131" si="8">RIGHT(D115,4)</f>
        <v>6228</v>
      </c>
      <c r="B115" s="80" t="s">
        <v>128</v>
      </c>
      <c r="C115" s="73" t="s">
        <v>32</v>
      </c>
      <c r="D115" s="74">
        <v>1001225416228</v>
      </c>
      <c r="E115" s="24">
        <v>50</v>
      </c>
      <c r="F115" s="23">
        <v>0.09</v>
      </c>
      <c r="G115" s="23">
        <f>E115*F115</f>
        <v>4.5</v>
      </c>
      <c r="H115" s="14"/>
      <c r="I115" s="14"/>
      <c r="J115" s="29"/>
    </row>
    <row r="116" spans="1:10" ht="16.5" customHeight="1" thickBot="1" x14ac:dyDescent="0.3">
      <c r="A116" s="60" t="str">
        <f t="shared" si="8"/>
        <v>3287</v>
      </c>
      <c r="B116" s="80" t="s">
        <v>129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8"/>
        <v/>
      </c>
      <c r="B117" s="47" t="s">
        <v>130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8"/>
        <v>6866</v>
      </c>
      <c r="B118" s="77" t="s">
        <v>131</v>
      </c>
      <c r="C118" s="73" t="s">
        <v>37</v>
      </c>
      <c r="D118" s="79">
        <v>1001095716866</v>
      </c>
      <c r="E118" s="24">
        <v>5</v>
      </c>
      <c r="F118" s="23"/>
      <c r="G118" s="23">
        <f>E118</f>
        <v>5</v>
      </c>
      <c r="H118" s="14"/>
      <c r="I118" s="14"/>
      <c r="J118" s="29"/>
    </row>
    <row r="119" spans="1:10" ht="16.5" customHeight="1" x14ac:dyDescent="0.25">
      <c r="A119" s="60" t="str">
        <f t="shared" si="8"/>
        <v>3215</v>
      </c>
      <c r="B119" s="80" t="s">
        <v>132</v>
      </c>
      <c r="C119" s="73" t="s">
        <v>32</v>
      </c>
      <c r="D119" s="42">
        <v>1001094053215</v>
      </c>
      <c r="E119" s="24">
        <v>266</v>
      </c>
      <c r="F119" s="23">
        <v>0.4</v>
      </c>
      <c r="G119" s="23">
        <f>E119*F119</f>
        <v>106.4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8"/>
        <v>5452</v>
      </c>
      <c r="B120" s="51" t="s">
        <v>133</v>
      </c>
      <c r="C120" s="73" t="s">
        <v>23</v>
      </c>
      <c r="D120" s="42">
        <v>1001092485452</v>
      </c>
      <c r="E120" s="24"/>
      <c r="F120" s="23">
        <v>1.367</v>
      </c>
      <c r="G120" s="23">
        <f>E120</f>
        <v>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8"/>
        <v>5495</v>
      </c>
      <c r="B121" s="51" t="s">
        <v>134</v>
      </c>
      <c r="C121" s="73" t="s">
        <v>21</v>
      </c>
      <c r="D121" s="42">
        <v>1001093345495</v>
      </c>
      <c r="E121" s="24">
        <v>245</v>
      </c>
      <c r="F121" s="23">
        <v>0.4</v>
      </c>
      <c r="G121" s="23">
        <f>E121*F121</f>
        <v>98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8"/>
        <v>6495</v>
      </c>
      <c r="B122" s="51" t="s">
        <v>135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8"/>
        <v/>
      </c>
      <c r="B123" s="47" t="s">
        <v>136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8"/>
        <v>6448</v>
      </c>
      <c r="B124" s="37" t="s">
        <v>137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8"/>
        <v>6620</v>
      </c>
      <c r="B125" s="37" t="s">
        <v>138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6279</v>
      </c>
      <c r="B126" s="37" t="s">
        <v>139</v>
      </c>
      <c r="C126" s="73" t="s">
        <v>21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6208</v>
      </c>
      <c r="B127" s="37" t="s">
        <v>140</v>
      </c>
      <c r="C127" s="73" t="s">
        <v>21</v>
      </c>
      <c r="D127" s="74">
        <v>1001220226208</v>
      </c>
      <c r="E127" s="24">
        <v>49</v>
      </c>
      <c r="F127" s="23">
        <v>0.15</v>
      </c>
      <c r="G127" s="23">
        <f>F127*E127</f>
        <v>7.35</v>
      </c>
      <c r="H127" s="14"/>
      <c r="I127" s="14"/>
      <c r="J127" s="29"/>
    </row>
    <row r="128" spans="1:10" ht="16.5" customHeight="1" x14ac:dyDescent="0.25">
      <c r="A128" s="60" t="str">
        <f t="shared" si="8"/>
        <v>7090</v>
      </c>
      <c r="B128" s="37" t="s">
        <v>141</v>
      </c>
      <c r="C128" s="73" t="s">
        <v>32</v>
      </c>
      <c r="D128" s="74">
        <v>1001084217090</v>
      </c>
      <c r="E128" s="24">
        <v>6</v>
      </c>
      <c r="F128" s="23">
        <v>0.3</v>
      </c>
      <c r="G128" s="23">
        <f>E128*F128</f>
        <v>1.7999999999999998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8"/>
        <v>7187</v>
      </c>
      <c r="B129" s="37" t="s">
        <v>142</v>
      </c>
      <c r="C129" s="73" t="s">
        <v>32</v>
      </c>
      <c r="D129" s="74">
        <v>1001085637187</v>
      </c>
      <c r="E129" s="24">
        <v>50</v>
      </c>
      <c r="F129" s="23">
        <v>0.3</v>
      </c>
      <c r="G129" s="23">
        <f>E129*F129</f>
        <v>15</v>
      </c>
      <c r="H129" s="14"/>
      <c r="I129" s="14"/>
      <c r="J129" s="29"/>
    </row>
    <row r="130" spans="1:11" s="71" customFormat="1" ht="16.5" customHeight="1" x14ac:dyDescent="0.25">
      <c r="A130" s="60" t="str">
        <f t="shared" si="8"/>
        <v>7103</v>
      </c>
      <c r="B130" s="59" t="s">
        <v>143</v>
      </c>
      <c r="C130" s="54" t="s">
        <v>32</v>
      </c>
      <c r="D130" s="55">
        <v>1001223297103</v>
      </c>
      <c r="E130" s="24">
        <v>33</v>
      </c>
      <c r="F130" s="75">
        <v>0.18</v>
      </c>
      <c r="G130" s="23">
        <f>E130*F130</f>
        <v>5.9399999999999995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8"/>
        <v>6872</v>
      </c>
      <c r="B131" s="37" t="s">
        <v>144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145</v>
      </c>
      <c r="C132" s="16"/>
      <c r="D132" s="38"/>
      <c r="E132" s="17">
        <f>SUM(E10:E131)</f>
        <v>9368</v>
      </c>
      <c r="F132" s="17"/>
      <c r="G132" s="17">
        <f>SUM(G11:G131)</f>
        <v>5198.1400000000003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2026-01-14T10:30:48Z</dcterms:modified>
</cp:coreProperties>
</file>