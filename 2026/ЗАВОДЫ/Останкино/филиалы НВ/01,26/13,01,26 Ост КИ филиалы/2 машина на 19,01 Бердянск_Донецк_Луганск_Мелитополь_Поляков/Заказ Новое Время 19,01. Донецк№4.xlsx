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A495F3AE-6F7D-4AFA-A7DA-FD1B87C113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F3" i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<sst xmlns="http://schemas.openxmlformats.org/spreadsheetml/2006/main" count="257" uniqueCount="146">
  <si>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</si>
  <si>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</si>
  <si>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</si>
  <si>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</si>
  <si>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</si>
  <si>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</si>
  <si>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</si>
  <si>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</si>
  <si>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</si>
  <si>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</si>
  <si>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</si>
  <si>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</si>
  <si>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</si>
  <si>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</si>
  <si>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</si>
  <si>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</si>
  <si>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</si>
  <si>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</si>
  <si>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</si>
  <si>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</si>
  <si>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</si>
  <si>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</si>
  <si>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</si>
  <si>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</si>
  <si>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</si>
  <si>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</si>
  <si>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</si>
  <si>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</si>
  <si>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</si>
  <si>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</si>
  <si>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</si>
  <si>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</si>
  <si>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</si>
  <si>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</si>
  <si>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</si>
  <si>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</si>
  <si>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</si>
  <si>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</si>
  <si>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</si>
  <si>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</si>
  <si>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</si>
  <si>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</si>
  <si>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</si>
  <si>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</si>
  <si>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</si>
  <si>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</si>
  <si>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</si>
  <si>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</si>
  <si>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</si>
  <si>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</si>
  <si>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</si>
  <si>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</si>
  <si>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</si>
  <si>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</si>
  <si>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</si>
  <si>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</si>
  <si>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</si>
  <si>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</si>
  <si>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</si>
  <si>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</si>
  <si>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</si>
  <si>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</si>
  <si>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</si>
  <si>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</si>
  <si>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</si>
  <si>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</si>
  <si>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</si>
  <si>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</si>
  <si>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</si>
  <si>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</si>
  <si>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</si>
  <si>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</si>
  <si>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</si>
  <si>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</si>
  <si>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</si>
  <si>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</si>
  <si>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</si>
  <si>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</si>
  <si>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</si>
  <si>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</si>
  <si>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</si>
  <si>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</si>
  <si>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</si>
  <si>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</si>
  <si>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</si>
  <si>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</si>
  <si>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</si>
  <si>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</si>
  <si>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</si>
  <si>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</si>
  <si>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</si>
  <si>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</si>
  <si>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</si>
  <si>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</si>
  <si>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</si>
  <si>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</si>
  <si>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</si>
  <si>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</si>
  <si>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</si>
  <si>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</si>
  <si>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</si>
  <si>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</si>
  <si>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</si>
  <si>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</si>
  <si>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</si>
  <si>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</si>
  <si>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</si>
  <si>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</si>
  <si>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</si>
  <si>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</si>
  <si>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БАЛЫК с/к с/н в/у 1/100 10шт.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</si>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</sst>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12" borderId="0" xfId="0" applyFont="1" applyFill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45676</v>
      </c>
      <c r="E3" s="7" t="s">
        <v>3</v>
      </c>
      <c r="F3" s="84">
        <f>D3+3</f>
        <v>45679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562</v>
      </c>
      <c r="F12" s="23">
        <v>1.3340000000000001</v>
      </c>
      <c r="G12" s="23">
        <f>E12</f>
        <v>562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102</v>
      </c>
      <c r="F15" s="23">
        <v>1.35</v>
      </c>
      <c r="G15" s="23">
        <f>E15</f>
        <v>102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270</v>
      </c>
      <c r="F22" s="23">
        <v>1.35</v>
      </c>
      <c r="G22" s="23">
        <f>E22</f>
        <v>270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409</v>
      </c>
      <c r="F23" s="23">
        <v>0.4</v>
      </c>
      <c r="G23" s="23">
        <f>E23*F23</f>
        <v>163.60000000000002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323</v>
      </c>
      <c r="F24" s="23">
        <v>1.3540000000000001</v>
      </c>
      <c r="G24" s="23">
        <f>E24</f>
        <v>323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220</v>
      </c>
      <c r="F25" s="23">
        <v>0.4</v>
      </c>
      <c r="G25" s="23">
        <f>E25*F25</f>
        <v>88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>
        <v>52</v>
      </c>
      <c r="F27" s="23">
        <v>0.4</v>
      </c>
      <c r="G27" s="23">
        <f>E27*F27</f>
        <v>20.8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>
        <v>45</v>
      </c>
      <c r="F28" s="23">
        <v>0.3</v>
      </c>
      <c r="G28" s="23">
        <f>E28*F28</f>
        <v>13.5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117</v>
      </c>
      <c r="F30" s="23">
        <v>1</v>
      </c>
      <c r="G30" s="23">
        <f>E30</f>
        <v>117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201</v>
      </c>
      <c r="F32" s="23">
        <v>1</v>
      </c>
      <c r="G32" s="23">
        <f>E32</f>
        <v>201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102</v>
      </c>
      <c r="F34" s="23">
        <v>0.4</v>
      </c>
      <c r="G34" s="23">
        <f>E34*F34</f>
        <v>40.800000000000004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3">
        <v>7255</v>
      </c>
      <c r="B36" s="64" t="s">
        <v>49</v>
      </c>
      <c r="C36" s="65" t="s">
        <v>32</v>
      </c>
      <c r="D36" s="66">
        <v>1001025507255</v>
      </c>
      <c r="E36" s="24">
        <v>344</v>
      </c>
      <c r="F36" s="67">
        <v>0.4</v>
      </c>
      <c r="G36" s="23">
        <f>E36*F36</f>
        <v>137.6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49" si="2">RIGHT(D37,4)</f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>
        <v>289</v>
      </c>
      <c r="F38" s="23">
        <v>1.05</v>
      </c>
      <c r="G38" s="23">
        <f>E38</f>
        <v>289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/>
      <c r="F39" s="23">
        <v>0.4</v>
      </c>
      <c r="G39" s="23">
        <f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6765</v>
      </c>
      <c r="B41" s="36" t="s">
        <v>54</v>
      </c>
      <c r="C41" s="73" t="s">
        <v>21</v>
      </c>
      <c r="D41" s="74">
        <v>1001023696765</v>
      </c>
      <c r="E41" s="24">
        <v>270</v>
      </c>
      <c r="F41" s="23">
        <v>0.36</v>
      </c>
      <c r="G41" s="23">
        <f>E41*F41</f>
        <v>97.2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6616</v>
      </c>
      <c r="B43" s="36" t="s">
        <v>56</v>
      </c>
      <c r="C43" s="73" t="s">
        <v>21</v>
      </c>
      <c r="D43" s="74">
        <v>1001024976616</v>
      </c>
      <c r="E43" s="24">
        <v>174</v>
      </c>
      <c r="F43" s="23">
        <v>0.3</v>
      </c>
      <c r="G43" s="23">
        <f>E43*F43</f>
        <v>52.199999999999996</v>
      </c>
      <c r="H43" s="14"/>
      <c r="I43" s="14"/>
      <c r="J43" s="29"/>
      <c r="K43" s="27"/>
    </row>
    <row r="44" spans="1:11" ht="16.5" customHeight="1" x14ac:dyDescent="0.25">
      <c r="A44" s="60" t="str">
        <f t="shared" si="2"/>
        <v>7082</v>
      </c>
      <c r="B44" s="35" t="s">
        <v>57</v>
      </c>
      <c r="C44" s="73" t="s">
        <v>23</v>
      </c>
      <c r="D44" s="74">
        <v>1001022467082</v>
      </c>
      <c r="E44" s="24">
        <v>175</v>
      </c>
      <c r="F44" s="23">
        <v>2.125</v>
      </c>
      <c r="G44" s="23">
        <f>E44</f>
        <v>175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2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2"/>
        <v>7070</v>
      </c>
      <c r="B46" s="35" t="s">
        <v>59</v>
      </c>
      <c r="C46" s="73" t="s">
        <v>23</v>
      </c>
      <c r="D46" s="74">
        <v>1001022377070</v>
      </c>
      <c r="E46" s="24">
        <v>262</v>
      </c>
      <c r="F46" s="23"/>
      <c r="G46" s="23">
        <f>E46</f>
        <v>262</v>
      </c>
      <c r="H46" s="14"/>
      <c r="I46" s="14"/>
      <c r="J46" s="29"/>
    </row>
    <row r="47" spans="1:11" s="15" customFormat="1" ht="16.5" customHeight="1" x14ac:dyDescent="0.25">
      <c r="A47" s="60" t="str">
        <f t="shared" si="2"/>
        <v>6661</v>
      </c>
      <c r="B47" s="53" t="s">
        <v>60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2"/>
        <v>6475</v>
      </c>
      <c r="B48" s="80" t="s">
        <v>61</v>
      </c>
      <c r="C48" s="73" t="s">
        <v>21</v>
      </c>
      <c r="D48" s="74">
        <v>1001025176475</v>
      </c>
      <c r="E48" s="24">
        <v>223</v>
      </c>
      <c r="F48" s="23">
        <v>0.4</v>
      </c>
      <c r="G48" s="23">
        <f>E48*F48</f>
        <v>89.2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2"/>
        <v>6713</v>
      </c>
      <c r="B49" s="57" t="s">
        <v>62</v>
      </c>
      <c r="C49" s="54" t="s">
        <v>21</v>
      </c>
      <c r="D49" s="55">
        <v>1001022246713</v>
      </c>
      <c r="E49" s="24">
        <v>237</v>
      </c>
      <c r="F49" s="23">
        <v>0.41</v>
      </c>
      <c r="G49" s="23">
        <f>E49*F49</f>
        <v>97.169999999999987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63</v>
      </c>
      <c r="C50" s="73" t="s">
        <v>21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ref="A51:A82" si="3">RIGHT(D51,4)</f>
        <v>7284</v>
      </c>
      <c r="B51" s="82" t="s">
        <v>64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66</v>
      </c>
      <c r="C53" s="54" t="s">
        <v>23</v>
      </c>
      <c r="D53" s="55">
        <v>1001024976829</v>
      </c>
      <c r="E53" s="24">
        <v>502</v>
      </c>
      <c r="F53" s="23">
        <v>1.0249999999999999</v>
      </c>
      <c r="G53" s="23">
        <f>E53</f>
        <v>502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67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68</v>
      </c>
      <c r="C55" s="73" t="s">
        <v>21</v>
      </c>
      <c r="D55" s="74">
        <v>1001022657073</v>
      </c>
      <c r="E55" s="24">
        <v>89</v>
      </c>
      <c r="F55" s="23">
        <v>0.35</v>
      </c>
      <c r="G55" s="23">
        <f>E55*F55</f>
        <v>31.15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69</v>
      </c>
      <c r="C56" s="73" t="s">
        <v>21</v>
      </c>
      <c r="D56" s="74">
        <v>1001020836724</v>
      </c>
      <c r="E56" s="24">
        <v>63</v>
      </c>
      <c r="F56" s="23">
        <v>0.41</v>
      </c>
      <c r="G56" s="23">
        <f>F56*E56</f>
        <v>25.83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71</v>
      </c>
      <c r="C58" s="54" t="s">
        <v>21</v>
      </c>
      <c r="D58" s="55">
        <v>1001022467080</v>
      </c>
      <c r="E58" s="24">
        <v>510</v>
      </c>
      <c r="F58" s="23">
        <v>0.41</v>
      </c>
      <c r="G58" s="23">
        <f>E58*F58</f>
        <v>209.1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72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>
        <v>600</v>
      </c>
      <c r="F60" s="23">
        <v>0.41</v>
      </c>
      <c r="G60" s="23">
        <f>E60*F60</f>
        <v>245.99999999999997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>
        <v>72</v>
      </c>
      <c r="F64" s="23">
        <v>1</v>
      </c>
      <c r="G64" s="23">
        <f>E64</f>
        <v>72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>
        <v>76</v>
      </c>
      <c r="F65" s="23">
        <v>0.99</v>
      </c>
      <c r="G65" s="23">
        <f>E65</f>
        <v>76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>
        <v>58</v>
      </c>
      <c r="F71" s="23">
        <v>0.28000000000000003</v>
      </c>
      <c r="G71" s="23">
        <f t="shared" si="4"/>
        <v>16.240000000000002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>
        <v>272</v>
      </c>
      <c r="F72" s="23">
        <v>0.35</v>
      </c>
      <c r="G72" s="23">
        <f t="shared" si="4"/>
        <v>95.199999999999989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>
        <v>161</v>
      </c>
      <c r="F74" s="23">
        <v>0.35</v>
      </c>
      <c r="G74" s="23">
        <f t="shared" si="4"/>
        <v>56.349999999999994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>
        <v>783</v>
      </c>
      <c r="F78" s="23">
        <v>0.35</v>
      </c>
      <c r="G78" s="23">
        <f t="shared" si="4"/>
        <v>274.04999999999995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>
        <v>60</v>
      </c>
      <c r="F79" s="23">
        <v>1</v>
      </c>
      <c r="G79" s="23">
        <f>E79</f>
        <v>60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>
        <v>31</v>
      </c>
      <c r="F80" s="23">
        <v>0.83399999999999996</v>
      </c>
      <c r="G80" s="23">
        <f>E80</f>
        <v>31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ref="A83:A114" si="5">RIGHT(D83,4)</f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97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98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99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102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104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>
        <v>36</v>
      </c>
      <c r="F93" s="67">
        <v>0.22</v>
      </c>
      <c r="G93" s="23">
        <f t="shared" ref="G93:G98" si="6">E93*F93</f>
        <v>7.92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/>
      <c r="F94" s="75">
        <v>0.1</v>
      </c>
      <c r="G94" s="23">
        <f t="shared" si="6"/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/>
      <c r="F95" s="23">
        <v>0.14000000000000001</v>
      </c>
      <c r="G95" s="23">
        <f t="shared" si="6"/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/>
      <c r="F96" s="23">
        <v>0.1</v>
      </c>
      <c r="G96" s="23">
        <f t="shared" si="6"/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7288</v>
      </c>
      <c r="B97" s="80" t="s">
        <v>110</v>
      </c>
      <c r="C97" s="73" t="s">
        <v>32</v>
      </c>
      <c r="D97" s="74">
        <v>1001223907288</v>
      </c>
      <c r="E97" s="24"/>
      <c r="F97" s="23">
        <v>0.1</v>
      </c>
      <c r="G97" s="23">
        <f t="shared" si="6"/>
        <v>0</v>
      </c>
      <c r="H97" s="14"/>
      <c r="I97" s="14"/>
      <c r="J97" s="29"/>
    </row>
    <row r="98" spans="1:10" ht="16.5" customHeight="1" x14ac:dyDescent="0.25">
      <c r="A98" s="60" t="str">
        <f t="shared" si="5"/>
        <v>3986</v>
      </c>
      <c r="B98" s="80" t="s">
        <v>111</v>
      </c>
      <c r="C98" s="73" t="s">
        <v>32</v>
      </c>
      <c r="D98" s="74">
        <v>1001061973986</v>
      </c>
      <c r="E98" s="24">
        <v>102</v>
      </c>
      <c r="F98" s="23">
        <v>0.25</v>
      </c>
      <c r="G98" s="23">
        <f t="shared" si="6"/>
        <v>25.5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112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113</v>
      </c>
      <c r="C100" s="73" t="s">
        <v>23</v>
      </c>
      <c r="D100" s="74">
        <v>1001065616832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114</v>
      </c>
      <c r="C101" s="73" t="s">
        <v>23</v>
      </c>
      <c r="D101" s="74">
        <v>1001060677299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115</v>
      </c>
      <c r="C102" s="73" t="s">
        <v>32</v>
      </c>
      <c r="D102" s="74">
        <v>1001060764993</v>
      </c>
      <c r="E102" s="24">
        <v>31</v>
      </c>
      <c r="F102" s="23">
        <v>0.25</v>
      </c>
      <c r="G102" s="23">
        <f t="shared" ref="G102:G111" si="7">E102*F102</f>
        <v>7.75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116</v>
      </c>
      <c r="C103" s="73" t="s">
        <v>32</v>
      </c>
      <c r="D103" s="74">
        <v>1001063656967</v>
      </c>
      <c r="E103" s="24"/>
      <c r="F103" s="23">
        <v>0.25</v>
      </c>
      <c r="G103" s="23">
        <f t="shared" si="7"/>
        <v>0</v>
      </c>
      <c r="H103" s="14"/>
      <c r="I103" s="14"/>
      <c r="J103" s="29"/>
    </row>
    <row r="104" spans="1:10" ht="16.5" customHeight="1" x14ac:dyDescent="0.25">
      <c r="A104" s="60" t="str">
        <f t="shared" si="5"/>
        <v>7382</v>
      </c>
      <c r="B104" s="80" t="s">
        <v>117</v>
      </c>
      <c r="C104" s="73" t="s">
        <v>21</v>
      </c>
      <c r="D104" s="74">
        <v>1001203117382</v>
      </c>
      <c r="E104" s="24">
        <v>36</v>
      </c>
      <c r="F104" s="23">
        <v>0.12</v>
      </c>
      <c r="G104" s="23">
        <f t="shared" si="7"/>
        <v>4.32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5"/>
        <v>7147</v>
      </c>
      <c r="B105" s="80" t="s">
        <v>118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5"/>
        <v>7229</v>
      </c>
      <c r="B106" s="80" t="s">
        <v>119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7150</v>
      </c>
      <c r="B107" s="80" t="s">
        <v>120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7227</v>
      </c>
      <c r="B108" s="80" t="s">
        <v>121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7225</v>
      </c>
      <c r="B109" s="80" t="s">
        <v>122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7228</v>
      </c>
      <c r="B110" s="80" t="s">
        <v>123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5"/>
        <v>6221</v>
      </c>
      <c r="B111" s="80" t="s">
        <v>124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5"/>
        <v>4117</v>
      </c>
      <c r="B112" s="80" t="s">
        <v>125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5"/>
        <v>5483</v>
      </c>
      <c r="B113" s="80" t="s">
        <v>126</v>
      </c>
      <c r="C113" s="73" t="s">
        <v>21</v>
      </c>
      <c r="D113" s="74">
        <v>1001062505483</v>
      </c>
      <c r="E113" s="24">
        <v>137</v>
      </c>
      <c r="F113" s="23">
        <v>0.25</v>
      </c>
      <c r="G113" s="23">
        <f>E113*F113</f>
        <v>34.25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5"/>
        <v>6453</v>
      </c>
      <c r="B114" s="80" t="s">
        <v>127</v>
      </c>
      <c r="C114" s="73" t="s">
        <v>32</v>
      </c>
      <c r="D114" s="74">
        <v>1001202506453</v>
      </c>
      <c r="E114" s="24">
        <v>183</v>
      </c>
      <c r="F114" s="23">
        <v>0.1</v>
      </c>
      <c r="G114" s="23">
        <f>E114*F114</f>
        <v>18.3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ref="A115:A131" si="8">RIGHT(D115,4)</f>
        <v>6228</v>
      </c>
      <c r="B115" s="80" t="s">
        <v>128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8"/>
        <v>3287</v>
      </c>
      <c r="B116" s="80" t="s">
        <v>129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8"/>
        <v/>
      </c>
      <c r="B117" s="47" t="s">
        <v>130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8"/>
        <v>6866</v>
      </c>
      <c r="B118" s="77" t="s">
        <v>131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8"/>
        <v>3215</v>
      </c>
      <c r="B119" s="80" t="s">
        <v>132</v>
      </c>
      <c r="C119" s="73" t="s">
        <v>32</v>
      </c>
      <c r="D119" s="42">
        <v>1001094053215</v>
      </c>
      <c r="E119" s="24">
        <v>276</v>
      </c>
      <c r="F119" s="23">
        <v>0.4</v>
      </c>
      <c r="G119" s="23">
        <f>E119*F119</f>
        <v>110.4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8"/>
        <v>5452</v>
      </c>
      <c r="B120" s="51" t="s">
        <v>133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8"/>
        <v>5495</v>
      </c>
      <c r="B121" s="51" t="s">
        <v>134</v>
      </c>
      <c r="C121" s="73" t="s">
        <v>21</v>
      </c>
      <c r="D121" s="42">
        <v>1001093345495</v>
      </c>
      <c r="E121" s="24">
        <v>254</v>
      </c>
      <c r="F121" s="23">
        <v>0.4</v>
      </c>
      <c r="G121" s="23">
        <f>E121*F121</f>
        <v>101.60000000000001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8"/>
        <v>6495</v>
      </c>
      <c r="B122" s="51" t="s">
        <v>135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8"/>
        <v/>
      </c>
      <c r="B123" s="47" t="s">
        <v>136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8"/>
        <v>6448</v>
      </c>
      <c r="B124" s="37" t="s">
        <v>137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8"/>
        <v>6620</v>
      </c>
      <c r="B125" s="37" t="s">
        <v>138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6279</v>
      </c>
      <c r="B126" s="37" t="s">
        <v>139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6208</v>
      </c>
      <c r="B127" s="37" t="s">
        <v>140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8"/>
        <v>7090</v>
      </c>
      <c r="B128" s="37" t="s">
        <v>141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8"/>
        <v>7187</v>
      </c>
      <c r="B129" s="37" t="s">
        <v>142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8"/>
        <v>7103</v>
      </c>
      <c r="B130" s="59" t="s">
        <v>143</v>
      </c>
      <c r="C130" s="54" t="s">
        <v>32</v>
      </c>
      <c r="D130" s="55">
        <v>1001223297103</v>
      </c>
      <c r="E130" s="24">
        <v>34</v>
      </c>
      <c r="F130" s="75">
        <v>0.18</v>
      </c>
      <c r="G130" s="23">
        <f>E130*F130</f>
        <v>6.12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8"/>
        <v>6872</v>
      </c>
      <c r="B131" s="37" t="s">
        <v>144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145</v>
      </c>
      <c r="C132" s="16"/>
      <c r="D132" s="38"/>
      <c r="E132" s="17">
        <f>SUM(E10:E131)</f>
        <v>8743</v>
      </c>
      <c r="F132" s="17"/>
      <c r="G132" s="17">
        <f>SUM(G11:G131)</f>
        <v>5112.1499999999987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2026-01-14T10:40:11Z</dcterms:modified>
</cp:coreProperties>
</file>