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"/>
    </mc:Choice>
  </mc:AlternateContent>
  <xr:revisionPtr revIDLastSave="0" documentId="13_ncr:1_{A7025825-2A23-4071-93DA-A2790D5D2D3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7" i="1" l="1"/>
  <c r="AJ8" i="1"/>
  <c r="AJ10" i="1"/>
  <c r="AJ13" i="1"/>
  <c r="AJ14" i="1"/>
  <c r="AJ15" i="1"/>
  <c r="AJ17" i="1"/>
  <c r="AJ18" i="1"/>
  <c r="AJ19" i="1"/>
  <c r="AJ20" i="1"/>
  <c r="AJ22" i="1"/>
  <c r="AJ23" i="1"/>
  <c r="AJ25" i="1"/>
  <c r="AJ26" i="1"/>
  <c r="AJ28" i="1"/>
  <c r="AJ31" i="1"/>
  <c r="AJ36" i="1"/>
  <c r="AJ37" i="1"/>
  <c r="AJ39" i="1"/>
  <c r="AJ41" i="1"/>
  <c r="AJ42" i="1"/>
  <c r="AJ45" i="1"/>
  <c r="AJ51" i="1"/>
  <c r="AJ53" i="1"/>
  <c r="AJ55" i="1"/>
  <c r="AJ57" i="1"/>
  <c r="AJ58" i="1"/>
  <c r="AJ60" i="1"/>
  <c r="AJ64" i="1"/>
  <c r="AJ69" i="1"/>
  <c r="AJ70" i="1"/>
  <c r="AJ71" i="1"/>
  <c r="AJ73" i="1"/>
  <c r="AJ74" i="1"/>
  <c r="AJ75" i="1"/>
  <c r="AJ77" i="1"/>
  <c r="AJ78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I7" i="1"/>
  <c r="AI8" i="1"/>
  <c r="AI10" i="1"/>
  <c r="AI13" i="1"/>
  <c r="AI14" i="1"/>
  <c r="AI15" i="1"/>
  <c r="AI17" i="1"/>
  <c r="AI18" i="1"/>
  <c r="AI19" i="1"/>
  <c r="AI20" i="1"/>
  <c r="AI22" i="1"/>
  <c r="AI23" i="1"/>
  <c r="AI25" i="1"/>
  <c r="AI26" i="1"/>
  <c r="AI28" i="1"/>
  <c r="AI31" i="1"/>
  <c r="AI36" i="1"/>
  <c r="AI37" i="1"/>
  <c r="AI39" i="1"/>
  <c r="AI41" i="1"/>
  <c r="AI42" i="1"/>
  <c r="AI45" i="1"/>
  <c r="AI51" i="1"/>
  <c r="AI53" i="1"/>
  <c r="AI55" i="1"/>
  <c r="AI57" i="1"/>
  <c r="AI58" i="1"/>
  <c r="AI60" i="1"/>
  <c r="AI64" i="1"/>
  <c r="AI69" i="1"/>
  <c r="AI70" i="1"/>
  <c r="AI71" i="1"/>
  <c r="AI73" i="1"/>
  <c r="AI74" i="1"/>
  <c r="AI75" i="1"/>
  <c r="AI77" i="1"/>
  <c r="AI78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T70" i="1"/>
  <c r="S81" i="1" l="1"/>
  <c r="U81" i="1" s="1"/>
  <c r="AJ81" i="1" s="1"/>
  <c r="S78" i="1"/>
  <c r="T78" i="1" s="1"/>
  <c r="S73" i="1"/>
  <c r="T73" i="1" s="1"/>
  <c r="S68" i="1"/>
  <c r="S67" i="1"/>
  <c r="U67" i="1" s="1"/>
  <c r="AJ67" i="1" s="1"/>
  <c r="S66" i="1"/>
  <c r="U66" i="1" s="1"/>
  <c r="AJ66" i="1" s="1"/>
  <c r="S64" i="1"/>
  <c r="S62" i="1"/>
  <c r="U62" i="1" s="1"/>
  <c r="AJ62" i="1" s="1"/>
  <c r="S60" i="1"/>
  <c r="T60" i="1" s="1"/>
  <c r="S59" i="1"/>
  <c r="U59" i="1" s="1"/>
  <c r="AJ59" i="1" s="1"/>
  <c r="S56" i="1"/>
  <c r="U56" i="1" s="1"/>
  <c r="AJ56" i="1" s="1"/>
  <c r="S49" i="1"/>
  <c r="U49" i="1" s="1"/>
  <c r="AJ49" i="1" s="1"/>
  <c r="S41" i="1"/>
  <c r="T41" i="1" s="1"/>
  <c r="S39" i="1"/>
  <c r="T39" i="1" s="1"/>
  <c r="S36" i="1"/>
  <c r="T36" i="1" s="1"/>
  <c r="S32" i="1"/>
  <c r="U32" i="1" s="1"/>
  <c r="AJ32" i="1" s="1"/>
  <c r="S30" i="1"/>
  <c r="U30" i="1" s="1"/>
  <c r="AJ30" i="1" s="1"/>
  <c r="S28" i="1"/>
  <c r="T28" i="1" s="1"/>
  <c r="S27" i="1"/>
  <c r="U27" i="1" s="1"/>
  <c r="AJ27" i="1" s="1"/>
  <c r="S26" i="1"/>
  <c r="T26" i="1" s="1"/>
  <c r="S25" i="1"/>
  <c r="T25" i="1" s="1"/>
  <c r="S22" i="1"/>
  <c r="T22" i="1" s="1"/>
  <c r="S21" i="1"/>
  <c r="U21" i="1" s="1"/>
  <c r="AJ21" i="1" s="1"/>
  <c r="S19" i="1"/>
  <c r="T19" i="1" s="1"/>
  <c r="S16" i="1"/>
  <c r="U16" i="1" s="1"/>
  <c r="AJ16" i="1" s="1"/>
  <c r="S15" i="1"/>
  <c r="T15" i="1" s="1"/>
  <c r="S14" i="1"/>
  <c r="S13" i="1"/>
  <c r="T13" i="1" s="1"/>
  <c r="S12" i="1"/>
  <c r="U12" i="1" s="1"/>
  <c r="AJ12" i="1" s="1"/>
  <c r="S10" i="1"/>
  <c r="T10" i="1" s="1"/>
  <c r="S7" i="1"/>
  <c r="S8" i="1"/>
  <c r="T8" i="1" s="1"/>
  <c r="S17" i="1"/>
  <c r="S18" i="1"/>
  <c r="T18" i="1" s="1"/>
  <c r="S20" i="1"/>
  <c r="S37" i="1"/>
  <c r="T37" i="1" s="1"/>
  <c r="S45" i="1"/>
  <c r="S51" i="1"/>
  <c r="T51" i="1" s="1"/>
  <c r="S55" i="1"/>
  <c r="S71" i="1"/>
  <c r="T71" i="1" s="1"/>
  <c r="S74" i="1"/>
  <c r="S84" i="1"/>
  <c r="T84" i="1" s="1"/>
  <c r="S86" i="1"/>
  <c r="S88" i="1"/>
  <c r="T88" i="1" s="1"/>
  <c r="S89" i="1"/>
  <c r="S90" i="1"/>
  <c r="T90" i="1" s="1"/>
  <c r="S91" i="1"/>
  <c r="S92" i="1"/>
  <c r="T92" i="1" s="1"/>
  <c r="S93" i="1"/>
  <c r="S94" i="1"/>
  <c r="T94" i="1" s="1"/>
  <c r="S95" i="1"/>
  <c r="U68" i="1" l="1"/>
  <c r="AJ68" i="1" s="1"/>
  <c r="T32" i="1"/>
  <c r="AI32" i="1" s="1"/>
  <c r="T49" i="1"/>
  <c r="AI49" i="1" s="1"/>
  <c r="T59" i="1"/>
  <c r="AI59" i="1" s="1"/>
  <c r="T62" i="1"/>
  <c r="AI62" i="1" s="1"/>
  <c r="T66" i="1"/>
  <c r="AI66" i="1" s="1"/>
  <c r="T68" i="1"/>
  <c r="AI68" i="1" s="1"/>
  <c r="T81" i="1"/>
  <c r="AI81" i="1" s="1"/>
  <c r="T12" i="1"/>
  <c r="AI12" i="1" s="1"/>
  <c r="T16" i="1"/>
  <c r="AI16" i="1" s="1"/>
  <c r="T21" i="1"/>
  <c r="AI21" i="1" s="1"/>
  <c r="T27" i="1"/>
  <c r="AI27" i="1" s="1"/>
  <c r="T30" i="1"/>
  <c r="AI30" i="1" s="1"/>
  <c r="T56" i="1"/>
  <c r="AI56" i="1" s="1"/>
  <c r="T67" i="1"/>
  <c r="AI67" i="1" s="1"/>
  <c r="T95" i="1"/>
  <c r="T93" i="1"/>
  <c r="T91" i="1"/>
  <c r="T89" i="1"/>
  <c r="T86" i="1"/>
  <c r="T74" i="1"/>
  <c r="T55" i="1"/>
  <c r="T45" i="1"/>
  <c r="T20" i="1"/>
  <c r="T17" i="1"/>
  <c r="T7" i="1"/>
  <c r="T14" i="1"/>
  <c r="T64" i="1"/>
  <c r="Q95" i="1"/>
  <c r="L95" i="1"/>
  <c r="Q94" i="1"/>
  <c r="X94" i="1" s="1"/>
  <c r="L94" i="1"/>
  <c r="Q93" i="1"/>
  <c r="X93" i="1" s="1"/>
  <c r="L93" i="1"/>
  <c r="Q92" i="1"/>
  <c r="X92" i="1" s="1"/>
  <c r="L92" i="1"/>
  <c r="Q91" i="1"/>
  <c r="X91" i="1" s="1"/>
  <c r="L91" i="1"/>
  <c r="F90" i="1"/>
  <c r="E90" i="1"/>
  <c r="Q90" i="1" s="1"/>
  <c r="Q89" i="1"/>
  <c r="X89" i="1" s="1"/>
  <c r="L89" i="1"/>
  <c r="Q88" i="1"/>
  <c r="X88" i="1" s="1"/>
  <c r="L88" i="1"/>
  <c r="Q87" i="1"/>
  <c r="L87" i="1"/>
  <c r="Q86" i="1"/>
  <c r="X86" i="1" s="1"/>
  <c r="L86" i="1"/>
  <c r="Q85" i="1"/>
  <c r="R85" i="1" s="1"/>
  <c r="S85" i="1" s="1"/>
  <c r="T85" i="1" s="1"/>
  <c r="L85" i="1"/>
  <c r="Q84" i="1"/>
  <c r="X84" i="1" s="1"/>
  <c r="L84" i="1"/>
  <c r="Q83" i="1"/>
  <c r="L83" i="1"/>
  <c r="Q82" i="1"/>
  <c r="L82" i="1"/>
  <c r="Q81" i="1"/>
  <c r="L81" i="1"/>
  <c r="Q80" i="1"/>
  <c r="L80" i="1"/>
  <c r="Q79" i="1"/>
  <c r="L79" i="1"/>
  <c r="Q78" i="1"/>
  <c r="L78" i="1"/>
  <c r="Q77" i="1"/>
  <c r="R77" i="1" s="1"/>
  <c r="S77" i="1" s="1"/>
  <c r="T77" i="1" s="1"/>
  <c r="L77" i="1"/>
  <c r="Q76" i="1"/>
  <c r="L76" i="1"/>
  <c r="Q75" i="1"/>
  <c r="L75" i="1"/>
  <c r="Q74" i="1"/>
  <c r="X74" i="1" s="1"/>
  <c r="L74" i="1"/>
  <c r="Q73" i="1"/>
  <c r="X73" i="1" s="1"/>
  <c r="L73" i="1"/>
  <c r="Q72" i="1"/>
  <c r="L72" i="1"/>
  <c r="Q71" i="1"/>
  <c r="X71" i="1" s="1"/>
  <c r="L71" i="1"/>
  <c r="Q70" i="1"/>
  <c r="X70" i="1" s="1"/>
  <c r="L70" i="1"/>
  <c r="Q69" i="1"/>
  <c r="R69" i="1" s="1"/>
  <c r="S69" i="1" s="1"/>
  <c r="T69" i="1" s="1"/>
  <c r="L69" i="1"/>
  <c r="Q68" i="1"/>
  <c r="X68" i="1" s="1"/>
  <c r="L68" i="1"/>
  <c r="Q67" i="1"/>
  <c r="L67" i="1"/>
  <c r="Q66" i="1"/>
  <c r="L66" i="1"/>
  <c r="Q65" i="1"/>
  <c r="L65" i="1"/>
  <c r="Q64" i="1"/>
  <c r="X64" i="1" s="1"/>
  <c r="L64" i="1"/>
  <c r="Q63" i="1"/>
  <c r="R63" i="1" s="1"/>
  <c r="S63" i="1" s="1"/>
  <c r="U63" i="1" s="1"/>
  <c r="AJ63" i="1" s="1"/>
  <c r="L63" i="1"/>
  <c r="F62" i="1"/>
  <c r="E62" i="1"/>
  <c r="Q62" i="1" s="1"/>
  <c r="F61" i="1"/>
  <c r="E61" i="1"/>
  <c r="L61" i="1" s="1"/>
  <c r="Q60" i="1"/>
  <c r="L60" i="1"/>
  <c r="Q59" i="1"/>
  <c r="R59" i="1" s="1"/>
  <c r="L59" i="1"/>
  <c r="Q58" i="1"/>
  <c r="L58" i="1"/>
  <c r="Q57" i="1"/>
  <c r="L57" i="1"/>
  <c r="Q56" i="1"/>
  <c r="L56" i="1"/>
  <c r="Q55" i="1"/>
  <c r="X55" i="1" s="1"/>
  <c r="L55" i="1"/>
  <c r="Q54" i="1"/>
  <c r="L54" i="1"/>
  <c r="Q53" i="1"/>
  <c r="R53" i="1" s="1"/>
  <c r="S53" i="1" s="1"/>
  <c r="T53" i="1" s="1"/>
  <c r="L53" i="1"/>
  <c r="Q52" i="1"/>
  <c r="L52" i="1"/>
  <c r="Q51" i="1"/>
  <c r="X51" i="1" s="1"/>
  <c r="L51" i="1"/>
  <c r="Q50" i="1"/>
  <c r="L50" i="1"/>
  <c r="Q49" i="1"/>
  <c r="L49" i="1"/>
  <c r="Q48" i="1"/>
  <c r="L48" i="1"/>
  <c r="Q47" i="1"/>
  <c r="L47" i="1"/>
  <c r="Q46" i="1"/>
  <c r="L46" i="1"/>
  <c r="Q45" i="1"/>
  <c r="X45" i="1" s="1"/>
  <c r="L45" i="1"/>
  <c r="Q44" i="1"/>
  <c r="L44" i="1"/>
  <c r="Q43" i="1"/>
  <c r="L43" i="1"/>
  <c r="Q42" i="1"/>
  <c r="R42" i="1" s="1"/>
  <c r="S42" i="1" s="1"/>
  <c r="T42" i="1" s="1"/>
  <c r="L42" i="1"/>
  <c r="Q41" i="1"/>
  <c r="L41" i="1"/>
  <c r="Q40" i="1"/>
  <c r="L40" i="1"/>
  <c r="Q39" i="1"/>
  <c r="R39" i="1" s="1"/>
  <c r="L39" i="1"/>
  <c r="Q38" i="1"/>
  <c r="R38" i="1" s="1"/>
  <c r="S38" i="1" s="1"/>
  <c r="U38" i="1" s="1"/>
  <c r="AJ38" i="1" s="1"/>
  <c r="L38" i="1"/>
  <c r="Q37" i="1"/>
  <c r="X37" i="1" s="1"/>
  <c r="L37" i="1"/>
  <c r="Q36" i="1"/>
  <c r="L36" i="1"/>
  <c r="Q35" i="1"/>
  <c r="L35" i="1"/>
  <c r="Q34" i="1"/>
  <c r="R34" i="1" s="1"/>
  <c r="S34" i="1" s="1"/>
  <c r="U34" i="1" s="1"/>
  <c r="AJ34" i="1" s="1"/>
  <c r="L34" i="1"/>
  <c r="Q33" i="1"/>
  <c r="R33" i="1" s="1"/>
  <c r="S33" i="1" s="1"/>
  <c r="U33" i="1" s="1"/>
  <c r="AJ33" i="1" s="1"/>
  <c r="L33" i="1"/>
  <c r="Q32" i="1"/>
  <c r="R32" i="1" s="1"/>
  <c r="L32" i="1"/>
  <c r="Q31" i="1"/>
  <c r="L31" i="1"/>
  <c r="Q30" i="1"/>
  <c r="L30" i="1"/>
  <c r="Q29" i="1"/>
  <c r="L29" i="1"/>
  <c r="Q28" i="1"/>
  <c r="X28" i="1" s="1"/>
  <c r="L28" i="1"/>
  <c r="Q27" i="1"/>
  <c r="L27" i="1"/>
  <c r="Q26" i="1"/>
  <c r="L26" i="1"/>
  <c r="Q25" i="1"/>
  <c r="L25" i="1"/>
  <c r="Q24" i="1"/>
  <c r="R24" i="1" s="1"/>
  <c r="S24" i="1" s="1"/>
  <c r="U24" i="1" s="1"/>
  <c r="AJ24" i="1" s="1"/>
  <c r="L24" i="1"/>
  <c r="Q23" i="1"/>
  <c r="L23" i="1"/>
  <c r="Q22" i="1"/>
  <c r="L22" i="1"/>
  <c r="Q21" i="1"/>
  <c r="L21" i="1"/>
  <c r="Q20" i="1"/>
  <c r="X20" i="1" s="1"/>
  <c r="L20" i="1"/>
  <c r="Q19" i="1"/>
  <c r="L19" i="1"/>
  <c r="Q18" i="1"/>
  <c r="X18" i="1" s="1"/>
  <c r="L18" i="1"/>
  <c r="Q17" i="1"/>
  <c r="X17" i="1" s="1"/>
  <c r="L17" i="1"/>
  <c r="Q16" i="1"/>
  <c r="R16" i="1" s="1"/>
  <c r="L16" i="1"/>
  <c r="Q15" i="1"/>
  <c r="X15" i="1" s="1"/>
  <c r="L15" i="1"/>
  <c r="Q14" i="1"/>
  <c r="X14" i="1" s="1"/>
  <c r="L14" i="1"/>
  <c r="Q13" i="1"/>
  <c r="L13" i="1"/>
  <c r="Q12" i="1"/>
  <c r="L12" i="1"/>
  <c r="Q11" i="1"/>
  <c r="L11" i="1"/>
  <c r="Q10" i="1"/>
  <c r="L10" i="1"/>
  <c r="Q9" i="1"/>
  <c r="L9" i="1"/>
  <c r="Q8" i="1"/>
  <c r="X8" i="1" s="1"/>
  <c r="L8" i="1"/>
  <c r="Q7" i="1"/>
  <c r="X7" i="1" s="1"/>
  <c r="L7" i="1"/>
  <c r="Q6" i="1"/>
  <c r="R6" i="1" s="1"/>
  <c r="S6" i="1" s="1"/>
  <c r="U6" i="1" s="1"/>
  <c r="AJ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T6" i="1" l="1"/>
  <c r="AI6" i="1" s="1"/>
  <c r="T24" i="1"/>
  <c r="AI24" i="1" s="1"/>
  <c r="T33" i="1"/>
  <c r="AI33" i="1" s="1"/>
  <c r="T34" i="1"/>
  <c r="AI34" i="1" s="1"/>
  <c r="T38" i="1"/>
  <c r="AI38" i="1" s="1"/>
  <c r="T63" i="1"/>
  <c r="AI63" i="1" s="1"/>
  <c r="X6" i="1"/>
  <c r="X16" i="1"/>
  <c r="X24" i="1"/>
  <c r="X32" i="1"/>
  <c r="X33" i="1"/>
  <c r="X34" i="1"/>
  <c r="X38" i="1"/>
  <c r="X39" i="1"/>
  <c r="X42" i="1"/>
  <c r="X53" i="1"/>
  <c r="X59" i="1"/>
  <c r="F5" i="1"/>
  <c r="X63" i="1"/>
  <c r="X69" i="1"/>
  <c r="X77" i="1"/>
  <c r="X85" i="1"/>
  <c r="X90" i="1"/>
  <c r="Y95" i="1"/>
  <c r="X95" i="1"/>
  <c r="R62" i="1"/>
  <c r="Y15" i="1"/>
  <c r="R19" i="1"/>
  <c r="R23" i="1"/>
  <c r="S23" i="1" s="1"/>
  <c r="T23" i="1" s="1"/>
  <c r="R27" i="1"/>
  <c r="R31" i="1"/>
  <c r="S31" i="1" s="1"/>
  <c r="T31" i="1" s="1"/>
  <c r="R35" i="1"/>
  <c r="S35" i="1" s="1"/>
  <c r="U35" i="1" s="1"/>
  <c r="AJ35" i="1" s="1"/>
  <c r="R43" i="1"/>
  <c r="S43" i="1" s="1"/>
  <c r="U43" i="1" s="1"/>
  <c r="AJ43" i="1" s="1"/>
  <c r="R47" i="1"/>
  <c r="S47" i="1" s="1"/>
  <c r="U47" i="1" s="1"/>
  <c r="AJ47" i="1" s="1"/>
  <c r="Y7" i="1"/>
  <c r="R10" i="1"/>
  <c r="Y13" i="1"/>
  <c r="R13" i="1"/>
  <c r="R21" i="1"/>
  <c r="R25" i="1"/>
  <c r="R29" i="1"/>
  <c r="S29" i="1" s="1"/>
  <c r="U29" i="1" s="1"/>
  <c r="AJ29" i="1" s="1"/>
  <c r="R41" i="1"/>
  <c r="R49" i="1"/>
  <c r="R57" i="1"/>
  <c r="S57" i="1" s="1"/>
  <c r="T57" i="1" s="1"/>
  <c r="R65" i="1"/>
  <c r="S65" i="1" s="1"/>
  <c r="U65" i="1" s="1"/>
  <c r="AJ65" i="1" s="1"/>
  <c r="R67" i="1"/>
  <c r="R72" i="1"/>
  <c r="S72" i="1" s="1"/>
  <c r="U72" i="1" s="1"/>
  <c r="AJ72" i="1" s="1"/>
  <c r="R75" i="1"/>
  <c r="S75" i="1" s="1"/>
  <c r="T75" i="1" s="1"/>
  <c r="R79" i="1"/>
  <c r="S79" i="1" s="1"/>
  <c r="U79" i="1" s="1"/>
  <c r="AJ79" i="1" s="1"/>
  <c r="R81" i="1"/>
  <c r="R83" i="1"/>
  <c r="S83" i="1" s="1"/>
  <c r="U83" i="1" s="1"/>
  <c r="AJ83" i="1" s="1"/>
  <c r="R87" i="1"/>
  <c r="S87" i="1" s="1"/>
  <c r="T87" i="1" s="1"/>
  <c r="Y9" i="1"/>
  <c r="R9" i="1"/>
  <c r="S9" i="1" s="1"/>
  <c r="U9" i="1" s="1"/>
  <c r="AJ9" i="1" s="1"/>
  <c r="Y11" i="1"/>
  <c r="R11" i="1"/>
  <c r="S11" i="1" s="1"/>
  <c r="U11" i="1" s="1"/>
  <c r="AJ11" i="1" s="1"/>
  <c r="R12" i="1"/>
  <c r="Y17" i="1"/>
  <c r="Y20" i="1"/>
  <c r="Y22" i="1"/>
  <c r="R22" i="1"/>
  <c r="Y24" i="1"/>
  <c r="Y26" i="1"/>
  <c r="R26" i="1"/>
  <c r="Y28" i="1"/>
  <c r="Y30" i="1"/>
  <c r="R30" i="1"/>
  <c r="Y32" i="1"/>
  <c r="Y34" i="1"/>
  <c r="Y36" i="1"/>
  <c r="R36" i="1"/>
  <c r="Y38" i="1"/>
  <c r="Y40" i="1"/>
  <c r="R40" i="1"/>
  <c r="S40" i="1" s="1"/>
  <c r="U40" i="1" s="1"/>
  <c r="AJ40" i="1" s="1"/>
  <c r="Y42" i="1"/>
  <c r="Y44" i="1"/>
  <c r="R44" i="1"/>
  <c r="S44" i="1" s="1"/>
  <c r="U44" i="1" s="1"/>
  <c r="AJ44" i="1" s="1"/>
  <c r="Y46" i="1"/>
  <c r="R46" i="1"/>
  <c r="S46" i="1" s="1"/>
  <c r="U46" i="1" s="1"/>
  <c r="AJ46" i="1" s="1"/>
  <c r="Y48" i="1"/>
  <c r="R48" i="1"/>
  <c r="S48" i="1" s="1"/>
  <c r="U48" i="1" s="1"/>
  <c r="AJ48" i="1" s="1"/>
  <c r="Y50" i="1"/>
  <c r="R50" i="1"/>
  <c r="S50" i="1" s="1"/>
  <c r="U50" i="1" s="1"/>
  <c r="AJ50" i="1" s="1"/>
  <c r="Y52" i="1"/>
  <c r="R52" i="1"/>
  <c r="S52" i="1" s="1"/>
  <c r="U52" i="1" s="1"/>
  <c r="AJ52" i="1" s="1"/>
  <c r="Y54" i="1"/>
  <c r="R54" i="1"/>
  <c r="S54" i="1" s="1"/>
  <c r="U54" i="1" s="1"/>
  <c r="AJ54" i="1" s="1"/>
  <c r="Y56" i="1"/>
  <c r="R56" i="1"/>
  <c r="Y58" i="1"/>
  <c r="R58" i="1"/>
  <c r="S58" i="1" s="1"/>
  <c r="T58" i="1" s="1"/>
  <c r="Y60" i="1"/>
  <c r="R60" i="1"/>
  <c r="Y62" i="1"/>
  <c r="Y64" i="1"/>
  <c r="Y66" i="1"/>
  <c r="R66" i="1"/>
  <c r="Y68" i="1"/>
  <c r="Y70" i="1"/>
  <c r="Y73" i="1"/>
  <c r="Y76" i="1"/>
  <c r="R76" i="1"/>
  <c r="S76" i="1" s="1"/>
  <c r="U76" i="1" s="1"/>
  <c r="AJ76" i="1" s="1"/>
  <c r="Y78" i="1"/>
  <c r="R78" i="1"/>
  <c r="Y80" i="1"/>
  <c r="R80" i="1"/>
  <c r="S80" i="1" s="1"/>
  <c r="U80" i="1" s="1"/>
  <c r="AJ80" i="1" s="1"/>
  <c r="Y82" i="1"/>
  <c r="R82" i="1"/>
  <c r="S82" i="1" s="1"/>
  <c r="U82" i="1" s="1"/>
  <c r="AJ82" i="1" s="1"/>
  <c r="Y84" i="1"/>
  <c r="Y86" i="1"/>
  <c r="Y88" i="1"/>
  <c r="Y92" i="1"/>
  <c r="Y19" i="1"/>
  <c r="Y21" i="1"/>
  <c r="Y23" i="1"/>
  <c r="Y25" i="1"/>
  <c r="Y27" i="1"/>
  <c r="Y29" i="1"/>
  <c r="Y31" i="1"/>
  <c r="Y33" i="1"/>
  <c r="Y35" i="1"/>
  <c r="Y37" i="1"/>
  <c r="Y39" i="1"/>
  <c r="Y41" i="1"/>
  <c r="Y43" i="1"/>
  <c r="Y45" i="1"/>
  <c r="Y47" i="1"/>
  <c r="Y49" i="1"/>
  <c r="Y51" i="1"/>
  <c r="Y53" i="1"/>
  <c r="Y55" i="1"/>
  <c r="Y57" i="1"/>
  <c r="Y59" i="1"/>
  <c r="Q61" i="1"/>
  <c r="Y63" i="1"/>
  <c r="Y65" i="1"/>
  <c r="Y67" i="1"/>
  <c r="Y69" i="1"/>
  <c r="Y71" i="1"/>
  <c r="Y75" i="1"/>
  <c r="Y77" i="1"/>
  <c r="Y79" i="1"/>
  <c r="Y81" i="1"/>
  <c r="Y83" i="1"/>
  <c r="Y85" i="1"/>
  <c r="Y87" i="1"/>
  <c r="Y89" i="1"/>
  <c r="Y94" i="1"/>
  <c r="Y6" i="1"/>
  <c r="Y8" i="1"/>
  <c r="Y10" i="1"/>
  <c r="Y12" i="1"/>
  <c r="L90" i="1"/>
  <c r="E5" i="1"/>
  <c r="Y14" i="1"/>
  <c r="Y16" i="1"/>
  <c r="Y18" i="1"/>
  <c r="L62" i="1"/>
  <c r="Y72" i="1"/>
  <c r="Y74" i="1"/>
  <c r="Y90" i="1"/>
  <c r="Y91" i="1"/>
  <c r="Y93" i="1"/>
  <c r="T54" i="1" l="1"/>
  <c r="AI54" i="1" s="1"/>
  <c r="T52" i="1"/>
  <c r="AI52" i="1" s="1"/>
  <c r="T50" i="1"/>
  <c r="AI50" i="1" s="1"/>
  <c r="T48" i="1"/>
  <c r="AI48" i="1" s="1"/>
  <c r="T46" i="1"/>
  <c r="AI46" i="1" s="1"/>
  <c r="T44" i="1"/>
  <c r="AI44" i="1" s="1"/>
  <c r="T83" i="1"/>
  <c r="AI83" i="1" s="1"/>
  <c r="T79" i="1"/>
  <c r="AI79" i="1" s="1"/>
  <c r="T72" i="1"/>
  <c r="AI72" i="1" s="1"/>
  <c r="T65" i="1"/>
  <c r="AI65" i="1" s="1"/>
  <c r="T29" i="1"/>
  <c r="AI29" i="1" s="1"/>
  <c r="T43" i="1"/>
  <c r="AI43" i="1" s="1"/>
  <c r="T82" i="1"/>
  <c r="AI82" i="1" s="1"/>
  <c r="T80" i="1"/>
  <c r="AI80" i="1" s="1"/>
  <c r="T76" i="1"/>
  <c r="AI76" i="1" s="1"/>
  <c r="T40" i="1"/>
  <c r="AI40" i="1" s="1"/>
  <c r="T11" i="1"/>
  <c r="AI11" i="1" s="1"/>
  <c r="T47" i="1"/>
  <c r="AI47" i="1" s="1"/>
  <c r="T35" i="1"/>
  <c r="AI35" i="1" s="1"/>
  <c r="X82" i="1"/>
  <c r="X80" i="1"/>
  <c r="X78" i="1"/>
  <c r="X76" i="1"/>
  <c r="X40" i="1"/>
  <c r="X26" i="1"/>
  <c r="X11" i="1"/>
  <c r="X9" i="1"/>
  <c r="X87" i="1"/>
  <c r="X81" i="1"/>
  <c r="X75" i="1"/>
  <c r="X67" i="1"/>
  <c r="X57" i="1"/>
  <c r="X41" i="1"/>
  <c r="X25" i="1"/>
  <c r="X13" i="1"/>
  <c r="X10" i="1"/>
  <c r="X47" i="1"/>
  <c r="X35" i="1"/>
  <c r="X27" i="1"/>
  <c r="X19" i="1"/>
  <c r="X62" i="1"/>
  <c r="X66" i="1"/>
  <c r="X60" i="1"/>
  <c r="X58" i="1"/>
  <c r="X56" i="1"/>
  <c r="X54" i="1"/>
  <c r="X52" i="1"/>
  <c r="X50" i="1"/>
  <c r="X48" i="1"/>
  <c r="X46" i="1"/>
  <c r="X44" i="1"/>
  <c r="X36" i="1"/>
  <c r="X30" i="1"/>
  <c r="X22" i="1"/>
  <c r="X12" i="1"/>
  <c r="X83" i="1"/>
  <c r="X79" i="1"/>
  <c r="X72" i="1"/>
  <c r="X65" i="1"/>
  <c r="X49" i="1"/>
  <c r="X29" i="1"/>
  <c r="X21" i="1"/>
  <c r="X43" i="1"/>
  <c r="X31" i="1"/>
  <c r="X23" i="1"/>
  <c r="Q5" i="1"/>
  <c r="R61" i="1"/>
  <c r="S61" i="1" s="1"/>
  <c r="U61" i="1" s="1"/>
  <c r="AJ61" i="1" s="1"/>
  <c r="AJ5" i="1" s="1"/>
  <c r="Y61" i="1"/>
  <c r="L5" i="1"/>
  <c r="U5" i="1" l="1"/>
  <c r="T9" i="1"/>
  <c r="AI9" i="1" s="1"/>
  <c r="X61" i="1"/>
  <c r="S5" i="1"/>
  <c r="R5" i="1"/>
  <c r="T61" i="1" l="1"/>
  <c r="T5" i="1" l="1"/>
  <c r="AI61" i="1"/>
  <c r="AI5" i="1" s="1"/>
</calcChain>
</file>

<file path=xl/sharedStrings.xml><?xml version="1.0" encoding="utf-8"?>
<sst xmlns="http://schemas.openxmlformats.org/spreadsheetml/2006/main" count="403" uniqueCount="165">
  <si>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</si>
  <si>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</si>
  <si>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</si>
  <si>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</si>
  <si>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</si>
  <si>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</si>
  <si>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</si>
  <si>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</si>
  <si>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</si>
  <si>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</si>
  <si>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</si>
  <si>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</si>
  <si>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</si>
  <si>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</si>
  <si>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</si>
  <si>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</si>
  <si>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</si>
  <si>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</si>
  <si>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</si>
  <si>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</si>
  <si>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</si>
  <si>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</si>
  <si>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</si>
  <si>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</si>
  <si>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25,01,</t>
  </si>
  <si>
    <t>26,01,</t>
  </si>
  <si>
    <t>27,01,</t>
  </si>
  <si>
    <t>20,01,</t>
  </si>
  <si>
    <t>13,01,</t>
  </si>
  <si>
    <t>29,12,</t>
  </si>
  <si>
    <t>22,12,</t>
  </si>
  <si>
    <t>15,12,</t>
  </si>
  <si>
    <t>09,12,</t>
  </si>
  <si>
    <t>02,12,</t>
  </si>
  <si>
    <t>25,11,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</si>
  <si>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</si>
  <si>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</si>
  <si>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</si>
  <si>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</si>
  <si>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</si>
  <si>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</si>
  <si>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нужно увеличить продажи!!!</t>
  </si>
  <si>
    <t>3986 Ароматная с/к в/у 1/250 ОСТАНКИНО</t>
  </si>
  <si>
    <t>ВНИМАНИЕ / в матрице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</si>
  <si>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</si>
  <si>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</si>
  <si>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</si>
  <si>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</si>
  <si>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</si>
  <si>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</si>
  <si>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</si>
  <si>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</si>
  <si>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</si>
  <si>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</si>
  <si>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Обжора / Паллет / 19,01,26 завод не отгрузил 250шт.</t>
  </si>
  <si>
    <t>5544 Сервелат Финский в/к в/у_45с НОВАЯ ОСТАНКИНО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</si>
  <si>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</si>
  <si>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</si>
  <si>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</si>
  <si>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</si>
  <si>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</si>
  <si>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</si>
  <si>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</si>
  <si>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</si>
  <si>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</si>
  <si>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19,12,25 списание 16шт. (сроки)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</si>
  <si>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</si>
  <si>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</si>
  <si>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</si>
  <si>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</si>
  <si>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</si>
  <si>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19,01,26 завод не отгрузил 100 шт.</t>
  </si>
  <si>
    <t>6279 КОРЕЙКА ПО-ОСТ.к/в в/с с/н в/у 1/150_45с  Останкино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</si>
  <si>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</si>
  <si>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</si>
  <si>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</si>
  <si>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</si>
  <si>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</si>
  <si>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</si>
  <si>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</si>
  <si>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</si>
  <si>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</si>
  <si>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</si>
  <si>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</si>
  <si>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</si>
  <si>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</si>
  <si>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</si>
  <si>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</si>
  <si>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</si>
  <si>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</si>
  <si>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</si>
  <si>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</si>
  <si>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</si>
  <si>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</si>
  <si>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</si>
  <si>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</si>
  <si>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</si>
  <si>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</si>
  <si>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</si>
  <si>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</si>
  <si>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</si>
  <si>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</si>
  <si>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</si>
  <si>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</si>
  <si>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</si>
  <si>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нужно увеличить продажи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</si>
  <si>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</si>
  <si>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</si>
  <si>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</si>
  <si>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</si>
  <si>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</si>
  <si>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</si>
  <si>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</si>
  <si>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</si>
  <si>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</si>
  <si>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</si>
  <si>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</si>
  <si>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</si>
  <si>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</si>
  <si>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</si>
  <si>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</si>
  <si>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</si>
  <si>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не в матрице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</si>
  <si>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</si>
  <si>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</si>
  <si>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</si>
  <si>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</si>
  <si>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</si>
  <si>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</si>
  <si>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</si>
  <si>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</si>
  <si>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</si>
  <si>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</si>
  <si>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</si>
  <si>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</si>
  <si>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</si>
  <si>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</si>
  <si>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</si>
  <si>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</si>
  <si>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</si>
  <si>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</si>
  <si>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5682</t>
  </si>
  <si>
    <t>7288 БАЛЫК с/к с/н в/у 1/100 10шт ОСТАНКИНО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</si>
  <si>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</si>
  <si>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</si>
  <si>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</si>
  <si>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ПЕППЕРОНИ с/к с/н мгс 1*8_HRC (7414)</t>
  </si>
  <si>
    <t>новинка / не расценена</t>
  </si>
  <si>
    <t>С ИНДЕЙКОЙ Папа может вар п/о 0,4кг 8шт.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</si>
  <si>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Обжора / Паллет</t>
    </r>
  </si>
  <si>
    <r>
      <t>нужно увеличить продажи!!!</t>
    </r>
    <r>
      <rPr>
        <sz val="10"/>
        <rFont val="Arial"/>
        <family val="2"/>
        <charset val="204"/>
      </rPr>
      <t xml:space="preserve"> / Обжора</t>
    </r>
  </si>
  <si>
    <t>нужно увеличить продажи / 31,07,25 в уценку 25кг / 22,04,25 в уценку 25кг</t>
  </si>
  <si>
    <t>14,06,25 в уценку 55кг</t>
  </si>
  <si>
    <t>не заказывали</t>
  </si>
  <si>
    <t>под сеть Намесник</t>
  </si>
  <si>
    <t>есть спрос розница</t>
  </si>
  <si>
    <t>под сеть ЮгТех</t>
  </si>
  <si>
    <t>под сеть Аверс</t>
  </si>
  <si>
    <t>есть потребность сети</t>
  </si>
  <si>
    <t>есть потребность опт</t>
  </si>
  <si>
    <t>есть потребность розница</t>
  </si>
  <si>
    <t>итого</t>
  </si>
  <si>
    <t>заказ</t>
  </si>
  <si>
    <t>01,02,</t>
  </si>
  <si>
    <t>02,02,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</si>
</sst>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5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8" borderId="1" xfId="1" applyNumberFormat="1" applyFont="1" applyFill="1"/>
    <xf numFmtId="164" fontId="6" fillId="9" borderId="1" xfId="1" applyNumberFormat="1" applyFont="1" applyFill="1"/>
    <xf numFmtId="164" fontId="4" fillId="0" borderId="1" xfId="1" applyNumberFormat="1" applyFont="1"/>
    <xf numFmtId="164" fontId="4" fillId="9" borderId="1" xfId="1" applyNumberFormat="1" applyFont="1" applyFill="1"/>
    <xf numFmtId="0" fontId="0" fillId="0" borderId="1" xfId="0" applyBorder="1"/>
    <xf numFmtId="164" fontId="1" fillId="9" borderId="1" xfId="1" applyNumberFormat="1" applyFill="1"/>
    <xf numFmtId="10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5" sqref="W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1" width="7" style="25" customWidth="1"/>
    <col min="22" max="22" width="7" customWidth="1"/>
    <col min="23" max="23" width="21" customWidth="1"/>
    <col min="24" max="25" width="5" customWidth="1"/>
    <col min="26" max="33" width="6" customWidth="1"/>
    <col min="34" max="34" width="29.28515625" customWidth="1"/>
    <col min="35" max="36" width="7" customWidth="1"/>
    <col min="37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7">
        <v>0.57999999999999996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161</v>
      </c>
      <c r="T3" s="3" t="s">
        <v>162</v>
      </c>
      <c r="U3" s="3" t="s">
        <v>162</v>
      </c>
      <c r="V3" s="7" t="s">
        <v>17</v>
      </c>
      <c r="W3" s="7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163</v>
      </c>
      <c r="U4" s="1" t="s">
        <v>164</v>
      </c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 t="s">
        <v>163</v>
      </c>
      <c r="AJ4" s="1" t="s">
        <v>164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SUM(E6:E496)</f>
        <v>17619.913</v>
      </c>
      <c r="F5" s="4">
        <f>SUM(F6:F496)</f>
        <v>10990.066000000001</v>
      </c>
      <c r="G5" s="8"/>
      <c r="H5" s="1"/>
      <c r="I5" s="1"/>
      <c r="J5" s="1"/>
      <c r="K5" s="4">
        <f t="shared" ref="K5:V5" si="0">SUM(K6:K496)</f>
        <v>21022.207000000002</v>
      </c>
      <c r="L5" s="4">
        <f t="shared" si="0"/>
        <v>-3402.2939999999999</v>
      </c>
      <c r="M5" s="4">
        <f t="shared" si="0"/>
        <v>0</v>
      </c>
      <c r="N5" s="4">
        <f t="shared" si="0"/>
        <v>0</v>
      </c>
      <c r="O5" s="4">
        <f t="shared" si="0"/>
        <v>7015</v>
      </c>
      <c r="P5" s="4">
        <f t="shared" si="0"/>
        <v>9009</v>
      </c>
      <c r="Q5" s="4">
        <f t="shared" si="0"/>
        <v>3523.9825999999985</v>
      </c>
      <c r="R5" s="4">
        <f t="shared" si="0"/>
        <v>21237.5124</v>
      </c>
      <c r="S5" s="4">
        <f t="shared" si="0"/>
        <v>22486</v>
      </c>
      <c r="T5" s="4">
        <f t="shared" si="0"/>
        <v>10810</v>
      </c>
      <c r="U5" s="4">
        <f t="shared" ref="U5" si="1">SUM(U6:U496)</f>
        <v>11676</v>
      </c>
      <c r="V5" s="4">
        <f t="shared" si="0"/>
        <v>6695</v>
      </c>
      <c r="W5" s="1"/>
      <c r="X5" s="1"/>
      <c r="Y5" s="1"/>
      <c r="Z5" s="4">
        <f t="shared" ref="Z5:AG5" si="2">SUM(Z6:Z496)</f>
        <v>3135.8738000000008</v>
      </c>
      <c r="AA5" s="4">
        <f t="shared" si="2"/>
        <v>3131.4447999999993</v>
      </c>
      <c r="AB5" s="4">
        <f t="shared" si="2"/>
        <v>3595.029</v>
      </c>
      <c r="AC5" s="4">
        <f t="shared" si="2"/>
        <v>3314.7034000000003</v>
      </c>
      <c r="AD5" s="4">
        <f t="shared" si="2"/>
        <v>3332.9950000000003</v>
      </c>
      <c r="AE5" s="4">
        <f t="shared" si="2"/>
        <v>2957.5501999999988</v>
      </c>
      <c r="AF5" s="4">
        <f t="shared" si="2"/>
        <v>3270.293200000001</v>
      </c>
      <c r="AG5" s="4">
        <f t="shared" si="2"/>
        <v>3001.1115999999997</v>
      </c>
      <c r="AH5" s="1"/>
      <c r="AI5" s="4">
        <f>SUM(AI6:AI496)</f>
        <v>5278.8799999999992</v>
      </c>
      <c r="AJ5" s="4">
        <f>SUM(AJ6:AJ496)</f>
        <v>5800.92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3</v>
      </c>
      <c r="D6" s="1">
        <v>562</v>
      </c>
      <c r="E6" s="1">
        <v>384</v>
      </c>
      <c r="F6" s="1">
        <v>145</v>
      </c>
      <c r="G6" s="8">
        <v>0.4</v>
      </c>
      <c r="H6" s="1">
        <v>60</v>
      </c>
      <c r="I6" s="1" t="s">
        <v>37</v>
      </c>
      <c r="J6" s="1"/>
      <c r="K6" s="1">
        <v>438</v>
      </c>
      <c r="L6" s="1">
        <f t="shared" ref="L6:L37" si="3">E6-K6</f>
        <v>-54</v>
      </c>
      <c r="M6" s="1"/>
      <c r="N6" s="1"/>
      <c r="O6" s="1">
        <v>100</v>
      </c>
      <c r="P6" s="1"/>
      <c r="Q6" s="1">
        <f t="shared" ref="Q6:Q37" si="4">E6/5</f>
        <v>76.8</v>
      </c>
      <c r="R6" s="5">
        <f>12*Q6-P6-O6-F6</f>
        <v>676.59999999999991</v>
      </c>
      <c r="S6" s="5">
        <f>ROUND(R6,0)</f>
        <v>677</v>
      </c>
      <c r="T6" s="5">
        <f>ROUND(S6-U6,0)</f>
        <v>284</v>
      </c>
      <c r="U6" s="5">
        <f>ROUND($U$1*S6,0)</f>
        <v>393</v>
      </c>
      <c r="V6" s="5"/>
      <c r="W6" s="1"/>
      <c r="X6" s="1">
        <f>(F6+O6+P6+S6)/Q6</f>
        <v>12.005208333333334</v>
      </c>
      <c r="Y6" s="1">
        <f t="shared" ref="Y6:Y37" si="5">(F6+O6+P6)/Q6</f>
        <v>3.190104166666667</v>
      </c>
      <c r="Z6" s="1">
        <v>28.6</v>
      </c>
      <c r="AA6" s="1">
        <v>61.8</v>
      </c>
      <c r="AB6" s="1">
        <v>34</v>
      </c>
      <c r="AC6" s="1">
        <v>52.8</v>
      </c>
      <c r="AD6" s="1">
        <v>32</v>
      </c>
      <c r="AE6" s="1">
        <v>29.4</v>
      </c>
      <c r="AF6" s="1">
        <v>33.799999999999997</v>
      </c>
      <c r="AG6" s="1">
        <v>50.4</v>
      </c>
      <c r="AH6" s="1" t="s">
        <v>38</v>
      </c>
      <c r="AI6" s="1">
        <f>G6*T6</f>
        <v>113.60000000000001</v>
      </c>
      <c r="AJ6" s="1">
        <f>G6*U6</f>
        <v>157.20000000000002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39</v>
      </c>
      <c r="B7" s="1" t="s">
        <v>40</v>
      </c>
      <c r="C7" s="1">
        <v>125.413</v>
      </c>
      <c r="D7" s="1"/>
      <c r="E7" s="1">
        <v>11.641</v>
      </c>
      <c r="F7" s="1">
        <v>113.77200000000001</v>
      </c>
      <c r="G7" s="8">
        <v>1</v>
      </c>
      <c r="H7" s="1">
        <v>120</v>
      </c>
      <c r="I7" s="1" t="s">
        <v>37</v>
      </c>
      <c r="J7" s="1"/>
      <c r="K7" s="1">
        <v>12.3</v>
      </c>
      <c r="L7" s="1">
        <f t="shared" si="3"/>
        <v>-0.6590000000000007</v>
      </c>
      <c r="M7" s="1"/>
      <c r="N7" s="1"/>
      <c r="O7" s="1">
        <v>0</v>
      </c>
      <c r="P7" s="1"/>
      <c r="Q7" s="1">
        <f t="shared" si="4"/>
        <v>2.3281999999999998</v>
      </c>
      <c r="R7" s="5"/>
      <c r="S7" s="5">
        <f t="shared" ref="S7:S55" si="6">R7</f>
        <v>0</v>
      </c>
      <c r="T7" s="5">
        <f t="shared" ref="T7:T70" si="7">ROUND(S7-U7,0)</f>
        <v>0</v>
      </c>
      <c r="U7" s="5"/>
      <c r="V7" s="5"/>
      <c r="W7" s="1"/>
      <c r="X7" s="1">
        <f t="shared" ref="X7:X70" si="8">(F7+O7+P7+S7)/Q7</f>
        <v>48.866935830255137</v>
      </c>
      <c r="Y7" s="1">
        <f t="shared" si="5"/>
        <v>48.866935830255137</v>
      </c>
      <c r="Z7" s="1">
        <v>1.2114</v>
      </c>
      <c r="AA7" s="1">
        <v>1.5982000000000001</v>
      </c>
      <c r="AB7" s="1">
        <v>4.0932000000000004</v>
      </c>
      <c r="AC7" s="1">
        <v>2.7690000000000001</v>
      </c>
      <c r="AD7" s="1">
        <v>2.3919999999999999</v>
      </c>
      <c r="AE7" s="1">
        <v>1.6881999999999999</v>
      </c>
      <c r="AF7" s="1">
        <v>0.79759999999999998</v>
      </c>
      <c r="AG7" s="1">
        <v>1.5882000000000001</v>
      </c>
      <c r="AH7" s="22" t="s">
        <v>41</v>
      </c>
      <c r="AI7" s="1">
        <f t="shared" ref="AI7:AJ70" si="9">G7*T7</f>
        <v>0</v>
      </c>
      <c r="AJ7" s="1">
        <f t="shared" ref="AJ7:AJ70" si="10">G7*U7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42</v>
      </c>
      <c r="B8" s="1" t="s">
        <v>36</v>
      </c>
      <c r="C8" s="1">
        <v>55</v>
      </c>
      <c r="D8" s="1">
        <v>202</v>
      </c>
      <c r="E8" s="1">
        <v>75</v>
      </c>
      <c r="F8" s="1">
        <v>164</v>
      </c>
      <c r="G8" s="8">
        <v>0.25</v>
      </c>
      <c r="H8" s="1">
        <v>120</v>
      </c>
      <c r="I8" s="11" t="s">
        <v>43</v>
      </c>
      <c r="J8" s="1"/>
      <c r="K8" s="1">
        <v>262</v>
      </c>
      <c r="L8" s="1">
        <f t="shared" si="3"/>
        <v>-187</v>
      </c>
      <c r="M8" s="1"/>
      <c r="N8" s="1"/>
      <c r="O8" s="1">
        <v>230</v>
      </c>
      <c r="P8" s="1"/>
      <c r="Q8" s="1">
        <f t="shared" si="4"/>
        <v>15</v>
      </c>
      <c r="R8" s="5"/>
      <c r="S8" s="5">
        <f t="shared" si="6"/>
        <v>0</v>
      </c>
      <c r="T8" s="5">
        <f t="shared" si="7"/>
        <v>0</v>
      </c>
      <c r="U8" s="5"/>
      <c r="V8" s="5"/>
      <c r="W8" s="1"/>
      <c r="X8" s="1">
        <f t="shared" si="8"/>
        <v>26.266666666666666</v>
      </c>
      <c r="Y8" s="1">
        <f t="shared" si="5"/>
        <v>26.266666666666666</v>
      </c>
      <c r="Z8" s="1">
        <v>42.4</v>
      </c>
      <c r="AA8" s="1">
        <v>37.200000000000003</v>
      </c>
      <c r="AB8" s="1">
        <v>46.4</v>
      </c>
      <c r="AC8" s="1">
        <v>16.600000000000001</v>
      </c>
      <c r="AD8" s="1">
        <v>10.8</v>
      </c>
      <c r="AE8" s="1">
        <v>12.6</v>
      </c>
      <c r="AF8" s="1">
        <v>18</v>
      </c>
      <c r="AG8" s="1">
        <v>11</v>
      </c>
      <c r="AH8" s="1" t="s">
        <v>44</v>
      </c>
      <c r="AI8" s="1">
        <f t="shared" si="9"/>
        <v>0</v>
      </c>
      <c r="AJ8" s="1">
        <f t="shared" si="10"/>
        <v>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45</v>
      </c>
      <c r="B9" s="1" t="s">
        <v>40</v>
      </c>
      <c r="C9" s="1">
        <v>920.28700000000003</v>
      </c>
      <c r="D9" s="1">
        <v>1135.171</v>
      </c>
      <c r="E9" s="1">
        <v>1228.325</v>
      </c>
      <c r="F9" s="1">
        <v>818.81600000000003</v>
      </c>
      <c r="G9" s="8">
        <v>1</v>
      </c>
      <c r="H9" s="1">
        <v>60</v>
      </c>
      <c r="I9" s="1" t="s">
        <v>37</v>
      </c>
      <c r="J9" s="1"/>
      <c r="K9" s="1">
        <v>1259.5999999999999</v>
      </c>
      <c r="L9" s="1">
        <f t="shared" si="3"/>
        <v>-31.274999999999864</v>
      </c>
      <c r="M9" s="1"/>
      <c r="N9" s="1"/>
      <c r="O9" s="1">
        <v>356</v>
      </c>
      <c r="P9" s="1">
        <v>779</v>
      </c>
      <c r="Q9" s="1">
        <f t="shared" si="4"/>
        <v>245.66500000000002</v>
      </c>
      <c r="R9" s="5">
        <f t="shared" ref="R9:R13" si="11">14*Q9-P9-O9-F9</f>
        <v>1485.4940000000004</v>
      </c>
      <c r="S9" s="5">
        <f>ROUND(R9,0)</f>
        <v>1485</v>
      </c>
      <c r="T9" s="5">
        <f t="shared" si="7"/>
        <v>624</v>
      </c>
      <c r="U9" s="5">
        <f>ROUND($U$1*S9,0)</f>
        <v>861</v>
      </c>
      <c r="V9" s="5"/>
      <c r="W9" s="1"/>
      <c r="X9" s="1">
        <f t="shared" si="8"/>
        <v>13.997989131540917</v>
      </c>
      <c r="Y9" s="1">
        <f t="shared" si="5"/>
        <v>7.9531720025237611</v>
      </c>
      <c r="Z9" s="1">
        <v>225.69759999999999</v>
      </c>
      <c r="AA9" s="1">
        <v>226.15020000000001</v>
      </c>
      <c r="AB9" s="1">
        <v>324.24079999999998</v>
      </c>
      <c r="AC9" s="1">
        <v>250.08840000000001</v>
      </c>
      <c r="AD9" s="1">
        <v>256.45600000000002</v>
      </c>
      <c r="AE9" s="1">
        <v>204.68299999999999</v>
      </c>
      <c r="AF9" s="1">
        <v>236.45500000000001</v>
      </c>
      <c r="AG9" s="1">
        <v>237.2988</v>
      </c>
      <c r="AH9" s="1"/>
      <c r="AI9" s="1">
        <f t="shared" si="9"/>
        <v>624</v>
      </c>
      <c r="AJ9" s="1">
        <f t="shared" si="10"/>
        <v>861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46</v>
      </c>
      <c r="B10" s="1" t="s">
        <v>40</v>
      </c>
      <c r="C10" s="1">
        <v>115.82</v>
      </c>
      <c r="D10" s="1">
        <v>3.9420000000000002</v>
      </c>
      <c r="E10" s="1">
        <v>30.04</v>
      </c>
      <c r="F10" s="1">
        <v>73.512</v>
      </c>
      <c r="G10" s="8">
        <v>1</v>
      </c>
      <c r="H10" s="1">
        <v>120</v>
      </c>
      <c r="I10" s="1" t="s">
        <v>37</v>
      </c>
      <c r="J10" s="1"/>
      <c r="K10" s="1">
        <v>30.9</v>
      </c>
      <c r="L10" s="1">
        <f t="shared" si="3"/>
        <v>-0.85999999999999943</v>
      </c>
      <c r="M10" s="1"/>
      <c r="N10" s="1"/>
      <c r="O10" s="1">
        <v>0</v>
      </c>
      <c r="P10" s="1"/>
      <c r="Q10" s="1">
        <f t="shared" si="4"/>
        <v>6.008</v>
      </c>
      <c r="R10" s="5">
        <f t="shared" si="11"/>
        <v>10.599999999999994</v>
      </c>
      <c r="S10" s="5">
        <f>V10</f>
        <v>30</v>
      </c>
      <c r="T10" s="5">
        <f t="shared" si="7"/>
        <v>30</v>
      </c>
      <c r="U10" s="5"/>
      <c r="V10" s="5">
        <v>30</v>
      </c>
      <c r="W10" s="1" t="s">
        <v>154</v>
      </c>
      <c r="X10" s="1">
        <f t="shared" si="8"/>
        <v>17.22902796271638</v>
      </c>
      <c r="Y10" s="1">
        <f t="shared" si="5"/>
        <v>12.235685752330227</v>
      </c>
      <c r="Z10" s="1">
        <v>0.6764</v>
      </c>
      <c r="AA10" s="1">
        <v>4.8956</v>
      </c>
      <c r="AB10" s="1">
        <v>10.2624</v>
      </c>
      <c r="AC10" s="1">
        <v>7.0780000000000003</v>
      </c>
      <c r="AD10" s="1">
        <v>4.1928000000000001</v>
      </c>
      <c r="AE10" s="1">
        <v>3.2888000000000002</v>
      </c>
      <c r="AF10" s="1">
        <v>3.1044</v>
      </c>
      <c r="AG10" s="1">
        <v>4.9127999999999998</v>
      </c>
      <c r="AH10" s="1"/>
      <c r="AI10" s="1">
        <f t="shared" si="9"/>
        <v>30</v>
      </c>
      <c r="AJ10" s="1">
        <f t="shared" si="10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47</v>
      </c>
      <c r="B11" s="1" t="s">
        <v>40</v>
      </c>
      <c r="C11" s="1">
        <v>155.33699999999999</v>
      </c>
      <c r="D11" s="1">
        <v>202.52</v>
      </c>
      <c r="E11" s="1">
        <v>131.042</v>
      </c>
      <c r="F11" s="1">
        <v>211.96</v>
      </c>
      <c r="G11" s="8">
        <v>1</v>
      </c>
      <c r="H11" s="1">
        <v>60</v>
      </c>
      <c r="I11" s="1" t="s">
        <v>37</v>
      </c>
      <c r="J11" s="1"/>
      <c r="K11" s="1">
        <v>124.8</v>
      </c>
      <c r="L11" s="1">
        <f t="shared" si="3"/>
        <v>6.2420000000000044</v>
      </c>
      <c r="M11" s="1"/>
      <c r="N11" s="1"/>
      <c r="O11" s="1">
        <v>26</v>
      </c>
      <c r="P11" s="1"/>
      <c r="Q11" s="1">
        <f t="shared" si="4"/>
        <v>26.208400000000001</v>
      </c>
      <c r="R11" s="5">
        <f t="shared" si="11"/>
        <v>128.95759999999999</v>
      </c>
      <c r="S11" s="5">
        <f>ROUND(R11,0)</f>
        <v>129</v>
      </c>
      <c r="T11" s="5">
        <f t="shared" si="7"/>
        <v>54</v>
      </c>
      <c r="U11" s="5">
        <f t="shared" ref="U11:U12" si="12">ROUND($U$1*S11,0)</f>
        <v>75</v>
      </c>
      <c r="V11" s="5"/>
      <c r="W11" s="1"/>
      <c r="X11" s="1">
        <f t="shared" si="8"/>
        <v>14.0016178019261</v>
      </c>
      <c r="Y11" s="1">
        <f t="shared" si="5"/>
        <v>9.0795317531783706</v>
      </c>
      <c r="Z11" s="1">
        <v>26.578600000000002</v>
      </c>
      <c r="AA11" s="1">
        <v>33.107799999999997</v>
      </c>
      <c r="AB11" s="1">
        <v>32.992199999999997</v>
      </c>
      <c r="AC11" s="1">
        <v>31.132400000000001</v>
      </c>
      <c r="AD11" s="1">
        <v>22.1144</v>
      </c>
      <c r="AE11" s="1">
        <v>22.3018</v>
      </c>
      <c r="AF11" s="1">
        <v>24.255800000000001</v>
      </c>
      <c r="AG11" s="1">
        <v>20.643799999999999</v>
      </c>
      <c r="AH11" s="1"/>
      <c r="AI11" s="1">
        <f t="shared" si="9"/>
        <v>54</v>
      </c>
      <c r="AJ11" s="1">
        <f t="shared" si="10"/>
        <v>75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48</v>
      </c>
      <c r="B12" s="1" t="s">
        <v>40</v>
      </c>
      <c r="C12" s="1">
        <v>609.25300000000004</v>
      </c>
      <c r="D12" s="1">
        <v>551.39700000000005</v>
      </c>
      <c r="E12" s="1">
        <v>510.63799999999998</v>
      </c>
      <c r="F12" s="1">
        <v>634.08199999999999</v>
      </c>
      <c r="G12" s="8">
        <v>1</v>
      </c>
      <c r="H12" s="1">
        <v>60</v>
      </c>
      <c r="I12" s="1" t="s">
        <v>37</v>
      </c>
      <c r="J12" s="1"/>
      <c r="K12" s="1">
        <v>534.79999999999995</v>
      </c>
      <c r="L12" s="1">
        <f t="shared" si="3"/>
        <v>-24.161999999999978</v>
      </c>
      <c r="M12" s="1"/>
      <c r="N12" s="1"/>
      <c r="O12" s="1">
        <v>117</v>
      </c>
      <c r="P12" s="1">
        <v>257</v>
      </c>
      <c r="Q12" s="1">
        <f t="shared" si="4"/>
        <v>102.1276</v>
      </c>
      <c r="R12" s="5">
        <f t="shared" si="11"/>
        <v>421.70439999999996</v>
      </c>
      <c r="S12" s="5">
        <f t="shared" ref="S12:S16" si="13">V12</f>
        <v>480</v>
      </c>
      <c r="T12" s="5">
        <f t="shared" si="7"/>
        <v>202</v>
      </c>
      <c r="U12" s="5">
        <f t="shared" si="12"/>
        <v>278</v>
      </c>
      <c r="V12" s="5">
        <v>480</v>
      </c>
      <c r="W12" s="1" t="s">
        <v>155</v>
      </c>
      <c r="X12" s="1">
        <f t="shared" si="8"/>
        <v>14.570811416306658</v>
      </c>
      <c r="Y12" s="1">
        <f t="shared" si="5"/>
        <v>9.8708086746383934</v>
      </c>
      <c r="Z12" s="1">
        <v>107.2794</v>
      </c>
      <c r="AA12" s="1">
        <v>120.3944</v>
      </c>
      <c r="AB12" s="1">
        <v>148.3912</v>
      </c>
      <c r="AC12" s="1">
        <v>125.605</v>
      </c>
      <c r="AD12" s="1">
        <v>107.8034</v>
      </c>
      <c r="AE12" s="1">
        <v>103.0946</v>
      </c>
      <c r="AF12" s="1">
        <v>96.394800000000004</v>
      </c>
      <c r="AG12" s="1">
        <v>111.06619999999999</v>
      </c>
      <c r="AH12" s="1"/>
      <c r="AI12" s="1">
        <f t="shared" si="9"/>
        <v>202</v>
      </c>
      <c r="AJ12" s="1">
        <f t="shared" si="10"/>
        <v>278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49</v>
      </c>
      <c r="B13" s="1" t="s">
        <v>36</v>
      </c>
      <c r="C13" s="1">
        <v>257</v>
      </c>
      <c r="D13" s="1">
        <v>69</v>
      </c>
      <c r="E13" s="1">
        <v>92</v>
      </c>
      <c r="F13" s="1">
        <v>211</v>
      </c>
      <c r="G13" s="8">
        <v>0.25</v>
      </c>
      <c r="H13" s="1">
        <v>120</v>
      </c>
      <c r="I13" s="11" t="s">
        <v>43</v>
      </c>
      <c r="J13" s="1"/>
      <c r="K13" s="1">
        <v>168</v>
      </c>
      <c r="L13" s="1">
        <f t="shared" si="3"/>
        <v>-76</v>
      </c>
      <c r="M13" s="1"/>
      <c r="N13" s="1"/>
      <c r="O13" s="1">
        <v>0</v>
      </c>
      <c r="P13" s="1"/>
      <c r="Q13" s="1">
        <f t="shared" si="4"/>
        <v>18.399999999999999</v>
      </c>
      <c r="R13" s="5">
        <f t="shared" si="11"/>
        <v>46.599999999999966</v>
      </c>
      <c r="S13" s="5">
        <f t="shared" si="13"/>
        <v>70</v>
      </c>
      <c r="T13" s="5">
        <f t="shared" si="7"/>
        <v>70</v>
      </c>
      <c r="U13" s="5"/>
      <c r="V13" s="5">
        <v>70</v>
      </c>
      <c r="W13" s="1" t="s">
        <v>155</v>
      </c>
      <c r="X13" s="1">
        <f t="shared" si="8"/>
        <v>15.271739130434783</v>
      </c>
      <c r="Y13" s="1">
        <f t="shared" si="5"/>
        <v>11.467391304347826</v>
      </c>
      <c r="Z13" s="1">
        <v>19.2</v>
      </c>
      <c r="AA13" s="1">
        <v>28.8</v>
      </c>
      <c r="AB13" s="1">
        <v>44.8</v>
      </c>
      <c r="AC13" s="1">
        <v>29.8</v>
      </c>
      <c r="AD13" s="1">
        <v>70.2</v>
      </c>
      <c r="AE13" s="1">
        <v>46.4</v>
      </c>
      <c r="AF13" s="1">
        <v>19.600000000000001</v>
      </c>
      <c r="AG13" s="1">
        <v>25.2</v>
      </c>
      <c r="AH13" s="1" t="s">
        <v>50</v>
      </c>
      <c r="AI13" s="1">
        <f t="shared" si="9"/>
        <v>17.5</v>
      </c>
      <c r="AJ13" s="1">
        <f t="shared" si="10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51</v>
      </c>
      <c r="B14" s="1" t="s">
        <v>40</v>
      </c>
      <c r="C14" s="1">
        <v>52.718000000000004</v>
      </c>
      <c r="D14" s="1">
        <v>4.0650000000000004</v>
      </c>
      <c r="E14" s="1">
        <v>46.561999999999998</v>
      </c>
      <c r="F14" s="1">
        <v>6.7930000000000001</v>
      </c>
      <c r="G14" s="8">
        <v>1</v>
      </c>
      <c r="H14" s="1">
        <v>60</v>
      </c>
      <c r="I14" s="1" t="s">
        <v>37</v>
      </c>
      <c r="J14" s="1"/>
      <c r="K14" s="1">
        <v>95.2</v>
      </c>
      <c r="L14" s="1">
        <f t="shared" si="3"/>
        <v>-48.638000000000005</v>
      </c>
      <c r="M14" s="1"/>
      <c r="N14" s="1"/>
      <c r="O14" s="1">
        <v>121</v>
      </c>
      <c r="P14" s="1"/>
      <c r="Q14" s="1">
        <f t="shared" si="4"/>
        <v>9.3124000000000002</v>
      </c>
      <c r="R14" s="5">
        <v>4</v>
      </c>
      <c r="S14" s="5">
        <f t="shared" si="13"/>
        <v>60</v>
      </c>
      <c r="T14" s="5">
        <f t="shared" si="7"/>
        <v>60</v>
      </c>
      <c r="U14" s="5"/>
      <c r="V14" s="5">
        <v>60</v>
      </c>
      <c r="W14" s="1" t="s">
        <v>155</v>
      </c>
      <c r="X14" s="1">
        <f t="shared" si="8"/>
        <v>20.165907821828959</v>
      </c>
      <c r="Y14" s="1">
        <f t="shared" si="5"/>
        <v>13.722885614879086</v>
      </c>
      <c r="Z14" s="1">
        <v>13.389200000000001</v>
      </c>
      <c r="AA14" s="1">
        <v>3.6871999999999998</v>
      </c>
      <c r="AB14" s="1">
        <v>17.729800000000001</v>
      </c>
      <c r="AC14" s="1">
        <v>11.610799999999999</v>
      </c>
      <c r="AD14" s="1">
        <v>12.700200000000001</v>
      </c>
      <c r="AE14" s="1">
        <v>10.7972</v>
      </c>
      <c r="AF14" s="1">
        <v>10.301600000000001</v>
      </c>
      <c r="AG14" s="1">
        <v>11.914400000000001</v>
      </c>
      <c r="AH14" s="1"/>
      <c r="AI14" s="1">
        <f t="shared" si="9"/>
        <v>60</v>
      </c>
      <c r="AJ14" s="1">
        <f t="shared" si="10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52</v>
      </c>
      <c r="B15" s="1" t="s">
        <v>36</v>
      </c>
      <c r="C15" s="1">
        <v>149</v>
      </c>
      <c r="D15" s="1">
        <v>266</v>
      </c>
      <c r="E15" s="1">
        <v>85</v>
      </c>
      <c r="F15" s="1">
        <v>323</v>
      </c>
      <c r="G15" s="8">
        <v>0.25</v>
      </c>
      <c r="H15" s="1">
        <v>120</v>
      </c>
      <c r="I15" s="1" t="s">
        <v>37</v>
      </c>
      <c r="J15" s="1"/>
      <c r="K15" s="1">
        <v>89</v>
      </c>
      <c r="L15" s="1">
        <f t="shared" si="3"/>
        <v>-4</v>
      </c>
      <c r="M15" s="1"/>
      <c r="N15" s="1"/>
      <c r="O15" s="1">
        <v>0</v>
      </c>
      <c r="P15" s="1"/>
      <c r="Q15" s="1">
        <f t="shared" si="4"/>
        <v>17</v>
      </c>
      <c r="R15" s="5"/>
      <c r="S15" s="5">
        <f t="shared" si="13"/>
        <v>50</v>
      </c>
      <c r="T15" s="5">
        <f t="shared" si="7"/>
        <v>50</v>
      </c>
      <c r="U15" s="5"/>
      <c r="V15" s="5">
        <v>50</v>
      </c>
      <c r="W15" s="1" t="s">
        <v>155</v>
      </c>
      <c r="X15" s="1">
        <f t="shared" si="8"/>
        <v>21.941176470588236</v>
      </c>
      <c r="Y15" s="1">
        <f t="shared" si="5"/>
        <v>19</v>
      </c>
      <c r="Z15" s="1">
        <v>5.6</v>
      </c>
      <c r="AA15" s="1">
        <v>29.6</v>
      </c>
      <c r="AB15" s="1">
        <v>28.4</v>
      </c>
      <c r="AC15" s="1">
        <v>15.4</v>
      </c>
      <c r="AD15" s="1">
        <v>31.2</v>
      </c>
      <c r="AE15" s="1">
        <v>14.4</v>
      </c>
      <c r="AF15" s="1">
        <v>15.2</v>
      </c>
      <c r="AG15" s="1">
        <v>19.399999999999999</v>
      </c>
      <c r="AH15" s="1" t="s">
        <v>50</v>
      </c>
      <c r="AI15" s="1">
        <f t="shared" si="9"/>
        <v>12.5</v>
      </c>
      <c r="AJ15" s="1">
        <f t="shared" si="10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53</v>
      </c>
      <c r="B16" s="1" t="s">
        <v>36</v>
      </c>
      <c r="C16" s="1"/>
      <c r="D16" s="1">
        <v>254</v>
      </c>
      <c r="E16" s="1">
        <v>244</v>
      </c>
      <c r="F16" s="1">
        <v>-12</v>
      </c>
      <c r="G16" s="8">
        <v>0.4</v>
      </c>
      <c r="H16" s="1">
        <v>60</v>
      </c>
      <c r="I16" s="1" t="s">
        <v>37</v>
      </c>
      <c r="J16" s="1"/>
      <c r="K16" s="1">
        <v>431</v>
      </c>
      <c r="L16" s="1">
        <f t="shared" si="3"/>
        <v>-187</v>
      </c>
      <c r="M16" s="1"/>
      <c r="N16" s="1"/>
      <c r="O16" s="1">
        <v>110</v>
      </c>
      <c r="P16" s="1"/>
      <c r="Q16" s="1">
        <f t="shared" si="4"/>
        <v>48.8</v>
      </c>
      <c r="R16" s="5">
        <f>11*Q16-P16-O16-F16</f>
        <v>438.79999999999995</v>
      </c>
      <c r="S16" s="5">
        <f t="shared" si="13"/>
        <v>490</v>
      </c>
      <c r="T16" s="5">
        <f t="shared" si="7"/>
        <v>206</v>
      </c>
      <c r="U16" s="5">
        <f>ROUND($U$1*S16,0)</f>
        <v>284</v>
      </c>
      <c r="V16" s="5">
        <v>490</v>
      </c>
      <c r="W16" s="1" t="s">
        <v>155</v>
      </c>
      <c r="X16" s="1">
        <f t="shared" si="8"/>
        <v>12.049180327868854</v>
      </c>
      <c r="Y16" s="1">
        <f t="shared" si="5"/>
        <v>2.0081967213114753</v>
      </c>
      <c r="Z16" s="1">
        <v>39.200000000000003</v>
      </c>
      <c r="AA16" s="1">
        <v>53.8</v>
      </c>
      <c r="AB16" s="1">
        <v>61.4</v>
      </c>
      <c r="AC16" s="1">
        <v>58.6</v>
      </c>
      <c r="AD16" s="1">
        <v>45.8</v>
      </c>
      <c r="AE16" s="1">
        <v>42.8</v>
      </c>
      <c r="AF16" s="1">
        <v>38</v>
      </c>
      <c r="AG16" s="1">
        <v>44</v>
      </c>
      <c r="AH16" s="10" t="s">
        <v>54</v>
      </c>
      <c r="AI16" s="1">
        <f t="shared" si="9"/>
        <v>82.4</v>
      </c>
      <c r="AJ16" s="1">
        <f t="shared" si="10"/>
        <v>113.60000000000001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55</v>
      </c>
      <c r="B17" s="1" t="s">
        <v>40</v>
      </c>
      <c r="C17" s="1">
        <v>361.37799999999999</v>
      </c>
      <c r="D17" s="1">
        <v>69.106999999999999</v>
      </c>
      <c r="E17" s="1">
        <v>261.96499999999997</v>
      </c>
      <c r="F17" s="1">
        <v>161.554</v>
      </c>
      <c r="G17" s="8">
        <v>1</v>
      </c>
      <c r="H17" s="1">
        <v>45</v>
      </c>
      <c r="I17" s="1" t="s">
        <v>37</v>
      </c>
      <c r="J17" s="1"/>
      <c r="K17" s="1">
        <v>262</v>
      </c>
      <c r="L17" s="1">
        <f t="shared" si="3"/>
        <v>-3.5000000000025011E-2</v>
      </c>
      <c r="M17" s="1"/>
      <c r="N17" s="1"/>
      <c r="O17" s="1">
        <v>195</v>
      </c>
      <c r="P17" s="1">
        <v>428</v>
      </c>
      <c r="Q17" s="1">
        <f t="shared" si="4"/>
        <v>52.392999999999994</v>
      </c>
      <c r="R17" s="5"/>
      <c r="S17" s="5">
        <f t="shared" si="6"/>
        <v>0</v>
      </c>
      <c r="T17" s="5">
        <f t="shared" si="7"/>
        <v>0</v>
      </c>
      <c r="U17" s="5"/>
      <c r="V17" s="5"/>
      <c r="W17" s="1"/>
      <c r="X17" s="1">
        <f t="shared" si="8"/>
        <v>14.974404977764207</v>
      </c>
      <c r="Y17" s="1">
        <f t="shared" si="5"/>
        <v>14.974404977764207</v>
      </c>
      <c r="Z17" s="1">
        <v>74.741600000000005</v>
      </c>
      <c r="AA17" s="1">
        <v>57.074599999999997</v>
      </c>
      <c r="AB17" s="1">
        <v>85.372600000000006</v>
      </c>
      <c r="AC17" s="1">
        <v>65.17519999999999</v>
      </c>
      <c r="AD17" s="1">
        <v>77.885999999999996</v>
      </c>
      <c r="AE17" s="1">
        <v>59.581600000000002</v>
      </c>
      <c r="AF17" s="1">
        <v>61.841600000000007</v>
      </c>
      <c r="AG17" s="1">
        <v>79.148800000000008</v>
      </c>
      <c r="AH17" s="1"/>
      <c r="AI17" s="1">
        <f t="shared" si="9"/>
        <v>0</v>
      </c>
      <c r="AJ17" s="1">
        <f t="shared" si="10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2" t="s">
        <v>56</v>
      </c>
      <c r="B18" s="12" t="s">
        <v>36</v>
      </c>
      <c r="C18" s="12">
        <v>-6</v>
      </c>
      <c r="D18" s="12"/>
      <c r="E18" s="21">
        <v>-2</v>
      </c>
      <c r="F18" s="21">
        <v>-6</v>
      </c>
      <c r="G18" s="13">
        <v>0</v>
      </c>
      <c r="H18" s="12">
        <v>60</v>
      </c>
      <c r="I18" s="12" t="s">
        <v>57</v>
      </c>
      <c r="J18" s="12" t="s">
        <v>58</v>
      </c>
      <c r="K18" s="12">
        <v>14</v>
      </c>
      <c r="L18" s="12">
        <f t="shared" si="3"/>
        <v>-16</v>
      </c>
      <c r="M18" s="12"/>
      <c r="N18" s="12"/>
      <c r="O18" s="12">
        <v>0</v>
      </c>
      <c r="P18" s="12"/>
      <c r="Q18" s="12">
        <f t="shared" si="4"/>
        <v>-0.4</v>
      </c>
      <c r="R18" s="14"/>
      <c r="S18" s="5">
        <f t="shared" si="6"/>
        <v>0</v>
      </c>
      <c r="T18" s="5">
        <f t="shared" si="7"/>
        <v>0</v>
      </c>
      <c r="U18" s="5"/>
      <c r="V18" s="14"/>
      <c r="W18" s="12"/>
      <c r="X18" s="1">
        <f t="shared" si="8"/>
        <v>15</v>
      </c>
      <c r="Y18" s="12">
        <f t="shared" si="5"/>
        <v>15</v>
      </c>
      <c r="Z18" s="12">
        <v>0.2</v>
      </c>
      <c r="AA18" s="12">
        <v>0.6</v>
      </c>
      <c r="AB18" s="12">
        <v>0</v>
      </c>
      <c r="AC18" s="12">
        <v>3.8</v>
      </c>
      <c r="AD18" s="12">
        <v>1.6</v>
      </c>
      <c r="AE18" s="12">
        <v>4.2</v>
      </c>
      <c r="AF18" s="12">
        <v>17.8</v>
      </c>
      <c r="AG18" s="12">
        <v>38.200000000000003</v>
      </c>
      <c r="AH18" s="12" t="s">
        <v>59</v>
      </c>
      <c r="AI18" s="1">
        <f t="shared" si="9"/>
        <v>0</v>
      </c>
      <c r="AJ18" s="1">
        <f t="shared" si="10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60</v>
      </c>
      <c r="B19" s="1" t="s">
        <v>40</v>
      </c>
      <c r="C19" s="1">
        <v>94.736000000000004</v>
      </c>
      <c r="D19" s="1">
        <v>4.4420000000000002</v>
      </c>
      <c r="E19" s="1">
        <v>34.305999999999997</v>
      </c>
      <c r="F19" s="1">
        <v>47.975999999999999</v>
      </c>
      <c r="G19" s="8">
        <v>1</v>
      </c>
      <c r="H19" s="1">
        <v>120</v>
      </c>
      <c r="I19" s="1" t="s">
        <v>37</v>
      </c>
      <c r="J19" s="1"/>
      <c r="K19" s="1">
        <v>35.6</v>
      </c>
      <c r="L19" s="1">
        <f t="shared" si="3"/>
        <v>-1.294000000000004</v>
      </c>
      <c r="M19" s="1"/>
      <c r="N19" s="1"/>
      <c r="O19" s="1">
        <v>0</v>
      </c>
      <c r="P19" s="1"/>
      <c r="Q19" s="1">
        <f t="shared" si="4"/>
        <v>6.8611999999999993</v>
      </c>
      <c r="R19" s="5">
        <f t="shared" ref="R19:R67" si="14">14*Q19-P19-O19-F19</f>
        <v>48.080799999999996</v>
      </c>
      <c r="S19" s="5">
        <f>V19</f>
        <v>60</v>
      </c>
      <c r="T19" s="5">
        <f t="shared" si="7"/>
        <v>60</v>
      </c>
      <c r="U19" s="5"/>
      <c r="V19" s="5">
        <v>60</v>
      </c>
      <c r="W19" s="1" t="s">
        <v>154</v>
      </c>
      <c r="X19" s="1">
        <f t="shared" si="8"/>
        <v>15.737188829942285</v>
      </c>
      <c r="Y19" s="1">
        <f t="shared" si="5"/>
        <v>6.9923628519792462</v>
      </c>
      <c r="Z19" s="1">
        <v>5.2368000000000006</v>
      </c>
      <c r="AA19" s="1">
        <v>5.2408000000000001</v>
      </c>
      <c r="AB19" s="1">
        <v>11.192600000000001</v>
      </c>
      <c r="AC19" s="1">
        <v>4.5442</v>
      </c>
      <c r="AD19" s="1">
        <v>2.9815999999999998</v>
      </c>
      <c r="AE19" s="1">
        <v>5.9537999999999993</v>
      </c>
      <c r="AF19" s="1">
        <v>4.5787999999999993</v>
      </c>
      <c r="AG19" s="1">
        <v>5.0129999999999999</v>
      </c>
      <c r="AH19" s="1"/>
      <c r="AI19" s="1">
        <f t="shared" si="9"/>
        <v>60</v>
      </c>
      <c r="AJ19" s="1">
        <f t="shared" si="10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61</v>
      </c>
      <c r="B20" s="1" t="s">
        <v>36</v>
      </c>
      <c r="C20" s="1">
        <v>4</v>
      </c>
      <c r="D20" s="1">
        <v>34</v>
      </c>
      <c r="E20" s="1">
        <v>59</v>
      </c>
      <c r="F20" s="1">
        <v>-63</v>
      </c>
      <c r="G20" s="8">
        <v>0.4</v>
      </c>
      <c r="H20" s="1">
        <v>45</v>
      </c>
      <c r="I20" s="1" t="s">
        <v>37</v>
      </c>
      <c r="J20" s="1"/>
      <c r="K20" s="1">
        <v>338</v>
      </c>
      <c r="L20" s="1">
        <f t="shared" si="3"/>
        <v>-279</v>
      </c>
      <c r="M20" s="1"/>
      <c r="N20" s="1"/>
      <c r="O20" s="1">
        <v>107</v>
      </c>
      <c r="P20" s="1">
        <v>234</v>
      </c>
      <c r="Q20" s="1">
        <f t="shared" si="4"/>
        <v>11.8</v>
      </c>
      <c r="R20" s="5"/>
      <c r="S20" s="5">
        <f t="shared" si="6"/>
        <v>0</v>
      </c>
      <c r="T20" s="5">
        <f t="shared" si="7"/>
        <v>0</v>
      </c>
      <c r="U20" s="5"/>
      <c r="V20" s="5"/>
      <c r="W20" s="1"/>
      <c r="X20" s="1">
        <f t="shared" si="8"/>
        <v>23.559322033898304</v>
      </c>
      <c r="Y20" s="1">
        <f t="shared" si="5"/>
        <v>23.559322033898304</v>
      </c>
      <c r="Z20" s="1">
        <v>36.200000000000003</v>
      </c>
      <c r="AA20" s="1">
        <v>19</v>
      </c>
      <c r="AB20" s="1">
        <v>23.6</v>
      </c>
      <c r="AC20" s="1">
        <v>29.6</v>
      </c>
      <c r="AD20" s="1">
        <v>29.8</v>
      </c>
      <c r="AE20" s="1">
        <v>18.600000000000001</v>
      </c>
      <c r="AF20" s="1">
        <v>39.200000000000003</v>
      </c>
      <c r="AG20" s="1">
        <v>24</v>
      </c>
      <c r="AH20" s="1" t="s">
        <v>50</v>
      </c>
      <c r="AI20" s="1">
        <f t="shared" si="9"/>
        <v>0</v>
      </c>
      <c r="AJ20" s="1">
        <f t="shared" si="10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62</v>
      </c>
      <c r="B21" s="1" t="s">
        <v>40</v>
      </c>
      <c r="C21" s="1">
        <v>5.4249999999999998</v>
      </c>
      <c r="D21" s="1">
        <v>638.52300000000002</v>
      </c>
      <c r="E21" s="1">
        <v>256.38900000000001</v>
      </c>
      <c r="F21" s="1">
        <v>377.87200000000001</v>
      </c>
      <c r="G21" s="8">
        <v>1</v>
      </c>
      <c r="H21" s="1">
        <v>60</v>
      </c>
      <c r="I21" s="1" t="s">
        <v>37</v>
      </c>
      <c r="J21" s="1"/>
      <c r="K21" s="1">
        <v>258.81299999999999</v>
      </c>
      <c r="L21" s="1">
        <f t="shared" si="3"/>
        <v>-2.4239999999999782</v>
      </c>
      <c r="M21" s="1"/>
      <c r="N21" s="1"/>
      <c r="O21" s="1">
        <v>60</v>
      </c>
      <c r="P21" s="1"/>
      <c r="Q21" s="1">
        <f t="shared" si="4"/>
        <v>51.277799999999999</v>
      </c>
      <c r="R21" s="5">
        <f t="shared" si="14"/>
        <v>280.01719999999995</v>
      </c>
      <c r="S21" s="5">
        <f t="shared" ref="S21:S22" si="15">V21</f>
        <v>320</v>
      </c>
      <c r="T21" s="5">
        <f t="shared" si="7"/>
        <v>134</v>
      </c>
      <c r="U21" s="5">
        <f>ROUND($U$1*S21,0)</f>
        <v>186</v>
      </c>
      <c r="V21" s="5">
        <v>320</v>
      </c>
      <c r="W21" s="1" t="s">
        <v>155</v>
      </c>
      <c r="X21" s="1">
        <f t="shared" si="8"/>
        <v>14.77972923955396</v>
      </c>
      <c r="Y21" s="1">
        <f t="shared" si="5"/>
        <v>8.5392119006665652</v>
      </c>
      <c r="Z21" s="1">
        <v>38.3018</v>
      </c>
      <c r="AA21" s="1">
        <v>68.911799999999999</v>
      </c>
      <c r="AB21" s="1">
        <v>20.173400000000001</v>
      </c>
      <c r="AC21" s="1">
        <v>59.791400000000003</v>
      </c>
      <c r="AD21" s="1">
        <v>37.095199999999998</v>
      </c>
      <c r="AE21" s="1">
        <v>30.107199999999999</v>
      </c>
      <c r="AF21" s="1">
        <v>48.545200000000001</v>
      </c>
      <c r="AG21" s="1">
        <v>40.4754</v>
      </c>
      <c r="AH21" s="1"/>
      <c r="AI21" s="1">
        <f t="shared" si="9"/>
        <v>134</v>
      </c>
      <c r="AJ21" s="1">
        <f t="shared" si="10"/>
        <v>186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63</v>
      </c>
      <c r="B22" s="1" t="s">
        <v>36</v>
      </c>
      <c r="C22" s="1">
        <v>182</v>
      </c>
      <c r="D22" s="1">
        <v>70</v>
      </c>
      <c r="E22" s="1">
        <v>121</v>
      </c>
      <c r="F22" s="1">
        <v>125</v>
      </c>
      <c r="G22" s="8">
        <v>0.22</v>
      </c>
      <c r="H22" s="1">
        <v>120</v>
      </c>
      <c r="I22" s="1" t="s">
        <v>37</v>
      </c>
      <c r="J22" s="1"/>
      <c r="K22" s="1">
        <v>125</v>
      </c>
      <c r="L22" s="1">
        <f t="shared" si="3"/>
        <v>-4</v>
      </c>
      <c r="M22" s="1"/>
      <c r="N22" s="1"/>
      <c r="O22" s="1">
        <v>30</v>
      </c>
      <c r="P22" s="1"/>
      <c r="Q22" s="1">
        <f t="shared" si="4"/>
        <v>24.2</v>
      </c>
      <c r="R22" s="5">
        <f t="shared" si="14"/>
        <v>183.8</v>
      </c>
      <c r="S22" s="5">
        <f t="shared" si="15"/>
        <v>200</v>
      </c>
      <c r="T22" s="5">
        <f t="shared" si="7"/>
        <v>200</v>
      </c>
      <c r="U22" s="5"/>
      <c r="V22" s="5">
        <v>200</v>
      </c>
      <c r="W22" s="1" t="s">
        <v>156</v>
      </c>
      <c r="X22" s="1">
        <f t="shared" si="8"/>
        <v>14.669421487603307</v>
      </c>
      <c r="Y22" s="1">
        <f t="shared" si="5"/>
        <v>6.4049586776859506</v>
      </c>
      <c r="Z22" s="1">
        <v>11.4</v>
      </c>
      <c r="AA22" s="1">
        <v>15.4</v>
      </c>
      <c r="AB22" s="1">
        <v>24</v>
      </c>
      <c r="AC22" s="1">
        <v>19.399999999999999</v>
      </c>
      <c r="AD22" s="1">
        <v>10.199999999999999</v>
      </c>
      <c r="AE22" s="1">
        <v>9.1999999999999993</v>
      </c>
      <c r="AF22" s="1">
        <v>17.399999999999999</v>
      </c>
      <c r="AG22" s="1">
        <v>9</v>
      </c>
      <c r="AH22" s="1"/>
      <c r="AI22" s="1">
        <f t="shared" si="9"/>
        <v>44</v>
      </c>
      <c r="AJ22" s="1">
        <f t="shared" si="10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64</v>
      </c>
      <c r="B23" s="1" t="s">
        <v>36</v>
      </c>
      <c r="C23" s="1">
        <v>6</v>
      </c>
      <c r="D23" s="1">
        <v>40</v>
      </c>
      <c r="E23" s="1">
        <v>24</v>
      </c>
      <c r="F23" s="1">
        <v>14</v>
      </c>
      <c r="G23" s="8">
        <v>0.15</v>
      </c>
      <c r="H23" s="1">
        <v>45</v>
      </c>
      <c r="I23" s="11" t="s">
        <v>43</v>
      </c>
      <c r="J23" s="1"/>
      <c r="K23" s="1">
        <v>24</v>
      </c>
      <c r="L23" s="1">
        <f t="shared" si="3"/>
        <v>0</v>
      </c>
      <c r="M23" s="1"/>
      <c r="N23" s="1"/>
      <c r="O23" s="1">
        <v>40</v>
      </c>
      <c r="P23" s="1"/>
      <c r="Q23" s="1">
        <f t="shared" si="4"/>
        <v>4.8</v>
      </c>
      <c r="R23" s="5">
        <f t="shared" si="14"/>
        <v>13.200000000000003</v>
      </c>
      <c r="S23" s="5">
        <f t="shared" ref="S23:S24" si="16">ROUND(R23,0)</f>
        <v>13</v>
      </c>
      <c r="T23" s="5">
        <f t="shared" si="7"/>
        <v>13</v>
      </c>
      <c r="U23" s="5"/>
      <c r="V23" s="5"/>
      <c r="W23" s="1"/>
      <c r="X23" s="1">
        <f t="shared" si="8"/>
        <v>13.958333333333334</v>
      </c>
      <c r="Y23" s="1">
        <f t="shared" si="5"/>
        <v>11.25</v>
      </c>
      <c r="Z23" s="1">
        <v>2.2000000000000002</v>
      </c>
      <c r="AA23" s="1">
        <v>5.4</v>
      </c>
      <c r="AB23" s="1">
        <v>0.2</v>
      </c>
      <c r="AC23" s="1">
        <v>3.2</v>
      </c>
      <c r="AD23" s="1">
        <v>1</v>
      </c>
      <c r="AE23" s="1">
        <v>3.6</v>
      </c>
      <c r="AF23" s="1">
        <v>2.4</v>
      </c>
      <c r="AG23" s="1">
        <v>4</v>
      </c>
      <c r="AH23" s="1" t="s">
        <v>65</v>
      </c>
      <c r="AI23" s="1">
        <f t="shared" si="9"/>
        <v>1.95</v>
      </c>
      <c r="AJ23" s="1">
        <f t="shared" si="10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66</v>
      </c>
      <c r="B24" s="1" t="s">
        <v>40</v>
      </c>
      <c r="C24" s="1">
        <v>-4.2999999999999997E-2</v>
      </c>
      <c r="D24" s="1">
        <v>391.51</v>
      </c>
      <c r="E24" s="1">
        <v>290.40499999999997</v>
      </c>
      <c r="F24" s="1">
        <v>106.13800000000001</v>
      </c>
      <c r="G24" s="8">
        <v>1</v>
      </c>
      <c r="H24" s="1">
        <v>60</v>
      </c>
      <c r="I24" s="1" t="s">
        <v>37</v>
      </c>
      <c r="J24" s="1"/>
      <c r="K24" s="1">
        <v>288.10000000000002</v>
      </c>
      <c r="L24" s="1">
        <f t="shared" si="3"/>
        <v>2.30499999999995</v>
      </c>
      <c r="M24" s="1"/>
      <c r="N24" s="1"/>
      <c r="O24" s="1">
        <v>84</v>
      </c>
      <c r="P24" s="1"/>
      <c r="Q24" s="1">
        <f t="shared" si="4"/>
        <v>58.080999999999996</v>
      </c>
      <c r="R24" s="5">
        <f>12*Q24-P24-O24-F24</f>
        <v>506.83399999999995</v>
      </c>
      <c r="S24" s="5">
        <f t="shared" si="16"/>
        <v>507</v>
      </c>
      <c r="T24" s="5">
        <f t="shared" si="7"/>
        <v>213</v>
      </c>
      <c r="U24" s="5">
        <f>ROUND($U$1*S24,0)</f>
        <v>294</v>
      </c>
      <c r="V24" s="5"/>
      <c r="W24" s="1"/>
      <c r="X24" s="1">
        <f t="shared" si="8"/>
        <v>12.002858077512441</v>
      </c>
      <c r="Y24" s="1">
        <f t="shared" si="5"/>
        <v>3.273669530483291</v>
      </c>
      <c r="Z24" s="1">
        <v>32.545200000000001</v>
      </c>
      <c r="AA24" s="1">
        <v>42.891599999999997</v>
      </c>
      <c r="AB24" s="1">
        <v>31.2972</v>
      </c>
      <c r="AC24" s="1">
        <v>40.098200000000013</v>
      </c>
      <c r="AD24" s="1">
        <v>28.8124</v>
      </c>
      <c r="AE24" s="1">
        <v>27.948399999999999</v>
      </c>
      <c r="AF24" s="1">
        <v>20.8858</v>
      </c>
      <c r="AG24" s="1">
        <v>13.021000000000001</v>
      </c>
      <c r="AH24" s="1" t="s">
        <v>67</v>
      </c>
      <c r="AI24" s="1">
        <f t="shared" si="9"/>
        <v>213</v>
      </c>
      <c r="AJ24" s="1">
        <f t="shared" si="10"/>
        <v>294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68</v>
      </c>
      <c r="B25" s="1" t="s">
        <v>36</v>
      </c>
      <c r="C25" s="1">
        <v>197</v>
      </c>
      <c r="D25" s="1">
        <v>1</v>
      </c>
      <c r="E25" s="1">
        <v>167</v>
      </c>
      <c r="F25" s="1">
        <v>29</v>
      </c>
      <c r="G25" s="8">
        <v>0.09</v>
      </c>
      <c r="H25" s="1">
        <v>60</v>
      </c>
      <c r="I25" s="11" t="s">
        <v>43</v>
      </c>
      <c r="J25" s="1"/>
      <c r="K25" s="1">
        <v>170</v>
      </c>
      <c r="L25" s="1">
        <f t="shared" si="3"/>
        <v>-3</v>
      </c>
      <c r="M25" s="1"/>
      <c r="N25" s="1"/>
      <c r="O25" s="1">
        <v>73</v>
      </c>
      <c r="P25" s="1">
        <v>160</v>
      </c>
      <c r="Q25" s="1">
        <f t="shared" si="4"/>
        <v>33.4</v>
      </c>
      <c r="R25" s="5">
        <f t="shared" si="14"/>
        <v>205.59999999999997</v>
      </c>
      <c r="S25" s="5">
        <f t="shared" ref="S25:S28" si="17">V25</f>
        <v>250</v>
      </c>
      <c r="T25" s="5">
        <f t="shared" si="7"/>
        <v>250</v>
      </c>
      <c r="U25" s="5"/>
      <c r="V25" s="5">
        <v>250</v>
      </c>
      <c r="W25" s="1" t="s">
        <v>157</v>
      </c>
      <c r="X25" s="1">
        <f t="shared" si="8"/>
        <v>15.32934131736527</v>
      </c>
      <c r="Y25" s="1">
        <f t="shared" si="5"/>
        <v>7.8443113772455098</v>
      </c>
      <c r="Z25" s="1">
        <v>30</v>
      </c>
      <c r="AA25" s="1">
        <v>25.6</v>
      </c>
      <c r="AB25" s="1">
        <v>42</v>
      </c>
      <c r="AC25" s="1">
        <v>37.6</v>
      </c>
      <c r="AD25" s="1">
        <v>91.4</v>
      </c>
      <c r="AE25" s="1">
        <v>42.6</v>
      </c>
      <c r="AF25" s="1">
        <v>96.2</v>
      </c>
      <c r="AG25" s="1">
        <v>19.2</v>
      </c>
      <c r="AH25" s="1"/>
      <c r="AI25" s="1">
        <f t="shared" si="9"/>
        <v>22.5</v>
      </c>
      <c r="AJ25" s="1">
        <f t="shared" si="10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69</v>
      </c>
      <c r="B26" s="1" t="s">
        <v>36</v>
      </c>
      <c r="C26" s="1">
        <v>154</v>
      </c>
      <c r="D26" s="1">
        <v>50</v>
      </c>
      <c r="E26" s="1">
        <v>105</v>
      </c>
      <c r="F26" s="1">
        <v>86</v>
      </c>
      <c r="G26" s="8">
        <v>0.09</v>
      </c>
      <c r="H26" s="1">
        <v>45</v>
      </c>
      <c r="I26" s="1" t="s">
        <v>37</v>
      </c>
      <c r="J26" s="1"/>
      <c r="K26" s="1">
        <v>107</v>
      </c>
      <c r="L26" s="1">
        <f t="shared" si="3"/>
        <v>-2</v>
      </c>
      <c r="M26" s="1"/>
      <c r="N26" s="1"/>
      <c r="O26" s="1">
        <v>128</v>
      </c>
      <c r="P26" s="1"/>
      <c r="Q26" s="1">
        <f t="shared" si="4"/>
        <v>21</v>
      </c>
      <c r="R26" s="5">
        <f t="shared" si="14"/>
        <v>80</v>
      </c>
      <c r="S26" s="5">
        <f t="shared" si="17"/>
        <v>120</v>
      </c>
      <c r="T26" s="5">
        <f t="shared" si="7"/>
        <v>120</v>
      </c>
      <c r="U26" s="5"/>
      <c r="V26" s="5">
        <v>120</v>
      </c>
      <c r="W26" s="1" t="s">
        <v>157</v>
      </c>
      <c r="X26" s="1">
        <f t="shared" si="8"/>
        <v>15.904761904761905</v>
      </c>
      <c r="Y26" s="1">
        <f t="shared" si="5"/>
        <v>10.19047619047619</v>
      </c>
      <c r="Z26" s="1">
        <v>21.6</v>
      </c>
      <c r="AA26" s="1">
        <v>20.399999999999999</v>
      </c>
      <c r="AB26" s="1">
        <v>39</v>
      </c>
      <c r="AC26" s="1">
        <v>30.4</v>
      </c>
      <c r="AD26" s="1">
        <v>29.4</v>
      </c>
      <c r="AE26" s="1">
        <v>22.4</v>
      </c>
      <c r="AF26" s="1">
        <v>30.2</v>
      </c>
      <c r="AG26" s="1">
        <v>20.6</v>
      </c>
      <c r="AH26" s="1" t="s">
        <v>50</v>
      </c>
      <c r="AI26" s="1">
        <f t="shared" si="9"/>
        <v>10.799999999999999</v>
      </c>
      <c r="AJ26" s="1">
        <f t="shared" si="10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70</v>
      </c>
      <c r="B27" s="1" t="s">
        <v>36</v>
      </c>
      <c r="C27" s="1">
        <v>72</v>
      </c>
      <c r="D27" s="1">
        <v>102</v>
      </c>
      <c r="E27" s="1">
        <v>170</v>
      </c>
      <c r="F27" s="1">
        <v>-3</v>
      </c>
      <c r="G27" s="8">
        <v>0.4</v>
      </c>
      <c r="H27" s="1">
        <v>60</v>
      </c>
      <c r="I27" s="1" t="s">
        <v>37</v>
      </c>
      <c r="J27" s="1"/>
      <c r="K27" s="1">
        <v>232</v>
      </c>
      <c r="L27" s="1">
        <f t="shared" si="3"/>
        <v>-62</v>
      </c>
      <c r="M27" s="1"/>
      <c r="N27" s="1"/>
      <c r="O27" s="1">
        <v>79</v>
      </c>
      <c r="P27" s="1">
        <v>174</v>
      </c>
      <c r="Q27" s="1">
        <f t="shared" si="4"/>
        <v>34</v>
      </c>
      <c r="R27" s="5">
        <f t="shared" si="14"/>
        <v>226</v>
      </c>
      <c r="S27" s="5">
        <f t="shared" si="17"/>
        <v>250</v>
      </c>
      <c r="T27" s="5">
        <f t="shared" si="7"/>
        <v>105</v>
      </c>
      <c r="U27" s="5">
        <f>ROUND($U$1*S27,0)</f>
        <v>145</v>
      </c>
      <c r="V27" s="5">
        <v>250</v>
      </c>
      <c r="W27" s="1" t="s">
        <v>155</v>
      </c>
      <c r="X27" s="1">
        <f t="shared" si="8"/>
        <v>14.705882352941176</v>
      </c>
      <c r="Y27" s="1">
        <f t="shared" si="5"/>
        <v>7.3529411764705879</v>
      </c>
      <c r="Z27" s="1">
        <v>36.6</v>
      </c>
      <c r="AA27" s="1">
        <v>32.799999999999997</v>
      </c>
      <c r="AB27" s="1">
        <v>42.6</v>
      </c>
      <c r="AC27" s="1">
        <v>34.799999999999997</v>
      </c>
      <c r="AD27" s="1">
        <v>30.6</v>
      </c>
      <c r="AE27" s="1">
        <v>28.8</v>
      </c>
      <c r="AF27" s="1">
        <v>23.4</v>
      </c>
      <c r="AG27" s="1">
        <v>23.4</v>
      </c>
      <c r="AH27" s="10" t="s">
        <v>71</v>
      </c>
      <c r="AI27" s="1">
        <f t="shared" si="9"/>
        <v>42</v>
      </c>
      <c r="AJ27" s="1">
        <f t="shared" si="10"/>
        <v>58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72</v>
      </c>
      <c r="B28" s="1" t="s">
        <v>36</v>
      </c>
      <c r="C28" s="1">
        <v>-2</v>
      </c>
      <c r="D28" s="1"/>
      <c r="E28" s="1">
        <v>4</v>
      </c>
      <c r="F28" s="1">
        <v>-7</v>
      </c>
      <c r="G28" s="8">
        <v>0.15</v>
      </c>
      <c r="H28" s="1">
        <v>45</v>
      </c>
      <c r="I28" s="1" t="s">
        <v>37</v>
      </c>
      <c r="J28" s="1"/>
      <c r="K28" s="1">
        <v>186</v>
      </c>
      <c r="L28" s="1">
        <f t="shared" si="3"/>
        <v>-182</v>
      </c>
      <c r="M28" s="1"/>
      <c r="N28" s="1"/>
      <c r="O28" s="1">
        <v>169</v>
      </c>
      <c r="P28" s="1"/>
      <c r="Q28" s="1">
        <f t="shared" si="4"/>
        <v>0.8</v>
      </c>
      <c r="R28" s="5"/>
      <c r="S28" s="5">
        <f t="shared" si="17"/>
        <v>80</v>
      </c>
      <c r="T28" s="5">
        <f t="shared" si="7"/>
        <v>80</v>
      </c>
      <c r="U28" s="5"/>
      <c r="V28" s="5">
        <v>80</v>
      </c>
      <c r="W28" s="1" t="s">
        <v>158</v>
      </c>
      <c r="X28" s="1">
        <f t="shared" si="8"/>
        <v>302.5</v>
      </c>
      <c r="Y28" s="1">
        <f t="shared" si="5"/>
        <v>202.5</v>
      </c>
      <c r="Z28" s="1">
        <v>18.600000000000001</v>
      </c>
      <c r="AA28" s="1">
        <v>5.6</v>
      </c>
      <c r="AB28" s="1">
        <v>18.600000000000001</v>
      </c>
      <c r="AC28" s="1">
        <v>12.6</v>
      </c>
      <c r="AD28" s="1">
        <v>16.600000000000001</v>
      </c>
      <c r="AE28" s="1">
        <v>3.2</v>
      </c>
      <c r="AF28" s="1">
        <v>11.6</v>
      </c>
      <c r="AG28" s="1">
        <v>9.6</v>
      </c>
      <c r="AH28" s="1" t="s">
        <v>73</v>
      </c>
      <c r="AI28" s="1">
        <f t="shared" si="9"/>
        <v>12</v>
      </c>
      <c r="AJ28" s="1">
        <f t="shared" si="10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74</v>
      </c>
      <c r="B29" s="1" t="s">
        <v>40</v>
      </c>
      <c r="C29" s="1">
        <v>98.843000000000004</v>
      </c>
      <c r="D29" s="1">
        <v>595.10500000000002</v>
      </c>
      <c r="E29" s="1">
        <v>262.49299999999999</v>
      </c>
      <c r="F29" s="1">
        <v>436.22199999999998</v>
      </c>
      <c r="G29" s="8">
        <v>1</v>
      </c>
      <c r="H29" s="1">
        <v>45</v>
      </c>
      <c r="I29" s="1" t="s">
        <v>37</v>
      </c>
      <c r="J29" s="1"/>
      <c r="K29" s="1">
        <v>254</v>
      </c>
      <c r="L29" s="1">
        <f t="shared" si="3"/>
        <v>8.492999999999995</v>
      </c>
      <c r="M29" s="1"/>
      <c r="N29" s="1"/>
      <c r="O29" s="1">
        <v>63</v>
      </c>
      <c r="P29" s="1">
        <v>138</v>
      </c>
      <c r="Q29" s="1">
        <f t="shared" si="4"/>
        <v>52.498599999999996</v>
      </c>
      <c r="R29" s="5">
        <f t="shared" si="14"/>
        <v>97.758399999999938</v>
      </c>
      <c r="S29" s="5">
        <f>ROUND(R29,0)</f>
        <v>98</v>
      </c>
      <c r="T29" s="5">
        <f t="shared" si="7"/>
        <v>41</v>
      </c>
      <c r="U29" s="5">
        <f t="shared" ref="U29:U30" si="18">ROUND($U$1*S29,0)</f>
        <v>57</v>
      </c>
      <c r="V29" s="5"/>
      <c r="W29" s="1"/>
      <c r="X29" s="1">
        <f t="shared" si="8"/>
        <v>14.004602027482639</v>
      </c>
      <c r="Y29" s="1">
        <f t="shared" si="5"/>
        <v>12.137885581710751</v>
      </c>
      <c r="Z29" s="1">
        <v>63.083799999999997</v>
      </c>
      <c r="AA29" s="1">
        <v>69.313199999999995</v>
      </c>
      <c r="AB29" s="1">
        <v>57.505200000000002</v>
      </c>
      <c r="AC29" s="1">
        <v>71.171000000000006</v>
      </c>
      <c r="AD29" s="1">
        <v>46.645400000000002</v>
      </c>
      <c r="AE29" s="1">
        <v>47.6676</v>
      </c>
      <c r="AF29" s="1">
        <v>55.500800000000012</v>
      </c>
      <c r="AG29" s="1">
        <v>58.250199999999992</v>
      </c>
      <c r="AH29" s="1"/>
      <c r="AI29" s="1">
        <f t="shared" si="9"/>
        <v>41</v>
      </c>
      <c r="AJ29" s="1">
        <f t="shared" si="10"/>
        <v>57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75</v>
      </c>
      <c r="B30" s="1" t="s">
        <v>36</v>
      </c>
      <c r="C30" s="1">
        <v>174</v>
      </c>
      <c r="D30" s="1">
        <v>17</v>
      </c>
      <c r="E30" s="1">
        <v>178</v>
      </c>
      <c r="F30" s="1">
        <v>-11</v>
      </c>
      <c r="G30" s="8">
        <v>0.4</v>
      </c>
      <c r="H30" s="1">
        <v>60</v>
      </c>
      <c r="I30" s="1" t="s">
        <v>37</v>
      </c>
      <c r="J30" s="1"/>
      <c r="K30" s="1">
        <v>226</v>
      </c>
      <c r="L30" s="1">
        <f t="shared" si="3"/>
        <v>-48</v>
      </c>
      <c r="M30" s="1"/>
      <c r="N30" s="1"/>
      <c r="O30" s="1">
        <v>102</v>
      </c>
      <c r="P30" s="1">
        <v>224</v>
      </c>
      <c r="Q30" s="1">
        <f t="shared" si="4"/>
        <v>35.6</v>
      </c>
      <c r="R30" s="5">
        <f t="shared" si="14"/>
        <v>183.40000000000003</v>
      </c>
      <c r="S30" s="5">
        <f>V30</f>
        <v>220</v>
      </c>
      <c r="T30" s="5">
        <f t="shared" si="7"/>
        <v>92</v>
      </c>
      <c r="U30" s="5">
        <f t="shared" si="18"/>
        <v>128</v>
      </c>
      <c r="V30" s="5">
        <v>220</v>
      </c>
      <c r="W30" s="1" t="s">
        <v>155</v>
      </c>
      <c r="X30" s="1">
        <f t="shared" si="8"/>
        <v>15.02808988764045</v>
      </c>
      <c r="Y30" s="1">
        <f t="shared" si="5"/>
        <v>8.8483146067415728</v>
      </c>
      <c r="Z30" s="1">
        <v>35.799999999999997</v>
      </c>
      <c r="AA30" s="1">
        <v>24</v>
      </c>
      <c r="AB30" s="1">
        <v>50</v>
      </c>
      <c r="AC30" s="1">
        <v>32.6</v>
      </c>
      <c r="AD30" s="1">
        <v>29.4</v>
      </c>
      <c r="AE30" s="1">
        <v>21.4</v>
      </c>
      <c r="AF30" s="1">
        <v>22.2</v>
      </c>
      <c r="AG30" s="1">
        <v>31</v>
      </c>
      <c r="AH30" s="1" t="s">
        <v>50</v>
      </c>
      <c r="AI30" s="1">
        <f t="shared" si="9"/>
        <v>36.800000000000004</v>
      </c>
      <c r="AJ30" s="1">
        <f t="shared" si="10"/>
        <v>51.2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76</v>
      </c>
      <c r="B31" s="1" t="s">
        <v>36</v>
      </c>
      <c r="C31" s="1">
        <v>2</v>
      </c>
      <c r="D31" s="1">
        <v>97</v>
      </c>
      <c r="E31" s="1">
        <v>45</v>
      </c>
      <c r="F31" s="1">
        <v>53</v>
      </c>
      <c r="G31" s="8">
        <v>0.4</v>
      </c>
      <c r="H31" s="1">
        <v>60</v>
      </c>
      <c r="I31" s="1" t="s">
        <v>37</v>
      </c>
      <c r="J31" s="1"/>
      <c r="K31" s="1">
        <v>46</v>
      </c>
      <c r="L31" s="1">
        <f t="shared" si="3"/>
        <v>-1</v>
      </c>
      <c r="M31" s="1"/>
      <c r="N31" s="1"/>
      <c r="O31" s="1">
        <v>33</v>
      </c>
      <c r="P31" s="1"/>
      <c r="Q31" s="1">
        <f t="shared" si="4"/>
        <v>9</v>
      </c>
      <c r="R31" s="5">
        <f t="shared" si="14"/>
        <v>40</v>
      </c>
      <c r="S31" s="5">
        <f>ROUND(R31,0)</f>
        <v>40</v>
      </c>
      <c r="T31" s="5">
        <f t="shared" si="7"/>
        <v>40</v>
      </c>
      <c r="U31" s="5"/>
      <c r="V31" s="5"/>
      <c r="W31" s="1"/>
      <c r="X31" s="1">
        <f t="shared" si="8"/>
        <v>14</v>
      </c>
      <c r="Y31" s="1">
        <f t="shared" si="5"/>
        <v>9.5555555555555554</v>
      </c>
      <c r="Z31" s="1">
        <v>9.4</v>
      </c>
      <c r="AA31" s="1">
        <v>11.4</v>
      </c>
      <c r="AB31" s="1">
        <v>4.2</v>
      </c>
      <c r="AC31" s="1">
        <v>11.2</v>
      </c>
      <c r="AD31" s="1">
        <v>3.8</v>
      </c>
      <c r="AE31" s="1">
        <v>9.4</v>
      </c>
      <c r="AF31" s="1">
        <v>3.6</v>
      </c>
      <c r="AG31" s="1">
        <v>4.4000000000000004</v>
      </c>
      <c r="AH31" s="1"/>
      <c r="AI31" s="1">
        <f t="shared" si="9"/>
        <v>16</v>
      </c>
      <c r="AJ31" s="1">
        <f t="shared" si="10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77</v>
      </c>
      <c r="B32" s="1" t="s">
        <v>36</v>
      </c>
      <c r="C32" s="1">
        <v>1543</v>
      </c>
      <c r="D32" s="1">
        <v>25</v>
      </c>
      <c r="E32" s="1">
        <v>1144</v>
      </c>
      <c r="F32" s="1">
        <v>372</v>
      </c>
      <c r="G32" s="8">
        <v>0.4</v>
      </c>
      <c r="H32" s="1">
        <v>60</v>
      </c>
      <c r="I32" s="11" t="s">
        <v>43</v>
      </c>
      <c r="J32" s="1"/>
      <c r="K32" s="1">
        <v>1154</v>
      </c>
      <c r="L32" s="1">
        <f t="shared" si="3"/>
        <v>-10</v>
      </c>
      <c r="M32" s="1"/>
      <c r="N32" s="1"/>
      <c r="O32" s="1">
        <v>332</v>
      </c>
      <c r="P32" s="1">
        <v>727</v>
      </c>
      <c r="Q32" s="1">
        <f t="shared" si="4"/>
        <v>228.8</v>
      </c>
      <c r="R32" s="5">
        <f>11*Q32-P32-O32-F32</f>
        <v>1085.8000000000002</v>
      </c>
      <c r="S32" s="5">
        <f>V32</f>
        <v>1200</v>
      </c>
      <c r="T32" s="5">
        <f t="shared" si="7"/>
        <v>504</v>
      </c>
      <c r="U32" s="5">
        <f t="shared" ref="U32:U35" si="19">ROUND($U$1*S32,0)</f>
        <v>696</v>
      </c>
      <c r="V32" s="5">
        <v>1200</v>
      </c>
      <c r="W32" s="1" t="s">
        <v>155</v>
      </c>
      <c r="X32" s="1">
        <f t="shared" si="8"/>
        <v>11.499125874125873</v>
      </c>
      <c r="Y32" s="1">
        <f t="shared" si="5"/>
        <v>6.2543706293706292</v>
      </c>
      <c r="Z32" s="1">
        <v>221.4</v>
      </c>
      <c r="AA32" s="1">
        <v>93.2</v>
      </c>
      <c r="AB32" s="1">
        <v>97.6</v>
      </c>
      <c r="AC32" s="1">
        <v>71.599999999999994</v>
      </c>
      <c r="AD32" s="1">
        <v>67.2</v>
      </c>
      <c r="AE32" s="1">
        <v>70.8</v>
      </c>
      <c r="AF32" s="1">
        <v>57.8</v>
      </c>
      <c r="AG32" s="1">
        <v>63.6</v>
      </c>
      <c r="AH32" s="1" t="s">
        <v>50</v>
      </c>
      <c r="AI32" s="1">
        <f t="shared" si="9"/>
        <v>201.60000000000002</v>
      </c>
      <c r="AJ32" s="1">
        <f t="shared" si="10"/>
        <v>278.40000000000003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78</v>
      </c>
      <c r="B33" s="1" t="s">
        <v>36</v>
      </c>
      <c r="C33" s="1">
        <v>123</v>
      </c>
      <c r="D33" s="1">
        <v>467</v>
      </c>
      <c r="E33" s="1">
        <v>431</v>
      </c>
      <c r="F33" s="1">
        <v>126</v>
      </c>
      <c r="G33" s="8">
        <v>0.4</v>
      </c>
      <c r="H33" s="1">
        <v>60</v>
      </c>
      <c r="I33" s="11" t="s">
        <v>43</v>
      </c>
      <c r="J33" s="1"/>
      <c r="K33" s="1">
        <v>450</v>
      </c>
      <c r="L33" s="1">
        <f t="shared" si="3"/>
        <v>-19</v>
      </c>
      <c r="M33" s="1"/>
      <c r="N33" s="1"/>
      <c r="O33" s="1">
        <v>130</v>
      </c>
      <c r="P33" s="1">
        <v>284</v>
      </c>
      <c r="Q33" s="1">
        <f t="shared" si="4"/>
        <v>86.2</v>
      </c>
      <c r="R33" s="5">
        <f>12*Q33-P33-O33-F33</f>
        <v>494.40000000000009</v>
      </c>
      <c r="S33" s="5">
        <f t="shared" ref="S33:S35" si="20">ROUND(R33,0)</f>
        <v>494</v>
      </c>
      <c r="T33" s="5">
        <f t="shared" si="7"/>
        <v>207</v>
      </c>
      <c r="U33" s="5">
        <f t="shared" si="19"/>
        <v>287</v>
      </c>
      <c r="V33" s="5"/>
      <c r="W33" s="1"/>
      <c r="X33" s="1">
        <f t="shared" si="8"/>
        <v>11.9953596287703</v>
      </c>
      <c r="Y33" s="1">
        <f t="shared" si="5"/>
        <v>6.2645011600928076</v>
      </c>
      <c r="Z33" s="1">
        <v>66.599999999999994</v>
      </c>
      <c r="AA33" s="1">
        <v>76.599999999999994</v>
      </c>
      <c r="AB33" s="1">
        <v>76.2</v>
      </c>
      <c r="AC33" s="1">
        <v>68.400000000000006</v>
      </c>
      <c r="AD33" s="1">
        <v>49.2</v>
      </c>
      <c r="AE33" s="1">
        <v>43.8</v>
      </c>
      <c r="AF33" s="1">
        <v>49.6</v>
      </c>
      <c r="AG33" s="1">
        <v>57.8</v>
      </c>
      <c r="AH33" s="1" t="s">
        <v>50</v>
      </c>
      <c r="AI33" s="1">
        <f t="shared" si="9"/>
        <v>82.800000000000011</v>
      </c>
      <c r="AJ33" s="1">
        <f t="shared" si="10"/>
        <v>114.80000000000001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79</v>
      </c>
      <c r="B34" s="1" t="s">
        <v>36</v>
      </c>
      <c r="C34" s="1">
        <v>1048</v>
      </c>
      <c r="D34" s="1">
        <v>1287</v>
      </c>
      <c r="E34" s="1">
        <v>804</v>
      </c>
      <c r="F34" s="1">
        <v>994</v>
      </c>
      <c r="G34" s="8">
        <v>0.4</v>
      </c>
      <c r="H34" s="1">
        <v>60</v>
      </c>
      <c r="I34" s="11" t="s">
        <v>43</v>
      </c>
      <c r="J34" s="1"/>
      <c r="K34" s="1">
        <v>813</v>
      </c>
      <c r="L34" s="1">
        <f t="shared" si="3"/>
        <v>-9</v>
      </c>
      <c r="M34" s="1"/>
      <c r="N34" s="1"/>
      <c r="O34" s="1">
        <v>0</v>
      </c>
      <c r="P34" s="1"/>
      <c r="Q34" s="1">
        <f t="shared" si="4"/>
        <v>160.80000000000001</v>
      </c>
      <c r="R34" s="5">
        <f>13*Q34-P34-O34-F34</f>
        <v>1096.4000000000001</v>
      </c>
      <c r="S34" s="5">
        <f t="shared" si="20"/>
        <v>1096</v>
      </c>
      <c r="T34" s="5">
        <f t="shared" si="7"/>
        <v>460</v>
      </c>
      <c r="U34" s="5">
        <f t="shared" si="19"/>
        <v>636</v>
      </c>
      <c r="V34" s="5"/>
      <c r="W34" s="1"/>
      <c r="X34" s="1">
        <f t="shared" si="8"/>
        <v>12.997512437810945</v>
      </c>
      <c r="Y34" s="1">
        <f t="shared" si="5"/>
        <v>6.1815920398009947</v>
      </c>
      <c r="Z34" s="1">
        <v>72</v>
      </c>
      <c r="AA34" s="1">
        <v>158</v>
      </c>
      <c r="AB34" s="1">
        <v>97.6</v>
      </c>
      <c r="AC34" s="1">
        <v>163.80000000000001</v>
      </c>
      <c r="AD34" s="1">
        <v>186.6</v>
      </c>
      <c r="AE34" s="1">
        <v>100.8</v>
      </c>
      <c r="AF34" s="1">
        <v>322.39999999999998</v>
      </c>
      <c r="AG34" s="1">
        <v>131.19999999999999</v>
      </c>
      <c r="AH34" s="23" t="s">
        <v>50</v>
      </c>
      <c r="AI34" s="1">
        <f t="shared" si="9"/>
        <v>184</v>
      </c>
      <c r="AJ34" s="1">
        <f t="shared" si="10"/>
        <v>254.4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80</v>
      </c>
      <c r="B35" s="1" t="s">
        <v>36</v>
      </c>
      <c r="C35" s="1">
        <v>137</v>
      </c>
      <c r="D35" s="1">
        <v>360</v>
      </c>
      <c r="E35" s="1">
        <v>230</v>
      </c>
      <c r="F35" s="1">
        <v>255</v>
      </c>
      <c r="G35" s="8">
        <v>0.1</v>
      </c>
      <c r="H35" s="1">
        <v>60</v>
      </c>
      <c r="I35" s="1" t="s">
        <v>37</v>
      </c>
      <c r="J35" s="1"/>
      <c r="K35" s="1">
        <v>251</v>
      </c>
      <c r="L35" s="1">
        <f t="shared" si="3"/>
        <v>-21</v>
      </c>
      <c r="M35" s="1"/>
      <c r="N35" s="1"/>
      <c r="O35" s="1">
        <v>33</v>
      </c>
      <c r="P35" s="1"/>
      <c r="Q35" s="1">
        <f t="shared" si="4"/>
        <v>46</v>
      </c>
      <c r="R35" s="5">
        <f t="shared" si="14"/>
        <v>356</v>
      </c>
      <c r="S35" s="5">
        <f t="shared" si="20"/>
        <v>356</v>
      </c>
      <c r="T35" s="5">
        <f t="shared" si="7"/>
        <v>150</v>
      </c>
      <c r="U35" s="5">
        <f t="shared" si="19"/>
        <v>206</v>
      </c>
      <c r="V35" s="5"/>
      <c r="W35" s="1"/>
      <c r="X35" s="1">
        <f t="shared" si="8"/>
        <v>14</v>
      </c>
      <c r="Y35" s="1">
        <f t="shared" si="5"/>
        <v>6.2608695652173916</v>
      </c>
      <c r="Z35" s="1">
        <v>36.799999999999997</v>
      </c>
      <c r="AA35" s="1">
        <v>49.6</v>
      </c>
      <c r="AB35" s="1">
        <v>54.4</v>
      </c>
      <c r="AC35" s="1">
        <v>53.8</v>
      </c>
      <c r="AD35" s="1">
        <v>54.4</v>
      </c>
      <c r="AE35" s="1">
        <v>41</v>
      </c>
      <c r="AF35" s="1">
        <v>36.200000000000003</v>
      </c>
      <c r="AG35" s="1">
        <v>38.799999999999997</v>
      </c>
      <c r="AH35" s="1" t="s">
        <v>50</v>
      </c>
      <c r="AI35" s="1">
        <f t="shared" si="9"/>
        <v>15</v>
      </c>
      <c r="AJ35" s="1">
        <f t="shared" si="10"/>
        <v>20.6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81</v>
      </c>
      <c r="B36" s="1" t="s">
        <v>36</v>
      </c>
      <c r="C36" s="1">
        <v>335</v>
      </c>
      <c r="D36" s="1">
        <v>90</v>
      </c>
      <c r="E36" s="1">
        <v>215</v>
      </c>
      <c r="F36" s="1">
        <v>160</v>
      </c>
      <c r="G36" s="8">
        <v>0.1</v>
      </c>
      <c r="H36" s="1">
        <v>60</v>
      </c>
      <c r="I36" s="1" t="s">
        <v>37</v>
      </c>
      <c r="J36" s="1"/>
      <c r="K36" s="1">
        <v>243</v>
      </c>
      <c r="L36" s="1">
        <f t="shared" si="3"/>
        <v>-28</v>
      </c>
      <c r="M36" s="1"/>
      <c r="N36" s="1"/>
      <c r="O36" s="1">
        <v>140</v>
      </c>
      <c r="P36" s="1"/>
      <c r="Q36" s="1">
        <f t="shared" si="4"/>
        <v>43</v>
      </c>
      <c r="R36" s="5">
        <f t="shared" si="14"/>
        <v>302</v>
      </c>
      <c r="S36" s="5">
        <f>V36</f>
        <v>330</v>
      </c>
      <c r="T36" s="5">
        <f t="shared" si="7"/>
        <v>330</v>
      </c>
      <c r="U36" s="5"/>
      <c r="V36" s="5">
        <v>330</v>
      </c>
      <c r="W36" s="1" t="s">
        <v>157</v>
      </c>
      <c r="X36" s="1">
        <f t="shared" si="8"/>
        <v>14.651162790697674</v>
      </c>
      <c r="Y36" s="1">
        <f t="shared" si="5"/>
        <v>6.9767441860465116</v>
      </c>
      <c r="Z36" s="1">
        <v>34.200000000000003</v>
      </c>
      <c r="AA36" s="1">
        <v>35.799999999999997</v>
      </c>
      <c r="AB36" s="1">
        <v>83</v>
      </c>
      <c r="AC36" s="1">
        <v>55</v>
      </c>
      <c r="AD36" s="1">
        <v>9.8000000000000007</v>
      </c>
      <c r="AE36" s="1">
        <v>86.4</v>
      </c>
      <c r="AF36" s="1">
        <v>37.200000000000003</v>
      </c>
      <c r="AG36" s="1">
        <v>51</v>
      </c>
      <c r="AH36" s="1" t="s">
        <v>50</v>
      </c>
      <c r="AI36" s="1">
        <f t="shared" si="9"/>
        <v>33</v>
      </c>
      <c r="AJ36" s="1">
        <f t="shared" si="10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82</v>
      </c>
      <c r="B37" s="1" t="s">
        <v>36</v>
      </c>
      <c r="C37" s="1">
        <v>237</v>
      </c>
      <c r="D37" s="1">
        <v>160</v>
      </c>
      <c r="E37" s="1">
        <v>90</v>
      </c>
      <c r="F37" s="1">
        <v>188</v>
      </c>
      <c r="G37" s="8">
        <v>0.1</v>
      </c>
      <c r="H37" s="1">
        <v>45</v>
      </c>
      <c r="I37" s="1" t="s">
        <v>37</v>
      </c>
      <c r="J37" s="1"/>
      <c r="K37" s="1">
        <v>91</v>
      </c>
      <c r="L37" s="1">
        <f t="shared" si="3"/>
        <v>-1</v>
      </c>
      <c r="M37" s="1"/>
      <c r="N37" s="1"/>
      <c r="O37" s="1">
        <v>74</v>
      </c>
      <c r="P37" s="1"/>
      <c r="Q37" s="1">
        <f t="shared" si="4"/>
        <v>18</v>
      </c>
      <c r="R37" s="5"/>
      <c r="S37" s="5">
        <f t="shared" si="6"/>
        <v>0</v>
      </c>
      <c r="T37" s="5">
        <f t="shared" si="7"/>
        <v>0</v>
      </c>
      <c r="U37" s="5"/>
      <c r="V37" s="5"/>
      <c r="W37" s="1"/>
      <c r="X37" s="1">
        <f t="shared" si="8"/>
        <v>14.555555555555555</v>
      </c>
      <c r="Y37" s="1">
        <f t="shared" si="5"/>
        <v>14.555555555555555</v>
      </c>
      <c r="Z37" s="1">
        <v>22.2</v>
      </c>
      <c r="AA37" s="1">
        <v>17.2</v>
      </c>
      <c r="AB37" s="1">
        <v>35</v>
      </c>
      <c r="AC37" s="1">
        <v>32.6</v>
      </c>
      <c r="AD37" s="1">
        <v>21.8</v>
      </c>
      <c r="AE37" s="1">
        <v>26.2</v>
      </c>
      <c r="AF37" s="1">
        <v>17.399999999999999</v>
      </c>
      <c r="AG37" s="1">
        <v>16.2</v>
      </c>
      <c r="AH37" s="1"/>
      <c r="AI37" s="1">
        <f t="shared" si="9"/>
        <v>0</v>
      </c>
      <c r="AJ37" s="1">
        <f t="shared" si="10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83</v>
      </c>
      <c r="B38" s="1" t="s">
        <v>36</v>
      </c>
      <c r="C38" s="1">
        <v>9</v>
      </c>
      <c r="D38" s="1">
        <v>486</v>
      </c>
      <c r="E38" s="1">
        <v>272</v>
      </c>
      <c r="F38" s="1">
        <v>160</v>
      </c>
      <c r="G38" s="8">
        <v>0.4</v>
      </c>
      <c r="H38" s="1">
        <v>45</v>
      </c>
      <c r="I38" s="1" t="s">
        <v>37</v>
      </c>
      <c r="J38" s="1"/>
      <c r="K38" s="1">
        <v>370</v>
      </c>
      <c r="L38" s="1">
        <f t="shared" ref="L38:L69" si="21">E38-K38</f>
        <v>-98</v>
      </c>
      <c r="M38" s="1"/>
      <c r="N38" s="1"/>
      <c r="O38" s="1">
        <v>0</v>
      </c>
      <c r="P38" s="1"/>
      <c r="Q38" s="1">
        <f t="shared" ref="Q38:Q69" si="22">E38/5</f>
        <v>54.4</v>
      </c>
      <c r="R38" s="5">
        <f t="shared" ref="R38:R39" si="23">12*Q38-P38-O38-F38</f>
        <v>492.79999999999995</v>
      </c>
      <c r="S38" s="5">
        <f>ROUND(R38,0)</f>
        <v>493</v>
      </c>
      <c r="T38" s="5">
        <f t="shared" si="7"/>
        <v>207</v>
      </c>
      <c r="U38" s="5">
        <f>ROUND($U$1*S38,0)</f>
        <v>286</v>
      </c>
      <c r="V38" s="5"/>
      <c r="W38" s="1"/>
      <c r="X38" s="1">
        <f t="shared" si="8"/>
        <v>12.003676470588236</v>
      </c>
      <c r="Y38" s="1">
        <f t="shared" ref="Y38:Y69" si="24">(F38+O38+P38)/Q38</f>
        <v>2.9411764705882355</v>
      </c>
      <c r="Z38" s="1">
        <v>20.8</v>
      </c>
      <c r="AA38" s="1">
        <v>50.6</v>
      </c>
      <c r="AB38" s="1">
        <v>24.2</v>
      </c>
      <c r="AC38" s="1">
        <v>42.4</v>
      </c>
      <c r="AD38" s="1">
        <v>25.6</v>
      </c>
      <c r="AE38" s="1">
        <v>28.2</v>
      </c>
      <c r="AF38" s="1">
        <v>37.6</v>
      </c>
      <c r="AG38" s="1">
        <v>26.6</v>
      </c>
      <c r="AH38" s="1" t="s">
        <v>50</v>
      </c>
      <c r="AI38" s="1">
        <f t="shared" si="9"/>
        <v>82.800000000000011</v>
      </c>
      <c r="AJ38" s="1">
        <f t="shared" si="10"/>
        <v>114.4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84</v>
      </c>
      <c r="B39" s="1" t="s">
        <v>40</v>
      </c>
      <c r="C39" s="1">
        <v>6.0999999999999999E-2</v>
      </c>
      <c r="D39" s="1">
        <v>231.495</v>
      </c>
      <c r="E39" s="1">
        <v>210.131</v>
      </c>
      <c r="F39" s="1">
        <v>17.391999999999999</v>
      </c>
      <c r="G39" s="8">
        <v>1</v>
      </c>
      <c r="H39" s="1">
        <v>60</v>
      </c>
      <c r="I39" s="1" t="s">
        <v>37</v>
      </c>
      <c r="J39" s="1"/>
      <c r="K39" s="1">
        <v>207.3</v>
      </c>
      <c r="L39" s="1">
        <f t="shared" si="21"/>
        <v>2.8309999999999889</v>
      </c>
      <c r="M39" s="1"/>
      <c r="N39" s="1"/>
      <c r="O39" s="1">
        <v>100</v>
      </c>
      <c r="P39" s="1"/>
      <c r="Q39" s="1">
        <f t="shared" si="22"/>
        <v>42.026200000000003</v>
      </c>
      <c r="R39" s="5">
        <f t="shared" si="23"/>
        <v>386.92240000000004</v>
      </c>
      <c r="S39" s="5">
        <f>V39</f>
        <v>415</v>
      </c>
      <c r="T39" s="5">
        <f t="shared" si="7"/>
        <v>415</v>
      </c>
      <c r="U39" s="5"/>
      <c r="V39" s="5">
        <v>415</v>
      </c>
      <c r="W39" s="1" t="s">
        <v>157</v>
      </c>
      <c r="X39" s="1">
        <f t="shared" si="8"/>
        <v>12.668097520118403</v>
      </c>
      <c r="Y39" s="1">
        <f t="shared" si="24"/>
        <v>2.7933051287054265</v>
      </c>
      <c r="Z39" s="1">
        <v>22.538</v>
      </c>
      <c r="AA39" s="1">
        <v>24.411000000000001</v>
      </c>
      <c r="AB39" s="1">
        <v>27.631</v>
      </c>
      <c r="AC39" s="1">
        <v>41.204599999999999</v>
      </c>
      <c r="AD39" s="1">
        <v>25.7394</v>
      </c>
      <c r="AE39" s="1">
        <v>26.0762</v>
      </c>
      <c r="AF39" s="1">
        <v>28.807600000000001</v>
      </c>
      <c r="AG39" s="1">
        <v>22.558800000000002</v>
      </c>
      <c r="AH39" s="1"/>
      <c r="AI39" s="1">
        <f t="shared" si="9"/>
        <v>415</v>
      </c>
      <c r="AJ39" s="1">
        <f t="shared" si="10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85</v>
      </c>
      <c r="B40" s="1" t="s">
        <v>40</v>
      </c>
      <c r="C40" s="1">
        <v>87.494</v>
      </c>
      <c r="D40" s="1">
        <v>20.126999999999999</v>
      </c>
      <c r="E40" s="1">
        <v>87.156000000000006</v>
      </c>
      <c r="F40" s="1">
        <v>10.483000000000001</v>
      </c>
      <c r="G40" s="8">
        <v>1</v>
      </c>
      <c r="H40" s="1">
        <v>45</v>
      </c>
      <c r="I40" s="1" t="s">
        <v>37</v>
      </c>
      <c r="J40" s="1"/>
      <c r="K40" s="1">
        <v>87.894000000000005</v>
      </c>
      <c r="L40" s="1">
        <f t="shared" si="21"/>
        <v>-0.73799999999999955</v>
      </c>
      <c r="M40" s="1"/>
      <c r="N40" s="1"/>
      <c r="O40" s="1">
        <v>81</v>
      </c>
      <c r="P40" s="1"/>
      <c r="Q40" s="1">
        <f t="shared" si="22"/>
        <v>17.4312</v>
      </c>
      <c r="R40" s="5">
        <f t="shared" si="14"/>
        <v>152.5538</v>
      </c>
      <c r="S40" s="5">
        <f>ROUND(R40,0)</f>
        <v>153</v>
      </c>
      <c r="T40" s="5">
        <f t="shared" si="7"/>
        <v>64</v>
      </c>
      <c r="U40" s="5">
        <f>ROUND($U$1*S40,0)</f>
        <v>89</v>
      </c>
      <c r="V40" s="5"/>
      <c r="W40" s="1"/>
      <c r="X40" s="1">
        <f t="shared" si="8"/>
        <v>14.025597778695673</v>
      </c>
      <c r="Y40" s="1">
        <f t="shared" si="24"/>
        <v>5.2482330533755563</v>
      </c>
      <c r="Z40" s="1">
        <v>12.790800000000001</v>
      </c>
      <c r="AA40" s="1">
        <v>11.795999999999999</v>
      </c>
      <c r="AB40" s="1">
        <v>16.171600000000002</v>
      </c>
      <c r="AC40" s="1">
        <v>14.0792</v>
      </c>
      <c r="AD40" s="1">
        <v>13.600199999999999</v>
      </c>
      <c r="AE40" s="1">
        <v>13.547800000000001</v>
      </c>
      <c r="AF40" s="1">
        <v>15.1912</v>
      </c>
      <c r="AG40" s="1">
        <v>15.074</v>
      </c>
      <c r="AH40" s="1"/>
      <c r="AI40" s="1">
        <f t="shared" si="9"/>
        <v>64</v>
      </c>
      <c r="AJ40" s="1">
        <f t="shared" si="10"/>
        <v>89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86</v>
      </c>
      <c r="B41" s="1" t="s">
        <v>40</v>
      </c>
      <c r="C41" s="1">
        <v>20.738</v>
      </c>
      <c r="D41" s="1">
        <v>147.846</v>
      </c>
      <c r="E41" s="1">
        <v>75.105000000000004</v>
      </c>
      <c r="F41" s="1">
        <v>92.474000000000004</v>
      </c>
      <c r="G41" s="8">
        <v>1</v>
      </c>
      <c r="H41" s="1">
        <v>45</v>
      </c>
      <c r="I41" s="1" t="s">
        <v>37</v>
      </c>
      <c r="J41" s="1"/>
      <c r="K41" s="1">
        <v>72.5</v>
      </c>
      <c r="L41" s="1">
        <f t="shared" si="21"/>
        <v>2.605000000000004</v>
      </c>
      <c r="M41" s="1"/>
      <c r="N41" s="1"/>
      <c r="O41" s="1">
        <v>83</v>
      </c>
      <c r="P41" s="1"/>
      <c r="Q41" s="1">
        <f t="shared" si="22"/>
        <v>15.021000000000001</v>
      </c>
      <c r="R41" s="5">
        <f t="shared" si="14"/>
        <v>34.820000000000007</v>
      </c>
      <c r="S41" s="5">
        <f>V41</f>
        <v>50</v>
      </c>
      <c r="T41" s="5">
        <f t="shared" si="7"/>
        <v>50</v>
      </c>
      <c r="U41" s="5"/>
      <c r="V41" s="5">
        <v>50</v>
      </c>
      <c r="W41" s="1" t="s">
        <v>155</v>
      </c>
      <c r="X41" s="1">
        <f t="shared" si="8"/>
        <v>15.010585180746952</v>
      </c>
      <c r="Y41" s="1">
        <f t="shared" si="24"/>
        <v>11.681911989880833</v>
      </c>
      <c r="Z41" s="1">
        <v>17.787600000000001</v>
      </c>
      <c r="AA41" s="1">
        <v>17.781600000000001</v>
      </c>
      <c r="AB41" s="1">
        <v>14.003399999999999</v>
      </c>
      <c r="AC41" s="1">
        <v>21.742000000000001</v>
      </c>
      <c r="AD41" s="1">
        <v>10.9964</v>
      </c>
      <c r="AE41" s="1">
        <v>10.7776</v>
      </c>
      <c r="AF41" s="1">
        <v>15.9596</v>
      </c>
      <c r="AG41" s="1">
        <v>14.294600000000001</v>
      </c>
      <c r="AH41" s="1"/>
      <c r="AI41" s="1">
        <f t="shared" si="9"/>
        <v>50</v>
      </c>
      <c r="AJ41" s="1">
        <f t="shared" si="10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87</v>
      </c>
      <c r="B42" s="1" t="s">
        <v>36</v>
      </c>
      <c r="C42" s="1">
        <v>52</v>
      </c>
      <c r="D42" s="1">
        <v>8</v>
      </c>
      <c r="E42" s="1">
        <v>32</v>
      </c>
      <c r="F42" s="1">
        <v>28</v>
      </c>
      <c r="G42" s="8">
        <v>0.35</v>
      </c>
      <c r="H42" s="1">
        <v>45</v>
      </c>
      <c r="I42" s="1" t="s">
        <v>37</v>
      </c>
      <c r="J42" s="1"/>
      <c r="K42" s="1">
        <v>34</v>
      </c>
      <c r="L42" s="1">
        <f t="shared" si="21"/>
        <v>-2</v>
      </c>
      <c r="M42" s="1"/>
      <c r="N42" s="1"/>
      <c r="O42" s="1">
        <v>0</v>
      </c>
      <c r="P42" s="1"/>
      <c r="Q42" s="1">
        <f t="shared" si="22"/>
        <v>6.4</v>
      </c>
      <c r="R42" s="5">
        <f>13*Q42-P42-O42-F42</f>
        <v>55.2</v>
      </c>
      <c r="S42" s="5">
        <f t="shared" ref="S42:S44" si="25">ROUND(R42,0)</f>
        <v>55</v>
      </c>
      <c r="T42" s="5">
        <f t="shared" si="7"/>
        <v>55</v>
      </c>
      <c r="U42" s="5"/>
      <c r="V42" s="5"/>
      <c r="W42" s="1"/>
      <c r="X42" s="1">
        <f t="shared" si="8"/>
        <v>12.96875</v>
      </c>
      <c r="Y42" s="1">
        <f t="shared" si="24"/>
        <v>4.375</v>
      </c>
      <c r="Z42" s="1">
        <v>2.2000000000000002</v>
      </c>
      <c r="AA42" s="1">
        <v>6.2</v>
      </c>
      <c r="AB42" s="1">
        <v>9.8000000000000007</v>
      </c>
      <c r="AC42" s="1">
        <v>8</v>
      </c>
      <c r="AD42" s="1">
        <v>9</v>
      </c>
      <c r="AE42" s="1">
        <v>9.1999999999999993</v>
      </c>
      <c r="AF42" s="1">
        <v>12.2</v>
      </c>
      <c r="AG42" s="1">
        <v>12.6</v>
      </c>
      <c r="AH42" s="1" t="s">
        <v>50</v>
      </c>
      <c r="AI42" s="1">
        <f t="shared" si="9"/>
        <v>19.25</v>
      </c>
      <c r="AJ42" s="1">
        <f t="shared" si="10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88</v>
      </c>
      <c r="B43" s="1" t="s">
        <v>40</v>
      </c>
      <c r="C43" s="1">
        <v>151.72900000000001</v>
      </c>
      <c r="D43" s="1">
        <v>166.62700000000001</v>
      </c>
      <c r="E43" s="1">
        <v>192.33199999999999</v>
      </c>
      <c r="F43" s="1">
        <v>92.106999999999999</v>
      </c>
      <c r="G43" s="8">
        <v>1</v>
      </c>
      <c r="H43" s="1">
        <v>45</v>
      </c>
      <c r="I43" s="1" t="s">
        <v>37</v>
      </c>
      <c r="J43" s="1"/>
      <c r="K43" s="1">
        <v>193.7</v>
      </c>
      <c r="L43" s="1">
        <f t="shared" si="21"/>
        <v>-1.367999999999995</v>
      </c>
      <c r="M43" s="1"/>
      <c r="N43" s="1"/>
      <c r="O43" s="1">
        <v>217</v>
      </c>
      <c r="P43" s="1"/>
      <c r="Q43" s="1">
        <f t="shared" si="22"/>
        <v>38.4664</v>
      </c>
      <c r="R43" s="5">
        <f t="shared" si="14"/>
        <v>229.42259999999996</v>
      </c>
      <c r="S43" s="5">
        <f t="shared" si="25"/>
        <v>229</v>
      </c>
      <c r="T43" s="5">
        <f t="shared" si="7"/>
        <v>96</v>
      </c>
      <c r="U43" s="5">
        <f t="shared" ref="U43:U44" si="26">ROUND($U$1*S43,0)</f>
        <v>133</v>
      </c>
      <c r="V43" s="5"/>
      <c r="W43" s="1"/>
      <c r="X43" s="1">
        <f t="shared" si="8"/>
        <v>13.989013788657113</v>
      </c>
      <c r="Y43" s="1">
        <f t="shared" si="24"/>
        <v>8.0357662791423152</v>
      </c>
      <c r="Z43" s="1">
        <v>36.405799999999999</v>
      </c>
      <c r="AA43" s="1">
        <v>33.327199999999998</v>
      </c>
      <c r="AB43" s="1">
        <v>39.2682</v>
      </c>
      <c r="AC43" s="1">
        <v>30.984200000000001</v>
      </c>
      <c r="AD43" s="1">
        <v>37.989999999999988</v>
      </c>
      <c r="AE43" s="1">
        <v>39.400399999999998</v>
      </c>
      <c r="AF43" s="1">
        <v>27.084399999999999</v>
      </c>
      <c r="AG43" s="1">
        <v>22.139800000000001</v>
      </c>
      <c r="AH43" s="1"/>
      <c r="AI43" s="1">
        <f t="shared" si="9"/>
        <v>96</v>
      </c>
      <c r="AJ43" s="1">
        <f t="shared" si="10"/>
        <v>133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89</v>
      </c>
      <c r="B44" s="1" t="s">
        <v>36</v>
      </c>
      <c r="C44" s="1">
        <v>219</v>
      </c>
      <c r="D44" s="1">
        <v>461</v>
      </c>
      <c r="E44" s="1">
        <v>559</v>
      </c>
      <c r="F44" s="1">
        <v>-64</v>
      </c>
      <c r="G44" s="8">
        <v>0.3</v>
      </c>
      <c r="H44" s="1">
        <v>45</v>
      </c>
      <c r="I44" s="1" t="s">
        <v>37</v>
      </c>
      <c r="J44" s="1"/>
      <c r="K44" s="1">
        <v>568</v>
      </c>
      <c r="L44" s="1">
        <f t="shared" si="21"/>
        <v>-9</v>
      </c>
      <c r="M44" s="1"/>
      <c r="N44" s="1"/>
      <c r="O44" s="1">
        <v>184</v>
      </c>
      <c r="P44" s="1">
        <v>404</v>
      </c>
      <c r="Q44" s="1">
        <f t="shared" si="22"/>
        <v>111.8</v>
      </c>
      <c r="R44" s="5">
        <f t="shared" si="14"/>
        <v>1041.2</v>
      </c>
      <c r="S44" s="5">
        <f t="shared" si="25"/>
        <v>1041</v>
      </c>
      <c r="T44" s="5">
        <f t="shared" si="7"/>
        <v>437</v>
      </c>
      <c r="U44" s="5">
        <f t="shared" si="26"/>
        <v>604</v>
      </c>
      <c r="V44" s="5"/>
      <c r="W44" s="1"/>
      <c r="X44" s="1">
        <f t="shared" si="8"/>
        <v>13.998211091234348</v>
      </c>
      <c r="Y44" s="1">
        <f t="shared" si="24"/>
        <v>4.6869409660107335</v>
      </c>
      <c r="Z44" s="1">
        <v>79.400000000000006</v>
      </c>
      <c r="AA44" s="1">
        <v>69.2</v>
      </c>
      <c r="AB44" s="1">
        <v>82.6</v>
      </c>
      <c r="AC44" s="1">
        <v>59.2</v>
      </c>
      <c r="AD44" s="1">
        <v>79.400000000000006</v>
      </c>
      <c r="AE44" s="1">
        <v>70.8</v>
      </c>
      <c r="AF44" s="1">
        <v>61.4</v>
      </c>
      <c r="AG44" s="1">
        <v>66.599999999999994</v>
      </c>
      <c r="AH44" s="1"/>
      <c r="AI44" s="1">
        <f t="shared" si="9"/>
        <v>131.1</v>
      </c>
      <c r="AJ44" s="1">
        <f t="shared" si="10"/>
        <v>181.2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90</v>
      </c>
      <c r="B45" s="1" t="s">
        <v>40</v>
      </c>
      <c r="C45" s="1">
        <v>46.933999999999997</v>
      </c>
      <c r="D45" s="1"/>
      <c r="E45" s="1">
        <v>12.565</v>
      </c>
      <c r="F45" s="1">
        <v>34.369</v>
      </c>
      <c r="G45" s="8">
        <v>1</v>
      </c>
      <c r="H45" s="1">
        <v>45</v>
      </c>
      <c r="I45" s="1" t="s">
        <v>37</v>
      </c>
      <c r="J45" s="1"/>
      <c r="K45" s="1">
        <v>12</v>
      </c>
      <c r="L45" s="1">
        <f t="shared" si="21"/>
        <v>0.5649999999999995</v>
      </c>
      <c r="M45" s="1"/>
      <c r="N45" s="1"/>
      <c r="O45" s="1">
        <v>0</v>
      </c>
      <c r="P45" s="1"/>
      <c r="Q45" s="1">
        <f t="shared" si="22"/>
        <v>2.5129999999999999</v>
      </c>
      <c r="R45" s="5"/>
      <c r="S45" s="5">
        <f t="shared" si="6"/>
        <v>0</v>
      </c>
      <c r="T45" s="5">
        <f t="shared" si="7"/>
        <v>0</v>
      </c>
      <c r="U45" s="5"/>
      <c r="V45" s="5"/>
      <c r="W45" s="1"/>
      <c r="X45" s="1">
        <f t="shared" si="8"/>
        <v>13.676482292081179</v>
      </c>
      <c r="Y45" s="1">
        <f t="shared" si="24"/>
        <v>13.676482292081179</v>
      </c>
      <c r="Z45" s="1">
        <v>2.1920000000000002</v>
      </c>
      <c r="AA45" s="1">
        <v>0.88000000000000012</v>
      </c>
      <c r="AB45" s="1">
        <v>1.6761999999999999</v>
      </c>
      <c r="AC45" s="1">
        <v>3.9973999999999998</v>
      </c>
      <c r="AD45" s="1">
        <v>2.5049999999999999</v>
      </c>
      <c r="AE45" s="1">
        <v>1.8540000000000001</v>
      </c>
      <c r="AF45" s="1">
        <v>3.1057999999999999</v>
      </c>
      <c r="AG45" s="1">
        <v>1.5598000000000001</v>
      </c>
      <c r="AH45" s="24" t="s">
        <v>151</v>
      </c>
      <c r="AI45" s="1">
        <f t="shared" si="9"/>
        <v>0</v>
      </c>
      <c r="AJ45" s="1">
        <f t="shared" si="10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91</v>
      </c>
      <c r="B46" s="1" t="s">
        <v>36</v>
      </c>
      <c r="C46" s="1">
        <v>891</v>
      </c>
      <c r="D46" s="1">
        <v>878</v>
      </c>
      <c r="E46" s="1">
        <v>762</v>
      </c>
      <c r="F46" s="1">
        <v>341</v>
      </c>
      <c r="G46" s="8">
        <v>0.35</v>
      </c>
      <c r="H46" s="1">
        <v>45</v>
      </c>
      <c r="I46" s="11" t="s">
        <v>43</v>
      </c>
      <c r="J46" s="1"/>
      <c r="K46" s="1">
        <v>794</v>
      </c>
      <c r="L46" s="1">
        <f t="shared" si="21"/>
        <v>-32</v>
      </c>
      <c r="M46" s="1"/>
      <c r="N46" s="1"/>
      <c r="O46" s="1">
        <v>173</v>
      </c>
      <c r="P46" s="1">
        <v>379</v>
      </c>
      <c r="Q46" s="1">
        <f t="shared" si="22"/>
        <v>152.4</v>
      </c>
      <c r="R46" s="5">
        <f t="shared" si="14"/>
        <v>1240.5999999999999</v>
      </c>
      <c r="S46" s="5">
        <f t="shared" ref="S46:S48" si="27">ROUND(R46,0)</f>
        <v>1241</v>
      </c>
      <c r="T46" s="5">
        <f t="shared" si="7"/>
        <v>521</v>
      </c>
      <c r="U46" s="5">
        <f t="shared" ref="U46:U50" si="28">ROUND($U$1*S46,0)</f>
        <v>720</v>
      </c>
      <c r="V46" s="5"/>
      <c r="W46" s="1"/>
      <c r="X46" s="1">
        <f t="shared" si="8"/>
        <v>14.00262467191601</v>
      </c>
      <c r="Y46" s="1">
        <f t="shared" si="24"/>
        <v>5.8595800524934383</v>
      </c>
      <c r="Z46" s="1">
        <v>124.2</v>
      </c>
      <c r="AA46" s="1">
        <v>131.19999999999999</v>
      </c>
      <c r="AB46" s="1">
        <v>176.6</v>
      </c>
      <c r="AC46" s="1">
        <v>154.19999999999999</v>
      </c>
      <c r="AD46" s="1">
        <v>214.6</v>
      </c>
      <c r="AE46" s="1">
        <v>135</v>
      </c>
      <c r="AF46" s="1">
        <v>124.2</v>
      </c>
      <c r="AG46" s="1">
        <v>149</v>
      </c>
      <c r="AH46" s="1" t="s">
        <v>38</v>
      </c>
      <c r="AI46" s="1">
        <f t="shared" si="9"/>
        <v>182.35</v>
      </c>
      <c r="AJ46" s="1">
        <f t="shared" si="10"/>
        <v>251.99999999999997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92</v>
      </c>
      <c r="B47" s="1" t="s">
        <v>36</v>
      </c>
      <c r="C47" s="1">
        <v>15</v>
      </c>
      <c r="D47" s="1">
        <v>524</v>
      </c>
      <c r="E47" s="1">
        <v>366</v>
      </c>
      <c r="F47" s="1">
        <v>77</v>
      </c>
      <c r="G47" s="8">
        <v>0.41</v>
      </c>
      <c r="H47" s="1">
        <v>45</v>
      </c>
      <c r="I47" s="1" t="s">
        <v>37</v>
      </c>
      <c r="J47" s="1"/>
      <c r="K47" s="1">
        <v>427</v>
      </c>
      <c r="L47" s="1">
        <f t="shared" si="21"/>
        <v>-61</v>
      </c>
      <c r="M47" s="1"/>
      <c r="N47" s="1"/>
      <c r="O47" s="1">
        <v>97</v>
      </c>
      <c r="P47" s="1">
        <v>211</v>
      </c>
      <c r="Q47" s="1">
        <f t="shared" si="22"/>
        <v>73.2</v>
      </c>
      <c r="R47" s="5">
        <f t="shared" si="14"/>
        <v>639.79999999999995</v>
      </c>
      <c r="S47" s="5">
        <f t="shared" si="27"/>
        <v>640</v>
      </c>
      <c r="T47" s="5">
        <f t="shared" si="7"/>
        <v>269</v>
      </c>
      <c r="U47" s="5">
        <f t="shared" si="28"/>
        <v>371</v>
      </c>
      <c r="V47" s="5"/>
      <c r="W47" s="1"/>
      <c r="X47" s="1">
        <f t="shared" si="8"/>
        <v>14.002732240437158</v>
      </c>
      <c r="Y47" s="1">
        <f t="shared" si="24"/>
        <v>5.2595628415300544</v>
      </c>
      <c r="Z47" s="1">
        <v>55.2</v>
      </c>
      <c r="AA47" s="1">
        <v>54</v>
      </c>
      <c r="AB47" s="1">
        <v>47.8</v>
      </c>
      <c r="AC47" s="1">
        <v>56.4</v>
      </c>
      <c r="AD47" s="1">
        <v>46.6</v>
      </c>
      <c r="AE47" s="1">
        <v>60.6</v>
      </c>
      <c r="AF47" s="1">
        <v>46.6</v>
      </c>
      <c r="AG47" s="1">
        <v>50.8</v>
      </c>
      <c r="AH47" s="1" t="s">
        <v>50</v>
      </c>
      <c r="AI47" s="1">
        <f t="shared" si="9"/>
        <v>110.28999999999999</v>
      </c>
      <c r="AJ47" s="1">
        <f t="shared" si="10"/>
        <v>152.10999999999999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93</v>
      </c>
      <c r="B48" s="1" t="s">
        <v>36</v>
      </c>
      <c r="C48" s="1"/>
      <c r="D48" s="1">
        <v>128</v>
      </c>
      <c r="E48" s="1">
        <v>66</v>
      </c>
      <c r="F48" s="1">
        <v>52</v>
      </c>
      <c r="G48" s="8">
        <v>0.41</v>
      </c>
      <c r="H48" s="1">
        <v>45</v>
      </c>
      <c r="I48" s="1" t="s">
        <v>37</v>
      </c>
      <c r="J48" s="1"/>
      <c r="K48" s="1">
        <v>68</v>
      </c>
      <c r="L48" s="1">
        <f t="shared" si="21"/>
        <v>-2</v>
      </c>
      <c r="M48" s="1"/>
      <c r="N48" s="1"/>
      <c r="O48" s="1">
        <v>9</v>
      </c>
      <c r="P48" s="1"/>
      <c r="Q48" s="1">
        <f t="shared" si="22"/>
        <v>13.2</v>
      </c>
      <c r="R48" s="5">
        <f t="shared" si="14"/>
        <v>123.79999999999998</v>
      </c>
      <c r="S48" s="5">
        <f t="shared" si="27"/>
        <v>124</v>
      </c>
      <c r="T48" s="5">
        <f t="shared" si="7"/>
        <v>52</v>
      </c>
      <c r="U48" s="5">
        <f t="shared" si="28"/>
        <v>72</v>
      </c>
      <c r="V48" s="5"/>
      <c r="W48" s="1"/>
      <c r="X48" s="1">
        <f t="shared" si="8"/>
        <v>14.015151515151516</v>
      </c>
      <c r="Y48" s="1">
        <f t="shared" si="24"/>
        <v>4.6212121212121211</v>
      </c>
      <c r="Z48" s="1">
        <v>9.4</v>
      </c>
      <c r="AA48" s="1">
        <v>13.6</v>
      </c>
      <c r="AB48" s="1">
        <v>2</v>
      </c>
      <c r="AC48" s="1">
        <v>17</v>
      </c>
      <c r="AD48" s="1">
        <v>4.5999999999999996</v>
      </c>
      <c r="AE48" s="1">
        <v>8.6</v>
      </c>
      <c r="AF48" s="1">
        <v>11.2</v>
      </c>
      <c r="AG48" s="1">
        <v>4.4000000000000004</v>
      </c>
      <c r="AH48" s="1"/>
      <c r="AI48" s="1">
        <f t="shared" si="9"/>
        <v>21.32</v>
      </c>
      <c r="AJ48" s="1">
        <f t="shared" si="10"/>
        <v>29.52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94</v>
      </c>
      <c r="B49" s="1" t="s">
        <v>36</v>
      </c>
      <c r="C49" s="1">
        <v>6</v>
      </c>
      <c r="D49" s="1">
        <v>676</v>
      </c>
      <c r="E49" s="1">
        <v>270</v>
      </c>
      <c r="F49" s="1">
        <v>255</v>
      </c>
      <c r="G49" s="8">
        <v>0.36</v>
      </c>
      <c r="H49" s="1">
        <v>45</v>
      </c>
      <c r="I49" s="1" t="s">
        <v>37</v>
      </c>
      <c r="J49" s="1"/>
      <c r="K49" s="1">
        <v>402</v>
      </c>
      <c r="L49" s="1">
        <f t="shared" si="21"/>
        <v>-132</v>
      </c>
      <c r="M49" s="1"/>
      <c r="N49" s="1"/>
      <c r="O49" s="1">
        <v>192</v>
      </c>
      <c r="P49" s="1"/>
      <c r="Q49" s="1">
        <f t="shared" si="22"/>
        <v>54</v>
      </c>
      <c r="R49" s="5">
        <f t="shared" si="14"/>
        <v>309</v>
      </c>
      <c r="S49" s="5">
        <f>V49</f>
        <v>340</v>
      </c>
      <c r="T49" s="5">
        <f t="shared" si="7"/>
        <v>143</v>
      </c>
      <c r="U49" s="5">
        <f t="shared" si="28"/>
        <v>197</v>
      </c>
      <c r="V49" s="5">
        <v>340</v>
      </c>
      <c r="W49" s="1" t="s">
        <v>155</v>
      </c>
      <c r="X49" s="1">
        <f t="shared" si="8"/>
        <v>14.574074074074074</v>
      </c>
      <c r="Y49" s="1">
        <f t="shared" si="24"/>
        <v>8.2777777777777786</v>
      </c>
      <c r="Z49" s="1">
        <v>50.2</v>
      </c>
      <c r="AA49" s="1">
        <v>56</v>
      </c>
      <c r="AB49" s="1">
        <v>50</v>
      </c>
      <c r="AC49" s="1">
        <v>67</v>
      </c>
      <c r="AD49" s="1">
        <v>50.4</v>
      </c>
      <c r="AE49" s="1">
        <v>51</v>
      </c>
      <c r="AF49" s="1">
        <v>47.2</v>
      </c>
      <c r="AG49" s="1">
        <v>65.400000000000006</v>
      </c>
      <c r="AH49" s="1" t="s">
        <v>50</v>
      </c>
      <c r="AI49" s="1">
        <f t="shared" si="9"/>
        <v>51.48</v>
      </c>
      <c r="AJ49" s="1">
        <f t="shared" si="10"/>
        <v>70.92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95</v>
      </c>
      <c r="B50" s="1" t="s">
        <v>36</v>
      </c>
      <c r="C50" s="1">
        <v>82</v>
      </c>
      <c r="D50" s="1">
        <v>2</v>
      </c>
      <c r="E50" s="1">
        <v>76</v>
      </c>
      <c r="F50" s="1">
        <v>6</v>
      </c>
      <c r="G50" s="8">
        <v>0.33</v>
      </c>
      <c r="H50" s="1">
        <v>45</v>
      </c>
      <c r="I50" s="1" t="s">
        <v>37</v>
      </c>
      <c r="J50" s="1"/>
      <c r="K50" s="1">
        <v>78</v>
      </c>
      <c r="L50" s="1">
        <f t="shared" si="21"/>
        <v>-2</v>
      </c>
      <c r="M50" s="1"/>
      <c r="N50" s="1"/>
      <c r="O50" s="1">
        <v>102</v>
      </c>
      <c r="P50" s="1"/>
      <c r="Q50" s="1">
        <f t="shared" si="22"/>
        <v>15.2</v>
      </c>
      <c r="R50" s="5">
        <f t="shared" si="14"/>
        <v>104.79999999999998</v>
      </c>
      <c r="S50" s="5">
        <f>ROUND(R50,0)</f>
        <v>105</v>
      </c>
      <c r="T50" s="5">
        <f t="shared" si="7"/>
        <v>44</v>
      </c>
      <c r="U50" s="5">
        <f t="shared" si="28"/>
        <v>61</v>
      </c>
      <c r="V50" s="5"/>
      <c r="W50" s="1"/>
      <c r="X50" s="1">
        <f t="shared" si="8"/>
        <v>14.013157894736842</v>
      </c>
      <c r="Y50" s="1">
        <f t="shared" si="24"/>
        <v>7.1052631578947372</v>
      </c>
      <c r="Z50" s="1">
        <v>12.4</v>
      </c>
      <c r="AA50" s="1">
        <v>6.8</v>
      </c>
      <c r="AB50" s="1">
        <v>24.2</v>
      </c>
      <c r="AC50" s="1">
        <v>6.2</v>
      </c>
      <c r="AD50" s="1">
        <v>-0.8</v>
      </c>
      <c r="AE50" s="1">
        <v>19.600000000000001</v>
      </c>
      <c r="AF50" s="1">
        <v>3.4</v>
      </c>
      <c r="AG50" s="1">
        <v>8.8000000000000007</v>
      </c>
      <c r="AH50" s="1" t="s">
        <v>50</v>
      </c>
      <c r="AI50" s="1">
        <f t="shared" si="9"/>
        <v>14.520000000000001</v>
      </c>
      <c r="AJ50" s="1">
        <f t="shared" si="10"/>
        <v>20.130000000000003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96</v>
      </c>
      <c r="B51" s="1" t="s">
        <v>36</v>
      </c>
      <c r="C51" s="1">
        <v>37</v>
      </c>
      <c r="D51" s="1">
        <v>3</v>
      </c>
      <c r="E51" s="1">
        <v>5</v>
      </c>
      <c r="F51" s="1">
        <v>34</v>
      </c>
      <c r="G51" s="8">
        <v>0.33</v>
      </c>
      <c r="H51" s="1">
        <v>45</v>
      </c>
      <c r="I51" s="1" t="s">
        <v>37</v>
      </c>
      <c r="J51" s="1"/>
      <c r="K51" s="1">
        <v>6</v>
      </c>
      <c r="L51" s="1">
        <f t="shared" si="21"/>
        <v>-1</v>
      </c>
      <c r="M51" s="1"/>
      <c r="N51" s="1"/>
      <c r="O51" s="1">
        <v>0</v>
      </c>
      <c r="P51" s="1"/>
      <c r="Q51" s="1">
        <f t="shared" si="22"/>
        <v>1</v>
      </c>
      <c r="R51" s="5"/>
      <c r="S51" s="5">
        <f t="shared" si="6"/>
        <v>0</v>
      </c>
      <c r="T51" s="5">
        <f t="shared" si="7"/>
        <v>0</v>
      </c>
      <c r="U51" s="5"/>
      <c r="V51" s="5"/>
      <c r="W51" s="1"/>
      <c r="X51" s="1">
        <f t="shared" si="8"/>
        <v>34</v>
      </c>
      <c r="Y51" s="1">
        <f t="shared" si="24"/>
        <v>34</v>
      </c>
      <c r="Z51" s="1">
        <v>1.2</v>
      </c>
      <c r="AA51" s="1">
        <v>0</v>
      </c>
      <c r="AB51" s="1">
        <v>8</v>
      </c>
      <c r="AC51" s="1">
        <v>2</v>
      </c>
      <c r="AD51" s="1">
        <v>0.2</v>
      </c>
      <c r="AE51" s="1">
        <v>3.4</v>
      </c>
      <c r="AF51" s="1">
        <v>3</v>
      </c>
      <c r="AG51" s="1">
        <v>2</v>
      </c>
      <c r="AH51" s="24" t="s">
        <v>149</v>
      </c>
      <c r="AI51" s="1">
        <f t="shared" si="9"/>
        <v>0</v>
      </c>
      <c r="AJ51" s="1">
        <f t="shared" si="10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97</v>
      </c>
      <c r="B52" s="1" t="s">
        <v>36</v>
      </c>
      <c r="C52" s="1">
        <v>273</v>
      </c>
      <c r="D52" s="1">
        <v>64</v>
      </c>
      <c r="E52" s="1">
        <v>268</v>
      </c>
      <c r="F52" s="1">
        <v>3</v>
      </c>
      <c r="G52" s="8">
        <v>0.33</v>
      </c>
      <c r="H52" s="1">
        <v>45</v>
      </c>
      <c r="I52" s="1" t="s">
        <v>37</v>
      </c>
      <c r="J52" s="1"/>
      <c r="K52" s="1">
        <v>295</v>
      </c>
      <c r="L52" s="1">
        <f t="shared" si="21"/>
        <v>-27</v>
      </c>
      <c r="M52" s="1"/>
      <c r="N52" s="1"/>
      <c r="O52" s="1">
        <v>103</v>
      </c>
      <c r="P52" s="1">
        <v>226</v>
      </c>
      <c r="Q52" s="1">
        <f t="shared" si="22"/>
        <v>53.6</v>
      </c>
      <c r="R52" s="5">
        <f t="shared" si="14"/>
        <v>418.4</v>
      </c>
      <c r="S52" s="5">
        <f t="shared" ref="S52:S54" si="29">ROUND(R52,0)</f>
        <v>418</v>
      </c>
      <c r="T52" s="5">
        <f t="shared" si="7"/>
        <v>176</v>
      </c>
      <c r="U52" s="5">
        <f>ROUND($U$1*S52,0)</f>
        <v>242</v>
      </c>
      <c r="V52" s="5"/>
      <c r="W52" s="1"/>
      <c r="X52" s="1">
        <f t="shared" si="8"/>
        <v>13.992537313432836</v>
      </c>
      <c r="Y52" s="1">
        <f t="shared" si="24"/>
        <v>6.1940298507462686</v>
      </c>
      <c r="Z52" s="1">
        <v>42.8</v>
      </c>
      <c r="AA52" s="1">
        <v>13.8</v>
      </c>
      <c r="AB52" s="1">
        <v>61.2</v>
      </c>
      <c r="AC52" s="1">
        <v>35.200000000000003</v>
      </c>
      <c r="AD52" s="1">
        <v>16.2</v>
      </c>
      <c r="AE52" s="1">
        <v>55</v>
      </c>
      <c r="AF52" s="1">
        <v>27</v>
      </c>
      <c r="AG52" s="1">
        <v>31</v>
      </c>
      <c r="AH52" s="1" t="s">
        <v>38</v>
      </c>
      <c r="AI52" s="1">
        <f t="shared" si="9"/>
        <v>58.080000000000005</v>
      </c>
      <c r="AJ52" s="1">
        <f t="shared" si="10"/>
        <v>79.86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98</v>
      </c>
      <c r="B53" s="1" t="s">
        <v>36</v>
      </c>
      <c r="C53" s="1">
        <v>54</v>
      </c>
      <c r="D53" s="1">
        <v>8</v>
      </c>
      <c r="E53" s="1">
        <v>41</v>
      </c>
      <c r="F53" s="1">
        <v>10</v>
      </c>
      <c r="G53" s="8">
        <v>0.33</v>
      </c>
      <c r="H53" s="1">
        <v>45</v>
      </c>
      <c r="I53" s="1" t="s">
        <v>37</v>
      </c>
      <c r="J53" s="1"/>
      <c r="K53" s="1">
        <v>50</v>
      </c>
      <c r="L53" s="1">
        <f t="shared" si="21"/>
        <v>-9</v>
      </c>
      <c r="M53" s="1"/>
      <c r="N53" s="1"/>
      <c r="O53" s="1">
        <v>8</v>
      </c>
      <c r="P53" s="1"/>
      <c r="Q53" s="1">
        <f t="shared" si="22"/>
        <v>8.1999999999999993</v>
      </c>
      <c r="R53" s="5">
        <f>11*Q53-P53-O53-F53</f>
        <v>72.199999999999989</v>
      </c>
      <c r="S53" s="5">
        <f t="shared" si="29"/>
        <v>72</v>
      </c>
      <c r="T53" s="5">
        <f t="shared" si="7"/>
        <v>72</v>
      </c>
      <c r="U53" s="5"/>
      <c r="V53" s="5"/>
      <c r="W53" s="1"/>
      <c r="X53" s="1">
        <f t="shared" si="8"/>
        <v>10.975609756097562</v>
      </c>
      <c r="Y53" s="1">
        <f t="shared" si="24"/>
        <v>2.1951219512195124</v>
      </c>
      <c r="Z53" s="1">
        <v>4</v>
      </c>
      <c r="AA53" s="1">
        <v>-0.2</v>
      </c>
      <c r="AB53" s="1">
        <v>16.399999999999999</v>
      </c>
      <c r="AC53" s="1">
        <v>3.8</v>
      </c>
      <c r="AD53" s="1">
        <v>0.8</v>
      </c>
      <c r="AE53" s="1">
        <v>10.8</v>
      </c>
      <c r="AF53" s="1">
        <v>4</v>
      </c>
      <c r="AG53" s="1">
        <v>6.2</v>
      </c>
      <c r="AH53" s="1" t="s">
        <v>50</v>
      </c>
      <c r="AI53" s="1">
        <f t="shared" si="9"/>
        <v>23.76</v>
      </c>
      <c r="AJ53" s="1">
        <f t="shared" si="10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99</v>
      </c>
      <c r="B54" s="1" t="s">
        <v>40</v>
      </c>
      <c r="C54" s="1">
        <v>-0.53600000000000003</v>
      </c>
      <c r="D54" s="1">
        <v>486.28800000000001</v>
      </c>
      <c r="E54" s="1">
        <v>319.49</v>
      </c>
      <c r="F54" s="1">
        <v>161.12899999999999</v>
      </c>
      <c r="G54" s="8">
        <v>1</v>
      </c>
      <c r="H54" s="1">
        <v>45</v>
      </c>
      <c r="I54" s="1" t="s">
        <v>37</v>
      </c>
      <c r="J54" s="1"/>
      <c r="K54" s="1">
        <v>388.6</v>
      </c>
      <c r="L54" s="1">
        <f t="shared" si="21"/>
        <v>-69.110000000000014</v>
      </c>
      <c r="M54" s="1"/>
      <c r="N54" s="1"/>
      <c r="O54" s="1">
        <v>170</v>
      </c>
      <c r="P54" s="1">
        <v>373</v>
      </c>
      <c r="Q54" s="1">
        <f t="shared" si="22"/>
        <v>63.898000000000003</v>
      </c>
      <c r="R54" s="5">
        <f t="shared" si="14"/>
        <v>190.44300000000001</v>
      </c>
      <c r="S54" s="5">
        <f t="shared" si="29"/>
        <v>190</v>
      </c>
      <c r="T54" s="5">
        <f t="shared" si="7"/>
        <v>80</v>
      </c>
      <c r="U54" s="5">
        <f>ROUND($U$1*S54,0)</f>
        <v>110</v>
      </c>
      <c r="V54" s="5"/>
      <c r="W54" s="1"/>
      <c r="X54" s="1">
        <f t="shared" si="8"/>
        <v>13.993067075651819</v>
      </c>
      <c r="Y54" s="1">
        <f t="shared" si="24"/>
        <v>11.019578077561112</v>
      </c>
      <c r="Z54" s="1">
        <v>74.606200000000001</v>
      </c>
      <c r="AA54" s="1">
        <v>104.14660000000001</v>
      </c>
      <c r="AB54" s="1">
        <v>82.945000000000007</v>
      </c>
      <c r="AC54" s="1">
        <v>96.178799999999995</v>
      </c>
      <c r="AD54" s="1">
        <v>105.8878</v>
      </c>
      <c r="AE54" s="1">
        <v>102.283</v>
      </c>
      <c r="AF54" s="1">
        <v>79.399199999999993</v>
      </c>
      <c r="AG54" s="1">
        <v>102.687</v>
      </c>
      <c r="AH54" s="1"/>
      <c r="AI54" s="1">
        <f t="shared" si="9"/>
        <v>80</v>
      </c>
      <c r="AJ54" s="1">
        <f t="shared" si="10"/>
        <v>110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100</v>
      </c>
      <c r="B55" s="1" t="s">
        <v>40</v>
      </c>
      <c r="C55" s="1">
        <v>33.921999999999997</v>
      </c>
      <c r="D55" s="1"/>
      <c r="E55" s="1">
        <v>10.318</v>
      </c>
      <c r="F55" s="1">
        <v>23.26</v>
      </c>
      <c r="G55" s="8">
        <v>1</v>
      </c>
      <c r="H55" s="1">
        <v>30</v>
      </c>
      <c r="I55" s="1" t="s">
        <v>37</v>
      </c>
      <c r="J55" s="1"/>
      <c r="K55" s="1">
        <v>10.3</v>
      </c>
      <c r="L55" s="1">
        <f t="shared" si="21"/>
        <v>1.7999999999998906E-2</v>
      </c>
      <c r="M55" s="1"/>
      <c r="N55" s="1"/>
      <c r="O55" s="1">
        <v>41</v>
      </c>
      <c r="P55" s="1"/>
      <c r="Q55" s="1">
        <f t="shared" si="22"/>
        <v>2.0636000000000001</v>
      </c>
      <c r="R55" s="5"/>
      <c r="S55" s="5">
        <f t="shared" si="6"/>
        <v>0</v>
      </c>
      <c r="T55" s="5">
        <f t="shared" si="7"/>
        <v>0</v>
      </c>
      <c r="U55" s="5"/>
      <c r="V55" s="5"/>
      <c r="W55" s="1"/>
      <c r="X55" s="1">
        <f t="shared" si="8"/>
        <v>31.139755766621438</v>
      </c>
      <c r="Y55" s="1">
        <f t="shared" si="24"/>
        <v>31.139755766621438</v>
      </c>
      <c r="Z55" s="1">
        <v>5.3506</v>
      </c>
      <c r="AA55" s="1">
        <v>2.3243999999999998</v>
      </c>
      <c r="AB55" s="1">
        <v>3.9174000000000002</v>
      </c>
      <c r="AC55" s="1">
        <v>12.4856</v>
      </c>
      <c r="AD55" s="1">
        <v>7.7566000000000006</v>
      </c>
      <c r="AE55" s="1">
        <v>1.6404000000000001</v>
      </c>
      <c r="AF55" s="1">
        <v>7.5049999999999999</v>
      </c>
      <c r="AG55" s="1">
        <v>4.556</v>
      </c>
      <c r="AH55" s="22" t="s">
        <v>41</v>
      </c>
      <c r="AI55" s="1">
        <f t="shared" si="9"/>
        <v>0</v>
      </c>
      <c r="AJ55" s="1">
        <f t="shared" si="10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101</v>
      </c>
      <c r="B56" s="1" t="s">
        <v>36</v>
      </c>
      <c r="C56" s="1">
        <v>26</v>
      </c>
      <c r="D56" s="1">
        <v>63</v>
      </c>
      <c r="E56" s="1">
        <v>32</v>
      </c>
      <c r="F56" s="1">
        <v>25</v>
      </c>
      <c r="G56" s="8">
        <v>0.1</v>
      </c>
      <c r="H56" s="1">
        <v>60</v>
      </c>
      <c r="I56" s="1" t="s">
        <v>37</v>
      </c>
      <c r="J56" s="1"/>
      <c r="K56" s="1">
        <v>32</v>
      </c>
      <c r="L56" s="1">
        <f t="shared" si="21"/>
        <v>0</v>
      </c>
      <c r="M56" s="1"/>
      <c r="N56" s="1"/>
      <c r="O56" s="1">
        <v>20</v>
      </c>
      <c r="P56" s="1"/>
      <c r="Q56" s="1">
        <f t="shared" si="22"/>
        <v>6.4</v>
      </c>
      <c r="R56" s="5">
        <f t="shared" si="14"/>
        <v>44.600000000000009</v>
      </c>
      <c r="S56" s="5">
        <f>V56</f>
        <v>90</v>
      </c>
      <c r="T56" s="5">
        <f t="shared" si="7"/>
        <v>38</v>
      </c>
      <c r="U56" s="5">
        <f>ROUND($U$1*S56,0)</f>
        <v>52</v>
      </c>
      <c r="V56" s="5">
        <v>90</v>
      </c>
      <c r="W56" s="1" t="s">
        <v>158</v>
      </c>
      <c r="X56" s="1">
        <f t="shared" si="8"/>
        <v>21.09375</v>
      </c>
      <c r="Y56" s="1">
        <f t="shared" si="24"/>
        <v>7.03125</v>
      </c>
      <c r="Z56" s="1">
        <v>4.4000000000000004</v>
      </c>
      <c r="AA56" s="1">
        <v>4.4000000000000004</v>
      </c>
      <c r="AB56" s="1">
        <v>5.6</v>
      </c>
      <c r="AC56" s="1">
        <v>8.1999999999999993</v>
      </c>
      <c r="AD56" s="1">
        <v>3.8</v>
      </c>
      <c r="AE56" s="1">
        <v>6.6</v>
      </c>
      <c r="AF56" s="1">
        <v>4.8</v>
      </c>
      <c r="AG56" s="1">
        <v>2</v>
      </c>
      <c r="AH56" s="1"/>
      <c r="AI56" s="1">
        <f t="shared" si="9"/>
        <v>3.8000000000000003</v>
      </c>
      <c r="AJ56" s="1">
        <f t="shared" si="10"/>
        <v>5.2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102</v>
      </c>
      <c r="B57" s="1" t="s">
        <v>36</v>
      </c>
      <c r="C57" s="1">
        <v>53</v>
      </c>
      <c r="D57" s="1">
        <v>11</v>
      </c>
      <c r="E57" s="1">
        <v>59</v>
      </c>
      <c r="F57" s="1"/>
      <c r="G57" s="8">
        <v>0.4</v>
      </c>
      <c r="H57" s="1">
        <v>45</v>
      </c>
      <c r="I57" s="1" t="s">
        <v>37</v>
      </c>
      <c r="J57" s="1"/>
      <c r="K57" s="1">
        <v>61</v>
      </c>
      <c r="L57" s="1">
        <f t="shared" si="21"/>
        <v>-2</v>
      </c>
      <c r="M57" s="1"/>
      <c r="N57" s="1"/>
      <c r="O57" s="1">
        <v>107</v>
      </c>
      <c r="P57" s="1"/>
      <c r="Q57" s="1">
        <f t="shared" si="22"/>
        <v>11.8</v>
      </c>
      <c r="R57" s="5">
        <f t="shared" si="14"/>
        <v>58.200000000000017</v>
      </c>
      <c r="S57" s="5">
        <f t="shared" ref="S57:S58" si="30">ROUND(R57,0)</f>
        <v>58</v>
      </c>
      <c r="T57" s="5">
        <f t="shared" si="7"/>
        <v>58</v>
      </c>
      <c r="U57" s="5"/>
      <c r="V57" s="5"/>
      <c r="W57" s="1"/>
      <c r="X57" s="1">
        <f t="shared" si="8"/>
        <v>13.983050847457626</v>
      </c>
      <c r="Y57" s="1">
        <f t="shared" si="24"/>
        <v>9.0677966101694913</v>
      </c>
      <c r="Z57" s="1">
        <v>11.4</v>
      </c>
      <c r="AA57" s="1">
        <v>5.2</v>
      </c>
      <c r="AB57" s="1">
        <v>13.4</v>
      </c>
      <c r="AC57" s="1">
        <v>12.2</v>
      </c>
      <c r="AD57" s="1">
        <v>10.199999999999999</v>
      </c>
      <c r="AE57" s="1">
        <v>5.2</v>
      </c>
      <c r="AF57" s="1">
        <v>13</v>
      </c>
      <c r="AG57" s="1">
        <v>10.8</v>
      </c>
      <c r="AH57" s="1"/>
      <c r="AI57" s="1">
        <f t="shared" si="9"/>
        <v>23.200000000000003</v>
      </c>
      <c r="AJ57" s="1">
        <f t="shared" si="10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103</v>
      </c>
      <c r="B58" s="1" t="s">
        <v>40</v>
      </c>
      <c r="C58" s="1">
        <v>25.495000000000001</v>
      </c>
      <c r="D58" s="1">
        <v>5.835</v>
      </c>
      <c r="E58" s="1">
        <v>18.04</v>
      </c>
      <c r="F58" s="1">
        <v>13.29</v>
      </c>
      <c r="G58" s="8">
        <v>1</v>
      </c>
      <c r="H58" s="1">
        <v>60</v>
      </c>
      <c r="I58" s="1" t="s">
        <v>37</v>
      </c>
      <c r="J58" s="1"/>
      <c r="K58" s="1">
        <v>17.600000000000001</v>
      </c>
      <c r="L58" s="1">
        <f t="shared" si="21"/>
        <v>0.43999999999999773</v>
      </c>
      <c r="M58" s="1"/>
      <c r="N58" s="1"/>
      <c r="O58" s="1">
        <v>12</v>
      </c>
      <c r="P58" s="1"/>
      <c r="Q58" s="1">
        <f t="shared" si="22"/>
        <v>3.6079999999999997</v>
      </c>
      <c r="R58" s="5">
        <f t="shared" si="14"/>
        <v>25.221999999999994</v>
      </c>
      <c r="S58" s="5">
        <f t="shared" si="30"/>
        <v>25</v>
      </c>
      <c r="T58" s="5">
        <f t="shared" si="7"/>
        <v>25</v>
      </c>
      <c r="U58" s="5"/>
      <c r="V58" s="5"/>
      <c r="W58" s="1"/>
      <c r="X58" s="1">
        <f t="shared" si="8"/>
        <v>13.938470066518848</v>
      </c>
      <c r="Y58" s="1">
        <f t="shared" si="24"/>
        <v>7.0094235033259427</v>
      </c>
      <c r="Z58" s="1">
        <v>3.1160000000000001</v>
      </c>
      <c r="AA58" s="1">
        <v>2.109</v>
      </c>
      <c r="AB58" s="1">
        <v>5.9859999999999998</v>
      </c>
      <c r="AC58" s="1">
        <v>3.47</v>
      </c>
      <c r="AD58" s="1">
        <v>4.3890000000000002</v>
      </c>
      <c r="AE58" s="1">
        <v>5.3119999999999994</v>
      </c>
      <c r="AF58" s="1">
        <v>3.625</v>
      </c>
      <c r="AG58" s="1">
        <v>6.9370000000000003</v>
      </c>
      <c r="AH58" s="1"/>
      <c r="AI58" s="1">
        <f t="shared" si="9"/>
        <v>25</v>
      </c>
      <c r="AJ58" s="1">
        <f t="shared" si="10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104</v>
      </c>
      <c r="B59" s="1" t="s">
        <v>36</v>
      </c>
      <c r="C59" s="1">
        <v>20</v>
      </c>
      <c r="D59" s="1">
        <v>259</v>
      </c>
      <c r="E59" s="1">
        <v>120</v>
      </c>
      <c r="F59" s="1">
        <v>85</v>
      </c>
      <c r="G59" s="8">
        <v>0.25</v>
      </c>
      <c r="H59" s="1">
        <v>120</v>
      </c>
      <c r="I59" s="1" t="s">
        <v>37</v>
      </c>
      <c r="J59" s="1"/>
      <c r="K59" s="1">
        <v>120</v>
      </c>
      <c r="L59" s="1">
        <f t="shared" si="21"/>
        <v>0</v>
      </c>
      <c r="M59" s="1"/>
      <c r="N59" s="1"/>
      <c r="O59" s="1">
        <v>20</v>
      </c>
      <c r="P59" s="1"/>
      <c r="Q59" s="1">
        <f t="shared" si="22"/>
        <v>24</v>
      </c>
      <c r="R59" s="5">
        <f>13*Q59-P59-O59-F59</f>
        <v>207</v>
      </c>
      <c r="S59" s="5">
        <f t="shared" ref="S59:S60" si="31">V59</f>
        <v>250</v>
      </c>
      <c r="T59" s="5">
        <f t="shared" si="7"/>
        <v>105</v>
      </c>
      <c r="U59" s="5">
        <f>ROUND($U$1*S59,0)</f>
        <v>145</v>
      </c>
      <c r="V59" s="5">
        <v>250</v>
      </c>
      <c r="W59" s="1" t="s">
        <v>158</v>
      </c>
      <c r="X59" s="1">
        <f t="shared" si="8"/>
        <v>14.791666666666666</v>
      </c>
      <c r="Y59" s="1">
        <f t="shared" si="24"/>
        <v>4.375</v>
      </c>
      <c r="Z59" s="1">
        <v>8.4</v>
      </c>
      <c r="AA59" s="1">
        <v>17.2</v>
      </c>
      <c r="AB59" s="1">
        <v>13</v>
      </c>
      <c r="AC59" s="1">
        <v>15.4</v>
      </c>
      <c r="AD59" s="1">
        <v>9.8000000000000007</v>
      </c>
      <c r="AE59" s="1">
        <v>7</v>
      </c>
      <c r="AF59" s="1">
        <v>8.1999999999999993</v>
      </c>
      <c r="AG59" s="1">
        <v>7.2</v>
      </c>
      <c r="AH59" s="1"/>
      <c r="AI59" s="1">
        <f t="shared" si="9"/>
        <v>26.25</v>
      </c>
      <c r="AJ59" s="1">
        <f t="shared" si="10"/>
        <v>36.25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106</v>
      </c>
      <c r="B60" s="1" t="s">
        <v>40</v>
      </c>
      <c r="C60" s="1">
        <v>30.245000000000001</v>
      </c>
      <c r="D60" s="1"/>
      <c r="E60" s="1">
        <v>11.13</v>
      </c>
      <c r="F60" s="1">
        <v>18.05</v>
      </c>
      <c r="G60" s="8">
        <v>1</v>
      </c>
      <c r="H60" s="1">
        <v>45</v>
      </c>
      <c r="I60" s="1" t="s">
        <v>37</v>
      </c>
      <c r="J60" s="1"/>
      <c r="K60" s="1">
        <v>32</v>
      </c>
      <c r="L60" s="1">
        <f t="shared" si="21"/>
        <v>-20.869999999999997</v>
      </c>
      <c r="M60" s="1"/>
      <c r="N60" s="1"/>
      <c r="O60" s="1">
        <v>7</v>
      </c>
      <c r="P60" s="1"/>
      <c r="Q60" s="1">
        <f t="shared" si="22"/>
        <v>2.226</v>
      </c>
      <c r="R60" s="5">
        <f t="shared" si="14"/>
        <v>6.1140000000000008</v>
      </c>
      <c r="S60" s="5">
        <f t="shared" si="31"/>
        <v>30</v>
      </c>
      <c r="T60" s="5">
        <f t="shared" si="7"/>
        <v>30</v>
      </c>
      <c r="U60" s="5"/>
      <c r="V60" s="5">
        <v>30</v>
      </c>
      <c r="W60" s="1" t="s">
        <v>158</v>
      </c>
      <c r="X60" s="1">
        <f t="shared" si="8"/>
        <v>24.730458221024257</v>
      </c>
      <c r="Y60" s="1">
        <f t="shared" si="24"/>
        <v>11.253369272237197</v>
      </c>
      <c r="Z60" s="1">
        <v>2.6602000000000001</v>
      </c>
      <c r="AA60" s="1">
        <v>2.9449999999999998</v>
      </c>
      <c r="AB60" s="1">
        <v>4.2946</v>
      </c>
      <c r="AC60" s="1">
        <v>3.7385999999999999</v>
      </c>
      <c r="AD60" s="1">
        <v>1.8577999999999999</v>
      </c>
      <c r="AE60" s="1">
        <v>11.2286</v>
      </c>
      <c r="AF60" s="1">
        <v>3.6217999999999999</v>
      </c>
      <c r="AG60" s="1">
        <v>5.2949999999999999</v>
      </c>
      <c r="AH60" s="1"/>
      <c r="AI60" s="1">
        <f t="shared" si="9"/>
        <v>30</v>
      </c>
      <c r="AJ60" s="1">
        <f t="shared" si="10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107</v>
      </c>
      <c r="B61" s="1" t="s">
        <v>36</v>
      </c>
      <c r="C61" s="1">
        <v>391</v>
      </c>
      <c r="D61" s="1">
        <v>1213</v>
      </c>
      <c r="E61" s="21">
        <f>1098+E92</f>
        <v>1113</v>
      </c>
      <c r="F61" s="21">
        <f>350+F92</f>
        <v>383</v>
      </c>
      <c r="G61" s="8">
        <v>0.41</v>
      </c>
      <c r="H61" s="1">
        <v>50</v>
      </c>
      <c r="I61" s="1" t="s">
        <v>37</v>
      </c>
      <c r="J61" s="1"/>
      <c r="K61" s="1">
        <v>1361</v>
      </c>
      <c r="L61" s="1">
        <f t="shared" si="21"/>
        <v>-248</v>
      </c>
      <c r="M61" s="1"/>
      <c r="N61" s="1"/>
      <c r="O61" s="1">
        <v>184</v>
      </c>
      <c r="P61" s="1">
        <v>403</v>
      </c>
      <c r="Q61" s="1">
        <f t="shared" si="22"/>
        <v>222.6</v>
      </c>
      <c r="R61" s="5">
        <f>13*Q61-P61-O61-F61</f>
        <v>1923.7999999999997</v>
      </c>
      <c r="S61" s="5">
        <f>ROUND(R61,0)</f>
        <v>1924</v>
      </c>
      <c r="T61" s="5">
        <f t="shared" si="7"/>
        <v>808</v>
      </c>
      <c r="U61" s="5">
        <f t="shared" ref="U61:U63" si="32">ROUND($U$1*S61,0)</f>
        <v>1116</v>
      </c>
      <c r="V61" s="5"/>
      <c r="W61" s="1"/>
      <c r="X61" s="1">
        <f t="shared" si="8"/>
        <v>13.000898472596585</v>
      </c>
      <c r="Y61" s="1">
        <f t="shared" si="24"/>
        <v>4.3575920934411503</v>
      </c>
      <c r="Z61" s="1">
        <v>152.80000000000001</v>
      </c>
      <c r="AA61" s="1">
        <v>167.2</v>
      </c>
      <c r="AB61" s="1">
        <v>163.80000000000001</v>
      </c>
      <c r="AC61" s="1">
        <v>139.80000000000001</v>
      </c>
      <c r="AD61" s="1">
        <v>272.60000000000002</v>
      </c>
      <c r="AE61" s="1">
        <v>151.6</v>
      </c>
      <c r="AF61" s="1">
        <v>337.8</v>
      </c>
      <c r="AG61" s="1">
        <v>183.90880000000001</v>
      </c>
      <c r="AH61" s="1" t="s">
        <v>50</v>
      </c>
      <c r="AI61" s="1">
        <f t="shared" si="9"/>
        <v>331.28</v>
      </c>
      <c r="AJ61" s="1">
        <f t="shared" si="10"/>
        <v>457.55999999999995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108</v>
      </c>
      <c r="B62" s="1" t="s">
        <v>40</v>
      </c>
      <c r="C62" s="1">
        <v>3.036</v>
      </c>
      <c r="D62" s="1">
        <v>531.64499999999998</v>
      </c>
      <c r="E62" s="21">
        <f>343.105+E93</f>
        <v>388.298</v>
      </c>
      <c r="F62" s="21">
        <f>190.642+F93</f>
        <v>159.69800000000001</v>
      </c>
      <c r="G62" s="8">
        <v>1</v>
      </c>
      <c r="H62" s="1">
        <v>50</v>
      </c>
      <c r="I62" s="1" t="s">
        <v>37</v>
      </c>
      <c r="J62" s="1"/>
      <c r="K62" s="1">
        <v>331.6</v>
      </c>
      <c r="L62" s="1">
        <f t="shared" si="21"/>
        <v>56.697999999999979</v>
      </c>
      <c r="M62" s="1"/>
      <c r="N62" s="1"/>
      <c r="O62" s="1">
        <v>167</v>
      </c>
      <c r="P62" s="1">
        <v>366</v>
      </c>
      <c r="Q62" s="1">
        <f t="shared" si="22"/>
        <v>77.659599999999998</v>
      </c>
      <c r="R62" s="5">
        <f t="shared" si="14"/>
        <v>394.53640000000007</v>
      </c>
      <c r="S62" s="5">
        <f>V62</f>
        <v>470</v>
      </c>
      <c r="T62" s="5">
        <f t="shared" si="7"/>
        <v>197</v>
      </c>
      <c r="U62" s="5">
        <f t="shared" si="32"/>
        <v>273</v>
      </c>
      <c r="V62" s="5">
        <v>470</v>
      </c>
      <c r="W62" s="1" t="s">
        <v>158</v>
      </c>
      <c r="X62" s="1">
        <f t="shared" si="8"/>
        <v>14.971722749022657</v>
      </c>
      <c r="Y62" s="1">
        <f t="shared" si="24"/>
        <v>8.9196699442181</v>
      </c>
      <c r="Z62" s="1">
        <v>76.335400000000007</v>
      </c>
      <c r="AA62" s="1">
        <v>64.715400000000002</v>
      </c>
      <c r="AB62" s="1">
        <v>59.761000000000003</v>
      </c>
      <c r="AC62" s="1">
        <v>71.2864</v>
      </c>
      <c r="AD62" s="1">
        <v>79.345399999999998</v>
      </c>
      <c r="AE62" s="1">
        <v>80.272800000000004</v>
      </c>
      <c r="AF62" s="1">
        <v>51.307200000000002</v>
      </c>
      <c r="AG62" s="1">
        <v>75.458600000000004</v>
      </c>
      <c r="AH62" s="1"/>
      <c r="AI62" s="1">
        <f t="shared" si="9"/>
        <v>197</v>
      </c>
      <c r="AJ62" s="1">
        <f t="shared" si="10"/>
        <v>273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109</v>
      </c>
      <c r="B63" s="1" t="s">
        <v>36</v>
      </c>
      <c r="C63" s="1">
        <v>9</v>
      </c>
      <c r="D63" s="1">
        <v>181</v>
      </c>
      <c r="E63" s="1">
        <v>133</v>
      </c>
      <c r="F63" s="1">
        <v>28</v>
      </c>
      <c r="G63" s="8">
        <v>0.35</v>
      </c>
      <c r="H63" s="1">
        <v>50</v>
      </c>
      <c r="I63" s="1" t="s">
        <v>37</v>
      </c>
      <c r="J63" s="1"/>
      <c r="K63" s="1">
        <v>134</v>
      </c>
      <c r="L63" s="1">
        <f t="shared" si="21"/>
        <v>-1</v>
      </c>
      <c r="M63" s="1"/>
      <c r="N63" s="1"/>
      <c r="O63" s="1">
        <v>56</v>
      </c>
      <c r="P63" s="1"/>
      <c r="Q63" s="1">
        <f t="shared" si="22"/>
        <v>26.6</v>
      </c>
      <c r="R63" s="5">
        <f>12*Q63-P63-O63-F63</f>
        <v>235.20000000000005</v>
      </c>
      <c r="S63" s="5">
        <f>ROUND(R63,0)</f>
        <v>235</v>
      </c>
      <c r="T63" s="5">
        <f t="shared" si="7"/>
        <v>99</v>
      </c>
      <c r="U63" s="5">
        <f t="shared" si="32"/>
        <v>136</v>
      </c>
      <c r="V63" s="5"/>
      <c r="W63" s="1"/>
      <c r="X63" s="1">
        <f t="shared" si="8"/>
        <v>11.992481203007518</v>
      </c>
      <c r="Y63" s="1">
        <f t="shared" si="24"/>
        <v>3.1578947368421053</v>
      </c>
      <c r="Z63" s="1">
        <v>16.399999999999999</v>
      </c>
      <c r="AA63" s="1">
        <v>19.600000000000001</v>
      </c>
      <c r="AB63" s="1">
        <v>10.6</v>
      </c>
      <c r="AC63" s="1">
        <v>18.8</v>
      </c>
      <c r="AD63" s="1">
        <v>20.399999999999999</v>
      </c>
      <c r="AE63" s="1">
        <v>31.2</v>
      </c>
      <c r="AF63" s="1">
        <v>20.6</v>
      </c>
      <c r="AG63" s="1">
        <v>32.799999999999997</v>
      </c>
      <c r="AH63" s="1"/>
      <c r="AI63" s="1">
        <f t="shared" si="9"/>
        <v>34.65</v>
      </c>
      <c r="AJ63" s="1">
        <f t="shared" si="10"/>
        <v>47.599999999999994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110</v>
      </c>
      <c r="B64" s="1" t="s">
        <v>40</v>
      </c>
      <c r="C64" s="1">
        <v>6.0990000000000002</v>
      </c>
      <c r="D64" s="1"/>
      <c r="E64" s="1">
        <v>4.5750000000000002</v>
      </c>
      <c r="F64" s="1">
        <v>1.524</v>
      </c>
      <c r="G64" s="8">
        <v>1</v>
      </c>
      <c r="H64" s="1">
        <v>50</v>
      </c>
      <c r="I64" s="11" t="s">
        <v>43</v>
      </c>
      <c r="J64" s="1"/>
      <c r="K64" s="1">
        <v>8</v>
      </c>
      <c r="L64" s="1">
        <f t="shared" si="21"/>
        <v>-3.4249999999999998</v>
      </c>
      <c r="M64" s="1"/>
      <c r="N64" s="1"/>
      <c r="O64" s="1">
        <v>10</v>
      </c>
      <c r="P64" s="1"/>
      <c r="Q64" s="1">
        <f t="shared" si="22"/>
        <v>0.91500000000000004</v>
      </c>
      <c r="R64" s="5">
        <v>4</v>
      </c>
      <c r="S64" s="5">
        <f>V64</f>
        <v>10</v>
      </c>
      <c r="T64" s="5">
        <f t="shared" si="7"/>
        <v>10</v>
      </c>
      <c r="U64" s="5"/>
      <c r="V64" s="5">
        <v>10</v>
      </c>
      <c r="W64" s="1" t="s">
        <v>158</v>
      </c>
      <c r="X64" s="1">
        <f t="shared" si="8"/>
        <v>23.523497267759563</v>
      </c>
      <c r="Y64" s="1">
        <f t="shared" si="24"/>
        <v>12.594535519125683</v>
      </c>
      <c r="Z64" s="1">
        <v>0.3054</v>
      </c>
      <c r="AA64" s="1">
        <v>0</v>
      </c>
      <c r="AB64" s="1">
        <v>0.30940000000000001</v>
      </c>
      <c r="AC64" s="1">
        <v>0</v>
      </c>
      <c r="AD64" s="1">
        <v>0.91780000000000006</v>
      </c>
      <c r="AE64" s="1">
        <v>0.92479999999999996</v>
      </c>
      <c r="AF64" s="1">
        <v>0.61780000000000002</v>
      </c>
      <c r="AG64" s="1">
        <v>1.4388000000000001</v>
      </c>
      <c r="AH64" s="23" t="s">
        <v>152</v>
      </c>
      <c r="AI64" s="1">
        <f t="shared" si="9"/>
        <v>10</v>
      </c>
      <c r="AJ64" s="1">
        <f t="shared" si="10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111</v>
      </c>
      <c r="B65" s="1" t="s">
        <v>36</v>
      </c>
      <c r="C65" s="1">
        <v>110</v>
      </c>
      <c r="D65" s="1">
        <v>1228</v>
      </c>
      <c r="E65" s="1">
        <v>547</v>
      </c>
      <c r="F65" s="1">
        <v>484</v>
      </c>
      <c r="G65" s="8">
        <v>0.41</v>
      </c>
      <c r="H65" s="1">
        <v>50</v>
      </c>
      <c r="I65" s="1" t="s">
        <v>37</v>
      </c>
      <c r="J65" s="1"/>
      <c r="K65" s="1">
        <v>872</v>
      </c>
      <c r="L65" s="1">
        <f t="shared" si="21"/>
        <v>-325</v>
      </c>
      <c r="M65" s="1"/>
      <c r="N65" s="1"/>
      <c r="O65" s="1">
        <v>258</v>
      </c>
      <c r="P65" s="1">
        <v>564</v>
      </c>
      <c r="Q65" s="1">
        <f t="shared" si="22"/>
        <v>109.4</v>
      </c>
      <c r="R65" s="5">
        <f t="shared" si="14"/>
        <v>225.60000000000014</v>
      </c>
      <c r="S65" s="5">
        <f>ROUND(R65,0)</f>
        <v>226</v>
      </c>
      <c r="T65" s="5">
        <f t="shared" si="7"/>
        <v>95</v>
      </c>
      <c r="U65" s="5">
        <f t="shared" ref="U65:U68" si="33">ROUND($U$1*S65,0)</f>
        <v>131</v>
      </c>
      <c r="V65" s="5"/>
      <c r="W65" s="1"/>
      <c r="X65" s="1">
        <f t="shared" si="8"/>
        <v>14.003656307129798</v>
      </c>
      <c r="Y65" s="1">
        <f t="shared" si="24"/>
        <v>11.937842778793417</v>
      </c>
      <c r="Z65" s="1">
        <v>133.80000000000001</v>
      </c>
      <c r="AA65" s="1">
        <v>127.2</v>
      </c>
      <c r="AB65" s="1">
        <v>121</v>
      </c>
      <c r="AC65" s="1">
        <v>120.2</v>
      </c>
      <c r="AD65" s="1">
        <v>114.6</v>
      </c>
      <c r="AE65" s="1">
        <v>115</v>
      </c>
      <c r="AF65" s="1">
        <v>107.6</v>
      </c>
      <c r="AG65" s="1">
        <v>118.2</v>
      </c>
      <c r="AH65" s="1" t="s">
        <v>50</v>
      </c>
      <c r="AI65" s="1">
        <f t="shared" si="9"/>
        <v>38.949999999999996</v>
      </c>
      <c r="AJ65" s="1">
        <f t="shared" si="10"/>
        <v>53.709999999999994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112</v>
      </c>
      <c r="B66" s="1" t="s">
        <v>40</v>
      </c>
      <c r="C66" s="1">
        <v>47.936999999999998</v>
      </c>
      <c r="D66" s="1">
        <v>361.13200000000001</v>
      </c>
      <c r="E66" s="1">
        <v>161.869</v>
      </c>
      <c r="F66" s="1">
        <v>239.577</v>
      </c>
      <c r="G66" s="8">
        <v>1</v>
      </c>
      <c r="H66" s="1">
        <v>50</v>
      </c>
      <c r="I66" s="1" t="s">
        <v>37</v>
      </c>
      <c r="J66" s="1"/>
      <c r="K66" s="1">
        <v>157.6</v>
      </c>
      <c r="L66" s="1">
        <f t="shared" si="21"/>
        <v>4.2690000000000055</v>
      </c>
      <c r="M66" s="1"/>
      <c r="N66" s="1"/>
      <c r="O66" s="1">
        <v>0</v>
      </c>
      <c r="P66" s="1"/>
      <c r="Q66" s="1">
        <f t="shared" si="22"/>
        <v>32.373800000000003</v>
      </c>
      <c r="R66" s="5">
        <f t="shared" si="14"/>
        <v>213.65620000000001</v>
      </c>
      <c r="S66" s="5">
        <f t="shared" ref="S66:S68" si="34">V66</f>
        <v>250</v>
      </c>
      <c r="T66" s="5">
        <f t="shared" si="7"/>
        <v>105</v>
      </c>
      <c r="U66" s="5">
        <f t="shared" si="33"/>
        <v>145</v>
      </c>
      <c r="V66" s="5">
        <v>250</v>
      </c>
      <c r="W66" s="1" t="s">
        <v>159</v>
      </c>
      <c r="X66" s="1">
        <f t="shared" si="8"/>
        <v>15.122630027985592</v>
      </c>
      <c r="Y66" s="1">
        <f t="shared" si="24"/>
        <v>7.4003360742328663</v>
      </c>
      <c r="Z66" s="1">
        <v>26.519600000000001</v>
      </c>
      <c r="AA66" s="1">
        <v>37.261600000000001</v>
      </c>
      <c r="AB66" s="1">
        <v>28.802199999999999</v>
      </c>
      <c r="AC66" s="1">
        <v>32.966999999999999</v>
      </c>
      <c r="AD66" s="1">
        <v>44.670200000000001</v>
      </c>
      <c r="AE66" s="1">
        <v>41.270200000000003</v>
      </c>
      <c r="AF66" s="1">
        <v>25.744800000000001</v>
      </c>
      <c r="AG66" s="1">
        <v>41.082799999999999</v>
      </c>
      <c r="AH66" s="1"/>
      <c r="AI66" s="1">
        <f t="shared" si="9"/>
        <v>105</v>
      </c>
      <c r="AJ66" s="1">
        <f t="shared" si="10"/>
        <v>145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113</v>
      </c>
      <c r="B67" s="1" t="s">
        <v>36</v>
      </c>
      <c r="C67" s="1">
        <v>134</v>
      </c>
      <c r="D67" s="1">
        <v>54</v>
      </c>
      <c r="E67" s="1">
        <v>155</v>
      </c>
      <c r="F67" s="1"/>
      <c r="G67" s="8">
        <v>0.3</v>
      </c>
      <c r="H67" s="1">
        <v>50</v>
      </c>
      <c r="I67" s="1" t="s">
        <v>37</v>
      </c>
      <c r="J67" s="1"/>
      <c r="K67" s="1">
        <v>258</v>
      </c>
      <c r="L67" s="1">
        <f t="shared" si="21"/>
        <v>-103</v>
      </c>
      <c r="M67" s="1"/>
      <c r="N67" s="1"/>
      <c r="O67" s="1">
        <v>89</v>
      </c>
      <c r="P67" s="1">
        <v>196</v>
      </c>
      <c r="Q67" s="1">
        <f t="shared" si="22"/>
        <v>31</v>
      </c>
      <c r="R67" s="5">
        <f t="shared" si="14"/>
        <v>149</v>
      </c>
      <c r="S67" s="5">
        <f t="shared" si="34"/>
        <v>180</v>
      </c>
      <c r="T67" s="5">
        <f t="shared" si="7"/>
        <v>76</v>
      </c>
      <c r="U67" s="5">
        <f t="shared" si="33"/>
        <v>104</v>
      </c>
      <c r="V67" s="5">
        <v>180</v>
      </c>
      <c r="W67" s="1" t="s">
        <v>160</v>
      </c>
      <c r="X67" s="1">
        <f t="shared" si="8"/>
        <v>15</v>
      </c>
      <c r="Y67" s="1">
        <f t="shared" si="24"/>
        <v>9.193548387096774</v>
      </c>
      <c r="Z67" s="1">
        <v>32.6</v>
      </c>
      <c r="AA67" s="1">
        <v>24.2</v>
      </c>
      <c r="AB67" s="1">
        <v>41.8</v>
      </c>
      <c r="AC67" s="1">
        <v>33.200000000000003</v>
      </c>
      <c r="AD67" s="1">
        <v>29.2</v>
      </c>
      <c r="AE67" s="1">
        <v>21</v>
      </c>
      <c r="AF67" s="1">
        <v>14</v>
      </c>
      <c r="AG67" s="1">
        <v>31</v>
      </c>
      <c r="AH67" s="1"/>
      <c r="AI67" s="1">
        <f t="shared" si="9"/>
        <v>22.8</v>
      </c>
      <c r="AJ67" s="1">
        <f t="shared" si="10"/>
        <v>31.2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114</v>
      </c>
      <c r="B68" s="1" t="s">
        <v>36</v>
      </c>
      <c r="C68" s="1">
        <v>118</v>
      </c>
      <c r="D68" s="1">
        <v>60</v>
      </c>
      <c r="E68" s="1">
        <v>196</v>
      </c>
      <c r="F68" s="1">
        <v>-28</v>
      </c>
      <c r="G68" s="8">
        <v>0.18</v>
      </c>
      <c r="H68" s="1">
        <v>50</v>
      </c>
      <c r="I68" s="1" t="s">
        <v>37</v>
      </c>
      <c r="J68" s="1"/>
      <c r="K68" s="1">
        <v>497</v>
      </c>
      <c r="L68" s="1">
        <f t="shared" si="21"/>
        <v>-301</v>
      </c>
      <c r="M68" s="1"/>
      <c r="N68" s="1"/>
      <c r="O68" s="1">
        <v>194</v>
      </c>
      <c r="P68" s="1">
        <v>423</v>
      </c>
      <c r="Q68" s="1">
        <f t="shared" si="22"/>
        <v>39.200000000000003</v>
      </c>
      <c r="R68" s="5"/>
      <c r="S68" s="5">
        <f t="shared" si="34"/>
        <v>100</v>
      </c>
      <c r="T68" s="5">
        <f t="shared" si="7"/>
        <v>42</v>
      </c>
      <c r="U68" s="5">
        <f t="shared" si="33"/>
        <v>58</v>
      </c>
      <c r="V68" s="5">
        <v>100</v>
      </c>
      <c r="W68" s="1" t="s">
        <v>158</v>
      </c>
      <c r="X68" s="1">
        <f t="shared" si="8"/>
        <v>17.576530612244898</v>
      </c>
      <c r="Y68" s="1">
        <f t="shared" si="24"/>
        <v>15.025510204081632</v>
      </c>
      <c r="Z68" s="1">
        <v>71</v>
      </c>
      <c r="AA68" s="1">
        <v>38.4</v>
      </c>
      <c r="AB68" s="1">
        <v>64.599999999999994</v>
      </c>
      <c r="AC68" s="1">
        <v>54.6</v>
      </c>
      <c r="AD68" s="1">
        <v>45.6</v>
      </c>
      <c r="AE68" s="1">
        <v>35.6</v>
      </c>
      <c r="AF68" s="1">
        <v>37</v>
      </c>
      <c r="AG68" s="1">
        <v>34.799999999999997</v>
      </c>
      <c r="AH68" s="1" t="s">
        <v>50</v>
      </c>
      <c r="AI68" s="1">
        <f t="shared" si="9"/>
        <v>7.56</v>
      </c>
      <c r="AJ68" s="1">
        <f t="shared" si="10"/>
        <v>10.44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115</v>
      </c>
      <c r="B69" s="1" t="s">
        <v>40</v>
      </c>
      <c r="C69" s="1">
        <v>14.198</v>
      </c>
      <c r="D69" s="1"/>
      <c r="E69" s="1">
        <v>10.866</v>
      </c>
      <c r="F69" s="1">
        <v>2.4870000000000001</v>
      </c>
      <c r="G69" s="8">
        <v>1</v>
      </c>
      <c r="H69" s="1">
        <v>45</v>
      </c>
      <c r="I69" s="1" t="s">
        <v>37</v>
      </c>
      <c r="J69" s="1"/>
      <c r="K69" s="1">
        <v>12.4</v>
      </c>
      <c r="L69" s="1">
        <f t="shared" si="21"/>
        <v>-1.5340000000000007</v>
      </c>
      <c r="M69" s="1"/>
      <c r="N69" s="1"/>
      <c r="O69" s="1">
        <v>4</v>
      </c>
      <c r="P69" s="1"/>
      <c r="Q69" s="1">
        <f t="shared" si="22"/>
        <v>2.1732</v>
      </c>
      <c r="R69" s="5">
        <f>12*Q69-P69-O69-F69</f>
        <v>19.5914</v>
      </c>
      <c r="S69" s="5">
        <f>ROUND(R69,0)</f>
        <v>20</v>
      </c>
      <c r="T69" s="5">
        <f t="shared" si="7"/>
        <v>20</v>
      </c>
      <c r="U69" s="5"/>
      <c r="V69" s="5"/>
      <c r="W69" s="1"/>
      <c r="X69" s="1">
        <f t="shared" si="8"/>
        <v>12.188017669795693</v>
      </c>
      <c r="Y69" s="1">
        <f t="shared" si="24"/>
        <v>2.9849990796981412</v>
      </c>
      <c r="Z69" s="1">
        <v>1.1816</v>
      </c>
      <c r="AA69" s="1">
        <v>0</v>
      </c>
      <c r="AB69" s="1">
        <v>1.0087999999999999</v>
      </c>
      <c r="AC69" s="1">
        <v>0</v>
      </c>
      <c r="AD69" s="1">
        <v>1.8734</v>
      </c>
      <c r="AE69" s="1">
        <v>3.4047999999999998</v>
      </c>
      <c r="AF69" s="1">
        <v>1.1941999999999999</v>
      </c>
      <c r="AG69" s="1">
        <v>1.552</v>
      </c>
      <c r="AH69" s="1"/>
      <c r="AI69" s="1">
        <f t="shared" si="9"/>
        <v>20</v>
      </c>
      <c r="AJ69" s="1">
        <f t="shared" si="10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116</v>
      </c>
      <c r="B70" s="1" t="s">
        <v>36</v>
      </c>
      <c r="C70" s="1">
        <v>63</v>
      </c>
      <c r="D70" s="1"/>
      <c r="E70" s="1">
        <v>25</v>
      </c>
      <c r="F70" s="1">
        <v>36</v>
      </c>
      <c r="G70" s="8">
        <v>0.22</v>
      </c>
      <c r="H70" s="1">
        <v>120</v>
      </c>
      <c r="I70" s="11" t="s">
        <v>43</v>
      </c>
      <c r="J70" s="1"/>
      <c r="K70" s="1">
        <v>25</v>
      </c>
      <c r="L70" s="1">
        <f t="shared" ref="L70:L95" si="35">E70-K70</f>
        <v>0</v>
      </c>
      <c r="M70" s="1"/>
      <c r="N70" s="1"/>
      <c r="O70" s="1">
        <v>50</v>
      </c>
      <c r="P70" s="1"/>
      <c r="Q70" s="1">
        <f t="shared" ref="Q70:Q95" si="36">E70/5</f>
        <v>5</v>
      </c>
      <c r="R70" s="5"/>
      <c r="S70" s="5">
        <v>40</v>
      </c>
      <c r="T70" s="5">
        <f t="shared" si="7"/>
        <v>40</v>
      </c>
      <c r="U70" s="5"/>
      <c r="V70" s="5">
        <v>50</v>
      </c>
      <c r="W70" s="1" t="s">
        <v>160</v>
      </c>
      <c r="X70" s="1">
        <f t="shared" si="8"/>
        <v>25.2</v>
      </c>
      <c r="Y70" s="1">
        <f t="shared" ref="Y70:Y95" si="37">(F70+O70+P70)/Q70</f>
        <v>17.2</v>
      </c>
      <c r="Z70" s="1">
        <v>2.6</v>
      </c>
      <c r="AA70" s="1">
        <v>4.2</v>
      </c>
      <c r="AB70" s="1">
        <v>7.8</v>
      </c>
      <c r="AC70" s="1">
        <v>-0.2</v>
      </c>
      <c r="AD70" s="1">
        <v>0</v>
      </c>
      <c r="AE70" s="1">
        <v>-0.2</v>
      </c>
      <c r="AF70" s="1">
        <v>-0.2</v>
      </c>
      <c r="AG70" s="1">
        <v>1.2</v>
      </c>
      <c r="AH70" s="26" t="s">
        <v>105</v>
      </c>
      <c r="AI70" s="1">
        <f t="shared" si="9"/>
        <v>8.8000000000000007</v>
      </c>
      <c r="AJ70" s="1">
        <f t="shared" si="10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5" t="s">
        <v>117</v>
      </c>
      <c r="B71" s="15" t="s">
        <v>36</v>
      </c>
      <c r="C71" s="15"/>
      <c r="D71" s="15"/>
      <c r="E71" s="15"/>
      <c r="F71" s="15"/>
      <c r="G71" s="16">
        <v>0</v>
      </c>
      <c r="H71" s="15">
        <v>50</v>
      </c>
      <c r="I71" s="15" t="s">
        <v>37</v>
      </c>
      <c r="J71" s="15"/>
      <c r="K71" s="15"/>
      <c r="L71" s="15">
        <f t="shared" si="35"/>
        <v>0</v>
      </c>
      <c r="M71" s="15"/>
      <c r="N71" s="15"/>
      <c r="O71" s="15">
        <v>0</v>
      </c>
      <c r="P71" s="15"/>
      <c r="Q71" s="15">
        <f t="shared" si="36"/>
        <v>0</v>
      </c>
      <c r="R71" s="17"/>
      <c r="S71" s="5">
        <f t="shared" ref="S71:S95" si="38">R71</f>
        <v>0</v>
      </c>
      <c r="T71" s="5">
        <f t="shared" ref="T71:T95" si="39">ROUND(S71-U71,0)</f>
        <v>0</v>
      </c>
      <c r="U71" s="5"/>
      <c r="V71" s="17"/>
      <c r="W71" s="15"/>
      <c r="X71" s="1" t="e">
        <f t="shared" ref="X71:X95" si="40">(F71+O71+P71+S71)/Q71</f>
        <v>#DIV/0!</v>
      </c>
      <c r="Y71" s="15" t="e">
        <f t="shared" si="37"/>
        <v>#DIV/0!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 t="s">
        <v>118</v>
      </c>
      <c r="AI71" s="1">
        <f t="shared" ref="AI71:AJ95" si="41">G71*T71</f>
        <v>0</v>
      </c>
      <c r="AJ71" s="1">
        <f t="shared" ref="AJ71:AJ95" si="42">G71*U71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119</v>
      </c>
      <c r="B72" s="1" t="s">
        <v>36</v>
      </c>
      <c r="C72" s="1">
        <v>254</v>
      </c>
      <c r="D72" s="1">
        <v>577</v>
      </c>
      <c r="E72" s="1">
        <v>488</v>
      </c>
      <c r="F72" s="1">
        <v>293</v>
      </c>
      <c r="G72" s="8">
        <v>0.35</v>
      </c>
      <c r="H72" s="1">
        <v>50</v>
      </c>
      <c r="I72" s="11" t="s">
        <v>43</v>
      </c>
      <c r="J72" s="1"/>
      <c r="K72" s="1">
        <v>494</v>
      </c>
      <c r="L72" s="1">
        <f t="shared" si="35"/>
        <v>-6</v>
      </c>
      <c r="M72" s="1"/>
      <c r="N72" s="1"/>
      <c r="O72" s="1">
        <v>193</v>
      </c>
      <c r="P72" s="1">
        <v>423</v>
      </c>
      <c r="Q72" s="1">
        <f t="shared" si="36"/>
        <v>97.6</v>
      </c>
      <c r="R72" s="5">
        <f t="shared" ref="R72" si="43">14*Q72-P72-O72-F72</f>
        <v>457.39999999999986</v>
      </c>
      <c r="S72" s="5">
        <f>ROUND(R72,0)</f>
        <v>457</v>
      </c>
      <c r="T72" s="5">
        <f t="shared" si="39"/>
        <v>192</v>
      </c>
      <c r="U72" s="5">
        <f>ROUND($U$1*S72,0)</f>
        <v>265</v>
      </c>
      <c r="V72" s="5"/>
      <c r="W72" s="1"/>
      <c r="X72" s="1">
        <f t="shared" si="40"/>
        <v>13.995901639344263</v>
      </c>
      <c r="Y72" s="1">
        <f t="shared" si="37"/>
        <v>9.3135245901639347</v>
      </c>
      <c r="Z72" s="1">
        <v>99.2</v>
      </c>
      <c r="AA72" s="1">
        <v>91.6</v>
      </c>
      <c r="AB72" s="1">
        <v>109.2</v>
      </c>
      <c r="AC72" s="1">
        <v>102.6</v>
      </c>
      <c r="AD72" s="1">
        <v>89.2</v>
      </c>
      <c r="AE72" s="1">
        <v>82.8</v>
      </c>
      <c r="AF72" s="1">
        <v>82</v>
      </c>
      <c r="AG72" s="1">
        <v>73.599999999999994</v>
      </c>
      <c r="AH72" s="1" t="s">
        <v>38</v>
      </c>
      <c r="AI72" s="1">
        <f t="shared" si="41"/>
        <v>67.199999999999989</v>
      </c>
      <c r="AJ72" s="1">
        <f t="shared" si="42"/>
        <v>92.75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120</v>
      </c>
      <c r="B73" s="1" t="s">
        <v>40</v>
      </c>
      <c r="C73" s="1">
        <v>150.41800000000001</v>
      </c>
      <c r="D73" s="1"/>
      <c r="E73" s="1">
        <v>38.899000000000001</v>
      </c>
      <c r="F73" s="1">
        <v>110.51900000000001</v>
      </c>
      <c r="G73" s="8">
        <v>1</v>
      </c>
      <c r="H73" s="1">
        <v>50</v>
      </c>
      <c r="I73" s="1" t="s">
        <v>37</v>
      </c>
      <c r="J73" s="1"/>
      <c r="K73" s="1">
        <v>39.799999999999997</v>
      </c>
      <c r="L73" s="1">
        <f t="shared" si="35"/>
        <v>-0.90099999999999625</v>
      </c>
      <c r="M73" s="1"/>
      <c r="N73" s="1"/>
      <c r="O73" s="1">
        <v>0</v>
      </c>
      <c r="P73" s="1"/>
      <c r="Q73" s="1">
        <f t="shared" si="36"/>
        <v>7.7797999999999998</v>
      </c>
      <c r="R73" s="5"/>
      <c r="S73" s="5">
        <f>V73</f>
        <v>30</v>
      </c>
      <c r="T73" s="5">
        <f t="shared" si="39"/>
        <v>30</v>
      </c>
      <c r="U73" s="5"/>
      <c r="V73" s="5">
        <v>30</v>
      </c>
      <c r="W73" s="1" t="s">
        <v>159</v>
      </c>
      <c r="X73" s="1">
        <f t="shared" si="40"/>
        <v>18.062032442993395</v>
      </c>
      <c r="Y73" s="1">
        <f t="shared" si="37"/>
        <v>14.205892182318312</v>
      </c>
      <c r="Z73" s="1">
        <v>8.1349999999999998</v>
      </c>
      <c r="AA73" s="1">
        <v>4.3328000000000007</v>
      </c>
      <c r="AB73" s="1">
        <v>18.407599999999999</v>
      </c>
      <c r="AC73" s="1">
        <v>3.2629999999999999</v>
      </c>
      <c r="AD73" s="1">
        <v>5.4391999999999996</v>
      </c>
      <c r="AE73" s="1">
        <v>8.0047999999999995</v>
      </c>
      <c r="AF73" s="1">
        <v>3.9350000000000001</v>
      </c>
      <c r="AG73" s="1">
        <v>1.6963999999999999</v>
      </c>
      <c r="AH73" s="1"/>
      <c r="AI73" s="1">
        <f t="shared" si="41"/>
        <v>30</v>
      </c>
      <c r="AJ73" s="1">
        <f t="shared" si="42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2" t="s">
        <v>121</v>
      </c>
      <c r="B74" s="12" t="s">
        <v>36</v>
      </c>
      <c r="C74" s="12">
        <v>14</v>
      </c>
      <c r="D74" s="12"/>
      <c r="E74" s="12"/>
      <c r="F74" s="12">
        <v>14</v>
      </c>
      <c r="G74" s="13">
        <v>0</v>
      </c>
      <c r="H74" s="12" t="e">
        <v>#N/A</v>
      </c>
      <c r="I74" s="12" t="s">
        <v>122</v>
      </c>
      <c r="J74" s="12"/>
      <c r="K74" s="12">
        <v>1.4</v>
      </c>
      <c r="L74" s="12">
        <f t="shared" si="35"/>
        <v>-1.4</v>
      </c>
      <c r="M74" s="12"/>
      <c r="N74" s="12"/>
      <c r="O74" s="12">
        <v>0</v>
      </c>
      <c r="P74" s="12"/>
      <c r="Q74" s="12">
        <f t="shared" si="36"/>
        <v>0</v>
      </c>
      <c r="R74" s="14"/>
      <c r="S74" s="5">
        <f t="shared" si="38"/>
        <v>0</v>
      </c>
      <c r="T74" s="5">
        <f t="shared" si="39"/>
        <v>0</v>
      </c>
      <c r="U74" s="5"/>
      <c r="V74" s="14"/>
      <c r="W74" s="12"/>
      <c r="X74" s="1" t="e">
        <f t="shared" si="40"/>
        <v>#DIV/0!</v>
      </c>
      <c r="Y74" s="12" t="e">
        <f t="shared" si="37"/>
        <v>#DIV/0!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 t="s">
        <v>123</v>
      </c>
      <c r="AI74" s="1">
        <f t="shared" si="41"/>
        <v>0</v>
      </c>
      <c r="AJ74" s="1">
        <f t="shared" si="42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124</v>
      </c>
      <c r="B75" s="1" t="s">
        <v>40</v>
      </c>
      <c r="C75" s="1">
        <v>240.697</v>
      </c>
      <c r="D75" s="1">
        <v>124.581</v>
      </c>
      <c r="E75" s="1">
        <v>278.10899999999998</v>
      </c>
      <c r="F75" s="1">
        <v>78.120999999999995</v>
      </c>
      <c r="G75" s="8">
        <v>1</v>
      </c>
      <c r="H75" s="1">
        <v>50</v>
      </c>
      <c r="I75" s="1" t="s">
        <v>37</v>
      </c>
      <c r="J75" s="1"/>
      <c r="K75" s="1">
        <v>270.3</v>
      </c>
      <c r="L75" s="1">
        <f t="shared" si="35"/>
        <v>7.8089999999999691</v>
      </c>
      <c r="M75" s="1"/>
      <c r="N75" s="1"/>
      <c r="O75" s="1">
        <v>207</v>
      </c>
      <c r="P75" s="1">
        <v>454</v>
      </c>
      <c r="Q75" s="1">
        <f t="shared" si="36"/>
        <v>55.621799999999993</v>
      </c>
      <c r="R75" s="5">
        <f t="shared" ref="R75:R87" si="44">14*Q75-P75-O75-F75</f>
        <v>39.584199999999882</v>
      </c>
      <c r="S75" s="5">
        <f t="shared" ref="S75:S77" si="45">ROUND(R75,0)</f>
        <v>40</v>
      </c>
      <c r="T75" s="5">
        <f t="shared" si="39"/>
        <v>40</v>
      </c>
      <c r="U75" s="5"/>
      <c r="V75" s="5"/>
      <c r="W75" s="1"/>
      <c r="X75" s="1">
        <f t="shared" si="40"/>
        <v>14.00747548623022</v>
      </c>
      <c r="Y75" s="1">
        <f t="shared" si="37"/>
        <v>13.288332991740649</v>
      </c>
      <c r="Z75" s="1">
        <v>72.825800000000001</v>
      </c>
      <c r="AA75" s="1">
        <v>51.839599999999997</v>
      </c>
      <c r="AB75" s="1">
        <v>78.079399999999993</v>
      </c>
      <c r="AC75" s="1">
        <v>69.140599999999992</v>
      </c>
      <c r="AD75" s="1">
        <v>72.596000000000004</v>
      </c>
      <c r="AE75" s="1">
        <v>65.563599999999994</v>
      </c>
      <c r="AF75" s="1">
        <v>51.511800000000008</v>
      </c>
      <c r="AG75" s="1">
        <v>78.689599999999999</v>
      </c>
      <c r="AH75" s="1"/>
      <c r="AI75" s="1">
        <f t="shared" si="41"/>
        <v>40</v>
      </c>
      <c r="AJ75" s="1">
        <f t="shared" si="42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125</v>
      </c>
      <c r="B76" s="1" t="s">
        <v>36</v>
      </c>
      <c r="C76" s="1">
        <v>109</v>
      </c>
      <c r="D76" s="1">
        <v>1632</v>
      </c>
      <c r="E76" s="1">
        <v>797</v>
      </c>
      <c r="F76" s="1">
        <v>832</v>
      </c>
      <c r="G76" s="8">
        <v>0.35</v>
      </c>
      <c r="H76" s="1">
        <v>50</v>
      </c>
      <c r="I76" s="1" t="s">
        <v>37</v>
      </c>
      <c r="J76" s="1"/>
      <c r="K76" s="1">
        <v>847.4</v>
      </c>
      <c r="L76" s="1">
        <f t="shared" si="35"/>
        <v>-50.399999999999977</v>
      </c>
      <c r="M76" s="1"/>
      <c r="N76" s="1"/>
      <c r="O76" s="1">
        <v>122</v>
      </c>
      <c r="P76" s="1"/>
      <c r="Q76" s="1">
        <f t="shared" si="36"/>
        <v>159.4</v>
      </c>
      <c r="R76" s="5">
        <f t="shared" si="44"/>
        <v>1277.5999999999999</v>
      </c>
      <c r="S76" s="5">
        <f t="shared" si="45"/>
        <v>1278</v>
      </c>
      <c r="T76" s="5">
        <f t="shared" si="39"/>
        <v>537</v>
      </c>
      <c r="U76" s="5">
        <f>ROUND($U$1*S76,0)</f>
        <v>741</v>
      </c>
      <c r="V76" s="5"/>
      <c r="W76" s="1"/>
      <c r="X76" s="1">
        <f t="shared" si="40"/>
        <v>14.002509410288582</v>
      </c>
      <c r="Y76" s="1">
        <f t="shared" si="37"/>
        <v>5.9849435382685066</v>
      </c>
      <c r="Z76" s="1">
        <v>124.4</v>
      </c>
      <c r="AA76" s="1">
        <v>189.4</v>
      </c>
      <c r="AB76" s="1">
        <v>141.80000000000001</v>
      </c>
      <c r="AC76" s="1">
        <v>180.8</v>
      </c>
      <c r="AD76" s="1">
        <v>137.4</v>
      </c>
      <c r="AE76" s="1">
        <v>141.6</v>
      </c>
      <c r="AF76" s="1">
        <v>249.4</v>
      </c>
      <c r="AG76" s="1">
        <v>137.4</v>
      </c>
      <c r="AH76" s="1"/>
      <c r="AI76" s="1">
        <f t="shared" si="41"/>
        <v>187.95</v>
      </c>
      <c r="AJ76" s="1">
        <f t="shared" si="42"/>
        <v>259.34999999999997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126</v>
      </c>
      <c r="B77" s="1" t="s">
        <v>36</v>
      </c>
      <c r="C77" s="1">
        <v>26</v>
      </c>
      <c r="D77" s="1">
        <v>54</v>
      </c>
      <c r="E77" s="1">
        <v>37</v>
      </c>
      <c r="F77" s="1">
        <v>36</v>
      </c>
      <c r="G77" s="8">
        <v>0.3</v>
      </c>
      <c r="H77" s="1">
        <v>50</v>
      </c>
      <c r="I77" s="11" t="s">
        <v>43</v>
      </c>
      <c r="J77" s="1"/>
      <c r="K77" s="1">
        <v>37</v>
      </c>
      <c r="L77" s="1">
        <f t="shared" si="35"/>
        <v>0</v>
      </c>
      <c r="M77" s="1"/>
      <c r="N77" s="1"/>
      <c r="O77" s="1">
        <v>0</v>
      </c>
      <c r="P77" s="1"/>
      <c r="Q77" s="1">
        <f t="shared" si="36"/>
        <v>7.4</v>
      </c>
      <c r="R77" s="5">
        <f>13*Q77-P77-O77-F77</f>
        <v>60.2</v>
      </c>
      <c r="S77" s="5">
        <f t="shared" si="45"/>
        <v>60</v>
      </c>
      <c r="T77" s="5">
        <f t="shared" si="39"/>
        <v>60</v>
      </c>
      <c r="U77" s="5"/>
      <c r="V77" s="5"/>
      <c r="W77" s="1"/>
      <c r="X77" s="1">
        <f t="shared" si="40"/>
        <v>12.972972972972972</v>
      </c>
      <c r="Y77" s="1">
        <f t="shared" si="37"/>
        <v>4.8648648648648649</v>
      </c>
      <c r="Z77" s="1">
        <v>2.8</v>
      </c>
      <c r="AA77" s="1">
        <v>1.4</v>
      </c>
      <c r="AB77" s="1">
        <v>4.4000000000000004</v>
      </c>
      <c r="AC77" s="1">
        <v>1.4</v>
      </c>
      <c r="AD77" s="1">
        <v>2.2000000000000002</v>
      </c>
      <c r="AE77" s="1">
        <v>2.2000000000000002</v>
      </c>
      <c r="AF77" s="1">
        <v>1.8</v>
      </c>
      <c r="AG77" s="1">
        <v>1.8</v>
      </c>
      <c r="AH77" s="1"/>
      <c r="AI77" s="1">
        <f t="shared" si="41"/>
        <v>18</v>
      </c>
      <c r="AJ77" s="1">
        <f t="shared" si="42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127</v>
      </c>
      <c r="B78" s="1" t="s">
        <v>36</v>
      </c>
      <c r="C78" s="1">
        <v>2</v>
      </c>
      <c r="D78" s="1">
        <v>80</v>
      </c>
      <c r="E78" s="1">
        <v>37</v>
      </c>
      <c r="F78" s="1">
        <v>43</v>
      </c>
      <c r="G78" s="8">
        <v>0.3</v>
      </c>
      <c r="H78" s="1">
        <v>60</v>
      </c>
      <c r="I78" s="1" t="s">
        <v>37</v>
      </c>
      <c r="J78" s="1"/>
      <c r="K78" s="1">
        <v>37</v>
      </c>
      <c r="L78" s="1">
        <f t="shared" si="35"/>
        <v>0</v>
      </c>
      <c r="M78" s="1"/>
      <c r="N78" s="1"/>
      <c r="O78" s="1">
        <v>30</v>
      </c>
      <c r="P78" s="1"/>
      <c r="Q78" s="1">
        <f t="shared" si="36"/>
        <v>7.4</v>
      </c>
      <c r="R78" s="5">
        <f t="shared" si="44"/>
        <v>30.600000000000009</v>
      </c>
      <c r="S78" s="5">
        <f>V78</f>
        <v>50</v>
      </c>
      <c r="T78" s="5">
        <f t="shared" si="39"/>
        <v>50</v>
      </c>
      <c r="U78" s="5"/>
      <c r="V78" s="5">
        <v>50</v>
      </c>
      <c r="W78" s="1" t="s">
        <v>158</v>
      </c>
      <c r="X78" s="1">
        <f t="shared" si="40"/>
        <v>16.621621621621621</v>
      </c>
      <c r="Y78" s="1">
        <f t="shared" si="37"/>
        <v>9.8648648648648649</v>
      </c>
      <c r="Z78" s="1">
        <v>2.4</v>
      </c>
      <c r="AA78" s="1">
        <v>9.8000000000000007</v>
      </c>
      <c r="AB78" s="1">
        <v>5.6</v>
      </c>
      <c r="AC78" s="1">
        <v>7.2</v>
      </c>
      <c r="AD78" s="1">
        <v>4.8</v>
      </c>
      <c r="AE78" s="1">
        <v>6.4</v>
      </c>
      <c r="AF78" s="1">
        <v>7.6</v>
      </c>
      <c r="AG78" s="1">
        <v>5.4</v>
      </c>
      <c r="AH78" s="1"/>
      <c r="AI78" s="1">
        <f t="shared" si="41"/>
        <v>15</v>
      </c>
      <c r="AJ78" s="1">
        <f t="shared" si="42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128</v>
      </c>
      <c r="B79" s="1" t="s">
        <v>36</v>
      </c>
      <c r="C79" s="1">
        <v>157</v>
      </c>
      <c r="D79" s="1">
        <v>1</v>
      </c>
      <c r="E79" s="1">
        <v>155</v>
      </c>
      <c r="F79" s="1">
        <v>2</v>
      </c>
      <c r="G79" s="8">
        <v>0.28000000000000003</v>
      </c>
      <c r="H79" s="1">
        <v>50</v>
      </c>
      <c r="I79" s="1" t="s">
        <v>37</v>
      </c>
      <c r="J79" s="1"/>
      <c r="K79" s="1">
        <v>273</v>
      </c>
      <c r="L79" s="1">
        <f t="shared" si="35"/>
        <v>-118</v>
      </c>
      <c r="M79" s="1"/>
      <c r="N79" s="1"/>
      <c r="O79" s="1">
        <v>87</v>
      </c>
      <c r="P79" s="1">
        <v>189</v>
      </c>
      <c r="Q79" s="1">
        <f t="shared" si="36"/>
        <v>31</v>
      </c>
      <c r="R79" s="5">
        <f t="shared" si="44"/>
        <v>156</v>
      </c>
      <c r="S79" s="5">
        <f t="shared" ref="S79:S80" si="46">ROUND(R79,0)</f>
        <v>156</v>
      </c>
      <c r="T79" s="5">
        <f t="shared" si="39"/>
        <v>66</v>
      </c>
      <c r="U79" s="5">
        <f t="shared" ref="U79:U83" si="47">ROUND($U$1*S79,0)</f>
        <v>90</v>
      </c>
      <c r="V79" s="5"/>
      <c r="W79" s="1"/>
      <c r="X79" s="1">
        <f t="shared" si="40"/>
        <v>14</v>
      </c>
      <c r="Y79" s="1">
        <f t="shared" si="37"/>
        <v>8.9677419354838701</v>
      </c>
      <c r="Z79" s="1">
        <v>30.2</v>
      </c>
      <c r="AA79" s="1">
        <v>6.8</v>
      </c>
      <c r="AB79" s="1">
        <v>43.4</v>
      </c>
      <c r="AC79" s="1">
        <v>17.600000000000001</v>
      </c>
      <c r="AD79" s="1">
        <v>22.2</v>
      </c>
      <c r="AE79" s="1">
        <v>24.8</v>
      </c>
      <c r="AF79" s="1">
        <v>20.399999999999999</v>
      </c>
      <c r="AG79" s="1">
        <v>22.2</v>
      </c>
      <c r="AH79" s="1" t="s">
        <v>50</v>
      </c>
      <c r="AI79" s="1">
        <f t="shared" si="41"/>
        <v>18.48</v>
      </c>
      <c r="AJ79" s="1">
        <f t="shared" si="42"/>
        <v>25.200000000000003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129</v>
      </c>
      <c r="B80" s="1" t="s">
        <v>36</v>
      </c>
      <c r="C80" s="1">
        <v>292</v>
      </c>
      <c r="D80" s="1">
        <v>207</v>
      </c>
      <c r="E80" s="1">
        <v>368</v>
      </c>
      <c r="F80" s="1">
        <v>123</v>
      </c>
      <c r="G80" s="8">
        <v>0.28000000000000003</v>
      </c>
      <c r="H80" s="1">
        <v>45</v>
      </c>
      <c r="I80" s="1" t="s">
        <v>37</v>
      </c>
      <c r="J80" s="1"/>
      <c r="K80" s="1">
        <v>375</v>
      </c>
      <c r="L80" s="1">
        <f t="shared" si="35"/>
        <v>-7</v>
      </c>
      <c r="M80" s="1"/>
      <c r="N80" s="1"/>
      <c r="O80" s="1">
        <v>67</v>
      </c>
      <c r="P80" s="1">
        <v>148</v>
      </c>
      <c r="Q80" s="1">
        <f t="shared" si="36"/>
        <v>73.599999999999994</v>
      </c>
      <c r="R80" s="5">
        <f t="shared" si="44"/>
        <v>692.39999999999986</v>
      </c>
      <c r="S80" s="5">
        <f t="shared" si="46"/>
        <v>692</v>
      </c>
      <c r="T80" s="5">
        <f t="shared" si="39"/>
        <v>291</v>
      </c>
      <c r="U80" s="5">
        <f t="shared" si="47"/>
        <v>401</v>
      </c>
      <c r="V80" s="5"/>
      <c r="W80" s="1"/>
      <c r="X80" s="1">
        <f t="shared" si="40"/>
        <v>13.994565217391305</v>
      </c>
      <c r="Y80" s="1">
        <f t="shared" si="37"/>
        <v>4.5923913043478262</v>
      </c>
      <c r="Z80" s="1">
        <v>49.2</v>
      </c>
      <c r="AA80" s="1">
        <v>50.2</v>
      </c>
      <c r="AB80" s="1">
        <v>68.400000000000006</v>
      </c>
      <c r="AC80" s="1">
        <v>41.8</v>
      </c>
      <c r="AD80" s="1">
        <v>61.4</v>
      </c>
      <c r="AE80" s="1">
        <v>63.4</v>
      </c>
      <c r="AF80" s="1">
        <v>45.2</v>
      </c>
      <c r="AG80" s="1">
        <v>47.2</v>
      </c>
      <c r="AH80" s="1" t="s">
        <v>50</v>
      </c>
      <c r="AI80" s="1">
        <f t="shared" si="41"/>
        <v>81.48</v>
      </c>
      <c r="AJ80" s="1">
        <f t="shared" si="42"/>
        <v>112.28000000000002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130</v>
      </c>
      <c r="B81" s="1" t="s">
        <v>36</v>
      </c>
      <c r="C81" s="1">
        <v>185</v>
      </c>
      <c r="D81" s="1">
        <v>33</v>
      </c>
      <c r="E81" s="1">
        <v>156</v>
      </c>
      <c r="F81" s="1">
        <v>27</v>
      </c>
      <c r="G81" s="8">
        <v>0.28000000000000003</v>
      </c>
      <c r="H81" s="1">
        <v>45</v>
      </c>
      <c r="I81" s="1" t="s">
        <v>37</v>
      </c>
      <c r="J81" s="1"/>
      <c r="K81" s="1">
        <v>161</v>
      </c>
      <c r="L81" s="1">
        <f t="shared" si="35"/>
        <v>-5</v>
      </c>
      <c r="M81" s="1"/>
      <c r="N81" s="1"/>
      <c r="O81" s="1">
        <v>85</v>
      </c>
      <c r="P81" s="1">
        <v>186</v>
      </c>
      <c r="Q81" s="1">
        <f t="shared" si="36"/>
        <v>31.2</v>
      </c>
      <c r="R81" s="5">
        <f t="shared" si="44"/>
        <v>138.80000000000001</v>
      </c>
      <c r="S81" s="5">
        <f>V81</f>
        <v>170</v>
      </c>
      <c r="T81" s="5">
        <f t="shared" si="39"/>
        <v>71</v>
      </c>
      <c r="U81" s="5">
        <f t="shared" si="47"/>
        <v>99</v>
      </c>
      <c r="V81" s="5">
        <v>170</v>
      </c>
      <c r="W81" s="1" t="s">
        <v>158</v>
      </c>
      <c r="X81" s="1">
        <f t="shared" si="40"/>
        <v>15</v>
      </c>
      <c r="Y81" s="1">
        <f t="shared" si="37"/>
        <v>9.5512820512820511</v>
      </c>
      <c r="Z81" s="1">
        <v>32.6</v>
      </c>
      <c r="AA81" s="1">
        <v>24.8</v>
      </c>
      <c r="AB81" s="1">
        <v>54.6</v>
      </c>
      <c r="AC81" s="1">
        <v>26</v>
      </c>
      <c r="AD81" s="1">
        <v>35.6</v>
      </c>
      <c r="AE81" s="1">
        <v>27.6</v>
      </c>
      <c r="AF81" s="1">
        <v>30.4</v>
      </c>
      <c r="AG81" s="1">
        <v>23</v>
      </c>
      <c r="AH81" s="1"/>
      <c r="AI81" s="1">
        <f t="shared" si="41"/>
        <v>19.880000000000003</v>
      </c>
      <c r="AJ81" s="1">
        <f t="shared" si="42"/>
        <v>27.720000000000002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131</v>
      </c>
      <c r="B82" s="1" t="s">
        <v>36</v>
      </c>
      <c r="C82" s="1">
        <v>119</v>
      </c>
      <c r="D82" s="1">
        <v>107</v>
      </c>
      <c r="E82" s="1">
        <v>124</v>
      </c>
      <c r="F82" s="1">
        <v>96</v>
      </c>
      <c r="G82" s="8">
        <v>0.28000000000000003</v>
      </c>
      <c r="H82" s="1">
        <v>45</v>
      </c>
      <c r="I82" s="1" t="s">
        <v>37</v>
      </c>
      <c r="J82" s="1"/>
      <c r="K82" s="1">
        <v>124</v>
      </c>
      <c r="L82" s="1">
        <f t="shared" si="35"/>
        <v>0</v>
      </c>
      <c r="M82" s="1"/>
      <c r="N82" s="1"/>
      <c r="O82" s="1">
        <v>89</v>
      </c>
      <c r="P82" s="1"/>
      <c r="Q82" s="1">
        <f t="shared" si="36"/>
        <v>24.8</v>
      </c>
      <c r="R82" s="5">
        <f t="shared" si="44"/>
        <v>162.19999999999999</v>
      </c>
      <c r="S82" s="5">
        <f t="shared" ref="S82:S83" si="48">ROUND(R82,0)</f>
        <v>162</v>
      </c>
      <c r="T82" s="5">
        <f t="shared" si="39"/>
        <v>68</v>
      </c>
      <c r="U82" s="5">
        <f t="shared" si="47"/>
        <v>94</v>
      </c>
      <c r="V82" s="5"/>
      <c r="W82" s="1"/>
      <c r="X82" s="1">
        <f t="shared" si="40"/>
        <v>13.991935483870968</v>
      </c>
      <c r="Y82" s="1">
        <f t="shared" si="37"/>
        <v>7.4596774193548381</v>
      </c>
      <c r="Z82" s="1">
        <v>20.6</v>
      </c>
      <c r="AA82" s="1">
        <v>24.4</v>
      </c>
      <c r="AB82" s="1">
        <v>34.200000000000003</v>
      </c>
      <c r="AC82" s="1">
        <v>27.4</v>
      </c>
      <c r="AD82" s="1">
        <v>28.2</v>
      </c>
      <c r="AE82" s="1">
        <v>25.6</v>
      </c>
      <c r="AF82" s="1">
        <v>20.399999999999999</v>
      </c>
      <c r="AG82" s="1">
        <v>20.8</v>
      </c>
      <c r="AH82" s="1" t="s">
        <v>50</v>
      </c>
      <c r="AI82" s="1">
        <f t="shared" si="41"/>
        <v>19.040000000000003</v>
      </c>
      <c r="AJ82" s="1">
        <f t="shared" si="42"/>
        <v>26.320000000000004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132</v>
      </c>
      <c r="B83" s="1" t="s">
        <v>36</v>
      </c>
      <c r="C83" s="1">
        <v>28</v>
      </c>
      <c r="D83" s="1">
        <v>707</v>
      </c>
      <c r="E83" s="1">
        <v>423</v>
      </c>
      <c r="F83" s="1">
        <v>267</v>
      </c>
      <c r="G83" s="8">
        <v>0.4</v>
      </c>
      <c r="H83" s="1">
        <v>50</v>
      </c>
      <c r="I83" s="1" t="s">
        <v>37</v>
      </c>
      <c r="J83" s="1"/>
      <c r="K83" s="1">
        <v>741</v>
      </c>
      <c r="L83" s="1">
        <f t="shared" si="35"/>
        <v>-318</v>
      </c>
      <c r="M83" s="1"/>
      <c r="N83" s="1"/>
      <c r="O83" s="1">
        <v>63</v>
      </c>
      <c r="P83" s="1">
        <v>139</v>
      </c>
      <c r="Q83" s="1">
        <f t="shared" si="36"/>
        <v>84.6</v>
      </c>
      <c r="R83" s="5">
        <f t="shared" si="44"/>
        <v>715.39999999999986</v>
      </c>
      <c r="S83" s="5">
        <f t="shared" si="48"/>
        <v>715</v>
      </c>
      <c r="T83" s="5">
        <f t="shared" si="39"/>
        <v>300</v>
      </c>
      <c r="U83" s="5">
        <f t="shared" si="47"/>
        <v>415</v>
      </c>
      <c r="V83" s="5"/>
      <c r="W83" s="1"/>
      <c r="X83" s="1">
        <f t="shared" si="40"/>
        <v>13.995271867612294</v>
      </c>
      <c r="Y83" s="1">
        <f t="shared" si="37"/>
        <v>5.543735224586289</v>
      </c>
      <c r="Z83" s="1">
        <v>64.2</v>
      </c>
      <c r="AA83" s="1">
        <v>77.599999999999994</v>
      </c>
      <c r="AB83" s="1">
        <v>82.4</v>
      </c>
      <c r="AC83" s="1">
        <v>94.6</v>
      </c>
      <c r="AD83" s="1">
        <v>73.2</v>
      </c>
      <c r="AE83" s="1">
        <v>70.400000000000006</v>
      </c>
      <c r="AF83" s="1">
        <v>74.2</v>
      </c>
      <c r="AG83" s="1">
        <v>80.2</v>
      </c>
      <c r="AH83" s="1" t="s">
        <v>133</v>
      </c>
      <c r="AI83" s="1">
        <f t="shared" si="41"/>
        <v>120</v>
      </c>
      <c r="AJ83" s="1">
        <f t="shared" si="42"/>
        <v>166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134</v>
      </c>
      <c r="B84" s="1" t="s">
        <v>36</v>
      </c>
      <c r="C84" s="1">
        <v>-1</v>
      </c>
      <c r="D84" s="1"/>
      <c r="E84" s="1">
        <v>1</v>
      </c>
      <c r="F84" s="1">
        <v>-2</v>
      </c>
      <c r="G84" s="8">
        <v>0.3</v>
      </c>
      <c r="H84" s="1">
        <v>50</v>
      </c>
      <c r="I84" s="11" t="s">
        <v>43</v>
      </c>
      <c r="J84" s="1"/>
      <c r="K84" s="1">
        <v>3</v>
      </c>
      <c r="L84" s="1">
        <f t="shared" si="35"/>
        <v>-2</v>
      </c>
      <c r="M84" s="1"/>
      <c r="N84" s="1"/>
      <c r="O84" s="1">
        <v>65</v>
      </c>
      <c r="P84" s="1"/>
      <c r="Q84" s="1">
        <f t="shared" si="36"/>
        <v>0.2</v>
      </c>
      <c r="R84" s="5"/>
      <c r="S84" s="5">
        <f t="shared" si="38"/>
        <v>0</v>
      </c>
      <c r="T84" s="5">
        <f t="shared" si="39"/>
        <v>0</v>
      </c>
      <c r="U84" s="5"/>
      <c r="V84" s="5"/>
      <c r="W84" s="1"/>
      <c r="X84" s="1">
        <f t="shared" si="40"/>
        <v>315</v>
      </c>
      <c r="Y84" s="1">
        <f t="shared" si="37"/>
        <v>315</v>
      </c>
      <c r="Z84" s="1">
        <v>8</v>
      </c>
      <c r="AA84" s="1">
        <v>2.2000000000000002</v>
      </c>
      <c r="AB84" s="1">
        <v>3.6</v>
      </c>
      <c r="AC84" s="1">
        <v>2.4</v>
      </c>
      <c r="AD84" s="1">
        <v>4.8</v>
      </c>
      <c r="AE84" s="1">
        <v>5.6</v>
      </c>
      <c r="AF84" s="1">
        <v>3.8</v>
      </c>
      <c r="AG84" s="1">
        <v>4.5999999999999996</v>
      </c>
      <c r="AH84" s="1" t="s">
        <v>135</v>
      </c>
      <c r="AI84" s="1">
        <f t="shared" si="41"/>
        <v>0</v>
      </c>
      <c r="AJ84" s="1">
        <f t="shared" si="42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136</v>
      </c>
      <c r="B85" s="1" t="s">
        <v>36</v>
      </c>
      <c r="C85" s="1">
        <v>19</v>
      </c>
      <c r="D85" s="1">
        <v>33</v>
      </c>
      <c r="E85" s="1">
        <v>51</v>
      </c>
      <c r="F85" s="1">
        <v>3</v>
      </c>
      <c r="G85" s="8">
        <v>0.33</v>
      </c>
      <c r="H85" s="1">
        <v>30</v>
      </c>
      <c r="I85" s="11" t="s">
        <v>43</v>
      </c>
      <c r="J85" s="1"/>
      <c r="K85" s="1">
        <v>52</v>
      </c>
      <c r="L85" s="1">
        <f t="shared" si="35"/>
        <v>-1</v>
      </c>
      <c r="M85" s="1"/>
      <c r="N85" s="1"/>
      <c r="O85" s="1">
        <v>29</v>
      </c>
      <c r="P85" s="1"/>
      <c r="Q85" s="1">
        <f t="shared" si="36"/>
        <v>10.199999999999999</v>
      </c>
      <c r="R85" s="5">
        <f>11*Q85-P85-O85-F85</f>
        <v>80.199999999999989</v>
      </c>
      <c r="S85" s="5">
        <f>ROUND(R85,0)</f>
        <v>80</v>
      </c>
      <c r="T85" s="5">
        <f t="shared" si="39"/>
        <v>80</v>
      </c>
      <c r="U85" s="5"/>
      <c r="V85" s="5"/>
      <c r="W85" s="1"/>
      <c r="X85" s="1">
        <f t="shared" si="40"/>
        <v>10.980392156862745</v>
      </c>
      <c r="Y85" s="1">
        <f t="shared" si="37"/>
        <v>3.1372549019607847</v>
      </c>
      <c r="Z85" s="1">
        <v>5.6</v>
      </c>
      <c r="AA85" s="1">
        <v>2.4</v>
      </c>
      <c r="AB85" s="1">
        <v>6.2</v>
      </c>
      <c r="AC85" s="1">
        <v>4.2</v>
      </c>
      <c r="AD85" s="1">
        <v>6.4</v>
      </c>
      <c r="AE85" s="1">
        <v>1</v>
      </c>
      <c r="AF85" s="1">
        <v>6.2</v>
      </c>
      <c r="AG85" s="1">
        <v>3.2</v>
      </c>
      <c r="AH85" s="1"/>
      <c r="AI85" s="1">
        <f t="shared" si="41"/>
        <v>26.400000000000002</v>
      </c>
      <c r="AJ85" s="1">
        <f t="shared" si="42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137</v>
      </c>
      <c r="B86" s="1" t="s">
        <v>40</v>
      </c>
      <c r="C86" s="1"/>
      <c r="D86" s="1">
        <v>6.7359999999999998</v>
      </c>
      <c r="E86" s="1">
        <v>4.0309999999999997</v>
      </c>
      <c r="F86" s="1">
        <v>-0.16700000000000001</v>
      </c>
      <c r="G86" s="8">
        <v>1</v>
      </c>
      <c r="H86" s="1">
        <v>30</v>
      </c>
      <c r="I86" s="1" t="s">
        <v>37</v>
      </c>
      <c r="J86" s="1"/>
      <c r="K86" s="1">
        <v>6.6</v>
      </c>
      <c r="L86" s="1">
        <f t="shared" si="35"/>
        <v>-2.569</v>
      </c>
      <c r="M86" s="1"/>
      <c r="N86" s="1"/>
      <c r="O86" s="1">
        <v>0</v>
      </c>
      <c r="P86" s="1">
        <v>22</v>
      </c>
      <c r="Q86" s="1">
        <f t="shared" si="36"/>
        <v>0.80619999999999992</v>
      </c>
      <c r="R86" s="5"/>
      <c r="S86" s="5">
        <f t="shared" si="38"/>
        <v>0</v>
      </c>
      <c r="T86" s="5">
        <f t="shared" si="39"/>
        <v>0</v>
      </c>
      <c r="U86" s="5"/>
      <c r="V86" s="5"/>
      <c r="W86" s="1"/>
      <c r="X86" s="1">
        <f t="shared" si="40"/>
        <v>27.081369387248824</v>
      </c>
      <c r="Y86" s="1">
        <f t="shared" si="37"/>
        <v>27.081369387248824</v>
      </c>
      <c r="Z86" s="1">
        <v>2.6027999999999998</v>
      </c>
      <c r="AA86" s="1">
        <v>-0.3412</v>
      </c>
      <c r="AB86" s="1">
        <v>2.4624000000000001</v>
      </c>
      <c r="AC86" s="1">
        <v>1.1184000000000001</v>
      </c>
      <c r="AD86" s="1">
        <v>3.2597999999999998</v>
      </c>
      <c r="AE86" s="1">
        <v>3.2038000000000002</v>
      </c>
      <c r="AF86" s="1">
        <v>3.2841999999999998</v>
      </c>
      <c r="AG86" s="1">
        <v>0.505</v>
      </c>
      <c r="AH86" s="1"/>
      <c r="AI86" s="1">
        <f t="shared" si="41"/>
        <v>0</v>
      </c>
      <c r="AJ86" s="1">
        <f t="shared" si="42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138</v>
      </c>
      <c r="B87" s="1" t="s">
        <v>36</v>
      </c>
      <c r="C87" s="1">
        <v>6</v>
      </c>
      <c r="D87" s="1">
        <v>35</v>
      </c>
      <c r="E87" s="1">
        <v>17</v>
      </c>
      <c r="F87" s="1">
        <v>21</v>
      </c>
      <c r="G87" s="8">
        <v>0.28000000000000003</v>
      </c>
      <c r="H87" s="1">
        <v>50</v>
      </c>
      <c r="I87" s="1" t="s">
        <v>37</v>
      </c>
      <c r="J87" s="1"/>
      <c r="K87" s="1">
        <v>17</v>
      </c>
      <c r="L87" s="1">
        <f t="shared" si="35"/>
        <v>0</v>
      </c>
      <c r="M87" s="1"/>
      <c r="N87" s="1"/>
      <c r="O87" s="1">
        <v>10</v>
      </c>
      <c r="P87" s="1"/>
      <c r="Q87" s="1">
        <f t="shared" si="36"/>
        <v>3.4</v>
      </c>
      <c r="R87" s="5">
        <f t="shared" si="44"/>
        <v>16.600000000000001</v>
      </c>
      <c r="S87" s="5">
        <f>ROUND(R87,0)</f>
        <v>17</v>
      </c>
      <c r="T87" s="5">
        <f t="shared" si="39"/>
        <v>17</v>
      </c>
      <c r="U87" s="5"/>
      <c r="V87" s="5"/>
      <c r="W87" s="1"/>
      <c r="X87" s="1">
        <f t="shared" si="40"/>
        <v>14.117647058823529</v>
      </c>
      <c r="Y87" s="1">
        <f t="shared" si="37"/>
        <v>9.117647058823529</v>
      </c>
      <c r="Z87" s="1">
        <v>3.4</v>
      </c>
      <c r="AA87" s="1">
        <v>4.2</v>
      </c>
      <c r="AB87" s="1">
        <v>3.4</v>
      </c>
      <c r="AC87" s="1">
        <v>2.4</v>
      </c>
      <c r="AD87" s="1">
        <v>1.4</v>
      </c>
      <c r="AE87" s="1">
        <v>1.2</v>
      </c>
      <c r="AF87" s="1">
        <v>1.6</v>
      </c>
      <c r="AG87" s="1">
        <v>0.8</v>
      </c>
      <c r="AH87" s="1"/>
      <c r="AI87" s="1">
        <f t="shared" si="41"/>
        <v>4.7600000000000007</v>
      </c>
      <c r="AJ87" s="1">
        <f t="shared" si="42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139</v>
      </c>
      <c r="B88" s="1" t="s">
        <v>36</v>
      </c>
      <c r="C88" s="1">
        <v>38</v>
      </c>
      <c r="D88" s="1"/>
      <c r="E88" s="1">
        <v>23</v>
      </c>
      <c r="F88" s="1">
        <v>24</v>
      </c>
      <c r="G88" s="8">
        <v>0.28000000000000003</v>
      </c>
      <c r="H88" s="1">
        <v>50</v>
      </c>
      <c r="I88" s="1" t="s">
        <v>37</v>
      </c>
      <c r="J88" s="1"/>
      <c r="K88" s="1">
        <v>25</v>
      </c>
      <c r="L88" s="1">
        <f t="shared" si="35"/>
        <v>-2</v>
      </c>
      <c r="M88" s="1"/>
      <c r="N88" s="1"/>
      <c r="O88" s="1">
        <v>40</v>
      </c>
      <c r="P88" s="1"/>
      <c r="Q88" s="1">
        <f t="shared" si="36"/>
        <v>4.5999999999999996</v>
      </c>
      <c r="R88" s="5"/>
      <c r="S88" s="5">
        <f t="shared" si="38"/>
        <v>0</v>
      </c>
      <c r="T88" s="5">
        <f t="shared" si="39"/>
        <v>0</v>
      </c>
      <c r="U88" s="5"/>
      <c r="V88" s="5"/>
      <c r="W88" s="1"/>
      <c r="X88" s="1">
        <f t="shared" si="40"/>
        <v>13.913043478260871</v>
      </c>
      <c r="Y88" s="1">
        <f t="shared" si="37"/>
        <v>13.913043478260871</v>
      </c>
      <c r="Z88" s="1">
        <v>5.6</v>
      </c>
      <c r="AA88" s="1">
        <v>2.4</v>
      </c>
      <c r="AB88" s="1">
        <v>1</v>
      </c>
      <c r="AC88" s="1">
        <v>1.6</v>
      </c>
      <c r="AD88" s="1">
        <v>0.8</v>
      </c>
      <c r="AE88" s="1">
        <v>0.6</v>
      </c>
      <c r="AF88" s="1">
        <v>3.8</v>
      </c>
      <c r="AG88" s="1">
        <v>0.6</v>
      </c>
      <c r="AH88" s="1"/>
      <c r="AI88" s="1">
        <f t="shared" si="41"/>
        <v>0</v>
      </c>
      <c r="AJ88" s="1">
        <f t="shared" si="42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140</v>
      </c>
      <c r="B89" s="1" t="s">
        <v>36</v>
      </c>
      <c r="C89" s="1">
        <v>9</v>
      </c>
      <c r="D89" s="1">
        <v>96</v>
      </c>
      <c r="E89" s="1">
        <v>5</v>
      </c>
      <c r="F89" s="1">
        <v>100</v>
      </c>
      <c r="G89" s="8">
        <v>0.4</v>
      </c>
      <c r="H89" s="1">
        <v>60</v>
      </c>
      <c r="I89" s="11" t="s">
        <v>43</v>
      </c>
      <c r="J89" s="1"/>
      <c r="K89" s="1">
        <v>5</v>
      </c>
      <c r="L89" s="1">
        <f t="shared" si="35"/>
        <v>0</v>
      </c>
      <c r="M89" s="1"/>
      <c r="N89" s="1"/>
      <c r="O89" s="1">
        <v>0</v>
      </c>
      <c r="P89" s="1"/>
      <c r="Q89" s="1">
        <f t="shared" si="36"/>
        <v>1</v>
      </c>
      <c r="R89" s="5"/>
      <c r="S89" s="5">
        <f t="shared" si="38"/>
        <v>0</v>
      </c>
      <c r="T89" s="5">
        <f t="shared" si="39"/>
        <v>0</v>
      </c>
      <c r="U89" s="5"/>
      <c r="V89" s="5"/>
      <c r="W89" s="1"/>
      <c r="X89" s="1">
        <f t="shared" si="40"/>
        <v>100</v>
      </c>
      <c r="Y89" s="1">
        <f t="shared" si="37"/>
        <v>100</v>
      </c>
      <c r="Z89" s="1">
        <v>1.6</v>
      </c>
      <c r="AA89" s="1">
        <v>1.4</v>
      </c>
      <c r="AB89" s="1">
        <v>1.4</v>
      </c>
      <c r="AC89" s="1">
        <v>3</v>
      </c>
      <c r="AD89" s="1">
        <v>1.6</v>
      </c>
      <c r="AE89" s="1">
        <v>2</v>
      </c>
      <c r="AF89" s="1">
        <v>0.8</v>
      </c>
      <c r="AG89" s="1">
        <v>1.4</v>
      </c>
      <c r="AH89" s="22" t="s">
        <v>150</v>
      </c>
      <c r="AI89" s="1">
        <f t="shared" si="41"/>
        <v>0</v>
      </c>
      <c r="AJ89" s="1">
        <f t="shared" si="42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58</v>
      </c>
      <c r="B90" s="1" t="s">
        <v>36</v>
      </c>
      <c r="C90" s="1">
        <v>169</v>
      </c>
      <c r="D90" s="1">
        <v>66</v>
      </c>
      <c r="E90" s="21">
        <f>213+E18</f>
        <v>211</v>
      </c>
      <c r="F90" s="21">
        <f>15+F18</f>
        <v>9</v>
      </c>
      <c r="G90" s="8">
        <v>0.12</v>
      </c>
      <c r="H90" s="1">
        <v>60</v>
      </c>
      <c r="I90" s="1" t="s">
        <v>37</v>
      </c>
      <c r="J90" s="1"/>
      <c r="K90" s="1">
        <v>429</v>
      </c>
      <c r="L90" s="1">
        <f t="shared" si="35"/>
        <v>-218</v>
      </c>
      <c r="M90" s="1"/>
      <c r="N90" s="1"/>
      <c r="O90" s="1">
        <v>228</v>
      </c>
      <c r="P90" s="1">
        <v>498</v>
      </c>
      <c r="Q90" s="1">
        <f t="shared" si="36"/>
        <v>42.2</v>
      </c>
      <c r="R90" s="5"/>
      <c r="S90" s="5">
        <f t="shared" si="38"/>
        <v>0</v>
      </c>
      <c r="T90" s="5">
        <f t="shared" si="39"/>
        <v>0</v>
      </c>
      <c r="U90" s="5"/>
      <c r="V90" s="5"/>
      <c r="W90" s="1"/>
      <c r="X90" s="1">
        <f t="shared" si="40"/>
        <v>17.417061611374407</v>
      </c>
      <c r="Y90" s="1">
        <f t="shared" si="37"/>
        <v>17.417061611374407</v>
      </c>
      <c r="Z90" s="1">
        <v>90.2</v>
      </c>
      <c r="AA90" s="1">
        <v>33.799999999999997</v>
      </c>
      <c r="AB90" s="1">
        <v>32</v>
      </c>
      <c r="AC90" s="1">
        <v>22.4</v>
      </c>
      <c r="AD90" s="1">
        <v>22</v>
      </c>
      <c r="AE90" s="1">
        <v>13.4</v>
      </c>
      <c r="AF90" s="1">
        <v>0</v>
      </c>
      <c r="AG90" s="1">
        <v>0</v>
      </c>
      <c r="AH90" s="1" t="s">
        <v>141</v>
      </c>
      <c r="AI90" s="1">
        <f t="shared" si="41"/>
        <v>0</v>
      </c>
      <c r="AJ90" s="1">
        <f t="shared" si="42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8" t="s">
        <v>142</v>
      </c>
      <c r="B91" s="15" t="s">
        <v>36</v>
      </c>
      <c r="C91" s="15"/>
      <c r="D91" s="15"/>
      <c r="E91" s="15"/>
      <c r="F91" s="15"/>
      <c r="G91" s="16">
        <v>0</v>
      </c>
      <c r="H91" s="15">
        <v>60</v>
      </c>
      <c r="I91" s="15" t="s">
        <v>37</v>
      </c>
      <c r="J91" s="15"/>
      <c r="K91" s="15"/>
      <c r="L91" s="15">
        <f t="shared" si="35"/>
        <v>0</v>
      </c>
      <c r="M91" s="15"/>
      <c r="N91" s="15"/>
      <c r="O91" s="15">
        <v>30</v>
      </c>
      <c r="P91" s="15"/>
      <c r="Q91" s="15">
        <f t="shared" si="36"/>
        <v>0</v>
      </c>
      <c r="R91" s="17"/>
      <c r="S91" s="5">
        <f t="shared" si="38"/>
        <v>0</v>
      </c>
      <c r="T91" s="5">
        <f t="shared" si="39"/>
        <v>0</v>
      </c>
      <c r="U91" s="5"/>
      <c r="V91" s="17"/>
      <c r="W91" s="15"/>
      <c r="X91" s="1" t="e">
        <f t="shared" si="40"/>
        <v>#DIV/0!</v>
      </c>
      <c r="Y91" s="15" t="e">
        <f t="shared" si="37"/>
        <v>#DIV/0!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 t="s">
        <v>118</v>
      </c>
      <c r="AI91" s="1">
        <f t="shared" si="41"/>
        <v>0</v>
      </c>
      <c r="AJ91" s="1">
        <f t="shared" si="42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5" t="s">
        <v>143</v>
      </c>
      <c r="B92" s="15" t="s">
        <v>36</v>
      </c>
      <c r="C92" s="15">
        <v>57</v>
      </c>
      <c r="D92" s="15"/>
      <c r="E92" s="21">
        <v>15</v>
      </c>
      <c r="F92" s="21">
        <v>33</v>
      </c>
      <c r="G92" s="16">
        <v>0</v>
      </c>
      <c r="H92" s="15" t="e">
        <v>#N/A</v>
      </c>
      <c r="I92" s="15" t="s">
        <v>144</v>
      </c>
      <c r="J92" s="15" t="s">
        <v>107</v>
      </c>
      <c r="K92" s="15">
        <v>15</v>
      </c>
      <c r="L92" s="15">
        <f t="shared" si="35"/>
        <v>0</v>
      </c>
      <c r="M92" s="15"/>
      <c r="N92" s="15"/>
      <c r="O92" s="15">
        <v>0</v>
      </c>
      <c r="P92" s="15"/>
      <c r="Q92" s="15">
        <f t="shared" si="36"/>
        <v>3</v>
      </c>
      <c r="R92" s="17"/>
      <c r="S92" s="5">
        <f t="shared" si="38"/>
        <v>0</v>
      </c>
      <c r="T92" s="5">
        <f t="shared" si="39"/>
        <v>0</v>
      </c>
      <c r="U92" s="5"/>
      <c r="V92" s="17"/>
      <c r="W92" s="15"/>
      <c r="X92" s="1">
        <f t="shared" si="40"/>
        <v>11</v>
      </c>
      <c r="Y92" s="15">
        <f t="shared" si="37"/>
        <v>11</v>
      </c>
      <c r="Z92" s="15">
        <v>3.4</v>
      </c>
      <c r="AA92" s="15">
        <v>0.2</v>
      </c>
      <c r="AB92" s="15">
        <v>6</v>
      </c>
      <c r="AC92" s="15">
        <v>4.4000000000000004</v>
      </c>
      <c r="AD92" s="15">
        <v>17.2</v>
      </c>
      <c r="AE92" s="15">
        <v>21.6</v>
      </c>
      <c r="AF92" s="15">
        <v>4.5999999999999996</v>
      </c>
      <c r="AG92" s="15">
        <v>26.308800000000002</v>
      </c>
      <c r="AH92" s="15"/>
      <c r="AI92" s="1">
        <f t="shared" si="41"/>
        <v>0</v>
      </c>
      <c r="AJ92" s="1">
        <f t="shared" si="42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5" t="s">
        <v>145</v>
      </c>
      <c r="B93" s="15" t="s">
        <v>40</v>
      </c>
      <c r="C93" s="15">
        <v>12.717000000000001</v>
      </c>
      <c r="D93" s="15">
        <v>1.532</v>
      </c>
      <c r="E93" s="21">
        <v>45.192999999999998</v>
      </c>
      <c r="F93" s="21">
        <v>-30.943999999999999</v>
      </c>
      <c r="G93" s="16">
        <v>0</v>
      </c>
      <c r="H93" s="15" t="e">
        <v>#N/A</v>
      </c>
      <c r="I93" s="15" t="s">
        <v>144</v>
      </c>
      <c r="J93" s="15" t="s">
        <v>108</v>
      </c>
      <c r="K93" s="15">
        <v>48.1</v>
      </c>
      <c r="L93" s="15">
        <f t="shared" si="35"/>
        <v>-2.9070000000000036</v>
      </c>
      <c r="M93" s="15"/>
      <c r="N93" s="15"/>
      <c r="O93" s="15">
        <v>0</v>
      </c>
      <c r="P93" s="15"/>
      <c r="Q93" s="15">
        <f t="shared" si="36"/>
        <v>9.0385999999999989</v>
      </c>
      <c r="R93" s="17"/>
      <c r="S93" s="5">
        <f t="shared" si="38"/>
        <v>0</v>
      </c>
      <c r="T93" s="5">
        <f t="shared" si="39"/>
        <v>0</v>
      </c>
      <c r="U93" s="5"/>
      <c r="V93" s="17"/>
      <c r="W93" s="15"/>
      <c r="X93" s="1">
        <f t="shared" si="40"/>
        <v>-3.423539043657204</v>
      </c>
      <c r="Y93" s="15">
        <f t="shared" si="37"/>
        <v>-3.423539043657204</v>
      </c>
      <c r="Z93" s="15">
        <v>9.5792000000000002</v>
      </c>
      <c r="AA93" s="15">
        <v>1.8504</v>
      </c>
      <c r="AB93" s="15">
        <v>13.654199999999999</v>
      </c>
      <c r="AC93" s="15">
        <v>12.984</v>
      </c>
      <c r="AD93" s="15">
        <v>31.0916</v>
      </c>
      <c r="AE93" s="15">
        <v>32.273200000000003</v>
      </c>
      <c r="AF93" s="15">
        <v>3.7372000000000001</v>
      </c>
      <c r="AG93" s="15">
        <v>36.436199999999999</v>
      </c>
      <c r="AH93" s="15"/>
      <c r="AI93" s="1">
        <f t="shared" si="41"/>
        <v>0</v>
      </c>
      <c r="AJ93" s="1">
        <f t="shared" si="42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1" t="s">
        <v>146</v>
      </c>
      <c r="B94" s="11" t="s">
        <v>40</v>
      </c>
      <c r="C94" s="11"/>
      <c r="D94" s="11"/>
      <c r="E94" s="11"/>
      <c r="F94" s="11"/>
      <c r="G94" s="19">
        <v>1</v>
      </c>
      <c r="H94" s="11">
        <v>60</v>
      </c>
      <c r="I94" s="11" t="s">
        <v>37</v>
      </c>
      <c r="J94" s="11"/>
      <c r="K94" s="11"/>
      <c r="L94" s="11">
        <f t="shared" si="35"/>
        <v>0</v>
      </c>
      <c r="M94" s="11"/>
      <c r="N94" s="11"/>
      <c r="O94" s="11">
        <v>0</v>
      </c>
      <c r="P94" s="11"/>
      <c r="Q94" s="11">
        <f t="shared" si="36"/>
        <v>0</v>
      </c>
      <c r="R94" s="20"/>
      <c r="S94" s="5">
        <f t="shared" si="38"/>
        <v>0</v>
      </c>
      <c r="T94" s="5">
        <f t="shared" si="39"/>
        <v>0</v>
      </c>
      <c r="U94" s="5"/>
      <c r="V94" s="20"/>
      <c r="W94" s="11"/>
      <c r="X94" s="1" t="e">
        <f t="shared" si="40"/>
        <v>#DIV/0!</v>
      </c>
      <c r="Y94" s="11" t="e">
        <f t="shared" si="37"/>
        <v>#DIV/0!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 t="s">
        <v>147</v>
      </c>
      <c r="AI94" s="1">
        <f t="shared" si="41"/>
        <v>0</v>
      </c>
      <c r="AJ94" s="1">
        <f t="shared" si="42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2" t="s">
        <v>148</v>
      </c>
      <c r="B95" s="12" t="s">
        <v>36</v>
      </c>
      <c r="C95" s="12">
        <v>17</v>
      </c>
      <c r="D95" s="12"/>
      <c r="E95" s="12">
        <v>18</v>
      </c>
      <c r="F95" s="12">
        <v>-1</v>
      </c>
      <c r="G95" s="13">
        <v>0</v>
      </c>
      <c r="H95" s="12" t="e">
        <v>#N/A</v>
      </c>
      <c r="I95" s="12" t="s">
        <v>122</v>
      </c>
      <c r="J95" s="12"/>
      <c r="K95" s="12">
        <v>23</v>
      </c>
      <c r="L95" s="12">
        <f t="shared" si="35"/>
        <v>-5</v>
      </c>
      <c r="M95" s="12"/>
      <c r="N95" s="12"/>
      <c r="O95" s="12">
        <v>0</v>
      </c>
      <c r="P95" s="12"/>
      <c r="Q95" s="12">
        <f t="shared" si="36"/>
        <v>3.6</v>
      </c>
      <c r="R95" s="14"/>
      <c r="S95" s="5">
        <f t="shared" si="38"/>
        <v>0</v>
      </c>
      <c r="T95" s="5">
        <f t="shared" si="39"/>
        <v>0</v>
      </c>
      <c r="U95" s="5"/>
      <c r="V95" s="14"/>
      <c r="W95" s="12"/>
      <c r="X95" s="1">
        <f t="shared" si="40"/>
        <v>-0.27777777777777779</v>
      </c>
      <c r="Y95" s="12">
        <f t="shared" si="37"/>
        <v>-0.27777777777777779</v>
      </c>
      <c r="Z95" s="12">
        <v>3.4</v>
      </c>
      <c r="AA95" s="12">
        <v>5.6</v>
      </c>
      <c r="AB95" s="12">
        <v>8.4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 t="s">
        <v>153</v>
      </c>
      <c r="AI95" s="1">
        <f t="shared" si="41"/>
        <v>0</v>
      </c>
      <c r="AJ95" s="1">
        <f t="shared" si="42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</sheetData>
  <autoFilter ref="A3:AI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2026-01-27T11:10:55Z</dcterms:created>
  <dcterms:modified xsi:type="dcterms:W3CDTF">2026-01-28T10:43:48Z</dcterms:modified>
</cp:coreProperties>
</file>