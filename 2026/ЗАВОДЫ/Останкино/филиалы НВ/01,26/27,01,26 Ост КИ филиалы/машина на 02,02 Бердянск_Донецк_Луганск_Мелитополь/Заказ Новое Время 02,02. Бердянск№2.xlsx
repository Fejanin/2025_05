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46055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85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113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57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170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85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237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254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73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266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170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339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170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96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85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170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58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50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90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424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170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56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520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226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/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/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85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/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77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283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85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226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198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141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/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57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57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57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141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БАЛЫК с/к с/н в/у 1/100 10шт.</t>
        </is>
      </c>
      <c r="C98" s="73" t="inlineStr">
        <is>
          <t>шт</t>
        </is>
      </c>
      <c r="D98" s="74" t="n">
        <v>1001223907288</v>
      </c>
      <c r="E98" s="24" t="n">
        <v>56</v>
      </c>
      <c r="F98" s="23" t="n">
        <v>0.1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АРОМАТНАЯ с/к в/у 1/250 8шт.</t>
        </is>
      </c>
      <c r="C99" s="73" t="inlineStr">
        <is>
          <t>шт</t>
        </is>
      </c>
      <c r="D99" s="74" t="n">
        <v>1001061973986</v>
      </c>
      <c r="E99" s="24" t="n">
        <v>226</v>
      </c>
      <c r="F99" s="23" t="n">
        <v>0.25</v>
      </c>
      <c r="G99" s="23">
        <f>E99*F99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ПОСОЛЬСКАЯ Папа может с/к в/у</t>
        </is>
      </c>
      <c r="C100" s="73" t="inlineStr">
        <is>
          <t>КГ</t>
        </is>
      </c>
      <c r="D100" s="74" t="n">
        <v>1001063145708</v>
      </c>
      <c r="E100" s="24" t="n"/>
      <c r="F100" s="23" t="n">
        <v>0.525</v>
      </c>
      <c r="G100" s="23">
        <f>E100</f>
        <v/>
      </c>
      <c r="H100" s="14" t="n">
        <v>4.2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АССОРТИ СЫРОКОПЧЕНЫХ КОЛБАС Коровино в/у</t>
        </is>
      </c>
      <c r="C101" s="73" t="inlineStr">
        <is>
          <t>КГ</t>
        </is>
      </c>
      <c r="D101" s="74" t="n">
        <v>1001065616832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НАБОР ДЛЯ ПИЦЦЫ Папа Может с/к в/у</t>
        </is>
      </c>
      <c r="C102" s="73" t="inlineStr">
        <is>
          <t>КГ</t>
        </is>
      </c>
      <c r="D102" s="74" t="n">
        <v>1001060677299</v>
      </c>
      <c r="E102" s="24" t="n"/>
      <c r="F102" s="23" t="n"/>
      <c r="G102" s="23">
        <f>E102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ИТАЛЬЯНСКАЯ с/к в/у 1/250*8_120c</t>
        </is>
      </c>
      <c r="C103" s="73" t="inlineStr">
        <is>
          <t>шт</t>
        </is>
      </c>
      <c r="D103" s="74" t="n">
        <v>1001060764993</v>
      </c>
      <c r="E103" s="24" t="n">
        <v>68</v>
      </c>
      <c r="F103" s="23" t="n">
        <v>0.25</v>
      </c>
      <c r="G103" s="23">
        <f>E103*F103</f>
        <v/>
      </c>
      <c r="H103" s="14" t="n">
        <v>2</v>
      </c>
      <c r="I103" s="14" t="n">
        <v>120</v>
      </c>
      <c r="J103" s="29" t="n"/>
    </row>
    <row r="104" ht="16.5" customHeight="1">
      <c r="A104" s="60">
        <f>RIGHT(D104,4)</f>
        <v/>
      </c>
      <c r="B104" s="80" t="inlineStr">
        <is>
          <t>БУРГУНДИЯ Папа может с/к в/у 1/250 8шт.</t>
        </is>
      </c>
      <c r="C104" s="73" t="inlineStr">
        <is>
          <t>шт</t>
        </is>
      </c>
      <c r="D104" s="74" t="n">
        <v>1001063656967</v>
      </c>
      <c r="E104" s="24" t="n">
        <v>141</v>
      </c>
      <c r="F104" s="23" t="n">
        <v>0.25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САЛЯМИ МЕЛКОЗЕРНЕНАЯ с/к в/у 1/120 8шт.</t>
        </is>
      </c>
      <c r="C105" s="73" t="inlineStr">
        <is>
          <t>ШТ</t>
        </is>
      </c>
      <c r="D105" s="74" t="n">
        <v>1001203117382</v>
      </c>
      <c r="E105" s="24" t="n"/>
      <c r="F105" s="23" t="n">
        <v>0.12</v>
      </c>
      <c r="G105" s="23">
        <f>E105*F105</f>
        <v/>
      </c>
      <c r="H105" s="14" t="n">
        <v>0.96</v>
      </c>
      <c r="I105" s="14" t="n">
        <v>60</v>
      </c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1/220 8шт.</t>
        </is>
      </c>
      <c r="C106" s="73" t="inlineStr">
        <is>
          <t>ШТ</t>
        </is>
      </c>
      <c r="D106" s="74" t="n">
        <v>1001063237147</v>
      </c>
      <c r="E106" s="24" t="n"/>
      <c r="F106" s="23" t="n">
        <v>0.22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Останкино с/к в/у 1/180</t>
        </is>
      </c>
      <c r="C107" s="73" t="inlineStr">
        <is>
          <t>ШТ</t>
        </is>
      </c>
      <c r="D107" s="74" t="n">
        <v>1001063237229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САЛЬЧИЧОН Папа может с/к в/у</t>
        </is>
      </c>
      <c r="C108" s="73" t="inlineStr">
        <is>
          <t>КГ</t>
        </is>
      </c>
      <c r="D108" s="74" t="n">
        <v>1001063237150</v>
      </c>
      <c r="E108" s="24" t="n"/>
      <c r="F108" s="23" t="n">
        <v>1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САЛЯМИ ФИНСКАЯ Папа может с/к в/у 1/180</t>
        </is>
      </c>
      <c r="C109" s="73" t="inlineStr">
        <is>
          <t>ШТ</t>
        </is>
      </c>
      <c r="D109" s="74" t="n">
        <v>1001063097227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ТОСКАНО ПРЕМИУМ Останкино с/к в/у 1/180</t>
        </is>
      </c>
      <c r="C110" s="73" t="inlineStr">
        <is>
          <t>ШТ</t>
        </is>
      </c>
      <c r="D110" s="74" t="n">
        <v>1001066537225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МИЛАНО ПРЕМИУМ Останкино с/к в/у 1/180</t>
        </is>
      </c>
      <c r="C111" s="73" t="inlineStr">
        <is>
          <t>ШТ</t>
        </is>
      </c>
      <c r="D111" s="74" t="n">
        <v>1001066547228</v>
      </c>
      <c r="E111" s="24" t="n"/>
      <c r="F111" s="23" t="n">
        <v>0.18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НЕАПОЛИТАНСКИЙ ДУЭТ с/к с/н мгс 1/90</t>
        </is>
      </c>
      <c r="C112" s="73" t="inlineStr">
        <is>
          <t>ШТ</t>
        </is>
      </c>
      <c r="D112" s="74" t="n">
        <v>1001205376221</v>
      </c>
      <c r="E112" s="24" t="n">
        <v>57</v>
      </c>
      <c r="F112" s="23" t="n">
        <v>0.09</v>
      </c>
      <c r="G112" s="23">
        <f>E112*F112</f>
        <v/>
      </c>
      <c r="H112" s="14" t="n"/>
      <c r="I112" s="14" t="n"/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в/у_Л</t>
        </is>
      </c>
      <c r="C113" s="73" t="inlineStr">
        <is>
          <t>КГ</t>
        </is>
      </c>
      <c r="D113" s="74" t="n">
        <v>1001062504117</v>
      </c>
      <c r="E113" s="24" t="n"/>
      <c r="F113" s="23" t="n">
        <v>0.507</v>
      </c>
      <c r="G113" s="23">
        <f>E113</f>
        <v/>
      </c>
      <c r="H113" s="14" t="n">
        <v>4.05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в/у 1/250 8шт.</t>
        </is>
      </c>
      <c r="C114" s="73" t="inlineStr">
        <is>
          <t>ШТ</t>
        </is>
      </c>
      <c r="D114" s="74" t="n">
        <v>1001062505483</v>
      </c>
      <c r="E114" s="24" t="n">
        <v>113</v>
      </c>
      <c r="F114" s="23" t="n">
        <v>0.25</v>
      </c>
      <c r="G114" s="23">
        <f>E114*F114</f>
        <v/>
      </c>
      <c r="H114" s="14" t="n">
        <v>2</v>
      </c>
      <c r="I114" s="14" t="n">
        <v>120</v>
      </c>
      <c r="J114" s="29" t="n"/>
    </row>
    <row r="115" ht="16.5" customHeight="1">
      <c r="A115" s="60">
        <f>RIGHT(D115,4)</f>
        <v/>
      </c>
      <c r="B115" s="80" t="inlineStr">
        <is>
          <t>ЭКСТРА Папа может с/к с/н в/у 1/100_60с</t>
        </is>
      </c>
      <c r="C115" s="73" t="inlineStr">
        <is>
          <t>шт</t>
        </is>
      </c>
      <c r="D115" s="74" t="n">
        <v>1001202506453</v>
      </c>
      <c r="E115" s="24" t="n">
        <v>113</v>
      </c>
      <c r="F115" s="23" t="n">
        <v>0.1</v>
      </c>
      <c r="G115" s="23">
        <f>E115*F115</f>
        <v/>
      </c>
      <c r="H115" s="14" t="n">
        <v>1.4</v>
      </c>
      <c r="I115" s="14" t="n">
        <v>60</v>
      </c>
      <c r="J115" s="29" t="n"/>
    </row>
    <row r="116" ht="16.5" customHeight="1">
      <c r="A116" s="60">
        <f>RIGHT(D116,4)</f>
        <v/>
      </c>
      <c r="B116" s="80" t="inlineStr">
        <is>
          <t>МЯСНОЕ АССОРТИ к/з с/н мгс 1/90 10шт.</t>
        </is>
      </c>
      <c r="C116" s="73" t="inlineStr">
        <is>
          <t>шт</t>
        </is>
      </c>
      <c r="D116" s="74" t="n">
        <v>1001225416228</v>
      </c>
      <c r="E116" s="24" t="n"/>
      <c r="F116" s="23" t="n">
        <v>0.09</v>
      </c>
      <c r="G116" s="23">
        <f>E116*F116</f>
        <v/>
      </c>
      <c r="H116" s="14" t="n"/>
      <c r="I116" s="14" t="n"/>
      <c r="J116" s="29" t="n"/>
    </row>
    <row r="117" ht="16.5" customHeight="1" thickBot="1">
      <c r="A117" s="60">
        <f>RIGHT(D117,4)</f>
        <v/>
      </c>
      <c r="B117" s="80" t="inlineStr">
        <is>
          <t>САЛЯМИ ИТАЛЬЯНСКАЯ с/к в/у</t>
        </is>
      </c>
      <c r="C117" s="73" t="inlineStr">
        <is>
          <t>КГ</t>
        </is>
      </c>
      <c r="D117" s="74" t="n">
        <v>1001060763287</v>
      </c>
      <c r="E117" s="24" t="n"/>
      <c r="F117" s="23" t="n">
        <v>0.513</v>
      </c>
      <c r="G117" s="23">
        <f>E117</f>
        <v/>
      </c>
      <c r="H117" s="14" t="n">
        <v>4.1</v>
      </c>
      <c r="I117" s="14" t="n">
        <v>120</v>
      </c>
      <c r="J117" s="29" t="n"/>
    </row>
    <row r="118" ht="16.5" customHeight="1" thickBot="1" thickTop="1">
      <c r="A118" s="60">
        <f>RIGHT(D118,4)</f>
        <v/>
      </c>
      <c r="B118" s="47" t="inlineStr">
        <is>
          <t>Ветчины</t>
        </is>
      </c>
      <c r="C118" s="47" t="n"/>
      <c r="D118" s="47" t="n"/>
      <c r="E118" s="47" t="n"/>
      <c r="F118" s="47" t="n"/>
      <c r="G118" s="23" t="n"/>
      <c r="H118" s="47" t="n"/>
      <c r="I118" s="47" t="n"/>
      <c r="J118" s="48" t="n"/>
    </row>
    <row r="119" ht="16.5" customHeight="1" thickTop="1">
      <c r="A119" s="60">
        <f>RIGHT(D119,4)</f>
        <v/>
      </c>
      <c r="B119" s="77" t="inlineStr">
        <is>
          <t>ВЕТЧ.НЕЖНАЯ Коровино п/о_Маяк</t>
        </is>
      </c>
      <c r="C119" s="73" t="inlineStr">
        <is>
          <t>кг</t>
        </is>
      </c>
      <c r="D119" s="79" t="n">
        <v>1001095716866</v>
      </c>
      <c r="E119" s="24" t="n"/>
      <c r="F119" s="23" t="n"/>
      <c r="G119" s="23">
        <f>E119</f>
        <v/>
      </c>
      <c r="H119" s="14" t="n"/>
      <c r="I119" s="14" t="n"/>
      <c r="J119" s="29" t="n"/>
    </row>
    <row r="120" ht="16.5" customHeight="1">
      <c r="A120" s="60">
        <f>RIGHT(D120,4)</f>
        <v/>
      </c>
      <c r="B120" s="80" t="inlineStr">
        <is>
          <t>ВЕТЧ.МЯСНАЯ Папа может п/о 0.4кг 8шт.</t>
        </is>
      </c>
      <c r="C120" s="73" t="inlineStr">
        <is>
          <t>шт</t>
        </is>
      </c>
      <c r="D120" s="42" t="n">
        <v>1001094053215</v>
      </c>
      <c r="E120" s="24" t="n">
        <v>85</v>
      </c>
      <c r="F120" s="23" t="n">
        <v>0.4</v>
      </c>
      <c r="G120" s="23">
        <f>E120*F120</f>
        <v/>
      </c>
      <c r="H120" s="14" t="n">
        <v>3.2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ВЕТЧ.МЯСНАЯ Папа может п/о</t>
        </is>
      </c>
      <c r="C121" s="73" t="inlineStr">
        <is>
          <t>КГ</t>
        </is>
      </c>
      <c r="D121" s="42" t="n">
        <v>1001092485452</v>
      </c>
      <c r="E121" s="24" t="n">
        <v>96</v>
      </c>
      <c r="F121" s="23" t="n">
        <v>1.367</v>
      </c>
      <c r="G121" s="23">
        <f>E121</f>
        <v/>
      </c>
      <c r="H121" s="14" t="n">
        <v>4.1</v>
      </c>
      <c r="I121" s="14" t="n">
        <v>60</v>
      </c>
      <c r="J121" s="29" t="n"/>
    </row>
    <row r="122" ht="16.5" customHeight="1">
      <c r="A122" s="60">
        <f>RIGHT(D122,4)</f>
        <v/>
      </c>
      <c r="B122" s="51" t="inlineStr">
        <is>
          <t>ВЕТЧ.С ИНДЕЙКОЙ Папа может п/о 400*6</t>
        </is>
      </c>
      <c r="C122" s="73" t="inlineStr">
        <is>
          <t>ШТ</t>
        </is>
      </c>
      <c r="D122" s="42" t="n">
        <v>1001093345495</v>
      </c>
      <c r="E122" s="24" t="n"/>
      <c r="F122" s="23" t="n">
        <v>0.4</v>
      </c>
      <c r="G122" s="23">
        <f>E122*F122</f>
        <v/>
      </c>
      <c r="H122" s="14" t="n">
        <v>2.4</v>
      </c>
      <c r="I122" s="14" t="n">
        <v>60</v>
      </c>
      <c r="J122" s="29" t="n"/>
    </row>
    <row r="123" ht="15.75" customHeight="1" thickBot="1">
      <c r="A123" s="60">
        <f>RIGHT(D123,4)</f>
        <v/>
      </c>
      <c r="B123" s="51" t="inlineStr">
        <is>
          <t>ВЕТЧ.МРАМОРНАЯ в/у срез 0.3кг 6шт_45с</t>
        </is>
      </c>
      <c r="C123" s="73" t="inlineStr">
        <is>
          <t>ШТ</t>
        </is>
      </c>
      <c r="D123" s="42" t="n">
        <v>1001092436495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45</v>
      </c>
      <c r="J123" s="29" t="n"/>
    </row>
    <row r="124" ht="16.5" customHeight="1" thickBot="1" thickTop="1">
      <c r="A124" s="60">
        <f>RIGHT(D124,4)</f>
        <v/>
      </c>
      <c r="B124" s="47" t="inlineStr">
        <is>
          <t>Копчености варенокопченые</t>
        </is>
      </c>
      <c r="C124" s="47" t="n"/>
      <c r="D124" s="47" t="n"/>
      <c r="E124" s="47" t="n"/>
      <c r="F124" s="47" t="n"/>
      <c r="G124" s="23" t="n"/>
      <c r="H124" s="47" t="n"/>
      <c r="I124" s="47" t="n"/>
      <c r="J124" s="48" t="n"/>
    </row>
    <row r="125" ht="16.5" customHeight="1" thickTop="1">
      <c r="A125" s="60">
        <f>RIGHT(D125,4)</f>
        <v/>
      </c>
      <c r="B125" s="37" t="inlineStr">
        <is>
          <t>СВИНИНА МАДЕРА с/к с/н в/у 1/100</t>
        </is>
      </c>
      <c r="C125" s="73" t="inlineStr">
        <is>
          <t>шт</t>
        </is>
      </c>
      <c r="D125" s="74" t="n">
        <v>1001234146448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45</v>
      </c>
      <c r="J125" s="29" t="n"/>
    </row>
    <row r="126" ht="16.5" customHeight="1">
      <c r="A126" s="60">
        <f>RIGHT(D126,4)</f>
        <v/>
      </c>
      <c r="B126" s="37" t="inlineStr">
        <is>
          <t>РЕБРЫШКИ к/в в/у_30c</t>
        </is>
      </c>
      <c r="C126" s="73" t="inlineStr">
        <is>
          <t>КГ</t>
        </is>
      </c>
      <c r="D126" s="74" t="n">
        <v>1001081596620</v>
      </c>
      <c r="E126" s="24" t="n"/>
      <c r="F126" s="23" t="n"/>
      <c r="G126" s="23">
        <f>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КОРЕЙКА ПО-ОСТ.к/в в/с с/н в/у 1/150_45с</t>
        </is>
      </c>
      <c r="C127" s="73" t="inlineStr">
        <is>
          <t>ШТ</t>
        </is>
      </c>
      <c r="D127" s="74" t="n">
        <v>1001220286279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ДЫМОВИЦА ИЗ ЛОПАТКИ ПМ к/в с/н в/у 1/150</t>
        </is>
      </c>
      <c r="C128" s="73" t="inlineStr">
        <is>
          <t>ШТ</t>
        </is>
      </c>
      <c r="D128" s="74" t="n">
        <v>1001220226208</v>
      </c>
      <c r="E128" s="24" t="n"/>
      <c r="F128" s="23" t="n">
        <v>0.15</v>
      </c>
      <c r="G128" s="23">
        <f>F128*E128</f>
        <v/>
      </c>
      <c r="H128" s="14" t="n"/>
      <c r="I128" s="14" t="n"/>
      <c r="J128" s="29" t="n"/>
    </row>
    <row r="129" ht="16.5" customHeight="1">
      <c r="A129" s="60">
        <f>RIGHT(D129,4)</f>
        <v/>
      </c>
      <c r="B129" s="37" t="inlineStr">
        <is>
          <t>СВИНИНА ПО-ДОМ. к/в мл/к в/у 0.3кг_50с</t>
        </is>
      </c>
      <c r="C129" s="73" t="inlineStr">
        <is>
          <t>шт</t>
        </is>
      </c>
      <c r="D129" s="74" t="n">
        <v>1001084217090</v>
      </c>
      <c r="E129" s="24" t="n"/>
      <c r="F129" s="23" t="n">
        <v>0.3</v>
      </c>
      <c r="G129" s="23">
        <f>E129*F129</f>
        <v/>
      </c>
      <c r="H129" s="14" t="n">
        <v>1.8</v>
      </c>
      <c r="I129" s="14" t="n">
        <v>45</v>
      </c>
      <c r="J129" s="29" t="n"/>
    </row>
    <row r="130" ht="16.5" customHeight="1">
      <c r="A130" s="60">
        <f>RIGHT(D130,4)</f>
        <v/>
      </c>
      <c r="B130" s="37" t="inlineStr">
        <is>
          <t>ГРУДИНКА ПРЕМИУМ к/в мл/к в/у 0.3кг_50с</t>
        </is>
      </c>
      <c r="C130" s="73" t="inlineStr">
        <is>
          <t>шт</t>
        </is>
      </c>
      <c r="D130" s="74" t="n">
        <v>1001085637187</v>
      </c>
      <c r="E130" s="24" t="n"/>
      <c r="F130" s="23" t="n">
        <v>0.3</v>
      </c>
      <c r="G130" s="23">
        <f>E130*F130</f>
        <v/>
      </c>
      <c r="H130" s="14" t="n"/>
      <c r="I130" s="14" t="n"/>
      <c r="J130" s="29" t="n"/>
    </row>
    <row r="131" ht="16.5" customFormat="1" customHeight="1" s="71">
      <c r="A131" s="60">
        <f>RIGHT(D131,4)</f>
        <v/>
      </c>
      <c r="B131" s="59" t="inlineStr">
        <is>
          <t>БЕКОН Останкино с/к с/н в/у 1/180_50с</t>
        </is>
      </c>
      <c r="C131" s="54" t="inlineStr">
        <is>
          <t>шт</t>
        </is>
      </c>
      <c r="D131" s="55" t="n">
        <v>1001223297103</v>
      </c>
      <c r="E131" s="24" t="n">
        <v>113</v>
      </c>
      <c r="F131" s="75" t="n">
        <v>0.18</v>
      </c>
      <c r="G131" s="23">
        <f>E131*F131</f>
        <v/>
      </c>
      <c r="H131" s="76" t="n">
        <v>1.8</v>
      </c>
      <c r="I131" s="76" t="n">
        <v>45</v>
      </c>
      <c r="J131" s="76" t="n"/>
      <c r="K131" s="27" t="n"/>
    </row>
    <row r="132" ht="16.5" customHeight="1" thickBot="1">
      <c r="A132" s="60">
        <f>RIGHT(D132,4)</f>
        <v/>
      </c>
      <c r="B132" s="37" t="inlineStr">
        <is>
          <t>ШАШЛЫК ИЗ СВИНИНЫ зам.</t>
        </is>
      </c>
      <c r="C132" s="73" t="inlineStr">
        <is>
          <t>КГ</t>
        </is>
      </c>
      <c r="D132" s="74" t="n">
        <v>1002162216872</v>
      </c>
      <c r="E132" s="24" t="n"/>
      <c r="F132" s="23" t="n"/>
      <c r="G132" s="23">
        <f>E132</f>
        <v/>
      </c>
      <c r="H132" s="14" t="n"/>
      <c r="I132" s="14" t="n">
        <v>90</v>
      </c>
      <c r="J132" s="29" t="n"/>
    </row>
    <row r="133" ht="16.5" customHeight="1" thickBot="1" thickTop="1">
      <c r="A133" s="63" t="n"/>
      <c r="B133" s="50" t="inlineStr">
        <is>
          <t>ВСЕГО:</t>
        </is>
      </c>
      <c r="C133" s="16" t="n"/>
      <c r="D133" s="38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thickTop="1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</sheetData>
  <autoFilter ref="A9:J133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2026-01-28T11:06:32Z</dcterms:modified>
  <cp:lastModifiedBy>Uaer4</cp:lastModifiedBy>
  <cp:lastPrinted>2015-01-13T07:32:10Z</cp:lastPrinted>
</cp:coreProperties>
</file>