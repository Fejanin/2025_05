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E608C4E-A537-47BB-9431-01B49EA84F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<sst xmlns="http://schemas.openxmlformats.org/spreadsheetml/2006/main" count="258" uniqueCount="147">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</sst>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L132" sqref="L13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45689</v>
      </c>
      <c r="E3" s="7" t="s">
        <v>3</v>
      </c>
      <c r="F3" s="83">
        <f>D3+3</f>
        <v>45692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311</v>
      </c>
      <c r="F12" s="23">
        <v>1.3340000000000001</v>
      </c>
      <c r="G12" s="23">
        <f>E12</f>
        <v>311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47</v>
      </c>
      <c r="F13" s="23">
        <v>0.4</v>
      </c>
      <c r="G13" s="23">
        <f>E13*F13</f>
        <v>18.8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55</v>
      </c>
      <c r="F15" s="23">
        <v>1.35</v>
      </c>
      <c r="G15" s="23">
        <f>E15</f>
        <v>55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207</v>
      </c>
      <c r="F22" s="23">
        <v>1.35</v>
      </c>
      <c r="G22" s="23">
        <f>E22</f>
        <v>207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54</v>
      </c>
      <c r="F23" s="23">
        <v>0.4</v>
      </c>
      <c r="G23" s="23">
        <f>E23*F23</f>
        <v>21.6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149</v>
      </c>
      <c r="F24" s="23">
        <v>1.3540000000000001</v>
      </c>
      <c r="G24" s="23">
        <f>E24</f>
        <v>149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38</v>
      </c>
      <c r="F25" s="23">
        <v>0.4</v>
      </c>
      <c r="G25" s="23">
        <f>E25*F25</f>
        <v>15.200000000000001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38</v>
      </c>
      <c r="F27" s="23">
        <v>0.4</v>
      </c>
      <c r="G27" s="23">
        <f>E27*F27</f>
        <v>15.200000000000001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44</v>
      </c>
      <c r="F28" s="23">
        <v>0.3</v>
      </c>
      <c r="G28" s="23">
        <f>E28*F28</f>
        <v>13.2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76</v>
      </c>
      <c r="F29" s="23">
        <v>0.4</v>
      </c>
      <c r="G29" s="23">
        <f>E29*F29</f>
        <v>30.400000000000002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98</v>
      </c>
      <c r="F30" s="23">
        <v>1</v>
      </c>
      <c r="G30" s="23">
        <f>E30</f>
        <v>98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102</v>
      </c>
      <c r="F36" s="67">
        <v>0.4</v>
      </c>
      <c r="G36" s="23">
        <f>E36*F36</f>
        <v>40.800000000000004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>
        <v>26</v>
      </c>
      <c r="F37" s="23">
        <v>0.35</v>
      </c>
      <c r="G37" s="23">
        <f>E37*F37</f>
        <v>9.1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107</v>
      </c>
      <c r="F38" s="23">
        <v>1.05</v>
      </c>
      <c r="G38" s="23">
        <f>E38</f>
        <v>107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80</v>
      </c>
      <c r="F41" s="23">
        <v>0.36</v>
      </c>
      <c r="G41" s="23">
        <f>E41*F41</f>
        <v>28.799999999999997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77</v>
      </c>
      <c r="F43" s="23">
        <v>0.3</v>
      </c>
      <c r="G43" s="23">
        <f>E43*F43</f>
        <v>23.099999999999998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120</v>
      </c>
      <c r="F44" s="23">
        <v>2.125</v>
      </c>
      <c r="G44" s="23">
        <f>E44</f>
        <v>120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80</v>
      </c>
      <c r="F46" s="23"/>
      <c r="G46" s="23">
        <f>E46</f>
        <v>80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88</v>
      </c>
      <c r="F47" s="23">
        <v>1</v>
      </c>
      <c r="G47" s="23">
        <f>E47</f>
        <v>88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213</v>
      </c>
      <c r="F49" s="23">
        <v>0.41</v>
      </c>
      <c r="G49" s="23">
        <f>E49*F49</f>
        <v>87.33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75</v>
      </c>
      <c r="F50" s="23">
        <v>0.4</v>
      </c>
      <c r="G50" s="23">
        <f>E50*F50</f>
        <v>30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144</v>
      </c>
      <c r="F53" s="23">
        <v>1.0249999999999999</v>
      </c>
      <c r="G53" s="23">
        <f>E53</f>
        <v>144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53</v>
      </c>
      <c r="F55" s="23">
        <v>0.35</v>
      </c>
      <c r="G55" s="23">
        <f>E55*F55</f>
        <v>18.549999999999997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103</v>
      </c>
      <c r="F56" s="23">
        <v>0.41</v>
      </c>
      <c r="G56" s="23">
        <f>F56*E56</f>
        <v>42.23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103</v>
      </c>
      <c r="F58" s="23">
        <v>0.41</v>
      </c>
      <c r="G58" s="23">
        <f>E58*F58</f>
        <v>42.23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266</v>
      </c>
      <c r="F60" s="23">
        <v>0.41</v>
      </c>
      <c r="G60" s="23">
        <f>E60*F60</f>
        <v>109.05999999999999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72</v>
      </c>
      <c r="F64" s="23">
        <v>1</v>
      </c>
      <c r="G64" s="23">
        <f>E64</f>
        <v>72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38</v>
      </c>
      <c r="F65" s="23">
        <v>0.99</v>
      </c>
      <c r="G65" s="23">
        <f>E65</f>
        <v>38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20</v>
      </c>
      <c r="F68" s="23">
        <v>0.1</v>
      </c>
      <c r="G68" s="23">
        <f t="shared" si="3"/>
        <v>2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97</v>
      </c>
      <c r="F69" s="23">
        <v>0.28000000000000003</v>
      </c>
      <c r="G69" s="23">
        <f t="shared" si="3"/>
        <v>27.160000000000004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104</v>
      </c>
      <c r="F71" s="23">
        <v>0.28000000000000003</v>
      </c>
      <c r="G71" s="23">
        <f t="shared" si="3"/>
        <v>29.120000000000005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70</v>
      </c>
      <c r="F72" s="23">
        <v>0.35</v>
      </c>
      <c r="G72" s="23">
        <f t="shared" si="3"/>
        <v>24.5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34</v>
      </c>
      <c r="F73" s="75">
        <v>0.33</v>
      </c>
      <c r="G73" s="23">
        <f t="shared" si="3"/>
        <v>11.22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122</v>
      </c>
      <c r="F74" s="23">
        <v>0.35</v>
      </c>
      <c r="G74" s="23">
        <f t="shared" si="3"/>
        <v>42.699999999999996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6</v>
      </c>
      <c r="F75" s="23">
        <v>0.28000000000000003</v>
      </c>
      <c r="G75" s="23">
        <f t="shared" si="3"/>
        <v>1.6800000000000002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169</v>
      </c>
      <c r="F76" s="23">
        <v>0.28000000000000003</v>
      </c>
      <c r="G76" s="23">
        <f t="shared" si="3"/>
        <v>47.320000000000007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125</v>
      </c>
      <c r="F78" s="23">
        <v>0.35</v>
      </c>
      <c r="G78" s="23">
        <f t="shared" si="3"/>
        <v>43.75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53</v>
      </c>
      <c r="F79" s="23">
        <v>1</v>
      </c>
      <c r="G79" s="23">
        <f>E79</f>
        <v>53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25</v>
      </c>
      <c r="F85" s="23">
        <v>0.33</v>
      </c>
      <c r="G85" s="23">
        <f>E85*F85</f>
        <v>8.25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69</v>
      </c>
      <c r="F91" s="23">
        <v>0.33</v>
      </c>
      <c r="G91" s="23">
        <f>E91*F91</f>
        <v>22.77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8</v>
      </c>
      <c r="F93" s="67">
        <v>0.22</v>
      </c>
      <c r="G93" s="23">
        <f t="shared" ref="G93:G98" si="5">E93*F93</f>
        <v>1.76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 t="shared" si="5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5"/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53</v>
      </c>
      <c r="F96" s="23">
        <v>0.1</v>
      </c>
      <c r="G96" s="23">
        <f t="shared" si="5"/>
        <v>5.3000000000000007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7288</v>
      </c>
      <c r="B97" s="80" t="s">
        <v>111</v>
      </c>
      <c r="C97" s="73" t="s">
        <v>33</v>
      </c>
      <c r="D97" s="74">
        <v>1001223907288</v>
      </c>
      <c r="E97" s="24"/>
      <c r="F97" s="23">
        <v>0.1</v>
      </c>
      <c r="G97" s="23">
        <f t="shared" si="5"/>
        <v>0</v>
      </c>
      <c r="H97" s="14"/>
      <c r="I97" s="14"/>
      <c r="J97" s="29"/>
    </row>
    <row r="98" spans="1:10" ht="16.5" customHeight="1" x14ac:dyDescent="0.25">
      <c r="A98" s="60" t="str">
        <f t="shared" si="4"/>
        <v>3986</v>
      </c>
      <c r="B98" s="80" t="s">
        <v>112</v>
      </c>
      <c r="C98" s="73" t="s">
        <v>33</v>
      </c>
      <c r="D98" s="74">
        <v>1001061973986</v>
      </c>
      <c r="E98" s="24"/>
      <c r="F98" s="23">
        <v>0.25</v>
      </c>
      <c r="G98" s="23">
        <f t="shared" si="5"/>
        <v>0</v>
      </c>
      <c r="H98" s="14"/>
      <c r="I98" s="14"/>
      <c r="J98" s="29"/>
    </row>
    <row r="99" spans="1:10" ht="16.5" customHeight="1" x14ac:dyDescent="0.25">
      <c r="A99" s="60" t="str">
        <f t="shared" si="4"/>
        <v>5708</v>
      </c>
      <c r="B99" s="80" t="s">
        <v>113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4"/>
        <v>6832</v>
      </c>
      <c r="B100" s="80" t="s">
        <v>114</v>
      </c>
      <c r="C100" s="73" t="s">
        <v>24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7299</v>
      </c>
      <c r="B101" s="80" t="s">
        <v>115</v>
      </c>
      <c r="C101" s="73" t="s">
        <v>24</v>
      </c>
      <c r="D101" s="74">
        <v>1001060677299</v>
      </c>
      <c r="E101" s="24">
        <v>47</v>
      </c>
      <c r="F101" s="23"/>
      <c r="G101" s="23">
        <f>E101</f>
        <v>47</v>
      </c>
      <c r="H101" s="14"/>
      <c r="I101" s="14"/>
      <c r="J101" s="29"/>
    </row>
    <row r="102" spans="1:10" ht="16.5" customHeight="1" x14ac:dyDescent="0.25">
      <c r="A102" s="60" t="str">
        <f t="shared" si="4"/>
        <v>4993</v>
      </c>
      <c r="B102" s="80" t="s">
        <v>116</v>
      </c>
      <c r="C102" s="73" t="s">
        <v>33</v>
      </c>
      <c r="D102" s="74">
        <v>1001060764993</v>
      </c>
      <c r="E102" s="24">
        <v>8</v>
      </c>
      <c r="F102" s="23">
        <v>0.25</v>
      </c>
      <c r="G102" s="23">
        <f t="shared" ref="G102:G111" si="6">E102*F102</f>
        <v>2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4"/>
        <v>6967</v>
      </c>
      <c r="B103" s="80" t="s">
        <v>117</v>
      </c>
      <c r="C103" s="73" t="s">
        <v>33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4"/>
        <v>7382</v>
      </c>
      <c r="B104" s="80" t="s">
        <v>118</v>
      </c>
      <c r="C104" s="73" t="s">
        <v>22</v>
      </c>
      <c r="D104" s="74">
        <v>1001203117382</v>
      </c>
      <c r="E104" s="24">
        <v>70</v>
      </c>
      <c r="F104" s="23">
        <v>0.12</v>
      </c>
      <c r="G104" s="23">
        <f t="shared" si="6"/>
        <v>8.4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4"/>
        <v>7147</v>
      </c>
      <c r="B105" s="80" t="s">
        <v>119</v>
      </c>
      <c r="C105" s="73" t="s">
        <v>22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7229</v>
      </c>
      <c r="B106" s="80" t="s">
        <v>120</v>
      </c>
      <c r="C106" s="73" t="s">
        <v>22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7150</v>
      </c>
      <c r="B107" s="80" t="s">
        <v>121</v>
      </c>
      <c r="C107" s="73" t="s">
        <v>24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7227</v>
      </c>
      <c r="B108" s="80" t="s">
        <v>122</v>
      </c>
      <c r="C108" s="73" t="s">
        <v>22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7225</v>
      </c>
      <c r="B109" s="80" t="s">
        <v>123</v>
      </c>
      <c r="C109" s="73" t="s">
        <v>22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7228</v>
      </c>
      <c r="B110" s="80" t="s">
        <v>124</v>
      </c>
      <c r="C110" s="73" t="s">
        <v>22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6221</v>
      </c>
      <c r="B111" s="80" t="s">
        <v>125</v>
      </c>
      <c r="C111" s="73" t="s">
        <v>22</v>
      </c>
      <c r="D111" s="74">
        <v>1001205376221</v>
      </c>
      <c r="E111" s="24">
        <v>76</v>
      </c>
      <c r="F111" s="23">
        <v>0.09</v>
      </c>
      <c r="G111" s="23">
        <f t="shared" si="6"/>
        <v>6.84</v>
      </c>
      <c r="H111" s="14"/>
      <c r="I111" s="14"/>
      <c r="J111" s="29"/>
    </row>
    <row r="112" spans="1:10" ht="16.5" customHeight="1" x14ac:dyDescent="0.25">
      <c r="A112" s="60" t="str">
        <f t="shared" si="4"/>
        <v>4117</v>
      </c>
      <c r="B112" s="80" t="s">
        <v>126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4"/>
        <v>5483</v>
      </c>
      <c r="B113" s="80" t="s">
        <v>127</v>
      </c>
      <c r="C113" s="73" t="s">
        <v>22</v>
      </c>
      <c r="D113" s="74">
        <v>1001062505483</v>
      </c>
      <c r="E113" s="24">
        <v>45</v>
      </c>
      <c r="F113" s="23">
        <v>0.25</v>
      </c>
      <c r="G113" s="23">
        <f>E113*F113</f>
        <v>11.25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4"/>
        <v>6453</v>
      </c>
      <c r="B114" s="80" t="s">
        <v>128</v>
      </c>
      <c r="C114" s="73" t="s">
        <v>33</v>
      </c>
      <c r="D114" s="74">
        <v>1001202506453</v>
      </c>
      <c r="E114" s="24">
        <v>84</v>
      </c>
      <c r="F114" s="23">
        <v>0.1</v>
      </c>
      <c r="G114" s="23">
        <f>E114*F114</f>
        <v>8.4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4"/>
        <v>6228</v>
      </c>
      <c r="B115" s="80" t="s">
        <v>129</v>
      </c>
      <c r="C115" s="73" t="s">
        <v>33</v>
      </c>
      <c r="D115" s="74">
        <v>1001225416228</v>
      </c>
      <c r="E115" s="24">
        <v>110</v>
      </c>
      <c r="F115" s="23">
        <v>0.09</v>
      </c>
      <c r="G115" s="23">
        <f>E115*F115</f>
        <v>9.9</v>
      </c>
      <c r="H115" s="14"/>
      <c r="I115" s="14"/>
      <c r="J115" s="29"/>
    </row>
    <row r="116" spans="1:10" ht="16.5" customHeight="1" thickBot="1" x14ac:dyDescent="0.3">
      <c r="A116" s="60" t="str">
        <f t="shared" si="4"/>
        <v>3287</v>
      </c>
      <c r="B116" s="80" t="s">
        <v>130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4"/>
        <v/>
      </c>
      <c r="B117" s="47" t="s">
        <v>131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4"/>
        <v>6866</v>
      </c>
      <c r="B118" s="77" t="s">
        <v>132</v>
      </c>
      <c r="C118" s="73" t="s">
        <v>38</v>
      </c>
      <c r="D118" s="79">
        <v>1001095716866</v>
      </c>
      <c r="E118" s="24">
        <v>25</v>
      </c>
      <c r="F118" s="23"/>
      <c r="G118" s="23">
        <f>E118</f>
        <v>25</v>
      </c>
      <c r="H118" s="14"/>
      <c r="I118" s="14"/>
      <c r="J118" s="29"/>
    </row>
    <row r="119" spans="1:10" ht="16.5" customHeight="1" x14ac:dyDescent="0.25">
      <c r="A119" s="60" t="str">
        <f t="shared" si="4"/>
        <v>3215</v>
      </c>
      <c r="B119" s="80" t="s">
        <v>133</v>
      </c>
      <c r="C119" s="73" t="s">
        <v>33</v>
      </c>
      <c r="D119" s="42">
        <v>1001094053215</v>
      </c>
      <c r="E119" s="24">
        <v>42</v>
      </c>
      <c r="F119" s="23">
        <v>0.4</v>
      </c>
      <c r="G119" s="23">
        <f>E119*F119</f>
        <v>16.8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4"/>
        <v>5452</v>
      </c>
      <c r="B120" s="51" t="s">
        <v>134</v>
      </c>
      <c r="C120" s="73" t="s">
        <v>24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4"/>
        <v>5495</v>
      </c>
      <c r="B121" s="51" t="s">
        <v>135</v>
      </c>
      <c r="C121" s="73" t="s">
        <v>22</v>
      </c>
      <c r="D121" s="42">
        <v>1001093345495</v>
      </c>
      <c r="E121" s="24">
        <v>37</v>
      </c>
      <c r="F121" s="23">
        <v>0.4</v>
      </c>
      <c r="G121" s="23">
        <f>E121*F121</f>
        <v>14.8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4"/>
        <v>6495</v>
      </c>
      <c r="B122" s="51" t="s">
        <v>136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137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138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139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140</v>
      </c>
      <c r="C126" s="73" t="s">
        <v>22</v>
      </c>
      <c r="D126" s="74">
        <v>1001220286279</v>
      </c>
      <c r="E126" s="24">
        <v>10</v>
      </c>
      <c r="F126" s="23">
        <v>0.15</v>
      </c>
      <c r="G126" s="23">
        <f>F126*E126</f>
        <v>1.5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141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142</v>
      </c>
      <c r="C128" s="73" t="s">
        <v>33</v>
      </c>
      <c r="D128" s="74">
        <v>1001084217090</v>
      </c>
      <c r="E128" s="24">
        <v>10</v>
      </c>
      <c r="F128" s="23">
        <v>0.3</v>
      </c>
      <c r="G128" s="23">
        <f>E128*F128</f>
        <v>3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143</v>
      </c>
      <c r="C129" s="73" t="s">
        <v>33</v>
      </c>
      <c r="D129" s="74">
        <v>1001085637187</v>
      </c>
      <c r="E129" s="24">
        <v>40</v>
      </c>
      <c r="F129" s="23">
        <v>0.3</v>
      </c>
      <c r="G129" s="23">
        <f>E129*F129</f>
        <v>12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144</v>
      </c>
      <c r="C130" s="54" t="s">
        <v>33</v>
      </c>
      <c r="D130" s="55">
        <v>1001223297103</v>
      </c>
      <c r="E130" s="24">
        <v>112</v>
      </c>
      <c r="F130" s="75">
        <v>0.18</v>
      </c>
      <c r="G130" s="23">
        <f>E130*F130</f>
        <v>20.16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145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146</v>
      </c>
      <c r="C132" s="16"/>
      <c r="D132" s="38"/>
      <c r="E132" s="17">
        <f>SUM(E10:E131)</f>
        <v>4535</v>
      </c>
      <c r="F132" s="17"/>
      <c r="G132" s="17">
        <f>SUM(G11:G131)</f>
        <v>2522.1800000000007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2026-01-28T11:03:18Z</dcterms:modified>
</cp:coreProperties>
</file>