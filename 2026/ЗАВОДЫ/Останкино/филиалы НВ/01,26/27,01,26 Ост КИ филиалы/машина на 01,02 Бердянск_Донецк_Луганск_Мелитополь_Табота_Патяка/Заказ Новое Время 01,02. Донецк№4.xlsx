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655C679-4BA3-4E01-873A-FD949D7DCD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<sst xmlns="http://schemas.openxmlformats.org/spreadsheetml/2006/main" count="257" uniqueCount="146">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</sst>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45689</v>
      </c>
      <c r="E3" s="7" t="s">
        <v>3</v>
      </c>
      <c r="F3" s="84">
        <f>D3+3</f>
        <v>45692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624</v>
      </c>
      <c r="F12" s="23">
        <v>1.3340000000000001</v>
      </c>
      <c r="G12" s="23">
        <f>E12</f>
        <v>624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504</v>
      </c>
      <c r="F13" s="23">
        <v>0.4</v>
      </c>
      <c r="G13" s="23">
        <f>E13*F13</f>
        <v>201.60000000000002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54</v>
      </c>
      <c r="F15" s="23">
        <v>1.35</v>
      </c>
      <c r="G15" s="23">
        <f>E15</f>
        <v>54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202</v>
      </c>
      <c r="F22" s="23">
        <v>1.35</v>
      </c>
      <c r="G22" s="23">
        <f>E22</f>
        <v>202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460</v>
      </c>
      <c r="F23" s="23">
        <v>0.4</v>
      </c>
      <c r="G23" s="23">
        <f>E23*F23</f>
        <v>184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134</v>
      </c>
      <c r="F24" s="23">
        <v>1.3540000000000001</v>
      </c>
      <c r="G24" s="23">
        <f>E24</f>
        <v>134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207</v>
      </c>
      <c r="F25" s="23">
        <v>0.4</v>
      </c>
      <c r="G25" s="23">
        <f>E25*F25</f>
        <v>82.800000000000011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40</v>
      </c>
      <c r="F27" s="23">
        <v>0.4</v>
      </c>
      <c r="G27" s="23">
        <f>E27*F27</f>
        <v>16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50</v>
      </c>
      <c r="F28" s="23">
        <v>0.3</v>
      </c>
      <c r="G28" s="23">
        <f>E28*F28</f>
        <v>15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92</v>
      </c>
      <c r="F29" s="23">
        <v>0.4</v>
      </c>
      <c r="G29" s="23">
        <f>E29*F29</f>
        <v>36.800000000000004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415</v>
      </c>
      <c r="F30" s="23">
        <v>1</v>
      </c>
      <c r="G30" s="23">
        <f>E30</f>
        <v>415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213</v>
      </c>
      <c r="F32" s="23">
        <v>1</v>
      </c>
      <c r="G32" s="23">
        <f>E32</f>
        <v>213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105</v>
      </c>
      <c r="F34" s="23">
        <v>0.4</v>
      </c>
      <c r="G34" s="23">
        <f>E34*F34</f>
        <v>42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300</v>
      </c>
      <c r="F36" s="67">
        <v>0.4</v>
      </c>
      <c r="G36" s="23">
        <f>E36*F36</f>
        <v>120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55</v>
      </c>
      <c r="F37" s="23">
        <v>0.35</v>
      </c>
      <c r="G37" s="23">
        <f>E37*F37</f>
        <v>19.25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41</v>
      </c>
      <c r="F38" s="23">
        <v>1.05</v>
      </c>
      <c r="G38" s="23">
        <f>E38</f>
        <v>41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143</v>
      </c>
      <c r="F41" s="23">
        <v>0.36</v>
      </c>
      <c r="G41" s="23">
        <f>E41*F41</f>
        <v>51.48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437</v>
      </c>
      <c r="F43" s="23">
        <v>0.3</v>
      </c>
      <c r="G43" s="23">
        <f>E43*F43</f>
        <v>131.1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105</v>
      </c>
      <c r="F44" s="23">
        <v>2.125</v>
      </c>
      <c r="G44" s="23">
        <f>E44</f>
        <v>105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197</v>
      </c>
      <c r="F46" s="23"/>
      <c r="G46" s="23">
        <f>E46</f>
        <v>197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207</v>
      </c>
      <c r="F48" s="23">
        <v>0.4</v>
      </c>
      <c r="G48" s="23">
        <f>E48*F48</f>
        <v>82.800000000000011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269</v>
      </c>
      <c r="F49" s="23">
        <v>0.41</v>
      </c>
      <c r="G49" s="23">
        <f>E49*F49</f>
        <v>110.28999999999999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58</v>
      </c>
      <c r="F50" s="23">
        <v>0.4</v>
      </c>
      <c r="G50" s="23">
        <f>E50*F50</f>
        <v>23.200000000000003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80</v>
      </c>
      <c r="F51" s="23">
        <v>0.33</v>
      </c>
      <c r="G51" s="23">
        <f>E51*F51</f>
        <v>26.400000000000002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80</v>
      </c>
      <c r="F53" s="23">
        <v>1.0249999999999999</v>
      </c>
      <c r="G53" s="23">
        <f>E53</f>
        <v>80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>
        <v>10</v>
      </c>
      <c r="F54" s="23"/>
      <c r="G54" s="23">
        <f>E54</f>
        <v>10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99</v>
      </c>
      <c r="F55" s="23">
        <v>0.35</v>
      </c>
      <c r="G55" s="23">
        <f>E55*F55</f>
        <v>34.65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52</v>
      </c>
      <c r="F56" s="23">
        <v>0.41</v>
      </c>
      <c r="G56" s="23">
        <f>F56*E56</f>
        <v>21.32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95</v>
      </c>
      <c r="F58" s="23">
        <v>0.41</v>
      </c>
      <c r="G58" s="23">
        <f>E58*F58</f>
        <v>38.949999999999996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808</v>
      </c>
      <c r="F60" s="23">
        <v>0.41</v>
      </c>
      <c r="G60" s="23">
        <f>E60*F60</f>
        <v>331.28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>
        <v>30</v>
      </c>
      <c r="F62" s="75">
        <v>0.98699999999999999</v>
      </c>
      <c r="G62" s="23">
        <f>E62</f>
        <v>30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64</v>
      </c>
      <c r="F63" s="23">
        <v>1</v>
      </c>
      <c r="G63" s="23">
        <f>E63</f>
        <v>64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50</v>
      </c>
      <c r="F64" s="23">
        <v>1</v>
      </c>
      <c r="G64" s="23">
        <f>E64</f>
        <v>50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96</v>
      </c>
      <c r="F65" s="23">
        <v>0.99</v>
      </c>
      <c r="G65" s="23">
        <f>E65</f>
        <v>96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66</v>
      </c>
      <c r="F69" s="23">
        <v>0.28000000000000003</v>
      </c>
      <c r="G69" s="23">
        <f t="shared" si="4"/>
        <v>18.48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17</v>
      </c>
      <c r="F70" s="23">
        <v>0.28000000000000003</v>
      </c>
      <c r="G70" s="23">
        <f t="shared" si="4"/>
        <v>4.7600000000000007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68</v>
      </c>
      <c r="F71" s="23">
        <v>0.28000000000000003</v>
      </c>
      <c r="G71" s="23">
        <f t="shared" si="4"/>
        <v>19.040000000000003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192</v>
      </c>
      <c r="F72" s="23">
        <v>0.35</v>
      </c>
      <c r="G72" s="23">
        <f t="shared" si="4"/>
        <v>67.199999999999989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44</v>
      </c>
      <c r="F73" s="75">
        <v>0.33</v>
      </c>
      <c r="G73" s="23">
        <f t="shared" si="4"/>
        <v>14.520000000000001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521</v>
      </c>
      <c r="F74" s="23">
        <v>0.35</v>
      </c>
      <c r="G74" s="23">
        <f t="shared" si="4"/>
        <v>182.35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71</v>
      </c>
      <c r="F75" s="23">
        <v>0.28000000000000003</v>
      </c>
      <c r="G75" s="23">
        <f t="shared" si="4"/>
        <v>19.880000000000003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291</v>
      </c>
      <c r="F76" s="23">
        <v>0.28000000000000003</v>
      </c>
      <c r="G76" s="23">
        <f t="shared" si="4"/>
        <v>81.48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537</v>
      </c>
      <c r="F78" s="23">
        <v>0.35</v>
      </c>
      <c r="G78" s="23">
        <f t="shared" si="4"/>
        <v>187.95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40</v>
      </c>
      <c r="F79" s="23">
        <v>1</v>
      </c>
      <c r="G79" s="23">
        <f>E79</f>
        <v>40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30</v>
      </c>
      <c r="F84" s="23">
        <v>1</v>
      </c>
      <c r="G84" s="23">
        <f>E84</f>
        <v>30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176</v>
      </c>
      <c r="F85" s="23">
        <v>0.33</v>
      </c>
      <c r="G85" s="23">
        <f>E85*F85</f>
        <v>58.080000000000005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20</v>
      </c>
      <c r="F86" s="23">
        <v>1</v>
      </c>
      <c r="G86" s="23">
        <f>E86</f>
        <v>20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72</v>
      </c>
      <c r="F91" s="23">
        <v>0.33</v>
      </c>
      <c r="G91" s="23">
        <f>E91*F91</f>
        <v>23.76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200</v>
      </c>
      <c r="F93" s="67">
        <v>0.22</v>
      </c>
      <c r="G93" s="23">
        <f t="shared" ref="G93:G98" si="6">E93*F93</f>
        <v>44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38</v>
      </c>
      <c r="F94" s="75">
        <v>0.1</v>
      </c>
      <c r="G94" s="23">
        <f t="shared" si="6"/>
        <v>3.8000000000000003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330</v>
      </c>
      <c r="F96" s="23">
        <v>0.1</v>
      </c>
      <c r="G96" s="23">
        <f t="shared" si="6"/>
        <v>33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110</v>
      </c>
      <c r="C97" s="73" t="s">
        <v>32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>
        <v>60</v>
      </c>
      <c r="F99" s="23">
        <v>0.52500000000000002</v>
      </c>
      <c r="G99" s="23">
        <f>E99</f>
        <v>60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>
        <v>70</v>
      </c>
      <c r="F102" s="23">
        <v>0.25</v>
      </c>
      <c r="G102" s="23">
        <f t="shared" ref="G102:G111" si="7">E102*F102</f>
        <v>17.5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>
        <v>105</v>
      </c>
      <c r="F103" s="23">
        <v>0.25</v>
      </c>
      <c r="G103" s="23">
        <f t="shared" si="7"/>
        <v>26.25</v>
      </c>
      <c r="H103" s="14"/>
      <c r="I103" s="14"/>
      <c r="J103" s="29"/>
    </row>
    <row r="104" spans="1:10" ht="16.5" customHeight="1" x14ac:dyDescent="0.25">
      <c r="A104" s="60" t="str">
        <f t="shared" si="5"/>
        <v>7382</v>
      </c>
      <c r="B104" s="80" t="s">
        <v>117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>
        <v>40</v>
      </c>
      <c r="F105" s="23">
        <v>0.22</v>
      </c>
      <c r="G105" s="23">
        <f t="shared" si="7"/>
        <v>8.8000000000000007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>
        <v>250</v>
      </c>
      <c r="F111" s="23">
        <v>0.09</v>
      </c>
      <c r="G111" s="23">
        <f t="shared" si="7"/>
        <v>22.5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>
        <v>30</v>
      </c>
      <c r="F112" s="23">
        <v>0.50700000000000001</v>
      </c>
      <c r="G112" s="23">
        <f>E112</f>
        <v>30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>
        <v>50</v>
      </c>
      <c r="F113" s="23">
        <v>0.25</v>
      </c>
      <c r="G113" s="23">
        <f>E113*F113</f>
        <v>12.5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>
        <v>150</v>
      </c>
      <c r="F114" s="23">
        <v>0.1</v>
      </c>
      <c r="G114" s="23">
        <f>E114*F114</f>
        <v>15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ref="A115:A131" si="8">RIGHT(D115,4)</f>
        <v>6228</v>
      </c>
      <c r="B115" s="80" t="s">
        <v>128</v>
      </c>
      <c r="C115" s="73" t="s">
        <v>32</v>
      </c>
      <c r="D115" s="74">
        <v>1001225416228</v>
      </c>
      <c r="E115" s="24">
        <v>120</v>
      </c>
      <c r="F115" s="23">
        <v>0.09</v>
      </c>
      <c r="G115" s="23">
        <f>E115*F115</f>
        <v>10.799999999999999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131</v>
      </c>
      <c r="C118" s="73" t="s">
        <v>37</v>
      </c>
      <c r="D118" s="79">
        <v>1001095716866</v>
      </c>
      <c r="E118" s="24">
        <v>25</v>
      </c>
      <c r="F118" s="23"/>
      <c r="G118" s="23">
        <f>E118</f>
        <v>25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132</v>
      </c>
      <c r="C119" s="73" t="s">
        <v>32</v>
      </c>
      <c r="D119" s="42">
        <v>1001094053215</v>
      </c>
      <c r="E119" s="24">
        <v>284</v>
      </c>
      <c r="F119" s="23">
        <v>0.4</v>
      </c>
      <c r="G119" s="23">
        <f>E119*F119</f>
        <v>113.60000000000001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133</v>
      </c>
      <c r="C120" s="73" t="s">
        <v>23</v>
      </c>
      <c r="D120" s="42">
        <v>1001092485452</v>
      </c>
      <c r="E120" s="24">
        <v>60</v>
      </c>
      <c r="F120" s="23">
        <v>1.367</v>
      </c>
      <c r="G120" s="23">
        <f>E120</f>
        <v>60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134</v>
      </c>
      <c r="C121" s="73" t="s">
        <v>21</v>
      </c>
      <c r="D121" s="42">
        <v>1001093345495</v>
      </c>
      <c r="E121" s="24">
        <v>206</v>
      </c>
      <c r="F121" s="23">
        <v>0.4</v>
      </c>
      <c r="G121" s="23">
        <f>E121*F121</f>
        <v>82.4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139</v>
      </c>
      <c r="C126" s="73" t="s">
        <v>21</v>
      </c>
      <c r="D126" s="74">
        <v>1001220286279</v>
      </c>
      <c r="E126" s="24">
        <v>80</v>
      </c>
      <c r="F126" s="23">
        <v>0.15</v>
      </c>
      <c r="G126" s="23">
        <f>F126*E126</f>
        <v>12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140</v>
      </c>
      <c r="C127" s="73" t="s">
        <v>21</v>
      </c>
      <c r="D127" s="74">
        <v>1001220226208</v>
      </c>
      <c r="E127" s="24">
        <v>13</v>
      </c>
      <c r="F127" s="23">
        <v>0.15</v>
      </c>
      <c r="G127" s="23">
        <f>F127*E127</f>
        <v>1.95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141</v>
      </c>
      <c r="C128" s="73" t="s">
        <v>32</v>
      </c>
      <c r="D128" s="74">
        <v>1001084217090</v>
      </c>
      <c r="E128" s="24">
        <v>76</v>
      </c>
      <c r="F128" s="23">
        <v>0.3</v>
      </c>
      <c r="G128" s="23">
        <f>E128*F128</f>
        <v>22.8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142</v>
      </c>
      <c r="C129" s="73" t="s">
        <v>32</v>
      </c>
      <c r="D129" s="74">
        <v>1001085637187</v>
      </c>
      <c r="E129" s="24">
        <v>60</v>
      </c>
      <c r="F129" s="23">
        <v>0.3</v>
      </c>
      <c r="G129" s="23">
        <f>E129*F129</f>
        <v>18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143</v>
      </c>
      <c r="C130" s="54" t="s">
        <v>32</v>
      </c>
      <c r="D130" s="55">
        <v>1001223297103</v>
      </c>
      <c r="E130" s="24">
        <v>42</v>
      </c>
      <c r="F130" s="75">
        <v>0.18</v>
      </c>
      <c r="G130" s="23">
        <f>E130*F130</f>
        <v>7.56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10810</v>
      </c>
      <c r="F132" s="17"/>
      <c r="G132" s="17">
        <f>SUM(G11:G131)</f>
        <v>5278.880000000001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2026-01-28T11:01:19Z</dcterms:modified>
</cp:coreProperties>
</file>