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E60EAB1F-1FA8-4F79-97C8-F7F2B5A0A7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6" i="1" s="1"/>
  <c r="A11" i="1"/>
  <c r="F3" i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<sst xmlns="http://schemas.openxmlformats.org/spreadsheetml/2006/main" count="285" uniqueCount="160">
  <si>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</si>
  <si>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</si>
  <si>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</si>
  <si>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</si>
  <si>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</si>
  <si>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</si>
  <si>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</si>
  <si>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</si>
  <si>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</si>
  <si>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</si>
  <si>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</si>
  <si>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</si>
  <si>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</si>
  <si>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</si>
  <si>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</si>
  <si>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</si>
  <si>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</si>
  <si>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</si>
  <si>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</si>
  <si>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</si>
  <si>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</si>
  <si>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</si>
  <si>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</si>
  <si>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</si>
  <si>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</si>
  <si>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</si>
  <si>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</si>
  <si>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</si>
  <si>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</si>
  <si>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</si>
  <si>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</si>
  <si>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</si>
  <si>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</si>
  <si>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</si>
  <si>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</si>
  <si>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</si>
  <si>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</si>
  <si>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</si>
  <si>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</si>
  <si>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</si>
  <si>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</si>
  <si>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</si>
  <si>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</si>
  <si>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</si>
  <si>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</si>
  <si>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</si>
  <si>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</si>
  <si>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</si>
  <si>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</si>
  <si>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</si>
  <si>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</si>
  <si>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</si>
  <si>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</si>
  <si>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</si>
  <si>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</si>
  <si>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</si>
  <si>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</si>
  <si>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</si>
  <si>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</si>
  <si>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</si>
  <si>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</si>
  <si>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</si>
  <si>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</si>
  <si>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</si>
  <si>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</si>
  <si>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</si>
  <si>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</si>
  <si>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</si>
  <si>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</si>
  <si>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</si>
  <si>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</si>
  <si>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</si>
  <si>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</si>
  <si>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</si>
  <si>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</si>
  <si>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</si>
  <si>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</si>
  <si>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</si>
  <si>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</si>
  <si>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</si>
  <si>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</si>
  <si>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</si>
  <si>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</si>
  <si>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</si>
  <si>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</si>
  <si>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</si>
  <si>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</si>
  <si>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</si>
  <si>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</si>
  <si>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</si>
  <si>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</si>
  <si>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</si>
  <si>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</si>
  <si>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</si>
  <si>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</si>
  <si>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</si>
  <si>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</si>
  <si>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</si>
  <si>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</si>
  <si>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</si>
  <si>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</si>
  <si>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</si>
  <si>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</si>
  <si>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</si>
  <si>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</si>
  <si>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</si>
  <si>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</si>
  <si>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</si>
  <si>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</si>
  <si>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</si>
  <si>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</si>
  <si>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</si>
  <si>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</si>
  <si>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</si>
  <si>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</si>
  <si>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</si>
  <si>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</si>
  <si>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</si>
  <si>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</si>
  <si>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</si>
  <si>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</si>
  <si>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</si>
  <si>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</si>
  <si>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</si>
  <si>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</si>
  <si>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АРОМАТНАЯ с/к в/у_А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</si>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</sst>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L149" sqref="L14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45689</v>
      </c>
      <c r="E3" s="7" t="s">
        <v>3</v>
      </c>
      <c r="F3" s="82">
        <f>D3+3</f>
        <v>45692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150</v>
      </c>
      <c r="F23" s="23">
        <v>1.35</v>
      </c>
      <c r="G23" s="23">
        <f>E23</f>
        <v>150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>
        <v>50</v>
      </c>
      <c r="F41" s="23">
        <v>2.125</v>
      </c>
      <c r="G41" s="23">
        <f>E41</f>
        <v>50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3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/>
      <c r="F49" s="23">
        <v>0.33</v>
      </c>
      <c r="G49" s="23">
        <f t="shared" si="3"/>
        <v>0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20</v>
      </c>
      <c r="F63" s="23">
        <v>0.99</v>
      </c>
      <c r="G63" s="23">
        <f>E63</f>
        <v>20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312</v>
      </c>
      <c r="F73" s="23">
        <v>0.28000000000000003</v>
      </c>
      <c r="G73" s="23">
        <f t="shared" si="5"/>
        <v>87.360000000000014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312</v>
      </c>
      <c r="F75" s="23">
        <v>0.28000000000000003</v>
      </c>
      <c r="G75" s="23">
        <f t="shared" si="5"/>
        <v>87.360000000000014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252</v>
      </c>
      <c r="F79" s="23">
        <v>0.35</v>
      </c>
      <c r="G79" s="23">
        <f t="shared" si="6"/>
        <v>88.199999999999989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6"/>
        <v>0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>
        <v>170</v>
      </c>
      <c r="F85" s="23"/>
      <c r="G85" s="23">
        <f>E85</f>
        <v>170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>
        <v>312</v>
      </c>
      <c r="F86" s="23">
        <v>0.35</v>
      </c>
      <c r="G86" s="23">
        <f>E86*F86</f>
        <v>109.19999999999999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>
        <v>312</v>
      </c>
      <c r="F87" s="23">
        <v>0.35</v>
      </c>
      <c r="G87" s="23">
        <f>E87*F87</f>
        <v>109.19999999999999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>
        <v>170</v>
      </c>
      <c r="F89" s="23">
        <v>0.83399999999999996</v>
      </c>
      <c r="G89" s="23">
        <f>E89</f>
        <v>170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>
        <v>312</v>
      </c>
      <c r="F98" s="23">
        <v>0.28000000000000003</v>
      </c>
      <c r="G98" s="23">
        <f t="shared" si="8"/>
        <v>87.360000000000014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3582</v>
      </c>
      <c r="B112" s="79" t="s">
        <v>125</v>
      </c>
      <c r="C112" s="72" t="s">
        <v>23</v>
      </c>
      <c r="D112" s="73">
        <v>1001061973582</v>
      </c>
      <c r="E112" s="24"/>
      <c r="F112" s="23"/>
      <c r="G112" s="23">
        <f>E112</f>
        <v>0</v>
      </c>
      <c r="H112" s="14"/>
      <c r="I112" s="14"/>
      <c r="J112" s="29"/>
    </row>
    <row r="113" spans="1:10" ht="16.5" customHeight="1" x14ac:dyDescent="0.25">
      <c r="A113" s="59" t="str">
        <f t="shared" si="7"/>
        <v>5708</v>
      </c>
      <c r="B113" s="79" t="s">
        <v>126</v>
      </c>
      <c r="C113" s="72" t="s">
        <v>23</v>
      </c>
      <c r="D113" s="73">
        <v>1001063145708</v>
      </c>
      <c r="E113" s="24"/>
      <c r="F113" s="23">
        <v>0.52500000000000002</v>
      </c>
      <c r="G113" s="23">
        <f>E113</f>
        <v>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ref="A114:A145" si="9">RIGHT(D114,4)</f>
        <v>0614</v>
      </c>
      <c r="B114" s="79" t="s">
        <v>127</v>
      </c>
      <c r="C114" s="72" t="s">
        <v>23</v>
      </c>
      <c r="D114" s="73">
        <v>1001060720614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128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129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130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131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132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133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134</v>
      </c>
      <c r="C121" s="72" t="s">
        <v>21</v>
      </c>
      <c r="D121" s="73">
        <v>1001203117382</v>
      </c>
      <c r="E121" s="24"/>
      <c r="F121" s="23">
        <v>0.12</v>
      </c>
      <c r="G121" s="23">
        <f>E121*F121</f>
        <v>0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135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136</v>
      </c>
      <c r="C123" s="72" t="s">
        <v>23</v>
      </c>
      <c r="D123" s="73">
        <v>1001062504117</v>
      </c>
      <c r="E123" s="24"/>
      <c r="F123" s="23">
        <v>0.50700000000000001</v>
      </c>
      <c r="G123" s="23">
        <f>E123</f>
        <v>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137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138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139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140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141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142</v>
      </c>
      <c r="C129" s="72" t="s">
        <v>23</v>
      </c>
      <c r="D129" s="73">
        <v>1001060763287</v>
      </c>
      <c r="E129" s="24"/>
      <c r="F129" s="23">
        <v>0.51300000000000001</v>
      </c>
      <c r="G129" s="23">
        <f>E129</f>
        <v>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143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144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145</v>
      </c>
      <c r="C132" s="72" t="s">
        <v>33</v>
      </c>
      <c r="D132" s="42">
        <v>1001094053215</v>
      </c>
      <c r="E132" s="24"/>
      <c r="F132" s="23">
        <v>0.4</v>
      </c>
      <c r="G132" s="23">
        <f>E132*F132</f>
        <v>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146</v>
      </c>
      <c r="C133" s="72" t="s">
        <v>23</v>
      </c>
      <c r="D133" s="42">
        <v>1001094966025</v>
      </c>
      <c r="E133" s="24"/>
      <c r="F133" s="23"/>
      <c r="G133" s="23">
        <f>E133</f>
        <v>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147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148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149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5452</v>
      </c>
      <c r="B137" s="50" t="s">
        <v>150</v>
      </c>
      <c r="C137" s="72" t="s">
        <v>23</v>
      </c>
      <c r="D137" s="42">
        <v>1001092485452</v>
      </c>
      <c r="E137" s="24"/>
      <c r="F137" s="23">
        <v>1.367</v>
      </c>
      <c r="G137" s="23">
        <f>E137</f>
        <v>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9"/>
        <v>5495</v>
      </c>
      <c r="B138" s="50" t="s">
        <v>151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9"/>
        <v>6495</v>
      </c>
      <c r="B139" s="50" t="s">
        <v>152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9"/>
        <v/>
      </c>
      <c r="B140" s="46" t="s">
        <v>153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9"/>
        <v>6448</v>
      </c>
      <c r="B141" s="37" t="s">
        <v>154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9"/>
        <v>7090</v>
      </c>
      <c r="B142" s="37" t="s">
        <v>155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9"/>
        <v>6208</v>
      </c>
      <c r="B143" s="37" t="s">
        <v>156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9"/>
        <v>7053</v>
      </c>
      <c r="B144" s="37" t="s">
        <v>157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9"/>
        <v>7103</v>
      </c>
      <c r="B145" s="58" t="s">
        <v>158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159</v>
      </c>
      <c r="C146" s="16"/>
      <c r="D146" s="38"/>
      <c r="E146" s="17">
        <f>SUM(E10:E145)</f>
        <v>2372</v>
      </c>
      <c r="F146" s="17"/>
      <c r="G146" s="17">
        <f>SUM(G11:G145)</f>
        <v>1128.6800000000003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2026-01-28T09:47:42Z</dcterms:modified>
</cp:coreProperties>
</file>