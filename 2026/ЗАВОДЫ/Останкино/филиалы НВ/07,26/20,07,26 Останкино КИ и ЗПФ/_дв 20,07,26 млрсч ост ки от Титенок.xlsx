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784"/>
  </bookViews>
  <sheets>
    <sheet name="Sheet" sheetId="1" r:id="rId1"/>
  </sheets>
  <definedNames>
    <definedName name="_xlnm._FilterDatabase" localSheetId="0" hidden="1">Sheet!$A$3:$AD$112</definedName>
  </definedNames>
  <calcPr calcId="162913" refMode="R1C1"/>
</workbook>
</file>

<file path=xl/calcChain.xml><?xml version="1.0" encoding="utf-8"?>
<calcChain xmlns="http://schemas.openxmlformats.org/spreadsheetml/2006/main">
  <c r="F112" i="1" l="1"/>
  <c r="E112" i="1"/>
  <c r="P112" i="1" s="1"/>
  <c r="F111" i="1"/>
  <c r="E111" i="1"/>
  <c r="P111" i="1" s="1"/>
  <c r="F110" i="1"/>
  <c r="E110" i="1"/>
  <c r="P110" i="1" s="1"/>
  <c r="P109" i="1"/>
  <c r="T109" i="1" s="1"/>
  <c r="P108" i="1"/>
  <c r="T108" i="1" s="1"/>
  <c r="P107" i="1"/>
  <c r="T107" i="1" s="1"/>
  <c r="L107" i="1"/>
  <c r="P106" i="1"/>
  <c r="T106" i="1" s="1"/>
  <c r="L106" i="1"/>
  <c r="AD105" i="1"/>
  <c r="P105" i="1"/>
  <c r="T105" i="1" s="1"/>
  <c r="L105" i="1"/>
  <c r="AD104" i="1"/>
  <c r="P104" i="1"/>
  <c r="T104" i="1" s="1"/>
  <c r="L104" i="1"/>
  <c r="AD103" i="1"/>
  <c r="F103" i="1"/>
  <c r="E103" i="1"/>
  <c r="P103" i="1" s="1"/>
  <c r="AD102" i="1"/>
  <c r="F102" i="1"/>
  <c r="E102" i="1"/>
  <c r="P102" i="1" s="1"/>
  <c r="P101" i="1"/>
  <c r="L101" i="1"/>
  <c r="AD100" i="1"/>
  <c r="P100" i="1"/>
  <c r="S100" i="1" s="1"/>
  <c r="L100" i="1"/>
  <c r="P99" i="1"/>
  <c r="Q99" i="1" s="1"/>
  <c r="L99" i="1"/>
  <c r="P98" i="1"/>
  <c r="T98" i="1" s="1"/>
  <c r="L98" i="1"/>
  <c r="AD97" i="1"/>
  <c r="P97" i="1"/>
  <c r="S97" i="1" s="1"/>
  <c r="L97" i="1"/>
  <c r="P96" i="1"/>
  <c r="T96" i="1" s="1"/>
  <c r="L96" i="1"/>
  <c r="P95" i="1"/>
  <c r="T95" i="1" s="1"/>
  <c r="L95" i="1"/>
  <c r="P94" i="1"/>
  <c r="L94" i="1"/>
  <c r="P93" i="1"/>
  <c r="T93" i="1" s="1"/>
  <c r="L93" i="1"/>
  <c r="P92" i="1"/>
  <c r="T92" i="1" s="1"/>
  <c r="L92" i="1"/>
  <c r="P91" i="1"/>
  <c r="T91" i="1" s="1"/>
  <c r="L91" i="1"/>
  <c r="AD90" i="1"/>
  <c r="P90" i="1"/>
  <c r="T90" i="1" s="1"/>
  <c r="L90" i="1"/>
  <c r="P89" i="1"/>
  <c r="T89" i="1" s="1"/>
  <c r="L89" i="1"/>
  <c r="P88" i="1"/>
  <c r="Q88" i="1" s="1"/>
  <c r="L88" i="1"/>
  <c r="P87" i="1"/>
  <c r="T87" i="1" s="1"/>
  <c r="L87" i="1"/>
  <c r="P86" i="1"/>
  <c r="T86" i="1" s="1"/>
  <c r="L86" i="1"/>
  <c r="P85" i="1"/>
  <c r="Q85" i="1" s="1"/>
  <c r="L85" i="1"/>
  <c r="P84" i="1"/>
  <c r="Q84" i="1" s="1"/>
  <c r="L84" i="1"/>
  <c r="P83" i="1"/>
  <c r="T83" i="1" s="1"/>
  <c r="L83" i="1"/>
  <c r="P82" i="1"/>
  <c r="Q82" i="1" s="1"/>
  <c r="L82" i="1"/>
  <c r="P81" i="1"/>
  <c r="T81" i="1" s="1"/>
  <c r="L81" i="1"/>
  <c r="P80" i="1"/>
  <c r="T80" i="1" s="1"/>
  <c r="L80" i="1"/>
  <c r="P79" i="1"/>
  <c r="T79" i="1" s="1"/>
  <c r="L79" i="1"/>
  <c r="P78" i="1"/>
  <c r="T78" i="1" s="1"/>
  <c r="L78" i="1"/>
  <c r="P77" i="1"/>
  <c r="L77" i="1"/>
  <c r="P76" i="1"/>
  <c r="Q76" i="1" s="1"/>
  <c r="L76" i="1"/>
  <c r="P75" i="1"/>
  <c r="Q75" i="1" s="1"/>
  <c r="L75" i="1"/>
  <c r="P74" i="1"/>
  <c r="Q74" i="1" s="1"/>
  <c r="L74" i="1"/>
  <c r="P73" i="1"/>
  <c r="T73" i="1" s="1"/>
  <c r="L73" i="1"/>
  <c r="P72" i="1"/>
  <c r="T72" i="1" s="1"/>
  <c r="L72" i="1"/>
  <c r="P71" i="1"/>
  <c r="T71" i="1" s="1"/>
  <c r="L71" i="1"/>
  <c r="P70" i="1"/>
  <c r="Q70" i="1" s="1"/>
  <c r="L70" i="1"/>
  <c r="P69" i="1"/>
  <c r="T69" i="1" s="1"/>
  <c r="L69" i="1"/>
  <c r="P68" i="1"/>
  <c r="T68" i="1" s="1"/>
  <c r="L68" i="1"/>
  <c r="P67" i="1"/>
  <c r="T67" i="1" s="1"/>
  <c r="L67" i="1"/>
  <c r="P66" i="1"/>
  <c r="Q66" i="1" s="1"/>
  <c r="L66" i="1"/>
  <c r="P65" i="1"/>
  <c r="Q65" i="1" s="1"/>
  <c r="L65" i="1"/>
  <c r="P64" i="1"/>
  <c r="T64" i="1" s="1"/>
  <c r="L64" i="1"/>
  <c r="F63" i="1"/>
  <c r="E63" i="1"/>
  <c r="P62" i="1"/>
  <c r="Q62" i="1" s="1"/>
  <c r="L62" i="1"/>
  <c r="P61" i="1"/>
  <c r="Q61" i="1" s="1"/>
  <c r="L61" i="1"/>
  <c r="AD60" i="1"/>
  <c r="P60" i="1"/>
  <c r="T60" i="1" s="1"/>
  <c r="L60" i="1"/>
  <c r="AD59" i="1"/>
  <c r="P59" i="1"/>
  <c r="T59" i="1" s="1"/>
  <c r="L59" i="1"/>
  <c r="P58" i="1"/>
  <c r="T58" i="1" s="1"/>
  <c r="L58" i="1"/>
  <c r="AD57" i="1"/>
  <c r="P57" i="1"/>
  <c r="S57" i="1" s="1"/>
  <c r="L57" i="1"/>
  <c r="P56" i="1"/>
  <c r="T56" i="1" s="1"/>
  <c r="L56" i="1"/>
  <c r="P55" i="1"/>
  <c r="S55" i="1" s="1"/>
  <c r="L55" i="1"/>
  <c r="P54" i="1"/>
  <c r="T54" i="1" s="1"/>
  <c r="L54" i="1"/>
  <c r="AD53" i="1"/>
  <c r="P53" i="1"/>
  <c r="T53" i="1" s="1"/>
  <c r="L53" i="1"/>
  <c r="P52" i="1"/>
  <c r="Q52" i="1" s="1"/>
  <c r="L52" i="1"/>
  <c r="AD51" i="1"/>
  <c r="P51" i="1"/>
  <c r="T51" i="1" s="1"/>
  <c r="L51" i="1"/>
  <c r="P50" i="1"/>
  <c r="Q50" i="1" s="1"/>
  <c r="L50" i="1"/>
  <c r="P49" i="1"/>
  <c r="Q49" i="1" s="1"/>
  <c r="L49" i="1"/>
  <c r="P48" i="1"/>
  <c r="T48" i="1" s="1"/>
  <c r="L48" i="1"/>
  <c r="P47" i="1"/>
  <c r="T47" i="1" s="1"/>
  <c r="L47" i="1"/>
  <c r="P46" i="1"/>
  <c r="T46" i="1" s="1"/>
  <c r="L46" i="1"/>
  <c r="P45" i="1"/>
  <c r="L45" i="1"/>
  <c r="P44" i="1"/>
  <c r="T44" i="1" s="1"/>
  <c r="L44" i="1"/>
  <c r="P43" i="1"/>
  <c r="S43" i="1" s="1"/>
  <c r="L43" i="1"/>
  <c r="P42" i="1"/>
  <c r="Q42" i="1" s="1"/>
  <c r="L42" i="1"/>
  <c r="P41" i="1"/>
  <c r="T41" i="1" s="1"/>
  <c r="L41" i="1"/>
  <c r="P40" i="1"/>
  <c r="L40" i="1"/>
  <c r="AD39" i="1"/>
  <c r="P39" i="1"/>
  <c r="T39" i="1" s="1"/>
  <c r="L39" i="1"/>
  <c r="P38" i="1"/>
  <c r="Q38" i="1" s="1"/>
  <c r="L38" i="1"/>
  <c r="P37" i="1"/>
  <c r="T37" i="1" s="1"/>
  <c r="L37" i="1"/>
  <c r="P36" i="1"/>
  <c r="T36" i="1" s="1"/>
  <c r="L36" i="1"/>
  <c r="P35" i="1"/>
  <c r="T35" i="1" s="1"/>
  <c r="L35" i="1"/>
  <c r="P34" i="1"/>
  <c r="S34" i="1" s="1"/>
  <c r="L34" i="1"/>
  <c r="P33" i="1"/>
  <c r="T33" i="1" s="1"/>
  <c r="L33" i="1"/>
  <c r="P32" i="1"/>
  <c r="S32" i="1" s="1"/>
  <c r="L32" i="1"/>
  <c r="P31" i="1"/>
  <c r="T31" i="1" s="1"/>
  <c r="L31" i="1"/>
  <c r="P30" i="1"/>
  <c r="T30" i="1" s="1"/>
  <c r="L30" i="1"/>
  <c r="P29" i="1"/>
  <c r="T29" i="1" s="1"/>
  <c r="L29" i="1"/>
  <c r="AD28" i="1"/>
  <c r="P28" i="1"/>
  <c r="T28" i="1" s="1"/>
  <c r="L28" i="1"/>
  <c r="P27" i="1"/>
  <c r="T27" i="1" s="1"/>
  <c r="L27" i="1"/>
  <c r="P26" i="1"/>
  <c r="Q26" i="1" s="1"/>
  <c r="L26" i="1"/>
  <c r="P25" i="1"/>
  <c r="T25" i="1" s="1"/>
  <c r="L25" i="1"/>
  <c r="P24" i="1"/>
  <c r="S24" i="1" s="1"/>
  <c r="L24" i="1"/>
  <c r="AD23" i="1"/>
  <c r="P23" i="1"/>
  <c r="S23" i="1" s="1"/>
  <c r="L23" i="1"/>
  <c r="P22" i="1"/>
  <c r="T22" i="1" s="1"/>
  <c r="L22" i="1"/>
  <c r="P21" i="1"/>
  <c r="T21" i="1" s="1"/>
  <c r="L21" i="1"/>
  <c r="P20" i="1"/>
  <c r="Q20" i="1" s="1"/>
  <c r="L20" i="1"/>
  <c r="P19" i="1"/>
  <c r="Q19" i="1" s="1"/>
  <c r="L19" i="1"/>
  <c r="P18" i="1"/>
  <c r="T18" i="1" s="1"/>
  <c r="L18" i="1"/>
  <c r="P17" i="1"/>
  <c r="T17" i="1" s="1"/>
  <c r="L17" i="1"/>
  <c r="P16" i="1"/>
  <c r="T16" i="1" s="1"/>
  <c r="L16" i="1"/>
  <c r="P15" i="1"/>
  <c r="T15" i="1" s="1"/>
  <c r="L15" i="1"/>
  <c r="P14" i="1"/>
  <c r="T14" i="1" s="1"/>
  <c r="L14" i="1"/>
  <c r="P13" i="1"/>
  <c r="Q13" i="1" s="1"/>
  <c r="L13" i="1"/>
  <c r="AD12" i="1"/>
  <c r="P12" i="1"/>
  <c r="T12" i="1" s="1"/>
  <c r="L12" i="1"/>
  <c r="P11" i="1"/>
  <c r="T11" i="1" s="1"/>
  <c r="L11" i="1"/>
  <c r="P10" i="1"/>
  <c r="Q10" i="1" s="1"/>
  <c r="S10" i="1" s="1"/>
  <c r="L10" i="1"/>
  <c r="P9" i="1"/>
  <c r="Q9" i="1" s="1"/>
  <c r="L9" i="1"/>
  <c r="P8" i="1"/>
  <c r="T8" i="1" s="1"/>
  <c r="L8" i="1"/>
  <c r="P7" i="1"/>
  <c r="T7" i="1" s="1"/>
  <c r="L7" i="1"/>
  <c r="P6" i="1"/>
  <c r="T6" i="1" s="1"/>
  <c r="L6" i="1"/>
  <c r="AB5" i="1"/>
  <c r="AA5" i="1"/>
  <c r="Z5" i="1"/>
  <c r="Y5" i="1"/>
  <c r="X5" i="1"/>
  <c r="W5" i="1"/>
  <c r="V5" i="1"/>
  <c r="U5" i="1"/>
  <c r="O5" i="1"/>
  <c r="N5" i="1"/>
  <c r="M5" i="1"/>
  <c r="K5" i="1"/>
  <c r="Q94" i="1" l="1"/>
  <c r="S94" i="1" s="1"/>
  <c r="Q56" i="1"/>
  <c r="Q79" i="1"/>
  <c r="Q33" i="1"/>
  <c r="Q91" i="1"/>
  <c r="Q96" i="1"/>
  <c r="S50" i="1"/>
  <c r="Q48" i="1"/>
  <c r="AD48" i="1" s="1"/>
  <c r="Q68" i="1"/>
  <c r="Q112" i="1"/>
  <c r="AD112" i="1" s="1"/>
  <c r="Q40" i="1"/>
  <c r="AD40" i="1" s="1"/>
  <c r="Q101" i="1"/>
  <c r="S101" i="1" s="1"/>
  <c r="T49" i="1"/>
  <c r="T66" i="1"/>
  <c r="T42" i="1"/>
  <c r="S86" i="1"/>
  <c r="T76" i="1"/>
  <c r="S36" i="1"/>
  <c r="Q47" i="1"/>
  <c r="AD47" i="1" s="1"/>
  <c r="AD110" i="1"/>
  <c r="Q54" i="1"/>
  <c r="AD54" i="1" s="1"/>
  <c r="T40" i="1"/>
  <c r="T23" i="1"/>
  <c r="S87" i="1"/>
  <c r="T97" i="1"/>
  <c r="T34" i="1"/>
  <c r="Q17" i="1"/>
  <c r="AD17" i="1" s="1"/>
  <c r="T65" i="1"/>
  <c r="T82" i="1"/>
  <c r="T43" i="1"/>
  <c r="T50" i="1"/>
  <c r="S93" i="1"/>
  <c r="T101" i="1"/>
  <c r="S68" i="1"/>
  <c r="Q46" i="1"/>
  <c r="S46" i="1" s="1"/>
  <c r="T61" i="1"/>
  <c r="Q111" i="1"/>
  <c r="S111" i="1" s="1"/>
  <c r="T111" i="1"/>
  <c r="S65" i="1"/>
  <c r="AD65" i="1"/>
  <c r="S82" i="1"/>
  <c r="AD82" i="1"/>
  <c r="T32" i="1"/>
  <c r="S58" i="1"/>
  <c r="Q72" i="1"/>
  <c r="Q14" i="1"/>
  <c r="T20" i="1"/>
  <c r="Q8" i="1"/>
  <c r="AD8" i="1" s="1"/>
  <c r="Q27" i="1"/>
  <c r="T85" i="1"/>
  <c r="T9" i="1"/>
  <c r="Q22" i="1"/>
  <c r="S22" i="1" s="1"/>
  <c r="S28" i="1"/>
  <c r="S73" i="1"/>
  <c r="T100" i="1"/>
  <c r="T10" i="1"/>
  <c r="S35" i="1"/>
  <c r="T94" i="1"/>
  <c r="T110" i="1"/>
  <c r="Q11" i="1"/>
  <c r="T55" i="1"/>
  <c r="T75" i="1"/>
  <c r="Q95" i="1"/>
  <c r="T24" i="1"/>
  <c r="Q6" i="1"/>
  <c r="S37" i="1"/>
  <c r="AD50" i="1"/>
  <c r="Q83" i="1"/>
  <c r="AD83" i="1" s="1"/>
  <c r="S90" i="1"/>
  <c r="Q31" i="1"/>
  <c r="S25" i="1"/>
  <c r="S18" i="1"/>
  <c r="T57" i="1"/>
  <c r="T13" i="1"/>
  <c r="AD66" i="1"/>
  <c r="S66" i="1"/>
  <c r="AD76" i="1"/>
  <c r="S76" i="1"/>
  <c r="S62" i="1"/>
  <c r="AD62" i="1"/>
  <c r="Q15" i="1"/>
  <c r="Q21" i="1"/>
  <c r="T62" i="1"/>
  <c r="S105" i="1"/>
  <c r="T26" i="1"/>
  <c r="AD42" i="1"/>
  <c r="S42" i="1"/>
  <c r="AD52" i="1"/>
  <c r="S52" i="1"/>
  <c r="E5" i="1"/>
  <c r="P63" i="1"/>
  <c r="Q63" i="1" s="1"/>
  <c r="AD63" i="1" s="1"/>
  <c r="F5" i="1"/>
  <c r="L63" i="1"/>
  <c r="AD84" i="1"/>
  <c r="S84" i="1"/>
  <c r="Q7" i="1"/>
  <c r="AD85" i="1"/>
  <c r="S85" i="1"/>
  <c r="AD10" i="1"/>
  <c r="S59" i="1"/>
  <c r="AD74" i="1"/>
  <c r="S74" i="1"/>
  <c r="Q69" i="1"/>
  <c r="T102" i="1"/>
  <c r="Q44" i="1"/>
  <c r="AD75" i="1"/>
  <c r="S75" i="1"/>
  <c r="Q80" i="1"/>
  <c r="L102" i="1"/>
  <c r="AD49" i="1"/>
  <c r="S49" i="1"/>
  <c r="AD20" i="1"/>
  <c r="S20" i="1"/>
  <c r="AD13" i="1"/>
  <c r="S13" i="1"/>
  <c r="S102" i="1"/>
  <c r="AD70" i="1"/>
  <c r="S70" i="1"/>
  <c r="Q98" i="1"/>
  <c r="AD9" i="1"/>
  <c r="S9" i="1"/>
  <c r="Q29" i="1"/>
  <c r="T45" i="1"/>
  <c r="Q45" i="1"/>
  <c r="T103" i="1"/>
  <c r="AD38" i="1"/>
  <c r="S38" i="1"/>
  <c r="AD19" i="1"/>
  <c r="S19" i="1"/>
  <c r="AD61" i="1"/>
  <c r="S61" i="1"/>
  <c r="T112" i="1"/>
  <c r="S112" i="1"/>
  <c r="T77" i="1"/>
  <c r="Q77" i="1"/>
  <c r="AD88" i="1"/>
  <c r="S88" i="1"/>
  <c r="S51" i="1"/>
  <c r="T99" i="1"/>
  <c r="Q41" i="1"/>
  <c r="AD94" i="1"/>
  <c r="S106" i="1"/>
  <c r="S12" i="1"/>
  <c r="S60" i="1"/>
  <c r="S92" i="1"/>
  <c r="T19" i="1"/>
  <c r="Q30" i="1"/>
  <c r="T38" i="1"/>
  <c r="T52" i="1"/>
  <c r="T70" i="1"/>
  <c r="T74" i="1"/>
  <c r="Q81" i="1"/>
  <c r="T84" i="1"/>
  <c r="T88" i="1"/>
  <c r="L103" i="1"/>
  <c r="S107" i="1"/>
  <c r="Q16" i="1"/>
  <c r="Q78" i="1"/>
  <c r="S103" i="1"/>
  <c r="S39" i="1"/>
  <c r="S53" i="1"/>
  <c r="S64" i="1"/>
  <c r="S71" i="1"/>
  <c r="S89" i="1"/>
  <c r="S108" i="1"/>
  <c r="S104" i="1"/>
  <c r="S109" i="1"/>
  <c r="AD101" i="1" l="1"/>
  <c r="S40" i="1"/>
  <c r="S54" i="1"/>
  <c r="L5" i="1"/>
  <c r="S47" i="1"/>
  <c r="S110" i="1"/>
  <c r="S8" i="1"/>
  <c r="AD22" i="1"/>
  <c r="P5" i="1"/>
  <c r="AD68" i="1"/>
  <c r="AD111" i="1"/>
  <c r="AD46" i="1"/>
  <c r="S17" i="1"/>
  <c r="S48" i="1"/>
  <c r="S79" i="1"/>
  <c r="AD79" i="1"/>
  <c r="S63" i="1"/>
  <c r="S31" i="1"/>
  <c r="AD31" i="1"/>
  <c r="S27" i="1"/>
  <c r="AD27" i="1"/>
  <c r="S83" i="1"/>
  <c r="S6" i="1"/>
  <c r="AD6" i="1"/>
  <c r="AD95" i="1"/>
  <c r="S95" i="1"/>
  <c r="S14" i="1"/>
  <c r="AD14" i="1"/>
  <c r="AD72" i="1"/>
  <c r="S72" i="1"/>
  <c r="AD25" i="1"/>
  <c r="AD11" i="1"/>
  <c r="S11" i="1"/>
  <c r="T63" i="1"/>
  <c r="S26" i="1"/>
  <c r="AD26" i="1"/>
  <c r="AD91" i="1"/>
  <c r="S91" i="1"/>
  <c r="AD67" i="1"/>
  <c r="S67" i="1"/>
  <c r="AD69" i="1"/>
  <c r="S69" i="1"/>
  <c r="AD30" i="1"/>
  <c r="S30" i="1"/>
  <c r="Q5" i="1"/>
  <c r="AD7" i="1"/>
  <c r="S7" i="1"/>
  <c r="AD21" i="1"/>
  <c r="S21" i="1"/>
  <c r="S15" i="1"/>
  <c r="AD15" i="1"/>
  <c r="AD78" i="1"/>
  <c r="S78" i="1"/>
  <c r="S77" i="1"/>
  <c r="AD77" i="1"/>
  <c r="AD56" i="1"/>
  <c r="S56" i="1"/>
  <c r="S45" i="1"/>
  <c r="AD45" i="1"/>
  <c r="AD16" i="1"/>
  <c r="S16" i="1"/>
  <c r="AD41" i="1"/>
  <c r="S41" i="1"/>
  <c r="AD29" i="1"/>
  <c r="S29" i="1"/>
  <c r="AD80" i="1"/>
  <c r="S80" i="1"/>
  <c r="S99" i="1"/>
  <c r="AD99" i="1"/>
  <c r="AD96" i="1"/>
  <c r="S96" i="1"/>
  <c r="AD33" i="1"/>
  <c r="S33" i="1"/>
  <c r="AD81" i="1"/>
  <c r="S81" i="1"/>
  <c r="AD98" i="1"/>
  <c r="S98" i="1"/>
  <c r="AD44" i="1"/>
  <c r="S44" i="1"/>
  <c r="AD5" i="1" l="1"/>
</calcChain>
</file>

<file path=xl/sharedStrings.xml><?xml version="1.0" encoding="utf-8"?>
<sst xmlns="http://schemas.openxmlformats.org/spreadsheetml/2006/main" count="409" uniqueCount="164">
  <si>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</si>
  <si>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</si>
  <si>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</si>
  <si>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</si>
  <si>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</si>
  <si>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</si>
  <si>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</si>
  <si>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</si>
  <si>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</si>
  <si>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</si>
  <si>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</si>
  <si>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</si>
  <si>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</si>
  <si>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</si>
  <si>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</si>
  <si>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</si>
  <si>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</si>
  <si>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</si>
  <si>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</si>
  <si>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</si>
  <si>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</si>
  <si>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</si>
  <si>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20,07,</t>
  </si>
  <si>
    <t>13,07,</t>
  </si>
  <si>
    <t>06,07,</t>
  </si>
  <si>
    <t>29,06,</t>
  </si>
  <si>
    <t>22,06,</t>
  </si>
  <si>
    <t>15,06,</t>
  </si>
  <si>
    <t>08,06,</t>
  </si>
  <si>
    <t>01,05,</t>
  </si>
  <si>
    <t>26,05,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</si>
  <si>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</si>
  <si>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</si>
  <si>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</si>
  <si>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</si>
  <si>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</si>
  <si>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</si>
  <si>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</si>
  <si>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</si>
  <si>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</si>
  <si>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</si>
  <si>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</si>
  <si>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</si>
  <si>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</si>
  <si>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</si>
  <si>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</si>
  <si>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</si>
  <si>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</si>
  <si>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</si>
  <si>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</si>
  <si>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</si>
  <si>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</si>
  <si>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</si>
  <si>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</si>
  <si>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</si>
  <si>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</si>
  <si>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нужно увеличить продажи!!!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</si>
  <si>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</si>
  <si>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</si>
  <si>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</si>
  <si>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</si>
  <si>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</si>
  <si>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</si>
  <si>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</si>
  <si>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</si>
  <si>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</si>
  <si>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</si>
  <si>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</si>
  <si>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</si>
  <si>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</si>
  <si>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</si>
  <si>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</si>
  <si>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</si>
  <si>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</si>
  <si>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</si>
  <si>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</si>
  <si>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</si>
  <si>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</si>
  <si>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</si>
  <si>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</si>
  <si>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</si>
  <si>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</si>
  <si>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</si>
  <si>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</si>
  <si>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</si>
  <si>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</si>
  <si>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</si>
  <si>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</si>
  <si>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</si>
  <si>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</si>
  <si>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</si>
  <si>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</si>
  <si>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</si>
  <si>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</si>
  <si>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</si>
  <si>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</si>
  <si>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</si>
  <si>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</si>
  <si>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</si>
  <si>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</si>
  <si>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</si>
  <si>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</si>
  <si>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</si>
  <si>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</si>
  <si>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</si>
  <si>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</si>
  <si>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</si>
  <si>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</si>
  <si>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</si>
  <si>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</si>
  <si>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</si>
  <si>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</si>
  <si>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</si>
  <si>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</si>
  <si>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</si>
  <si>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</si>
  <si>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</si>
  <si>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</si>
  <si>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</si>
  <si>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</si>
  <si>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</si>
  <si>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</si>
  <si>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</si>
  <si>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</si>
  <si>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</si>
  <si>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</si>
  <si>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</si>
  <si>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</si>
  <si>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</si>
  <si>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</si>
  <si>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</si>
  <si>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</si>
  <si>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</si>
  <si>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</si>
  <si>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</si>
  <si>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</si>
  <si>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</si>
  <si>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</si>
  <si>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</si>
  <si>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</si>
  <si>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</si>
  <si>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</si>
  <si>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</si>
  <si>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</si>
  <si>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</si>
  <si>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</si>
  <si>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</si>
  <si>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вместо 6793</t>
  </si>
  <si>
    <t>вместо 6459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</si>
  <si>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</si>
  <si>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</si>
  <si>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</si>
  <si>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</si>
  <si>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</si>
  <si>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</si>
  <si>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</si>
  <si>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6620 РЕБРЫШКИ к/в в/у_30с  Останкино</t>
  </si>
  <si>
    <t>нет потребности</t>
  </si>
  <si>
    <t>6925 ВЕТЧ.КЛАССИЧЕСКАЯ в/у 0,6кг 8шт. ОСТАНКИНО</t>
  </si>
  <si>
    <t>вместо 6453</t>
  </si>
  <si>
    <t>вместо 7288</t>
  </si>
  <si>
    <t>вместо 6454</t>
  </si>
  <si>
    <t>149шт списание сроки (15,07,26)</t>
  </si>
  <si>
    <t>22,06,26 в уценку - 197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</si>
</sst>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0" fontId="0" fillId="5" borderId="0" xfId="0" applyFill="1" applyBorder="1"/>
    <xf numFmtId="164" fontId="5" fillId="4" borderId="1" xfId="1" applyNumberFormat="1" applyFont="1" applyFill="1"/>
    <xf numFmtId="164" fontId="6" fillId="4" borderId="1" xfId="1" applyNumberFormat="1" applyFont="1" applyFill="1"/>
    <xf numFmtId="164" fontId="7" fillId="6" borderId="1" xfId="1" applyNumberFormat="1" applyFont="1" applyFill="1"/>
    <xf numFmtId="164" fontId="1" fillId="0" borderId="1" xfId="1" applyNumberForma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164" fontId="1" fillId="7" borderId="1" xfId="1" applyNumberFormat="1" applyFill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98"/>
  <sheetViews>
    <sheetView tabSelected="1" zoomScale="85" workbookViewId="0">
      <pane xSplit="2" ySplit="5" topLeftCell="C28" activePane="bottomRight" state="frozen"/>
      <selection pane="topRight"/>
      <selection pane="bottomLeft"/>
      <selection pane="bottomRight" activeCell="R38" sqref="R38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546875" customWidth="1"/>
    <col min="15" max="16" width="7" customWidth="1"/>
    <col min="17" max="17" width="7.109375" customWidth="1"/>
    <col min="18" max="18" width="7.109375" style="22" customWidth="1"/>
    <col min="19" max="19" width="12.5546875" customWidth="1"/>
    <col min="20" max="20" width="5" customWidth="1"/>
    <col min="21" max="28" width="6" customWidth="1"/>
    <col min="29" max="29" width="53.44140625" customWidth="1"/>
    <col min="30" max="30" width="7" customWidth="1"/>
    <col min="31" max="48" width="3" customWidth="1"/>
  </cols>
  <sheetData>
    <row r="1" spans="1:48" x14ac:dyDescent="0.3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20</v>
      </c>
      <c r="AD3" s="2" t="s">
        <v>21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3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3">
      <c r="A5" s="1"/>
      <c r="B5" s="1"/>
      <c r="C5" s="1"/>
      <c r="D5" s="1"/>
      <c r="E5" s="4">
        <f>SUM(E6:E498)</f>
        <v>12345.630000000001</v>
      </c>
      <c r="F5" s="4">
        <f>SUM(F6:F498)</f>
        <v>11145.098</v>
      </c>
      <c r="G5" s="7"/>
      <c r="H5" s="1"/>
      <c r="I5" s="1"/>
      <c r="J5" s="1"/>
      <c r="K5" s="4">
        <f t="shared" ref="K5:Q5" si="0">SUM(K6:K498)</f>
        <v>12902.231</v>
      </c>
      <c r="L5" s="4">
        <f t="shared" si="0"/>
        <v>-836.60100000000011</v>
      </c>
      <c r="M5" s="4">
        <f t="shared" si="0"/>
        <v>0</v>
      </c>
      <c r="N5" s="4">
        <f t="shared" si="0"/>
        <v>0</v>
      </c>
      <c r="O5" s="4">
        <f t="shared" si="0"/>
        <v>5498</v>
      </c>
      <c r="P5" s="4">
        <f t="shared" si="0"/>
        <v>2469.1259999999997</v>
      </c>
      <c r="Q5" s="4">
        <f t="shared" si="0"/>
        <v>20110.014999999996</v>
      </c>
      <c r="R5" s="4"/>
      <c r="S5" s="1"/>
      <c r="T5" s="1"/>
      <c r="U5" s="4">
        <f t="shared" ref="U5:AB5" si="1">SUM(U6:U498)</f>
        <v>1790.1371999999999</v>
      </c>
      <c r="V5" s="4">
        <f t="shared" si="1"/>
        <v>2127.1240000000003</v>
      </c>
      <c r="W5" s="4">
        <f t="shared" si="1"/>
        <v>2749.5185999999999</v>
      </c>
      <c r="X5" s="4">
        <f t="shared" si="1"/>
        <v>2137.7203999999997</v>
      </c>
      <c r="Y5" s="4">
        <f t="shared" si="1"/>
        <v>2234.9212000000002</v>
      </c>
      <c r="Z5" s="4">
        <f t="shared" si="1"/>
        <v>2185.6080000000006</v>
      </c>
      <c r="AA5" s="4">
        <f t="shared" si="1"/>
        <v>2365.7408000000005</v>
      </c>
      <c r="AB5" s="4">
        <f t="shared" si="1"/>
        <v>1763.3862000000001</v>
      </c>
      <c r="AC5" s="1"/>
      <c r="AD5" s="4">
        <f>SUM(AD6:AD498)</f>
        <v>9794.9330000000009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3">
      <c r="A6" s="1" t="s">
        <v>31</v>
      </c>
      <c r="B6" s="1" t="s">
        <v>32</v>
      </c>
      <c r="C6" s="1">
        <v>188</v>
      </c>
      <c r="D6" s="1">
        <v>278</v>
      </c>
      <c r="E6" s="1">
        <v>208</v>
      </c>
      <c r="F6" s="1">
        <v>205</v>
      </c>
      <c r="G6" s="7">
        <v>0.4</v>
      </c>
      <c r="H6" s="1">
        <v>60</v>
      </c>
      <c r="I6" s="1" t="s">
        <v>33</v>
      </c>
      <c r="J6" s="1"/>
      <c r="K6" s="1">
        <v>218</v>
      </c>
      <c r="L6" s="1">
        <f t="shared" ref="L6:L37" si="2">E6-K6</f>
        <v>-10</v>
      </c>
      <c r="M6" s="1"/>
      <c r="N6" s="1"/>
      <c r="O6" s="1">
        <v>107</v>
      </c>
      <c r="P6" s="1">
        <f t="shared" ref="P6:P37" si="3">E6/5</f>
        <v>41.6</v>
      </c>
      <c r="Q6" s="5">
        <f>15*P6-O6-F6</f>
        <v>312</v>
      </c>
      <c r="R6" s="20"/>
      <c r="S6" s="1">
        <f t="shared" ref="S6:S34" si="4">(F6+O6+Q6)/P6</f>
        <v>15</v>
      </c>
      <c r="T6" s="1">
        <f t="shared" ref="T6:T34" si="5">(F6+O6)/P6</f>
        <v>7.5</v>
      </c>
      <c r="U6" s="1">
        <v>37.200000000000003</v>
      </c>
      <c r="V6" s="1">
        <v>43.2</v>
      </c>
      <c r="W6" s="1">
        <v>54</v>
      </c>
      <c r="X6" s="1">
        <v>43.4</v>
      </c>
      <c r="Y6" s="1">
        <v>44.2</v>
      </c>
      <c r="Z6" s="1">
        <v>54.4</v>
      </c>
      <c r="AA6" s="1">
        <v>58.2</v>
      </c>
      <c r="AB6" s="1">
        <v>26.6</v>
      </c>
      <c r="AC6" s="1"/>
      <c r="AD6" s="1">
        <f t="shared" ref="AD6:AD17" si="6">G6*Q6</f>
        <v>124.80000000000001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3">
      <c r="A7" s="1" t="s">
        <v>34</v>
      </c>
      <c r="B7" s="1" t="s">
        <v>35</v>
      </c>
      <c r="C7" s="1">
        <v>64.742999999999995</v>
      </c>
      <c r="D7" s="1">
        <v>8.9009999999999998</v>
      </c>
      <c r="E7" s="1">
        <v>41.755000000000003</v>
      </c>
      <c r="F7" s="1">
        <v>24.492000000000001</v>
      </c>
      <c r="G7" s="7">
        <v>1</v>
      </c>
      <c r="H7" s="1">
        <v>120</v>
      </c>
      <c r="I7" s="1" t="s">
        <v>33</v>
      </c>
      <c r="J7" s="1"/>
      <c r="K7" s="1">
        <v>42.8</v>
      </c>
      <c r="L7" s="1">
        <f t="shared" si="2"/>
        <v>-1.0449999999999946</v>
      </c>
      <c r="M7" s="1"/>
      <c r="N7" s="1"/>
      <c r="O7" s="1">
        <v>39</v>
      </c>
      <c r="P7" s="1">
        <f t="shared" si="3"/>
        <v>8.3510000000000009</v>
      </c>
      <c r="Q7" s="5">
        <f>20*P7-O7-F7</f>
        <v>103.52800000000001</v>
      </c>
      <c r="R7" s="20"/>
      <c r="S7" s="1">
        <f t="shared" si="4"/>
        <v>20</v>
      </c>
      <c r="T7" s="1">
        <f t="shared" si="5"/>
        <v>7.6029218057717634</v>
      </c>
      <c r="U7" s="1">
        <v>6.8492000000000006</v>
      </c>
      <c r="V7" s="1">
        <v>5.0434000000000001</v>
      </c>
      <c r="W7" s="1">
        <v>10.417999999999999</v>
      </c>
      <c r="X7" s="1">
        <v>7.246599999999999</v>
      </c>
      <c r="Y7" s="1">
        <v>4.9813999999999998</v>
      </c>
      <c r="Z7" s="1">
        <v>9.3382000000000005</v>
      </c>
      <c r="AA7" s="1">
        <v>7.6756000000000002</v>
      </c>
      <c r="AB7" s="1">
        <v>4.343</v>
      </c>
      <c r="AC7" s="1" t="s">
        <v>36</v>
      </c>
      <c r="AD7" s="1">
        <f t="shared" si="6"/>
        <v>103.52800000000001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3">
      <c r="A8" s="1" t="s">
        <v>37</v>
      </c>
      <c r="B8" s="1" t="s">
        <v>32</v>
      </c>
      <c r="C8" s="1">
        <v>237</v>
      </c>
      <c r="D8" s="1">
        <v>200</v>
      </c>
      <c r="E8" s="1">
        <v>112</v>
      </c>
      <c r="F8" s="1">
        <v>303</v>
      </c>
      <c r="G8" s="7">
        <v>0.25</v>
      </c>
      <c r="H8" s="1">
        <v>120</v>
      </c>
      <c r="I8" s="1" t="s">
        <v>33</v>
      </c>
      <c r="J8" s="1"/>
      <c r="K8" s="1">
        <v>113</v>
      </c>
      <c r="L8" s="1">
        <f t="shared" si="2"/>
        <v>-1</v>
      </c>
      <c r="M8" s="1"/>
      <c r="N8" s="1"/>
      <c r="O8" s="1">
        <v>124</v>
      </c>
      <c r="P8" s="1">
        <f t="shared" si="3"/>
        <v>22.4</v>
      </c>
      <c r="Q8" s="5">
        <f>20*P8-O8-F8</f>
        <v>21</v>
      </c>
      <c r="R8" s="20"/>
      <c r="S8" s="1">
        <f t="shared" si="4"/>
        <v>20</v>
      </c>
      <c r="T8" s="1">
        <f t="shared" si="5"/>
        <v>19.0625</v>
      </c>
      <c r="U8" s="1">
        <v>27.8</v>
      </c>
      <c r="V8" s="1">
        <v>29.4</v>
      </c>
      <c r="W8" s="1">
        <v>53.8</v>
      </c>
      <c r="X8" s="1">
        <v>3</v>
      </c>
      <c r="Y8" s="1">
        <v>23</v>
      </c>
      <c r="Z8" s="1">
        <v>29.8</v>
      </c>
      <c r="AA8" s="1">
        <v>17.600000000000001</v>
      </c>
      <c r="AB8" s="1">
        <v>20.2</v>
      </c>
      <c r="AC8" s="1" t="s">
        <v>36</v>
      </c>
      <c r="AD8" s="1">
        <f t="shared" si="6"/>
        <v>5.25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3">
      <c r="A9" s="1" t="s">
        <v>38</v>
      </c>
      <c r="B9" s="1" t="s">
        <v>35</v>
      </c>
      <c r="C9" s="1">
        <v>179.47200000000001</v>
      </c>
      <c r="D9" s="1">
        <v>275.24799999999999</v>
      </c>
      <c r="E9" s="1">
        <v>177.321</v>
      </c>
      <c r="F9" s="1">
        <v>212.489</v>
      </c>
      <c r="G9" s="7">
        <v>1</v>
      </c>
      <c r="H9" s="1">
        <v>60</v>
      </c>
      <c r="I9" s="1" t="s">
        <v>33</v>
      </c>
      <c r="J9" s="1"/>
      <c r="K9" s="1">
        <v>199.495</v>
      </c>
      <c r="L9" s="1">
        <f t="shared" si="2"/>
        <v>-22.174000000000007</v>
      </c>
      <c r="M9" s="1"/>
      <c r="N9" s="1"/>
      <c r="O9" s="1">
        <v>0</v>
      </c>
      <c r="P9" s="1">
        <f t="shared" si="3"/>
        <v>35.464199999999998</v>
      </c>
      <c r="Q9" s="5">
        <f>15*P9-O9-F9</f>
        <v>319.47399999999993</v>
      </c>
      <c r="R9" s="20"/>
      <c r="S9" s="1">
        <f t="shared" si="4"/>
        <v>15</v>
      </c>
      <c r="T9" s="1">
        <f t="shared" si="5"/>
        <v>5.9916479153625346</v>
      </c>
      <c r="U9" s="1">
        <v>22.991599999999998</v>
      </c>
      <c r="V9" s="1">
        <v>35.211200000000012</v>
      </c>
      <c r="W9" s="1">
        <v>37.505800000000001</v>
      </c>
      <c r="X9" s="1">
        <v>28.898199999999999</v>
      </c>
      <c r="Y9" s="1">
        <v>42.983400000000003</v>
      </c>
      <c r="Z9" s="1">
        <v>37.770800000000001</v>
      </c>
      <c r="AA9" s="1">
        <v>41.238999999999997</v>
      </c>
      <c r="AB9" s="1">
        <v>44.527200000000001</v>
      </c>
      <c r="AC9" s="1"/>
      <c r="AD9" s="1">
        <f t="shared" si="6"/>
        <v>319.47399999999993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3">
      <c r="A10" s="1" t="s">
        <v>39</v>
      </c>
      <c r="B10" s="1" t="s">
        <v>35</v>
      </c>
      <c r="C10" s="1">
        <v>29.952000000000002</v>
      </c>
      <c r="D10" s="1">
        <v>32.015999999999998</v>
      </c>
      <c r="E10" s="1">
        <v>27.437999999999999</v>
      </c>
      <c r="F10" s="1">
        <v>28.062000000000001</v>
      </c>
      <c r="G10" s="7">
        <v>1</v>
      </c>
      <c r="H10" s="1">
        <v>120</v>
      </c>
      <c r="I10" s="1" t="s">
        <v>33</v>
      </c>
      <c r="J10" s="1"/>
      <c r="K10" s="1">
        <v>28.4</v>
      </c>
      <c r="L10" s="1">
        <f t="shared" si="2"/>
        <v>-0.96199999999999974</v>
      </c>
      <c r="M10" s="1"/>
      <c r="N10" s="1"/>
      <c r="O10" s="1">
        <v>0</v>
      </c>
      <c r="P10" s="1">
        <f t="shared" si="3"/>
        <v>5.4875999999999996</v>
      </c>
      <c r="Q10" s="5">
        <f>20*P10-O10-F10</f>
        <v>81.69</v>
      </c>
      <c r="R10" s="20"/>
      <c r="S10" s="1">
        <f t="shared" si="4"/>
        <v>20</v>
      </c>
      <c r="T10" s="1">
        <f t="shared" si="5"/>
        <v>5.113710911874044</v>
      </c>
      <c r="U10" s="1">
        <v>0.2</v>
      </c>
      <c r="V10" s="1">
        <v>0.1976</v>
      </c>
      <c r="W10" s="1">
        <v>6.0484</v>
      </c>
      <c r="X10" s="1">
        <v>6.9627999999999997</v>
      </c>
      <c r="Y10" s="1">
        <v>3.1852</v>
      </c>
      <c r="Z10" s="1">
        <v>4.3540000000000001</v>
      </c>
      <c r="AA10" s="1">
        <v>5.3411999999999997</v>
      </c>
      <c r="AB10" s="1">
        <v>3.0634000000000001</v>
      </c>
      <c r="AC10" s="1" t="s">
        <v>36</v>
      </c>
      <c r="AD10" s="1">
        <f t="shared" si="6"/>
        <v>81.69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3">
      <c r="A11" s="1" t="s">
        <v>40</v>
      </c>
      <c r="B11" s="1" t="s">
        <v>35</v>
      </c>
      <c r="C11" s="1">
        <v>38.292000000000002</v>
      </c>
      <c r="D11" s="1">
        <v>51.365000000000002</v>
      </c>
      <c r="E11" s="1">
        <v>30.452000000000002</v>
      </c>
      <c r="F11" s="1">
        <v>55.527999999999999</v>
      </c>
      <c r="G11" s="7">
        <v>1</v>
      </c>
      <c r="H11" s="1">
        <v>60</v>
      </c>
      <c r="I11" s="1" t="s">
        <v>33</v>
      </c>
      <c r="J11" s="1"/>
      <c r="K11" s="1">
        <v>31.3</v>
      </c>
      <c r="L11" s="1">
        <f t="shared" si="2"/>
        <v>-0.84799999999999898</v>
      </c>
      <c r="M11" s="1"/>
      <c r="N11" s="1"/>
      <c r="O11" s="1">
        <v>0</v>
      </c>
      <c r="P11" s="1">
        <f t="shared" si="3"/>
        <v>6.0904000000000007</v>
      </c>
      <c r="Q11" s="5">
        <f>15*P11-O11-F11</f>
        <v>35.82800000000001</v>
      </c>
      <c r="R11" s="23">
        <v>0</v>
      </c>
      <c r="S11" s="1">
        <f t="shared" si="4"/>
        <v>15</v>
      </c>
      <c r="T11" s="1">
        <f t="shared" si="5"/>
        <v>9.1172993563641125</v>
      </c>
      <c r="U11" s="1">
        <v>2.7360000000000002</v>
      </c>
      <c r="V11" s="1">
        <v>6.2005999999999997</v>
      </c>
      <c r="W11" s="1">
        <v>9.0286000000000008</v>
      </c>
      <c r="X11" s="1">
        <v>7.8545999999999996</v>
      </c>
      <c r="Y11" s="1">
        <v>8.6346000000000007</v>
      </c>
      <c r="Z11" s="1">
        <v>11.516999999999999</v>
      </c>
      <c r="AA11" s="1">
        <v>10.395</v>
      </c>
      <c r="AB11" s="1">
        <v>10.9404</v>
      </c>
      <c r="AC11" s="1"/>
      <c r="AD11" s="1">
        <f t="shared" si="6"/>
        <v>35.82800000000001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3">
      <c r="A12" s="1" t="s">
        <v>42</v>
      </c>
      <c r="B12" s="1" t="s">
        <v>35</v>
      </c>
      <c r="C12" s="1">
        <v>163.35</v>
      </c>
      <c r="D12" s="1">
        <v>29.693000000000001</v>
      </c>
      <c r="E12" s="1">
        <v>26.937000000000001</v>
      </c>
      <c r="F12" s="1">
        <v>1.0189999999999999</v>
      </c>
      <c r="G12" s="7">
        <v>1</v>
      </c>
      <c r="H12" s="1">
        <v>60</v>
      </c>
      <c r="I12" s="1" t="s">
        <v>33</v>
      </c>
      <c r="J12" s="1"/>
      <c r="K12" s="1">
        <v>191.6</v>
      </c>
      <c r="L12" s="1">
        <f t="shared" si="2"/>
        <v>-164.66299999999998</v>
      </c>
      <c r="M12" s="1"/>
      <c r="N12" s="1"/>
      <c r="O12" s="1">
        <v>303</v>
      </c>
      <c r="P12" s="1">
        <f t="shared" si="3"/>
        <v>5.3874000000000004</v>
      </c>
      <c r="Q12" s="5"/>
      <c r="R12" s="20"/>
      <c r="S12" s="1">
        <f t="shared" si="4"/>
        <v>56.431488287485614</v>
      </c>
      <c r="T12" s="1">
        <f t="shared" si="5"/>
        <v>56.431488287485614</v>
      </c>
      <c r="U12" s="1">
        <v>32.887999999999998</v>
      </c>
      <c r="V12" s="1">
        <v>23.7438</v>
      </c>
      <c r="W12" s="1">
        <v>30.880600000000001</v>
      </c>
      <c r="X12" s="1">
        <v>18.755199999999999</v>
      </c>
      <c r="Y12" s="1">
        <v>41.007599999999996</v>
      </c>
      <c r="Z12" s="1">
        <v>40.128599999999999</v>
      </c>
      <c r="AA12" s="1">
        <v>29.197199999999999</v>
      </c>
      <c r="AB12" s="1">
        <v>35.5212</v>
      </c>
      <c r="AC12" s="1"/>
      <c r="AD12" s="1">
        <f t="shared" si="6"/>
        <v>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3">
      <c r="A13" s="1" t="s">
        <v>43</v>
      </c>
      <c r="B13" s="1" t="s">
        <v>32</v>
      </c>
      <c r="C13" s="1">
        <v>269</v>
      </c>
      <c r="D13" s="1">
        <v>90</v>
      </c>
      <c r="E13" s="1">
        <v>226</v>
      </c>
      <c r="F13" s="1">
        <v>103</v>
      </c>
      <c r="G13" s="7">
        <v>0.25</v>
      </c>
      <c r="H13" s="1">
        <v>120</v>
      </c>
      <c r="I13" s="1" t="s">
        <v>33</v>
      </c>
      <c r="J13" s="1"/>
      <c r="K13" s="1">
        <v>248</v>
      </c>
      <c r="L13" s="1">
        <f t="shared" si="2"/>
        <v>-22</v>
      </c>
      <c r="M13" s="1"/>
      <c r="N13" s="1"/>
      <c r="O13" s="1">
        <v>68</v>
      </c>
      <c r="P13" s="1">
        <f t="shared" si="3"/>
        <v>45.2</v>
      </c>
      <c r="Q13" s="5">
        <f>19*P13-O13-F13</f>
        <v>687.80000000000007</v>
      </c>
      <c r="R13" s="23">
        <v>450</v>
      </c>
      <c r="S13" s="1">
        <f t="shared" si="4"/>
        <v>19</v>
      </c>
      <c r="T13" s="1">
        <f t="shared" si="5"/>
        <v>3.7831858407079642</v>
      </c>
      <c r="U13" s="1">
        <v>21.4</v>
      </c>
      <c r="V13" s="1">
        <v>18.2</v>
      </c>
      <c r="W13" s="1">
        <v>39.799999999999997</v>
      </c>
      <c r="X13" s="1">
        <v>32.200000000000003</v>
      </c>
      <c r="Y13" s="1">
        <v>24</v>
      </c>
      <c r="Z13" s="1">
        <v>16.8</v>
      </c>
      <c r="AA13" s="1">
        <v>39</v>
      </c>
      <c r="AB13" s="1">
        <v>21.2</v>
      </c>
      <c r="AC13" s="1" t="s">
        <v>36</v>
      </c>
      <c r="AD13" s="1">
        <f t="shared" si="6"/>
        <v>171.95000000000002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3">
      <c r="A14" s="1" t="s">
        <v>44</v>
      </c>
      <c r="B14" s="1" t="s">
        <v>35</v>
      </c>
      <c r="C14" s="1">
        <v>45.728000000000002</v>
      </c>
      <c r="D14" s="1">
        <v>1.37</v>
      </c>
      <c r="E14" s="1">
        <v>24.18</v>
      </c>
      <c r="F14" s="1">
        <v>17.141999999999999</v>
      </c>
      <c r="G14" s="7">
        <v>1</v>
      </c>
      <c r="H14" s="1">
        <v>60</v>
      </c>
      <c r="I14" s="1" t="s">
        <v>33</v>
      </c>
      <c r="J14" s="1"/>
      <c r="K14" s="1">
        <v>23.7</v>
      </c>
      <c r="L14" s="1">
        <f t="shared" si="2"/>
        <v>0.48000000000000043</v>
      </c>
      <c r="M14" s="1"/>
      <c r="N14" s="1"/>
      <c r="O14" s="1">
        <v>19</v>
      </c>
      <c r="P14" s="1">
        <f t="shared" si="3"/>
        <v>4.8360000000000003</v>
      </c>
      <c r="Q14" s="5">
        <f>15*P14-O14-F14</f>
        <v>36.39800000000001</v>
      </c>
      <c r="R14" s="20"/>
      <c r="S14" s="1">
        <f t="shared" si="4"/>
        <v>15</v>
      </c>
      <c r="T14" s="1">
        <f t="shared" si="5"/>
        <v>7.4735318444995853</v>
      </c>
      <c r="U14" s="1">
        <v>4.3343999999999996</v>
      </c>
      <c r="V14" s="1">
        <v>3.8136000000000001</v>
      </c>
      <c r="W14" s="1">
        <v>3.4849999999999999</v>
      </c>
      <c r="X14" s="1">
        <v>7.4036</v>
      </c>
      <c r="Y14" s="1">
        <v>10.1214</v>
      </c>
      <c r="Z14" s="1">
        <v>7.6818</v>
      </c>
      <c r="AA14" s="1">
        <v>7.3453999999999997</v>
      </c>
      <c r="AB14" s="1">
        <v>5.9554</v>
      </c>
      <c r="AC14" s="1"/>
      <c r="AD14" s="1">
        <f t="shared" si="6"/>
        <v>36.39800000000001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3">
      <c r="A15" s="1" t="s">
        <v>45</v>
      </c>
      <c r="B15" s="1" t="s">
        <v>32</v>
      </c>
      <c r="C15" s="1">
        <v>241</v>
      </c>
      <c r="D15" s="1">
        <v>177</v>
      </c>
      <c r="E15" s="1">
        <v>266</v>
      </c>
      <c r="F15" s="1">
        <v>102</v>
      </c>
      <c r="G15" s="7">
        <v>0.25</v>
      </c>
      <c r="H15" s="1">
        <v>120</v>
      </c>
      <c r="I15" s="1" t="s">
        <v>33</v>
      </c>
      <c r="J15" s="1"/>
      <c r="K15" s="1">
        <v>274</v>
      </c>
      <c r="L15" s="1">
        <f t="shared" si="2"/>
        <v>-8</v>
      </c>
      <c r="M15" s="1"/>
      <c r="N15" s="1"/>
      <c r="O15" s="1">
        <v>304</v>
      </c>
      <c r="P15" s="1">
        <f t="shared" si="3"/>
        <v>53.2</v>
      </c>
      <c r="Q15" s="5">
        <f>20*P15-O15-F15</f>
        <v>658</v>
      </c>
      <c r="R15" s="23">
        <v>400</v>
      </c>
      <c r="S15" s="1">
        <f t="shared" si="4"/>
        <v>20</v>
      </c>
      <c r="T15" s="1">
        <f t="shared" si="5"/>
        <v>7.6315789473684204</v>
      </c>
      <c r="U15" s="1">
        <v>36</v>
      </c>
      <c r="V15" s="1">
        <v>37</v>
      </c>
      <c r="W15" s="1">
        <v>50.6</v>
      </c>
      <c r="X15" s="1">
        <v>39</v>
      </c>
      <c r="Y15" s="1">
        <v>43.6</v>
      </c>
      <c r="Z15" s="1">
        <v>47.4</v>
      </c>
      <c r="AA15" s="1">
        <v>40.6</v>
      </c>
      <c r="AB15" s="1">
        <v>29.6</v>
      </c>
      <c r="AC15" s="1" t="s">
        <v>36</v>
      </c>
      <c r="AD15" s="1">
        <f t="shared" si="6"/>
        <v>164.5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3">
      <c r="A16" s="1" t="s">
        <v>46</v>
      </c>
      <c r="B16" s="1" t="s">
        <v>32</v>
      </c>
      <c r="C16" s="1">
        <v>224</v>
      </c>
      <c r="D16" s="1">
        <v>189</v>
      </c>
      <c r="E16" s="1">
        <v>133</v>
      </c>
      <c r="F16" s="1">
        <v>254</v>
      </c>
      <c r="G16" s="7">
        <v>0.4</v>
      </c>
      <c r="H16" s="1">
        <v>60</v>
      </c>
      <c r="I16" s="1" t="s">
        <v>33</v>
      </c>
      <c r="J16" s="1"/>
      <c r="K16" s="1">
        <v>128</v>
      </c>
      <c r="L16" s="1">
        <f t="shared" si="2"/>
        <v>5</v>
      </c>
      <c r="M16" s="1"/>
      <c r="N16" s="1"/>
      <c r="O16" s="1">
        <v>0</v>
      </c>
      <c r="P16" s="1">
        <f t="shared" si="3"/>
        <v>26.6</v>
      </c>
      <c r="Q16" s="5">
        <f>15*P16-O16-F16</f>
        <v>145</v>
      </c>
      <c r="R16" s="20"/>
      <c r="S16" s="1">
        <f t="shared" si="4"/>
        <v>15</v>
      </c>
      <c r="T16" s="1">
        <f t="shared" si="5"/>
        <v>9.5488721804511272</v>
      </c>
      <c r="U16" s="1">
        <v>10.8</v>
      </c>
      <c r="V16" s="1">
        <v>15.4</v>
      </c>
      <c r="W16" s="1">
        <v>33.6</v>
      </c>
      <c r="X16" s="1">
        <v>22.8</v>
      </c>
      <c r="Y16" s="1">
        <v>8.1999999999999993</v>
      </c>
      <c r="Z16" s="1">
        <v>19.600000000000001</v>
      </c>
      <c r="AA16" s="1">
        <v>16.399999999999999</v>
      </c>
      <c r="AB16" s="1">
        <v>10</v>
      </c>
      <c r="AC16" s="1"/>
      <c r="AD16" s="1">
        <f t="shared" si="6"/>
        <v>58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3">
      <c r="A17" s="1" t="s">
        <v>47</v>
      </c>
      <c r="B17" s="1" t="s">
        <v>35</v>
      </c>
      <c r="C17" s="1">
        <v>276.55200000000002</v>
      </c>
      <c r="D17" s="1">
        <v>44.395000000000003</v>
      </c>
      <c r="E17" s="1">
        <v>229.339</v>
      </c>
      <c r="F17" s="1">
        <v>58.314</v>
      </c>
      <c r="G17" s="7">
        <v>1</v>
      </c>
      <c r="H17" s="1">
        <v>45</v>
      </c>
      <c r="I17" s="1" t="s">
        <v>33</v>
      </c>
      <c r="J17" s="1"/>
      <c r="K17" s="1">
        <v>222.7</v>
      </c>
      <c r="L17" s="1">
        <f t="shared" si="2"/>
        <v>6.63900000000001</v>
      </c>
      <c r="M17" s="1"/>
      <c r="N17" s="1"/>
      <c r="O17" s="1">
        <v>221</v>
      </c>
      <c r="P17" s="1">
        <f t="shared" si="3"/>
        <v>45.867800000000003</v>
      </c>
      <c r="Q17" s="5">
        <f>15*P17-O17-F17</f>
        <v>408.70300000000003</v>
      </c>
      <c r="R17" s="20"/>
      <c r="S17" s="1">
        <f t="shared" si="4"/>
        <v>15</v>
      </c>
      <c r="T17" s="1">
        <f t="shared" si="5"/>
        <v>6.0895442990507505</v>
      </c>
      <c r="U17" s="1">
        <v>34.546199999999999</v>
      </c>
      <c r="V17" s="1">
        <v>30.534400000000002</v>
      </c>
      <c r="W17" s="1">
        <v>39.906199999999998</v>
      </c>
      <c r="X17" s="1">
        <v>48.837800000000001</v>
      </c>
      <c r="Y17" s="1">
        <v>42.3718</v>
      </c>
      <c r="Z17" s="1">
        <v>42.197000000000003</v>
      </c>
      <c r="AA17" s="1">
        <v>46.965800000000002</v>
      </c>
      <c r="AB17" s="1">
        <v>39.526200000000003</v>
      </c>
      <c r="AC17" s="1"/>
      <c r="AD17" s="1">
        <f t="shared" si="6"/>
        <v>408.70300000000003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3">
      <c r="A18" s="11" t="s">
        <v>48</v>
      </c>
      <c r="B18" s="11" t="s">
        <v>32</v>
      </c>
      <c r="C18" s="11">
        <v>8</v>
      </c>
      <c r="D18" s="11">
        <v>8</v>
      </c>
      <c r="E18" s="11">
        <v>12</v>
      </c>
      <c r="F18" s="11">
        <v>4</v>
      </c>
      <c r="G18" s="12">
        <v>0</v>
      </c>
      <c r="H18" s="11">
        <v>60</v>
      </c>
      <c r="I18" s="11" t="s">
        <v>49</v>
      </c>
      <c r="J18" s="11"/>
      <c r="K18" s="11">
        <v>12</v>
      </c>
      <c r="L18" s="11">
        <f t="shared" si="2"/>
        <v>0</v>
      </c>
      <c r="M18" s="11"/>
      <c r="N18" s="11"/>
      <c r="O18" s="11">
        <v>29</v>
      </c>
      <c r="P18" s="11">
        <f t="shared" si="3"/>
        <v>2.4</v>
      </c>
      <c r="Q18" s="13"/>
      <c r="R18" s="21"/>
      <c r="S18" s="11">
        <f t="shared" si="4"/>
        <v>13.75</v>
      </c>
      <c r="T18" s="11">
        <f t="shared" si="5"/>
        <v>13.75</v>
      </c>
      <c r="U18" s="11">
        <v>3.2</v>
      </c>
      <c r="V18" s="11">
        <v>2.4</v>
      </c>
      <c r="W18" s="11">
        <v>0</v>
      </c>
      <c r="X18" s="11">
        <v>1.4</v>
      </c>
      <c r="Y18" s="11">
        <v>1.4</v>
      </c>
      <c r="Z18" s="11">
        <v>0.2</v>
      </c>
      <c r="AA18" s="11">
        <v>6</v>
      </c>
      <c r="AB18" s="11">
        <v>3.2</v>
      </c>
      <c r="AC18" s="11"/>
      <c r="AD18" s="1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3">
      <c r="A19" s="1" t="s">
        <v>50</v>
      </c>
      <c r="B19" s="1" t="s">
        <v>35</v>
      </c>
      <c r="C19" s="1">
        <v>115.622</v>
      </c>
      <c r="D19" s="1">
        <v>11.061999999999999</v>
      </c>
      <c r="E19" s="1">
        <v>29.085999999999999</v>
      </c>
      <c r="F19" s="1">
        <v>88.653999999999996</v>
      </c>
      <c r="G19" s="7">
        <v>1</v>
      </c>
      <c r="H19" s="1">
        <v>120</v>
      </c>
      <c r="I19" s="1" t="s">
        <v>33</v>
      </c>
      <c r="J19" s="1"/>
      <c r="K19" s="1">
        <v>32.9</v>
      </c>
      <c r="L19" s="1">
        <f t="shared" si="2"/>
        <v>-3.8140000000000001</v>
      </c>
      <c r="M19" s="1"/>
      <c r="N19" s="1"/>
      <c r="O19" s="1">
        <v>23</v>
      </c>
      <c r="P19" s="1">
        <f t="shared" si="3"/>
        <v>5.8171999999999997</v>
      </c>
      <c r="Q19" s="5">
        <f>20*P19-O19-F19</f>
        <v>4.6899999999999977</v>
      </c>
      <c r="R19" s="20"/>
      <c r="S19" s="1">
        <f t="shared" si="4"/>
        <v>20</v>
      </c>
      <c r="T19" s="1">
        <f t="shared" si="5"/>
        <v>19.193770198721033</v>
      </c>
      <c r="U19" s="1">
        <v>6.9495999999999993</v>
      </c>
      <c r="V19" s="1">
        <v>2.3774000000000002</v>
      </c>
      <c r="W19" s="1">
        <v>3.0162</v>
      </c>
      <c r="X19" s="1">
        <v>7.0650000000000004</v>
      </c>
      <c r="Y19" s="1">
        <v>2.3460000000000001</v>
      </c>
      <c r="Z19" s="1">
        <v>3.508</v>
      </c>
      <c r="AA19" s="1">
        <v>3.726</v>
      </c>
      <c r="AB19" s="1">
        <v>1.4081999999999999</v>
      </c>
      <c r="AC19" s="1" t="s">
        <v>36</v>
      </c>
      <c r="AD19" s="1">
        <f>G19*Q19</f>
        <v>4.6899999999999977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3">
      <c r="A20" s="1" t="s">
        <v>51</v>
      </c>
      <c r="B20" s="1" t="s">
        <v>32</v>
      </c>
      <c r="C20" s="1">
        <v>165</v>
      </c>
      <c r="D20" s="1">
        <v>160</v>
      </c>
      <c r="E20" s="1">
        <v>210</v>
      </c>
      <c r="F20" s="1">
        <v>99</v>
      </c>
      <c r="G20" s="7">
        <v>0.4</v>
      </c>
      <c r="H20" s="1">
        <v>45</v>
      </c>
      <c r="I20" s="1" t="s">
        <v>33</v>
      </c>
      <c r="J20" s="1"/>
      <c r="K20" s="1">
        <v>200</v>
      </c>
      <c r="L20" s="1">
        <f t="shared" si="2"/>
        <v>10</v>
      </c>
      <c r="M20" s="1"/>
      <c r="N20" s="1"/>
      <c r="O20" s="1">
        <v>152</v>
      </c>
      <c r="P20" s="1">
        <f t="shared" si="3"/>
        <v>42</v>
      </c>
      <c r="Q20" s="5">
        <f>15*P20-O20-F20</f>
        <v>379</v>
      </c>
      <c r="R20" s="20"/>
      <c r="S20" s="1">
        <f t="shared" si="4"/>
        <v>15</v>
      </c>
      <c r="T20" s="1">
        <f t="shared" si="5"/>
        <v>5.9761904761904763</v>
      </c>
      <c r="U20" s="1">
        <v>31.8</v>
      </c>
      <c r="V20" s="1">
        <v>31.4</v>
      </c>
      <c r="W20" s="1">
        <v>39.799999999999997</v>
      </c>
      <c r="X20" s="1">
        <v>30.4</v>
      </c>
      <c r="Y20" s="1">
        <v>33.4</v>
      </c>
      <c r="Z20" s="1">
        <v>17.399999999999999</v>
      </c>
      <c r="AA20" s="1">
        <v>29.4</v>
      </c>
      <c r="AB20" s="1">
        <v>27.2</v>
      </c>
      <c r="AC20" s="1"/>
      <c r="AD20" s="1">
        <f>G20*Q20</f>
        <v>151.6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3">
      <c r="A21" s="1" t="s">
        <v>52</v>
      </c>
      <c r="B21" s="1" t="s">
        <v>35</v>
      </c>
      <c r="C21" s="1">
        <v>273.41500000000002</v>
      </c>
      <c r="D21" s="1">
        <v>18.687000000000001</v>
      </c>
      <c r="E21" s="1">
        <v>105.562</v>
      </c>
      <c r="F21" s="1">
        <v>12.427</v>
      </c>
      <c r="G21" s="7">
        <v>1</v>
      </c>
      <c r="H21" s="1">
        <v>60</v>
      </c>
      <c r="I21" s="1" t="s">
        <v>33</v>
      </c>
      <c r="J21" s="1"/>
      <c r="K21" s="1">
        <v>160.94499999999999</v>
      </c>
      <c r="L21" s="1">
        <f t="shared" si="2"/>
        <v>-55.382999999999996</v>
      </c>
      <c r="M21" s="1"/>
      <c r="N21" s="1"/>
      <c r="O21" s="1">
        <v>91</v>
      </c>
      <c r="P21" s="1">
        <f t="shared" si="3"/>
        <v>21.112400000000001</v>
      </c>
      <c r="Q21" s="5">
        <f>15*P21-O21-F21</f>
        <v>213.25900000000004</v>
      </c>
      <c r="R21" s="20"/>
      <c r="S21" s="1">
        <f t="shared" si="4"/>
        <v>15.000000000000002</v>
      </c>
      <c r="T21" s="1">
        <f t="shared" si="5"/>
        <v>4.8988745950247239</v>
      </c>
      <c r="U21" s="1">
        <v>24.304200000000002</v>
      </c>
      <c r="V21" s="1">
        <v>17.704999999999998</v>
      </c>
      <c r="W21" s="1">
        <v>11.230600000000001</v>
      </c>
      <c r="X21" s="1">
        <v>31.431000000000001</v>
      </c>
      <c r="Y21" s="1">
        <v>23.541599999999999</v>
      </c>
      <c r="Z21" s="1">
        <v>20.12</v>
      </c>
      <c r="AA21" s="1">
        <v>23.421399999999998</v>
      </c>
      <c r="AB21" s="1">
        <v>19.7346</v>
      </c>
      <c r="AC21" s="1"/>
      <c r="AD21" s="1">
        <f>G21*Q21</f>
        <v>213.25900000000004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3">
      <c r="A22" s="1" t="s">
        <v>53</v>
      </c>
      <c r="B22" s="1" t="s">
        <v>32</v>
      </c>
      <c r="C22" s="1">
        <v>188</v>
      </c>
      <c r="D22" s="1">
        <v>212</v>
      </c>
      <c r="E22" s="1">
        <v>267</v>
      </c>
      <c r="F22" s="1">
        <v>97</v>
      </c>
      <c r="G22" s="7">
        <v>0.22</v>
      </c>
      <c r="H22" s="1">
        <v>120</v>
      </c>
      <c r="I22" s="1" t="s">
        <v>33</v>
      </c>
      <c r="J22" s="1"/>
      <c r="K22" s="1">
        <v>277</v>
      </c>
      <c r="L22" s="1">
        <f t="shared" si="2"/>
        <v>-10</v>
      </c>
      <c r="M22" s="1"/>
      <c r="N22" s="1"/>
      <c r="O22" s="1">
        <v>322</v>
      </c>
      <c r="P22" s="1">
        <f t="shared" si="3"/>
        <v>53.4</v>
      </c>
      <c r="Q22" s="5">
        <f>20*P22-O22-F22</f>
        <v>649</v>
      </c>
      <c r="R22" s="23">
        <v>600</v>
      </c>
      <c r="S22" s="1">
        <f t="shared" si="4"/>
        <v>20</v>
      </c>
      <c r="T22" s="1">
        <f t="shared" si="5"/>
        <v>7.8464419475655429</v>
      </c>
      <c r="U22" s="1">
        <v>36.200000000000003</v>
      </c>
      <c r="V22" s="1">
        <v>39.200000000000003</v>
      </c>
      <c r="W22" s="1">
        <v>46.6</v>
      </c>
      <c r="X22" s="1">
        <v>40.4</v>
      </c>
      <c r="Y22" s="1">
        <v>43.2</v>
      </c>
      <c r="Z22" s="1">
        <v>45</v>
      </c>
      <c r="AA22" s="1">
        <v>49.2</v>
      </c>
      <c r="AB22" s="1">
        <v>40</v>
      </c>
      <c r="AC22" s="1" t="s">
        <v>36</v>
      </c>
      <c r="AD22" s="1">
        <f>G22*Q22</f>
        <v>142.78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3">
      <c r="A23" s="1" t="s">
        <v>54</v>
      </c>
      <c r="B23" s="1" t="s">
        <v>35</v>
      </c>
      <c r="C23" s="1">
        <v>95.403999999999996</v>
      </c>
      <c r="D23" s="1">
        <v>45.747999999999998</v>
      </c>
      <c r="E23" s="1">
        <v>20.446000000000002</v>
      </c>
      <c r="F23" s="1">
        <v>70.706000000000003</v>
      </c>
      <c r="G23" s="7">
        <v>1</v>
      </c>
      <c r="H23" s="1">
        <v>40</v>
      </c>
      <c r="I23" s="1" t="s">
        <v>33</v>
      </c>
      <c r="J23" s="1"/>
      <c r="K23" s="1">
        <v>17.8</v>
      </c>
      <c r="L23" s="1">
        <f t="shared" si="2"/>
        <v>2.6460000000000008</v>
      </c>
      <c r="M23" s="1"/>
      <c r="N23" s="1"/>
      <c r="O23" s="1">
        <v>0</v>
      </c>
      <c r="P23" s="1">
        <f t="shared" si="3"/>
        <v>4.0891999999999999</v>
      </c>
      <c r="Q23" s="5"/>
      <c r="R23" s="20"/>
      <c r="S23" s="1">
        <f t="shared" si="4"/>
        <v>17.290912647950702</v>
      </c>
      <c r="T23" s="1">
        <f t="shared" si="5"/>
        <v>17.290912647950702</v>
      </c>
      <c r="U23" s="1">
        <v>7.2516000000000007</v>
      </c>
      <c r="V23" s="1">
        <v>2.1152000000000002</v>
      </c>
      <c r="W23" s="1">
        <v>12.4244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9" t="s">
        <v>41</v>
      </c>
      <c r="AD23" s="1">
        <f>G23*Q23</f>
        <v>0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3">
      <c r="A24" s="11" t="s">
        <v>55</v>
      </c>
      <c r="B24" s="11" t="s">
        <v>32</v>
      </c>
      <c r="C24" s="11">
        <v>224</v>
      </c>
      <c r="D24" s="11">
        <v>7</v>
      </c>
      <c r="E24" s="11">
        <v>4</v>
      </c>
      <c r="F24" s="11">
        <v>220</v>
      </c>
      <c r="G24" s="12">
        <v>0</v>
      </c>
      <c r="H24" s="11">
        <v>45</v>
      </c>
      <c r="I24" s="11" t="s">
        <v>49</v>
      </c>
      <c r="J24" s="11"/>
      <c r="K24" s="11">
        <v>10</v>
      </c>
      <c r="L24" s="11">
        <f t="shared" si="2"/>
        <v>-6</v>
      </c>
      <c r="M24" s="11"/>
      <c r="N24" s="11"/>
      <c r="O24" s="11">
        <v>0</v>
      </c>
      <c r="P24" s="11">
        <f t="shared" si="3"/>
        <v>0.8</v>
      </c>
      <c r="Q24" s="13"/>
      <c r="R24" s="21"/>
      <c r="S24" s="11">
        <f t="shared" si="4"/>
        <v>275</v>
      </c>
      <c r="T24" s="11">
        <f t="shared" si="5"/>
        <v>275</v>
      </c>
      <c r="U24" s="11">
        <v>3.4</v>
      </c>
      <c r="V24" s="11">
        <v>0.6</v>
      </c>
      <c r="W24" s="11">
        <v>6.4</v>
      </c>
      <c r="X24" s="11">
        <v>12.4</v>
      </c>
      <c r="Y24" s="11">
        <v>1.4</v>
      </c>
      <c r="Z24" s="11">
        <v>1</v>
      </c>
      <c r="AA24" s="11">
        <v>0.6</v>
      </c>
      <c r="AB24" s="11">
        <v>5.4</v>
      </c>
      <c r="AC24" s="17" t="s">
        <v>56</v>
      </c>
      <c r="AD24" s="1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3">
      <c r="A25" s="1" t="s">
        <v>57</v>
      </c>
      <c r="B25" s="1" t="s">
        <v>35</v>
      </c>
      <c r="C25" s="1">
        <v>152.46100000000001</v>
      </c>
      <c r="D25" s="1">
        <v>88.447000000000003</v>
      </c>
      <c r="E25" s="1">
        <v>60.703000000000003</v>
      </c>
      <c r="F25" s="1">
        <v>178.84800000000001</v>
      </c>
      <c r="G25" s="7">
        <v>1</v>
      </c>
      <c r="H25" s="1">
        <v>60</v>
      </c>
      <c r="I25" s="1" t="s">
        <v>33</v>
      </c>
      <c r="J25" s="1"/>
      <c r="K25" s="1">
        <v>59.4</v>
      </c>
      <c r="L25" s="1">
        <f t="shared" si="2"/>
        <v>1.3030000000000044</v>
      </c>
      <c r="M25" s="1"/>
      <c r="N25" s="1"/>
      <c r="O25" s="1">
        <v>0</v>
      </c>
      <c r="P25" s="1">
        <f t="shared" si="3"/>
        <v>12.140600000000001</v>
      </c>
      <c r="Q25" s="5"/>
      <c r="R25" s="20"/>
      <c r="S25" s="1">
        <f t="shared" si="4"/>
        <v>14.731397130290102</v>
      </c>
      <c r="T25" s="1">
        <f t="shared" si="5"/>
        <v>14.731397130290102</v>
      </c>
      <c r="U25" s="1">
        <v>8.6478000000000002</v>
      </c>
      <c r="V25" s="1">
        <v>19.2288</v>
      </c>
      <c r="W25" s="1">
        <v>4.0523999999999996</v>
      </c>
      <c r="X25" s="1">
        <v>4.8731999999999998</v>
      </c>
      <c r="Y25" s="1">
        <v>18.799199999999999</v>
      </c>
      <c r="Z25" s="1">
        <v>6.53</v>
      </c>
      <c r="AA25" s="1">
        <v>11.285399999999999</v>
      </c>
      <c r="AB25" s="1">
        <v>11.37</v>
      </c>
      <c r="AC25" s="9" t="s">
        <v>41</v>
      </c>
      <c r="AD25" s="1">
        <f t="shared" ref="AD25:AD31" si="7">G25*Q25</f>
        <v>0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3">
      <c r="A26" s="1" t="s">
        <v>58</v>
      </c>
      <c r="B26" s="1" t="s">
        <v>32</v>
      </c>
      <c r="C26" s="1">
        <v>140</v>
      </c>
      <c r="D26" s="1">
        <v>50</v>
      </c>
      <c r="E26" s="1">
        <v>49</v>
      </c>
      <c r="F26" s="1">
        <v>131</v>
      </c>
      <c r="G26" s="7">
        <v>0.09</v>
      </c>
      <c r="H26" s="1">
        <v>60</v>
      </c>
      <c r="I26" s="1" t="s">
        <v>33</v>
      </c>
      <c r="J26" s="1"/>
      <c r="K26" s="1">
        <v>44</v>
      </c>
      <c r="L26" s="1">
        <f t="shared" si="2"/>
        <v>5</v>
      </c>
      <c r="M26" s="1"/>
      <c r="N26" s="1"/>
      <c r="O26" s="1">
        <v>0</v>
      </c>
      <c r="P26" s="1">
        <f t="shared" si="3"/>
        <v>9.8000000000000007</v>
      </c>
      <c r="Q26" s="5">
        <f>14*P26-O26-F26</f>
        <v>6.2000000000000171</v>
      </c>
      <c r="R26" s="20"/>
      <c r="S26" s="1">
        <f t="shared" si="4"/>
        <v>14</v>
      </c>
      <c r="T26" s="1">
        <f t="shared" si="5"/>
        <v>13.367346938775508</v>
      </c>
      <c r="U26" s="1">
        <v>4</v>
      </c>
      <c r="V26" s="1">
        <v>14.4</v>
      </c>
      <c r="W26" s="1">
        <v>7.8</v>
      </c>
      <c r="X26" s="1">
        <v>14.6</v>
      </c>
      <c r="Y26" s="1">
        <v>14.4</v>
      </c>
      <c r="Z26" s="1">
        <v>9.4</v>
      </c>
      <c r="AA26" s="1">
        <v>11.4</v>
      </c>
      <c r="AB26" s="1">
        <v>12</v>
      </c>
      <c r="AC26" s="1"/>
      <c r="AD26" s="1">
        <f t="shared" si="7"/>
        <v>0.55800000000000149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3">
      <c r="A27" s="1" t="s">
        <v>59</v>
      </c>
      <c r="B27" s="1" t="s">
        <v>32</v>
      </c>
      <c r="C27" s="1">
        <v>156</v>
      </c>
      <c r="D27" s="1">
        <v>100</v>
      </c>
      <c r="E27" s="1">
        <v>73</v>
      </c>
      <c r="F27" s="1">
        <v>161</v>
      </c>
      <c r="G27" s="7">
        <v>0.09</v>
      </c>
      <c r="H27" s="1">
        <v>45</v>
      </c>
      <c r="I27" s="1" t="s">
        <v>33</v>
      </c>
      <c r="J27" s="1"/>
      <c r="K27" s="1">
        <v>75</v>
      </c>
      <c r="L27" s="1">
        <f t="shared" si="2"/>
        <v>-2</v>
      </c>
      <c r="M27" s="1"/>
      <c r="N27" s="1"/>
      <c r="O27" s="1">
        <v>0</v>
      </c>
      <c r="P27" s="1">
        <f t="shared" si="3"/>
        <v>14.6</v>
      </c>
      <c r="Q27" s="5">
        <f>15*P27-O27-F27</f>
        <v>58</v>
      </c>
      <c r="R27" s="20"/>
      <c r="S27" s="1">
        <f t="shared" si="4"/>
        <v>15</v>
      </c>
      <c r="T27" s="1">
        <f t="shared" si="5"/>
        <v>11.027397260273974</v>
      </c>
      <c r="U27" s="1">
        <v>5.6</v>
      </c>
      <c r="V27" s="1">
        <v>14</v>
      </c>
      <c r="W27" s="1">
        <v>24</v>
      </c>
      <c r="X27" s="1">
        <v>9.4</v>
      </c>
      <c r="Y27" s="1">
        <v>20.6</v>
      </c>
      <c r="Z27" s="1">
        <v>11.8</v>
      </c>
      <c r="AA27" s="1">
        <v>11.2</v>
      </c>
      <c r="AB27" s="1">
        <v>7.2</v>
      </c>
      <c r="AC27" s="1"/>
      <c r="AD27" s="1">
        <f t="shared" si="7"/>
        <v>5.22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3">
      <c r="A28" s="1" t="s">
        <v>60</v>
      </c>
      <c r="B28" s="1" t="s">
        <v>32</v>
      </c>
      <c r="C28" s="1">
        <v>144</v>
      </c>
      <c r="D28" s="1">
        <v>148</v>
      </c>
      <c r="E28" s="1">
        <v>66</v>
      </c>
      <c r="F28" s="1">
        <v>221</v>
      </c>
      <c r="G28" s="7">
        <v>0.15</v>
      </c>
      <c r="H28" s="1">
        <v>45</v>
      </c>
      <c r="I28" s="1" t="s">
        <v>33</v>
      </c>
      <c r="J28" s="1"/>
      <c r="K28" s="1">
        <v>68</v>
      </c>
      <c r="L28" s="1">
        <f t="shared" si="2"/>
        <v>-2</v>
      </c>
      <c r="M28" s="1"/>
      <c r="N28" s="1"/>
      <c r="O28" s="1">
        <v>0</v>
      </c>
      <c r="P28" s="1">
        <f t="shared" si="3"/>
        <v>13.2</v>
      </c>
      <c r="Q28" s="5"/>
      <c r="R28" s="20"/>
      <c r="S28" s="1">
        <f t="shared" si="4"/>
        <v>16.742424242424242</v>
      </c>
      <c r="T28" s="1">
        <f t="shared" si="5"/>
        <v>16.742424242424242</v>
      </c>
      <c r="U28" s="1">
        <v>6.2</v>
      </c>
      <c r="V28" s="1">
        <v>13.2</v>
      </c>
      <c r="W28" s="1">
        <v>34.799999999999997</v>
      </c>
      <c r="X28" s="1">
        <v>1.8</v>
      </c>
      <c r="Y28" s="1">
        <v>13.4</v>
      </c>
      <c r="Z28" s="1">
        <v>15.4</v>
      </c>
      <c r="AA28" s="1">
        <v>5.2</v>
      </c>
      <c r="AB28" s="1">
        <v>11.8</v>
      </c>
      <c r="AC28" s="9" t="s">
        <v>41</v>
      </c>
      <c r="AD28" s="1">
        <f t="shared" si="7"/>
        <v>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3">
      <c r="A29" s="1" t="s">
        <v>61</v>
      </c>
      <c r="B29" s="1" t="s">
        <v>35</v>
      </c>
      <c r="C29" s="1">
        <v>216.387</v>
      </c>
      <c r="D29" s="1">
        <v>544.66499999999996</v>
      </c>
      <c r="E29" s="1">
        <v>337.62799999999999</v>
      </c>
      <c r="F29" s="1">
        <v>331.089</v>
      </c>
      <c r="G29" s="7">
        <v>1</v>
      </c>
      <c r="H29" s="1">
        <v>45</v>
      </c>
      <c r="I29" s="1" t="s">
        <v>33</v>
      </c>
      <c r="J29" s="1"/>
      <c r="K29" s="1">
        <v>323.565</v>
      </c>
      <c r="L29" s="1">
        <f t="shared" si="2"/>
        <v>14.062999999999988</v>
      </c>
      <c r="M29" s="1"/>
      <c r="N29" s="1"/>
      <c r="O29" s="1">
        <v>0</v>
      </c>
      <c r="P29" s="1">
        <f t="shared" si="3"/>
        <v>67.525599999999997</v>
      </c>
      <c r="Q29" s="5">
        <f>15*P29-O29-F29</f>
        <v>681.79500000000007</v>
      </c>
      <c r="R29" s="23">
        <v>450</v>
      </c>
      <c r="S29" s="1">
        <f t="shared" si="4"/>
        <v>15</v>
      </c>
      <c r="T29" s="1">
        <f t="shared" si="5"/>
        <v>4.9031626523866505</v>
      </c>
      <c r="U29" s="1">
        <v>39.037400000000012</v>
      </c>
      <c r="V29" s="1">
        <v>59.512199999999993</v>
      </c>
      <c r="W29" s="1">
        <v>62.627200000000002</v>
      </c>
      <c r="X29" s="1">
        <v>30.008800000000001</v>
      </c>
      <c r="Y29" s="1">
        <v>37.003999999999998</v>
      </c>
      <c r="Z29" s="1">
        <v>51.902200000000001</v>
      </c>
      <c r="AA29" s="1">
        <v>56.673999999999999</v>
      </c>
      <c r="AB29" s="1">
        <v>41.094799999999999</v>
      </c>
      <c r="AC29" s="1"/>
      <c r="AD29" s="1">
        <f t="shared" si="7"/>
        <v>681.79500000000007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3">
      <c r="A30" s="1" t="s">
        <v>62</v>
      </c>
      <c r="B30" s="1" t="s">
        <v>32</v>
      </c>
      <c r="C30" s="1">
        <v>176</v>
      </c>
      <c r="D30" s="1">
        <v>11</v>
      </c>
      <c r="E30" s="1">
        <v>71</v>
      </c>
      <c r="F30" s="1">
        <v>91</v>
      </c>
      <c r="G30" s="7">
        <v>0.4</v>
      </c>
      <c r="H30" s="1">
        <v>60</v>
      </c>
      <c r="I30" s="1" t="s">
        <v>33</v>
      </c>
      <c r="J30" s="1"/>
      <c r="K30" s="1">
        <v>74</v>
      </c>
      <c r="L30" s="1">
        <f t="shared" si="2"/>
        <v>-3</v>
      </c>
      <c r="M30" s="1"/>
      <c r="N30" s="1"/>
      <c r="O30" s="1">
        <v>0</v>
      </c>
      <c r="P30" s="1">
        <f t="shared" si="3"/>
        <v>14.2</v>
      </c>
      <c r="Q30" s="5">
        <f>15*P30-O30-F30</f>
        <v>122</v>
      </c>
      <c r="R30" s="20"/>
      <c r="S30" s="1">
        <f t="shared" si="4"/>
        <v>15</v>
      </c>
      <c r="T30" s="1">
        <f t="shared" si="5"/>
        <v>6.408450704225352</v>
      </c>
      <c r="U30" s="1">
        <v>11.4</v>
      </c>
      <c r="V30" s="1">
        <v>4.4000000000000004</v>
      </c>
      <c r="W30" s="1">
        <v>4.8</v>
      </c>
      <c r="X30" s="1">
        <v>20.2</v>
      </c>
      <c r="Y30" s="1">
        <v>9</v>
      </c>
      <c r="Z30" s="1">
        <v>9.1999999999999993</v>
      </c>
      <c r="AA30" s="1">
        <v>12.6</v>
      </c>
      <c r="AB30" s="1">
        <v>6</v>
      </c>
      <c r="AC30" s="1"/>
      <c r="AD30" s="1">
        <f t="shared" si="7"/>
        <v>48.800000000000004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3">
      <c r="A31" s="1" t="s">
        <v>63</v>
      </c>
      <c r="B31" s="1" t="s">
        <v>32</v>
      </c>
      <c r="C31" s="1">
        <v>318</v>
      </c>
      <c r="D31" s="1">
        <v>311</v>
      </c>
      <c r="E31" s="1">
        <v>256</v>
      </c>
      <c r="F31" s="1">
        <v>321</v>
      </c>
      <c r="G31" s="7">
        <v>0.4</v>
      </c>
      <c r="H31" s="1">
        <v>60</v>
      </c>
      <c r="I31" s="1" t="s">
        <v>33</v>
      </c>
      <c r="J31" s="1"/>
      <c r="K31" s="1">
        <v>271</v>
      </c>
      <c r="L31" s="1">
        <f t="shared" si="2"/>
        <v>-15</v>
      </c>
      <c r="M31" s="1"/>
      <c r="N31" s="1"/>
      <c r="O31" s="1">
        <v>85</v>
      </c>
      <c r="P31" s="1">
        <f t="shared" si="3"/>
        <v>51.2</v>
      </c>
      <c r="Q31" s="5">
        <f>15*P31-O31-F31</f>
        <v>362</v>
      </c>
      <c r="R31" s="20"/>
      <c r="S31" s="1">
        <f t="shared" si="4"/>
        <v>15</v>
      </c>
      <c r="T31" s="1">
        <f t="shared" si="5"/>
        <v>7.9296875</v>
      </c>
      <c r="U31" s="1">
        <v>46.2</v>
      </c>
      <c r="V31" s="1">
        <v>56.2</v>
      </c>
      <c r="W31" s="1">
        <v>71.599999999999994</v>
      </c>
      <c r="X31" s="1">
        <v>65.2</v>
      </c>
      <c r="Y31" s="1">
        <v>40.200000000000003</v>
      </c>
      <c r="Z31" s="1">
        <v>72.400000000000006</v>
      </c>
      <c r="AA31" s="1">
        <v>67.400000000000006</v>
      </c>
      <c r="AB31" s="1">
        <v>48.4</v>
      </c>
      <c r="AC31" s="1"/>
      <c r="AD31" s="1">
        <f t="shared" si="7"/>
        <v>144.80000000000001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3">
      <c r="A32" s="11" t="s">
        <v>64</v>
      </c>
      <c r="B32" s="11" t="s">
        <v>32</v>
      </c>
      <c r="C32" s="11">
        <v>-4</v>
      </c>
      <c r="D32" s="11">
        <v>2</v>
      </c>
      <c r="E32" s="18">
        <v>4</v>
      </c>
      <c r="F32" s="18">
        <v>-6</v>
      </c>
      <c r="G32" s="12">
        <v>0</v>
      </c>
      <c r="H32" s="11">
        <v>60</v>
      </c>
      <c r="I32" s="11" t="s">
        <v>49</v>
      </c>
      <c r="J32" s="11" t="s">
        <v>65</v>
      </c>
      <c r="K32" s="11">
        <v>56</v>
      </c>
      <c r="L32" s="11">
        <f t="shared" si="2"/>
        <v>-52</v>
      </c>
      <c r="M32" s="11"/>
      <c r="N32" s="11"/>
      <c r="O32" s="11">
        <v>0</v>
      </c>
      <c r="P32" s="11">
        <f t="shared" si="3"/>
        <v>0.8</v>
      </c>
      <c r="Q32" s="13"/>
      <c r="R32" s="21"/>
      <c r="S32" s="11">
        <f t="shared" si="4"/>
        <v>-7.5</v>
      </c>
      <c r="T32" s="11">
        <f t="shared" si="5"/>
        <v>-7.5</v>
      </c>
      <c r="U32" s="11">
        <v>8.8000000000000007</v>
      </c>
      <c r="V32" s="11">
        <v>42.6</v>
      </c>
      <c r="W32" s="11">
        <v>57</v>
      </c>
      <c r="X32" s="11">
        <v>48.2</v>
      </c>
      <c r="Y32" s="11">
        <v>28.2</v>
      </c>
      <c r="Z32" s="11">
        <v>33.200000000000003</v>
      </c>
      <c r="AA32" s="11">
        <v>67.400000000000006</v>
      </c>
      <c r="AB32" s="11">
        <v>35.200000000000003</v>
      </c>
      <c r="AC32" s="14" t="s">
        <v>66</v>
      </c>
      <c r="AD32" s="1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3">
      <c r="A33" s="1" t="s">
        <v>67</v>
      </c>
      <c r="B33" s="1" t="s">
        <v>32</v>
      </c>
      <c r="C33" s="1">
        <v>380</v>
      </c>
      <c r="D33" s="1">
        <v>327</v>
      </c>
      <c r="E33" s="1">
        <v>230</v>
      </c>
      <c r="F33" s="1">
        <v>157</v>
      </c>
      <c r="G33" s="7">
        <v>0.4</v>
      </c>
      <c r="H33" s="1">
        <v>60</v>
      </c>
      <c r="I33" s="1" t="s">
        <v>33</v>
      </c>
      <c r="J33" s="1"/>
      <c r="K33" s="1">
        <v>242</v>
      </c>
      <c r="L33" s="1">
        <f t="shared" si="2"/>
        <v>-12</v>
      </c>
      <c r="M33" s="1"/>
      <c r="N33" s="1"/>
      <c r="O33" s="1">
        <v>0</v>
      </c>
      <c r="P33" s="1">
        <f t="shared" si="3"/>
        <v>46</v>
      </c>
      <c r="Q33" s="5">
        <f>13*P33-O33-F33</f>
        <v>441</v>
      </c>
      <c r="R33" s="20"/>
      <c r="S33" s="1">
        <f t="shared" si="4"/>
        <v>13</v>
      </c>
      <c r="T33" s="1">
        <f t="shared" si="5"/>
        <v>3.4130434782608696</v>
      </c>
      <c r="U33" s="1">
        <v>34.4</v>
      </c>
      <c r="V33" s="1">
        <v>57</v>
      </c>
      <c r="W33" s="1">
        <v>67.8</v>
      </c>
      <c r="X33" s="1">
        <v>64.599999999999994</v>
      </c>
      <c r="Y33" s="1">
        <v>57.2</v>
      </c>
      <c r="Z33" s="1">
        <v>63.2</v>
      </c>
      <c r="AA33" s="1">
        <v>67.599999999999994</v>
      </c>
      <c r="AB33" s="1">
        <v>52.8</v>
      </c>
      <c r="AC33" s="1"/>
      <c r="AD33" s="1">
        <f>G33*Q33</f>
        <v>176.4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3">
      <c r="A34" s="11" t="s">
        <v>68</v>
      </c>
      <c r="B34" s="11" t="s">
        <v>32</v>
      </c>
      <c r="C34" s="11">
        <v>41</v>
      </c>
      <c r="D34" s="11">
        <v>8</v>
      </c>
      <c r="E34" s="18">
        <v>45</v>
      </c>
      <c r="F34" s="18">
        <v>2</v>
      </c>
      <c r="G34" s="12">
        <v>0</v>
      </c>
      <c r="H34" s="11">
        <v>60</v>
      </c>
      <c r="I34" s="11" t="s">
        <v>49</v>
      </c>
      <c r="J34" s="11" t="s">
        <v>69</v>
      </c>
      <c r="K34" s="11">
        <v>70</v>
      </c>
      <c r="L34" s="11">
        <f t="shared" si="2"/>
        <v>-25</v>
      </c>
      <c r="M34" s="11"/>
      <c r="N34" s="11"/>
      <c r="O34" s="11"/>
      <c r="P34" s="11">
        <f t="shared" si="3"/>
        <v>9</v>
      </c>
      <c r="Q34" s="13"/>
      <c r="R34" s="21"/>
      <c r="S34" s="11">
        <f t="shared" si="4"/>
        <v>0.22222222222222221</v>
      </c>
      <c r="T34" s="11">
        <f t="shared" si="5"/>
        <v>0.22222222222222221</v>
      </c>
      <c r="U34" s="11">
        <v>21.8</v>
      </c>
      <c r="V34" s="11">
        <v>17.600000000000001</v>
      </c>
      <c r="W34" s="11">
        <v>37.6</v>
      </c>
      <c r="X34" s="11">
        <v>23.8</v>
      </c>
      <c r="Y34" s="11">
        <v>15.6</v>
      </c>
      <c r="Z34" s="11">
        <v>20.6</v>
      </c>
      <c r="AA34" s="11">
        <v>38.6</v>
      </c>
      <c r="AB34" s="11">
        <v>20.399999999999999</v>
      </c>
      <c r="AC34" s="14" t="s">
        <v>70</v>
      </c>
      <c r="AD34" s="1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3">
      <c r="A35" s="11" t="s">
        <v>71</v>
      </c>
      <c r="B35" s="11" t="s">
        <v>32</v>
      </c>
      <c r="C35" s="11">
        <v>196</v>
      </c>
      <c r="D35" s="11">
        <v>225</v>
      </c>
      <c r="E35" s="18">
        <v>199</v>
      </c>
      <c r="F35" s="18">
        <v>210</v>
      </c>
      <c r="G35" s="12">
        <v>0</v>
      </c>
      <c r="H35" s="11">
        <v>60</v>
      </c>
      <c r="I35" s="11" t="s">
        <v>49</v>
      </c>
      <c r="J35" s="11" t="s">
        <v>72</v>
      </c>
      <c r="K35" s="11">
        <v>189</v>
      </c>
      <c r="L35" s="11">
        <f t="shared" si="2"/>
        <v>10</v>
      </c>
      <c r="M35" s="11"/>
      <c r="N35" s="11"/>
      <c r="O35" s="15"/>
      <c r="P35" s="11">
        <f t="shared" si="3"/>
        <v>39.799999999999997</v>
      </c>
      <c r="Q35" s="13"/>
      <c r="R35" s="21"/>
      <c r="S35" s="11">
        <f>(F35+O112+Q35)/P35</f>
        <v>8.3417085427135689</v>
      </c>
      <c r="T35" s="11">
        <f>(F35+O112)/P35</f>
        <v>8.3417085427135689</v>
      </c>
      <c r="U35" s="11">
        <v>36</v>
      </c>
      <c r="V35" s="11">
        <v>33.200000000000003</v>
      </c>
      <c r="W35" s="11">
        <v>58.6</v>
      </c>
      <c r="X35" s="11">
        <v>40.799999999999997</v>
      </c>
      <c r="Y35" s="11">
        <v>38.200000000000003</v>
      </c>
      <c r="Z35" s="11">
        <v>25.8</v>
      </c>
      <c r="AA35" s="11">
        <v>52.2</v>
      </c>
      <c r="AB35" s="11">
        <v>24.6</v>
      </c>
      <c r="AC35" s="14" t="s">
        <v>73</v>
      </c>
      <c r="AD35" s="1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3">
      <c r="A36" s="11" t="s">
        <v>74</v>
      </c>
      <c r="B36" s="11" t="s">
        <v>32</v>
      </c>
      <c r="C36" s="11">
        <v>85</v>
      </c>
      <c r="D36" s="11">
        <v>5</v>
      </c>
      <c r="E36" s="18">
        <v>14</v>
      </c>
      <c r="F36" s="18">
        <v>74</v>
      </c>
      <c r="G36" s="12">
        <v>0</v>
      </c>
      <c r="H36" s="11">
        <v>45</v>
      </c>
      <c r="I36" s="11" t="s">
        <v>49</v>
      </c>
      <c r="J36" s="11" t="s">
        <v>75</v>
      </c>
      <c r="K36" s="11">
        <v>16</v>
      </c>
      <c r="L36" s="11">
        <f t="shared" si="2"/>
        <v>-2</v>
      </c>
      <c r="M36" s="11"/>
      <c r="N36" s="11"/>
      <c r="O36" s="11">
        <v>0</v>
      </c>
      <c r="P36" s="11">
        <f t="shared" si="3"/>
        <v>2.8</v>
      </c>
      <c r="Q36" s="13"/>
      <c r="R36" s="21"/>
      <c r="S36" s="11">
        <f t="shared" ref="S36:S67" si="8">(F36+O36+Q36)/P36</f>
        <v>26.428571428571431</v>
      </c>
      <c r="T36" s="11">
        <f t="shared" ref="T36:T67" si="9">(F36+O36)/P36</f>
        <v>26.428571428571431</v>
      </c>
      <c r="U36" s="11">
        <v>3.8</v>
      </c>
      <c r="V36" s="11">
        <v>10.6</v>
      </c>
      <c r="W36" s="11">
        <v>3.2</v>
      </c>
      <c r="X36" s="11">
        <v>-0.6</v>
      </c>
      <c r="Y36" s="11">
        <v>8.1999999999999993</v>
      </c>
      <c r="Z36" s="11">
        <v>1.4</v>
      </c>
      <c r="AA36" s="11">
        <v>1.4</v>
      </c>
      <c r="AB36" s="11">
        <v>2.8</v>
      </c>
      <c r="AC36" s="14" t="s">
        <v>76</v>
      </c>
      <c r="AD36" s="1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3">
      <c r="A37" s="11" t="s">
        <v>77</v>
      </c>
      <c r="B37" s="11" t="s">
        <v>35</v>
      </c>
      <c r="C37" s="11">
        <v>47.969000000000001</v>
      </c>
      <c r="D37" s="11"/>
      <c r="E37" s="11">
        <v>1.1890000000000001</v>
      </c>
      <c r="F37" s="11">
        <v>45.584000000000003</v>
      </c>
      <c r="G37" s="12">
        <v>0</v>
      </c>
      <c r="H37" s="11">
        <v>45</v>
      </c>
      <c r="I37" s="11" t="s">
        <v>49</v>
      </c>
      <c r="J37" s="11"/>
      <c r="K37" s="11">
        <v>3.7</v>
      </c>
      <c r="L37" s="11">
        <f t="shared" si="2"/>
        <v>-2.5110000000000001</v>
      </c>
      <c r="M37" s="11"/>
      <c r="N37" s="11"/>
      <c r="O37" s="11">
        <v>0</v>
      </c>
      <c r="P37" s="11">
        <f t="shared" si="3"/>
        <v>0.23780000000000001</v>
      </c>
      <c r="Q37" s="13"/>
      <c r="R37" s="21"/>
      <c r="S37" s="11">
        <f t="shared" si="8"/>
        <v>191.69049621530698</v>
      </c>
      <c r="T37" s="11">
        <f t="shared" si="9"/>
        <v>191.69049621530698</v>
      </c>
      <c r="U37" s="11">
        <v>1.9172</v>
      </c>
      <c r="V37" s="11">
        <v>0</v>
      </c>
      <c r="W37" s="11">
        <v>1.6779999999999999</v>
      </c>
      <c r="X37" s="11">
        <v>0</v>
      </c>
      <c r="Y37" s="11">
        <v>0.245</v>
      </c>
      <c r="Z37" s="11">
        <v>0</v>
      </c>
      <c r="AA37" s="11">
        <v>0</v>
      </c>
      <c r="AB37" s="11">
        <v>0</v>
      </c>
      <c r="AC37" s="17" t="s">
        <v>56</v>
      </c>
      <c r="AD37" s="1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3">
      <c r="A38" s="1" t="s">
        <v>78</v>
      </c>
      <c r="B38" s="1" t="s">
        <v>32</v>
      </c>
      <c r="C38" s="1">
        <v>343</v>
      </c>
      <c r="D38" s="1">
        <v>308</v>
      </c>
      <c r="E38" s="1">
        <v>245.86</v>
      </c>
      <c r="F38" s="1">
        <v>288</v>
      </c>
      <c r="G38" s="7">
        <v>0.4</v>
      </c>
      <c r="H38" s="1">
        <v>45</v>
      </c>
      <c r="I38" s="1" t="s">
        <v>33</v>
      </c>
      <c r="J38" s="1"/>
      <c r="K38" s="1">
        <v>260</v>
      </c>
      <c r="L38" s="1">
        <f t="shared" ref="L38:L69" si="10">E38-K38</f>
        <v>-14.139999999999986</v>
      </c>
      <c r="M38" s="1"/>
      <c r="N38" s="1"/>
      <c r="O38" s="1">
        <v>0</v>
      </c>
      <c r="P38" s="1">
        <f t="shared" ref="P38:P69" si="11">E38/5</f>
        <v>49.172000000000004</v>
      </c>
      <c r="Q38" s="5">
        <f>15*P38-O38-F38</f>
        <v>449.58000000000004</v>
      </c>
      <c r="R38" s="23">
        <v>300</v>
      </c>
      <c r="S38" s="1">
        <f t="shared" si="8"/>
        <v>15</v>
      </c>
      <c r="T38" s="1">
        <f t="shared" si="9"/>
        <v>5.85699178394208</v>
      </c>
      <c r="U38" s="1">
        <v>3.2</v>
      </c>
      <c r="V38" s="1">
        <v>36.4</v>
      </c>
      <c r="W38" s="1">
        <v>56.8</v>
      </c>
      <c r="X38" s="1">
        <v>33.799999999999997</v>
      </c>
      <c r="Y38" s="1">
        <v>35.6</v>
      </c>
      <c r="Z38" s="1">
        <v>16.600000000000001</v>
      </c>
      <c r="AA38" s="1">
        <v>69</v>
      </c>
      <c r="AB38" s="1">
        <v>28.8</v>
      </c>
      <c r="AC38" s="1"/>
      <c r="AD38" s="1">
        <f>G38*Q38</f>
        <v>179.83200000000002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3">
      <c r="A39" s="1" t="s">
        <v>79</v>
      </c>
      <c r="B39" s="1" t="s">
        <v>32</v>
      </c>
      <c r="C39" s="1">
        <v>106</v>
      </c>
      <c r="D39" s="1">
        <v>13</v>
      </c>
      <c r="E39" s="1">
        <v>-3</v>
      </c>
      <c r="F39" s="1">
        <v>7</v>
      </c>
      <c r="G39" s="7">
        <v>0.3</v>
      </c>
      <c r="H39" s="1">
        <v>45</v>
      </c>
      <c r="I39" s="1" t="s">
        <v>33</v>
      </c>
      <c r="J39" s="1"/>
      <c r="K39" s="1">
        <v>79</v>
      </c>
      <c r="L39" s="1">
        <f t="shared" si="10"/>
        <v>-82</v>
      </c>
      <c r="M39" s="1"/>
      <c r="N39" s="1"/>
      <c r="O39" s="1">
        <v>73</v>
      </c>
      <c r="P39" s="1">
        <f t="shared" si="11"/>
        <v>-0.6</v>
      </c>
      <c r="Q39" s="5"/>
      <c r="R39" s="20"/>
      <c r="S39" s="1">
        <f t="shared" si="8"/>
        <v>-133.33333333333334</v>
      </c>
      <c r="T39" s="1">
        <f t="shared" si="9"/>
        <v>-133.33333333333334</v>
      </c>
      <c r="U39" s="1">
        <v>12.8</v>
      </c>
      <c r="V39" s="1">
        <v>3.4</v>
      </c>
      <c r="W39" s="1">
        <v>8.1999999999999993</v>
      </c>
      <c r="X39" s="1">
        <v>4.2</v>
      </c>
      <c r="Y39" s="1">
        <v>0.2</v>
      </c>
      <c r="Z39" s="1">
        <v>0</v>
      </c>
      <c r="AA39" s="1">
        <v>0</v>
      </c>
      <c r="AB39" s="1">
        <v>0</v>
      </c>
      <c r="AC39" s="1"/>
      <c r="AD39" s="1">
        <f>G39*Q39</f>
        <v>0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3">
      <c r="A40" s="1" t="s">
        <v>80</v>
      </c>
      <c r="B40" s="1" t="s">
        <v>35</v>
      </c>
      <c r="C40" s="1">
        <v>130.20400000000001</v>
      </c>
      <c r="D40" s="1">
        <v>65.793999999999997</v>
      </c>
      <c r="E40" s="1">
        <v>109.651</v>
      </c>
      <c r="F40" s="1">
        <v>8.5869999999999997</v>
      </c>
      <c r="G40" s="7">
        <v>1</v>
      </c>
      <c r="H40" s="1">
        <v>60</v>
      </c>
      <c r="I40" s="1" t="s">
        <v>33</v>
      </c>
      <c r="J40" s="1"/>
      <c r="K40" s="1">
        <v>113</v>
      </c>
      <c r="L40" s="1">
        <f t="shared" si="10"/>
        <v>-3.3490000000000038</v>
      </c>
      <c r="M40" s="1"/>
      <c r="N40" s="1"/>
      <c r="O40" s="1">
        <v>0</v>
      </c>
      <c r="P40" s="1">
        <f t="shared" si="11"/>
        <v>21.930199999999999</v>
      </c>
      <c r="Q40" s="5">
        <f>10*P40-O40-F40</f>
        <v>210.715</v>
      </c>
      <c r="R40" s="20"/>
      <c r="S40" s="1">
        <f t="shared" si="8"/>
        <v>10</v>
      </c>
      <c r="T40" s="1">
        <f t="shared" si="9"/>
        <v>0.39156049648430019</v>
      </c>
      <c r="U40" s="1">
        <v>12.358000000000001</v>
      </c>
      <c r="V40" s="1">
        <v>16.8752</v>
      </c>
      <c r="W40" s="1">
        <v>20.814599999999999</v>
      </c>
      <c r="X40" s="1">
        <v>3.6019999999999999</v>
      </c>
      <c r="Y40" s="1">
        <v>20.556999999999999</v>
      </c>
      <c r="Z40" s="1">
        <v>16.373200000000001</v>
      </c>
      <c r="AA40" s="1">
        <v>10.4732</v>
      </c>
      <c r="AB40" s="1">
        <v>14.219799999999999</v>
      </c>
      <c r="AC40" s="1"/>
      <c r="AD40" s="1">
        <f>G40*Q40</f>
        <v>210.715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3">
      <c r="A41" s="1" t="s">
        <v>81</v>
      </c>
      <c r="B41" s="1" t="s">
        <v>35</v>
      </c>
      <c r="C41" s="1">
        <v>156.292</v>
      </c>
      <c r="D41" s="1">
        <v>137.50700000000001</v>
      </c>
      <c r="E41" s="1">
        <v>96.058999999999997</v>
      </c>
      <c r="F41" s="1">
        <v>129.25800000000001</v>
      </c>
      <c r="G41" s="7">
        <v>1</v>
      </c>
      <c r="H41" s="1">
        <v>45</v>
      </c>
      <c r="I41" s="1" t="s">
        <v>33</v>
      </c>
      <c r="J41" s="1"/>
      <c r="K41" s="1">
        <v>103</v>
      </c>
      <c r="L41" s="1">
        <f t="shared" si="10"/>
        <v>-6.9410000000000025</v>
      </c>
      <c r="M41" s="1"/>
      <c r="N41" s="1"/>
      <c r="O41" s="1">
        <v>0</v>
      </c>
      <c r="P41" s="1">
        <f t="shared" si="11"/>
        <v>19.2118</v>
      </c>
      <c r="Q41" s="5">
        <f>15*P41-O41-F41</f>
        <v>158.91900000000001</v>
      </c>
      <c r="R41" s="20"/>
      <c r="S41" s="1">
        <f t="shared" si="8"/>
        <v>15.000000000000002</v>
      </c>
      <c r="T41" s="1">
        <f t="shared" si="9"/>
        <v>6.7280525510363427</v>
      </c>
      <c r="U41" s="1">
        <v>11.6172</v>
      </c>
      <c r="V41" s="1">
        <v>8.0947999999999993</v>
      </c>
      <c r="W41" s="1">
        <v>26.728999999999999</v>
      </c>
      <c r="X41" s="1">
        <v>16.625599999999999</v>
      </c>
      <c r="Y41" s="1">
        <v>14.937200000000001</v>
      </c>
      <c r="Z41" s="1">
        <v>18.5396</v>
      </c>
      <c r="AA41" s="1">
        <v>19.953600000000002</v>
      </c>
      <c r="AB41" s="1">
        <v>17.642199999999999</v>
      </c>
      <c r="AC41" s="1"/>
      <c r="AD41" s="1">
        <f>G41*Q41</f>
        <v>158.91900000000001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3">
      <c r="A42" s="1" t="s">
        <v>82</v>
      </c>
      <c r="B42" s="1" t="s">
        <v>35</v>
      </c>
      <c r="C42" s="1">
        <v>174.16300000000001</v>
      </c>
      <c r="D42" s="1">
        <v>99.956999999999994</v>
      </c>
      <c r="E42" s="1">
        <v>141.21</v>
      </c>
      <c r="F42" s="1">
        <v>96.058000000000007</v>
      </c>
      <c r="G42" s="7">
        <v>1</v>
      </c>
      <c r="H42" s="1">
        <v>45</v>
      </c>
      <c r="I42" s="1" t="s">
        <v>33</v>
      </c>
      <c r="J42" s="1"/>
      <c r="K42" s="1">
        <v>141.66300000000001</v>
      </c>
      <c r="L42" s="1">
        <f t="shared" si="10"/>
        <v>-0.45300000000000296</v>
      </c>
      <c r="M42" s="1"/>
      <c r="N42" s="1"/>
      <c r="O42" s="1">
        <v>52</v>
      </c>
      <c r="P42" s="1">
        <f t="shared" si="11"/>
        <v>28.242000000000001</v>
      </c>
      <c r="Q42" s="5">
        <f>15*P42-O42-F42</f>
        <v>275.572</v>
      </c>
      <c r="R42" s="20"/>
      <c r="S42" s="1">
        <f t="shared" si="8"/>
        <v>15</v>
      </c>
      <c r="T42" s="1">
        <f t="shared" si="9"/>
        <v>5.242475745343814</v>
      </c>
      <c r="U42" s="1">
        <v>19.793800000000001</v>
      </c>
      <c r="V42" s="1">
        <v>15.770799999999999</v>
      </c>
      <c r="W42" s="1">
        <v>27.8246</v>
      </c>
      <c r="X42" s="1">
        <v>26.491800000000001</v>
      </c>
      <c r="Y42" s="1">
        <v>19.845199999999998</v>
      </c>
      <c r="Z42" s="1">
        <v>21.102599999999999</v>
      </c>
      <c r="AA42" s="1">
        <v>20.839200000000002</v>
      </c>
      <c r="AB42" s="1">
        <v>14.5502</v>
      </c>
      <c r="AC42" s="1"/>
      <c r="AD42" s="1">
        <f>G42*Q42</f>
        <v>275.572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3">
      <c r="A43" s="11" t="s">
        <v>83</v>
      </c>
      <c r="B43" s="11" t="s">
        <v>32</v>
      </c>
      <c r="C43" s="11">
        <v>27</v>
      </c>
      <c r="D43" s="11">
        <v>24</v>
      </c>
      <c r="E43" s="11">
        <v>29</v>
      </c>
      <c r="F43" s="11">
        <v>13</v>
      </c>
      <c r="G43" s="12">
        <v>0</v>
      </c>
      <c r="H43" s="11">
        <v>45</v>
      </c>
      <c r="I43" s="11" t="s">
        <v>49</v>
      </c>
      <c r="J43" s="11"/>
      <c r="K43" s="11">
        <v>28</v>
      </c>
      <c r="L43" s="11">
        <f t="shared" si="10"/>
        <v>1</v>
      </c>
      <c r="M43" s="11"/>
      <c r="N43" s="11"/>
      <c r="O43" s="11">
        <v>0</v>
      </c>
      <c r="P43" s="11">
        <f t="shared" si="11"/>
        <v>5.8</v>
      </c>
      <c r="Q43" s="13"/>
      <c r="R43" s="21"/>
      <c r="S43" s="11">
        <f t="shared" si="8"/>
        <v>2.2413793103448278</v>
      </c>
      <c r="T43" s="11">
        <f t="shared" si="9"/>
        <v>2.2413793103448278</v>
      </c>
      <c r="U43" s="11">
        <v>1</v>
      </c>
      <c r="V43" s="11">
        <v>3.4</v>
      </c>
      <c r="W43" s="11">
        <v>5.6</v>
      </c>
      <c r="X43" s="11">
        <v>4.2</v>
      </c>
      <c r="Y43" s="11">
        <v>5</v>
      </c>
      <c r="Z43" s="11">
        <v>4</v>
      </c>
      <c r="AA43" s="11">
        <v>4</v>
      </c>
      <c r="AB43" s="11">
        <v>5.4</v>
      </c>
      <c r="AC43" s="11"/>
      <c r="AD43" s="1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3">
      <c r="A44" s="1" t="s">
        <v>84</v>
      </c>
      <c r="B44" s="1" t="s">
        <v>35</v>
      </c>
      <c r="C44" s="1">
        <v>39.909999999999997</v>
      </c>
      <c r="D44" s="1">
        <v>129.37299999999999</v>
      </c>
      <c r="E44" s="1">
        <v>97.718999999999994</v>
      </c>
      <c r="F44" s="1">
        <v>50.743000000000002</v>
      </c>
      <c r="G44" s="7">
        <v>1</v>
      </c>
      <c r="H44" s="1">
        <v>45</v>
      </c>
      <c r="I44" s="1" t="s">
        <v>33</v>
      </c>
      <c r="J44" s="1"/>
      <c r="K44" s="1">
        <v>101.8</v>
      </c>
      <c r="L44" s="1">
        <f t="shared" si="10"/>
        <v>-4.0810000000000031</v>
      </c>
      <c r="M44" s="1"/>
      <c r="N44" s="1"/>
      <c r="O44" s="1">
        <v>99</v>
      </c>
      <c r="P44" s="1">
        <f t="shared" si="11"/>
        <v>19.543799999999997</v>
      </c>
      <c r="Q44" s="5">
        <f t="shared" ref="Q44:Q49" si="12">15*P44-O44-F44</f>
        <v>143.41399999999999</v>
      </c>
      <c r="R44" s="20"/>
      <c r="S44" s="1">
        <f t="shared" si="8"/>
        <v>15.000000000000002</v>
      </c>
      <c r="T44" s="1">
        <f t="shared" si="9"/>
        <v>7.6619183577400509</v>
      </c>
      <c r="U44" s="1">
        <v>16.501799999999999</v>
      </c>
      <c r="V44" s="1">
        <v>15.445600000000001</v>
      </c>
      <c r="W44" s="1">
        <v>13.050800000000001</v>
      </c>
      <c r="X44" s="1">
        <v>15.378399999999999</v>
      </c>
      <c r="Y44" s="1">
        <v>16.527000000000001</v>
      </c>
      <c r="Z44" s="1">
        <v>13.536799999999999</v>
      </c>
      <c r="AA44" s="1">
        <v>16.508800000000001</v>
      </c>
      <c r="AB44" s="1">
        <v>15.13</v>
      </c>
      <c r="AC44" s="1"/>
      <c r="AD44" s="1">
        <f t="shared" ref="AD44:AD54" si="13">G44*Q44</f>
        <v>143.41399999999999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3">
      <c r="A45" s="1" t="s">
        <v>85</v>
      </c>
      <c r="B45" s="1" t="s">
        <v>32</v>
      </c>
      <c r="C45" s="1">
        <v>507</v>
      </c>
      <c r="D45" s="1">
        <v>34</v>
      </c>
      <c r="E45" s="1">
        <v>268</v>
      </c>
      <c r="F45" s="1">
        <v>255</v>
      </c>
      <c r="G45" s="7">
        <v>0.3</v>
      </c>
      <c r="H45" s="1">
        <v>45</v>
      </c>
      <c r="I45" s="1" t="s">
        <v>33</v>
      </c>
      <c r="J45" s="1"/>
      <c r="K45" s="1">
        <v>264</v>
      </c>
      <c r="L45" s="1">
        <f t="shared" si="10"/>
        <v>4</v>
      </c>
      <c r="M45" s="1"/>
      <c r="N45" s="1"/>
      <c r="O45" s="1">
        <v>90</v>
      </c>
      <c r="P45" s="1">
        <f t="shared" si="11"/>
        <v>53.6</v>
      </c>
      <c r="Q45" s="5">
        <f t="shared" si="12"/>
        <v>459</v>
      </c>
      <c r="R45" s="20"/>
      <c r="S45" s="1">
        <f t="shared" si="8"/>
        <v>15</v>
      </c>
      <c r="T45" s="1">
        <f t="shared" si="9"/>
        <v>6.4365671641791042</v>
      </c>
      <c r="U45" s="1">
        <v>41.2</v>
      </c>
      <c r="V45" s="1">
        <v>35.799999999999997</v>
      </c>
      <c r="W45" s="1">
        <v>64.8</v>
      </c>
      <c r="X45" s="1">
        <v>75.8</v>
      </c>
      <c r="Y45" s="1">
        <v>57.2</v>
      </c>
      <c r="Z45" s="1">
        <v>53.4</v>
      </c>
      <c r="AA45" s="1">
        <v>77</v>
      </c>
      <c r="AB45" s="1">
        <v>47.8</v>
      </c>
      <c r="AC45" s="1"/>
      <c r="AD45" s="1">
        <f t="shared" si="13"/>
        <v>137.69999999999999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3">
      <c r="A46" s="1" t="s">
        <v>86</v>
      </c>
      <c r="B46" s="1" t="s">
        <v>35</v>
      </c>
      <c r="C46" s="1">
        <v>246.624</v>
      </c>
      <c r="D46" s="1">
        <v>14.029</v>
      </c>
      <c r="E46" s="1">
        <v>95.042000000000002</v>
      </c>
      <c r="F46" s="1">
        <v>148.47900000000001</v>
      </c>
      <c r="G46" s="7">
        <v>1</v>
      </c>
      <c r="H46" s="1">
        <v>45</v>
      </c>
      <c r="I46" s="1" t="s">
        <v>33</v>
      </c>
      <c r="J46" s="1"/>
      <c r="K46" s="1">
        <v>94.8</v>
      </c>
      <c r="L46" s="1">
        <f t="shared" si="10"/>
        <v>0.24200000000000443</v>
      </c>
      <c r="M46" s="1"/>
      <c r="N46" s="1"/>
      <c r="O46" s="1">
        <v>0</v>
      </c>
      <c r="P46" s="1">
        <f t="shared" si="11"/>
        <v>19.008400000000002</v>
      </c>
      <c r="Q46" s="5">
        <f t="shared" si="12"/>
        <v>136.64700000000002</v>
      </c>
      <c r="R46" s="20"/>
      <c r="S46" s="1">
        <f t="shared" si="8"/>
        <v>15</v>
      </c>
      <c r="T46" s="1">
        <f t="shared" si="9"/>
        <v>7.8112308242671658</v>
      </c>
      <c r="U46" s="1">
        <v>13.199</v>
      </c>
      <c r="V46" s="1">
        <v>7.4875999999999996</v>
      </c>
      <c r="W46" s="1">
        <v>18.929200000000002</v>
      </c>
      <c r="X46" s="1">
        <v>23.3964</v>
      </c>
      <c r="Y46" s="1">
        <v>8.8699999999999992</v>
      </c>
      <c r="Z46" s="1">
        <v>15.527799999999999</v>
      </c>
      <c r="AA46" s="1">
        <v>14.678599999999999</v>
      </c>
      <c r="AB46" s="1">
        <v>9.5939999999999994</v>
      </c>
      <c r="AC46" s="1"/>
      <c r="AD46" s="1">
        <f t="shared" si="13"/>
        <v>136.64700000000002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3">
      <c r="A47" s="1" t="s">
        <v>87</v>
      </c>
      <c r="B47" s="1" t="s">
        <v>32</v>
      </c>
      <c r="C47" s="1">
        <v>366</v>
      </c>
      <c r="D47" s="1">
        <v>425</v>
      </c>
      <c r="E47" s="1">
        <v>421</v>
      </c>
      <c r="F47" s="1">
        <v>283.2</v>
      </c>
      <c r="G47" s="7">
        <v>0.35</v>
      </c>
      <c r="H47" s="1">
        <v>45</v>
      </c>
      <c r="I47" s="1" t="s">
        <v>33</v>
      </c>
      <c r="J47" s="1"/>
      <c r="K47" s="1">
        <v>437</v>
      </c>
      <c r="L47" s="1">
        <f t="shared" si="10"/>
        <v>-16</v>
      </c>
      <c r="M47" s="1"/>
      <c r="N47" s="1"/>
      <c r="O47" s="1">
        <v>207</v>
      </c>
      <c r="P47" s="1">
        <f t="shared" si="11"/>
        <v>84.2</v>
      </c>
      <c r="Q47" s="5">
        <f t="shared" si="12"/>
        <v>772.8</v>
      </c>
      <c r="R47" s="20"/>
      <c r="S47" s="1">
        <f t="shared" si="8"/>
        <v>15</v>
      </c>
      <c r="T47" s="1">
        <f t="shared" si="9"/>
        <v>5.8218527315914486</v>
      </c>
      <c r="U47" s="1">
        <v>64</v>
      </c>
      <c r="V47" s="1">
        <v>66.400000000000006</v>
      </c>
      <c r="W47" s="1">
        <v>97</v>
      </c>
      <c r="X47" s="1">
        <v>35.4</v>
      </c>
      <c r="Y47" s="1">
        <v>90.2</v>
      </c>
      <c r="Z47" s="1">
        <v>96.6</v>
      </c>
      <c r="AA47" s="1">
        <v>73.599999999999994</v>
      </c>
      <c r="AB47" s="1">
        <v>73.8</v>
      </c>
      <c r="AC47" s="1"/>
      <c r="AD47" s="1">
        <f t="shared" si="13"/>
        <v>270.47999999999996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3">
      <c r="A48" s="1" t="s">
        <v>88</v>
      </c>
      <c r="B48" s="1" t="s">
        <v>32</v>
      </c>
      <c r="C48" s="1">
        <v>338</v>
      </c>
      <c r="D48" s="1">
        <v>292</v>
      </c>
      <c r="E48" s="1">
        <v>222</v>
      </c>
      <c r="F48" s="1">
        <v>68</v>
      </c>
      <c r="G48" s="7">
        <v>0.41</v>
      </c>
      <c r="H48" s="1">
        <v>45</v>
      </c>
      <c r="I48" s="1" t="s">
        <v>33</v>
      </c>
      <c r="J48" s="1"/>
      <c r="K48" s="1">
        <v>242</v>
      </c>
      <c r="L48" s="1">
        <f t="shared" si="10"/>
        <v>-20</v>
      </c>
      <c r="M48" s="1"/>
      <c r="N48" s="1"/>
      <c r="O48" s="1">
        <v>0</v>
      </c>
      <c r="P48" s="1">
        <f t="shared" si="11"/>
        <v>44.4</v>
      </c>
      <c r="Q48" s="5">
        <f>12*P48-O48-F48</f>
        <v>464.79999999999995</v>
      </c>
      <c r="R48" s="20"/>
      <c r="S48" s="1">
        <f t="shared" si="8"/>
        <v>12</v>
      </c>
      <c r="T48" s="1">
        <f t="shared" si="9"/>
        <v>1.5315315315315317</v>
      </c>
      <c r="U48" s="1">
        <v>27.8</v>
      </c>
      <c r="V48" s="1">
        <v>50.4</v>
      </c>
      <c r="W48" s="1">
        <v>57.6</v>
      </c>
      <c r="X48" s="1">
        <v>51</v>
      </c>
      <c r="Y48" s="1">
        <v>42.2</v>
      </c>
      <c r="Z48" s="1">
        <v>35.6</v>
      </c>
      <c r="AA48" s="1">
        <v>66.8</v>
      </c>
      <c r="AB48" s="1">
        <v>32.6</v>
      </c>
      <c r="AC48" s="1"/>
      <c r="AD48" s="1">
        <f t="shared" si="13"/>
        <v>190.56799999999998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3">
      <c r="A49" s="1" t="s">
        <v>89</v>
      </c>
      <c r="B49" s="1" t="s">
        <v>32</v>
      </c>
      <c r="C49" s="1">
        <v>239</v>
      </c>
      <c r="D49" s="1">
        <v>259</v>
      </c>
      <c r="E49" s="1">
        <v>219</v>
      </c>
      <c r="F49" s="1">
        <v>270</v>
      </c>
      <c r="G49" s="7">
        <v>0.41</v>
      </c>
      <c r="H49" s="1">
        <v>45</v>
      </c>
      <c r="I49" s="1" t="s">
        <v>33</v>
      </c>
      <c r="J49" s="1"/>
      <c r="K49" s="1">
        <v>214</v>
      </c>
      <c r="L49" s="1">
        <f t="shared" si="10"/>
        <v>5</v>
      </c>
      <c r="M49" s="1"/>
      <c r="N49" s="1"/>
      <c r="O49" s="1">
        <v>0</v>
      </c>
      <c r="P49" s="1">
        <f t="shared" si="11"/>
        <v>43.8</v>
      </c>
      <c r="Q49" s="5">
        <f t="shared" si="12"/>
        <v>387</v>
      </c>
      <c r="R49" s="20"/>
      <c r="S49" s="1">
        <f t="shared" si="8"/>
        <v>15.000000000000002</v>
      </c>
      <c r="T49" s="1">
        <f t="shared" si="9"/>
        <v>6.1643835616438363</v>
      </c>
      <c r="U49" s="1">
        <v>18</v>
      </c>
      <c r="V49" s="1">
        <v>38.799999999999997</v>
      </c>
      <c r="W49" s="1">
        <v>53</v>
      </c>
      <c r="X49" s="1">
        <v>5.2</v>
      </c>
      <c r="Y49" s="1">
        <v>33.799999999999997</v>
      </c>
      <c r="Z49" s="1">
        <v>31.8</v>
      </c>
      <c r="AA49" s="1">
        <v>10.4</v>
      </c>
      <c r="AB49" s="1">
        <v>24</v>
      </c>
      <c r="AC49" s="1"/>
      <c r="AD49" s="1">
        <f t="shared" si="13"/>
        <v>158.66999999999999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3">
      <c r="A50" s="1" t="s">
        <v>90</v>
      </c>
      <c r="B50" s="1" t="s">
        <v>32</v>
      </c>
      <c r="C50" s="1">
        <v>96</v>
      </c>
      <c r="D50" s="1">
        <v>288</v>
      </c>
      <c r="E50" s="1">
        <v>222</v>
      </c>
      <c r="F50" s="1">
        <v>138</v>
      </c>
      <c r="G50" s="7">
        <v>0.36</v>
      </c>
      <c r="H50" s="1">
        <v>45</v>
      </c>
      <c r="I50" s="1" t="s">
        <v>33</v>
      </c>
      <c r="J50" s="1"/>
      <c r="K50" s="1">
        <v>238</v>
      </c>
      <c r="L50" s="1">
        <f t="shared" si="10"/>
        <v>-16</v>
      </c>
      <c r="M50" s="1"/>
      <c r="N50" s="1"/>
      <c r="O50" s="1">
        <v>0</v>
      </c>
      <c r="P50" s="1">
        <f t="shared" si="11"/>
        <v>44.4</v>
      </c>
      <c r="Q50" s="5">
        <f>13*P50-O50-F50</f>
        <v>439.19999999999993</v>
      </c>
      <c r="R50" s="20"/>
      <c r="S50" s="1">
        <f t="shared" si="8"/>
        <v>12.999999999999998</v>
      </c>
      <c r="T50" s="1">
        <f t="shared" si="9"/>
        <v>3.1081081081081083</v>
      </c>
      <c r="U50" s="1">
        <v>4</v>
      </c>
      <c r="V50" s="1">
        <v>26.6</v>
      </c>
      <c r="W50" s="1">
        <v>24</v>
      </c>
      <c r="X50" s="1">
        <v>20.399999999999999</v>
      </c>
      <c r="Y50" s="1">
        <v>23.2</v>
      </c>
      <c r="Z50" s="1">
        <v>10.199999999999999</v>
      </c>
      <c r="AA50" s="1">
        <v>27</v>
      </c>
      <c r="AB50" s="1">
        <v>15</v>
      </c>
      <c r="AC50" s="1"/>
      <c r="AD50" s="1">
        <f t="shared" si="13"/>
        <v>158.11199999999997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3">
      <c r="A51" s="1" t="s">
        <v>91</v>
      </c>
      <c r="B51" s="1" t="s">
        <v>32</v>
      </c>
      <c r="C51" s="1">
        <v>55</v>
      </c>
      <c r="D51" s="1">
        <v>56</v>
      </c>
      <c r="E51" s="1">
        <v>19</v>
      </c>
      <c r="F51" s="1">
        <v>86</v>
      </c>
      <c r="G51" s="7">
        <v>0.33</v>
      </c>
      <c r="H51" s="1">
        <v>45</v>
      </c>
      <c r="I51" s="1" t="s">
        <v>33</v>
      </c>
      <c r="J51" s="1"/>
      <c r="K51" s="1">
        <v>19</v>
      </c>
      <c r="L51" s="1">
        <f t="shared" si="10"/>
        <v>0</v>
      </c>
      <c r="M51" s="1"/>
      <c r="N51" s="1"/>
      <c r="O51" s="1">
        <v>0</v>
      </c>
      <c r="P51" s="1">
        <f t="shared" si="11"/>
        <v>3.8</v>
      </c>
      <c r="Q51" s="5"/>
      <c r="R51" s="20"/>
      <c r="S51" s="1">
        <f t="shared" si="8"/>
        <v>22.631578947368421</v>
      </c>
      <c r="T51" s="1">
        <f t="shared" si="9"/>
        <v>22.631578947368421</v>
      </c>
      <c r="U51" s="1">
        <v>3.2</v>
      </c>
      <c r="V51" s="1">
        <v>5.8</v>
      </c>
      <c r="W51" s="1">
        <v>13</v>
      </c>
      <c r="X51" s="1">
        <v>1.8</v>
      </c>
      <c r="Y51" s="1">
        <v>-0.4</v>
      </c>
      <c r="Z51" s="1">
        <v>5.4</v>
      </c>
      <c r="AA51" s="1">
        <v>0.2</v>
      </c>
      <c r="AB51" s="1">
        <v>1</v>
      </c>
      <c r="AC51" s="10" t="s">
        <v>92</v>
      </c>
      <c r="AD51" s="1">
        <f t="shared" si="13"/>
        <v>0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3">
      <c r="A52" s="1" t="s">
        <v>93</v>
      </c>
      <c r="B52" s="1" t="s">
        <v>32</v>
      </c>
      <c r="C52" s="1">
        <v>101</v>
      </c>
      <c r="D52" s="1">
        <v>2</v>
      </c>
      <c r="E52" s="1">
        <v>70</v>
      </c>
      <c r="F52" s="1">
        <v>26</v>
      </c>
      <c r="G52" s="7">
        <v>0.4</v>
      </c>
      <c r="H52" s="1">
        <v>60</v>
      </c>
      <c r="I52" s="1" t="s">
        <v>33</v>
      </c>
      <c r="J52" s="1"/>
      <c r="K52" s="1">
        <v>68</v>
      </c>
      <c r="L52" s="1">
        <f t="shared" si="10"/>
        <v>2</v>
      </c>
      <c r="M52" s="1"/>
      <c r="N52" s="1"/>
      <c r="O52" s="1">
        <v>94</v>
      </c>
      <c r="P52" s="1">
        <f t="shared" si="11"/>
        <v>14</v>
      </c>
      <c r="Q52" s="5">
        <f>15*P52-O52-F52</f>
        <v>90</v>
      </c>
      <c r="R52" s="20"/>
      <c r="S52" s="1">
        <f t="shared" si="8"/>
        <v>15</v>
      </c>
      <c r="T52" s="1">
        <f t="shared" si="9"/>
        <v>8.5714285714285712</v>
      </c>
      <c r="U52" s="1">
        <v>13</v>
      </c>
      <c r="V52" s="1">
        <v>8.4</v>
      </c>
      <c r="W52" s="1">
        <v>6.4</v>
      </c>
      <c r="X52" s="1">
        <v>15</v>
      </c>
      <c r="Y52" s="1">
        <v>11.6</v>
      </c>
      <c r="Z52" s="1">
        <v>1</v>
      </c>
      <c r="AA52" s="1">
        <v>0</v>
      </c>
      <c r="AB52" s="1">
        <v>0</v>
      </c>
      <c r="AC52" s="1"/>
      <c r="AD52" s="1">
        <f t="shared" si="13"/>
        <v>36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3">
      <c r="A53" s="1" t="s">
        <v>94</v>
      </c>
      <c r="B53" s="1" t="s">
        <v>32</v>
      </c>
      <c r="C53" s="1">
        <v>128</v>
      </c>
      <c r="D53" s="1">
        <v>96</v>
      </c>
      <c r="E53" s="1">
        <v>27</v>
      </c>
      <c r="F53" s="1">
        <v>186</v>
      </c>
      <c r="G53" s="7">
        <v>0.33</v>
      </c>
      <c r="H53" s="1">
        <v>45</v>
      </c>
      <c r="I53" s="1" t="s">
        <v>33</v>
      </c>
      <c r="J53" s="1"/>
      <c r="K53" s="1">
        <v>27</v>
      </c>
      <c r="L53" s="1">
        <f t="shared" si="10"/>
        <v>0</v>
      </c>
      <c r="M53" s="1"/>
      <c r="N53" s="1"/>
      <c r="O53" s="1">
        <v>0</v>
      </c>
      <c r="P53" s="1">
        <f t="shared" si="11"/>
        <v>5.4</v>
      </c>
      <c r="Q53" s="5"/>
      <c r="R53" s="20"/>
      <c r="S53" s="1">
        <f t="shared" si="8"/>
        <v>34.444444444444443</v>
      </c>
      <c r="T53" s="1">
        <f t="shared" si="9"/>
        <v>34.444444444444443</v>
      </c>
      <c r="U53" s="1">
        <v>5.4</v>
      </c>
      <c r="V53" s="1">
        <v>10.6</v>
      </c>
      <c r="W53" s="1">
        <v>22.4</v>
      </c>
      <c r="X53" s="1">
        <v>4.2</v>
      </c>
      <c r="Y53" s="1">
        <v>13.2</v>
      </c>
      <c r="Z53" s="1">
        <v>13.8</v>
      </c>
      <c r="AA53" s="1">
        <v>2</v>
      </c>
      <c r="AB53" s="1">
        <v>3.4</v>
      </c>
      <c r="AC53" s="16" t="s">
        <v>56</v>
      </c>
      <c r="AD53" s="1">
        <f t="shared" si="13"/>
        <v>0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3">
      <c r="A54" s="1" t="s">
        <v>95</v>
      </c>
      <c r="B54" s="1" t="s">
        <v>35</v>
      </c>
      <c r="C54" s="1">
        <v>207.03800000000001</v>
      </c>
      <c r="D54" s="1">
        <v>745.09699999999998</v>
      </c>
      <c r="E54" s="1">
        <v>456.12</v>
      </c>
      <c r="F54" s="1">
        <v>303.13</v>
      </c>
      <c r="G54" s="7">
        <v>1</v>
      </c>
      <c r="H54" s="1">
        <v>45</v>
      </c>
      <c r="I54" s="1" t="s">
        <v>33</v>
      </c>
      <c r="J54" s="1"/>
      <c r="K54" s="1">
        <v>447.76100000000002</v>
      </c>
      <c r="L54" s="1">
        <f t="shared" si="10"/>
        <v>8.3589999999999804</v>
      </c>
      <c r="M54" s="1"/>
      <c r="N54" s="1"/>
      <c r="O54" s="1">
        <v>284</v>
      </c>
      <c r="P54" s="1">
        <f t="shared" si="11"/>
        <v>91.224000000000004</v>
      </c>
      <c r="Q54" s="5">
        <f>15*P54-O54-F54</f>
        <v>781.23000000000013</v>
      </c>
      <c r="R54" s="20"/>
      <c r="S54" s="1">
        <f t="shared" si="8"/>
        <v>15</v>
      </c>
      <c r="T54" s="1">
        <f t="shared" si="9"/>
        <v>6.4361352275716914</v>
      </c>
      <c r="U54" s="1">
        <v>74.652200000000008</v>
      </c>
      <c r="V54" s="1">
        <v>81.558999999999997</v>
      </c>
      <c r="W54" s="1">
        <v>91.169399999999996</v>
      </c>
      <c r="X54" s="1">
        <v>78.173599999999993</v>
      </c>
      <c r="Y54" s="1">
        <v>86.486199999999997</v>
      </c>
      <c r="Z54" s="1">
        <v>76.927999999999997</v>
      </c>
      <c r="AA54" s="1">
        <v>77.873199999999997</v>
      </c>
      <c r="AB54" s="1">
        <v>66.671400000000006</v>
      </c>
      <c r="AC54" s="1"/>
      <c r="AD54" s="1">
        <f t="shared" si="13"/>
        <v>781.23000000000013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3">
      <c r="A55" s="11" t="s">
        <v>96</v>
      </c>
      <c r="B55" s="11" t="s">
        <v>32</v>
      </c>
      <c r="C55" s="11">
        <v>-1</v>
      </c>
      <c r="D55" s="11"/>
      <c r="E55" s="11">
        <v>-1</v>
      </c>
      <c r="F55" s="11">
        <v>-1</v>
      </c>
      <c r="G55" s="12">
        <v>0</v>
      </c>
      <c r="H55" s="11">
        <v>60</v>
      </c>
      <c r="I55" s="11" t="s">
        <v>49</v>
      </c>
      <c r="J55" s="11"/>
      <c r="K55" s="11">
        <v>12</v>
      </c>
      <c r="L55" s="11">
        <f t="shared" si="10"/>
        <v>-13</v>
      </c>
      <c r="M55" s="11"/>
      <c r="N55" s="11"/>
      <c r="O55" s="11">
        <v>0</v>
      </c>
      <c r="P55" s="11">
        <f t="shared" si="11"/>
        <v>-0.2</v>
      </c>
      <c r="Q55" s="13"/>
      <c r="R55" s="21"/>
      <c r="S55" s="11">
        <f t="shared" si="8"/>
        <v>5</v>
      </c>
      <c r="T55" s="11">
        <f t="shared" si="9"/>
        <v>5</v>
      </c>
      <c r="U55" s="11">
        <v>0</v>
      </c>
      <c r="V55" s="11">
        <v>0</v>
      </c>
      <c r="W55" s="11">
        <v>5.8</v>
      </c>
      <c r="X55" s="11">
        <v>6.4</v>
      </c>
      <c r="Y55" s="11">
        <v>2.8</v>
      </c>
      <c r="Z55" s="11">
        <v>0.4</v>
      </c>
      <c r="AA55" s="11">
        <v>4.4000000000000004</v>
      </c>
      <c r="AB55" s="11">
        <v>1.4</v>
      </c>
      <c r="AC55" s="11" t="s">
        <v>97</v>
      </c>
      <c r="AD55" s="1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3">
      <c r="A56" s="1" t="s">
        <v>98</v>
      </c>
      <c r="B56" s="1" t="s">
        <v>32</v>
      </c>
      <c r="C56" s="1">
        <v>262</v>
      </c>
      <c r="D56" s="1">
        <v>219</v>
      </c>
      <c r="E56" s="1">
        <v>103</v>
      </c>
      <c r="F56" s="1">
        <v>66</v>
      </c>
      <c r="G56" s="7">
        <v>0.4</v>
      </c>
      <c r="H56" s="1">
        <v>45</v>
      </c>
      <c r="I56" s="1" t="s">
        <v>33</v>
      </c>
      <c r="J56" s="1"/>
      <c r="K56" s="1">
        <v>163</v>
      </c>
      <c r="L56" s="1">
        <f t="shared" si="10"/>
        <v>-60</v>
      </c>
      <c r="M56" s="1"/>
      <c r="N56" s="1"/>
      <c r="O56" s="1">
        <v>0</v>
      </c>
      <c r="P56" s="1">
        <f t="shared" si="11"/>
        <v>20.6</v>
      </c>
      <c r="Q56" s="5">
        <f>13*P56-O56-F56</f>
        <v>201.8</v>
      </c>
      <c r="R56" s="20"/>
      <c r="S56" s="1">
        <f t="shared" si="8"/>
        <v>13</v>
      </c>
      <c r="T56" s="1">
        <f t="shared" si="9"/>
        <v>3.203883495145631</v>
      </c>
      <c r="U56" s="1">
        <v>10.6</v>
      </c>
      <c r="V56" s="1">
        <v>35.4</v>
      </c>
      <c r="W56" s="1">
        <v>18.8</v>
      </c>
      <c r="X56" s="1">
        <v>0.2</v>
      </c>
      <c r="Y56" s="1">
        <v>35</v>
      </c>
      <c r="Z56" s="1">
        <v>11.8</v>
      </c>
      <c r="AA56" s="1">
        <v>15.8</v>
      </c>
      <c r="AB56" s="1">
        <v>18.399999999999999</v>
      </c>
      <c r="AC56" s="1"/>
      <c r="AD56" s="1">
        <f>G56*Q56</f>
        <v>80.720000000000013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3">
      <c r="A57" s="1" t="s">
        <v>99</v>
      </c>
      <c r="B57" s="1" t="s">
        <v>35</v>
      </c>
      <c r="C57" s="1">
        <v>15.621</v>
      </c>
      <c r="D57" s="1"/>
      <c r="E57" s="1">
        <v>3.8759999999999999</v>
      </c>
      <c r="F57" s="1">
        <v>11.744999999999999</v>
      </c>
      <c r="G57" s="7">
        <v>1</v>
      </c>
      <c r="H57" s="1">
        <v>60</v>
      </c>
      <c r="I57" s="1" t="s">
        <v>33</v>
      </c>
      <c r="J57" s="1"/>
      <c r="K57" s="1">
        <v>5</v>
      </c>
      <c r="L57" s="1">
        <f t="shared" si="10"/>
        <v>-1.1240000000000001</v>
      </c>
      <c r="M57" s="1"/>
      <c r="N57" s="1"/>
      <c r="O57" s="1">
        <v>0</v>
      </c>
      <c r="P57" s="1">
        <f t="shared" si="11"/>
        <v>0.7752</v>
      </c>
      <c r="Q57" s="5"/>
      <c r="R57" s="20"/>
      <c r="S57" s="1">
        <f t="shared" si="8"/>
        <v>15.150928792569658</v>
      </c>
      <c r="T57" s="1">
        <f t="shared" si="9"/>
        <v>15.150928792569658</v>
      </c>
      <c r="U57" s="1">
        <v>0.39200000000000002</v>
      </c>
      <c r="V57" s="1">
        <v>0.39140000000000003</v>
      </c>
      <c r="W57" s="1">
        <v>0.8146000000000001</v>
      </c>
      <c r="X57" s="1">
        <v>0</v>
      </c>
      <c r="Y57" s="1">
        <v>0.39</v>
      </c>
      <c r="Z57" s="1">
        <v>0</v>
      </c>
      <c r="AA57" s="1">
        <v>0</v>
      </c>
      <c r="AB57" s="1">
        <v>0</v>
      </c>
      <c r="AC57" s="16" t="s">
        <v>56</v>
      </c>
      <c r="AD57" s="1">
        <f>G57*Q57</f>
        <v>0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3">
      <c r="A58" s="11" t="s">
        <v>100</v>
      </c>
      <c r="B58" s="11" t="s">
        <v>35</v>
      </c>
      <c r="C58" s="11">
        <v>3.8809999999999998</v>
      </c>
      <c r="D58" s="11"/>
      <c r="E58" s="11"/>
      <c r="F58" s="11">
        <v>3.8809999999999998</v>
      </c>
      <c r="G58" s="12">
        <v>0</v>
      </c>
      <c r="H58" s="11">
        <v>60</v>
      </c>
      <c r="I58" s="11" t="s">
        <v>49</v>
      </c>
      <c r="J58" s="11"/>
      <c r="K58" s="11"/>
      <c r="L58" s="11">
        <f t="shared" si="10"/>
        <v>0</v>
      </c>
      <c r="M58" s="11"/>
      <c r="N58" s="11"/>
      <c r="O58" s="11">
        <v>0</v>
      </c>
      <c r="P58" s="11">
        <f t="shared" si="11"/>
        <v>0</v>
      </c>
      <c r="Q58" s="13"/>
      <c r="R58" s="21"/>
      <c r="S58" s="11" t="e">
        <f t="shared" si="8"/>
        <v>#DIV/0!</v>
      </c>
      <c r="T58" s="11" t="e">
        <f t="shared" si="9"/>
        <v>#DIV/0!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0.78059999999999996</v>
      </c>
      <c r="AC58" s="17" t="s">
        <v>56</v>
      </c>
      <c r="AD58" s="1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3">
      <c r="A59" s="1" t="s">
        <v>101</v>
      </c>
      <c r="B59" s="1" t="s">
        <v>35</v>
      </c>
      <c r="C59" s="1">
        <v>47.92</v>
      </c>
      <c r="D59" s="1">
        <v>48.445</v>
      </c>
      <c r="E59" s="1">
        <v>12.015000000000001</v>
      </c>
      <c r="F59" s="1">
        <v>54.384999999999998</v>
      </c>
      <c r="G59" s="7">
        <v>1</v>
      </c>
      <c r="H59" s="1">
        <v>60</v>
      </c>
      <c r="I59" s="1" t="s">
        <v>33</v>
      </c>
      <c r="J59" s="1"/>
      <c r="K59" s="1">
        <v>9</v>
      </c>
      <c r="L59" s="1">
        <f t="shared" si="10"/>
        <v>3.0150000000000006</v>
      </c>
      <c r="M59" s="1"/>
      <c r="N59" s="1"/>
      <c r="O59" s="1">
        <v>0</v>
      </c>
      <c r="P59" s="1">
        <f t="shared" si="11"/>
        <v>2.403</v>
      </c>
      <c r="Q59" s="5"/>
      <c r="R59" s="20"/>
      <c r="S59" s="1">
        <f t="shared" si="8"/>
        <v>22.632126508531002</v>
      </c>
      <c r="T59" s="1">
        <f t="shared" si="9"/>
        <v>22.632126508531002</v>
      </c>
      <c r="U59" s="1">
        <v>4.1829999999999998</v>
      </c>
      <c r="V59" s="1">
        <v>7.7939999999999996</v>
      </c>
      <c r="W59" s="1">
        <v>11.387</v>
      </c>
      <c r="X59" s="1">
        <v>0.59699999999999998</v>
      </c>
      <c r="Y59" s="1">
        <v>9.3550000000000004</v>
      </c>
      <c r="Z59" s="1">
        <v>3.5259999999999998</v>
      </c>
      <c r="AA59" s="1">
        <v>10.635999999999999</v>
      </c>
      <c r="AB59" s="1">
        <v>7.5484</v>
      </c>
      <c r="AC59" s="9" t="s">
        <v>41</v>
      </c>
      <c r="AD59" s="1">
        <f>G59*Q59</f>
        <v>0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3">
      <c r="A60" s="1" t="s">
        <v>102</v>
      </c>
      <c r="B60" s="1" t="s">
        <v>32</v>
      </c>
      <c r="C60" s="1">
        <v>132</v>
      </c>
      <c r="D60" s="1">
        <v>32</v>
      </c>
      <c r="E60" s="1">
        <v>3</v>
      </c>
      <c r="F60" s="1">
        <v>24</v>
      </c>
      <c r="G60" s="7">
        <v>0.25</v>
      </c>
      <c r="H60" s="1">
        <v>120</v>
      </c>
      <c r="I60" s="1" t="s">
        <v>33</v>
      </c>
      <c r="J60" s="1"/>
      <c r="K60" s="1">
        <v>24</v>
      </c>
      <c r="L60" s="1">
        <f t="shared" si="10"/>
        <v>-21</v>
      </c>
      <c r="M60" s="1"/>
      <c r="N60" s="1"/>
      <c r="O60" s="1">
        <v>0</v>
      </c>
      <c r="P60" s="1">
        <f t="shared" si="11"/>
        <v>0.6</v>
      </c>
      <c r="Q60" s="5"/>
      <c r="R60" s="20"/>
      <c r="S60" s="1">
        <f t="shared" si="8"/>
        <v>40</v>
      </c>
      <c r="T60" s="1">
        <f t="shared" si="9"/>
        <v>40</v>
      </c>
      <c r="U60" s="1">
        <v>6.4</v>
      </c>
      <c r="V60" s="1">
        <v>13.2</v>
      </c>
      <c r="W60" s="1">
        <v>2.8</v>
      </c>
      <c r="X60" s="1">
        <v>0.8</v>
      </c>
      <c r="Y60" s="1">
        <v>14</v>
      </c>
      <c r="Z60" s="1">
        <v>0.8</v>
      </c>
      <c r="AA60" s="1">
        <v>0.8</v>
      </c>
      <c r="AB60" s="1">
        <v>5.8</v>
      </c>
      <c r="AC60" s="1" t="s">
        <v>36</v>
      </c>
      <c r="AD60" s="1">
        <f>G60*Q60</f>
        <v>0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3">
      <c r="A61" s="1" t="s">
        <v>103</v>
      </c>
      <c r="B61" s="1" t="s">
        <v>35</v>
      </c>
      <c r="C61" s="1">
        <v>78.626000000000005</v>
      </c>
      <c r="D61" s="1">
        <v>55.923999999999999</v>
      </c>
      <c r="E61" s="1">
        <v>87.632000000000005</v>
      </c>
      <c r="F61" s="1">
        <v>31.478000000000002</v>
      </c>
      <c r="G61" s="7">
        <v>1</v>
      </c>
      <c r="H61" s="1">
        <v>45</v>
      </c>
      <c r="I61" s="1" t="s">
        <v>33</v>
      </c>
      <c r="J61" s="1"/>
      <c r="K61" s="1">
        <v>91</v>
      </c>
      <c r="L61" s="1">
        <f t="shared" si="10"/>
        <v>-3.367999999999995</v>
      </c>
      <c r="M61" s="1"/>
      <c r="N61" s="1"/>
      <c r="O61" s="1">
        <v>122</v>
      </c>
      <c r="P61" s="1">
        <f t="shared" si="11"/>
        <v>17.526400000000002</v>
      </c>
      <c r="Q61" s="5">
        <f>15*P61-O61-F61</f>
        <v>109.41800000000001</v>
      </c>
      <c r="R61" s="20"/>
      <c r="S61" s="1">
        <f t="shared" si="8"/>
        <v>14.999999999999998</v>
      </c>
      <c r="T61" s="1">
        <f t="shared" si="9"/>
        <v>8.7569609275150615</v>
      </c>
      <c r="U61" s="1">
        <v>15.994</v>
      </c>
      <c r="V61" s="1">
        <v>13.3072</v>
      </c>
      <c r="W61" s="1">
        <v>7.6114000000000006</v>
      </c>
      <c r="X61" s="1">
        <v>11.939399999999999</v>
      </c>
      <c r="Y61" s="1">
        <v>18.562999999999999</v>
      </c>
      <c r="Z61" s="1">
        <v>5.4871999999999996</v>
      </c>
      <c r="AA61" s="1">
        <v>4.3868</v>
      </c>
      <c r="AB61" s="1">
        <v>14.728400000000001</v>
      </c>
      <c r="AC61" s="1"/>
      <c r="AD61" s="1">
        <f>G61*Q61</f>
        <v>109.41800000000001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3">
      <c r="A62" s="1" t="s">
        <v>104</v>
      </c>
      <c r="B62" s="1" t="s">
        <v>32</v>
      </c>
      <c r="C62" s="1">
        <v>225</v>
      </c>
      <c r="D62" s="1">
        <v>84</v>
      </c>
      <c r="E62" s="1">
        <v>152</v>
      </c>
      <c r="F62" s="1">
        <v>2</v>
      </c>
      <c r="G62" s="7">
        <v>0.3</v>
      </c>
      <c r="H62" s="1">
        <v>60</v>
      </c>
      <c r="I62" s="1" t="s">
        <v>33</v>
      </c>
      <c r="J62" s="1"/>
      <c r="K62" s="1">
        <v>143</v>
      </c>
      <c r="L62" s="1">
        <f t="shared" si="10"/>
        <v>9</v>
      </c>
      <c r="M62" s="1"/>
      <c r="N62" s="1"/>
      <c r="O62" s="1">
        <v>0</v>
      </c>
      <c r="P62" s="1">
        <f t="shared" si="11"/>
        <v>30.4</v>
      </c>
      <c r="Q62" s="5">
        <f>9*P62-O62-F62</f>
        <v>271.59999999999997</v>
      </c>
      <c r="R62" s="20"/>
      <c r="S62" s="1">
        <f t="shared" si="8"/>
        <v>9</v>
      </c>
      <c r="T62" s="1">
        <f t="shared" si="9"/>
        <v>6.5789473684210523E-2</v>
      </c>
      <c r="U62" s="1">
        <v>6.2</v>
      </c>
      <c r="V62" s="1">
        <v>4.2</v>
      </c>
      <c r="W62" s="1">
        <v>25.8</v>
      </c>
      <c r="X62" s="1">
        <v>16.600000000000001</v>
      </c>
      <c r="Y62" s="1">
        <v>19.600000000000001</v>
      </c>
      <c r="Z62" s="1">
        <v>23</v>
      </c>
      <c r="AA62" s="1">
        <v>8.1999999999999993</v>
      </c>
      <c r="AB62" s="1">
        <v>12</v>
      </c>
      <c r="AC62" s="1" t="s">
        <v>162</v>
      </c>
      <c r="AD62" s="1">
        <f>G62*Q62</f>
        <v>81.47999999999999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3">
      <c r="A63" s="1" t="s">
        <v>105</v>
      </c>
      <c r="B63" s="1" t="s">
        <v>32</v>
      </c>
      <c r="C63" s="1">
        <v>461</v>
      </c>
      <c r="D63" s="1">
        <v>346</v>
      </c>
      <c r="E63" s="18">
        <f>423+E64</f>
        <v>440</v>
      </c>
      <c r="F63" s="18">
        <f>348+F64+F106</f>
        <v>408</v>
      </c>
      <c r="G63" s="7">
        <v>0.41</v>
      </c>
      <c r="H63" s="1">
        <v>50</v>
      </c>
      <c r="I63" s="1" t="s">
        <v>33</v>
      </c>
      <c r="J63" s="1"/>
      <c r="K63" s="1">
        <v>424</v>
      </c>
      <c r="L63" s="1">
        <f t="shared" si="10"/>
        <v>16</v>
      </c>
      <c r="M63" s="1"/>
      <c r="N63" s="1"/>
      <c r="O63" s="1">
        <v>64</v>
      </c>
      <c r="P63" s="1">
        <f t="shared" si="11"/>
        <v>88</v>
      </c>
      <c r="Q63" s="5">
        <f>15*P63-O63-F63</f>
        <v>848</v>
      </c>
      <c r="R63" s="20"/>
      <c r="S63" s="1">
        <f t="shared" si="8"/>
        <v>15</v>
      </c>
      <c r="T63" s="1">
        <f t="shared" si="9"/>
        <v>5.3636363636363633</v>
      </c>
      <c r="U63" s="1">
        <v>61</v>
      </c>
      <c r="V63" s="1">
        <v>77.2</v>
      </c>
      <c r="W63" s="1">
        <v>89.8</v>
      </c>
      <c r="X63" s="1">
        <v>95.6</v>
      </c>
      <c r="Y63" s="1">
        <v>75</v>
      </c>
      <c r="Z63" s="1">
        <v>97</v>
      </c>
      <c r="AA63" s="1">
        <v>117.8</v>
      </c>
      <c r="AB63" s="1">
        <v>54.2</v>
      </c>
      <c r="AC63" s="1"/>
      <c r="AD63" s="1">
        <f>G63*Q63</f>
        <v>347.68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3">
      <c r="A64" s="11" t="s">
        <v>106</v>
      </c>
      <c r="B64" s="11" t="s">
        <v>32</v>
      </c>
      <c r="C64" s="11">
        <v>49</v>
      </c>
      <c r="D64" s="11"/>
      <c r="E64" s="18">
        <v>17</v>
      </c>
      <c r="F64" s="18">
        <v>31</v>
      </c>
      <c r="G64" s="12">
        <v>0</v>
      </c>
      <c r="H64" s="11"/>
      <c r="I64" s="11" t="s">
        <v>49</v>
      </c>
      <c r="J64" s="11" t="s">
        <v>105</v>
      </c>
      <c r="K64" s="11">
        <v>16</v>
      </c>
      <c r="L64" s="11">
        <f t="shared" si="10"/>
        <v>1</v>
      </c>
      <c r="M64" s="11"/>
      <c r="N64" s="11"/>
      <c r="O64" s="11">
        <v>0</v>
      </c>
      <c r="P64" s="11">
        <f t="shared" si="11"/>
        <v>3.4</v>
      </c>
      <c r="Q64" s="13"/>
      <c r="R64" s="21"/>
      <c r="S64" s="11">
        <f t="shared" si="8"/>
        <v>9.117647058823529</v>
      </c>
      <c r="T64" s="11">
        <f t="shared" si="9"/>
        <v>9.117647058823529</v>
      </c>
      <c r="U64" s="11">
        <v>2</v>
      </c>
      <c r="V64" s="11">
        <v>15.6</v>
      </c>
      <c r="W64" s="11">
        <v>4.5999999999999996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/>
      <c r="AD64" s="1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3">
      <c r="A65" s="1" t="s">
        <v>107</v>
      </c>
      <c r="B65" s="1" t="s">
        <v>35</v>
      </c>
      <c r="C65" s="1">
        <v>252.012</v>
      </c>
      <c r="D65" s="1">
        <v>97.361000000000004</v>
      </c>
      <c r="E65" s="1">
        <v>209.648</v>
      </c>
      <c r="F65" s="1">
        <v>71.33</v>
      </c>
      <c r="G65" s="7">
        <v>1</v>
      </c>
      <c r="H65" s="1">
        <v>50</v>
      </c>
      <c r="I65" s="1" t="s">
        <v>33</v>
      </c>
      <c r="J65" s="1"/>
      <c r="K65" s="1">
        <v>208.86199999999999</v>
      </c>
      <c r="L65" s="1">
        <f t="shared" si="10"/>
        <v>0.78600000000000136</v>
      </c>
      <c r="M65" s="1"/>
      <c r="N65" s="1"/>
      <c r="O65" s="1">
        <v>353</v>
      </c>
      <c r="P65" s="1">
        <f t="shared" si="11"/>
        <v>41.929600000000001</v>
      </c>
      <c r="Q65" s="5">
        <f t="shared" ref="Q65:Q70" si="14">15*P65-O65-F65</f>
        <v>204.61399999999998</v>
      </c>
      <c r="R65" s="20"/>
      <c r="S65" s="1">
        <f t="shared" si="8"/>
        <v>14.999999999999998</v>
      </c>
      <c r="T65" s="1">
        <f t="shared" si="9"/>
        <v>10.12005838357628</v>
      </c>
      <c r="U65" s="1">
        <v>42.965600000000002</v>
      </c>
      <c r="V65" s="1">
        <v>32.3782</v>
      </c>
      <c r="W65" s="1">
        <v>45.654600000000002</v>
      </c>
      <c r="X65" s="1">
        <v>10.1288</v>
      </c>
      <c r="Y65" s="1">
        <v>53.4602</v>
      </c>
      <c r="Z65" s="1">
        <v>36.601999999999997</v>
      </c>
      <c r="AA65" s="1">
        <v>34.4</v>
      </c>
      <c r="AB65" s="1">
        <v>39.615600000000001</v>
      </c>
      <c r="AC65" s="1"/>
      <c r="AD65" s="1">
        <f t="shared" ref="AD65:AD70" si="15">G65*Q65</f>
        <v>204.61399999999998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3">
      <c r="A66" s="1" t="s">
        <v>108</v>
      </c>
      <c r="B66" s="1" t="s">
        <v>32</v>
      </c>
      <c r="C66" s="1">
        <v>208</v>
      </c>
      <c r="D66" s="1">
        <v>120</v>
      </c>
      <c r="E66" s="1">
        <v>134</v>
      </c>
      <c r="F66" s="1">
        <v>186</v>
      </c>
      <c r="G66" s="7">
        <v>0.35</v>
      </c>
      <c r="H66" s="1">
        <v>50</v>
      </c>
      <c r="I66" s="1" t="s">
        <v>33</v>
      </c>
      <c r="J66" s="1"/>
      <c r="K66" s="1">
        <v>127</v>
      </c>
      <c r="L66" s="1">
        <f t="shared" si="10"/>
        <v>7</v>
      </c>
      <c r="M66" s="1"/>
      <c r="N66" s="1"/>
      <c r="O66" s="1">
        <v>0</v>
      </c>
      <c r="P66" s="1">
        <f t="shared" si="11"/>
        <v>26.8</v>
      </c>
      <c r="Q66" s="5">
        <f t="shared" si="14"/>
        <v>216</v>
      </c>
      <c r="R66" s="20"/>
      <c r="S66" s="1">
        <f t="shared" si="8"/>
        <v>15</v>
      </c>
      <c r="T66" s="1">
        <f t="shared" si="9"/>
        <v>6.9402985074626864</v>
      </c>
      <c r="U66" s="1">
        <v>3.4</v>
      </c>
      <c r="V66" s="1">
        <v>23.2</v>
      </c>
      <c r="W66" s="1">
        <v>13.4</v>
      </c>
      <c r="X66" s="1">
        <v>4.4000000000000004</v>
      </c>
      <c r="Y66" s="1">
        <v>21.4</v>
      </c>
      <c r="Z66" s="1">
        <v>9.6</v>
      </c>
      <c r="AA66" s="1">
        <v>10.6</v>
      </c>
      <c r="AB66" s="1">
        <v>6.8</v>
      </c>
      <c r="AC66" s="1"/>
      <c r="AD66" s="1">
        <f t="shared" si="15"/>
        <v>75.599999999999994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3">
      <c r="A67" s="1" t="s">
        <v>109</v>
      </c>
      <c r="B67" s="1" t="s">
        <v>35</v>
      </c>
      <c r="C67" s="1">
        <v>204.989</v>
      </c>
      <c r="D67" s="1">
        <v>9.4369999999999994</v>
      </c>
      <c r="E67" s="1">
        <v>50.454999999999998</v>
      </c>
      <c r="F67" s="1">
        <v>149.83099999999999</v>
      </c>
      <c r="G67" s="7">
        <v>1</v>
      </c>
      <c r="H67" s="1">
        <v>50</v>
      </c>
      <c r="I67" s="1" t="s">
        <v>33</v>
      </c>
      <c r="J67" s="1"/>
      <c r="K67" s="1">
        <v>57.1</v>
      </c>
      <c r="L67" s="1">
        <f t="shared" si="10"/>
        <v>-6.6450000000000031</v>
      </c>
      <c r="M67" s="1"/>
      <c r="N67" s="1"/>
      <c r="O67" s="1">
        <v>0</v>
      </c>
      <c r="P67" s="1">
        <f t="shared" si="11"/>
        <v>10.090999999999999</v>
      </c>
      <c r="Q67" s="5"/>
      <c r="R67" s="20"/>
      <c r="S67" s="1">
        <f t="shared" si="8"/>
        <v>14.847983351501338</v>
      </c>
      <c r="T67" s="1">
        <f t="shared" si="9"/>
        <v>14.847983351501338</v>
      </c>
      <c r="U67" s="1">
        <v>7.3322000000000003</v>
      </c>
      <c r="V67" s="1">
        <v>1.9112</v>
      </c>
      <c r="W67" s="1">
        <v>3.419</v>
      </c>
      <c r="X67" s="1">
        <v>12.1236</v>
      </c>
      <c r="Y67" s="1">
        <v>5.9020000000000001</v>
      </c>
      <c r="Z67" s="1">
        <v>12.3688</v>
      </c>
      <c r="AA67" s="1">
        <v>10.2056</v>
      </c>
      <c r="AB67" s="1">
        <v>10.2094</v>
      </c>
      <c r="AC67" s="9" t="s">
        <v>41</v>
      </c>
      <c r="AD67" s="1">
        <f t="shared" si="15"/>
        <v>0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3">
      <c r="A68" s="1" t="s">
        <v>110</v>
      </c>
      <c r="B68" s="1" t="s">
        <v>32</v>
      </c>
      <c r="C68" s="1">
        <v>608</v>
      </c>
      <c r="D68" s="1">
        <v>211</v>
      </c>
      <c r="E68" s="1">
        <v>267</v>
      </c>
      <c r="F68" s="1">
        <v>10</v>
      </c>
      <c r="G68" s="7">
        <v>0.41</v>
      </c>
      <c r="H68" s="1">
        <v>50</v>
      </c>
      <c r="I68" s="1" t="s">
        <v>33</v>
      </c>
      <c r="J68" s="1"/>
      <c r="K68" s="1">
        <v>266</v>
      </c>
      <c r="L68" s="1">
        <f t="shared" si="10"/>
        <v>1</v>
      </c>
      <c r="M68" s="1"/>
      <c r="N68" s="1"/>
      <c r="O68" s="1">
        <v>98</v>
      </c>
      <c r="P68" s="1">
        <f t="shared" si="11"/>
        <v>53.4</v>
      </c>
      <c r="Q68" s="5">
        <f>12*P68-O68-F68</f>
        <v>532.79999999999995</v>
      </c>
      <c r="R68" s="20"/>
      <c r="S68" s="1">
        <f t="shared" ref="S68:S99" si="16">(F68+O68+Q68)/P68</f>
        <v>12</v>
      </c>
      <c r="T68" s="1">
        <f t="shared" ref="T68:T99" si="17">(F68+O68)/P68</f>
        <v>2.0224719101123596</v>
      </c>
      <c r="U68" s="1">
        <v>61.4</v>
      </c>
      <c r="V68" s="1">
        <v>75.400000000000006</v>
      </c>
      <c r="W68" s="1">
        <v>106</v>
      </c>
      <c r="X68" s="1">
        <v>103</v>
      </c>
      <c r="Y68" s="1">
        <v>69.400000000000006</v>
      </c>
      <c r="Z68" s="1">
        <v>50.2</v>
      </c>
      <c r="AA68" s="1">
        <v>106.4</v>
      </c>
      <c r="AB68" s="1">
        <v>53.4</v>
      </c>
      <c r="AC68" s="1"/>
      <c r="AD68" s="1">
        <f t="shared" si="15"/>
        <v>218.44799999999998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3">
      <c r="A69" s="1" t="s">
        <v>111</v>
      </c>
      <c r="B69" s="1" t="s">
        <v>35</v>
      </c>
      <c r="C69" s="1">
        <v>229.42599999999999</v>
      </c>
      <c r="D69" s="1">
        <v>175.90600000000001</v>
      </c>
      <c r="E69" s="1">
        <v>152.255</v>
      </c>
      <c r="F69" s="1">
        <v>227.93700000000001</v>
      </c>
      <c r="G69" s="7">
        <v>1</v>
      </c>
      <c r="H69" s="1">
        <v>50</v>
      </c>
      <c r="I69" s="1" t="s">
        <v>33</v>
      </c>
      <c r="J69" s="1"/>
      <c r="K69" s="1">
        <v>162.30000000000001</v>
      </c>
      <c r="L69" s="1">
        <f t="shared" si="10"/>
        <v>-10.045000000000016</v>
      </c>
      <c r="M69" s="1"/>
      <c r="N69" s="1"/>
      <c r="O69" s="1">
        <v>54</v>
      </c>
      <c r="P69" s="1">
        <f t="shared" si="11"/>
        <v>30.451000000000001</v>
      </c>
      <c r="Q69" s="5">
        <f t="shared" si="14"/>
        <v>174.82799999999997</v>
      </c>
      <c r="R69" s="20"/>
      <c r="S69" s="1">
        <f t="shared" si="16"/>
        <v>15</v>
      </c>
      <c r="T69" s="1">
        <f t="shared" si="17"/>
        <v>9.2587107155758428</v>
      </c>
      <c r="U69" s="1">
        <v>29.3094</v>
      </c>
      <c r="V69" s="1">
        <v>35.366799999999998</v>
      </c>
      <c r="W69" s="1">
        <v>41.764600000000002</v>
      </c>
      <c r="X69" s="1">
        <v>31.7944</v>
      </c>
      <c r="Y69" s="1">
        <v>35.7166</v>
      </c>
      <c r="Z69" s="1">
        <v>39.016599999999997</v>
      </c>
      <c r="AA69" s="1">
        <v>33.249600000000001</v>
      </c>
      <c r="AB69" s="1">
        <v>8.1592000000000002</v>
      </c>
      <c r="AC69" s="1"/>
      <c r="AD69" s="1">
        <f t="shared" si="15"/>
        <v>174.82799999999997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3">
      <c r="A70" s="1" t="s">
        <v>112</v>
      </c>
      <c r="B70" s="1" t="s">
        <v>32</v>
      </c>
      <c r="C70" s="1">
        <v>159</v>
      </c>
      <c r="D70" s="1">
        <v>5</v>
      </c>
      <c r="E70" s="1">
        <v>79</v>
      </c>
      <c r="F70" s="1">
        <v>51</v>
      </c>
      <c r="G70" s="7">
        <v>0.3</v>
      </c>
      <c r="H70" s="1">
        <v>50</v>
      </c>
      <c r="I70" s="1" t="s">
        <v>33</v>
      </c>
      <c r="J70" s="1"/>
      <c r="K70" s="1">
        <v>77</v>
      </c>
      <c r="L70" s="1">
        <f t="shared" ref="L70:L101" si="18">E70-K70</f>
        <v>2</v>
      </c>
      <c r="M70" s="1"/>
      <c r="N70" s="1"/>
      <c r="O70" s="1">
        <v>111</v>
      </c>
      <c r="P70" s="1">
        <f t="shared" ref="P70:P101" si="19">E70/5</f>
        <v>15.8</v>
      </c>
      <c r="Q70" s="5">
        <f t="shared" si="14"/>
        <v>75</v>
      </c>
      <c r="R70" s="20"/>
      <c r="S70" s="1">
        <f t="shared" si="16"/>
        <v>15</v>
      </c>
      <c r="T70" s="1">
        <f t="shared" si="17"/>
        <v>10.253164556962025</v>
      </c>
      <c r="U70" s="1">
        <v>18</v>
      </c>
      <c r="V70" s="1">
        <v>10.199999999999999</v>
      </c>
      <c r="W70" s="1">
        <v>15.8</v>
      </c>
      <c r="X70" s="1">
        <v>21.6</v>
      </c>
      <c r="Y70" s="1">
        <v>13.4</v>
      </c>
      <c r="Z70" s="1">
        <v>16.600000000000001</v>
      </c>
      <c r="AA70" s="1">
        <v>16.2</v>
      </c>
      <c r="AB70" s="1">
        <v>11</v>
      </c>
      <c r="AC70" s="1"/>
      <c r="AD70" s="1">
        <f t="shared" si="15"/>
        <v>22.5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3">
      <c r="A71" s="11" t="s">
        <v>113</v>
      </c>
      <c r="B71" s="11" t="s">
        <v>32</v>
      </c>
      <c r="C71" s="11">
        <v>20</v>
      </c>
      <c r="D71" s="11">
        <v>35</v>
      </c>
      <c r="E71" s="11">
        <v>43</v>
      </c>
      <c r="F71" s="11">
        <v>7</v>
      </c>
      <c r="G71" s="12">
        <v>0</v>
      </c>
      <c r="H71" s="11">
        <v>50</v>
      </c>
      <c r="I71" s="11" t="s">
        <v>49</v>
      </c>
      <c r="J71" s="11"/>
      <c r="K71" s="11">
        <v>48</v>
      </c>
      <c r="L71" s="11">
        <f t="shared" si="18"/>
        <v>-5</v>
      </c>
      <c r="M71" s="11"/>
      <c r="N71" s="11"/>
      <c r="O71" s="11">
        <v>0</v>
      </c>
      <c r="P71" s="11">
        <f t="shared" si="19"/>
        <v>8.6</v>
      </c>
      <c r="Q71" s="13"/>
      <c r="R71" s="21"/>
      <c r="S71" s="11">
        <f t="shared" si="16"/>
        <v>0.81395348837209303</v>
      </c>
      <c r="T71" s="11">
        <f t="shared" si="17"/>
        <v>0.81395348837209303</v>
      </c>
      <c r="U71" s="11">
        <v>0</v>
      </c>
      <c r="V71" s="11">
        <v>1.8</v>
      </c>
      <c r="W71" s="11">
        <v>5.6</v>
      </c>
      <c r="X71" s="11">
        <v>5</v>
      </c>
      <c r="Y71" s="11">
        <v>4.8</v>
      </c>
      <c r="Z71" s="11">
        <v>2.4</v>
      </c>
      <c r="AA71" s="11">
        <v>5.2</v>
      </c>
      <c r="AB71" s="11">
        <v>4.8</v>
      </c>
      <c r="AC71" s="11"/>
      <c r="AD71" s="1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3">
      <c r="A72" s="1" t="s">
        <v>114</v>
      </c>
      <c r="B72" s="1" t="s">
        <v>32</v>
      </c>
      <c r="C72" s="1">
        <v>67</v>
      </c>
      <c r="D72" s="1">
        <v>450</v>
      </c>
      <c r="E72" s="1">
        <v>165</v>
      </c>
      <c r="F72" s="1">
        <v>327</v>
      </c>
      <c r="G72" s="7">
        <v>0.18</v>
      </c>
      <c r="H72" s="1">
        <v>50</v>
      </c>
      <c r="I72" s="1" t="s">
        <v>33</v>
      </c>
      <c r="J72" s="1"/>
      <c r="K72" s="1">
        <v>178</v>
      </c>
      <c r="L72" s="1">
        <f t="shared" si="18"/>
        <v>-13</v>
      </c>
      <c r="M72" s="1"/>
      <c r="N72" s="1"/>
      <c r="O72" s="1">
        <v>0</v>
      </c>
      <c r="P72" s="1">
        <f t="shared" si="19"/>
        <v>33</v>
      </c>
      <c r="Q72" s="5">
        <f>15*P72-O72-F72</f>
        <v>168</v>
      </c>
      <c r="R72" s="20"/>
      <c r="S72" s="1">
        <f t="shared" si="16"/>
        <v>15</v>
      </c>
      <c r="T72" s="1">
        <f t="shared" si="17"/>
        <v>9.9090909090909083</v>
      </c>
      <c r="U72" s="1">
        <v>6.4</v>
      </c>
      <c r="V72" s="1">
        <v>36.6</v>
      </c>
      <c r="W72" s="1">
        <v>24</v>
      </c>
      <c r="X72" s="1">
        <v>24.6</v>
      </c>
      <c r="Y72" s="1">
        <v>28.2</v>
      </c>
      <c r="Z72" s="1">
        <v>23.4</v>
      </c>
      <c r="AA72" s="1">
        <v>14.6</v>
      </c>
      <c r="AB72" s="1">
        <v>36.6</v>
      </c>
      <c r="AC72" s="1"/>
      <c r="AD72" s="1">
        <f>G72*Q72</f>
        <v>30.24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3">
      <c r="A73" s="11" t="s">
        <v>115</v>
      </c>
      <c r="B73" s="11" t="s">
        <v>32</v>
      </c>
      <c r="C73" s="11">
        <v>75</v>
      </c>
      <c r="D73" s="11">
        <v>49</v>
      </c>
      <c r="E73" s="11">
        <v>13</v>
      </c>
      <c r="F73" s="11">
        <v>108</v>
      </c>
      <c r="G73" s="12">
        <v>0</v>
      </c>
      <c r="H73" s="11">
        <v>120</v>
      </c>
      <c r="I73" s="11" t="s">
        <v>49</v>
      </c>
      <c r="J73" s="11"/>
      <c r="K73" s="11">
        <v>14</v>
      </c>
      <c r="L73" s="11">
        <f t="shared" si="18"/>
        <v>-1</v>
      </c>
      <c r="M73" s="11"/>
      <c r="N73" s="11"/>
      <c r="O73" s="11">
        <v>0</v>
      </c>
      <c r="P73" s="11">
        <f t="shared" si="19"/>
        <v>2.6</v>
      </c>
      <c r="Q73" s="13"/>
      <c r="R73" s="21"/>
      <c r="S73" s="11">
        <f t="shared" si="16"/>
        <v>41.53846153846154</v>
      </c>
      <c r="T73" s="11">
        <f t="shared" si="17"/>
        <v>41.53846153846154</v>
      </c>
      <c r="U73" s="11">
        <v>1.8</v>
      </c>
      <c r="V73" s="11">
        <v>11.4</v>
      </c>
      <c r="W73" s="11">
        <v>0.6</v>
      </c>
      <c r="X73" s="11">
        <v>8.8000000000000007</v>
      </c>
      <c r="Y73" s="11">
        <v>9.8000000000000007</v>
      </c>
      <c r="Z73" s="11">
        <v>3.6</v>
      </c>
      <c r="AA73" s="11">
        <v>4</v>
      </c>
      <c r="AB73" s="11">
        <v>4.2</v>
      </c>
      <c r="AC73" s="17" t="s">
        <v>56</v>
      </c>
      <c r="AD73" s="1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3">
      <c r="A74" s="1" t="s">
        <v>116</v>
      </c>
      <c r="B74" s="1" t="s">
        <v>32</v>
      </c>
      <c r="C74" s="1">
        <v>51</v>
      </c>
      <c r="D74" s="1">
        <v>4</v>
      </c>
      <c r="E74" s="1">
        <v>23</v>
      </c>
      <c r="F74" s="1">
        <v>31</v>
      </c>
      <c r="G74" s="7">
        <v>0.84</v>
      </c>
      <c r="H74" s="1">
        <v>50</v>
      </c>
      <c r="I74" s="1" t="s">
        <v>33</v>
      </c>
      <c r="J74" s="1"/>
      <c r="K74" s="1">
        <v>22.44</v>
      </c>
      <c r="L74" s="1">
        <f t="shared" si="18"/>
        <v>0.55999999999999872</v>
      </c>
      <c r="M74" s="1"/>
      <c r="N74" s="1"/>
      <c r="O74" s="1">
        <v>0</v>
      </c>
      <c r="P74" s="1">
        <f t="shared" si="19"/>
        <v>4.5999999999999996</v>
      </c>
      <c r="Q74" s="5">
        <f t="shared" ref="Q74:Q85" si="20">15*P74-O74-F74</f>
        <v>38</v>
      </c>
      <c r="R74" s="20"/>
      <c r="S74" s="1">
        <f t="shared" si="16"/>
        <v>15.000000000000002</v>
      </c>
      <c r="T74" s="1">
        <f t="shared" si="17"/>
        <v>6.7391304347826093</v>
      </c>
      <c r="U74" s="1">
        <v>2.8</v>
      </c>
      <c r="V74" s="1">
        <v>1</v>
      </c>
      <c r="W74" s="1">
        <v>1.6</v>
      </c>
      <c r="X74" s="1">
        <v>5.8</v>
      </c>
      <c r="Y74" s="1">
        <v>4.4000000000000004</v>
      </c>
      <c r="Z74" s="1">
        <v>3.6</v>
      </c>
      <c r="AA74" s="1">
        <v>4.8</v>
      </c>
      <c r="AB74" s="1">
        <v>2.6</v>
      </c>
      <c r="AC74" s="1"/>
      <c r="AD74" s="1">
        <f t="shared" ref="AD74:AD85" si="21">G74*Q74</f>
        <v>31.919999999999998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3">
      <c r="A75" s="1" t="s">
        <v>117</v>
      </c>
      <c r="B75" s="1" t="s">
        <v>32</v>
      </c>
      <c r="C75" s="1">
        <v>389</v>
      </c>
      <c r="D75" s="1">
        <v>528</v>
      </c>
      <c r="E75" s="1">
        <v>458</v>
      </c>
      <c r="F75" s="1">
        <v>210</v>
      </c>
      <c r="G75" s="7">
        <v>0.35</v>
      </c>
      <c r="H75" s="1">
        <v>50</v>
      </c>
      <c r="I75" s="1" t="s">
        <v>33</v>
      </c>
      <c r="J75" s="1"/>
      <c r="K75" s="1">
        <v>536</v>
      </c>
      <c r="L75" s="1">
        <f t="shared" si="18"/>
        <v>-78</v>
      </c>
      <c r="M75" s="1"/>
      <c r="N75" s="1"/>
      <c r="O75" s="1">
        <v>35</v>
      </c>
      <c r="P75" s="1">
        <f t="shared" si="19"/>
        <v>91.6</v>
      </c>
      <c r="Q75" s="5">
        <f>13*P75-O75-F75</f>
        <v>945.8</v>
      </c>
      <c r="R75" s="23">
        <v>800</v>
      </c>
      <c r="S75" s="1">
        <f t="shared" si="16"/>
        <v>13</v>
      </c>
      <c r="T75" s="1">
        <f t="shared" si="17"/>
        <v>2.6746724890829694</v>
      </c>
      <c r="U75" s="1">
        <v>61.8</v>
      </c>
      <c r="V75" s="1">
        <v>80.8</v>
      </c>
      <c r="W75" s="1">
        <v>98.6</v>
      </c>
      <c r="X75" s="1">
        <v>77.599999999999994</v>
      </c>
      <c r="Y75" s="1">
        <v>76.599999999999994</v>
      </c>
      <c r="Z75" s="1">
        <v>88.4</v>
      </c>
      <c r="AA75" s="1">
        <v>76</v>
      </c>
      <c r="AB75" s="1">
        <v>69.2</v>
      </c>
      <c r="AC75" s="1"/>
      <c r="AD75" s="1">
        <f t="shared" si="21"/>
        <v>331.03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3">
      <c r="A76" s="1" t="s">
        <v>118</v>
      </c>
      <c r="B76" s="1" t="s">
        <v>35</v>
      </c>
      <c r="C76" s="1">
        <v>181.55199999999999</v>
      </c>
      <c r="D76" s="1">
        <v>123.751</v>
      </c>
      <c r="E76" s="1">
        <v>188.274</v>
      </c>
      <c r="F76" s="1">
        <v>88.8</v>
      </c>
      <c r="G76" s="7">
        <v>1</v>
      </c>
      <c r="H76" s="1">
        <v>50</v>
      </c>
      <c r="I76" s="1" t="s">
        <v>33</v>
      </c>
      <c r="J76" s="1"/>
      <c r="K76" s="1">
        <v>188.7</v>
      </c>
      <c r="L76" s="1">
        <f t="shared" si="18"/>
        <v>-0.42599999999998772</v>
      </c>
      <c r="M76" s="1"/>
      <c r="N76" s="1"/>
      <c r="O76" s="1">
        <v>168</v>
      </c>
      <c r="P76" s="1">
        <f t="shared" si="19"/>
        <v>37.654800000000002</v>
      </c>
      <c r="Q76" s="5">
        <f t="shared" si="20"/>
        <v>308.02199999999999</v>
      </c>
      <c r="R76" s="20"/>
      <c r="S76" s="1">
        <f t="shared" si="16"/>
        <v>15</v>
      </c>
      <c r="T76" s="1">
        <f t="shared" si="17"/>
        <v>6.8198476688230985</v>
      </c>
      <c r="U76" s="1">
        <v>30.102599999999999</v>
      </c>
      <c r="V76" s="1">
        <v>26.282599999999999</v>
      </c>
      <c r="W76" s="1">
        <v>29.624600000000001</v>
      </c>
      <c r="X76" s="1">
        <v>13.597799999999999</v>
      </c>
      <c r="Y76" s="1">
        <v>23.0444</v>
      </c>
      <c r="Z76" s="1">
        <v>30.029800000000002</v>
      </c>
      <c r="AA76" s="1">
        <v>28.277200000000001</v>
      </c>
      <c r="AB76" s="1">
        <v>31.450399999999998</v>
      </c>
      <c r="AC76" s="1"/>
      <c r="AD76" s="1">
        <f t="shared" si="21"/>
        <v>308.02199999999999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3">
      <c r="A77" s="1" t="s">
        <v>119</v>
      </c>
      <c r="B77" s="1" t="s">
        <v>35</v>
      </c>
      <c r="C77" s="1">
        <v>167.78399999999999</v>
      </c>
      <c r="D77" s="1">
        <v>139.20500000000001</v>
      </c>
      <c r="E77" s="1">
        <v>251.05500000000001</v>
      </c>
      <c r="F77" s="1">
        <v>13.874000000000001</v>
      </c>
      <c r="G77" s="7">
        <v>1</v>
      </c>
      <c r="H77" s="1">
        <v>50</v>
      </c>
      <c r="I77" s="1" t="s">
        <v>33</v>
      </c>
      <c r="J77" s="1"/>
      <c r="K77" s="1">
        <v>243.9</v>
      </c>
      <c r="L77" s="1">
        <f t="shared" si="18"/>
        <v>7.1550000000000011</v>
      </c>
      <c r="M77" s="1"/>
      <c r="N77" s="1"/>
      <c r="O77" s="1">
        <v>309</v>
      </c>
      <c r="P77" s="1">
        <f t="shared" si="19"/>
        <v>50.210999999999999</v>
      </c>
      <c r="Q77" s="5">
        <f t="shared" si="20"/>
        <v>430.29099999999994</v>
      </c>
      <c r="R77" s="20"/>
      <c r="S77" s="1">
        <f t="shared" si="16"/>
        <v>15</v>
      </c>
      <c r="T77" s="1">
        <f t="shared" si="17"/>
        <v>6.4303439485371738</v>
      </c>
      <c r="U77" s="1">
        <v>40.056600000000003</v>
      </c>
      <c r="V77" s="1">
        <v>33.135599999999997</v>
      </c>
      <c r="W77" s="1">
        <v>41.604599999999998</v>
      </c>
      <c r="X77" s="1">
        <v>44.145400000000002</v>
      </c>
      <c r="Y77" s="1">
        <v>38.8658</v>
      </c>
      <c r="Z77" s="1">
        <v>50.016800000000003</v>
      </c>
      <c r="AA77" s="1">
        <v>41.149000000000001</v>
      </c>
      <c r="AB77" s="1">
        <v>39.247199999999999</v>
      </c>
      <c r="AC77" s="1"/>
      <c r="AD77" s="1">
        <f t="shared" si="21"/>
        <v>430.29099999999994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3">
      <c r="A78" s="1" t="s">
        <v>120</v>
      </c>
      <c r="B78" s="1" t="s">
        <v>32</v>
      </c>
      <c r="C78" s="1">
        <v>534</v>
      </c>
      <c r="D78" s="1">
        <v>318</v>
      </c>
      <c r="E78" s="1">
        <v>269</v>
      </c>
      <c r="F78" s="1">
        <v>-18</v>
      </c>
      <c r="G78" s="7">
        <v>0.35</v>
      </c>
      <c r="H78" s="1">
        <v>50</v>
      </c>
      <c r="I78" s="1" t="s">
        <v>33</v>
      </c>
      <c r="J78" s="1"/>
      <c r="K78" s="1">
        <v>377</v>
      </c>
      <c r="L78" s="1">
        <f t="shared" si="18"/>
        <v>-108</v>
      </c>
      <c r="M78" s="1"/>
      <c r="N78" s="1"/>
      <c r="O78" s="1">
        <v>284</v>
      </c>
      <c r="P78" s="1">
        <f t="shared" si="19"/>
        <v>53.8</v>
      </c>
      <c r="Q78" s="5">
        <f t="shared" si="20"/>
        <v>541</v>
      </c>
      <c r="R78" s="20"/>
      <c r="S78" s="1">
        <f t="shared" si="16"/>
        <v>15</v>
      </c>
      <c r="T78" s="1">
        <f t="shared" si="17"/>
        <v>4.944237918215614</v>
      </c>
      <c r="U78" s="1">
        <v>74</v>
      </c>
      <c r="V78" s="1">
        <v>80.599999999999994</v>
      </c>
      <c r="W78" s="1">
        <v>102</v>
      </c>
      <c r="X78" s="1">
        <v>99.4</v>
      </c>
      <c r="Y78" s="1">
        <v>83</v>
      </c>
      <c r="Z78" s="1">
        <v>99</v>
      </c>
      <c r="AA78" s="1">
        <v>89</v>
      </c>
      <c r="AB78" s="1">
        <v>63</v>
      </c>
      <c r="AC78" s="1"/>
      <c r="AD78" s="1">
        <f t="shared" si="21"/>
        <v>189.35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3">
      <c r="A79" s="1" t="s">
        <v>121</v>
      </c>
      <c r="B79" s="1" t="s">
        <v>32</v>
      </c>
      <c r="C79" s="1">
        <v>129</v>
      </c>
      <c r="D79" s="1">
        <v>52</v>
      </c>
      <c r="E79" s="1">
        <v>90</v>
      </c>
      <c r="F79" s="1">
        <v>79</v>
      </c>
      <c r="G79" s="7">
        <v>0.3</v>
      </c>
      <c r="H79" s="1">
        <v>50</v>
      </c>
      <c r="I79" s="1" t="s">
        <v>33</v>
      </c>
      <c r="J79" s="1"/>
      <c r="K79" s="1">
        <v>87</v>
      </c>
      <c r="L79" s="1">
        <f t="shared" si="18"/>
        <v>3</v>
      </c>
      <c r="M79" s="1"/>
      <c r="N79" s="1"/>
      <c r="O79" s="1">
        <v>0</v>
      </c>
      <c r="P79" s="1">
        <f t="shared" si="19"/>
        <v>18</v>
      </c>
      <c r="Q79" s="5">
        <f>14*P79-O79-F79</f>
        <v>173</v>
      </c>
      <c r="R79" s="20"/>
      <c r="S79" s="1">
        <f t="shared" si="16"/>
        <v>14</v>
      </c>
      <c r="T79" s="1">
        <f t="shared" si="17"/>
        <v>4.3888888888888893</v>
      </c>
      <c r="U79" s="1">
        <v>11.2</v>
      </c>
      <c r="V79" s="1">
        <v>15.8</v>
      </c>
      <c r="W79" s="1">
        <v>10.8</v>
      </c>
      <c r="X79" s="1">
        <v>18.399999999999999</v>
      </c>
      <c r="Y79" s="1">
        <v>18</v>
      </c>
      <c r="Z79" s="1">
        <v>13.6</v>
      </c>
      <c r="AA79" s="1">
        <v>6.4</v>
      </c>
      <c r="AB79" s="1">
        <v>13.6</v>
      </c>
      <c r="AC79" s="1"/>
      <c r="AD79" s="1">
        <f t="shared" si="21"/>
        <v>51.9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3">
      <c r="A80" s="1" t="s">
        <v>122</v>
      </c>
      <c r="B80" s="1" t="s">
        <v>32</v>
      </c>
      <c r="C80" s="1">
        <v>110</v>
      </c>
      <c r="D80" s="1">
        <v>116</v>
      </c>
      <c r="E80" s="1">
        <v>86</v>
      </c>
      <c r="F80" s="1">
        <v>132</v>
      </c>
      <c r="G80" s="7">
        <v>0.3</v>
      </c>
      <c r="H80" s="1">
        <v>60</v>
      </c>
      <c r="I80" s="1" t="s">
        <v>33</v>
      </c>
      <c r="J80" s="1"/>
      <c r="K80" s="1">
        <v>80</v>
      </c>
      <c r="L80" s="1">
        <f t="shared" si="18"/>
        <v>6</v>
      </c>
      <c r="M80" s="1"/>
      <c r="N80" s="1"/>
      <c r="O80" s="1">
        <v>0</v>
      </c>
      <c r="P80" s="1">
        <f t="shared" si="19"/>
        <v>17.2</v>
      </c>
      <c r="Q80" s="5">
        <f t="shared" si="20"/>
        <v>126</v>
      </c>
      <c r="R80" s="20"/>
      <c r="S80" s="1">
        <f t="shared" si="16"/>
        <v>15</v>
      </c>
      <c r="T80" s="1">
        <f t="shared" si="17"/>
        <v>7.6744186046511631</v>
      </c>
      <c r="U80" s="1">
        <v>2.2000000000000002</v>
      </c>
      <c r="V80" s="1">
        <v>6</v>
      </c>
      <c r="W80" s="1">
        <v>25.2</v>
      </c>
      <c r="X80" s="1">
        <v>5.4</v>
      </c>
      <c r="Y80" s="1">
        <v>11.6</v>
      </c>
      <c r="Z80" s="1">
        <v>13.8</v>
      </c>
      <c r="AA80" s="1">
        <v>3.4</v>
      </c>
      <c r="AB80" s="1">
        <v>0.6</v>
      </c>
      <c r="AC80" s="1"/>
      <c r="AD80" s="1">
        <f t="shared" si="21"/>
        <v>37.799999999999997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3">
      <c r="A81" s="1" t="s">
        <v>123</v>
      </c>
      <c r="B81" s="1" t="s">
        <v>32</v>
      </c>
      <c r="C81" s="1">
        <v>290</v>
      </c>
      <c r="D81" s="1">
        <v>417</v>
      </c>
      <c r="E81" s="1">
        <v>325</v>
      </c>
      <c r="F81" s="1">
        <v>139</v>
      </c>
      <c r="G81" s="7">
        <v>0.28000000000000003</v>
      </c>
      <c r="H81" s="1">
        <v>50</v>
      </c>
      <c r="I81" s="1" t="s">
        <v>33</v>
      </c>
      <c r="J81" s="1"/>
      <c r="K81" s="1">
        <v>335</v>
      </c>
      <c r="L81" s="1">
        <f t="shared" si="18"/>
        <v>-10</v>
      </c>
      <c r="M81" s="1"/>
      <c r="N81" s="1"/>
      <c r="O81" s="1">
        <v>266</v>
      </c>
      <c r="P81" s="1">
        <f t="shared" si="19"/>
        <v>65</v>
      </c>
      <c r="Q81" s="5">
        <f t="shared" si="20"/>
        <v>570</v>
      </c>
      <c r="R81" s="20"/>
      <c r="S81" s="1">
        <f t="shared" si="16"/>
        <v>15</v>
      </c>
      <c r="T81" s="1">
        <f t="shared" si="17"/>
        <v>6.2307692307692308</v>
      </c>
      <c r="U81" s="1">
        <v>63.2</v>
      </c>
      <c r="V81" s="1">
        <v>67.2</v>
      </c>
      <c r="W81" s="1">
        <v>80.8</v>
      </c>
      <c r="X81" s="1">
        <v>74.400000000000006</v>
      </c>
      <c r="Y81" s="1">
        <v>71.2</v>
      </c>
      <c r="Z81" s="1">
        <v>69.2</v>
      </c>
      <c r="AA81" s="1">
        <v>69</v>
      </c>
      <c r="AB81" s="1">
        <v>58</v>
      </c>
      <c r="AC81" s="1"/>
      <c r="AD81" s="1">
        <f t="shared" si="21"/>
        <v>159.60000000000002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3">
      <c r="A82" s="1" t="s">
        <v>124</v>
      </c>
      <c r="B82" s="1" t="s">
        <v>32</v>
      </c>
      <c r="C82" s="1">
        <v>310</v>
      </c>
      <c r="D82" s="1">
        <v>334</v>
      </c>
      <c r="E82" s="1">
        <v>352</v>
      </c>
      <c r="F82" s="1">
        <v>131</v>
      </c>
      <c r="G82" s="7">
        <v>0.28000000000000003</v>
      </c>
      <c r="H82" s="1">
        <v>45</v>
      </c>
      <c r="I82" s="1" t="s">
        <v>33</v>
      </c>
      <c r="J82" s="1"/>
      <c r="K82" s="1">
        <v>364</v>
      </c>
      <c r="L82" s="1">
        <f t="shared" si="18"/>
        <v>-12</v>
      </c>
      <c r="M82" s="1"/>
      <c r="N82" s="1"/>
      <c r="O82" s="1">
        <v>176</v>
      </c>
      <c r="P82" s="1">
        <f t="shared" si="19"/>
        <v>70.400000000000006</v>
      </c>
      <c r="Q82" s="5">
        <f>14*P82-O82-F82</f>
        <v>678.60000000000014</v>
      </c>
      <c r="R82" s="20"/>
      <c r="S82" s="1">
        <f t="shared" si="16"/>
        <v>14</v>
      </c>
      <c r="T82" s="1">
        <f t="shared" si="17"/>
        <v>4.3607954545454541</v>
      </c>
      <c r="U82" s="1">
        <v>52.2</v>
      </c>
      <c r="V82" s="1">
        <v>56.6</v>
      </c>
      <c r="W82" s="1">
        <v>78.8</v>
      </c>
      <c r="X82" s="1">
        <v>61.2</v>
      </c>
      <c r="Y82" s="1">
        <v>54.2</v>
      </c>
      <c r="Z82" s="1">
        <v>71.599999999999994</v>
      </c>
      <c r="AA82" s="1">
        <v>74.599999999999994</v>
      </c>
      <c r="AB82" s="1">
        <v>56</v>
      </c>
      <c r="AC82" s="1"/>
      <c r="AD82" s="1">
        <f t="shared" si="21"/>
        <v>190.00800000000007</v>
      </c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3">
      <c r="A83" s="1" t="s">
        <v>125</v>
      </c>
      <c r="B83" s="1" t="s">
        <v>32</v>
      </c>
      <c r="C83" s="1">
        <v>159</v>
      </c>
      <c r="D83" s="1">
        <v>80</v>
      </c>
      <c r="E83" s="1">
        <v>119</v>
      </c>
      <c r="F83" s="1">
        <v>91</v>
      </c>
      <c r="G83" s="7">
        <v>0.28000000000000003</v>
      </c>
      <c r="H83" s="1">
        <v>45</v>
      </c>
      <c r="I83" s="1" t="s">
        <v>33</v>
      </c>
      <c r="J83" s="1"/>
      <c r="K83" s="1">
        <v>127</v>
      </c>
      <c r="L83" s="1">
        <f t="shared" si="18"/>
        <v>-8</v>
      </c>
      <c r="M83" s="1"/>
      <c r="N83" s="1"/>
      <c r="O83" s="1">
        <v>56</v>
      </c>
      <c r="P83" s="1">
        <f t="shared" si="19"/>
        <v>23.8</v>
      </c>
      <c r="Q83" s="5">
        <f t="shared" si="20"/>
        <v>210</v>
      </c>
      <c r="R83" s="20"/>
      <c r="S83" s="1">
        <f t="shared" si="16"/>
        <v>15</v>
      </c>
      <c r="T83" s="1">
        <f t="shared" si="17"/>
        <v>6.1764705882352935</v>
      </c>
      <c r="U83" s="1">
        <v>17.600000000000001</v>
      </c>
      <c r="V83" s="1">
        <v>12.2</v>
      </c>
      <c r="W83" s="1">
        <v>26.4</v>
      </c>
      <c r="X83" s="1">
        <v>20</v>
      </c>
      <c r="Y83" s="1">
        <v>16.399999999999999</v>
      </c>
      <c r="Z83" s="1">
        <v>18.600000000000001</v>
      </c>
      <c r="AA83" s="1">
        <v>15.8</v>
      </c>
      <c r="AB83" s="1">
        <v>14.4</v>
      </c>
      <c r="AC83" s="1"/>
      <c r="AD83" s="1">
        <f t="shared" si="21"/>
        <v>58.800000000000004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3">
      <c r="A84" s="1" t="s">
        <v>126</v>
      </c>
      <c r="B84" s="1" t="s">
        <v>32</v>
      </c>
      <c r="C84" s="1">
        <v>265</v>
      </c>
      <c r="D84" s="1">
        <v>215</v>
      </c>
      <c r="E84" s="1">
        <v>240</v>
      </c>
      <c r="F84" s="1">
        <v>77</v>
      </c>
      <c r="G84" s="7">
        <v>0.28000000000000003</v>
      </c>
      <c r="H84" s="1">
        <v>45</v>
      </c>
      <c r="I84" s="1" t="s">
        <v>33</v>
      </c>
      <c r="J84" s="1"/>
      <c r="K84" s="1">
        <v>260</v>
      </c>
      <c r="L84" s="1">
        <f t="shared" si="18"/>
        <v>-20</v>
      </c>
      <c r="M84" s="1"/>
      <c r="N84" s="1"/>
      <c r="O84" s="1">
        <v>59</v>
      </c>
      <c r="P84" s="1">
        <f t="shared" si="19"/>
        <v>48</v>
      </c>
      <c r="Q84" s="5">
        <f>13*P84-O84-F84</f>
        <v>488</v>
      </c>
      <c r="R84" s="20"/>
      <c r="S84" s="1">
        <f t="shared" si="16"/>
        <v>13</v>
      </c>
      <c r="T84" s="1">
        <f t="shared" si="17"/>
        <v>2.8333333333333335</v>
      </c>
      <c r="U84" s="1">
        <v>34</v>
      </c>
      <c r="V84" s="1">
        <v>38.6</v>
      </c>
      <c r="W84" s="1">
        <v>62.4</v>
      </c>
      <c r="X84" s="1">
        <v>50.2</v>
      </c>
      <c r="Y84" s="1">
        <v>32.6</v>
      </c>
      <c r="Z84" s="1">
        <v>51.4</v>
      </c>
      <c r="AA84" s="1">
        <v>46.4</v>
      </c>
      <c r="AB84" s="1">
        <v>28.4</v>
      </c>
      <c r="AC84" s="1"/>
      <c r="AD84" s="1">
        <f t="shared" si="21"/>
        <v>136.64000000000001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3">
      <c r="A85" s="1" t="s">
        <v>127</v>
      </c>
      <c r="B85" s="1" t="s">
        <v>32</v>
      </c>
      <c r="C85" s="1">
        <v>431</v>
      </c>
      <c r="D85" s="1">
        <v>176</v>
      </c>
      <c r="E85" s="1">
        <v>278</v>
      </c>
      <c r="F85" s="1">
        <v>280</v>
      </c>
      <c r="G85" s="7">
        <v>0.4</v>
      </c>
      <c r="H85" s="1">
        <v>50</v>
      </c>
      <c r="I85" s="1" t="s">
        <v>33</v>
      </c>
      <c r="J85" s="1"/>
      <c r="K85" s="1">
        <v>278</v>
      </c>
      <c r="L85" s="1">
        <f t="shared" si="18"/>
        <v>0</v>
      </c>
      <c r="M85" s="1"/>
      <c r="N85" s="1"/>
      <c r="O85" s="1">
        <v>0</v>
      </c>
      <c r="P85" s="1">
        <f t="shared" si="19"/>
        <v>55.6</v>
      </c>
      <c r="Q85" s="5">
        <f t="shared" si="20"/>
        <v>554</v>
      </c>
      <c r="R85" s="20"/>
      <c r="S85" s="1">
        <f t="shared" si="16"/>
        <v>15</v>
      </c>
      <c r="T85" s="1">
        <f t="shared" si="17"/>
        <v>5.0359712230215825</v>
      </c>
      <c r="U85" s="1">
        <v>34.6</v>
      </c>
      <c r="V85" s="1">
        <v>26.4</v>
      </c>
      <c r="W85" s="1">
        <v>63</v>
      </c>
      <c r="X85" s="1">
        <v>61.8</v>
      </c>
      <c r="Y85" s="1">
        <v>33.6</v>
      </c>
      <c r="Z85" s="1">
        <v>27.2</v>
      </c>
      <c r="AA85" s="1">
        <v>59.8</v>
      </c>
      <c r="AB85" s="1">
        <v>26.4</v>
      </c>
      <c r="AC85" s="1"/>
      <c r="AD85" s="1">
        <f t="shared" si="21"/>
        <v>221.60000000000002</v>
      </c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3">
      <c r="A86" s="11" t="s">
        <v>128</v>
      </c>
      <c r="B86" s="11" t="s">
        <v>35</v>
      </c>
      <c r="C86" s="11">
        <v>22.777000000000001</v>
      </c>
      <c r="D86" s="11">
        <v>50.469000000000001</v>
      </c>
      <c r="E86" s="11">
        <v>60.722999999999999</v>
      </c>
      <c r="F86" s="11">
        <v>4.6710000000000003</v>
      </c>
      <c r="G86" s="12">
        <v>0</v>
      </c>
      <c r="H86" s="11">
        <v>50</v>
      </c>
      <c r="I86" s="11" t="s">
        <v>49</v>
      </c>
      <c r="J86" s="11"/>
      <c r="K86" s="11">
        <v>56.8</v>
      </c>
      <c r="L86" s="11">
        <f t="shared" si="18"/>
        <v>3.9230000000000018</v>
      </c>
      <c r="M86" s="11"/>
      <c r="N86" s="11"/>
      <c r="O86" s="11">
        <v>81</v>
      </c>
      <c r="P86" s="11">
        <f t="shared" si="19"/>
        <v>12.144600000000001</v>
      </c>
      <c r="Q86" s="13"/>
      <c r="R86" s="21"/>
      <c r="S86" s="11">
        <f t="shared" si="16"/>
        <v>7.0542463317029798</v>
      </c>
      <c r="T86" s="11">
        <f t="shared" si="17"/>
        <v>7.0542463317029798</v>
      </c>
      <c r="U86" s="11">
        <v>10.204599999999999</v>
      </c>
      <c r="V86" s="11">
        <v>5.8887999999999998</v>
      </c>
      <c r="W86" s="11">
        <v>9.9792000000000005</v>
      </c>
      <c r="X86" s="11">
        <v>2.3894000000000002</v>
      </c>
      <c r="Y86" s="11">
        <v>11.3804</v>
      </c>
      <c r="Z86" s="11">
        <v>10.7052</v>
      </c>
      <c r="AA86" s="11">
        <v>6.6440000000000001</v>
      </c>
      <c r="AB86" s="11">
        <v>6.9550000000000001</v>
      </c>
      <c r="AC86" s="11"/>
      <c r="AD86" s="1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3">
      <c r="A87" s="11" t="s">
        <v>129</v>
      </c>
      <c r="B87" s="11" t="s">
        <v>32</v>
      </c>
      <c r="C87" s="11">
        <v>61</v>
      </c>
      <c r="D87" s="11">
        <v>5</v>
      </c>
      <c r="E87" s="11">
        <v>43</v>
      </c>
      <c r="F87" s="11">
        <v>19</v>
      </c>
      <c r="G87" s="12">
        <v>0</v>
      </c>
      <c r="H87" s="11">
        <v>50</v>
      </c>
      <c r="I87" s="11" t="s">
        <v>49</v>
      </c>
      <c r="J87" s="11"/>
      <c r="K87" s="11">
        <v>39</v>
      </c>
      <c r="L87" s="11">
        <f t="shared" si="18"/>
        <v>4</v>
      </c>
      <c r="M87" s="11"/>
      <c r="N87" s="11"/>
      <c r="O87" s="11">
        <v>0</v>
      </c>
      <c r="P87" s="11">
        <f t="shared" si="19"/>
        <v>8.6</v>
      </c>
      <c r="Q87" s="13"/>
      <c r="R87" s="21"/>
      <c r="S87" s="11">
        <f t="shared" si="16"/>
        <v>2.2093023255813953</v>
      </c>
      <c r="T87" s="11">
        <f t="shared" si="17"/>
        <v>2.2093023255813953</v>
      </c>
      <c r="U87" s="11">
        <v>3.2</v>
      </c>
      <c r="V87" s="11">
        <v>5.4</v>
      </c>
      <c r="W87" s="11">
        <v>6.6</v>
      </c>
      <c r="X87" s="11">
        <v>2.8</v>
      </c>
      <c r="Y87" s="11">
        <v>4</v>
      </c>
      <c r="Z87" s="11">
        <v>7.6</v>
      </c>
      <c r="AA87" s="11">
        <v>1.8</v>
      </c>
      <c r="AB87" s="11">
        <v>11</v>
      </c>
      <c r="AC87" s="11" t="s">
        <v>41</v>
      </c>
      <c r="AD87" s="1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3">
      <c r="A88" s="1" t="s">
        <v>130</v>
      </c>
      <c r="B88" s="1" t="s">
        <v>32</v>
      </c>
      <c r="C88" s="1">
        <v>271</v>
      </c>
      <c r="D88" s="1">
        <v>15</v>
      </c>
      <c r="E88" s="1">
        <v>7</v>
      </c>
      <c r="F88" s="1">
        <v>2</v>
      </c>
      <c r="G88" s="7">
        <v>0.33</v>
      </c>
      <c r="H88" s="1">
        <v>30</v>
      </c>
      <c r="I88" s="1" t="s">
        <v>33</v>
      </c>
      <c r="J88" s="1"/>
      <c r="K88" s="1">
        <v>26</v>
      </c>
      <c r="L88" s="1">
        <f t="shared" si="18"/>
        <v>-19</v>
      </c>
      <c r="M88" s="1"/>
      <c r="N88" s="1"/>
      <c r="O88" s="1">
        <v>0</v>
      </c>
      <c r="P88" s="1">
        <f t="shared" si="19"/>
        <v>1.4</v>
      </c>
      <c r="Q88" s="5">
        <f>11*P88-O88-F88</f>
        <v>13.399999999999999</v>
      </c>
      <c r="R88" s="20"/>
      <c r="S88" s="1">
        <f t="shared" si="16"/>
        <v>11</v>
      </c>
      <c r="T88" s="1">
        <f t="shared" si="17"/>
        <v>1.4285714285714286</v>
      </c>
      <c r="U88" s="1">
        <v>6.6</v>
      </c>
      <c r="V88" s="1">
        <v>21.2</v>
      </c>
      <c r="W88" s="1">
        <v>6.8</v>
      </c>
      <c r="X88" s="1">
        <v>-1.2</v>
      </c>
      <c r="Y88" s="1">
        <v>22.2</v>
      </c>
      <c r="Z88" s="1">
        <v>1</v>
      </c>
      <c r="AA88" s="1">
        <v>-0.2</v>
      </c>
      <c r="AB88" s="1">
        <v>5</v>
      </c>
      <c r="AC88" s="1"/>
      <c r="AD88" s="1">
        <f>G88*Q88</f>
        <v>4.4219999999999997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3">
      <c r="A89" s="11" t="s">
        <v>131</v>
      </c>
      <c r="B89" s="11" t="s">
        <v>32</v>
      </c>
      <c r="C89" s="11">
        <v>89</v>
      </c>
      <c r="D89" s="11">
        <v>12</v>
      </c>
      <c r="E89" s="18">
        <v>36</v>
      </c>
      <c r="F89" s="18">
        <v>63</v>
      </c>
      <c r="G89" s="12">
        <v>0</v>
      </c>
      <c r="H89" s="11">
        <v>60</v>
      </c>
      <c r="I89" s="11" t="s">
        <v>49</v>
      </c>
      <c r="J89" s="11" t="s">
        <v>132</v>
      </c>
      <c r="K89" s="11">
        <v>34</v>
      </c>
      <c r="L89" s="11">
        <f t="shared" si="18"/>
        <v>2</v>
      </c>
      <c r="M89" s="11"/>
      <c r="N89" s="11"/>
      <c r="O89" s="11">
        <v>0</v>
      </c>
      <c r="P89" s="11">
        <f t="shared" si="19"/>
        <v>7.2</v>
      </c>
      <c r="Q89" s="13"/>
      <c r="R89" s="21"/>
      <c r="S89" s="11">
        <f t="shared" si="16"/>
        <v>8.75</v>
      </c>
      <c r="T89" s="11">
        <f t="shared" si="17"/>
        <v>8.75</v>
      </c>
      <c r="U89" s="11">
        <v>6.4</v>
      </c>
      <c r="V89" s="11">
        <v>9.1999999999999993</v>
      </c>
      <c r="W89" s="11">
        <v>4.2</v>
      </c>
      <c r="X89" s="11">
        <v>6.2</v>
      </c>
      <c r="Y89" s="11">
        <v>10.6</v>
      </c>
      <c r="Z89" s="11">
        <v>5.8</v>
      </c>
      <c r="AA89" s="11">
        <v>7.2</v>
      </c>
      <c r="AB89" s="11">
        <v>7.8</v>
      </c>
      <c r="AC89" s="14" t="s">
        <v>133</v>
      </c>
      <c r="AD89" s="1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3">
      <c r="A90" s="1" t="s">
        <v>134</v>
      </c>
      <c r="B90" s="1" t="s">
        <v>35</v>
      </c>
      <c r="C90" s="1"/>
      <c r="D90" s="1">
        <v>49.357999999999997</v>
      </c>
      <c r="E90" s="1"/>
      <c r="F90" s="1">
        <v>49.357999999999997</v>
      </c>
      <c r="G90" s="7">
        <v>1</v>
      </c>
      <c r="H90" s="1"/>
      <c r="I90" s="1" t="s">
        <v>33</v>
      </c>
      <c r="J90" s="1"/>
      <c r="K90" s="1"/>
      <c r="L90" s="1">
        <f t="shared" si="18"/>
        <v>0</v>
      </c>
      <c r="M90" s="1"/>
      <c r="N90" s="1"/>
      <c r="O90" s="1">
        <v>0</v>
      </c>
      <c r="P90" s="1">
        <f t="shared" si="19"/>
        <v>0</v>
      </c>
      <c r="Q90" s="5"/>
      <c r="R90" s="20"/>
      <c r="S90" s="1" t="e">
        <f t="shared" si="16"/>
        <v>#DIV/0!</v>
      </c>
      <c r="T90" s="1" t="e">
        <f t="shared" si="17"/>
        <v>#DIV/0!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 t="s">
        <v>135</v>
      </c>
      <c r="AD90" s="1">
        <f>G90*Q90</f>
        <v>0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3">
      <c r="A91" s="1" t="s">
        <v>136</v>
      </c>
      <c r="B91" s="1" t="s">
        <v>32</v>
      </c>
      <c r="C91" s="1">
        <v>203</v>
      </c>
      <c r="D91" s="1">
        <v>86</v>
      </c>
      <c r="E91" s="1">
        <v>162</v>
      </c>
      <c r="F91" s="1">
        <v>105</v>
      </c>
      <c r="G91" s="7">
        <v>0.28000000000000003</v>
      </c>
      <c r="H91" s="1">
        <v>50</v>
      </c>
      <c r="I91" s="1" t="s">
        <v>33</v>
      </c>
      <c r="J91" s="1"/>
      <c r="K91" s="1">
        <v>157</v>
      </c>
      <c r="L91" s="1">
        <f t="shared" si="18"/>
        <v>5</v>
      </c>
      <c r="M91" s="1"/>
      <c r="N91" s="1"/>
      <c r="O91" s="1">
        <v>0</v>
      </c>
      <c r="P91" s="1">
        <f t="shared" si="19"/>
        <v>32.4</v>
      </c>
      <c r="Q91" s="5">
        <f>13*P91-O91-F91</f>
        <v>316.2</v>
      </c>
      <c r="R91" s="20"/>
      <c r="S91" s="1">
        <f t="shared" si="16"/>
        <v>13</v>
      </c>
      <c r="T91" s="1">
        <f t="shared" si="17"/>
        <v>3.2407407407407409</v>
      </c>
      <c r="U91" s="1">
        <v>15.4</v>
      </c>
      <c r="V91" s="1">
        <v>20.6</v>
      </c>
      <c r="W91" s="1">
        <v>31</v>
      </c>
      <c r="X91" s="1">
        <v>5.4</v>
      </c>
      <c r="Y91" s="1">
        <v>26.6</v>
      </c>
      <c r="Z91" s="1">
        <v>25.8</v>
      </c>
      <c r="AA91" s="1">
        <v>19.600000000000001</v>
      </c>
      <c r="AB91" s="1">
        <v>2.4</v>
      </c>
      <c r="AC91" s="1"/>
      <c r="AD91" s="1">
        <f>G91*Q91</f>
        <v>88.536000000000001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3">
      <c r="A92" s="11" t="s">
        <v>137</v>
      </c>
      <c r="B92" s="11" t="s">
        <v>32</v>
      </c>
      <c r="C92" s="11">
        <v>56</v>
      </c>
      <c r="D92" s="11">
        <v>65</v>
      </c>
      <c r="E92" s="11">
        <v>44</v>
      </c>
      <c r="F92" s="11">
        <v>14</v>
      </c>
      <c r="G92" s="12">
        <v>0</v>
      </c>
      <c r="H92" s="11">
        <v>50</v>
      </c>
      <c r="I92" s="11" t="s">
        <v>49</v>
      </c>
      <c r="J92" s="11"/>
      <c r="K92" s="11">
        <v>44</v>
      </c>
      <c r="L92" s="11">
        <f t="shared" si="18"/>
        <v>0</v>
      </c>
      <c r="M92" s="11"/>
      <c r="N92" s="11"/>
      <c r="O92" s="11">
        <v>0</v>
      </c>
      <c r="P92" s="11">
        <f t="shared" si="19"/>
        <v>8.8000000000000007</v>
      </c>
      <c r="Q92" s="13"/>
      <c r="R92" s="21"/>
      <c r="S92" s="11">
        <f t="shared" si="16"/>
        <v>1.5909090909090908</v>
      </c>
      <c r="T92" s="11">
        <f t="shared" si="17"/>
        <v>1.5909090909090908</v>
      </c>
      <c r="U92" s="11">
        <v>8</v>
      </c>
      <c r="V92" s="11">
        <v>11</v>
      </c>
      <c r="W92" s="11">
        <v>1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/>
      <c r="AD92" s="1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3">
      <c r="A93" s="11" t="s">
        <v>138</v>
      </c>
      <c r="B93" s="11" t="s">
        <v>32</v>
      </c>
      <c r="C93" s="11">
        <v>66</v>
      </c>
      <c r="D93" s="11">
        <v>33</v>
      </c>
      <c r="E93" s="11">
        <v>14</v>
      </c>
      <c r="F93" s="11">
        <v>84</v>
      </c>
      <c r="G93" s="12">
        <v>0</v>
      </c>
      <c r="H93" s="11">
        <v>60</v>
      </c>
      <c r="I93" s="11" t="s">
        <v>49</v>
      </c>
      <c r="J93" s="11"/>
      <c r="K93" s="11">
        <v>15</v>
      </c>
      <c r="L93" s="11">
        <f t="shared" si="18"/>
        <v>-1</v>
      </c>
      <c r="M93" s="11"/>
      <c r="N93" s="11"/>
      <c r="O93" s="11">
        <v>0</v>
      </c>
      <c r="P93" s="11">
        <f t="shared" si="19"/>
        <v>2.8</v>
      </c>
      <c r="Q93" s="13"/>
      <c r="R93" s="21"/>
      <c r="S93" s="11">
        <f t="shared" si="16"/>
        <v>30.000000000000004</v>
      </c>
      <c r="T93" s="11">
        <f t="shared" si="17"/>
        <v>30.000000000000004</v>
      </c>
      <c r="U93" s="11">
        <v>3.6</v>
      </c>
      <c r="V93" s="11">
        <v>8</v>
      </c>
      <c r="W93" s="11">
        <v>0.8</v>
      </c>
      <c r="X93" s="11">
        <v>2.6</v>
      </c>
      <c r="Y93" s="11">
        <v>8</v>
      </c>
      <c r="Z93" s="11">
        <v>0.4</v>
      </c>
      <c r="AA93" s="11">
        <v>0</v>
      </c>
      <c r="AB93" s="11">
        <v>3</v>
      </c>
      <c r="AC93" s="17" t="s">
        <v>56</v>
      </c>
      <c r="AD93" s="1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3">
      <c r="A94" s="1" t="s">
        <v>139</v>
      </c>
      <c r="B94" s="1" t="s">
        <v>32</v>
      </c>
      <c r="C94" s="1">
        <v>279</v>
      </c>
      <c r="D94" s="1">
        <v>3</v>
      </c>
      <c r="E94" s="1">
        <v>142</v>
      </c>
      <c r="F94" s="1">
        <v>136</v>
      </c>
      <c r="G94" s="7">
        <v>0.3</v>
      </c>
      <c r="H94" s="1">
        <v>45</v>
      </c>
      <c r="I94" s="1" t="s">
        <v>33</v>
      </c>
      <c r="J94" s="1"/>
      <c r="K94" s="1">
        <v>138</v>
      </c>
      <c r="L94" s="1">
        <f t="shared" si="18"/>
        <v>4</v>
      </c>
      <c r="M94" s="1"/>
      <c r="N94" s="1"/>
      <c r="O94" s="1">
        <v>0</v>
      </c>
      <c r="P94" s="1">
        <f t="shared" si="19"/>
        <v>28.4</v>
      </c>
      <c r="Q94" s="5">
        <f>12*P94-O94-F94</f>
        <v>204.79999999999995</v>
      </c>
      <c r="R94" s="20"/>
      <c r="S94" s="1">
        <f t="shared" si="16"/>
        <v>11.999999999999998</v>
      </c>
      <c r="T94" s="1">
        <f t="shared" si="17"/>
        <v>4.788732394366197</v>
      </c>
      <c r="U94" s="1">
        <v>9</v>
      </c>
      <c r="V94" s="1">
        <v>1.8</v>
      </c>
      <c r="W94" s="1">
        <v>0</v>
      </c>
      <c r="X94" s="1">
        <v>20.399999999999999</v>
      </c>
      <c r="Y94" s="1">
        <v>15.6</v>
      </c>
      <c r="Z94" s="1">
        <v>10.4</v>
      </c>
      <c r="AA94" s="1">
        <v>9.4</v>
      </c>
      <c r="AB94" s="1">
        <v>3.2</v>
      </c>
      <c r="AC94" s="1" t="s">
        <v>163</v>
      </c>
      <c r="AD94" s="1">
        <f t="shared" ref="AD94:AD105" si="22">G94*Q94</f>
        <v>61.439999999999984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3">
      <c r="A95" s="1" t="s">
        <v>140</v>
      </c>
      <c r="B95" s="1" t="s">
        <v>32</v>
      </c>
      <c r="C95" s="1">
        <v>103</v>
      </c>
      <c r="D95" s="1">
        <v>397</v>
      </c>
      <c r="E95" s="1">
        <v>191</v>
      </c>
      <c r="F95" s="1">
        <v>273</v>
      </c>
      <c r="G95" s="7">
        <v>0.12</v>
      </c>
      <c r="H95" s="1">
        <v>60</v>
      </c>
      <c r="I95" s="1" t="s">
        <v>33</v>
      </c>
      <c r="J95" s="1"/>
      <c r="K95" s="1">
        <v>194</v>
      </c>
      <c r="L95" s="1">
        <f t="shared" si="18"/>
        <v>-3</v>
      </c>
      <c r="M95" s="1"/>
      <c r="N95" s="1"/>
      <c r="O95" s="1">
        <v>183</v>
      </c>
      <c r="P95" s="1">
        <f t="shared" si="19"/>
        <v>38.200000000000003</v>
      </c>
      <c r="Q95" s="5">
        <f>15*P95-O95-F95</f>
        <v>117</v>
      </c>
      <c r="R95" s="20"/>
      <c r="S95" s="1">
        <f t="shared" si="16"/>
        <v>14.999999999999998</v>
      </c>
      <c r="T95" s="1">
        <f t="shared" si="17"/>
        <v>11.93717277486911</v>
      </c>
      <c r="U95" s="1">
        <v>45.6</v>
      </c>
      <c r="V95" s="1">
        <v>49.6</v>
      </c>
      <c r="W95" s="1">
        <v>48.2</v>
      </c>
      <c r="X95" s="1">
        <v>46</v>
      </c>
      <c r="Y95" s="1">
        <v>50</v>
      </c>
      <c r="Z95" s="1">
        <v>48</v>
      </c>
      <c r="AA95" s="1">
        <v>44.6</v>
      </c>
      <c r="AB95" s="1">
        <v>16.8</v>
      </c>
      <c r="AC95" s="1"/>
      <c r="AD95" s="1">
        <f t="shared" si="22"/>
        <v>14.04</v>
      </c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3">
      <c r="A96" s="1" t="s">
        <v>141</v>
      </c>
      <c r="B96" s="1" t="s">
        <v>32</v>
      </c>
      <c r="C96" s="1">
        <v>185</v>
      </c>
      <c r="D96" s="1">
        <v>7</v>
      </c>
      <c r="E96" s="1">
        <v>87</v>
      </c>
      <c r="F96" s="1">
        <v>34</v>
      </c>
      <c r="G96" s="7">
        <v>0.12</v>
      </c>
      <c r="H96" s="1">
        <v>30</v>
      </c>
      <c r="I96" s="1" t="s">
        <v>33</v>
      </c>
      <c r="J96" s="1"/>
      <c r="K96" s="1">
        <v>86</v>
      </c>
      <c r="L96" s="1">
        <f t="shared" si="18"/>
        <v>1</v>
      </c>
      <c r="M96" s="1"/>
      <c r="N96" s="1"/>
      <c r="O96" s="1">
        <v>22</v>
      </c>
      <c r="P96" s="1">
        <f t="shared" si="19"/>
        <v>17.399999999999999</v>
      </c>
      <c r="Q96" s="5">
        <f>13*P96-O96-F96</f>
        <v>170.2</v>
      </c>
      <c r="R96" s="20"/>
      <c r="S96" s="1">
        <f t="shared" si="16"/>
        <v>13</v>
      </c>
      <c r="T96" s="1">
        <f t="shared" si="17"/>
        <v>3.2183908045977012</v>
      </c>
      <c r="U96" s="1">
        <v>13.8</v>
      </c>
      <c r="V96" s="1">
        <v>12.2</v>
      </c>
      <c r="W96" s="1">
        <v>16.600000000000001</v>
      </c>
      <c r="X96" s="1">
        <v>23.6</v>
      </c>
      <c r="Y96" s="1">
        <v>6</v>
      </c>
      <c r="Z96" s="1">
        <v>24.6</v>
      </c>
      <c r="AA96" s="1">
        <v>25</v>
      </c>
      <c r="AB96" s="1">
        <v>7.4</v>
      </c>
      <c r="AC96" s="1"/>
      <c r="AD96" s="1">
        <f t="shared" si="22"/>
        <v>20.423999999999999</v>
      </c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3">
      <c r="A97" s="1" t="s">
        <v>142</v>
      </c>
      <c r="B97" s="1" t="s">
        <v>32</v>
      </c>
      <c r="C97" s="1"/>
      <c r="D97" s="1">
        <v>160</v>
      </c>
      <c r="E97" s="1">
        <v>16</v>
      </c>
      <c r="F97" s="1">
        <v>141</v>
      </c>
      <c r="G97" s="7">
        <v>0.28000000000000003</v>
      </c>
      <c r="H97" s="1">
        <v>45</v>
      </c>
      <c r="I97" s="1" t="s">
        <v>33</v>
      </c>
      <c r="J97" s="1"/>
      <c r="K97" s="1">
        <v>16</v>
      </c>
      <c r="L97" s="1">
        <f t="shared" si="18"/>
        <v>0</v>
      </c>
      <c r="M97" s="1"/>
      <c r="N97" s="1"/>
      <c r="O97" s="1">
        <v>0</v>
      </c>
      <c r="P97" s="1">
        <f t="shared" si="19"/>
        <v>3.2</v>
      </c>
      <c r="Q97" s="5"/>
      <c r="R97" s="20"/>
      <c r="S97" s="1">
        <f t="shared" si="16"/>
        <v>44.0625</v>
      </c>
      <c r="T97" s="1">
        <f t="shared" si="17"/>
        <v>44.0625</v>
      </c>
      <c r="U97" s="1">
        <v>1.8</v>
      </c>
      <c r="V97" s="1">
        <v>4</v>
      </c>
      <c r="W97" s="1">
        <v>34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/>
      <c r="AD97" s="1">
        <f t="shared" si="22"/>
        <v>0</v>
      </c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3">
      <c r="A98" s="1" t="s">
        <v>143</v>
      </c>
      <c r="B98" s="1" t="s">
        <v>32</v>
      </c>
      <c r="C98" s="1"/>
      <c r="D98" s="1">
        <v>42</v>
      </c>
      <c r="E98" s="1">
        <v>20</v>
      </c>
      <c r="F98" s="1">
        <v>18</v>
      </c>
      <c r="G98" s="7">
        <v>0.4</v>
      </c>
      <c r="H98" s="1">
        <v>60</v>
      </c>
      <c r="I98" s="1" t="s">
        <v>33</v>
      </c>
      <c r="J98" s="1"/>
      <c r="K98" s="1">
        <v>16</v>
      </c>
      <c r="L98" s="1">
        <f t="shared" si="18"/>
        <v>4</v>
      </c>
      <c r="M98" s="1"/>
      <c r="N98" s="1"/>
      <c r="O98" s="1">
        <v>0</v>
      </c>
      <c r="P98" s="1">
        <f t="shared" si="19"/>
        <v>4</v>
      </c>
      <c r="Q98" s="5">
        <f>15*P98-O98-F98</f>
        <v>42</v>
      </c>
      <c r="R98" s="20"/>
      <c r="S98" s="1">
        <f t="shared" si="16"/>
        <v>15</v>
      </c>
      <c r="T98" s="1">
        <f t="shared" si="17"/>
        <v>4.5</v>
      </c>
      <c r="U98" s="1">
        <v>0</v>
      </c>
      <c r="V98" s="1">
        <v>0</v>
      </c>
      <c r="W98" s="1">
        <v>0</v>
      </c>
      <c r="X98" s="1">
        <v>0</v>
      </c>
      <c r="Y98" s="1">
        <v>7.2</v>
      </c>
      <c r="Z98" s="1">
        <v>10.4</v>
      </c>
      <c r="AA98" s="1">
        <v>5.6</v>
      </c>
      <c r="AB98" s="1">
        <v>7</v>
      </c>
      <c r="AC98" s="1"/>
      <c r="AD98" s="1">
        <f t="shared" si="22"/>
        <v>16.8</v>
      </c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3">
      <c r="A99" s="1" t="s">
        <v>144</v>
      </c>
      <c r="B99" s="1" t="s">
        <v>32</v>
      </c>
      <c r="C99" s="1">
        <v>166</v>
      </c>
      <c r="D99" s="1"/>
      <c r="E99" s="1">
        <v>93</v>
      </c>
      <c r="F99" s="1">
        <v>65</v>
      </c>
      <c r="G99" s="7">
        <v>0.35</v>
      </c>
      <c r="H99" s="1">
        <v>60</v>
      </c>
      <c r="I99" s="1" t="s">
        <v>33</v>
      </c>
      <c r="J99" s="1"/>
      <c r="K99" s="1">
        <v>87</v>
      </c>
      <c r="L99" s="1">
        <f t="shared" si="18"/>
        <v>6</v>
      </c>
      <c r="M99" s="1"/>
      <c r="N99" s="1"/>
      <c r="O99" s="1">
        <v>11</v>
      </c>
      <c r="P99" s="1">
        <f t="shared" si="19"/>
        <v>18.600000000000001</v>
      </c>
      <c r="Q99" s="5">
        <f>14*P99-O99-F99</f>
        <v>184.40000000000003</v>
      </c>
      <c r="R99" s="20"/>
      <c r="S99" s="1">
        <f t="shared" si="16"/>
        <v>14</v>
      </c>
      <c r="T99" s="1">
        <f t="shared" si="17"/>
        <v>4.086021505376344</v>
      </c>
      <c r="U99" s="1">
        <v>11.8</v>
      </c>
      <c r="V99" s="1">
        <v>9.4</v>
      </c>
      <c r="W99" s="1">
        <v>3.4</v>
      </c>
      <c r="X99" s="1">
        <v>2</v>
      </c>
      <c r="Y99" s="1">
        <v>11.4</v>
      </c>
      <c r="Z99" s="1">
        <v>9.1999999999999993</v>
      </c>
      <c r="AA99" s="1">
        <v>6.8</v>
      </c>
      <c r="AB99" s="1">
        <v>5.4</v>
      </c>
      <c r="AC99" s="1"/>
      <c r="AD99" s="1">
        <f t="shared" si="22"/>
        <v>64.540000000000006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3">
      <c r="A100" s="1" t="s">
        <v>145</v>
      </c>
      <c r="B100" s="1" t="s">
        <v>35</v>
      </c>
      <c r="C100" s="1"/>
      <c r="D100" s="1">
        <v>20.007000000000001</v>
      </c>
      <c r="E100" s="1"/>
      <c r="F100" s="1">
        <v>14.999000000000001</v>
      </c>
      <c r="G100" s="7">
        <v>1</v>
      </c>
      <c r="H100" s="1"/>
      <c r="I100" s="1" t="s">
        <v>33</v>
      </c>
      <c r="J100" s="1"/>
      <c r="K100" s="1">
        <v>0.8</v>
      </c>
      <c r="L100" s="1">
        <f t="shared" si="18"/>
        <v>-0.8</v>
      </c>
      <c r="M100" s="1"/>
      <c r="N100" s="1"/>
      <c r="O100" s="1"/>
      <c r="P100" s="1">
        <f t="shared" si="19"/>
        <v>0</v>
      </c>
      <c r="Q100" s="5"/>
      <c r="R100" s="20"/>
      <c r="S100" s="1" t="e">
        <f t="shared" ref="S100:S111" si="23">(F100+O100+Q100)/P100</f>
        <v>#DIV/0!</v>
      </c>
      <c r="T100" s="1" t="e">
        <f t="shared" ref="T100:T111" si="24">(F100+O100)/P100</f>
        <v>#DIV/0!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/>
      <c r="AD100" s="1">
        <f t="shared" si="22"/>
        <v>0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3">
      <c r="A101" s="1" t="s">
        <v>146</v>
      </c>
      <c r="B101" s="1" t="s">
        <v>32</v>
      </c>
      <c r="C101" s="1">
        <v>243</v>
      </c>
      <c r="D101" s="1">
        <v>96</v>
      </c>
      <c r="E101" s="1">
        <v>96</v>
      </c>
      <c r="F101" s="1"/>
      <c r="G101" s="7">
        <v>0.33</v>
      </c>
      <c r="H101" s="1">
        <v>45</v>
      </c>
      <c r="I101" s="1" t="s">
        <v>33</v>
      </c>
      <c r="J101" s="1"/>
      <c r="K101" s="1">
        <v>132</v>
      </c>
      <c r="L101" s="1">
        <f t="shared" si="18"/>
        <v>-36</v>
      </c>
      <c r="M101" s="1"/>
      <c r="N101" s="1"/>
      <c r="O101" s="1">
        <v>0</v>
      </c>
      <c r="P101" s="1">
        <f t="shared" si="19"/>
        <v>19.2</v>
      </c>
      <c r="Q101" s="5">
        <f>10*P101-O101-F101</f>
        <v>192</v>
      </c>
      <c r="R101" s="20"/>
      <c r="S101" s="1">
        <f t="shared" si="23"/>
        <v>10</v>
      </c>
      <c r="T101" s="1">
        <f t="shared" si="24"/>
        <v>0</v>
      </c>
      <c r="U101" s="1">
        <v>23.8</v>
      </c>
      <c r="V101" s="1">
        <v>11</v>
      </c>
      <c r="W101" s="1">
        <v>7.6</v>
      </c>
      <c r="X101" s="1">
        <v>12.2</v>
      </c>
      <c r="Y101" s="1">
        <v>0</v>
      </c>
      <c r="Z101" s="1">
        <v>0</v>
      </c>
      <c r="AA101" s="1">
        <v>0</v>
      </c>
      <c r="AB101" s="1">
        <v>0</v>
      </c>
      <c r="AC101" s="1" t="s">
        <v>147</v>
      </c>
      <c r="AD101" s="1">
        <f t="shared" si="22"/>
        <v>63.36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3">
      <c r="A102" s="10" t="s">
        <v>75</v>
      </c>
      <c r="B102" s="1" t="s">
        <v>32</v>
      </c>
      <c r="C102" s="1"/>
      <c r="D102" s="1">
        <v>50</v>
      </c>
      <c r="E102" s="18">
        <f>0+E36</f>
        <v>14</v>
      </c>
      <c r="F102" s="18">
        <f>50+F36</f>
        <v>124</v>
      </c>
      <c r="G102" s="7">
        <v>0.1</v>
      </c>
      <c r="H102" s="1">
        <v>45</v>
      </c>
      <c r="I102" s="1" t="s">
        <v>33</v>
      </c>
      <c r="J102" s="1"/>
      <c r="K102" s="1"/>
      <c r="L102" s="1">
        <f t="shared" ref="L102:L107" si="25">E102-K102</f>
        <v>14</v>
      </c>
      <c r="M102" s="1"/>
      <c r="N102" s="1"/>
      <c r="O102" s="1"/>
      <c r="P102" s="1">
        <f t="shared" ref="P102:P112" si="26">E102/5</f>
        <v>2.8</v>
      </c>
      <c r="Q102" s="5"/>
      <c r="R102" s="20"/>
      <c r="S102" s="1">
        <f t="shared" si="23"/>
        <v>44.285714285714292</v>
      </c>
      <c r="T102" s="1">
        <f t="shared" si="24"/>
        <v>44.285714285714292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0" t="s">
        <v>148</v>
      </c>
      <c r="AD102" s="1">
        <f t="shared" si="22"/>
        <v>0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3">
      <c r="A103" s="1" t="s">
        <v>65</v>
      </c>
      <c r="B103" s="1" t="s">
        <v>32</v>
      </c>
      <c r="C103" s="1">
        <v>264</v>
      </c>
      <c r="D103" s="1">
        <v>336</v>
      </c>
      <c r="E103" s="18">
        <f>133+E32</f>
        <v>137</v>
      </c>
      <c r="F103" s="18">
        <f>446+F32</f>
        <v>440</v>
      </c>
      <c r="G103" s="7">
        <v>0.4</v>
      </c>
      <c r="H103" s="1">
        <v>60</v>
      </c>
      <c r="I103" s="1" t="s">
        <v>33</v>
      </c>
      <c r="J103" s="1"/>
      <c r="K103" s="1">
        <v>135</v>
      </c>
      <c r="L103" s="1">
        <f t="shared" si="25"/>
        <v>2</v>
      </c>
      <c r="M103" s="1"/>
      <c r="N103" s="1"/>
      <c r="O103" s="1">
        <v>0</v>
      </c>
      <c r="P103" s="1">
        <f t="shared" si="26"/>
        <v>27.4</v>
      </c>
      <c r="Q103" s="5"/>
      <c r="R103" s="20"/>
      <c r="S103" s="1">
        <f t="shared" si="23"/>
        <v>16.058394160583944</v>
      </c>
      <c r="T103" s="1">
        <f t="shared" si="24"/>
        <v>16.058394160583944</v>
      </c>
      <c r="U103" s="1">
        <v>8.8000000000000007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0" t="s">
        <v>149</v>
      </c>
      <c r="AD103" s="1">
        <f t="shared" si="22"/>
        <v>0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3">
      <c r="A104" s="19" t="s">
        <v>150</v>
      </c>
      <c r="B104" s="1" t="s">
        <v>32</v>
      </c>
      <c r="C104" s="1"/>
      <c r="D104" s="1"/>
      <c r="E104" s="1"/>
      <c r="F104" s="1"/>
      <c r="G104" s="7">
        <v>0.1</v>
      </c>
      <c r="H104" s="1"/>
      <c r="I104" s="1" t="s">
        <v>33</v>
      </c>
      <c r="J104" s="1"/>
      <c r="K104" s="1"/>
      <c r="L104" s="1">
        <f t="shared" si="25"/>
        <v>0</v>
      </c>
      <c r="M104" s="1"/>
      <c r="N104" s="1"/>
      <c r="O104" s="1">
        <v>0</v>
      </c>
      <c r="P104" s="1">
        <f t="shared" si="26"/>
        <v>0</v>
      </c>
      <c r="Q104" s="5">
        <v>100</v>
      </c>
      <c r="R104" s="20"/>
      <c r="S104" s="1" t="e">
        <f t="shared" si="23"/>
        <v>#DIV/0!</v>
      </c>
      <c r="T104" s="1" t="e">
        <f t="shared" si="24"/>
        <v>#DIV/0!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0" t="s">
        <v>151</v>
      </c>
      <c r="AD104" s="1">
        <f t="shared" si="22"/>
        <v>10</v>
      </c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3">
      <c r="A105" s="19" t="s">
        <v>152</v>
      </c>
      <c r="B105" s="1" t="s">
        <v>32</v>
      </c>
      <c r="C105" s="1"/>
      <c r="D105" s="1"/>
      <c r="E105" s="1"/>
      <c r="F105" s="1"/>
      <c r="G105" s="7">
        <v>0.1</v>
      </c>
      <c r="H105" s="1"/>
      <c r="I105" s="1" t="s">
        <v>33</v>
      </c>
      <c r="J105" s="1"/>
      <c r="K105" s="1"/>
      <c r="L105" s="1">
        <f t="shared" si="25"/>
        <v>0</v>
      </c>
      <c r="M105" s="1"/>
      <c r="N105" s="1"/>
      <c r="O105" s="1">
        <v>0</v>
      </c>
      <c r="P105" s="1">
        <f t="shared" si="26"/>
        <v>0</v>
      </c>
      <c r="Q105" s="5">
        <v>100</v>
      </c>
      <c r="R105" s="20"/>
      <c r="S105" s="1" t="e">
        <f t="shared" si="23"/>
        <v>#DIV/0!</v>
      </c>
      <c r="T105" s="1" t="e">
        <f t="shared" si="24"/>
        <v>#DIV/0!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0" t="s">
        <v>151</v>
      </c>
      <c r="AD105" s="1">
        <f t="shared" si="22"/>
        <v>10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3">
      <c r="A106" s="11" t="s">
        <v>153</v>
      </c>
      <c r="B106" s="11" t="s">
        <v>32</v>
      </c>
      <c r="C106" s="11">
        <v>29</v>
      </c>
      <c r="D106" s="11"/>
      <c r="E106" s="11"/>
      <c r="F106" s="18">
        <v>29</v>
      </c>
      <c r="G106" s="12">
        <v>0</v>
      </c>
      <c r="H106" s="11"/>
      <c r="I106" s="11" t="s">
        <v>154</v>
      </c>
      <c r="J106" s="11" t="s">
        <v>105</v>
      </c>
      <c r="K106" s="11"/>
      <c r="L106" s="11">
        <f t="shared" si="25"/>
        <v>0</v>
      </c>
      <c r="M106" s="11"/>
      <c r="N106" s="11"/>
      <c r="O106" s="11">
        <v>0</v>
      </c>
      <c r="P106" s="11">
        <f t="shared" si="26"/>
        <v>0</v>
      </c>
      <c r="Q106" s="13"/>
      <c r="R106" s="21"/>
      <c r="S106" s="11" t="e">
        <f t="shared" si="23"/>
        <v>#DIV/0!</v>
      </c>
      <c r="T106" s="11" t="e">
        <f t="shared" si="24"/>
        <v>#DIV/0!</v>
      </c>
      <c r="U106" s="11">
        <v>0</v>
      </c>
      <c r="V106" s="11">
        <v>0</v>
      </c>
      <c r="W106" s="11">
        <v>2.2000000000000002</v>
      </c>
      <c r="X106" s="11">
        <v>2.8</v>
      </c>
      <c r="Y106" s="11">
        <v>0</v>
      </c>
      <c r="Z106" s="11">
        <v>0</v>
      </c>
      <c r="AA106" s="11">
        <v>2.2000000000000002</v>
      </c>
      <c r="AB106" s="11">
        <v>3.2</v>
      </c>
      <c r="AC106" s="11"/>
      <c r="AD106" s="1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3">
      <c r="A107" s="11" t="s">
        <v>155</v>
      </c>
      <c r="B107" s="11" t="s">
        <v>35</v>
      </c>
      <c r="C107" s="11">
        <v>-3.11</v>
      </c>
      <c r="D107" s="11">
        <v>3.11</v>
      </c>
      <c r="E107" s="11"/>
      <c r="F107" s="11"/>
      <c r="G107" s="12">
        <v>0</v>
      </c>
      <c r="H107" s="11"/>
      <c r="I107" s="11" t="s">
        <v>154</v>
      </c>
      <c r="J107" s="11" t="s">
        <v>107</v>
      </c>
      <c r="K107" s="11"/>
      <c r="L107" s="11">
        <f t="shared" si="25"/>
        <v>0</v>
      </c>
      <c r="M107" s="11"/>
      <c r="N107" s="11"/>
      <c r="O107" s="11">
        <v>0</v>
      </c>
      <c r="P107" s="11">
        <f t="shared" si="26"/>
        <v>0</v>
      </c>
      <c r="Q107" s="13"/>
      <c r="R107" s="21"/>
      <c r="S107" s="11" t="e">
        <f t="shared" si="23"/>
        <v>#DIV/0!</v>
      </c>
      <c r="T107" s="11" t="e">
        <f t="shared" si="24"/>
        <v>#DIV/0!</v>
      </c>
      <c r="U107" s="11">
        <v>0.622</v>
      </c>
      <c r="V107" s="11">
        <v>0.95199999999999996</v>
      </c>
      <c r="W107" s="11">
        <v>1.24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/>
      <c r="AD107" s="1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3">
      <c r="A108" s="11" t="s">
        <v>156</v>
      </c>
      <c r="B108" s="11" t="s">
        <v>35</v>
      </c>
      <c r="C108" s="11"/>
      <c r="D108" s="11"/>
      <c r="E108" s="11"/>
      <c r="F108" s="11"/>
      <c r="G108" s="12">
        <v>0</v>
      </c>
      <c r="H108" s="11"/>
      <c r="I108" s="11" t="s">
        <v>33</v>
      </c>
      <c r="J108" s="11"/>
      <c r="K108" s="11"/>
      <c r="L108" s="11"/>
      <c r="M108" s="11"/>
      <c r="N108" s="11"/>
      <c r="O108" s="11"/>
      <c r="P108" s="11">
        <f t="shared" si="26"/>
        <v>0</v>
      </c>
      <c r="Q108" s="13"/>
      <c r="R108" s="21"/>
      <c r="S108" s="11" t="e">
        <f t="shared" si="23"/>
        <v>#DIV/0!</v>
      </c>
      <c r="T108" s="11" t="e">
        <f t="shared" si="24"/>
        <v>#DIV/0!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4" t="s">
        <v>157</v>
      </c>
      <c r="AD108" s="1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3">
      <c r="A109" s="11" t="s">
        <v>158</v>
      </c>
      <c r="B109" s="14" t="s">
        <v>32</v>
      </c>
      <c r="C109" s="11"/>
      <c r="D109" s="11"/>
      <c r="E109" s="11"/>
      <c r="F109" s="11"/>
      <c r="G109" s="12">
        <v>0</v>
      </c>
      <c r="H109" s="11"/>
      <c r="I109" s="11" t="s">
        <v>33</v>
      </c>
      <c r="J109" s="11"/>
      <c r="K109" s="11"/>
      <c r="L109" s="11"/>
      <c r="M109" s="11"/>
      <c r="N109" s="11"/>
      <c r="O109" s="11"/>
      <c r="P109" s="11">
        <f t="shared" si="26"/>
        <v>0</v>
      </c>
      <c r="Q109" s="13"/>
      <c r="R109" s="21"/>
      <c r="S109" s="11" t="e">
        <f t="shared" si="23"/>
        <v>#DIV/0!</v>
      </c>
      <c r="T109" s="11" t="e">
        <f t="shared" si="24"/>
        <v>#DIV/0!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4" t="s">
        <v>157</v>
      </c>
      <c r="AD109" s="1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3">
      <c r="A110" s="10" t="s">
        <v>69</v>
      </c>
      <c r="B110" s="10" t="s">
        <v>32</v>
      </c>
      <c r="C110" s="1"/>
      <c r="D110" s="1"/>
      <c r="E110" s="18">
        <f>0+E34</f>
        <v>45</v>
      </c>
      <c r="F110" s="18">
        <f>0+F34</f>
        <v>2</v>
      </c>
      <c r="G110" s="7">
        <v>0.1</v>
      </c>
      <c r="H110" s="1">
        <v>60</v>
      </c>
      <c r="I110" s="1" t="s">
        <v>33</v>
      </c>
      <c r="J110" s="1"/>
      <c r="K110" s="1"/>
      <c r="L110" s="1"/>
      <c r="M110" s="1"/>
      <c r="N110" s="1"/>
      <c r="O110" s="1">
        <v>138</v>
      </c>
      <c r="P110" s="1">
        <f t="shared" si="26"/>
        <v>9</v>
      </c>
      <c r="Q110" s="5"/>
      <c r="R110" s="20"/>
      <c r="S110" s="1">
        <f t="shared" si="23"/>
        <v>15.555555555555555</v>
      </c>
      <c r="T110" s="1">
        <f t="shared" si="24"/>
        <v>15.555555555555555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0" t="s">
        <v>159</v>
      </c>
      <c r="AD110" s="1">
        <f>G110*Q110</f>
        <v>0</v>
      </c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3">
      <c r="A111" s="10" t="s">
        <v>132</v>
      </c>
      <c r="B111" s="10" t="s">
        <v>32</v>
      </c>
      <c r="C111" s="1"/>
      <c r="D111" s="1"/>
      <c r="E111" s="18">
        <f>0+E89</f>
        <v>36</v>
      </c>
      <c r="F111" s="18">
        <f>0+F89</f>
        <v>63</v>
      </c>
      <c r="G111" s="7">
        <v>0.1</v>
      </c>
      <c r="H111" s="1">
        <v>60</v>
      </c>
      <c r="I111" s="1" t="s">
        <v>33</v>
      </c>
      <c r="J111" s="1"/>
      <c r="K111" s="1"/>
      <c r="L111" s="1"/>
      <c r="M111" s="1"/>
      <c r="N111" s="1"/>
      <c r="O111" s="1"/>
      <c r="P111" s="1">
        <f t="shared" si="26"/>
        <v>7.2</v>
      </c>
      <c r="Q111" s="5">
        <f>15*P111-O111-F111</f>
        <v>45</v>
      </c>
      <c r="R111" s="20"/>
      <c r="S111" s="1">
        <f t="shared" si="23"/>
        <v>15</v>
      </c>
      <c r="T111" s="1">
        <f t="shared" si="24"/>
        <v>8.75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0" t="s">
        <v>160</v>
      </c>
      <c r="AD111" s="1">
        <f>G111*Q111</f>
        <v>4.5</v>
      </c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3">
      <c r="A112" s="10" t="s">
        <v>72</v>
      </c>
      <c r="B112" s="10" t="s">
        <v>32</v>
      </c>
      <c r="C112" s="1"/>
      <c r="D112" s="1"/>
      <c r="E112" s="18">
        <f>0+E35</f>
        <v>199</v>
      </c>
      <c r="F112" s="18">
        <f>0+F35</f>
        <v>210</v>
      </c>
      <c r="G112" s="7">
        <v>0.1</v>
      </c>
      <c r="H112" s="1">
        <v>60</v>
      </c>
      <c r="I112" s="1" t="s">
        <v>33</v>
      </c>
      <c r="J112" s="1"/>
      <c r="K112" s="1"/>
      <c r="L112" s="1"/>
      <c r="M112" s="1"/>
      <c r="N112" s="1"/>
      <c r="O112" s="1">
        <v>122</v>
      </c>
      <c r="P112" s="1">
        <f t="shared" si="26"/>
        <v>39.799999999999997</v>
      </c>
      <c r="Q112" s="5">
        <f>15*P112-O112-F112</f>
        <v>265</v>
      </c>
      <c r="R112" s="20"/>
      <c r="S112" s="1" t="e">
        <f>(F112+#REF!+Q112)/P112</f>
        <v>#REF!</v>
      </c>
      <c r="T112" s="1" t="e">
        <f>(F112+#REF!)/P112</f>
        <v>#REF!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0" t="s">
        <v>161</v>
      </c>
      <c r="AD112" s="1">
        <f>G112*Q112</f>
        <v>26.5</v>
      </c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3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3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3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3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3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3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3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3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3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3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3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3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3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3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3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3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3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3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3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3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3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3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3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3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3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3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3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3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3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3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3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3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3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3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3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3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3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3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3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3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3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3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3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3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3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3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3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3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3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3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3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3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3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3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3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3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3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3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3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3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3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3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3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3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3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3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3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3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3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3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3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3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3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3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3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3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3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3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3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3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3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3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3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3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3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3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3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3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3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3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3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3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3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3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3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3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3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3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3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3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3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3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3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3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3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3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3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3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3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3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3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3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3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3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3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3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3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3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3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3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3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3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3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3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3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3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3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3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3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3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3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3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3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3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3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3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3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3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3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3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3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3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3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3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3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3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3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3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3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3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3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3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3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3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3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3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3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3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3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3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3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3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3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3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3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3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3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3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3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3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3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3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3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3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3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3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3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3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3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3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3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3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3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3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3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3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3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3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3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3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3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3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3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3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3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3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3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3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3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3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3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3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3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3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3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3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3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3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3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3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3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3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3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3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3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3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3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3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3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3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3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3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3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3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3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3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3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3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3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3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3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3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3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3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3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3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3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3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3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3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3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3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3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3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3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3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3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3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3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3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3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3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3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3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3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3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3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3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3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3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3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3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3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3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3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3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3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3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3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3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3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3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3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3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3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3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3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3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3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3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3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3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3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3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3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3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3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3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3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3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3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3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3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3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3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3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3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3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3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3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3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3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3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3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3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3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3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3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3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3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3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3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3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3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3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3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3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3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3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3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3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3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3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3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3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3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3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3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3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3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3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3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3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3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3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3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3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3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3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3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3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3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3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3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3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3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3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3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3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3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3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3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3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3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3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3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3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3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3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3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3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3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3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3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3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3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3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3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3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3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3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3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3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3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3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3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3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3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3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3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3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3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3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3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3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3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D11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2026-07-20T16:59:51Z</dcterms:created>
  <dcterms:modified xsi:type="dcterms:W3CDTF">2026-07-21T09:54:47Z</dcterms:modified>
</cp:coreProperties>
</file>