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26,07 САП Донецк КИ\"/>
    </mc:Choice>
  </mc:AlternateContent>
  <xr:revisionPtr revIDLastSave="0" documentId="13_ncr:1_{22BCD46A-E285-4FF0-A046-2FCF4131C9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Бланк!$A$9:$J$166</definedName>
    <definedName name="кол_во_инд.__упак_к">Бланк!$AC$3:$AC$602</definedName>
    <definedName name="номин.вес_нетто__кг">Бланк!$W$3:$W$602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6" i="1" l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6" i="1" s="1"/>
  <c r="A11" i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<sst xmlns="http://schemas.openxmlformats.org/spreadsheetml/2006/main" count="665" uniqueCount="227">
  <si>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</si>
  <si>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</si>
  <si>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</si>
  <si>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</si>
  <si>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</si>
  <si>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</si>
  <si>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</si>
  <si>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</si>
  <si>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</si>
  <si>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</si>
  <si>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</si>
  <si>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</si>
  <si>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</si>
  <si>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</si>
  <si>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</si>
  <si>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</si>
  <si>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</si>
  <si>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</si>
  <si>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</si>
  <si>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</si>
  <si>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</si>
  <si>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</si>
  <si>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</si>
  <si>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</si>
  <si>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</si>
  <si>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</si>
  <si>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</si>
  <si>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</si>
  <si>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</si>
  <si>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</si>
  <si>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</si>
  <si>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</si>
  <si>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</si>
  <si>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</si>
  <si>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</si>
  <si>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</si>
  <si>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</si>
  <si>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</si>
  <si>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</si>
  <si>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</si>
  <si>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</si>
  <si>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</si>
  <si>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</si>
  <si>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</si>
  <si>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</si>
  <si>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</si>
  <si>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</si>
  <si>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</si>
  <si>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</si>
  <si>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</si>
  <si>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</si>
  <si>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</si>
  <si>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</si>
  <si>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</si>
  <si>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</si>
  <si>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</si>
  <si>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</si>
  <si>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</si>
  <si>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</si>
  <si>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8шт.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</si>
  <si>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</si>
  <si>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</si>
  <si>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</si>
  <si>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</si>
  <si>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</si>
  <si>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</si>
  <si>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</si>
  <si>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</si>
  <si>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</si>
  <si>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</si>
  <si>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</si>
  <si>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</si>
  <si>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</si>
  <si>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</si>
  <si>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</si>
  <si>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</si>
  <si>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</si>
  <si>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</si>
  <si>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</si>
  <si>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</si>
  <si>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</si>
  <si>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</si>
  <si>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</si>
  <si>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</si>
  <si>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</si>
  <si>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</si>
  <si>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</si>
  <si>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</si>
  <si>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</si>
  <si>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</si>
  <si>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</si>
  <si>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</si>
  <si>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</si>
  <si>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</si>
  <si>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</si>
  <si>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</si>
  <si>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</si>
  <si>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</si>
  <si>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</si>
  <si>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</si>
  <si>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</si>
  <si>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</si>
  <si>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</si>
  <si>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</si>
  <si>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</si>
  <si>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</si>
  <si>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</si>
  <si>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</si>
  <si>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</si>
  <si>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</si>
  <si>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</si>
  <si>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</si>
  <si>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</si>
  <si>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</si>
  <si>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</si>
  <si>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</si>
  <si>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</si>
  <si>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</si>
  <si>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</si>
  <si>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</si>
  <si>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</si>
  <si>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</si>
  <si>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</si>
  <si>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</si>
  <si>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</si>
  <si>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</si>
  <si>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</si>
  <si>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</si>
  <si>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</si>
  <si>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</si>
  <si>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</si>
  <si>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</si>
  <si>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</si>
  <si>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</si>
  <si>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</si>
  <si>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</si>
  <si>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</si>
  <si>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</si>
  <si>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</si>
  <si>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</si>
  <si>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</si>
  <si>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</si>
  <si>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</si>
  <si>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</si>
  <si>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</si>
  <si>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</si>
  <si>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</si>
  <si>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</si>
  <si>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</si>
  <si>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</si>
  <si>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</si>
  <si>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</si>
  <si>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</si>
  <si>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</si>
  <si>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</si>
  <si>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</si>
  <si>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</si>
  <si>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</si>
  <si>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</si>
  <si>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</si>
  <si>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</si>
  <si>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</si>
  <si>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</si>
  <si>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</si>
  <si>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</si>
  <si>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</si>
  <si>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</si>
  <si>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</si>
  <si>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</si>
  <si>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</si>
  <si>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</si>
  <si>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</si>
  <si>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</si>
  <si>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</si>
  <si>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</si>
  <si>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</si>
  <si>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</si>
  <si>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</si>
  <si>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</si>
  <si>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</si>
  <si>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</si>
  <si>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</si>
  <si>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</si>
  <si>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</si>
  <si>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</si>
  <si>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</si>
  <si>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</si>
  <si>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</si>
  <si>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</si>
  <si>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</si>
  <si>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</si>
  <si>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</si>
  <si>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</si>
  <si>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</si>
  <si>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</si>
  <si>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</si>
  <si>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</si>
  <si>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</si>
  <si>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</si>
  <si>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</si>
  <si>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</si>
  <si>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</si>
  <si>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</si>
  <si>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</si>
  <si>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</si>
  <si>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</si>
  <si>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</si>
  <si>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</si>
  <si>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</si>
  <si>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</si>
  <si>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</si>
  <si>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</si>
  <si>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</si>
  <si>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</si>
  <si>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</si>
  <si>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</si>
  <si>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</si>
  <si>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</si>
  <si>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</si>
  <si>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</si>
  <si>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</si>
  <si>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</si>
  <si>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</si>
  <si>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</si>
  <si>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</si>
  <si>
    <t>ДЛЯ ДЕТЕЙ сос п/о мгс 0.33кг 6шт.</t>
  </si>
  <si>
    <t xml:space="preserve">ДЛЯ ДЕТЕЙ Папа может сос п/о мгс 0.33кг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</si>
</sst>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0"/>
  <sheetViews>
    <sheetView tabSelected="1" zoomScale="85" zoomScaleNormal="85" workbookViewId="0">
      <pane ySplit="9" topLeftCell="A164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8">
        <v>130438120</v>
      </c>
      <c r="E1" s="110" t="s">
        <v>1</v>
      </c>
      <c r="F1" s="111"/>
      <c r="G1" s="111"/>
      <c r="H1" s="111"/>
      <c r="I1" s="111"/>
      <c r="J1" s="112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9">
        <v>46229</v>
      </c>
      <c r="E3" s="5" t="s">
        <v>5</v>
      </c>
      <c r="F3" s="109">
        <f>D3+3</f>
        <v>46232</v>
      </c>
      <c r="G3" s="113" t="str">
        <f>VLOOKUP(D1,K:L,2,0)</f>
        <v xml:space="preserve">130438120 ООО "НОВОЕ ВРЕМЯ"  93 Донецк г      Чаадаева ул.д.1        </v>
      </c>
      <c r="H3" s="111"/>
      <c r="I3" s="111"/>
      <c r="J3" s="112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5" si="0">RIGHT(D11,4)</f>
        <v>7523</v>
      </c>
      <c r="B11" s="50" t="s">
        <v>24</v>
      </c>
      <c r="C11" s="41" t="s">
        <v>25</v>
      </c>
      <c r="D11" s="53">
        <v>1001012427523</v>
      </c>
      <c r="E11" s="17">
        <v>7</v>
      </c>
      <c r="F11" s="16">
        <v>0.4</v>
      </c>
      <c r="G11" s="16">
        <f>E11*F11</f>
        <v>2.8000000000000003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27</v>
      </c>
      <c r="C12" s="41" t="s">
        <v>28</v>
      </c>
      <c r="D12" s="53">
        <v>1001012426220</v>
      </c>
      <c r="E12" s="17">
        <v>165</v>
      </c>
      <c r="F12" s="16">
        <v>1.35</v>
      </c>
      <c r="G12" s="16">
        <f>E12</f>
        <v>165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29</v>
      </c>
      <c r="C13" s="41" t="s">
        <v>25</v>
      </c>
      <c r="D13" s="53">
        <v>1001010017539</v>
      </c>
      <c r="E13" s="17">
        <v>13</v>
      </c>
      <c r="F13" s="16">
        <v>0.35</v>
      </c>
      <c r="G13" s="16">
        <f>E13*F13</f>
        <v>4.55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34</v>
      </c>
      <c r="C16" s="41" t="s">
        <v>28</v>
      </c>
      <c r="D16" s="53">
        <v>1001015646861</v>
      </c>
      <c r="E16" s="17">
        <v>29</v>
      </c>
      <c r="F16" s="16">
        <v>1.95</v>
      </c>
      <c r="G16" s="16">
        <f>E16</f>
        <v>29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37</v>
      </c>
      <c r="C19" s="41" t="s">
        <v>28</v>
      </c>
      <c r="D19" s="53">
        <v>1001012456498</v>
      </c>
      <c r="E19" s="17">
        <v>250</v>
      </c>
      <c r="F19" s="16">
        <v>1</v>
      </c>
      <c r="G19" s="16">
        <f>E19</f>
        <v>250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38</v>
      </c>
      <c r="C20" s="41" t="s">
        <v>28</v>
      </c>
      <c r="D20" s="53">
        <v>1001012484063</v>
      </c>
      <c r="E20" s="17">
        <v>613</v>
      </c>
      <c r="F20" s="16">
        <v>1.35</v>
      </c>
      <c r="G20" s="16">
        <f>E20</f>
        <v>613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39</v>
      </c>
      <c r="C21" s="41" t="s">
        <v>25</v>
      </c>
      <c r="D21" s="53">
        <v>1001012486333</v>
      </c>
      <c r="E21" s="17">
        <v>1200</v>
      </c>
      <c r="F21" s="16">
        <v>0.4</v>
      </c>
      <c r="G21" s="16">
        <f>E21*F21</f>
        <v>480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42</v>
      </c>
      <c r="C24" s="41" t="s">
        <v>28</v>
      </c>
      <c r="D24" s="53">
        <v>1001012564813</v>
      </c>
      <c r="E24" s="17">
        <v>400</v>
      </c>
      <c r="F24" s="43">
        <v>1.35</v>
      </c>
      <c r="G24" s="16">
        <f>E24</f>
        <v>400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43</v>
      </c>
      <c r="C25" s="41" t="s">
        <v>25</v>
      </c>
      <c r="D25" s="53">
        <v>1001012566392</v>
      </c>
      <c r="E25" s="17"/>
      <c r="F25" s="43">
        <v>0.4</v>
      </c>
      <c r="G25" s="16">
        <f>E25*F25</f>
        <v>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44</v>
      </c>
      <c r="C26" s="41" t="s">
        <v>28</v>
      </c>
      <c r="D26" s="53">
        <v>1001012505851</v>
      </c>
      <c r="E26" s="17">
        <v>48</v>
      </c>
      <c r="F26" s="43">
        <v>1.35</v>
      </c>
      <c r="G26" s="16">
        <f>E26</f>
        <v>48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45</v>
      </c>
      <c r="C27" s="41" t="s">
        <v>25</v>
      </c>
      <c r="D27" s="53">
        <v>1001012507632</v>
      </c>
      <c r="E27" s="17">
        <v>37</v>
      </c>
      <c r="F27" s="43">
        <v>0.4</v>
      </c>
      <c r="G27" s="16">
        <f>E27*F27</f>
        <v>14.8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25</v>
      </c>
      <c r="D30" s="53">
        <v>1001010106325</v>
      </c>
      <c r="E30" s="17">
        <v>36</v>
      </c>
      <c r="F30" s="16">
        <v>0.4</v>
      </c>
      <c r="G30" s="16">
        <f>E30*F30</f>
        <v>14.4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 t="str">
        <f t="shared" si="0"/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 t="str">
        <f t="shared" si="0"/>
        <v>6797</v>
      </c>
      <c r="B34" s="50" t="s">
        <v>55</v>
      </c>
      <c r="C34" s="41" t="s">
        <v>25</v>
      </c>
      <c r="D34" s="53">
        <v>1001015026797</v>
      </c>
      <c r="E34" s="17">
        <v>100</v>
      </c>
      <c r="F34" s="43">
        <v>0.4</v>
      </c>
      <c r="G34" s="16">
        <f>E34*F34</f>
        <v>40</v>
      </c>
      <c r="H34" s="44">
        <v>3.2</v>
      </c>
      <c r="I34" s="44">
        <v>60</v>
      </c>
      <c r="J34" s="44"/>
    </row>
    <row r="35" spans="1:10" ht="16.5" customHeight="1" thickBot="1" x14ac:dyDescent="0.3">
      <c r="A35" s="42" t="str">
        <f t="shared" si="0"/>
        <v>7231</v>
      </c>
      <c r="B35" s="50" t="s">
        <v>56</v>
      </c>
      <c r="C35" s="41" t="s">
        <v>25</v>
      </c>
      <c r="D35" s="53">
        <v>1001013957231</v>
      </c>
      <c r="E35" s="17">
        <v>17</v>
      </c>
      <c r="F35" s="43">
        <v>0.3</v>
      </c>
      <c r="G35" s="16">
        <f>E35*F35</f>
        <v>5.0999999999999996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 t="str">
        <f t="shared" ref="A37:A71" si="1">RIGHT(D37,4)</f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3" si="2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 t="str">
        <f t="shared" si="1"/>
        <v>7284</v>
      </c>
      <c r="B38" s="50" t="s">
        <v>59</v>
      </c>
      <c r="C38" s="41" t="s">
        <v>25</v>
      </c>
      <c r="D38" s="53">
        <v>1001025767284</v>
      </c>
      <c r="E38" s="17">
        <v>6</v>
      </c>
      <c r="F38" s="43">
        <v>0.33</v>
      </c>
      <c r="G38" s="16">
        <f t="shared" si="2"/>
        <v>1.98</v>
      </c>
      <c r="H38" s="44">
        <v>1.98</v>
      </c>
      <c r="I38" s="44">
        <v>30</v>
      </c>
      <c r="J38" s="44"/>
    </row>
    <row r="39" spans="1:10" ht="16.5" customHeight="1" x14ac:dyDescent="0.25">
      <c r="A39" s="42" t="str">
        <f t="shared" si="1"/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2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 t="str">
        <f t="shared" si="1"/>
        <v>7461</v>
      </c>
      <c r="B40" s="50" t="s">
        <v>61</v>
      </c>
      <c r="C40" s="41" t="s">
        <v>25</v>
      </c>
      <c r="D40" s="53">
        <v>1001025767461</v>
      </c>
      <c r="E40" s="17">
        <v>82</v>
      </c>
      <c r="F40" s="43">
        <v>0.33</v>
      </c>
      <c r="G40" s="16">
        <f t="shared" si="2"/>
        <v>27.060000000000002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 t="str">
        <f t="shared" si="1"/>
        <v>7371</v>
      </c>
      <c r="B41" s="50" t="s">
        <v>63</v>
      </c>
      <c r="C41" s="41" t="s">
        <v>25</v>
      </c>
      <c r="D41" s="53">
        <v>1001026947371</v>
      </c>
      <c r="E41" s="17">
        <v>41</v>
      </c>
      <c r="F41" s="43">
        <v>0.3</v>
      </c>
      <c r="G41" s="16">
        <f t="shared" si="2"/>
        <v>12.299999999999999</v>
      </c>
      <c r="H41" s="44">
        <v>2.4</v>
      </c>
      <c r="I41" s="44">
        <v>45</v>
      </c>
      <c r="J41" s="44"/>
    </row>
    <row r="42" spans="1:10" ht="16.5" customHeight="1" x14ac:dyDescent="0.25">
      <c r="A42" s="42" t="str">
        <f t="shared" si="1"/>
        <v>7040</v>
      </c>
      <c r="B42" s="50" t="s">
        <v>64</v>
      </c>
      <c r="C42" s="41" t="s">
        <v>25</v>
      </c>
      <c r="D42" s="53">
        <v>1001025027040</v>
      </c>
      <c r="E42" s="17">
        <v>300</v>
      </c>
      <c r="F42" s="43">
        <v>0.27</v>
      </c>
      <c r="G42" s="16">
        <f t="shared" si="2"/>
        <v>81</v>
      </c>
      <c r="H42" s="44"/>
      <c r="I42" s="44"/>
      <c r="J42" s="44"/>
    </row>
    <row r="43" spans="1:10" ht="16.5" customHeight="1" x14ac:dyDescent="0.25">
      <c r="A43" s="42" t="str">
        <f t="shared" si="1"/>
        <v>6759</v>
      </c>
      <c r="B43" s="50" t="s">
        <v>65</v>
      </c>
      <c r="C43" s="41" t="s">
        <v>25</v>
      </c>
      <c r="D43" s="53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66</v>
      </c>
      <c r="C44" s="41" t="s">
        <v>28</v>
      </c>
      <c r="D44" s="53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67</v>
      </c>
      <c r="C45" s="41" t="s">
        <v>28</v>
      </c>
      <c r="D45" s="53">
        <v>1001024976829</v>
      </c>
      <c r="E45" s="17">
        <v>240</v>
      </c>
      <c r="F45" s="43">
        <v>2.1</v>
      </c>
      <c r="G45" s="16">
        <f>E45</f>
        <v>240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68</v>
      </c>
      <c r="C46" s="41" t="s">
        <v>25</v>
      </c>
      <c r="D46" s="53">
        <v>1001024976616</v>
      </c>
      <c r="E46" s="17"/>
      <c r="F46" s="43">
        <v>0.3</v>
      </c>
      <c r="G46" s="16">
        <f>E46*F46</f>
        <v>0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69</v>
      </c>
      <c r="C47" s="41" t="s">
        <v>28</v>
      </c>
      <c r="D47" s="53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70</v>
      </c>
      <c r="C48" s="41" t="s">
        <v>25</v>
      </c>
      <c r="D48" s="53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71</v>
      </c>
      <c r="C49" s="41" t="s">
        <v>25</v>
      </c>
      <c r="D49" s="53">
        <v>1001022657073</v>
      </c>
      <c r="E49" s="17">
        <v>78</v>
      </c>
      <c r="F49" s="43">
        <v>0.35</v>
      </c>
      <c r="G49" s="16">
        <f>E49*F49</f>
        <v>27.299999999999997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72</v>
      </c>
      <c r="C50" s="41" t="s">
        <v>25</v>
      </c>
      <c r="D50" s="53">
        <v>1001020836724</v>
      </c>
      <c r="E50" s="17"/>
      <c r="F50" s="43">
        <v>0.41</v>
      </c>
      <c r="G50" s="16">
        <f>E50*F50</f>
        <v>0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73</v>
      </c>
      <c r="C51" s="41" t="s">
        <v>25</v>
      </c>
      <c r="D51" s="53">
        <v>1001022725819</v>
      </c>
      <c r="E51" s="17">
        <v>63</v>
      </c>
      <c r="F51" s="43">
        <v>0.4</v>
      </c>
      <c r="G51" s="16">
        <f>E51*F51</f>
        <v>25.200000000000003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74</v>
      </c>
      <c r="C52" s="41" t="s">
        <v>28</v>
      </c>
      <c r="D52" s="53">
        <v>1001022726303</v>
      </c>
      <c r="E52" s="17">
        <v>136</v>
      </c>
      <c r="F52" s="43">
        <v>1.5</v>
      </c>
      <c r="G52" s="16">
        <f>E52</f>
        <v>136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75</v>
      </c>
      <c r="C53" s="41" t="s">
        <v>25</v>
      </c>
      <c r="D53" s="53">
        <v>1001025507255</v>
      </c>
      <c r="E53" s="17">
        <v>184</v>
      </c>
      <c r="F53" s="43">
        <v>0.4</v>
      </c>
      <c r="G53" s="16">
        <f>E53*F53</f>
        <v>73.600000000000009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76</v>
      </c>
      <c r="C54" s="41" t="s">
        <v>28</v>
      </c>
      <c r="D54" s="53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77</v>
      </c>
      <c r="C55" s="41" t="s">
        <v>25</v>
      </c>
      <c r="D55" s="53">
        <v>1001023696765</v>
      </c>
      <c r="E55" s="17">
        <v>51</v>
      </c>
      <c r="F55" s="43">
        <v>0.36</v>
      </c>
      <c r="G55" s="16">
        <f>E55*F55</f>
        <v>18.36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78</v>
      </c>
      <c r="C56" s="41" t="s">
        <v>28</v>
      </c>
      <c r="D56" s="53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79</v>
      </c>
      <c r="C57" s="41" t="s">
        <v>25</v>
      </c>
      <c r="D57" s="53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80</v>
      </c>
      <c r="C58" s="41" t="s">
        <v>28</v>
      </c>
      <c r="D58" s="53">
        <v>1001022467083</v>
      </c>
      <c r="E58" s="17"/>
      <c r="F58" s="43">
        <v>1.5</v>
      </c>
      <c r="G58" s="16">
        <f>E58</f>
        <v>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81</v>
      </c>
      <c r="C59" s="41" t="s">
        <v>25</v>
      </c>
      <c r="D59" s="53">
        <v>1001022467080</v>
      </c>
      <c r="E59" s="17">
        <v>245</v>
      </c>
      <c r="F59" s="43">
        <v>0.41</v>
      </c>
      <c r="G59" s="16">
        <f>E59*F59</f>
        <v>100.44999999999999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82</v>
      </c>
      <c r="C60" s="41" t="s">
        <v>25</v>
      </c>
      <c r="D60" s="53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83</v>
      </c>
      <c r="C61" s="41" t="s">
        <v>25</v>
      </c>
      <c r="D61" s="53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84</v>
      </c>
      <c r="C62" s="41" t="s">
        <v>28</v>
      </c>
      <c r="D62" s="53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85</v>
      </c>
      <c r="C63" s="41" t="s">
        <v>25</v>
      </c>
      <c r="D63" s="53">
        <v>1001022377066</v>
      </c>
      <c r="E63" s="17">
        <v>100</v>
      </c>
      <c r="F63" s="16">
        <v>0.41</v>
      </c>
      <c r="G63" s="16">
        <f>E63*F63</f>
        <v>41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86</v>
      </c>
      <c r="C64" s="41" t="s">
        <v>28</v>
      </c>
      <c r="D64" s="53">
        <v>1001022377070</v>
      </c>
      <c r="E64" s="17">
        <v>159</v>
      </c>
      <c r="F64" s="16">
        <v>1.5</v>
      </c>
      <c r="G64" s="16">
        <f>E64</f>
        <v>159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87</v>
      </c>
      <c r="C65" s="41" t="s">
        <v>25</v>
      </c>
      <c r="D65" s="53">
        <v>1001022246713</v>
      </c>
      <c r="E65" s="17"/>
      <c r="F65" s="16">
        <v>0.41</v>
      </c>
      <c r="G65" s="16">
        <f>E65*F65</f>
        <v>0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88</v>
      </c>
      <c r="C66" s="41" t="s">
        <v>28</v>
      </c>
      <c r="D66" s="53">
        <v>1001022246661</v>
      </c>
      <c r="E66" s="17"/>
      <c r="F66" s="16">
        <v>1.5</v>
      </c>
      <c r="G66" s="16">
        <f>E66</f>
        <v>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89</v>
      </c>
      <c r="C67" s="41" t="s">
        <v>28</v>
      </c>
      <c r="D67" s="53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90</v>
      </c>
      <c r="C68" s="41" t="s">
        <v>25</v>
      </c>
      <c r="D68" s="53">
        <v>1001022556837</v>
      </c>
      <c r="E68" s="17"/>
      <c r="F68" s="16">
        <v>0.4</v>
      </c>
      <c r="G68" s="16">
        <f>E68*F68</f>
        <v>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91</v>
      </c>
      <c r="C69" s="41" t="s">
        <v>25</v>
      </c>
      <c r="D69" s="53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92</v>
      </c>
      <c r="C70" s="41" t="s">
        <v>25</v>
      </c>
      <c r="D70" s="53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93</v>
      </c>
      <c r="C71" s="41" t="s">
        <v>25</v>
      </c>
      <c r="D71" s="53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32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95</v>
      </c>
      <c r="C73" s="97" t="s">
        <v>28</v>
      </c>
      <c r="D73" s="53">
        <v>1001032736550</v>
      </c>
      <c r="E73" s="17">
        <v>61</v>
      </c>
      <c r="F73" s="43">
        <v>1</v>
      </c>
      <c r="G73" s="16">
        <f>E73</f>
        <v>61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96</v>
      </c>
      <c r="C74" s="41" t="s">
        <v>28</v>
      </c>
      <c r="D74" s="53">
        <v>1001033856608</v>
      </c>
      <c r="E74" s="17">
        <v>100</v>
      </c>
      <c r="F74" s="16">
        <v>1</v>
      </c>
      <c r="G74" s="16">
        <f>E74</f>
        <v>100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97</v>
      </c>
      <c r="C75" s="41" t="s">
        <v>28</v>
      </c>
      <c r="D75" s="53">
        <v>1001035937001</v>
      </c>
      <c r="E75" s="17">
        <v>6</v>
      </c>
      <c r="F75" s="16">
        <v>1</v>
      </c>
      <c r="G75" s="16">
        <f>E75</f>
        <v>6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98</v>
      </c>
      <c r="C76" s="41" t="s">
        <v>28</v>
      </c>
      <c r="D76" s="53">
        <v>1001031076527</v>
      </c>
      <c r="E76" s="17">
        <v>9</v>
      </c>
      <c r="F76" s="16">
        <v>1</v>
      </c>
      <c r="G76" s="16">
        <f>E76</f>
        <v>9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99</v>
      </c>
      <c r="C77" s="41" t="s">
        <v>25</v>
      </c>
      <c r="D77" s="53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100</v>
      </c>
      <c r="C78" s="41" t="s">
        <v>25</v>
      </c>
      <c r="D78" s="53">
        <v>1001035277059</v>
      </c>
      <c r="E78" s="17"/>
      <c r="F78" s="16">
        <v>0.3</v>
      </c>
      <c r="G78" s="16">
        <f>E78*F78</f>
        <v>0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101</v>
      </c>
      <c r="C79" s="41" t="s">
        <v>25</v>
      </c>
      <c r="D79" s="53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32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5" si="4">RIGHT(D81,4)</f>
        <v>7564</v>
      </c>
      <c r="B81" s="50" t="s">
        <v>103</v>
      </c>
      <c r="C81" s="41" t="s">
        <v>28</v>
      </c>
      <c r="D81" s="53">
        <v>1001303637564</v>
      </c>
      <c r="E81" s="17">
        <v>10</v>
      </c>
      <c r="F81" s="16">
        <v>0.84</v>
      </c>
      <c r="G81" s="16">
        <f>E81</f>
        <v>10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4"/>
        <v>7603</v>
      </c>
      <c r="B82" s="50" t="s">
        <v>105</v>
      </c>
      <c r="C82" s="41" t="s">
        <v>25</v>
      </c>
      <c r="D82" s="53">
        <v>1001303637603</v>
      </c>
      <c r="E82" s="17">
        <v>60</v>
      </c>
      <c r="F82" s="16">
        <v>0.33</v>
      </c>
      <c r="G82" s="16">
        <f>E82*F82</f>
        <v>19.8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4"/>
        <v>7149</v>
      </c>
      <c r="B83" s="50" t="s">
        <v>107</v>
      </c>
      <c r="C83" s="41" t="s">
        <v>25</v>
      </c>
      <c r="D83" s="53">
        <v>1001303637149</v>
      </c>
      <c r="E83" s="17"/>
      <c r="F83" s="16">
        <v>0.84</v>
      </c>
      <c r="G83" s="16">
        <f>E83*F83</f>
        <v>0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108</v>
      </c>
      <c r="C84" s="41" t="s">
        <v>25</v>
      </c>
      <c r="D84" s="53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109</v>
      </c>
      <c r="C85" s="41" t="s">
        <v>25</v>
      </c>
      <c r="D85" s="53">
        <v>1001302277232</v>
      </c>
      <c r="E85" s="17">
        <v>87</v>
      </c>
      <c r="F85" s="43">
        <v>0.28000000000000003</v>
      </c>
      <c r="G85" s="16">
        <f>E85*F85</f>
        <v>24.360000000000003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110</v>
      </c>
      <c r="C86" s="41" t="s">
        <v>25</v>
      </c>
      <c r="D86" s="53">
        <v>1001303107241</v>
      </c>
      <c r="E86" s="17">
        <v>118</v>
      </c>
      <c r="F86" s="43">
        <v>0.28000000000000003</v>
      </c>
      <c r="G86" s="16">
        <f>E86*F86</f>
        <v>33.040000000000006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111</v>
      </c>
      <c r="C87" s="41" t="s">
        <v>28</v>
      </c>
      <c r="D87" s="53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6946</v>
      </c>
      <c r="B88" s="50" t="s">
        <v>112</v>
      </c>
      <c r="C88" s="41" t="s">
        <v>28</v>
      </c>
      <c r="D88" s="53">
        <v>1001300456946</v>
      </c>
      <c r="E88" s="17"/>
      <c r="F88" s="43"/>
      <c r="G88" s="16">
        <f>E88</f>
        <v>0</v>
      </c>
      <c r="H88" s="44"/>
      <c r="I88" s="44"/>
      <c r="J88" s="44"/>
    </row>
    <row r="89" spans="1:10" ht="16.5" customHeight="1" x14ac:dyDescent="0.25">
      <c r="A89" s="42" t="str">
        <f t="shared" si="4"/>
        <v>6807</v>
      </c>
      <c r="B89" s="50" t="s">
        <v>113</v>
      </c>
      <c r="C89" s="41" t="s">
        <v>25</v>
      </c>
      <c r="D89" s="53">
        <v>1001300366807</v>
      </c>
      <c r="E89" s="17">
        <v>28</v>
      </c>
      <c r="F89" s="43">
        <v>0.33</v>
      </c>
      <c r="G89" s="16">
        <f>E89*F89</f>
        <v>9.24</v>
      </c>
      <c r="H89" s="44">
        <v>2.64</v>
      </c>
      <c r="I89" s="44">
        <v>45</v>
      </c>
      <c r="J89" s="44"/>
    </row>
    <row r="90" spans="1:10" ht="16.5" customHeight="1" x14ac:dyDescent="0.25">
      <c r="A90" s="42" t="str">
        <f t="shared" si="4"/>
        <v>7154</v>
      </c>
      <c r="B90" s="50" t="s">
        <v>114</v>
      </c>
      <c r="C90" s="41" t="s">
        <v>25</v>
      </c>
      <c r="D90" s="53">
        <v>1001300387154</v>
      </c>
      <c r="E90" s="17">
        <v>181</v>
      </c>
      <c r="F90" s="16">
        <v>0.35</v>
      </c>
      <c r="G90" s="16">
        <f>E90*F90</f>
        <v>63.349999999999994</v>
      </c>
      <c r="H90" s="11">
        <v>2.8</v>
      </c>
      <c r="I90" s="11">
        <v>50</v>
      </c>
      <c r="J90" s="44"/>
    </row>
    <row r="91" spans="1:10" ht="16.5" customHeight="1" x14ac:dyDescent="0.25">
      <c r="A91" s="42" t="str">
        <f t="shared" si="4"/>
        <v>7157</v>
      </c>
      <c r="B91" s="50" t="s">
        <v>115</v>
      </c>
      <c r="C91" s="41" t="s">
        <v>28</v>
      </c>
      <c r="D91" s="53">
        <v>1001300387157</v>
      </c>
      <c r="E91" s="17">
        <v>99</v>
      </c>
      <c r="F91" s="16">
        <v>0.63</v>
      </c>
      <c r="G91" s="16">
        <f>E91</f>
        <v>99</v>
      </c>
      <c r="H91" s="11">
        <v>5.04</v>
      </c>
      <c r="I91" s="11">
        <v>50</v>
      </c>
      <c r="J91" s="44"/>
    </row>
    <row r="92" spans="1:10" ht="16.5" customHeight="1" x14ac:dyDescent="0.25">
      <c r="A92" s="42" t="str">
        <f t="shared" si="4"/>
        <v>7236</v>
      </c>
      <c r="B92" s="50" t="s">
        <v>116</v>
      </c>
      <c r="C92" s="41" t="s">
        <v>25</v>
      </c>
      <c r="D92" s="53">
        <v>1001304507236</v>
      </c>
      <c r="E92" s="17">
        <v>167</v>
      </c>
      <c r="F92" s="16">
        <v>0.28000000000000003</v>
      </c>
      <c r="G92" s="16">
        <f>E92*F92</f>
        <v>46.760000000000005</v>
      </c>
      <c r="H92" s="11">
        <v>2.2400000000000002</v>
      </c>
      <c r="I92" s="11">
        <v>45</v>
      </c>
      <c r="J92" s="44"/>
    </row>
    <row r="93" spans="1:10" ht="16.5" customHeight="1" x14ac:dyDescent="0.25">
      <c r="A93" s="42" t="str">
        <f t="shared" si="4"/>
        <v>7489</v>
      </c>
      <c r="B93" s="50" t="s">
        <v>117</v>
      </c>
      <c r="C93" s="41" t="s">
        <v>25</v>
      </c>
      <c r="D93" s="53">
        <v>1001307357489</v>
      </c>
      <c r="E93" s="17"/>
      <c r="F93" s="16">
        <v>0.28000000000000003</v>
      </c>
      <c r="G93" s="16">
        <f>E93*F93</f>
        <v>0</v>
      </c>
      <c r="H93" s="11"/>
      <c r="I93" s="11"/>
      <c r="J93" s="44"/>
    </row>
    <row r="94" spans="1:10" ht="16.5" customHeight="1" x14ac:dyDescent="0.25">
      <c r="A94" s="42" t="str">
        <f t="shared" si="4"/>
        <v>6787</v>
      </c>
      <c r="B94" s="95" t="s">
        <v>118</v>
      </c>
      <c r="C94" s="41" t="s">
        <v>25</v>
      </c>
      <c r="D94" s="53">
        <v>1001300456787</v>
      </c>
      <c r="E94" s="17"/>
      <c r="F94" s="16">
        <v>0.33</v>
      </c>
      <c r="G94" s="16">
        <f>E94*F94</f>
        <v>0</v>
      </c>
      <c r="H94" s="11">
        <v>2.64</v>
      </c>
      <c r="I94" s="11">
        <v>45</v>
      </c>
      <c r="J94" s="44"/>
    </row>
    <row r="95" spans="1:10" ht="16.5" customHeight="1" x14ac:dyDescent="0.25">
      <c r="A95" s="42" t="str">
        <f t="shared" si="4"/>
        <v>7166</v>
      </c>
      <c r="B95" s="95" t="s">
        <v>119</v>
      </c>
      <c r="C95" s="41" t="s">
        <v>28</v>
      </c>
      <c r="D95" s="53">
        <v>1001303987166</v>
      </c>
      <c r="E95" s="17">
        <v>127</v>
      </c>
      <c r="F95" s="16">
        <v>0.7</v>
      </c>
      <c r="G95" s="16">
        <f>E95</f>
        <v>127</v>
      </c>
      <c r="H95" s="11">
        <v>5.6</v>
      </c>
      <c r="I95" s="11">
        <v>50</v>
      </c>
      <c r="J95" s="44"/>
    </row>
    <row r="96" spans="1:10" ht="15.75" customHeight="1" x14ac:dyDescent="0.25">
      <c r="A96" s="42" t="str">
        <f t="shared" si="4"/>
        <v>7169</v>
      </c>
      <c r="B96" s="50" t="s">
        <v>120</v>
      </c>
      <c r="C96" s="41" t="s">
        <v>25</v>
      </c>
      <c r="D96" s="53">
        <v>1001303987169</v>
      </c>
      <c r="E96" s="17">
        <v>139</v>
      </c>
      <c r="F96" s="16">
        <v>0.35</v>
      </c>
      <c r="G96" s="16">
        <f>E96*F96</f>
        <v>48.65</v>
      </c>
      <c r="H96" s="11">
        <v>2.8</v>
      </c>
      <c r="I96" s="11">
        <v>50</v>
      </c>
      <c r="J96" s="44"/>
    </row>
    <row r="97" spans="1:10" ht="15.75" customHeight="1" x14ac:dyDescent="0.25">
      <c r="A97" s="42" t="str">
        <f t="shared" si="4"/>
        <v>5544</v>
      </c>
      <c r="B97" s="50" t="s">
        <v>121</v>
      </c>
      <c r="C97" s="41" t="s">
        <v>28</v>
      </c>
      <c r="D97" s="53">
        <v>1001051875544</v>
      </c>
      <c r="E97" s="17">
        <v>150</v>
      </c>
      <c r="F97" s="16">
        <v>0.81</v>
      </c>
      <c r="G97" s="16">
        <f>E97</f>
        <v>150</v>
      </c>
      <c r="H97" s="11">
        <v>4.8600000000000003</v>
      </c>
      <c r="I97" s="11">
        <v>45</v>
      </c>
      <c r="J97" s="39"/>
    </row>
    <row r="98" spans="1:10" ht="15.75" customHeight="1" x14ac:dyDescent="0.25">
      <c r="A98" s="42" t="str">
        <f t="shared" si="4"/>
        <v>6697</v>
      </c>
      <c r="B98" s="50" t="s">
        <v>122</v>
      </c>
      <c r="C98" s="41" t="s">
        <v>25</v>
      </c>
      <c r="D98" s="53">
        <v>1001301876697</v>
      </c>
      <c r="E98" s="17">
        <v>1100</v>
      </c>
      <c r="F98" s="16">
        <v>0.35</v>
      </c>
      <c r="G98" s="16">
        <f t="shared" ref="G98:G105" si="5">E98*F98</f>
        <v>385</v>
      </c>
      <c r="H98" s="11">
        <v>2.8</v>
      </c>
      <c r="I98" s="11">
        <v>45</v>
      </c>
      <c r="J98" s="39"/>
    </row>
    <row r="99" spans="1:10" ht="15.75" customHeight="1" x14ac:dyDescent="0.25">
      <c r="A99" s="42" t="str">
        <f t="shared" si="4"/>
        <v>7237</v>
      </c>
      <c r="B99" s="50" t="s">
        <v>123</v>
      </c>
      <c r="C99" s="41" t="s">
        <v>25</v>
      </c>
      <c r="D99" s="53">
        <v>1001304497237</v>
      </c>
      <c r="E99" s="17"/>
      <c r="F99" s="16">
        <v>0.28000000000000003</v>
      </c>
      <c r="G99" s="16">
        <f t="shared" si="5"/>
        <v>0</v>
      </c>
      <c r="H99" s="11">
        <v>2.2400000000000002</v>
      </c>
      <c r="I99" s="11">
        <v>45</v>
      </c>
      <c r="J99" s="39"/>
    </row>
    <row r="100" spans="1:10" ht="15.75" customHeight="1" x14ac:dyDescent="0.25">
      <c r="A100" s="42" t="str">
        <f t="shared" si="4"/>
        <v>7238</v>
      </c>
      <c r="B100" s="50" t="s">
        <v>124</v>
      </c>
      <c r="C100" s="41" t="s">
        <v>25</v>
      </c>
      <c r="D100" s="53">
        <v>1001305197238</v>
      </c>
      <c r="E100" s="17"/>
      <c r="F100" s="16">
        <v>0.31</v>
      </c>
      <c r="G100" s="16">
        <f t="shared" si="5"/>
        <v>0</v>
      </c>
      <c r="H100" s="11">
        <v>2.48</v>
      </c>
      <c r="I100" s="11">
        <v>45</v>
      </c>
      <c r="J100" s="39"/>
    </row>
    <row r="101" spans="1:10" ht="15.75" customHeight="1" x14ac:dyDescent="0.25">
      <c r="A101" s="42" t="str">
        <f t="shared" si="4"/>
        <v>7177</v>
      </c>
      <c r="B101" s="50" t="s">
        <v>125</v>
      </c>
      <c r="C101" s="41" t="s">
        <v>25</v>
      </c>
      <c r="D101" s="53">
        <v>1001302347177</v>
      </c>
      <c r="E101" s="17"/>
      <c r="F101" s="16">
        <v>0.35</v>
      </c>
      <c r="G101" s="16">
        <f t="shared" si="5"/>
        <v>0</v>
      </c>
      <c r="H101" s="11">
        <v>2.8</v>
      </c>
      <c r="I101" s="11">
        <v>50</v>
      </c>
      <c r="J101" s="39"/>
    </row>
    <row r="102" spans="1:10" ht="15.75" customHeight="1" x14ac:dyDescent="0.25">
      <c r="A102" s="42" t="str">
        <f t="shared" si="4"/>
        <v>7332</v>
      </c>
      <c r="B102" s="50" t="s">
        <v>126</v>
      </c>
      <c r="C102" s="41" t="s">
        <v>25</v>
      </c>
      <c r="D102" s="53">
        <v>1001301777332</v>
      </c>
      <c r="E102" s="17"/>
      <c r="F102" s="16">
        <v>0.28000000000000003</v>
      </c>
      <c r="G102" s="16">
        <f t="shared" si="5"/>
        <v>0</v>
      </c>
      <c r="H102" s="11">
        <v>2.2400000000000002</v>
      </c>
      <c r="I102" s="11">
        <v>50</v>
      </c>
      <c r="J102" s="39"/>
    </row>
    <row r="103" spans="1:10" ht="15.75" customHeight="1" x14ac:dyDescent="0.25">
      <c r="A103" s="42" t="str">
        <f t="shared" si="4"/>
        <v>7333</v>
      </c>
      <c r="B103" s="50" t="s">
        <v>127</v>
      </c>
      <c r="C103" s="41" t="s">
        <v>25</v>
      </c>
      <c r="D103" s="53">
        <v>1001303987333</v>
      </c>
      <c r="E103" s="17"/>
      <c r="F103" s="16">
        <v>0.28000000000000003</v>
      </c>
      <c r="G103" s="16">
        <f t="shared" si="5"/>
        <v>0</v>
      </c>
      <c r="H103" s="11">
        <v>2.2400000000000002</v>
      </c>
      <c r="I103" s="11">
        <v>50</v>
      </c>
      <c r="J103" s="39"/>
    </row>
    <row r="104" spans="1:10" ht="15.75" customHeight="1" x14ac:dyDescent="0.25">
      <c r="A104" s="42" t="str">
        <f t="shared" si="4"/>
        <v>7608</v>
      </c>
      <c r="B104" s="50" t="s">
        <v>128</v>
      </c>
      <c r="C104" s="41" t="s">
        <v>25</v>
      </c>
      <c r="D104" s="53">
        <v>1001304197608</v>
      </c>
      <c r="E104" s="17">
        <v>28</v>
      </c>
      <c r="F104" s="16">
        <v>0.1</v>
      </c>
      <c r="G104" s="16">
        <f t="shared" si="5"/>
        <v>2.8000000000000003</v>
      </c>
      <c r="H104" s="11">
        <v>1</v>
      </c>
      <c r="I104" s="11">
        <v>45</v>
      </c>
      <c r="J104" s="40" t="s">
        <v>129</v>
      </c>
    </row>
    <row r="105" spans="1:10" ht="15.75" customHeight="1" thickBot="1" x14ac:dyDescent="0.3">
      <c r="A105" s="42" t="str">
        <f t="shared" si="4"/>
        <v>7610</v>
      </c>
      <c r="B105" s="50" t="s">
        <v>130</v>
      </c>
      <c r="C105" s="41" t="s">
        <v>25</v>
      </c>
      <c r="D105" s="53">
        <v>1001306717610</v>
      </c>
      <c r="E105" s="17"/>
      <c r="F105" s="16">
        <v>0.1</v>
      </c>
      <c r="G105" s="16">
        <f t="shared" si="5"/>
        <v>0</v>
      </c>
      <c r="H105" s="11">
        <v>1</v>
      </c>
      <c r="I105" s="11">
        <v>45</v>
      </c>
      <c r="J105" s="40" t="s">
        <v>131</v>
      </c>
    </row>
    <row r="106" spans="1:10" ht="16.5" customHeight="1" thickTop="1" thickBot="1" x14ac:dyDescent="0.3">
      <c r="A106" s="37"/>
      <c r="B106" s="32" t="s">
        <v>132</v>
      </c>
      <c r="C106" s="32"/>
      <c r="D106" s="32"/>
      <c r="E106" s="32"/>
      <c r="F106" s="31"/>
      <c r="G106" s="32"/>
      <c r="H106" s="32"/>
      <c r="I106" s="32"/>
      <c r="J106" s="33"/>
    </row>
    <row r="107" spans="1:10" ht="16.5" customHeight="1" thickTop="1" x14ac:dyDescent="0.25">
      <c r="A107" s="42" t="str">
        <f t="shared" ref="A107:A138" si="6">RIGHT(D107,4)</f>
        <v>3582</v>
      </c>
      <c r="B107" s="50" t="s">
        <v>133</v>
      </c>
      <c r="C107" s="41" t="s">
        <v>28</v>
      </c>
      <c r="D107" s="53">
        <v>1001061973582</v>
      </c>
      <c r="E107" s="17"/>
      <c r="F107" s="43">
        <v>0.48799999999999999</v>
      </c>
      <c r="G107" s="16">
        <f>E107</f>
        <v>0</v>
      </c>
      <c r="H107" s="90">
        <v>3.9</v>
      </c>
      <c r="I107" s="89">
        <v>120</v>
      </c>
      <c r="J107" s="44"/>
    </row>
    <row r="108" spans="1:10" ht="16.5" customHeight="1" x14ac:dyDescent="0.25">
      <c r="A108" s="42" t="str">
        <f t="shared" si="6"/>
        <v>3986</v>
      </c>
      <c r="B108" s="50" t="s">
        <v>134</v>
      </c>
      <c r="C108" s="41" t="s">
        <v>25</v>
      </c>
      <c r="D108" s="53">
        <v>1001061973986</v>
      </c>
      <c r="E108" s="17">
        <v>106</v>
      </c>
      <c r="F108" s="43">
        <v>0.25</v>
      </c>
      <c r="G108" s="16">
        <f>E108*F108</f>
        <v>26.5</v>
      </c>
      <c r="H108" s="90">
        <v>2</v>
      </c>
      <c r="I108" s="89">
        <v>120</v>
      </c>
      <c r="J108" s="44"/>
    </row>
    <row r="109" spans="1:10" ht="16.5" customHeight="1" x14ac:dyDescent="0.25">
      <c r="A109" s="42" t="str">
        <f t="shared" si="6"/>
        <v>5931</v>
      </c>
      <c r="B109" s="50" t="s">
        <v>135</v>
      </c>
      <c r="C109" s="41" t="s">
        <v>25</v>
      </c>
      <c r="D109" s="53">
        <v>1001060755931</v>
      </c>
      <c r="E109" s="17">
        <v>24</v>
      </c>
      <c r="F109" s="16">
        <v>0.22</v>
      </c>
      <c r="G109" s="16">
        <f>E109*F109</f>
        <v>5.28</v>
      </c>
      <c r="H109" s="88">
        <v>1.76</v>
      </c>
      <c r="I109" s="11">
        <v>120</v>
      </c>
      <c r="J109" s="44"/>
    </row>
    <row r="110" spans="1:10" ht="16.5" customHeight="1" x14ac:dyDescent="0.25">
      <c r="A110" s="42" t="str">
        <f t="shared" si="6"/>
        <v>5708</v>
      </c>
      <c r="B110" s="50" t="s">
        <v>136</v>
      </c>
      <c r="C110" s="41" t="s">
        <v>28</v>
      </c>
      <c r="D110" s="53">
        <v>1001063145708</v>
      </c>
      <c r="E110" s="17">
        <v>63</v>
      </c>
      <c r="F110" s="16">
        <v>0.5</v>
      </c>
      <c r="G110" s="16">
        <f>E110</f>
        <v>63</v>
      </c>
      <c r="H110" s="11">
        <v>4</v>
      </c>
      <c r="I110" s="11">
        <v>120</v>
      </c>
      <c r="J110" s="44"/>
    </row>
    <row r="111" spans="1:10" ht="16.5" customHeight="1" x14ac:dyDescent="0.25">
      <c r="A111" s="42" t="str">
        <f t="shared" si="6"/>
        <v>3287</v>
      </c>
      <c r="B111" s="50" t="s">
        <v>137</v>
      </c>
      <c r="C111" s="41" t="s">
        <v>28</v>
      </c>
      <c r="D111" s="53">
        <v>1001060763287</v>
      </c>
      <c r="E111" s="17">
        <v>24</v>
      </c>
      <c r="F111" s="16">
        <v>0.48799999999999999</v>
      </c>
      <c r="G111" s="16">
        <f>E111</f>
        <v>24</v>
      </c>
      <c r="H111" s="11">
        <v>3.9</v>
      </c>
      <c r="I111" s="11">
        <v>120</v>
      </c>
      <c r="J111" s="44"/>
    </row>
    <row r="112" spans="1:10" ht="16.5" customHeight="1" x14ac:dyDescent="0.25">
      <c r="A112" s="42" t="str">
        <f t="shared" si="6"/>
        <v>4993</v>
      </c>
      <c r="B112" s="50" t="s">
        <v>138</v>
      </c>
      <c r="C112" s="41" t="s">
        <v>25</v>
      </c>
      <c r="D112" s="53">
        <v>1001060764993</v>
      </c>
      <c r="E112" s="17">
        <v>52</v>
      </c>
      <c r="F112" s="16">
        <v>0.25</v>
      </c>
      <c r="G112" s="16">
        <f>E112*F112</f>
        <v>13</v>
      </c>
      <c r="H112" s="11">
        <v>2</v>
      </c>
      <c r="I112" s="11">
        <v>120</v>
      </c>
      <c r="J112" s="44"/>
    </row>
    <row r="113" spans="1:10" ht="16.5" customHeight="1" x14ac:dyDescent="0.25">
      <c r="A113" s="42" t="str">
        <f t="shared" si="6"/>
        <v>5483</v>
      </c>
      <c r="B113" s="50" t="s">
        <v>139</v>
      </c>
      <c r="C113" s="41" t="s">
        <v>25</v>
      </c>
      <c r="D113" s="53">
        <v>1001062505483</v>
      </c>
      <c r="E113" s="17"/>
      <c r="F113" s="16">
        <v>0.25</v>
      </c>
      <c r="G113" s="16">
        <f>E113*F113</f>
        <v>0</v>
      </c>
      <c r="H113" s="11">
        <v>2</v>
      </c>
      <c r="I113" s="11">
        <v>120</v>
      </c>
      <c r="J113" s="44"/>
    </row>
    <row r="114" spans="1:10" ht="16.5" customHeight="1" x14ac:dyDescent="0.25">
      <c r="A114" s="42" t="str">
        <f t="shared" si="6"/>
        <v>4117</v>
      </c>
      <c r="B114" s="50" t="s">
        <v>140</v>
      </c>
      <c r="C114" s="41" t="s">
        <v>28</v>
      </c>
      <c r="D114" s="53">
        <v>1001062504117</v>
      </c>
      <c r="E114" s="17">
        <v>40</v>
      </c>
      <c r="F114" s="16">
        <v>0.49399999999999999</v>
      </c>
      <c r="G114" s="16">
        <f>E114</f>
        <v>40</v>
      </c>
      <c r="H114" s="11">
        <v>3.95</v>
      </c>
      <c r="I114" s="11">
        <v>120</v>
      </c>
      <c r="J114" s="44"/>
    </row>
    <row r="115" spans="1:10" ht="16.5" customHeight="1" x14ac:dyDescent="0.25">
      <c r="A115" s="42" t="str">
        <f t="shared" si="6"/>
        <v>0614</v>
      </c>
      <c r="B115" s="50" t="s">
        <v>141</v>
      </c>
      <c r="C115" s="41" t="s">
        <v>28</v>
      </c>
      <c r="D115" s="53">
        <v>1001060720614</v>
      </c>
      <c r="E115" s="17"/>
      <c r="F115" s="16">
        <v>0.52</v>
      </c>
      <c r="G115" s="16">
        <f>E115</f>
        <v>0</v>
      </c>
      <c r="H115" s="11">
        <v>3.64</v>
      </c>
      <c r="I115" s="11">
        <v>120</v>
      </c>
      <c r="J115" s="44"/>
    </row>
    <row r="116" spans="1:10" ht="16.5" customHeight="1" x14ac:dyDescent="0.25">
      <c r="A116" s="42" t="str">
        <f t="shared" si="6"/>
        <v>6967</v>
      </c>
      <c r="B116" s="50" t="s">
        <v>142</v>
      </c>
      <c r="C116" s="41" t="s">
        <v>25</v>
      </c>
      <c r="D116" s="53">
        <v>1001063656967</v>
      </c>
      <c r="E116" s="17">
        <v>36</v>
      </c>
      <c r="F116" s="16">
        <v>0.25</v>
      </c>
      <c r="G116" s="16">
        <f t="shared" ref="G116:G125" si="7">E116*F116</f>
        <v>9</v>
      </c>
      <c r="H116" s="11">
        <v>2</v>
      </c>
      <c r="I116" s="11">
        <v>120</v>
      </c>
      <c r="J116" s="44"/>
    </row>
    <row r="117" spans="1:10" ht="16.5" customHeight="1" x14ac:dyDescent="0.25">
      <c r="A117" s="42" t="str">
        <f t="shared" si="6"/>
        <v>6937</v>
      </c>
      <c r="B117" s="50" t="s">
        <v>143</v>
      </c>
      <c r="C117" s="41" t="s">
        <v>25</v>
      </c>
      <c r="D117" s="53">
        <v>1001063106937</v>
      </c>
      <c r="E117" s="17"/>
      <c r="F117" s="16">
        <v>0.25</v>
      </c>
      <c r="G117" s="16">
        <f t="shared" si="7"/>
        <v>0</v>
      </c>
      <c r="H117" s="11">
        <v>2</v>
      </c>
      <c r="I117" s="11">
        <v>120</v>
      </c>
      <c r="J117" s="44"/>
    </row>
    <row r="118" spans="1:10" ht="16.5" customHeight="1" x14ac:dyDescent="0.25">
      <c r="A118" s="42" t="str">
        <f t="shared" si="6"/>
        <v>7143</v>
      </c>
      <c r="B118" s="50" t="s">
        <v>144</v>
      </c>
      <c r="C118" s="41" t="s">
        <v>25</v>
      </c>
      <c r="D118" s="53">
        <v>1001060717143</v>
      </c>
      <c r="E118" s="17"/>
      <c r="F118" s="16">
        <v>0.22</v>
      </c>
      <c r="G118" s="16">
        <f t="shared" si="7"/>
        <v>0</v>
      </c>
      <c r="H118" s="11">
        <v>1.76</v>
      </c>
      <c r="I118" s="11">
        <v>120</v>
      </c>
      <c r="J118" s="44"/>
    </row>
    <row r="119" spans="1:10" ht="16.5" customHeight="1" x14ac:dyDescent="0.25">
      <c r="A119" s="42" t="str">
        <f t="shared" si="6"/>
        <v>7147</v>
      </c>
      <c r="B119" s="50" t="s">
        <v>145</v>
      </c>
      <c r="C119" s="41" t="s">
        <v>25</v>
      </c>
      <c r="D119" s="53">
        <v>1001063237147</v>
      </c>
      <c r="E119" s="17"/>
      <c r="F119" s="16">
        <v>0.22</v>
      </c>
      <c r="G119" s="16">
        <f t="shared" si="7"/>
        <v>0</v>
      </c>
      <c r="H119" s="11">
        <v>1.76</v>
      </c>
      <c r="I119" s="11">
        <v>120</v>
      </c>
      <c r="J119" s="44"/>
    </row>
    <row r="120" spans="1:10" ht="16.5" customHeight="1" x14ac:dyDescent="0.25">
      <c r="A120" s="42" t="str">
        <f t="shared" si="6"/>
        <v>7456</v>
      </c>
      <c r="B120" s="50" t="s">
        <v>146</v>
      </c>
      <c r="C120" s="41" t="s">
        <v>25</v>
      </c>
      <c r="D120" s="53">
        <v>1001063097456</v>
      </c>
      <c r="E120" s="17"/>
      <c r="F120" s="16">
        <v>0.15</v>
      </c>
      <c r="G120" s="16">
        <f t="shared" si="7"/>
        <v>0</v>
      </c>
      <c r="H120" s="11">
        <v>1.8</v>
      </c>
      <c r="I120" s="11">
        <v>90</v>
      </c>
      <c r="J120" s="44"/>
    </row>
    <row r="121" spans="1:10" ht="16.5" customHeight="1" x14ac:dyDescent="0.25">
      <c r="A121" s="42" t="str">
        <f t="shared" si="6"/>
        <v>7364</v>
      </c>
      <c r="B121" s="50" t="s">
        <v>147</v>
      </c>
      <c r="C121" s="41" t="s">
        <v>25</v>
      </c>
      <c r="D121" s="53">
        <v>1001063217364</v>
      </c>
      <c r="E121" s="17"/>
      <c r="F121" s="16">
        <v>0.22</v>
      </c>
      <c r="G121" s="16">
        <f t="shared" si="7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 t="str">
        <f t="shared" si="6"/>
        <v>7383</v>
      </c>
      <c r="B122" s="50" t="s">
        <v>148</v>
      </c>
      <c r="C122" s="41" t="s">
        <v>25</v>
      </c>
      <c r="D122" s="53">
        <v>1001065467383</v>
      </c>
      <c r="E122" s="17"/>
      <c r="F122" s="16">
        <v>0.22</v>
      </c>
      <c r="G122" s="16">
        <f t="shared" si="7"/>
        <v>0</v>
      </c>
      <c r="H122" s="11">
        <v>1.76</v>
      </c>
      <c r="I122" s="11">
        <v>90</v>
      </c>
      <c r="J122" s="44"/>
    </row>
    <row r="123" spans="1:10" ht="16.5" customHeight="1" x14ac:dyDescent="0.25">
      <c r="A123" s="42" t="str">
        <f t="shared" si="6"/>
        <v>7317</v>
      </c>
      <c r="B123" s="50" t="s">
        <v>149</v>
      </c>
      <c r="C123" s="41" t="s">
        <v>25</v>
      </c>
      <c r="D123" s="53">
        <v>1001066567317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7318</v>
      </c>
      <c r="B124" s="50" t="s">
        <v>150</v>
      </c>
      <c r="C124" s="41" t="s">
        <v>25</v>
      </c>
      <c r="D124" s="53">
        <v>1001060727318</v>
      </c>
      <c r="E124" s="17"/>
      <c r="F124" s="16">
        <v>0.27</v>
      </c>
      <c r="G124" s="16">
        <f t="shared" si="7"/>
        <v>0</v>
      </c>
      <c r="H124" s="11">
        <v>2.16</v>
      </c>
      <c r="I124" s="11">
        <v>120</v>
      </c>
      <c r="J124" s="44"/>
    </row>
    <row r="125" spans="1:10" ht="16.5" customHeight="1" x14ac:dyDescent="0.25">
      <c r="A125" s="42" t="str">
        <f t="shared" si="6"/>
        <v>7316</v>
      </c>
      <c r="B125" s="50" t="s">
        <v>151</v>
      </c>
      <c r="C125" s="41" t="s">
        <v>25</v>
      </c>
      <c r="D125" s="53">
        <v>1001060727316</v>
      </c>
      <c r="E125" s="17"/>
      <c r="F125" s="16">
        <v>0.54</v>
      </c>
      <c r="G125" s="16">
        <f t="shared" si="7"/>
        <v>0</v>
      </c>
      <c r="H125" s="11">
        <v>3.78</v>
      </c>
      <c r="I125" s="11">
        <v>120</v>
      </c>
      <c r="J125" s="44"/>
    </row>
    <row r="126" spans="1:10" ht="16.5" customHeight="1" x14ac:dyDescent="0.25">
      <c r="A126" s="42" t="str">
        <f t="shared" si="6"/>
        <v>6832</v>
      </c>
      <c r="B126" s="50" t="s">
        <v>152</v>
      </c>
      <c r="C126" s="41" t="s">
        <v>28</v>
      </c>
      <c r="D126" s="53">
        <v>1001065616832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7299</v>
      </c>
      <c r="B127" s="50" t="s">
        <v>153</v>
      </c>
      <c r="C127" s="41" t="s">
        <v>28</v>
      </c>
      <c r="D127" s="53">
        <v>1001060677299</v>
      </c>
      <c r="E127" s="17"/>
      <c r="F127" s="16">
        <v>0.215</v>
      </c>
      <c r="G127" s="16">
        <f>E127</f>
        <v>0</v>
      </c>
      <c r="H127" s="11">
        <v>2.15</v>
      </c>
      <c r="I127" s="11">
        <v>30</v>
      </c>
      <c r="J127" s="44"/>
    </row>
    <row r="128" spans="1:10" ht="16.5" customHeight="1" x14ac:dyDescent="0.25">
      <c r="A128" s="42" t="str">
        <f t="shared" si="6"/>
        <v>7386</v>
      </c>
      <c r="B128" s="50" t="s">
        <v>154</v>
      </c>
      <c r="C128" s="41" t="s">
        <v>25</v>
      </c>
      <c r="D128" s="53">
        <v>1001067017386</v>
      </c>
      <c r="E128" s="17"/>
      <c r="F128" s="16">
        <v>0.15</v>
      </c>
      <c r="G128" s="16">
        <f t="shared" ref="G128:G138" si="8">E128*F128</f>
        <v>0</v>
      </c>
      <c r="H128" s="11">
        <v>1.35</v>
      </c>
      <c r="I128" s="11">
        <v>90</v>
      </c>
      <c r="J128" s="44"/>
    </row>
    <row r="129" spans="1:10" ht="16.5" customHeight="1" x14ac:dyDescent="0.25">
      <c r="A129" s="42" t="str">
        <f t="shared" si="6"/>
        <v>7613</v>
      </c>
      <c r="B129" s="50" t="s">
        <v>155</v>
      </c>
      <c r="C129" s="41" t="s">
        <v>25</v>
      </c>
      <c r="D129" s="53">
        <v>1001061977613</v>
      </c>
      <c r="E129" s="17">
        <v>131</v>
      </c>
      <c r="F129" s="16">
        <v>0.1</v>
      </c>
      <c r="G129" s="16">
        <f t="shared" si="8"/>
        <v>13.100000000000001</v>
      </c>
      <c r="H129" s="11">
        <v>1</v>
      </c>
      <c r="I129" s="11">
        <v>60</v>
      </c>
      <c r="J129" s="40" t="s">
        <v>156</v>
      </c>
    </row>
    <row r="130" spans="1:10" ht="16.5" customHeight="1" x14ac:dyDescent="0.25">
      <c r="A130" s="42" t="str">
        <f t="shared" si="6"/>
        <v>6834</v>
      </c>
      <c r="B130" s="102" t="s">
        <v>157</v>
      </c>
      <c r="C130" s="103" t="s">
        <v>25</v>
      </c>
      <c r="D130" s="104">
        <v>1001203146834</v>
      </c>
      <c r="E130" s="105"/>
      <c r="F130" s="106">
        <v>0.1</v>
      </c>
      <c r="G130" s="106">
        <f t="shared" si="8"/>
        <v>0</v>
      </c>
      <c r="H130" s="107">
        <v>1</v>
      </c>
      <c r="I130" s="107">
        <v>60</v>
      </c>
      <c r="J130" s="107" t="s">
        <v>158</v>
      </c>
    </row>
    <row r="131" spans="1:10" ht="16.5" customHeight="1" x14ac:dyDescent="0.25">
      <c r="A131" s="42" t="str">
        <f t="shared" si="6"/>
        <v>7382</v>
      </c>
      <c r="B131" s="50" t="s">
        <v>159</v>
      </c>
      <c r="C131" s="41" t="s">
        <v>25</v>
      </c>
      <c r="D131" s="53">
        <v>1001203117382</v>
      </c>
      <c r="E131" s="17">
        <v>87</v>
      </c>
      <c r="F131" s="16">
        <v>0.12</v>
      </c>
      <c r="G131" s="16">
        <f t="shared" si="8"/>
        <v>10.44</v>
      </c>
      <c r="H131" s="11">
        <v>0.96</v>
      </c>
      <c r="I131" s="11">
        <v>60</v>
      </c>
      <c r="J131" s="44"/>
    </row>
    <row r="132" spans="1:10" ht="16.5" customHeight="1" x14ac:dyDescent="0.25">
      <c r="A132" s="42" t="str">
        <f t="shared" si="6"/>
        <v>7616</v>
      </c>
      <c r="B132" s="50" t="s">
        <v>160</v>
      </c>
      <c r="C132" s="41" t="s">
        <v>25</v>
      </c>
      <c r="D132" s="53">
        <v>1001062507616</v>
      </c>
      <c r="E132" s="17"/>
      <c r="F132" s="16">
        <v>0.1</v>
      </c>
      <c r="G132" s="16">
        <f t="shared" si="8"/>
        <v>0</v>
      </c>
      <c r="H132" s="11">
        <v>1.4</v>
      </c>
      <c r="I132" s="11">
        <v>60</v>
      </c>
      <c r="J132" s="40" t="s">
        <v>161</v>
      </c>
    </row>
    <row r="133" spans="1:10" ht="16.5" customHeight="1" x14ac:dyDescent="0.25">
      <c r="A133" s="42" t="str">
        <f t="shared" si="6"/>
        <v>6221</v>
      </c>
      <c r="B133" s="50" t="s">
        <v>162</v>
      </c>
      <c r="C133" s="41" t="s">
        <v>25</v>
      </c>
      <c r="D133" s="53">
        <v>1001205376221</v>
      </c>
      <c r="E133" s="17">
        <v>140</v>
      </c>
      <c r="F133" s="16">
        <v>0.09</v>
      </c>
      <c r="G133" s="16">
        <f t="shared" si="8"/>
        <v>12.6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6222</v>
      </c>
      <c r="B134" s="50" t="s">
        <v>163</v>
      </c>
      <c r="C134" s="41" t="s">
        <v>25</v>
      </c>
      <c r="D134" s="53">
        <v>1001205386222</v>
      </c>
      <c r="E134" s="17"/>
      <c r="F134" s="16">
        <v>0.09</v>
      </c>
      <c r="G134" s="16">
        <f t="shared" si="8"/>
        <v>0</v>
      </c>
      <c r="H134" s="11">
        <v>0.9</v>
      </c>
      <c r="I134" s="11">
        <v>60</v>
      </c>
      <c r="J134" s="44"/>
    </row>
    <row r="135" spans="1:10" ht="16.5" customHeight="1" x14ac:dyDescent="0.25">
      <c r="A135" s="42" t="str">
        <f t="shared" si="6"/>
        <v>6965</v>
      </c>
      <c r="B135" s="50" t="s">
        <v>164</v>
      </c>
      <c r="C135" s="41" t="s">
        <v>25</v>
      </c>
      <c r="D135" s="53">
        <v>1001206356965</v>
      </c>
      <c r="E135" s="17"/>
      <c r="F135" s="16">
        <v>7.0000000000000007E-2</v>
      </c>
      <c r="G135" s="16">
        <f t="shared" si="8"/>
        <v>0</v>
      </c>
      <c r="H135" s="11">
        <v>0.98</v>
      </c>
      <c r="I135" s="11">
        <v>60</v>
      </c>
      <c r="J135" s="44"/>
    </row>
    <row r="136" spans="1:10" ht="16.5" customHeight="1" x14ac:dyDescent="0.25">
      <c r="A136" s="42" t="str">
        <f t="shared" si="6"/>
        <v>6557</v>
      </c>
      <c r="B136" s="50" t="s">
        <v>165</v>
      </c>
      <c r="C136" s="41" t="s">
        <v>25</v>
      </c>
      <c r="D136" s="53">
        <v>1001200756557</v>
      </c>
      <c r="E136" s="17"/>
      <c r="F136" s="16">
        <v>0.1</v>
      </c>
      <c r="G136" s="16">
        <f t="shared" si="8"/>
        <v>0</v>
      </c>
      <c r="H136" s="11">
        <v>1</v>
      </c>
      <c r="I136" s="11">
        <v>60</v>
      </c>
      <c r="J136" s="44"/>
    </row>
    <row r="137" spans="1:10" ht="16.5" customHeight="1" x14ac:dyDescent="0.25">
      <c r="A137" s="42" t="str">
        <f t="shared" si="6"/>
        <v>5679</v>
      </c>
      <c r="B137" s="50" t="s">
        <v>166</v>
      </c>
      <c r="C137" s="41" t="s">
        <v>25</v>
      </c>
      <c r="D137" s="53">
        <v>1001190765679</v>
      </c>
      <c r="E137" s="17"/>
      <c r="F137" s="16">
        <v>0.15</v>
      </c>
      <c r="G137" s="16">
        <f t="shared" si="8"/>
        <v>0</v>
      </c>
      <c r="H137" s="11">
        <v>1.2</v>
      </c>
      <c r="I137" s="11">
        <v>60</v>
      </c>
      <c r="J137" s="44"/>
    </row>
    <row r="138" spans="1:10" ht="16.5" customHeight="1" thickBot="1" x14ac:dyDescent="0.3">
      <c r="A138" s="42" t="str">
        <f t="shared" si="6"/>
        <v>7626</v>
      </c>
      <c r="B138" s="50" t="s">
        <v>167</v>
      </c>
      <c r="C138" s="41" t="s">
        <v>25</v>
      </c>
      <c r="D138" s="53">
        <v>1001066607626</v>
      </c>
      <c r="E138" s="17"/>
      <c r="F138" s="16">
        <v>0.1</v>
      </c>
      <c r="G138" s="16">
        <f t="shared" si="8"/>
        <v>0</v>
      </c>
      <c r="H138" s="11">
        <v>1</v>
      </c>
      <c r="I138" s="11">
        <v>60</v>
      </c>
      <c r="J138" s="40" t="s">
        <v>168</v>
      </c>
    </row>
    <row r="139" spans="1:10" ht="16.5" customHeight="1" thickTop="1" thickBot="1" x14ac:dyDescent="0.3">
      <c r="A139" s="37"/>
      <c r="B139" s="32" t="s">
        <v>169</v>
      </c>
      <c r="C139" s="32"/>
      <c r="D139" s="32"/>
      <c r="E139" s="32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52" si="9">RIGHT(D140,4)</f>
        <v>4584</v>
      </c>
      <c r="B140" s="94" t="s">
        <v>170</v>
      </c>
      <c r="C140" s="41" t="s">
        <v>28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171</v>
      </c>
      <c r="C141" s="41" t="s">
        <v>25</v>
      </c>
      <c r="D141" s="53">
        <v>1001092436495</v>
      </c>
      <c r="E141" s="17">
        <v>30</v>
      </c>
      <c r="F141" s="43">
        <v>0.3</v>
      </c>
      <c r="G141" s="16">
        <f>E141*F141</f>
        <v>9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172</v>
      </c>
      <c r="C142" s="41" t="s">
        <v>28</v>
      </c>
      <c r="D142" s="53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173</v>
      </c>
      <c r="C143" s="41" t="s">
        <v>28</v>
      </c>
      <c r="D143" s="53">
        <v>1001092485452</v>
      </c>
      <c r="E143" s="17"/>
      <c r="F143" s="43">
        <v>1.35</v>
      </c>
      <c r="G143" s="16">
        <f>E143</f>
        <v>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174</v>
      </c>
      <c r="C144" s="41" t="s">
        <v>25</v>
      </c>
      <c r="D144" s="53">
        <v>1001094053215</v>
      </c>
      <c r="E144" s="17">
        <v>60</v>
      </c>
      <c r="F144" s="43">
        <v>0.4</v>
      </c>
      <c r="G144" s="16">
        <f>E144*F144</f>
        <v>24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175</v>
      </c>
      <c r="C145" s="41" t="s">
        <v>28</v>
      </c>
      <c r="D145" s="53">
        <v>1001095716866</v>
      </c>
      <c r="E145" s="17"/>
      <c r="F145" s="43">
        <v>1.5</v>
      </c>
      <c r="G145" s="16">
        <f>E145</f>
        <v>0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176</v>
      </c>
      <c r="C146" s="41" t="s">
        <v>25</v>
      </c>
      <c r="D146" s="92">
        <v>1001093345495</v>
      </c>
      <c r="E146" s="17">
        <v>400</v>
      </c>
      <c r="F146" s="43">
        <v>0.4</v>
      </c>
      <c r="G146" s="16">
        <f>E146*F146</f>
        <v>160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177</v>
      </c>
      <c r="C147" s="41" t="s">
        <v>25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6411</v>
      </c>
      <c r="B148" s="50" t="s">
        <v>178</v>
      </c>
      <c r="C148" s="41" t="s">
        <v>25</v>
      </c>
      <c r="D148" s="92">
        <v>1001093316411</v>
      </c>
      <c r="E148" s="17">
        <v>120</v>
      </c>
      <c r="F148" s="43">
        <v>0.3</v>
      </c>
      <c r="G148" s="16">
        <f>E148*F148</f>
        <v>36</v>
      </c>
      <c r="H148" s="44"/>
      <c r="I148" s="44"/>
      <c r="J148" s="44"/>
    </row>
    <row r="149" spans="1:10" ht="16.5" customHeight="1" x14ac:dyDescent="0.25">
      <c r="A149" s="42" t="str">
        <f t="shared" si="9"/>
        <v>6925</v>
      </c>
      <c r="B149" s="50" t="s">
        <v>179</v>
      </c>
      <c r="C149" s="41" t="s">
        <v>25</v>
      </c>
      <c r="D149" s="92">
        <v>1001095226925</v>
      </c>
      <c r="E149" s="17">
        <v>37</v>
      </c>
      <c r="F149" s="43">
        <v>0.6</v>
      </c>
      <c r="G149" s="16">
        <f>E149*F149</f>
        <v>22.2</v>
      </c>
      <c r="H149" s="44">
        <v>4.8</v>
      </c>
      <c r="I149" s="44">
        <v>45</v>
      </c>
      <c r="J149" s="44"/>
    </row>
    <row r="150" spans="1:10" ht="15.75" customHeight="1" x14ac:dyDescent="0.25">
      <c r="A150" s="42" t="str">
        <f t="shared" si="9"/>
        <v>6025</v>
      </c>
      <c r="B150" s="50" t="s">
        <v>180</v>
      </c>
      <c r="C150" s="41" t="s">
        <v>28</v>
      </c>
      <c r="D150" s="92">
        <v>1001094966025</v>
      </c>
      <c r="E150" s="17"/>
      <c r="F150" s="43">
        <v>3</v>
      </c>
      <c r="G150" s="16">
        <f>E150</f>
        <v>0</v>
      </c>
      <c r="H150" s="44">
        <v>6</v>
      </c>
      <c r="I150" s="44">
        <v>60</v>
      </c>
      <c r="J150" s="44"/>
    </row>
    <row r="151" spans="1:10" ht="15.75" customHeight="1" x14ac:dyDescent="0.25">
      <c r="A151" s="42" t="str">
        <f t="shared" si="9"/>
        <v>7647</v>
      </c>
      <c r="B151" s="50" t="s">
        <v>181</v>
      </c>
      <c r="C151" s="41" t="s">
        <v>25</v>
      </c>
      <c r="D151" s="92">
        <v>1001097747647</v>
      </c>
      <c r="E151" s="17">
        <v>100</v>
      </c>
      <c r="F151" s="43">
        <v>0.1</v>
      </c>
      <c r="G151" s="16">
        <f>E151*F151</f>
        <v>10</v>
      </c>
      <c r="H151" s="44">
        <v>1</v>
      </c>
      <c r="I151" s="44">
        <v>30</v>
      </c>
      <c r="J151" s="101" t="s">
        <v>182</v>
      </c>
    </row>
    <row r="152" spans="1:10" ht="15.75" customHeight="1" thickBot="1" x14ac:dyDescent="0.3">
      <c r="A152" s="42" t="str">
        <f t="shared" si="9"/>
        <v>7651</v>
      </c>
      <c r="B152" s="50" t="s">
        <v>183</v>
      </c>
      <c r="C152" s="41" t="s">
        <v>25</v>
      </c>
      <c r="D152" s="92">
        <v>1001097767651</v>
      </c>
      <c r="E152" s="17">
        <v>100</v>
      </c>
      <c r="F152" s="43">
        <v>0.1</v>
      </c>
      <c r="G152" s="16">
        <f>E152*F152</f>
        <v>10</v>
      </c>
      <c r="H152" s="44">
        <v>1</v>
      </c>
      <c r="I152" s="44">
        <v>30</v>
      </c>
      <c r="J152" s="101" t="s">
        <v>182</v>
      </c>
    </row>
    <row r="153" spans="1:10" ht="16.5" customHeight="1" thickTop="1" thickBot="1" x14ac:dyDescent="0.3">
      <c r="A153" s="37"/>
      <c r="B153" s="32" t="s">
        <v>184</v>
      </c>
      <c r="C153" s="32"/>
      <c r="D153" s="32"/>
      <c r="E153" s="32"/>
      <c r="F153" s="31"/>
      <c r="G153" s="32"/>
      <c r="H153" s="32"/>
      <c r="I153" s="32"/>
      <c r="J153" s="33"/>
    </row>
    <row r="154" spans="1:10" ht="16.5" customHeight="1" thickTop="1" x14ac:dyDescent="0.25">
      <c r="A154" s="42" t="str">
        <f t="shared" ref="A154:A165" si="10">RIGHT(D154,4)</f>
        <v>7090</v>
      </c>
      <c r="B154" s="26" t="s">
        <v>185</v>
      </c>
      <c r="C154" s="41" t="s">
        <v>25</v>
      </c>
      <c r="D154" s="53">
        <v>1001084217090</v>
      </c>
      <c r="E154" s="17">
        <v>88</v>
      </c>
      <c r="F154" s="16">
        <v>0.3</v>
      </c>
      <c r="G154" s="16">
        <f>E154*F154</f>
        <v>26.4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7187</v>
      </c>
      <c r="B155" s="26" t="s">
        <v>186</v>
      </c>
      <c r="C155" s="41" t="s">
        <v>25</v>
      </c>
      <c r="D155" s="53">
        <v>1001085637187</v>
      </c>
      <c r="E155" s="17">
        <v>79</v>
      </c>
      <c r="F155" s="16">
        <v>0.3</v>
      </c>
      <c r="G155" s="16">
        <f>E155*F155</f>
        <v>23.7</v>
      </c>
      <c r="H155" s="11">
        <v>1.8</v>
      </c>
      <c r="I155" s="11">
        <v>50</v>
      </c>
      <c r="J155" s="44"/>
    </row>
    <row r="156" spans="1:10" ht="16.5" customHeight="1" x14ac:dyDescent="0.25">
      <c r="A156" s="42" t="str">
        <f t="shared" si="10"/>
        <v>6008</v>
      </c>
      <c r="B156" s="26" t="s">
        <v>187</v>
      </c>
      <c r="C156" s="41" t="s">
        <v>28</v>
      </c>
      <c r="D156" s="53">
        <v>1001084856008</v>
      </c>
      <c r="E156" s="17">
        <v>10</v>
      </c>
      <c r="F156" s="16">
        <v>0.3</v>
      </c>
      <c r="G156" s="16">
        <f>E156</f>
        <v>10</v>
      </c>
      <c r="H156" s="11">
        <v>1.8</v>
      </c>
      <c r="I156" s="11">
        <v>40</v>
      </c>
      <c r="J156" s="101" t="s">
        <v>182</v>
      </c>
    </row>
    <row r="157" spans="1:10" ht="16.5" customHeight="1" x14ac:dyDescent="0.25">
      <c r="A157" s="42" t="str">
        <f t="shared" si="10"/>
        <v>6620</v>
      </c>
      <c r="B157" s="26" t="s">
        <v>188</v>
      </c>
      <c r="C157" s="41" t="s">
        <v>28</v>
      </c>
      <c r="D157" s="53">
        <v>1001081596620</v>
      </c>
      <c r="E157" s="17"/>
      <c r="F157" s="16">
        <v>1.05</v>
      </c>
      <c r="G157" s="16">
        <f>E157</f>
        <v>0</v>
      </c>
      <c r="H157" s="11">
        <v>3.15</v>
      </c>
      <c r="I157" s="11">
        <v>30</v>
      </c>
      <c r="J157" s="44"/>
    </row>
    <row r="158" spans="1:10" ht="16.5" customHeight="1" x14ac:dyDescent="0.25">
      <c r="A158" s="42" t="str">
        <f t="shared" si="10"/>
        <v>7103</v>
      </c>
      <c r="B158" s="26" t="s">
        <v>189</v>
      </c>
      <c r="C158" s="41" t="s">
        <v>25</v>
      </c>
      <c r="D158" s="53">
        <v>1001223297103</v>
      </c>
      <c r="E158" s="17">
        <v>196</v>
      </c>
      <c r="F158" s="16">
        <v>0.18</v>
      </c>
      <c r="G158" s="16">
        <f t="shared" ref="G158:G165" si="11">E158*F158</f>
        <v>35.28</v>
      </c>
      <c r="H158" s="11">
        <v>1.8</v>
      </c>
      <c r="I158" s="11">
        <v>50</v>
      </c>
      <c r="J158" s="44"/>
    </row>
    <row r="159" spans="1:10" ht="16.5" customHeight="1" x14ac:dyDescent="0.25">
      <c r="A159" s="42" t="str">
        <f t="shared" si="10"/>
        <v>7092</v>
      </c>
      <c r="B159" s="26" t="s">
        <v>190</v>
      </c>
      <c r="C159" s="41" t="s">
        <v>25</v>
      </c>
      <c r="D159" s="53">
        <v>1001223297092</v>
      </c>
      <c r="E159" s="17"/>
      <c r="F159" s="16">
        <v>0.14000000000000001</v>
      </c>
      <c r="G159" s="16">
        <f t="shared" si="11"/>
        <v>0</v>
      </c>
      <c r="H159" s="11">
        <v>1.4</v>
      </c>
      <c r="I159" s="11">
        <v>50</v>
      </c>
      <c r="J159" s="44"/>
    </row>
    <row r="160" spans="1:10" ht="16.5" customHeight="1" x14ac:dyDescent="0.25">
      <c r="A160" s="42" t="str">
        <f t="shared" si="10"/>
        <v>6228</v>
      </c>
      <c r="B160" s="26" t="s">
        <v>191</v>
      </c>
      <c r="C160" s="41" t="s">
        <v>25</v>
      </c>
      <c r="D160" s="53">
        <v>1001225416228</v>
      </c>
      <c r="E160" s="17">
        <v>43</v>
      </c>
      <c r="F160" s="16">
        <v>0.09</v>
      </c>
      <c r="G160" s="16">
        <f t="shared" si="11"/>
        <v>3.8699999999999997</v>
      </c>
      <c r="H160" s="11">
        <v>0.9</v>
      </c>
      <c r="I160" s="11">
        <v>45</v>
      </c>
      <c r="J160" s="44"/>
    </row>
    <row r="161" spans="1:10" ht="16.5" customHeight="1" x14ac:dyDescent="0.25">
      <c r="A161" s="42" t="str">
        <f t="shared" si="10"/>
        <v>6448</v>
      </c>
      <c r="B161" s="26" t="s">
        <v>192</v>
      </c>
      <c r="C161" s="41" t="s">
        <v>25</v>
      </c>
      <c r="D161" s="53">
        <v>1001234146448</v>
      </c>
      <c r="E161" s="17"/>
      <c r="F161" s="16">
        <v>0.1</v>
      </c>
      <c r="G161" s="16">
        <f t="shared" si="11"/>
        <v>0</v>
      </c>
      <c r="H161" s="11">
        <v>1</v>
      </c>
      <c r="I161" s="11">
        <v>45</v>
      </c>
      <c r="J161" s="44"/>
    </row>
    <row r="162" spans="1:10" ht="16.5" customHeight="1" x14ac:dyDescent="0.25">
      <c r="A162" s="42" t="str">
        <f t="shared" si="10"/>
        <v>6208</v>
      </c>
      <c r="B162" s="26" t="s">
        <v>193</v>
      </c>
      <c r="C162" s="41" t="s">
        <v>25</v>
      </c>
      <c r="D162" s="53">
        <v>1001220226208</v>
      </c>
      <c r="E162" s="17"/>
      <c r="F162" s="16">
        <v>0.15</v>
      </c>
      <c r="G162" s="16">
        <f t="shared" si="11"/>
        <v>0</v>
      </c>
      <c r="H162" s="11">
        <v>1.5</v>
      </c>
      <c r="I162" s="11">
        <v>45</v>
      </c>
      <c r="J162" s="44"/>
    </row>
    <row r="163" spans="1:10" ht="16.5" customHeight="1" x14ac:dyDescent="0.25">
      <c r="A163" s="42" t="str">
        <f t="shared" si="10"/>
        <v>6754</v>
      </c>
      <c r="B163" s="26" t="s">
        <v>194</v>
      </c>
      <c r="C163" s="41" t="s">
        <v>25</v>
      </c>
      <c r="D163" s="53">
        <v>1001225406754</v>
      </c>
      <c r="E163" s="17"/>
      <c r="F163" s="16">
        <v>0.09</v>
      </c>
      <c r="G163" s="16">
        <f t="shared" si="11"/>
        <v>0</v>
      </c>
      <c r="H163" s="11">
        <v>0.72</v>
      </c>
      <c r="I163" s="11">
        <v>60</v>
      </c>
      <c r="J163" s="44"/>
    </row>
    <row r="164" spans="1:10" ht="16.5" customHeight="1" x14ac:dyDescent="0.25">
      <c r="A164" s="42" t="str">
        <f t="shared" si="10"/>
        <v>6279</v>
      </c>
      <c r="B164" s="26" t="s">
        <v>195</v>
      </c>
      <c r="C164" s="41" t="s">
        <v>25</v>
      </c>
      <c r="D164" s="53">
        <v>1001220286279</v>
      </c>
      <c r="E164" s="17"/>
      <c r="F164" s="16">
        <v>0.15</v>
      </c>
      <c r="G164" s="16">
        <f t="shared" si="11"/>
        <v>0</v>
      </c>
      <c r="H164" s="11">
        <v>1.2</v>
      </c>
      <c r="I164" s="11">
        <v>45</v>
      </c>
      <c r="J164" s="44"/>
    </row>
    <row r="165" spans="1:10" ht="16.5" customHeight="1" thickBot="1" x14ac:dyDescent="0.3">
      <c r="A165" s="42" t="str">
        <f t="shared" si="10"/>
        <v>7612</v>
      </c>
      <c r="B165" s="26" t="s">
        <v>196</v>
      </c>
      <c r="C165" s="41" t="s">
        <v>25</v>
      </c>
      <c r="D165" s="53">
        <v>1001453907612</v>
      </c>
      <c r="E165" s="17">
        <v>78</v>
      </c>
      <c r="F165" s="16">
        <v>0.1</v>
      </c>
      <c r="G165" s="16">
        <f t="shared" si="11"/>
        <v>7.8000000000000007</v>
      </c>
      <c r="H165" s="11">
        <v>1</v>
      </c>
      <c r="I165" s="11">
        <v>60</v>
      </c>
      <c r="J165" s="40" t="s">
        <v>197</v>
      </c>
    </row>
    <row r="166" spans="1:10" ht="16.5" customHeight="1" thickTop="1" thickBot="1" x14ac:dyDescent="0.3">
      <c r="A166" s="38"/>
      <c r="B166" s="35" t="s">
        <v>198</v>
      </c>
      <c r="C166" s="12"/>
      <c r="D166" s="27"/>
      <c r="E166" s="13">
        <f>SUM(E10:E165)</f>
        <v>9114</v>
      </c>
      <c r="F166" s="13"/>
      <c r="G166" s="13">
        <f>SUM(G11:G165)</f>
        <v>4800.07</v>
      </c>
      <c r="H166" s="13"/>
      <c r="I166" s="13"/>
      <c r="J166" s="13"/>
    </row>
    <row r="167" spans="1:10" ht="15.75" customHeight="1" thickTop="1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47"/>
      <c r="F173" s="49"/>
      <c r="G173" s="49"/>
      <c r="H173" s="54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50"/>
      <c r="E175" s="51"/>
      <c r="F175" s="50"/>
      <c r="G175" s="52"/>
      <c r="H175" s="53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  <row r="1689" spans="2:10" x14ac:dyDescent="0.25">
      <c r="B1689" s="28"/>
      <c r="C1689" s="46"/>
      <c r="D1689" s="47"/>
      <c r="F1689" s="49"/>
      <c r="G1689" s="49"/>
      <c r="H1689" s="54"/>
      <c r="I1689" s="54"/>
      <c r="J1689" s="14"/>
    </row>
    <row r="1690" spans="2:10" x14ac:dyDescent="0.25">
      <c r="B1690" s="28"/>
      <c r="C1690" s="46"/>
      <c r="D1690" s="47"/>
      <c r="F1690" s="49"/>
      <c r="G1690" s="49"/>
      <c r="H1690" s="54"/>
      <c r="I1690" s="54"/>
      <c r="J1690" s="14"/>
    </row>
  </sheetData>
  <autoFilter ref="A9:J166" xr:uid="{00000000-0009-0000-0000-000000000000}"/>
  <mergeCells count="2">
    <mergeCell ref="E1:J1"/>
    <mergeCell ref="G3:J3"/>
  </mergeCells>
  <conditionalFormatting sqref="D175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199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199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199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200</v>
      </c>
      <c r="E18" s="64" t="s">
        <v>201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199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199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202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169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170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171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172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173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174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175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176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177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179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180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203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185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186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188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204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103</v>
      </c>
      <c r="E44" s="67" t="s">
        <v>199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105</v>
      </c>
      <c r="E45" s="67" t="s">
        <v>199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107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108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109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110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111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113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114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115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116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118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119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120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121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122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123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124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125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126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127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205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206</v>
      </c>
      <c r="E66" s="64" t="s">
        <v>207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208</v>
      </c>
      <c r="E67" s="64" t="s">
        <v>209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210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189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190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191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192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193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194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195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211</v>
      </c>
      <c r="E76" s="64" t="s">
        <v>212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196</v>
      </c>
      <c r="E77" s="63" t="s">
        <v>213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214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215</v>
      </c>
      <c r="E79" s="64" t="s">
        <v>216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157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159</v>
      </c>
      <c r="E81" s="64" t="s">
        <v>217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218</v>
      </c>
      <c r="E82" s="64" t="s">
        <v>219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162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163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164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165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166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220</v>
      </c>
      <c r="E88" s="64" t="s">
        <v>221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222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223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133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134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135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136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137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138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139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140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141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142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143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144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145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146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147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148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149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150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151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224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152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153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154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94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95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96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97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98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99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100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101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225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226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65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66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67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68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69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70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71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72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73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74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75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76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77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78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79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80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81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82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83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84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85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86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87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88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89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90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91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92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93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2026-07-22T11:58:25Z</dcterms:modified>
</cp:coreProperties>
</file>