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 и ЗПФ\"/>
    </mc:Choice>
  </mc:AlternateContent>
  <xr:revisionPtr revIDLastSave="0" documentId="13_ncr:1_{324D7159-9B27-4551-AAC0-6CB6C206D3C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7" i="1" l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7" i="1"/>
  <c r="R6" i="1"/>
  <c r="R5" i="1" s="1"/>
  <c r="T107" i="1" l="1"/>
  <c r="P107" i="1"/>
  <c r="U107" i="1" s="1"/>
  <c r="P106" i="1" l="1"/>
  <c r="T106" i="1"/>
  <c r="U106" i="1"/>
  <c r="F105" i="1" l="1"/>
  <c r="E105" i="1"/>
  <c r="P105" i="1" s="1"/>
  <c r="Q105" i="1" s="1"/>
  <c r="F104" i="1"/>
  <c r="E104" i="1"/>
  <c r="P104" i="1" s="1"/>
  <c r="P103" i="1"/>
  <c r="U103" i="1" s="1"/>
  <c r="P102" i="1"/>
  <c r="U102" i="1" s="1"/>
  <c r="P101" i="1"/>
  <c r="U101" i="1" s="1"/>
  <c r="P100" i="1"/>
  <c r="U100" i="1" s="1"/>
  <c r="L100" i="1"/>
  <c r="P99" i="1"/>
  <c r="U99" i="1" s="1"/>
  <c r="L99" i="1"/>
  <c r="F98" i="1"/>
  <c r="E98" i="1"/>
  <c r="L98" i="1" s="1"/>
  <c r="F97" i="1"/>
  <c r="E97" i="1"/>
  <c r="L97" i="1" s="1"/>
  <c r="F96" i="1"/>
  <c r="E96" i="1"/>
  <c r="P96" i="1" s="1"/>
  <c r="Q96" i="1" s="1"/>
  <c r="P95" i="1"/>
  <c r="U95" i="1" s="1"/>
  <c r="L95" i="1"/>
  <c r="P94" i="1"/>
  <c r="T94" i="1" s="1"/>
  <c r="L94" i="1"/>
  <c r="P93" i="1"/>
  <c r="U93" i="1" s="1"/>
  <c r="L93" i="1"/>
  <c r="P92" i="1"/>
  <c r="T92" i="1" s="1"/>
  <c r="L92" i="1"/>
  <c r="P91" i="1"/>
  <c r="Q91" i="1" s="1"/>
  <c r="L91" i="1"/>
  <c r="P90" i="1"/>
  <c r="U90" i="1" s="1"/>
  <c r="L90" i="1"/>
  <c r="P89" i="1"/>
  <c r="Q89" i="1" s="1"/>
  <c r="L89" i="1"/>
  <c r="P88" i="1"/>
  <c r="U88" i="1" s="1"/>
  <c r="L88" i="1"/>
  <c r="P87" i="1"/>
  <c r="U87" i="1" s="1"/>
  <c r="L87" i="1"/>
  <c r="P86" i="1"/>
  <c r="U86" i="1" s="1"/>
  <c r="L86" i="1"/>
  <c r="P85" i="1"/>
  <c r="U85" i="1" s="1"/>
  <c r="L85" i="1"/>
  <c r="P84" i="1"/>
  <c r="U84" i="1" s="1"/>
  <c r="L84" i="1"/>
  <c r="P83" i="1"/>
  <c r="T83" i="1" s="1"/>
  <c r="L83" i="1"/>
  <c r="P82" i="1"/>
  <c r="Q82" i="1" s="1"/>
  <c r="L82" i="1"/>
  <c r="P81" i="1"/>
  <c r="U81" i="1" s="1"/>
  <c r="L81" i="1"/>
  <c r="P80" i="1"/>
  <c r="U80" i="1" s="1"/>
  <c r="L80" i="1"/>
  <c r="P79" i="1"/>
  <c r="Q79" i="1" s="1"/>
  <c r="L79" i="1"/>
  <c r="P78" i="1"/>
  <c r="U78" i="1" s="1"/>
  <c r="L78" i="1"/>
  <c r="P77" i="1"/>
  <c r="Q77" i="1" s="1"/>
  <c r="L77" i="1"/>
  <c r="P76" i="1"/>
  <c r="U76" i="1" s="1"/>
  <c r="L76" i="1"/>
  <c r="P75" i="1"/>
  <c r="U75" i="1" s="1"/>
  <c r="L75" i="1"/>
  <c r="P74" i="1"/>
  <c r="U74" i="1" s="1"/>
  <c r="L74" i="1"/>
  <c r="P73" i="1"/>
  <c r="Q73" i="1" s="1"/>
  <c r="L73" i="1"/>
  <c r="P72" i="1"/>
  <c r="Q72" i="1" s="1"/>
  <c r="L72" i="1"/>
  <c r="P71" i="1"/>
  <c r="U71" i="1" s="1"/>
  <c r="L71" i="1"/>
  <c r="P70" i="1"/>
  <c r="U70" i="1" s="1"/>
  <c r="L70" i="1"/>
  <c r="P69" i="1"/>
  <c r="Q69" i="1" s="1"/>
  <c r="L69" i="1"/>
  <c r="P68" i="1"/>
  <c r="T68" i="1" s="1"/>
  <c r="L68" i="1"/>
  <c r="P67" i="1"/>
  <c r="Q67" i="1" s="1"/>
  <c r="L67" i="1"/>
  <c r="P66" i="1"/>
  <c r="T66" i="1" s="1"/>
  <c r="L66" i="1"/>
  <c r="P65" i="1"/>
  <c r="U65" i="1" s="1"/>
  <c r="L65" i="1"/>
  <c r="P64" i="1"/>
  <c r="U64" i="1" s="1"/>
  <c r="L64" i="1"/>
  <c r="P63" i="1"/>
  <c r="T63" i="1" s="1"/>
  <c r="L63" i="1"/>
  <c r="P62" i="1"/>
  <c r="L62" i="1"/>
  <c r="F62" i="1"/>
  <c r="P61" i="1"/>
  <c r="U61" i="1" s="1"/>
  <c r="L61" i="1"/>
  <c r="P60" i="1"/>
  <c r="U60" i="1" s="1"/>
  <c r="L60" i="1"/>
  <c r="P59" i="1"/>
  <c r="U59" i="1" s="1"/>
  <c r="L59" i="1"/>
  <c r="P58" i="1"/>
  <c r="U58" i="1" s="1"/>
  <c r="L58" i="1"/>
  <c r="P57" i="1"/>
  <c r="Q57" i="1" s="1"/>
  <c r="L57" i="1"/>
  <c r="P56" i="1"/>
  <c r="Q56" i="1" s="1"/>
  <c r="L56" i="1"/>
  <c r="P55" i="1"/>
  <c r="T55" i="1" s="1"/>
  <c r="L55" i="1"/>
  <c r="P54" i="1"/>
  <c r="T54" i="1" s="1"/>
  <c r="L54" i="1"/>
  <c r="P53" i="1"/>
  <c r="U53" i="1" s="1"/>
  <c r="L53" i="1"/>
  <c r="P52" i="1"/>
  <c r="Q52" i="1" s="1"/>
  <c r="L52" i="1"/>
  <c r="P51" i="1"/>
  <c r="U51" i="1" s="1"/>
  <c r="L51" i="1"/>
  <c r="P50" i="1"/>
  <c r="U50" i="1" s="1"/>
  <c r="L50" i="1"/>
  <c r="P49" i="1"/>
  <c r="Q49" i="1" s="1"/>
  <c r="L49" i="1"/>
  <c r="P48" i="1"/>
  <c r="U48" i="1" s="1"/>
  <c r="L48" i="1"/>
  <c r="P47" i="1"/>
  <c r="U47" i="1" s="1"/>
  <c r="L47" i="1"/>
  <c r="P46" i="1"/>
  <c r="U46" i="1" s="1"/>
  <c r="L46" i="1"/>
  <c r="P45" i="1"/>
  <c r="U45" i="1" s="1"/>
  <c r="L45" i="1"/>
  <c r="P44" i="1"/>
  <c r="Q44" i="1" s="1"/>
  <c r="L44" i="1"/>
  <c r="P43" i="1"/>
  <c r="U43" i="1" s="1"/>
  <c r="L43" i="1"/>
  <c r="P42" i="1"/>
  <c r="U42" i="1" s="1"/>
  <c r="L42" i="1"/>
  <c r="P41" i="1"/>
  <c r="T41" i="1" s="1"/>
  <c r="L41" i="1"/>
  <c r="P40" i="1"/>
  <c r="U40" i="1" s="1"/>
  <c r="L40" i="1"/>
  <c r="P39" i="1"/>
  <c r="U39" i="1" s="1"/>
  <c r="L39" i="1"/>
  <c r="P38" i="1"/>
  <c r="U38" i="1" s="1"/>
  <c r="L38" i="1"/>
  <c r="P37" i="1"/>
  <c r="Q37" i="1" s="1"/>
  <c r="L37" i="1"/>
  <c r="P36" i="1"/>
  <c r="Q36" i="1" s="1"/>
  <c r="L36" i="1"/>
  <c r="P35" i="1"/>
  <c r="U35" i="1" s="1"/>
  <c r="L35" i="1"/>
  <c r="P34" i="1"/>
  <c r="U34" i="1" s="1"/>
  <c r="L34" i="1"/>
  <c r="P33" i="1"/>
  <c r="U33" i="1" s="1"/>
  <c r="L33" i="1"/>
  <c r="P32" i="1"/>
  <c r="Q32" i="1" s="1"/>
  <c r="L32" i="1"/>
  <c r="P31" i="1"/>
  <c r="U31" i="1" s="1"/>
  <c r="L31" i="1"/>
  <c r="P30" i="1"/>
  <c r="U30" i="1" s="1"/>
  <c r="L30" i="1"/>
  <c r="P29" i="1"/>
  <c r="T29" i="1" s="1"/>
  <c r="L29" i="1"/>
  <c r="P28" i="1"/>
  <c r="U28" i="1" s="1"/>
  <c r="L28" i="1"/>
  <c r="P27" i="1"/>
  <c r="U27" i="1" s="1"/>
  <c r="L27" i="1"/>
  <c r="P26" i="1"/>
  <c r="U26" i="1" s="1"/>
  <c r="L26" i="1"/>
  <c r="P25" i="1"/>
  <c r="U25" i="1" s="1"/>
  <c r="L25" i="1"/>
  <c r="P24" i="1"/>
  <c r="U24" i="1" s="1"/>
  <c r="L24" i="1"/>
  <c r="P23" i="1"/>
  <c r="T23" i="1" s="1"/>
  <c r="L23" i="1"/>
  <c r="P22" i="1"/>
  <c r="U22" i="1" s="1"/>
  <c r="L22" i="1"/>
  <c r="P21" i="1"/>
  <c r="U21" i="1" s="1"/>
  <c r="L21" i="1"/>
  <c r="P20" i="1"/>
  <c r="U20" i="1" s="1"/>
  <c r="L20" i="1"/>
  <c r="P19" i="1"/>
  <c r="Q19" i="1" s="1"/>
  <c r="L19" i="1"/>
  <c r="P18" i="1"/>
  <c r="U18" i="1" s="1"/>
  <c r="L18" i="1"/>
  <c r="P17" i="1"/>
  <c r="U17" i="1" s="1"/>
  <c r="L17" i="1"/>
  <c r="P16" i="1"/>
  <c r="U16" i="1" s="1"/>
  <c r="L16" i="1"/>
  <c r="P15" i="1"/>
  <c r="U15" i="1" s="1"/>
  <c r="L15" i="1"/>
  <c r="P14" i="1"/>
  <c r="U14" i="1" s="1"/>
  <c r="L14" i="1"/>
  <c r="P13" i="1"/>
  <c r="U13" i="1" s="1"/>
  <c r="L13" i="1"/>
  <c r="P12" i="1"/>
  <c r="U12" i="1" s="1"/>
  <c r="L12" i="1"/>
  <c r="P11" i="1"/>
  <c r="Q11" i="1" s="1"/>
  <c r="L11" i="1"/>
  <c r="P10" i="1"/>
  <c r="U10" i="1" s="1"/>
  <c r="L10" i="1"/>
  <c r="P9" i="1"/>
  <c r="U9" i="1" s="1"/>
  <c r="L9" i="1"/>
  <c r="P8" i="1"/>
  <c r="U8" i="1" s="1"/>
  <c r="L8" i="1"/>
  <c r="P7" i="1"/>
  <c r="Q7" i="1" s="1"/>
  <c r="L7" i="1"/>
  <c r="P6" i="1"/>
  <c r="Q6" i="1" s="1"/>
  <c r="L6" i="1"/>
  <c r="AC5" i="1"/>
  <c r="AB5" i="1"/>
  <c r="AA5" i="1"/>
  <c r="Z5" i="1"/>
  <c r="Y5" i="1"/>
  <c r="X5" i="1"/>
  <c r="W5" i="1"/>
  <c r="V5" i="1"/>
  <c r="O5" i="1"/>
  <c r="N5" i="1"/>
  <c r="M5" i="1"/>
  <c r="K5" i="1"/>
  <c r="U62" i="1" l="1"/>
  <c r="Q50" i="1"/>
  <c r="T59" i="1"/>
  <c r="Q27" i="1"/>
  <c r="Q76" i="1"/>
  <c r="Q80" i="1"/>
  <c r="Q93" i="1"/>
  <c r="T93" i="1" s="1"/>
  <c r="T10" i="1"/>
  <c r="U63" i="1"/>
  <c r="Q38" i="1"/>
  <c r="T38" i="1" s="1"/>
  <c r="Q13" i="1"/>
  <c r="Q48" i="1"/>
  <c r="U56" i="1"/>
  <c r="U57" i="1"/>
  <c r="Q104" i="1"/>
  <c r="T104" i="1" s="1"/>
  <c r="T65" i="1"/>
  <c r="P98" i="1"/>
  <c r="U98" i="1" s="1"/>
  <c r="T43" i="1"/>
  <c r="U19" i="1"/>
  <c r="Q28" i="1"/>
  <c r="Q74" i="1"/>
  <c r="T74" i="1" s="1"/>
  <c r="U83" i="1"/>
  <c r="U68" i="1"/>
  <c r="Q47" i="1"/>
  <c r="T47" i="1" s="1"/>
  <c r="U6" i="1"/>
  <c r="Q62" i="1"/>
  <c r="Q17" i="1"/>
  <c r="T17" i="1" s="1"/>
  <c r="U29" i="1"/>
  <c r="T35" i="1"/>
  <c r="Q60" i="1"/>
  <c r="T60" i="1" s="1"/>
  <c r="U66" i="1"/>
  <c r="Q95" i="1"/>
  <c r="T101" i="1"/>
  <c r="U11" i="1"/>
  <c r="Q42" i="1"/>
  <c r="T42" i="1" s="1"/>
  <c r="U55" i="1"/>
  <c r="U96" i="1"/>
  <c r="T18" i="1"/>
  <c r="T24" i="1"/>
  <c r="Q30" i="1"/>
  <c r="T30" i="1" s="1"/>
  <c r="Q61" i="1"/>
  <c r="T61" i="1" s="1"/>
  <c r="U67" i="1"/>
  <c r="L96" i="1"/>
  <c r="L5" i="1" s="1"/>
  <c r="U91" i="1"/>
  <c r="Q12" i="1"/>
  <c r="T12" i="1" s="1"/>
  <c r="U37" i="1"/>
  <c r="Q75" i="1"/>
  <c r="U104" i="1"/>
  <c r="T31" i="1"/>
  <c r="U92" i="1"/>
  <c r="T105" i="1"/>
  <c r="U77" i="1"/>
  <c r="U105" i="1"/>
  <c r="Q20" i="1"/>
  <c r="T39" i="1"/>
  <c r="U52" i="1"/>
  <c r="Q78" i="1"/>
  <c r="U73" i="1"/>
  <c r="T34" i="1"/>
  <c r="Q53" i="1"/>
  <c r="T69" i="1"/>
  <c r="T7" i="1"/>
  <c r="T32" i="1"/>
  <c r="T72" i="1"/>
  <c r="T73" i="1"/>
  <c r="T79" i="1"/>
  <c r="T36" i="1"/>
  <c r="T11" i="1"/>
  <c r="T67" i="1"/>
  <c r="T82" i="1"/>
  <c r="T91" i="1"/>
  <c r="T89" i="1"/>
  <c r="T37" i="1"/>
  <c r="T49" i="1"/>
  <c r="T56" i="1"/>
  <c r="T6" i="1"/>
  <c r="T57" i="1"/>
  <c r="T77" i="1"/>
  <c r="T52" i="1"/>
  <c r="T44" i="1"/>
  <c r="F5" i="1"/>
  <c r="T100" i="1"/>
  <c r="U82" i="1"/>
  <c r="Q25" i="1"/>
  <c r="T40" i="1"/>
  <c r="T58" i="1"/>
  <c r="Q87" i="1"/>
  <c r="T14" i="1"/>
  <c r="T21" i="1"/>
  <c r="U32" i="1"/>
  <c r="U69" i="1"/>
  <c r="U79" i="1"/>
  <c r="U7" i="1"/>
  <c r="U44" i="1"/>
  <c r="T51" i="1"/>
  <c r="T102" i="1"/>
  <c r="T86" i="1"/>
  <c r="U54" i="1"/>
  <c r="U94" i="1"/>
  <c r="T33" i="1"/>
  <c r="Q70" i="1"/>
  <c r="Q8" i="1"/>
  <c r="Q15" i="1"/>
  <c r="Q26" i="1"/>
  <c r="U41" i="1"/>
  <c r="Q45" i="1"/>
  <c r="T88" i="1"/>
  <c r="T103" i="1"/>
  <c r="P97" i="1"/>
  <c r="Q97" i="1" s="1"/>
  <c r="T22" i="1"/>
  <c r="T84" i="1"/>
  <c r="Q90" i="1"/>
  <c r="U72" i="1"/>
  <c r="T19" i="1"/>
  <c r="Q71" i="1"/>
  <c r="Q81" i="1"/>
  <c r="T85" i="1"/>
  <c r="T99" i="1"/>
  <c r="Q9" i="1"/>
  <c r="Q16" i="1"/>
  <c r="U23" i="1"/>
  <c r="Q46" i="1"/>
  <c r="U49" i="1"/>
  <c r="Q64" i="1"/>
  <c r="U89" i="1"/>
  <c r="U36" i="1"/>
  <c r="E5" i="1"/>
  <c r="T13" i="1" l="1"/>
  <c r="T98" i="1"/>
  <c r="T48" i="1"/>
  <c r="T28" i="1"/>
  <c r="T62" i="1"/>
  <c r="T96" i="1"/>
  <c r="P5" i="1"/>
  <c r="U97" i="1"/>
  <c r="T75" i="1"/>
  <c r="T95" i="1"/>
  <c r="T97" i="1"/>
  <c r="T53" i="1"/>
  <c r="Q5" i="1"/>
  <c r="T78" i="1"/>
  <c r="T20" i="1"/>
  <c r="T27" i="1"/>
  <c r="T87" i="1"/>
  <c r="T16" i="1"/>
  <c r="T90" i="1"/>
  <c r="T80" i="1"/>
  <c r="T15" i="1"/>
  <c r="T25" i="1"/>
  <c r="T9" i="1"/>
  <c r="T64" i="1"/>
  <c r="T76" i="1"/>
  <c r="T26" i="1"/>
  <c r="T8" i="1"/>
  <c r="T81" i="1"/>
  <c r="T70" i="1"/>
  <c r="T46" i="1"/>
  <c r="T50" i="1"/>
  <c r="T45" i="1"/>
  <c r="T71" i="1"/>
  <c r="AE5" i="1" l="1"/>
</calcChain>
</file>

<file path=xl/sharedStrings.xml><?xml version="1.0" encoding="utf-8"?>
<sst xmlns="http://schemas.openxmlformats.org/spreadsheetml/2006/main" count="396" uniqueCount="165">
  <si>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</si>
  <si>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</si>
  <si>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</si>
  <si>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</si>
  <si>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</si>
  <si>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</si>
  <si>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</si>
  <si>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</si>
  <si>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</si>
  <si>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</si>
  <si>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</si>
  <si>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</si>
  <si>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</si>
  <si>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</si>
  <si>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</si>
  <si>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</si>
  <si>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</si>
  <si>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</si>
  <si>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</si>
  <si>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</si>
  <si>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</si>
  <si>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</si>
  <si>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нет</t>
  </si>
  <si>
    <t>20,07,</t>
  </si>
  <si>
    <t>13,07,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</si>
  <si>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</si>
  <si>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</si>
  <si>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</si>
  <si>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</si>
  <si>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</si>
  <si>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</si>
  <si>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</si>
  <si>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</si>
  <si>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</si>
  <si>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матрица</t>
  </si>
  <si>
    <t>нужно увеличить продажи!!!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</si>
  <si>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</si>
  <si>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</si>
  <si>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</si>
  <si>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</si>
  <si>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</si>
  <si>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</si>
  <si>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</si>
  <si>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</si>
  <si>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</si>
  <si>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</si>
  <si>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нужно увеличить продажи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</si>
  <si>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</si>
  <si>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</si>
  <si>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</si>
  <si>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</si>
  <si>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</si>
  <si>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</si>
  <si>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</si>
  <si>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</si>
  <si>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</si>
  <si>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не в матрице</t>
  </si>
  <si>
    <t>90 шт в уценку 30,06,26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</si>
  <si>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</si>
  <si>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</si>
  <si>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</si>
  <si>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</si>
  <si>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</si>
  <si>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</si>
  <si>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</si>
  <si>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</si>
  <si>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</si>
  <si>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</si>
  <si>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</si>
  <si>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</si>
  <si>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</si>
  <si>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</si>
  <si>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6454 АРОМАТНАЯ с/к с/н в/у 1/100 10шт.  ОСТАНКИНО</t>
  </si>
  <si>
    <t>7613 АРОМАТНАЯ с/к с/н в/у 1/100 10шт_Л10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</si>
  <si>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</si>
  <si>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</si>
  <si>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</si>
  <si>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 7608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</si>
  <si>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</si>
  <si>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</si>
  <si>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</si>
  <si>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</si>
  <si>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</si>
  <si>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</si>
  <si>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</si>
  <si>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</si>
  <si>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</si>
  <si>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</si>
  <si>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</si>
  <si>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</si>
  <si>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</si>
  <si>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</si>
  <si>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</si>
  <si>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</si>
  <si>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</si>
  <si>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</si>
  <si>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</si>
  <si>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заблокирован к заказу</t>
  </si>
  <si>
    <t>6837 ФИЛЕЙНЫЕ Папа Может сос ц/о мгс 0,4кг  Останкино</t>
  </si>
  <si>
    <t>6861 ДОМАШНИЙ РЕЦЕПТ Коровино вар п/о  Останкино</t>
  </si>
  <si>
    <t>90 кг в уценку 30,06,26</t>
  </si>
  <si>
    <t>6866 ВЕТЧ.НЕЖНАЯ Коровино п/о_Маяк 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</si>
  <si>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</si>
  <si>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</si>
  <si>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</si>
  <si>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</si>
  <si>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</si>
  <si>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</si>
  <si>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</si>
  <si>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</si>
  <si>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</si>
  <si>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</si>
  <si>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</si>
  <si>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</si>
  <si>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</si>
  <si>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</si>
  <si>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</si>
  <si>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</si>
  <si>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</si>
  <si>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</si>
  <si>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</si>
  <si>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</si>
  <si>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</si>
  <si>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</si>
  <si>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</si>
  <si>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</si>
  <si>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</si>
  <si>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</si>
  <si>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</si>
  <si>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заказ ТК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</si>
  <si>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</si>
  <si>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</si>
  <si>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</si>
  <si>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</si>
  <si>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</si>
  <si>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</si>
  <si>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новинка</t>
  </si>
  <si>
    <t>7343 СЕЙЧАС СЕЗОН ПМ вар п/о 0,4кг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</si>
  <si>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</si>
  <si>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</si>
  <si>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</si>
  <si>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</si>
  <si>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7523 ГОВЯЖЬЯ Папа Может вар п/о 0,4кг 6шт. ОСТАНКИНО</t>
  </si>
  <si>
    <t>7539 ДОКТОРСКАЯ ГОСТ вар п/о 0,35кг ОСТАНКИНО</t>
  </si>
  <si>
    <t>вместо 6324</t>
  </si>
  <si>
    <t>7603 БАЛЫКОВАЯ в/к в/у 0.33кг 8шт. ОСТАНКИНО</t>
  </si>
  <si>
    <t>вместо 6453</t>
  </si>
  <si>
    <t>вместо 6353</t>
  </si>
  <si>
    <t>7647  ХОЧУ ВЕТЧ. ИЗ СВИН.ОТРУБА с/н мгс 1/100</t>
  </si>
  <si>
    <t>7651  ХОЧУ ВЕТЧ. МРАМОР. ПМ с/н мгс 1/100_Л11</t>
  </si>
  <si>
    <t>6925 ВЕТЧ.КЛАССИЧЕСКАЯ в/у 0,6кг 8шт. ОСТАНКИНО</t>
  </si>
  <si>
    <t>нет потребности</t>
  </si>
  <si>
    <t>7332 БОЯРСКАЯ ПМ п/к в/у 0,28кг ОСТАНКИНО</t>
  </si>
  <si>
    <t>7564 Балыковая в/к в/у Останкино Вес  ОСТАНКИНО</t>
  </si>
  <si>
    <t>вместо 6459</t>
  </si>
  <si>
    <t>вместо 6454</t>
  </si>
  <si>
    <t>вместо 7288</t>
  </si>
  <si>
    <t>167шт в уценку (16,07,26)</t>
  </si>
  <si>
    <t>новинка / завод не отгрузил</t>
  </si>
  <si>
    <t>ТК</t>
  </si>
  <si>
    <t>Чепрасова</t>
  </si>
  <si>
    <t>7040 С ИНДЕЙКОЙ ПМ сос ц/о в/у 1/270 8шт.  ОСТАНКИНО</t>
  </si>
  <si>
    <t>6411 ВЕТЧ.РУБЛЕНАЯ ПМ в/у срез 0.3кг 6шт.</t>
  </si>
  <si>
    <t>заказ</t>
  </si>
  <si>
    <t>27,07,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</si>
</sst>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b/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4" fillId="4" borderId="1" xfId="1" applyNumberFormat="1" applyFont="1" applyFill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0" borderId="1" xfId="1" applyNumberFormat="1" applyFill="1"/>
    <xf numFmtId="164" fontId="1" fillId="0" borderId="1" xfId="1" applyNumberFormat="1" applyBorder="1"/>
    <xf numFmtId="164" fontId="1" fillId="5" borderId="1" xfId="1" applyNumberFormat="1" applyFill="1" applyBorder="1"/>
    <xf numFmtId="0" fontId="0" fillId="0" borderId="1" xfId="0" applyBorder="1"/>
    <xf numFmtId="164" fontId="7" fillId="2" borderId="1" xfId="1" applyNumberFormat="1" applyFont="1" applyFill="1"/>
    <xf numFmtId="164" fontId="4" fillId="7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7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6" sqref="AD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5" width="0.42578125" customWidth="1"/>
    <col min="16" max="18" width="7" customWidth="1"/>
    <col min="19" max="19" width="13" style="21" customWidth="1"/>
    <col min="20" max="21" width="5" customWidth="1"/>
    <col min="22" max="29" width="6" customWidth="1"/>
    <col min="30" max="30" width="50.42578125" customWidth="1"/>
    <col min="31" max="31" width="7" customWidth="1"/>
    <col min="32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163</v>
      </c>
      <c r="S3" s="22" t="s">
        <v>159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20</v>
      </c>
      <c r="AE3" s="2" t="s">
        <v>21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0" t="s">
        <v>22</v>
      </c>
      <c r="P4" s="1" t="s">
        <v>23</v>
      </c>
      <c r="Q4" s="1"/>
      <c r="R4" s="1" t="s">
        <v>164</v>
      </c>
      <c r="S4" s="10" t="s">
        <v>160</v>
      </c>
      <c r="T4" s="1"/>
      <c r="U4" s="1"/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SUM(E6:E499)</f>
        <v>12014.218000000001</v>
      </c>
      <c r="F5" s="4">
        <f>SUM(F6:F499)</f>
        <v>22122.66</v>
      </c>
      <c r="G5" s="7"/>
      <c r="H5" s="1"/>
      <c r="I5" s="1"/>
      <c r="J5" s="1"/>
      <c r="K5" s="4">
        <f t="shared" ref="K5:R5" si="0">SUM(K6:K499)</f>
        <v>15144.297999999999</v>
      </c>
      <c r="L5" s="4">
        <f t="shared" si="0"/>
        <v>-3367.0800000000004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2402.8435999999997</v>
      </c>
      <c r="Q5" s="4">
        <f t="shared" si="0"/>
        <v>13645.133</v>
      </c>
      <c r="R5" s="4">
        <f t="shared" si="0"/>
        <v>13746</v>
      </c>
      <c r="S5" s="4"/>
      <c r="T5" s="1"/>
      <c r="U5" s="1"/>
      <c r="V5" s="4">
        <f t="shared" ref="V5:AC5" si="1">SUM(V6:V499)</f>
        <v>2410.0695999999998</v>
      </c>
      <c r="W5" s="4">
        <f t="shared" si="1"/>
        <v>2605.5990000000006</v>
      </c>
      <c r="X5" s="4">
        <f t="shared" si="1"/>
        <v>2537.4038000000005</v>
      </c>
      <c r="Y5" s="4">
        <f t="shared" si="1"/>
        <v>2488.9381999999996</v>
      </c>
      <c r="Z5" s="4">
        <f t="shared" si="1"/>
        <v>1791.1342000000009</v>
      </c>
      <c r="AA5" s="4">
        <f t="shared" si="1"/>
        <v>2210.5319999999992</v>
      </c>
      <c r="AB5" s="4">
        <f t="shared" si="1"/>
        <v>1929.5749999999991</v>
      </c>
      <c r="AC5" s="4">
        <f t="shared" si="1"/>
        <v>2014.8587999999988</v>
      </c>
      <c r="AD5" s="1"/>
      <c r="AE5" s="4">
        <f>SUM(AE6:AE499)</f>
        <v>6485.9900000000007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32</v>
      </c>
      <c r="B6" s="1" t="s">
        <v>33</v>
      </c>
      <c r="C6" s="1">
        <v>200</v>
      </c>
      <c r="D6" s="1">
        <v>368</v>
      </c>
      <c r="E6" s="1">
        <v>167</v>
      </c>
      <c r="F6" s="1">
        <v>307</v>
      </c>
      <c r="G6" s="7">
        <v>0.4</v>
      </c>
      <c r="H6" s="1">
        <v>60</v>
      </c>
      <c r="I6" s="1" t="s">
        <v>34</v>
      </c>
      <c r="J6" s="1"/>
      <c r="K6" s="1">
        <v>286</v>
      </c>
      <c r="L6" s="1">
        <f t="shared" ref="L6:L37" si="2">E6-K6</f>
        <v>-119</v>
      </c>
      <c r="M6" s="1"/>
      <c r="N6" s="1"/>
      <c r="O6" s="1"/>
      <c r="P6" s="1">
        <f t="shared" ref="P6:P37" si="3">E6/5</f>
        <v>33.4</v>
      </c>
      <c r="Q6" s="5">
        <f>15*P6-F6</f>
        <v>194</v>
      </c>
      <c r="R6" s="5">
        <f>ROUND(Q6,0)</f>
        <v>194</v>
      </c>
      <c r="S6" s="19"/>
      <c r="T6" s="1">
        <f t="shared" ref="T6:T37" si="4">(F6+Q6)/P6</f>
        <v>15</v>
      </c>
      <c r="U6" s="1">
        <f t="shared" ref="U6:U37" si="5">F6/P6</f>
        <v>9.1916167664670656</v>
      </c>
      <c r="V6" s="1">
        <v>17.2</v>
      </c>
      <c r="W6" s="1">
        <v>43.6</v>
      </c>
      <c r="X6" s="1">
        <v>24.8</v>
      </c>
      <c r="Y6" s="1">
        <v>43.4</v>
      </c>
      <c r="Z6" s="1">
        <v>17.600000000000001</v>
      </c>
      <c r="AA6" s="1">
        <v>27.6</v>
      </c>
      <c r="AB6" s="1">
        <v>22.8</v>
      </c>
      <c r="AC6" s="1">
        <v>14.8</v>
      </c>
      <c r="AD6" s="1"/>
      <c r="AE6" s="1">
        <f>G6*R6</f>
        <v>77.600000000000009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36</v>
      </c>
      <c r="B7" s="1" t="s">
        <v>37</v>
      </c>
      <c r="C7" s="1">
        <v>7.1529999999999996</v>
      </c>
      <c r="D7" s="1">
        <v>28.036999999999999</v>
      </c>
      <c r="E7" s="1">
        <v>9.4440000000000008</v>
      </c>
      <c r="F7" s="1">
        <v>24.763999999999999</v>
      </c>
      <c r="G7" s="7">
        <v>1</v>
      </c>
      <c r="H7" s="1">
        <v>120</v>
      </c>
      <c r="I7" s="1" t="s">
        <v>34</v>
      </c>
      <c r="J7" s="1"/>
      <c r="K7" s="1">
        <v>8.8000000000000007</v>
      </c>
      <c r="L7" s="1">
        <f t="shared" si="2"/>
        <v>0.64400000000000013</v>
      </c>
      <c r="M7" s="1"/>
      <c r="N7" s="1"/>
      <c r="O7" s="1"/>
      <c r="P7" s="1">
        <f t="shared" si="3"/>
        <v>1.8888000000000003</v>
      </c>
      <c r="Q7" s="5">
        <f>20*P7-F7</f>
        <v>13.012000000000004</v>
      </c>
      <c r="R7" s="5">
        <f t="shared" ref="R7:R70" si="6">ROUND(Q7,0)</f>
        <v>13</v>
      </c>
      <c r="S7" s="19"/>
      <c r="T7" s="1">
        <f t="shared" si="4"/>
        <v>20</v>
      </c>
      <c r="U7" s="1">
        <f t="shared" si="5"/>
        <v>13.11096992799661</v>
      </c>
      <c r="V7" s="1">
        <v>1.8835999999999999</v>
      </c>
      <c r="W7" s="1">
        <v>1.478</v>
      </c>
      <c r="X7" s="1">
        <v>0.86699999999999999</v>
      </c>
      <c r="Y7" s="1">
        <v>1.7609999999999999</v>
      </c>
      <c r="Z7" s="1">
        <v>0.69940000000000002</v>
      </c>
      <c r="AA7" s="1">
        <v>0.79620000000000002</v>
      </c>
      <c r="AB7" s="1">
        <v>1.9787999999999999</v>
      </c>
      <c r="AC7" s="1">
        <v>1.4690000000000001</v>
      </c>
      <c r="AD7" s="1" t="s">
        <v>38</v>
      </c>
      <c r="AE7" s="1">
        <f t="shared" ref="AE7:AE70" si="7">G7*R7</f>
        <v>13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39</v>
      </c>
      <c r="B8" s="1" t="s">
        <v>33</v>
      </c>
      <c r="C8" s="1">
        <v>67</v>
      </c>
      <c r="D8" s="1">
        <v>136</v>
      </c>
      <c r="E8" s="1">
        <v>41</v>
      </c>
      <c r="F8" s="1">
        <v>151</v>
      </c>
      <c r="G8" s="7">
        <v>0.25</v>
      </c>
      <c r="H8" s="1">
        <v>120</v>
      </c>
      <c r="I8" s="1" t="s">
        <v>34</v>
      </c>
      <c r="J8" s="1"/>
      <c r="K8" s="1">
        <v>47</v>
      </c>
      <c r="L8" s="1">
        <f t="shared" si="2"/>
        <v>-6</v>
      </c>
      <c r="M8" s="1"/>
      <c r="N8" s="1"/>
      <c r="O8" s="1"/>
      <c r="P8" s="1">
        <f t="shared" si="3"/>
        <v>8.1999999999999993</v>
      </c>
      <c r="Q8" s="5">
        <f>20*P8-F8</f>
        <v>13</v>
      </c>
      <c r="R8" s="5">
        <f t="shared" si="6"/>
        <v>13</v>
      </c>
      <c r="S8" s="19"/>
      <c r="T8" s="1">
        <f t="shared" si="4"/>
        <v>20</v>
      </c>
      <c r="U8" s="1">
        <f t="shared" si="5"/>
        <v>18.414634146341466</v>
      </c>
      <c r="V8" s="1">
        <v>10.199999999999999</v>
      </c>
      <c r="W8" s="1">
        <v>7</v>
      </c>
      <c r="X8" s="1">
        <v>11.4</v>
      </c>
      <c r="Y8" s="1">
        <v>10.199999999999999</v>
      </c>
      <c r="Z8" s="1">
        <v>7.8</v>
      </c>
      <c r="AA8" s="1">
        <v>11</v>
      </c>
      <c r="AB8" s="1">
        <v>7</v>
      </c>
      <c r="AC8" s="1">
        <v>11.2</v>
      </c>
      <c r="AD8" s="1" t="s">
        <v>38</v>
      </c>
      <c r="AE8" s="1">
        <f t="shared" si="7"/>
        <v>3.25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40</v>
      </c>
      <c r="B9" s="1" t="s">
        <v>37</v>
      </c>
      <c r="C9" s="1">
        <v>1559.6369999999999</v>
      </c>
      <c r="D9" s="1">
        <v>100.53700000000001</v>
      </c>
      <c r="E9" s="1">
        <v>653.67499999999995</v>
      </c>
      <c r="F9" s="1">
        <v>731.04200000000003</v>
      </c>
      <c r="G9" s="7">
        <v>1</v>
      </c>
      <c r="H9" s="1">
        <v>60</v>
      </c>
      <c r="I9" s="1" t="s">
        <v>34</v>
      </c>
      <c r="J9" s="1"/>
      <c r="K9" s="1">
        <v>757.5</v>
      </c>
      <c r="L9" s="1">
        <f t="shared" si="2"/>
        <v>-103.82500000000005</v>
      </c>
      <c r="M9" s="1"/>
      <c r="N9" s="1"/>
      <c r="O9" s="1"/>
      <c r="P9" s="1">
        <f t="shared" si="3"/>
        <v>130.73499999999999</v>
      </c>
      <c r="Q9" s="5">
        <f>15*P9-F9</f>
        <v>1229.9829999999997</v>
      </c>
      <c r="R9" s="5">
        <f t="shared" si="6"/>
        <v>1230</v>
      </c>
      <c r="S9" s="19"/>
      <c r="T9" s="1">
        <f t="shared" si="4"/>
        <v>14.999999999999998</v>
      </c>
      <c r="U9" s="1">
        <f t="shared" si="5"/>
        <v>5.5917849084024942</v>
      </c>
      <c r="V9" s="1">
        <v>106.291</v>
      </c>
      <c r="W9" s="1">
        <v>127.9742</v>
      </c>
      <c r="X9" s="1">
        <v>158.0384</v>
      </c>
      <c r="Y9" s="1">
        <v>114.2396</v>
      </c>
      <c r="Z9" s="1">
        <v>81.876400000000004</v>
      </c>
      <c r="AA9" s="1">
        <v>131.26580000000001</v>
      </c>
      <c r="AB9" s="1">
        <v>96.980999999999995</v>
      </c>
      <c r="AC9" s="1">
        <v>100.3278</v>
      </c>
      <c r="AD9" s="1"/>
      <c r="AE9" s="1">
        <f t="shared" si="7"/>
        <v>1230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41</v>
      </c>
      <c r="B10" s="1" t="s">
        <v>37</v>
      </c>
      <c r="C10" s="1">
        <v>36.457999999999998</v>
      </c>
      <c r="D10" s="1">
        <v>45.43</v>
      </c>
      <c r="E10" s="1">
        <v>9.516</v>
      </c>
      <c r="F10" s="1">
        <v>52.558</v>
      </c>
      <c r="G10" s="7">
        <v>1</v>
      </c>
      <c r="H10" s="1">
        <v>120</v>
      </c>
      <c r="I10" s="1" t="s">
        <v>34</v>
      </c>
      <c r="J10" s="1"/>
      <c r="K10" s="1">
        <v>11.8</v>
      </c>
      <c r="L10" s="1">
        <f t="shared" si="2"/>
        <v>-2.2840000000000007</v>
      </c>
      <c r="M10" s="1"/>
      <c r="N10" s="1"/>
      <c r="O10" s="1"/>
      <c r="P10" s="1">
        <f t="shared" si="3"/>
        <v>1.9032</v>
      </c>
      <c r="Q10" s="5"/>
      <c r="R10" s="5">
        <f t="shared" si="6"/>
        <v>0</v>
      </c>
      <c r="S10" s="19"/>
      <c r="T10" s="1">
        <f t="shared" si="4"/>
        <v>27.615594787725936</v>
      </c>
      <c r="U10" s="1">
        <f t="shared" si="5"/>
        <v>27.615594787725936</v>
      </c>
      <c r="V10" s="1">
        <v>4.1360000000000001</v>
      </c>
      <c r="W10" s="1">
        <v>5.2065999999999999</v>
      </c>
      <c r="X10" s="1">
        <v>5.0554000000000006</v>
      </c>
      <c r="Y10" s="1">
        <v>3.4813999999999998</v>
      </c>
      <c r="Z10" s="1">
        <v>2.581</v>
      </c>
      <c r="AA10" s="1">
        <v>2.4817999999999998</v>
      </c>
      <c r="AB10" s="1">
        <v>3.0813999999999999</v>
      </c>
      <c r="AC10" s="1">
        <v>5.0541999999999998</v>
      </c>
      <c r="AD10" s="1" t="s">
        <v>38</v>
      </c>
      <c r="AE10" s="1">
        <f t="shared" si="7"/>
        <v>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42</v>
      </c>
      <c r="B11" s="1" t="s">
        <v>37</v>
      </c>
      <c r="C11" s="1">
        <v>268.34300000000002</v>
      </c>
      <c r="D11" s="1">
        <v>272.363</v>
      </c>
      <c r="E11" s="1">
        <v>167.55600000000001</v>
      </c>
      <c r="F11" s="1">
        <v>283.125</v>
      </c>
      <c r="G11" s="7">
        <v>1</v>
      </c>
      <c r="H11" s="1">
        <v>60</v>
      </c>
      <c r="I11" s="1" t="s">
        <v>34</v>
      </c>
      <c r="J11" s="1"/>
      <c r="K11" s="1">
        <v>167.65</v>
      </c>
      <c r="L11" s="1">
        <f t="shared" si="2"/>
        <v>-9.3999999999994088E-2</v>
      </c>
      <c r="M11" s="1"/>
      <c r="N11" s="1"/>
      <c r="O11" s="1"/>
      <c r="P11" s="1">
        <f t="shared" si="3"/>
        <v>33.511200000000002</v>
      </c>
      <c r="Q11" s="5">
        <f>15*P11-F11</f>
        <v>219.54300000000001</v>
      </c>
      <c r="R11" s="5">
        <f t="shared" si="6"/>
        <v>220</v>
      </c>
      <c r="S11" s="19"/>
      <c r="T11" s="1">
        <f t="shared" si="4"/>
        <v>15</v>
      </c>
      <c r="U11" s="1">
        <f t="shared" si="5"/>
        <v>8.4486679080426832</v>
      </c>
      <c r="V11" s="1">
        <v>35.875999999999998</v>
      </c>
      <c r="W11" s="1">
        <v>29.587199999999999</v>
      </c>
      <c r="X11" s="1">
        <v>41.221200000000003</v>
      </c>
      <c r="Y11" s="1">
        <v>41.714599999999997</v>
      </c>
      <c r="Z11" s="1">
        <v>32.321800000000003</v>
      </c>
      <c r="AA11" s="1">
        <v>31.227</v>
      </c>
      <c r="AB11" s="1">
        <v>27.6508</v>
      </c>
      <c r="AC11" s="1">
        <v>41.835999999999999</v>
      </c>
      <c r="AD11" s="1"/>
      <c r="AE11" s="1">
        <f t="shared" si="7"/>
        <v>220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43</v>
      </c>
      <c r="B12" s="1" t="s">
        <v>37</v>
      </c>
      <c r="C12" s="1">
        <v>479.32</v>
      </c>
      <c r="D12" s="1">
        <v>321.697</v>
      </c>
      <c r="E12" s="1">
        <v>239.53399999999999</v>
      </c>
      <c r="F12" s="1">
        <v>466.58800000000002</v>
      </c>
      <c r="G12" s="7">
        <v>1</v>
      </c>
      <c r="H12" s="1">
        <v>60</v>
      </c>
      <c r="I12" s="1" t="s">
        <v>34</v>
      </c>
      <c r="J12" s="1"/>
      <c r="K12" s="1">
        <v>254.8</v>
      </c>
      <c r="L12" s="1">
        <f t="shared" si="2"/>
        <v>-15.26600000000002</v>
      </c>
      <c r="M12" s="1"/>
      <c r="N12" s="1"/>
      <c r="O12" s="1"/>
      <c r="P12" s="1">
        <f t="shared" si="3"/>
        <v>47.906799999999997</v>
      </c>
      <c r="Q12" s="5">
        <f>15*P12-F12</f>
        <v>252.01399999999995</v>
      </c>
      <c r="R12" s="5">
        <f t="shared" si="6"/>
        <v>252</v>
      </c>
      <c r="S12" s="19"/>
      <c r="T12" s="1">
        <f t="shared" si="4"/>
        <v>15</v>
      </c>
      <c r="U12" s="1">
        <f t="shared" si="5"/>
        <v>9.7394941845416536</v>
      </c>
      <c r="V12" s="1">
        <v>52.508600000000001</v>
      </c>
      <c r="W12" s="1">
        <v>44.505399999999987</v>
      </c>
      <c r="X12" s="1">
        <v>67.460999999999999</v>
      </c>
      <c r="Y12" s="1">
        <v>68.896199999999993</v>
      </c>
      <c r="Z12" s="1">
        <v>59.059800000000003</v>
      </c>
      <c r="AA12" s="1">
        <v>42.698599999999999</v>
      </c>
      <c r="AB12" s="1">
        <v>58.387800000000013</v>
      </c>
      <c r="AC12" s="1">
        <v>67.736800000000002</v>
      </c>
      <c r="AD12" s="1"/>
      <c r="AE12" s="1">
        <f t="shared" si="7"/>
        <v>252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44</v>
      </c>
      <c r="B13" s="1" t="s">
        <v>33</v>
      </c>
      <c r="C13" s="1">
        <v>55</v>
      </c>
      <c r="D13" s="1">
        <v>248</v>
      </c>
      <c r="E13" s="1">
        <v>72</v>
      </c>
      <c r="F13" s="1">
        <v>229</v>
      </c>
      <c r="G13" s="7">
        <v>0.25</v>
      </c>
      <c r="H13" s="1">
        <v>120</v>
      </c>
      <c r="I13" s="1" t="s">
        <v>34</v>
      </c>
      <c r="J13" s="1"/>
      <c r="K13" s="1">
        <v>81</v>
      </c>
      <c r="L13" s="1">
        <f t="shared" si="2"/>
        <v>-9</v>
      </c>
      <c r="M13" s="1"/>
      <c r="N13" s="1"/>
      <c r="O13" s="1"/>
      <c r="P13" s="1">
        <f t="shared" si="3"/>
        <v>14.4</v>
      </c>
      <c r="Q13" s="5">
        <f>20*P13-F13</f>
        <v>59</v>
      </c>
      <c r="R13" s="5">
        <f t="shared" si="6"/>
        <v>59</v>
      </c>
      <c r="S13" s="19"/>
      <c r="T13" s="1">
        <f t="shared" si="4"/>
        <v>20</v>
      </c>
      <c r="U13" s="1">
        <f t="shared" si="5"/>
        <v>15.902777777777777</v>
      </c>
      <c r="V13" s="1">
        <v>15.4</v>
      </c>
      <c r="W13" s="1">
        <v>17.399999999999999</v>
      </c>
      <c r="X13" s="1">
        <v>15.8</v>
      </c>
      <c r="Y13" s="1">
        <v>8.8000000000000007</v>
      </c>
      <c r="Z13" s="1">
        <v>11.6</v>
      </c>
      <c r="AA13" s="1">
        <v>14</v>
      </c>
      <c r="AB13" s="1">
        <v>10.6</v>
      </c>
      <c r="AC13" s="1">
        <v>6.6</v>
      </c>
      <c r="AD13" s="1" t="s">
        <v>38</v>
      </c>
      <c r="AE13" s="1">
        <f t="shared" si="7"/>
        <v>14.75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45</v>
      </c>
      <c r="B14" s="1" t="s">
        <v>37</v>
      </c>
      <c r="C14" s="1">
        <v>124.348</v>
      </c>
      <c r="D14" s="1">
        <v>78.135999999999996</v>
      </c>
      <c r="E14" s="1">
        <v>45.722999999999999</v>
      </c>
      <c r="F14" s="1">
        <v>141.512</v>
      </c>
      <c r="G14" s="7">
        <v>1</v>
      </c>
      <c r="H14" s="1">
        <v>60</v>
      </c>
      <c r="I14" s="1" t="s">
        <v>34</v>
      </c>
      <c r="J14" s="1"/>
      <c r="K14" s="1">
        <v>45.45</v>
      </c>
      <c r="L14" s="1">
        <f t="shared" si="2"/>
        <v>0.27299999999999613</v>
      </c>
      <c r="M14" s="1"/>
      <c r="N14" s="1"/>
      <c r="O14" s="1"/>
      <c r="P14" s="1">
        <f t="shared" si="3"/>
        <v>9.1446000000000005</v>
      </c>
      <c r="Q14" s="5"/>
      <c r="R14" s="5">
        <f t="shared" si="6"/>
        <v>0</v>
      </c>
      <c r="S14" s="19"/>
      <c r="T14" s="1">
        <f t="shared" si="4"/>
        <v>15.474925092404259</v>
      </c>
      <c r="U14" s="1">
        <f t="shared" si="5"/>
        <v>15.474925092404259</v>
      </c>
      <c r="V14" s="1">
        <v>6.1369999999999996</v>
      </c>
      <c r="W14" s="1">
        <v>15.6576</v>
      </c>
      <c r="X14" s="1">
        <v>16.722799999999999</v>
      </c>
      <c r="Y14" s="1">
        <v>16.991</v>
      </c>
      <c r="Z14" s="1">
        <v>7.2417999999999996</v>
      </c>
      <c r="AA14" s="1">
        <v>17.0852</v>
      </c>
      <c r="AB14" s="1">
        <v>14.352399999999999</v>
      </c>
      <c r="AC14" s="1">
        <v>12.536799999999999</v>
      </c>
      <c r="AD14" s="15" t="s">
        <v>46</v>
      </c>
      <c r="AE14" s="1">
        <f t="shared" si="7"/>
        <v>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47</v>
      </c>
      <c r="B15" s="1" t="s">
        <v>33</v>
      </c>
      <c r="C15" s="1">
        <v>226</v>
      </c>
      <c r="D15" s="1">
        <v>160</v>
      </c>
      <c r="E15" s="1">
        <v>134</v>
      </c>
      <c r="F15" s="1">
        <v>231</v>
      </c>
      <c r="G15" s="7">
        <v>0.25</v>
      </c>
      <c r="H15" s="1">
        <v>120</v>
      </c>
      <c r="I15" s="1" t="s">
        <v>34</v>
      </c>
      <c r="J15" s="1"/>
      <c r="K15" s="1">
        <v>200</v>
      </c>
      <c r="L15" s="1">
        <f t="shared" si="2"/>
        <v>-66</v>
      </c>
      <c r="M15" s="1"/>
      <c r="N15" s="1"/>
      <c r="O15" s="1"/>
      <c r="P15" s="1">
        <f t="shared" si="3"/>
        <v>26.8</v>
      </c>
      <c r="Q15" s="5">
        <f>20*P15-F15</f>
        <v>305</v>
      </c>
      <c r="R15" s="5">
        <f t="shared" si="6"/>
        <v>305</v>
      </c>
      <c r="S15" s="19"/>
      <c r="T15" s="1">
        <f t="shared" si="4"/>
        <v>20</v>
      </c>
      <c r="U15" s="1">
        <f t="shared" si="5"/>
        <v>8.6194029850746272</v>
      </c>
      <c r="V15" s="1">
        <v>19.600000000000001</v>
      </c>
      <c r="W15" s="1">
        <v>19.8</v>
      </c>
      <c r="X15" s="1">
        <v>15.4</v>
      </c>
      <c r="Y15" s="1">
        <v>22.2</v>
      </c>
      <c r="Z15" s="1">
        <v>16.2</v>
      </c>
      <c r="AA15" s="1">
        <v>23.4</v>
      </c>
      <c r="AB15" s="1">
        <v>17.600000000000001</v>
      </c>
      <c r="AC15" s="1">
        <v>18.600000000000001</v>
      </c>
      <c r="AD15" s="1" t="s">
        <v>38</v>
      </c>
      <c r="AE15" s="1">
        <f t="shared" si="7"/>
        <v>76.25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48</v>
      </c>
      <c r="B16" s="1" t="s">
        <v>33</v>
      </c>
      <c r="C16" s="1">
        <v>183</v>
      </c>
      <c r="D16" s="1">
        <v>156</v>
      </c>
      <c r="E16" s="1">
        <v>105</v>
      </c>
      <c r="F16" s="1">
        <v>217</v>
      </c>
      <c r="G16" s="7">
        <v>0.4</v>
      </c>
      <c r="H16" s="1">
        <v>60</v>
      </c>
      <c r="I16" s="1" t="s">
        <v>34</v>
      </c>
      <c r="J16" s="1"/>
      <c r="K16" s="1">
        <v>128</v>
      </c>
      <c r="L16" s="1">
        <f t="shared" si="2"/>
        <v>-23</v>
      </c>
      <c r="M16" s="1"/>
      <c r="N16" s="1"/>
      <c r="O16" s="1"/>
      <c r="P16" s="1">
        <f t="shared" si="3"/>
        <v>21</v>
      </c>
      <c r="Q16" s="5">
        <f>15*P16-F16</f>
        <v>98</v>
      </c>
      <c r="R16" s="5">
        <f t="shared" si="6"/>
        <v>98</v>
      </c>
      <c r="S16" s="19"/>
      <c r="T16" s="1">
        <f t="shared" si="4"/>
        <v>15</v>
      </c>
      <c r="U16" s="1">
        <f t="shared" si="5"/>
        <v>10.333333333333334</v>
      </c>
      <c r="V16" s="1">
        <v>22.2</v>
      </c>
      <c r="W16" s="1">
        <v>24.8</v>
      </c>
      <c r="X16" s="1">
        <v>28.4</v>
      </c>
      <c r="Y16" s="1">
        <v>25.2</v>
      </c>
      <c r="Z16" s="1">
        <v>23.4</v>
      </c>
      <c r="AA16" s="1">
        <v>27.8</v>
      </c>
      <c r="AB16" s="1">
        <v>9.1999999999999993</v>
      </c>
      <c r="AC16" s="1">
        <v>21.8</v>
      </c>
      <c r="AD16" s="1"/>
      <c r="AE16" s="1">
        <f t="shared" si="7"/>
        <v>39.200000000000003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49</v>
      </c>
      <c r="B17" s="1" t="s">
        <v>37</v>
      </c>
      <c r="C17" s="1">
        <v>194.84100000000001</v>
      </c>
      <c r="D17" s="1">
        <v>660.25</v>
      </c>
      <c r="E17" s="1">
        <v>198.92599999999999</v>
      </c>
      <c r="F17" s="1">
        <v>549.26</v>
      </c>
      <c r="G17" s="7">
        <v>1</v>
      </c>
      <c r="H17" s="1">
        <v>45</v>
      </c>
      <c r="I17" s="1" t="s">
        <v>34</v>
      </c>
      <c r="J17" s="1"/>
      <c r="K17" s="1">
        <v>194.6</v>
      </c>
      <c r="L17" s="1">
        <f t="shared" si="2"/>
        <v>4.3259999999999934</v>
      </c>
      <c r="M17" s="1"/>
      <c r="N17" s="1"/>
      <c r="O17" s="1"/>
      <c r="P17" s="1">
        <f t="shared" si="3"/>
        <v>39.785199999999996</v>
      </c>
      <c r="Q17" s="5">
        <f>15*P17-F17</f>
        <v>47.517999999999915</v>
      </c>
      <c r="R17" s="5">
        <f t="shared" si="6"/>
        <v>48</v>
      </c>
      <c r="S17" s="19"/>
      <c r="T17" s="1">
        <f t="shared" si="4"/>
        <v>14.999999999999998</v>
      </c>
      <c r="U17" s="1">
        <f t="shared" si="5"/>
        <v>13.805636266752462</v>
      </c>
      <c r="V17" s="1">
        <v>38.865600000000001</v>
      </c>
      <c r="W17" s="1">
        <v>68.392799999999994</v>
      </c>
      <c r="X17" s="1">
        <v>51.933999999999997</v>
      </c>
      <c r="Y17" s="1">
        <v>60.9788</v>
      </c>
      <c r="Z17" s="1">
        <v>39.086200000000012</v>
      </c>
      <c r="AA17" s="1">
        <v>50.156999999999996</v>
      </c>
      <c r="AB17" s="1">
        <v>51.383799999999987</v>
      </c>
      <c r="AC17" s="1">
        <v>50.519399999999997</v>
      </c>
      <c r="AD17" s="1"/>
      <c r="AE17" s="1">
        <f t="shared" si="7"/>
        <v>48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50</v>
      </c>
      <c r="B18" s="1" t="s">
        <v>37</v>
      </c>
      <c r="C18" s="1">
        <v>40.945</v>
      </c>
      <c r="D18" s="1">
        <v>37.234000000000002</v>
      </c>
      <c r="E18" s="1">
        <v>11.917999999999999</v>
      </c>
      <c r="F18" s="1">
        <v>44.338999999999999</v>
      </c>
      <c r="G18" s="7">
        <v>1</v>
      </c>
      <c r="H18" s="1">
        <v>120</v>
      </c>
      <c r="I18" s="1" t="s">
        <v>34</v>
      </c>
      <c r="J18" s="1"/>
      <c r="K18" s="1">
        <v>14.5</v>
      </c>
      <c r="L18" s="1">
        <f t="shared" si="2"/>
        <v>-2.5820000000000007</v>
      </c>
      <c r="M18" s="1"/>
      <c r="N18" s="1"/>
      <c r="O18" s="1"/>
      <c r="P18" s="1">
        <f t="shared" si="3"/>
        <v>2.3835999999999999</v>
      </c>
      <c r="Q18" s="5">
        <v>4</v>
      </c>
      <c r="R18" s="5">
        <f t="shared" si="6"/>
        <v>4</v>
      </c>
      <c r="S18" s="19"/>
      <c r="T18" s="1">
        <f t="shared" si="4"/>
        <v>20.279828830340662</v>
      </c>
      <c r="U18" s="1">
        <f t="shared" si="5"/>
        <v>18.601694915254239</v>
      </c>
      <c r="V18" s="1">
        <v>3.8856000000000002</v>
      </c>
      <c r="W18" s="1">
        <v>5.7060000000000004</v>
      </c>
      <c r="X18" s="1">
        <v>6.0518000000000001</v>
      </c>
      <c r="Y18" s="1">
        <v>3.9136000000000002</v>
      </c>
      <c r="Z18" s="1">
        <v>2.1107999999999998</v>
      </c>
      <c r="AA18" s="1">
        <v>4.2176</v>
      </c>
      <c r="AB18" s="1">
        <v>4.4054000000000002</v>
      </c>
      <c r="AC18" s="1">
        <v>5.4109999999999996</v>
      </c>
      <c r="AD18" s="1" t="s">
        <v>38</v>
      </c>
      <c r="AE18" s="1">
        <f t="shared" si="7"/>
        <v>4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51</v>
      </c>
      <c r="B19" s="1" t="s">
        <v>33</v>
      </c>
      <c r="C19" s="1">
        <v>95</v>
      </c>
      <c r="D19" s="1">
        <v>8</v>
      </c>
      <c r="E19" s="1">
        <v>46</v>
      </c>
      <c r="F19" s="1">
        <v>51</v>
      </c>
      <c r="G19" s="7">
        <v>0.4</v>
      </c>
      <c r="H19" s="1">
        <v>45</v>
      </c>
      <c r="I19" s="1" t="s">
        <v>34</v>
      </c>
      <c r="J19" s="1"/>
      <c r="K19" s="1">
        <v>48</v>
      </c>
      <c r="L19" s="1">
        <f t="shared" si="2"/>
        <v>-2</v>
      </c>
      <c r="M19" s="1"/>
      <c r="N19" s="1"/>
      <c r="O19" s="1"/>
      <c r="P19" s="1">
        <f t="shared" si="3"/>
        <v>9.1999999999999993</v>
      </c>
      <c r="Q19" s="5">
        <f>15*P19-F19</f>
        <v>87</v>
      </c>
      <c r="R19" s="5">
        <f t="shared" si="6"/>
        <v>87</v>
      </c>
      <c r="S19" s="19"/>
      <c r="T19" s="1">
        <f t="shared" si="4"/>
        <v>15.000000000000002</v>
      </c>
      <c r="U19" s="1">
        <f t="shared" si="5"/>
        <v>5.5434782608695654</v>
      </c>
      <c r="V19" s="1">
        <v>16.600000000000001</v>
      </c>
      <c r="W19" s="1">
        <v>12.8</v>
      </c>
      <c r="X19" s="1">
        <v>17.600000000000001</v>
      </c>
      <c r="Y19" s="1">
        <v>10.8</v>
      </c>
      <c r="Z19" s="1">
        <v>15.2</v>
      </c>
      <c r="AA19" s="1">
        <v>20</v>
      </c>
      <c r="AB19" s="1">
        <v>16.600000000000001</v>
      </c>
      <c r="AC19" s="1">
        <v>7.2</v>
      </c>
      <c r="AD19" s="1"/>
      <c r="AE19" s="1">
        <f t="shared" si="7"/>
        <v>34.800000000000004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52</v>
      </c>
      <c r="B20" s="1" t="s">
        <v>37</v>
      </c>
      <c r="C20" s="1">
        <v>311.072</v>
      </c>
      <c r="D20" s="1">
        <v>459.596</v>
      </c>
      <c r="E20" s="1">
        <v>176.97</v>
      </c>
      <c r="F20" s="1">
        <v>494.18900000000002</v>
      </c>
      <c r="G20" s="7">
        <v>1</v>
      </c>
      <c r="H20" s="1">
        <v>60</v>
      </c>
      <c r="I20" s="1" t="s">
        <v>34</v>
      </c>
      <c r="J20" s="1"/>
      <c r="K20" s="1">
        <v>188.4</v>
      </c>
      <c r="L20" s="1">
        <f t="shared" si="2"/>
        <v>-11.430000000000007</v>
      </c>
      <c r="M20" s="1"/>
      <c r="N20" s="1"/>
      <c r="O20" s="1"/>
      <c r="P20" s="1">
        <f t="shared" si="3"/>
        <v>35.393999999999998</v>
      </c>
      <c r="Q20" s="5">
        <f>15*P20-F20</f>
        <v>36.720999999999947</v>
      </c>
      <c r="R20" s="5">
        <f t="shared" si="6"/>
        <v>37</v>
      </c>
      <c r="S20" s="19"/>
      <c r="T20" s="1">
        <f t="shared" si="4"/>
        <v>15</v>
      </c>
      <c r="U20" s="1">
        <f t="shared" si="5"/>
        <v>13.962507769678478</v>
      </c>
      <c r="V20" s="1">
        <v>51.526599999999988</v>
      </c>
      <c r="W20" s="1">
        <v>31.503599999999999</v>
      </c>
      <c r="X20" s="1">
        <v>52.622599999999998</v>
      </c>
      <c r="Y20" s="1">
        <v>44.615600000000001</v>
      </c>
      <c r="Z20" s="1">
        <v>46.076799999999999</v>
      </c>
      <c r="AA20" s="1">
        <v>37.865400000000001</v>
      </c>
      <c r="AB20" s="1">
        <v>53.370600000000003</v>
      </c>
      <c r="AC20" s="1">
        <v>53.187199999999997</v>
      </c>
      <c r="AD20" s="1"/>
      <c r="AE20" s="1">
        <f t="shared" si="7"/>
        <v>37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53</v>
      </c>
      <c r="B21" s="1" t="s">
        <v>33</v>
      </c>
      <c r="C21" s="1">
        <v>-8</v>
      </c>
      <c r="D21" s="1">
        <v>1976</v>
      </c>
      <c r="E21" s="1">
        <v>331</v>
      </c>
      <c r="F21" s="1">
        <v>1540</v>
      </c>
      <c r="G21" s="7">
        <v>0.22</v>
      </c>
      <c r="H21" s="1">
        <v>120</v>
      </c>
      <c r="I21" s="1" t="s">
        <v>34</v>
      </c>
      <c r="J21" s="1"/>
      <c r="K21" s="1">
        <v>747</v>
      </c>
      <c r="L21" s="1">
        <f t="shared" si="2"/>
        <v>-416</v>
      </c>
      <c r="M21" s="1"/>
      <c r="N21" s="1"/>
      <c r="O21" s="1"/>
      <c r="P21" s="1">
        <f t="shared" si="3"/>
        <v>66.2</v>
      </c>
      <c r="Q21" s="5"/>
      <c r="R21" s="5">
        <f t="shared" si="6"/>
        <v>0</v>
      </c>
      <c r="S21" s="19"/>
      <c r="T21" s="1">
        <f t="shared" si="4"/>
        <v>23.262839879154079</v>
      </c>
      <c r="U21" s="1">
        <f t="shared" si="5"/>
        <v>23.262839879154079</v>
      </c>
      <c r="V21" s="1">
        <v>109.8</v>
      </c>
      <c r="W21" s="1">
        <v>89.8</v>
      </c>
      <c r="X21" s="1">
        <v>30.6</v>
      </c>
      <c r="Y21" s="1">
        <v>80.599999999999994</v>
      </c>
      <c r="Z21" s="1">
        <v>37.799999999999997</v>
      </c>
      <c r="AA21" s="1">
        <v>40.6</v>
      </c>
      <c r="AB21" s="1">
        <v>41</v>
      </c>
      <c r="AC21" s="1">
        <v>27.2</v>
      </c>
      <c r="AD21" s="1" t="s">
        <v>38</v>
      </c>
      <c r="AE21" s="1">
        <f t="shared" si="7"/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54</v>
      </c>
      <c r="B22" s="1" t="s">
        <v>37</v>
      </c>
      <c r="C22" s="1">
        <v>128.744</v>
      </c>
      <c r="D22" s="1"/>
      <c r="E22" s="1">
        <v>30.498000000000001</v>
      </c>
      <c r="F22" s="1">
        <v>92.244</v>
      </c>
      <c r="G22" s="7">
        <v>1</v>
      </c>
      <c r="H22" s="1">
        <v>40</v>
      </c>
      <c r="I22" s="1" t="s">
        <v>34</v>
      </c>
      <c r="J22" s="1"/>
      <c r="K22" s="1">
        <v>29.55</v>
      </c>
      <c r="L22" s="1">
        <f t="shared" si="2"/>
        <v>0.9480000000000004</v>
      </c>
      <c r="M22" s="1"/>
      <c r="N22" s="1"/>
      <c r="O22" s="1"/>
      <c r="P22" s="1">
        <f t="shared" si="3"/>
        <v>6.0996000000000006</v>
      </c>
      <c r="Q22" s="5"/>
      <c r="R22" s="5">
        <f t="shared" si="6"/>
        <v>0</v>
      </c>
      <c r="S22" s="19"/>
      <c r="T22" s="1">
        <f t="shared" si="4"/>
        <v>15.122958882549675</v>
      </c>
      <c r="U22" s="1">
        <f t="shared" si="5"/>
        <v>15.122958882549675</v>
      </c>
      <c r="V22" s="1">
        <v>4.2107999999999999</v>
      </c>
      <c r="W22" s="1">
        <v>8.4651999999999994</v>
      </c>
      <c r="X22" s="1">
        <v>2.464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5" t="s">
        <v>46</v>
      </c>
      <c r="AE22" s="1">
        <f t="shared" si="7"/>
        <v>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1" t="s">
        <v>55</v>
      </c>
      <c r="B23" s="11" t="s">
        <v>33</v>
      </c>
      <c r="C23" s="11"/>
      <c r="D23" s="11">
        <v>61</v>
      </c>
      <c r="E23" s="11">
        <v>15</v>
      </c>
      <c r="F23" s="11">
        <v>40</v>
      </c>
      <c r="G23" s="12">
        <v>0</v>
      </c>
      <c r="H23" s="11">
        <v>45</v>
      </c>
      <c r="I23" s="11" t="s">
        <v>56</v>
      </c>
      <c r="J23" s="11"/>
      <c r="K23" s="11">
        <v>15</v>
      </c>
      <c r="L23" s="11">
        <f t="shared" si="2"/>
        <v>0</v>
      </c>
      <c r="M23" s="11"/>
      <c r="N23" s="11"/>
      <c r="O23" s="11"/>
      <c r="P23" s="11">
        <f t="shared" si="3"/>
        <v>3</v>
      </c>
      <c r="Q23" s="13"/>
      <c r="R23" s="5">
        <f t="shared" si="6"/>
        <v>0</v>
      </c>
      <c r="S23" s="20"/>
      <c r="T23" s="11">
        <f t="shared" si="4"/>
        <v>13.333333333333334</v>
      </c>
      <c r="U23" s="11">
        <f t="shared" si="5"/>
        <v>13.333333333333334</v>
      </c>
      <c r="V23" s="11">
        <v>-1.2</v>
      </c>
      <c r="W23" s="11">
        <v>7</v>
      </c>
      <c r="X23" s="11">
        <v>5</v>
      </c>
      <c r="Y23" s="11">
        <v>4.2</v>
      </c>
      <c r="Z23" s="11">
        <v>5.2</v>
      </c>
      <c r="AA23" s="11">
        <v>8.1999999999999993</v>
      </c>
      <c r="AB23" s="11">
        <v>5.4</v>
      </c>
      <c r="AC23" s="11">
        <v>4.4000000000000004</v>
      </c>
      <c r="AD23" s="11" t="s">
        <v>57</v>
      </c>
      <c r="AE23" s="1">
        <f t="shared" si="7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58</v>
      </c>
      <c r="B24" s="1" t="s">
        <v>37</v>
      </c>
      <c r="C24" s="1">
        <v>269.48200000000003</v>
      </c>
      <c r="D24" s="1">
        <v>197.98699999999999</v>
      </c>
      <c r="E24" s="1">
        <v>100.619</v>
      </c>
      <c r="F24" s="1">
        <v>324.99900000000002</v>
      </c>
      <c r="G24" s="7">
        <v>1</v>
      </c>
      <c r="H24" s="1">
        <v>60</v>
      </c>
      <c r="I24" s="1" t="s">
        <v>34</v>
      </c>
      <c r="J24" s="1"/>
      <c r="K24" s="1">
        <v>109.6</v>
      </c>
      <c r="L24" s="1">
        <f t="shared" si="2"/>
        <v>-8.9809999999999945</v>
      </c>
      <c r="M24" s="1"/>
      <c r="N24" s="1"/>
      <c r="O24" s="1"/>
      <c r="P24" s="1">
        <f t="shared" si="3"/>
        <v>20.123799999999999</v>
      </c>
      <c r="Q24" s="5"/>
      <c r="R24" s="5">
        <f t="shared" si="6"/>
        <v>0</v>
      </c>
      <c r="S24" s="19"/>
      <c r="T24" s="1">
        <f t="shared" si="4"/>
        <v>16.149981613810514</v>
      </c>
      <c r="U24" s="1">
        <f t="shared" si="5"/>
        <v>16.149981613810514</v>
      </c>
      <c r="V24" s="1">
        <v>23.693999999999999</v>
      </c>
      <c r="W24" s="1">
        <v>38.83</v>
      </c>
      <c r="X24" s="1">
        <v>48.142600000000002</v>
      </c>
      <c r="Y24" s="1">
        <v>29.606400000000001</v>
      </c>
      <c r="Z24" s="1">
        <v>15.874000000000001</v>
      </c>
      <c r="AA24" s="1">
        <v>38.290199999999999</v>
      </c>
      <c r="AB24" s="1">
        <v>18.7226</v>
      </c>
      <c r="AC24" s="1">
        <v>28.644600000000001</v>
      </c>
      <c r="AD24" s="1"/>
      <c r="AE24" s="1">
        <f t="shared" si="7"/>
        <v>0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59</v>
      </c>
      <c r="B25" s="1" t="s">
        <v>33</v>
      </c>
      <c r="C25" s="1">
        <v>11</v>
      </c>
      <c r="D25" s="1">
        <v>790</v>
      </c>
      <c r="E25" s="1">
        <v>209</v>
      </c>
      <c r="F25" s="1">
        <v>454</v>
      </c>
      <c r="G25" s="7">
        <v>0.09</v>
      </c>
      <c r="H25" s="1">
        <v>60</v>
      </c>
      <c r="I25" s="1" t="s">
        <v>34</v>
      </c>
      <c r="J25" s="1"/>
      <c r="K25" s="1">
        <v>283</v>
      </c>
      <c r="L25" s="1">
        <f t="shared" si="2"/>
        <v>-74</v>
      </c>
      <c r="M25" s="1"/>
      <c r="N25" s="1"/>
      <c r="O25" s="1"/>
      <c r="P25" s="1">
        <f t="shared" si="3"/>
        <v>41.8</v>
      </c>
      <c r="Q25" s="5">
        <f>15*P25-F25</f>
        <v>173</v>
      </c>
      <c r="R25" s="5">
        <f t="shared" si="6"/>
        <v>173</v>
      </c>
      <c r="S25" s="19"/>
      <c r="T25" s="1">
        <f t="shared" si="4"/>
        <v>15.000000000000002</v>
      </c>
      <c r="U25" s="1">
        <f t="shared" si="5"/>
        <v>10.861244019138757</v>
      </c>
      <c r="V25" s="1">
        <v>53.6</v>
      </c>
      <c r="W25" s="1">
        <v>55.6</v>
      </c>
      <c r="X25" s="1">
        <v>39.799999999999997</v>
      </c>
      <c r="Y25" s="1">
        <v>53.8</v>
      </c>
      <c r="Z25" s="1">
        <v>30.6</v>
      </c>
      <c r="AA25" s="1">
        <v>55.2</v>
      </c>
      <c r="AB25" s="1">
        <v>32.200000000000003</v>
      </c>
      <c r="AC25" s="1">
        <v>35.200000000000003</v>
      </c>
      <c r="AD25" s="1"/>
      <c r="AE25" s="1">
        <f t="shared" si="7"/>
        <v>15.57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60</v>
      </c>
      <c r="B26" s="1" t="s">
        <v>33</v>
      </c>
      <c r="C26" s="1">
        <v>104</v>
      </c>
      <c r="D26" s="1">
        <v>250</v>
      </c>
      <c r="E26" s="1">
        <v>131</v>
      </c>
      <c r="F26" s="1">
        <v>165</v>
      </c>
      <c r="G26" s="7">
        <v>0.09</v>
      </c>
      <c r="H26" s="1">
        <v>45</v>
      </c>
      <c r="I26" s="1" t="s">
        <v>34</v>
      </c>
      <c r="J26" s="1"/>
      <c r="K26" s="1">
        <v>150</v>
      </c>
      <c r="L26" s="1">
        <f t="shared" si="2"/>
        <v>-19</v>
      </c>
      <c r="M26" s="1"/>
      <c r="N26" s="1"/>
      <c r="O26" s="1"/>
      <c r="P26" s="1">
        <f t="shared" si="3"/>
        <v>26.2</v>
      </c>
      <c r="Q26" s="5">
        <f>15*P26-F26</f>
        <v>228</v>
      </c>
      <c r="R26" s="5">
        <f t="shared" si="6"/>
        <v>228</v>
      </c>
      <c r="S26" s="19"/>
      <c r="T26" s="1">
        <f t="shared" si="4"/>
        <v>15</v>
      </c>
      <c r="U26" s="1">
        <f t="shared" si="5"/>
        <v>6.2977099236641223</v>
      </c>
      <c r="V26" s="1">
        <v>23.6</v>
      </c>
      <c r="W26" s="1">
        <v>24.4</v>
      </c>
      <c r="X26" s="1">
        <v>24.8</v>
      </c>
      <c r="Y26" s="1">
        <v>20</v>
      </c>
      <c r="Z26" s="1">
        <v>22.8</v>
      </c>
      <c r="AA26" s="1">
        <v>31.2</v>
      </c>
      <c r="AB26" s="1">
        <v>29.2</v>
      </c>
      <c r="AC26" s="1">
        <v>18.8</v>
      </c>
      <c r="AD26" s="1"/>
      <c r="AE26" s="1">
        <f t="shared" si="7"/>
        <v>20.52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61</v>
      </c>
      <c r="B27" s="1" t="s">
        <v>33</v>
      </c>
      <c r="C27" s="1">
        <v>169</v>
      </c>
      <c r="D27" s="1">
        <v>136</v>
      </c>
      <c r="E27" s="1">
        <v>168</v>
      </c>
      <c r="F27" s="1">
        <v>107</v>
      </c>
      <c r="G27" s="7">
        <v>0.15</v>
      </c>
      <c r="H27" s="1">
        <v>45</v>
      </c>
      <c r="I27" s="1" t="s">
        <v>34</v>
      </c>
      <c r="J27" s="1"/>
      <c r="K27" s="1">
        <v>210</v>
      </c>
      <c r="L27" s="1">
        <f t="shared" si="2"/>
        <v>-42</v>
      </c>
      <c r="M27" s="1"/>
      <c r="N27" s="1"/>
      <c r="O27" s="1"/>
      <c r="P27" s="1">
        <f t="shared" si="3"/>
        <v>33.6</v>
      </c>
      <c r="Q27" s="5">
        <f>13*P27-F27</f>
        <v>329.8</v>
      </c>
      <c r="R27" s="5">
        <f t="shared" si="6"/>
        <v>330</v>
      </c>
      <c r="S27" s="19"/>
      <c r="T27" s="1">
        <f t="shared" si="4"/>
        <v>13</v>
      </c>
      <c r="U27" s="1">
        <f t="shared" si="5"/>
        <v>3.1845238095238093</v>
      </c>
      <c r="V27" s="1">
        <v>20.399999999999999</v>
      </c>
      <c r="W27" s="1">
        <v>21.2</v>
      </c>
      <c r="X27" s="1">
        <v>31.4</v>
      </c>
      <c r="Y27" s="1">
        <v>18.600000000000001</v>
      </c>
      <c r="Z27" s="1">
        <v>22.6</v>
      </c>
      <c r="AA27" s="1">
        <v>17.8</v>
      </c>
      <c r="AB27" s="1">
        <v>24.4</v>
      </c>
      <c r="AC27" s="1">
        <v>23.6</v>
      </c>
      <c r="AD27" s="1"/>
      <c r="AE27" s="1">
        <f t="shared" si="7"/>
        <v>49.5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62</v>
      </c>
      <c r="B28" s="1" t="s">
        <v>37</v>
      </c>
      <c r="C28" s="1">
        <v>521.77800000000002</v>
      </c>
      <c r="D28" s="1">
        <v>438.911</v>
      </c>
      <c r="E28" s="1">
        <v>224.43600000000001</v>
      </c>
      <c r="F28" s="1">
        <v>549.17100000000005</v>
      </c>
      <c r="G28" s="7">
        <v>1</v>
      </c>
      <c r="H28" s="1">
        <v>45</v>
      </c>
      <c r="I28" s="1" t="s">
        <v>34</v>
      </c>
      <c r="J28" s="1"/>
      <c r="K28" s="1">
        <v>229.8</v>
      </c>
      <c r="L28" s="1">
        <f t="shared" si="2"/>
        <v>-5.3640000000000043</v>
      </c>
      <c r="M28" s="1"/>
      <c r="N28" s="1"/>
      <c r="O28" s="1"/>
      <c r="P28" s="1">
        <f t="shared" si="3"/>
        <v>44.8872</v>
      </c>
      <c r="Q28" s="5">
        <f>15*P28-F28</f>
        <v>124.13699999999994</v>
      </c>
      <c r="R28" s="5">
        <f t="shared" si="6"/>
        <v>124</v>
      </c>
      <c r="S28" s="19"/>
      <c r="T28" s="1">
        <f t="shared" si="4"/>
        <v>15</v>
      </c>
      <c r="U28" s="1">
        <f t="shared" si="5"/>
        <v>12.234467732449341</v>
      </c>
      <c r="V28" s="1">
        <v>61.028599999999997</v>
      </c>
      <c r="W28" s="1">
        <v>80.06280000000001</v>
      </c>
      <c r="X28" s="1">
        <v>71.776199999999989</v>
      </c>
      <c r="Y28" s="1">
        <v>53.404999999999987</v>
      </c>
      <c r="Z28" s="1">
        <v>45.937600000000003</v>
      </c>
      <c r="AA28" s="1">
        <v>65.234200000000001</v>
      </c>
      <c r="AB28" s="1">
        <v>43.668400000000013</v>
      </c>
      <c r="AC28" s="1">
        <v>59.9726</v>
      </c>
      <c r="AD28" s="1"/>
      <c r="AE28" s="1">
        <f t="shared" si="7"/>
        <v>124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63</v>
      </c>
      <c r="B29" s="1" t="s">
        <v>33</v>
      </c>
      <c r="C29" s="1">
        <v>64</v>
      </c>
      <c r="D29" s="1">
        <v>608</v>
      </c>
      <c r="E29" s="1">
        <v>129</v>
      </c>
      <c r="F29" s="1">
        <v>425</v>
      </c>
      <c r="G29" s="7">
        <v>0.4</v>
      </c>
      <c r="H29" s="1">
        <v>60</v>
      </c>
      <c r="I29" s="1" t="s">
        <v>34</v>
      </c>
      <c r="J29" s="1"/>
      <c r="K29" s="1">
        <v>139</v>
      </c>
      <c r="L29" s="1">
        <f t="shared" si="2"/>
        <v>-10</v>
      </c>
      <c r="M29" s="1"/>
      <c r="N29" s="1"/>
      <c r="O29" s="1"/>
      <c r="P29" s="1">
        <f t="shared" si="3"/>
        <v>25.8</v>
      </c>
      <c r="Q29" s="5"/>
      <c r="R29" s="5">
        <f t="shared" si="6"/>
        <v>0</v>
      </c>
      <c r="S29" s="19"/>
      <c r="T29" s="1">
        <f t="shared" si="4"/>
        <v>16.472868217054263</v>
      </c>
      <c r="U29" s="1">
        <f t="shared" si="5"/>
        <v>16.472868217054263</v>
      </c>
      <c r="V29" s="1">
        <v>56.8</v>
      </c>
      <c r="W29" s="1">
        <v>29.8</v>
      </c>
      <c r="X29" s="1">
        <v>17.2</v>
      </c>
      <c r="Y29" s="1">
        <v>27</v>
      </c>
      <c r="Z29" s="1">
        <v>13</v>
      </c>
      <c r="AA29" s="1">
        <v>18.600000000000001</v>
      </c>
      <c r="AB29" s="1">
        <v>31</v>
      </c>
      <c r="AC29" s="1">
        <v>19.8</v>
      </c>
      <c r="AD29" s="1"/>
      <c r="AE29" s="1">
        <f t="shared" si="7"/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64</v>
      </c>
      <c r="B30" s="1" t="s">
        <v>33</v>
      </c>
      <c r="C30" s="1">
        <v>488</v>
      </c>
      <c r="D30" s="1">
        <v>192</v>
      </c>
      <c r="E30" s="1">
        <v>240</v>
      </c>
      <c r="F30" s="1">
        <v>399</v>
      </c>
      <c r="G30" s="7">
        <v>0.4</v>
      </c>
      <c r="H30" s="1">
        <v>60</v>
      </c>
      <c r="I30" s="1" t="s">
        <v>34</v>
      </c>
      <c r="J30" s="1"/>
      <c r="K30" s="1">
        <v>267</v>
      </c>
      <c r="L30" s="1">
        <f t="shared" si="2"/>
        <v>-27</v>
      </c>
      <c r="M30" s="1"/>
      <c r="N30" s="1"/>
      <c r="O30" s="1"/>
      <c r="P30" s="1">
        <f t="shared" si="3"/>
        <v>48</v>
      </c>
      <c r="Q30" s="5">
        <f>15*P30-F30</f>
        <v>321</v>
      </c>
      <c r="R30" s="5">
        <f t="shared" si="6"/>
        <v>321</v>
      </c>
      <c r="S30" s="19"/>
      <c r="T30" s="1">
        <f t="shared" si="4"/>
        <v>15</v>
      </c>
      <c r="U30" s="1">
        <f t="shared" si="5"/>
        <v>8.3125</v>
      </c>
      <c r="V30" s="1">
        <v>44.6</v>
      </c>
      <c r="W30" s="1">
        <v>38.799999999999997</v>
      </c>
      <c r="X30" s="1">
        <v>49.6</v>
      </c>
      <c r="Y30" s="1">
        <v>47.6</v>
      </c>
      <c r="Z30" s="1">
        <v>41.6</v>
      </c>
      <c r="AA30" s="1">
        <v>39.4</v>
      </c>
      <c r="AB30" s="1">
        <v>44.8</v>
      </c>
      <c r="AC30" s="1">
        <v>44.8</v>
      </c>
      <c r="AD30" s="1"/>
      <c r="AE30" s="1">
        <f t="shared" si="7"/>
        <v>128.4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1" t="s">
        <v>65</v>
      </c>
      <c r="B31" s="11" t="s">
        <v>33</v>
      </c>
      <c r="C31" s="11">
        <v>-123</v>
      </c>
      <c r="D31" s="11">
        <v>177</v>
      </c>
      <c r="E31" s="17">
        <v>70</v>
      </c>
      <c r="F31" s="17">
        <v>-17</v>
      </c>
      <c r="G31" s="12">
        <v>0</v>
      </c>
      <c r="H31" s="11">
        <v>60</v>
      </c>
      <c r="I31" s="11" t="s">
        <v>56</v>
      </c>
      <c r="J31" s="11" t="s">
        <v>66</v>
      </c>
      <c r="K31" s="11">
        <v>94</v>
      </c>
      <c r="L31" s="11">
        <f t="shared" si="2"/>
        <v>-24</v>
      </c>
      <c r="M31" s="11"/>
      <c r="N31" s="11"/>
      <c r="O31" s="11"/>
      <c r="P31" s="11">
        <f t="shared" si="3"/>
        <v>14</v>
      </c>
      <c r="Q31" s="13"/>
      <c r="R31" s="5">
        <f t="shared" si="6"/>
        <v>0</v>
      </c>
      <c r="S31" s="20"/>
      <c r="T31" s="11">
        <f t="shared" si="4"/>
        <v>-1.2142857142857142</v>
      </c>
      <c r="U31" s="11">
        <f t="shared" si="5"/>
        <v>-1.2142857142857142</v>
      </c>
      <c r="V31" s="11">
        <v>25.2</v>
      </c>
      <c r="W31" s="11">
        <v>36</v>
      </c>
      <c r="X31" s="11">
        <v>37.799999999999997</v>
      </c>
      <c r="Y31" s="11">
        <v>33</v>
      </c>
      <c r="Z31" s="11">
        <v>1.4</v>
      </c>
      <c r="AA31" s="11">
        <v>39.200000000000003</v>
      </c>
      <c r="AB31" s="11">
        <v>14.4</v>
      </c>
      <c r="AC31" s="11">
        <v>21</v>
      </c>
      <c r="AD31" s="14" t="s">
        <v>67</v>
      </c>
      <c r="AE31" s="1">
        <f t="shared" si="7"/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68</v>
      </c>
      <c r="B32" s="1" t="s">
        <v>33</v>
      </c>
      <c r="C32" s="1">
        <v>26</v>
      </c>
      <c r="D32" s="1">
        <v>432</v>
      </c>
      <c r="E32" s="1">
        <v>207</v>
      </c>
      <c r="F32" s="1">
        <v>185</v>
      </c>
      <c r="G32" s="7">
        <v>0.4</v>
      </c>
      <c r="H32" s="1">
        <v>60</v>
      </c>
      <c r="I32" s="1" t="s">
        <v>34</v>
      </c>
      <c r="J32" s="1"/>
      <c r="K32" s="1">
        <v>264</v>
      </c>
      <c r="L32" s="1">
        <f t="shared" si="2"/>
        <v>-57</v>
      </c>
      <c r="M32" s="1"/>
      <c r="N32" s="1"/>
      <c r="O32" s="1"/>
      <c r="P32" s="1">
        <f t="shared" si="3"/>
        <v>41.4</v>
      </c>
      <c r="Q32" s="5">
        <f>14*P32-F32</f>
        <v>394.6</v>
      </c>
      <c r="R32" s="5">
        <f t="shared" si="6"/>
        <v>395</v>
      </c>
      <c r="S32" s="19"/>
      <c r="T32" s="1">
        <f t="shared" si="4"/>
        <v>14.000000000000002</v>
      </c>
      <c r="U32" s="1">
        <f t="shared" si="5"/>
        <v>4.4685990338164254</v>
      </c>
      <c r="V32" s="1">
        <v>37.799999999999997</v>
      </c>
      <c r="W32" s="1">
        <v>59.2</v>
      </c>
      <c r="X32" s="1">
        <v>34.6</v>
      </c>
      <c r="Y32" s="1">
        <v>46.2</v>
      </c>
      <c r="Z32" s="1">
        <v>34.200000000000003</v>
      </c>
      <c r="AA32" s="1">
        <v>37</v>
      </c>
      <c r="AB32" s="1">
        <v>44.2</v>
      </c>
      <c r="AC32" s="1">
        <v>48.2</v>
      </c>
      <c r="AD32" s="1"/>
      <c r="AE32" s="1">
        <f t="shared" si="7"/>
        <v>158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1" t="s">
        <v>69</v>
      </c>
      <c r="B33" s="11" t="s">
        <v>33</v>
      </c>
      <c r="C33" s="11">
        <v>-143</v>
      </c>
      <c r="D33" s="11">
        <v>151</v>
      </c>
      <c r="E33" s="17">
        <v>159</v>
      </c>
      <c r="F33" s="17">
        <v>-151</v>
      </c>
      <c r="G33" s="12">
        <v>0</v>
      </c>
      <c r="H33" s="11">
        <v>60</v>
      </c>
      <c r="I33" s="11" t="s">
        <v>56</v>
      </c>
      <c r="J33" s="11" t="s">
        <v>70</v>
      </c>
      <c r="K33" s="11">
        <v>419</v>
      </c>
      <c r="L33" s="11">
        <f t="shared" si="2"/>
        <v>-260</v>
      </c>
      <c r="M33" s="11"/>
      <c r="N33" s="11"/>
      <c r="O33" s="11"/>
      <c r="P33" s="11">
        <f t="shared" si="3"/>
        <v>31.8</v>
      </c>
      <c r="Q33" s="13"/>
      <c r="R33" s="5">
        <f t="shared" si="6"/>
        <v>0</v>
      </c>
      <c r="S33" s="20"/>
      <c r="T33" s="11">
        <f t="shared" si="4"/>
        <v>-4.7484276729559749</v>
      </c>
      <c r="U33" s="11">
        <f t="shared" si="5"/>
        <v>-4.7484276729559749</v>
      </c>
      <c r="V33" s="11">
        <v>36</v>
      </c>
      <c r="W33" s="11">
        <v>78.599999999999994</v>
      </c>
      <c r="X33" s="11">
        <v>62.2</v>
      </c>
      <c r="Y33" s="11">
        <v>54.6</v>
      </c>
      <c r="Z33" s="11">
        <v>20.8</v>
      </c>
      <c r="AA33" s="11">
        <v>60</v>
      </c>
      <c r="AB33" s="11">
        <v>30.4</v>
      </c>
      <c r="AC33" s="11">
        <v>31.8</v>
      </c>
      <c r="AD33" s="14" t="s">
        <v>71</v>
      </c>
      <c r="AE33" s="1">
        <f t="shared" si="7"/>
        <v>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1" t="s">
        <v>72</v>
      </c>
      <c r="B34" s="11" t="s">
        <v>33</v>
      </c>
      <c r="C34" s="11">
        <v>330</v>
      </c>
      <c r="D34" s="11">
        <v>240</v>
      </c>
      <c r="E34" s="17">
        <v>201</v>
      </c>
      <c r="F34" s="17">
        <v>228</v>
      </c>
      <c r="G34" s="12">
        <v>0</v>
      </c>
      <c r="H34" s="11">
        <v>60</v>
      </c>
      <c r="I34" s="11" t="s">
        <v>56</v>
      </c>
      <c r="J34" s="11" t="s">
        <v>73</v>
      </c>
      <c r="K34" s="11">
        <v>239</v>
      </c>
      <c r="L34" s="11">
        <f t="shared" si="2"/>
        <v>-38</v>
      </c>
      <c r="M34" s="11"/>
      <c r="N34" s="11"/>
      <c r="O34" s="11"/>
      <c r="P34" s="11">
        <f t="shared" si="3"/>
        <v>40.200000000000003</v>
      </c>
      <c r="Q34" s="13"/>
      <c r="R34" s="5">
        <f t="shared" si="6"/>
        <v>0</v>
      </c>
      <c r="S34" s="20"/>
      <c r="T34" s="11">
        <f t="shared" si="4"/>
        <v>5.6716417910447756</v>
      </c>
      <c r="U34" s="11">
        <f t="shared" si="5"/>
        <v>5.6716417910447756</v>
      </c>
      <c r="V34" s="11">
        <v>52.8</v>
      </c>
      <c r="W34" s="11">
        <v>55.8</v>
      </c>
      <c r="X34" s="11">
        <v>66.599999999999994</v>
      </c>
      <c r="Y34" s="11">
        <v>54.6</v>
      </c>
      <c r="Z34" s="11">
        <v>49.4</v>
      </c>
      <c r="AA34" s="11">
        <v>52</v>
      </c>
      <c r="AB34" s="11">
        <v>38</v>
      </c>
      <c r="AC34" s="11">
        <v>42.2</v>
      </c>
      <c r="AD34" s="14" t="s">
        <v>74</v>
      </c>
      <c r="AE34" s="1">
        <f t="shared" si="7"/>
        <v>0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1" t="s">
        <v>75</v>
      </c>
      <c r="B35" s="11" t="s">
        <v>33</v>
      </c>
      <c r="C35" s="11">
        <v>118</v>
      </c>
      <c r="D35" s="11"/>
      <c r="E35" s="17">
        <v>36</v>
      </c>
      <c r="F35" s="17">
        <v>57</v>
      </c>
      <c r="G35" s="12">
        <v>0</v>
      </c>
      <c r="H35" s="11">
        <v>45</v>
      </c>
      <c r="I35" s="11" t="s">
        <v>56</v>
      </c>
      <c r="J35" s="11" t="s">
        <v>76</v>
      </c>
      <c r="K35" s="11">
        <v>37</v>
      </c>
      <c r="L35" s="11">
        <f t="shared" si="2"/>
        <v>-1</v>
      </c>
      <c r="M35" s="11"/>
      <c r="N35" s="11"/>
      <c r="O35" s="11"/>
      <c r="P35" s="11">
        <f t="shared" si="3"/>
        <v>7.2</v>
      </c>
      <c r="Q35" s="13"/>
      <c r="R35" s="5">
        <f t="shared" si="6"/>
        <v>0</v>
      </c>
      <c r="S35" s="20"/>
      <c r="T35" s="11">
        <f t="shared" si="4"/>
        <v>7.9166666666666661</v>
      </c>
      <c r="U35" s="11">
        <f t="shared" si="5"/>
        <v>7.9166666666666661</v>
      </c>
      <c r="V35" s="11">
        <v>4.5999999999999996</v>
      </c>
      <c r="W35" s="11">
        <v>8.8000000000000007</v>
      </c>
      <c r="X35" s="11">
        <v>7.4</v>
      </c>
      <c r="Y35" s="11">
        <v>5</v>
      </c>
      <c r="Z35" s="11">
        <v>4.4000000000000004</v>
      </c>
      <c r="AA35" s="11">
        <v>11.6</v>
      </c>
      <c r="AB35" s="11">
        <v>16.2</v>
      </c>
      <c r="AC35" s="11">
        <v>16.600000000000001</v>
      </c>
      <c r="AD35" s="14" t="s">
        <v>77</v>
      </c>
      <c r="AE35" s="1">
        <f t="shared" si="7"/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78</v>
      </c>
      <c r="B36" s="1" t="s">
        <v>33</v>
      </c>
      <c r="C36" s="1">
        <v>23</v>
      </c>
      <c r="D36" s="1">
        <v>122</v>
      </c>
      <c r="E36" s="1">
        <v>94</v>
      </c>
      <c r="F36" s="1">
        <v>6</v>
      </c>
      <c r="G36" s="7">
        <v>0.4</v>
      </c>
      <c r="H36" s="1">
        <v>45</v>
      </c>
      <c r="I36" s="1" t="s">
        <v>34</v>
      </c>
      <c r="J36" s="1"/>
      <c r="K36" s="1">
        <v>160</v>
      </c>
      <c r="L36" s="1">
        <f t="shared" si="2"/>
        <v>-66</v>
      </c>
      <c r="M36" s="1"/>
      <c r="N36" s="1"/>
      <c r="O36" s="1"/>
      <c r="P36" s="1">
        <f t="shared" si="3"/>
        <v>18.8</v>
      </c>
      <c r="Q36" s="5">
        <f>10*P36-F36</f>
        <v>182</v>
      </c>
      <c r="R36" s="5">
        <f t="shared" si="6"/>
        <v>182</v>
      </c>
      <c r="S36" s="19"/>
      <c r="T36" s="1">
        <f t="shared" si="4"/>
        <v>10</v>
      </c>
      <c r="U36" s="1">
        <f t="shared" si="5"/>
        <v>0.31914893617021273</v>
      </c>
      <c r="V36" s="1">
        <v>14.8</v>
      </c>
      <c r="W36" s="1">
        <v>19.399999999999999</v>
      </c>
      <c r="X36" s="1">
        <v>13.2</v>
      </c>
      <c r="Y36" s="1">
        <v>13</v>
      </c>
      <c r="Z36" s="1">
        <v>20</v>
      </c>
      <c r="AA36" s="1">
        <v>16.600000000000001</v>
      </c>
      <c r="AB36" s="1">
        <v>18.8</v>
      </c>
      <c r="AC36" s="1">
        <v>12.4</v>
      </c>
      <c r="AD36" s="1"/>
      <c r="AE36" s="1">
        <f t="shared" si="7"/>
        <v>72.8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79</v>
      </c>
      <c r="B37" s="1" t="s">
        <v>33</v>
      </c>
      <c r="C37" s="1">
        <v>201</v>
      </c>
      <c r="D37" s="1">
        <v>152</v>
      </c>
      <c r="E37" s="1">
        <v>102</v>
      </c>
      <c r="F37" s="1">
        <v>206</v>
      </c>
      <c r="G37" s="7">
        <v>0.3</v>
      </c>
      <c r="H37" s="1">
        <v>45</v>
      </c>
      <c r="I37" s="1" t="s">
        <v>34</v>
      </c>
      <c r="J37" s="1"/>
      <c r="K37" s="1">
        <v>135</v>
      </c>
      <c r="L37" s="1">
        <f t="shared" si="2"/>
        <v>-33</v>
      </c>
      <c r="M37" s="1"/>
      <c r="N37" s="1"/>
      <c r="O37" s="1"/>
      <c r="P37" s="1">
        <f t="shared" si="3"/>
        <v>20.399999999999999</v>
      </c>
      <c r="Q37" s="5">
        <f>15*P37-F37</f>
        <v>100</v>
      </c>
      <c r="R37" s="5">
        <f t="shared" si="6"/>
        <v>100</v>
      </c>
      <c r="S37" s="19"/>
      <c r="T37" s="1">
        <f t="shared" si="4"/>
        <v>15.000000000000002</v>
      </c>
      <c r="U37" s="1">
        <f t="shared" si="5"/>
        <v>10.098039215686276</v>
      </c>
      <c r="V37" s="1">
        <v>27</v>
      </c>
      <c r="W37" s="1">
        <v>11.8</v>
      </c>
      <c r="X37" s="1">
        <v>16</v>
      </c>
      <c r="Y37" s="1">
        <v>33.200000000000003</v>
      </c>
      <c r="Z37" s="1">
        <v>17.600000000000001</v>
      </c>
      <c r="AA37" s="1">
        <v>2.4</v>
      </c>
      <c r="AB37" s="1">
        <v>8.8000000000000007</v>
      </c>
      <c r="AC37" s="1">
        <v>6</v>
      </c>
      <c r="AD37" s="1"/>
      <c r="AE37" s="1">
        <f t="shared" si="7"/>
        <v>30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80</v>
      </c>
      <c r="B38" s="1" t="s">
        <v>37</v>
      </c>
      <c r="C38" s="1">
        <v>193.34200000000001</v>
      </c>
      <c r="D38" s="1">
        <v>88.641999999999996</v>
      </c>
      <c r="E38" s="1">
        <v>88.179000000000002</v>
      </c>
      <c r="F38" s="1">
        <v>183.34100000000001</v>
      </c>
      <c r="G38" s="7">
        <v>1</v>
      </c>
      <c r="H38" s="1">
        <v>60</v>
      </c>
      <c r="I38" s="1" t="s">
        <v>34</v>
      </c>
      <c r="J38" s="1"/>
      <c r="K38" s="1">
        <v>107.1</v>
      </c>
      <c r="L38" s="1">
        <f t="shared" ref="L38:L69" si="8">E38-K38</f>
        <v>-18.920999999999992</v>
      </c>
      <c r="M38" s="1"/>
      <c r="N38" s="1"/>
      <c r="O38" s="1"/>
      <c r="P38" s="1">
        <f t="shared" ref="P38:P69" si="9">E38/5</f>
        <v>17.6358</v>
      </c>
      <c r="Q38" s="5">
        <f>15*P38-F38</f>
        <v>81.19599999999997</v>
      </c>
      <c r="R38" s="5">
        <f t="shared" si="6"/>
        <v>81</v>
      </c>
      <c r="S38" s="19"/>
      <c r="T38" s="1">
        <f t="shared" ref="T38:T69" si="10">(F38+Q38)/P38</f>
        <v>14.999999999999998</v>
      </c>
      <c r="U38" s="1">
        <f t="shared" ref="U38:U69" si="11">F38/P38</f>
        <v>10.395955953231496</v>
      </c>
      <c r="V38" s="1">
        <v>18.295000000000002</v>
      </c>
      <c r="W38" s="1">
        <v>17.577000000000002</v>
      </c>
      <c r="X38" s="1">
        <v>25.6296</v>
      </c>
      <c r="Y38" s="1">
        <v>19.367000000000001</v>
      </c>
      <c r="Z38" s="1">
        <v>17.390799999999999</v>
      </c>
      <c r="AA38" s="1">
        <v>21.085999999999999</v>
      </c>
      <c r="AB38" s="1">
        <v>15.313599999999999</v>
      </c>
      <c r="AC38" s="1">
        <v>20.904199999999999</v>
      </c>
      <c r="AD38" s="1"/>
      <c r="AE38" s="1">
        <f t="shared" si="7"/>
        <v>81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81</v>
      </c>
      <c r="B39" s="1" t="s">
        <v>37</v>
      </c>
      <c r="C39" s="1">
        <v>266.95800000000003</v>
      </c>
      <c r="D39" s="1">
        <v>43.976999999999997</v>
      </c>
      <c r="E39" s="1">
        <v>48.398000000000003</v>
      </c>
      <c r="F39" s="1">
        <v>229.59200000000001</v>
      </c>
      <c r="G39" s="7">
        <v>1</v>
      </c>
      <c r="H39" s="1">
        <v>45</v>
      </c>
      <c r="I39" s="1" t="s">
        <v>34</v>
      </c>
      <c r="J39" s="1"/>
      <c r="K39" s="1">
        <v>60.7</v>
      </c>
      <c r="L39" s="1">
        <f t="shared" si="8"/>
        <v>-12.302</v>
      </c>
      <c r="M39" s="1"/>
      <c r="N39" s="1"/>
      <c r="O39" s="1"/>
      <c r="P39" s="1">
        <f t="shared" si="9"/>
        <v>9.6796000000000006</v>
      </c>
      <c r="Q39" s="5"/>
      <c r="R39" s="5">
        <f t="shared" si="6"/>
        <v>0</v>
      </c>
      <c r="S39" s="19"/>
      <c r="T39" s="1">
        <f t="shared" si="10"/>
        <v>23.71916194884086</v>
      </c>
      <c r="U39" s="1">
        <f t="shared" si="11"/>
        <v>23.71916194884086</v>
      </c>
      <c r="V39" s="1">
        <v>10.3604</v>
      </c>
      <c r="W39" s="1">
        <v>23.97</v>
      </c>
      <c r="X39" s="1">
        <v>23.713999999999999</v>
      </c>
      <c r="Y39" s="1">
        <v>19.515799999999999</v>
      </c>
      <c r="Z39" s="1">
        <v>14.1944</v>
      </c>
      <c r="AA39" s="1">
        <v>18.4634</v>
      </c>
      <c r="AB39" s="1">
        <v>25.9588</v>
      </c>
      <c r="AC39" s="1">
        <v>12.3764</v>
      </c>
      <c r="AD39" s="16" t="s">
        <v>35</v>
      </c>
      <c r="AE39" s="1">
        <f t="shared" si="7"/>
        <v>0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82</v>
      </c>
      <c r="B40" s="1" t="s">
        <v>37</v>
      </c>
      <c r="C40" s="1">
        <v>209.85900000000001</v>
      </c>
      <c r="D40" s="1">
        <v>195.136</v>
      </c>
      <c r="E40" s="1">
        <v>65.207999999999998</v>
      </c>
      <c r="F40" s="1">
        <v>324.98599999999999</v>
      </c>
      <c r="G40" s="7">
        <v>1</v>
      </c>
      <c r="H40" s="1">
        <v>45</v>
      </c>
      <c r="I40" s="1" t="s">
        <v>34</v>
      </c>
      <c r="J40" s="1"/>
      <c r="K40" s="1">
        <v>71.5</v>
      </c>
      <c r="L40" s="1">
        <f t="shared" si="8"/>
        <v>-6.2920000000000016</v>
      </c>
      <c r="M40" s="1"/>
      <c r="N40" s="1"/>
      <c r="O40" s="1"/>
      <c r="P40" s="1">
        <f t="shared" si="9"/>
        <v>13.041599999999999</v>
      </c>
      <c r="Q40" s="5"/>
      <c r="R40" s="5">
        <f t="shared" si="6"/>
        <v>0</v>
      </c>
      <c r="S40" s="19"/>
      <c r="T40" s="1">
        <f t="shared" si="10"/>
        <v>24.919181695497485</v>
      </c>
      <c r="U40" s="1">
        <f t="shared" si="11"/>
        <v>24.919181695497485</v>
      </c>
      <c r="V40" s="1">
        <v>26.402999999999999</v>
      </c>
      <c r="W40" s="1">
        <v>21.489599999999999</v>
      </c>
      <c r="X40" s="1">
        <v>29.615600000000001</v>
      </c>
      <c r="Y40" s="1">
        <v>34.425600000000003</v>
      </c>
      <c r="Z40" s="1">
        <v>21.269600000000001</v>
      </c>
      <c r="AA40" s="1">
        <v>21.2666</v>
      </c>
      <c r="AB40" s="1">
        <v>18.827000000000002</v>
      </c>
      <c r="AC40" s="1">
        <v>18.083400000000001</v>
      </c>
      <c r="AD40" s="16" t="s">
        <v>35</v>
      </c>
      <c r="AE40" s="1">
        <f t="shared" si="7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1" t="s">
        <v>83</v>
      </c>
      <c r="B41" s="11" t="s">
        <v>33</v>
      </c>
      <c r="C41" s="11"/>
      <c r="D41" s="11">
        <v>104</v>
      </c>
      <c r="E41" s="11">
        <v>50</v>
      </c>
      <c r="F41" s="11">
        <v>8</v>
      </c>
      <c r="G41" s="12">
        <v>0</v>
      </c>
      <c r="H41" s="11">
        <v>45</v>
      </c>
      <c r="I41" s="11" t="s">
        <v>56</v>
      </c>
      <c r="J41" s="11"/>
      <c r="K41" s="11">
        <v>230</v>
      </c>
      <c r="L41" s="11">
        <f t="shared" si="8"/>
        <v>-180</v>
      </c>
      <c r="M41" s="11"/>
      <c r="N41" s="11"/>
      <c r="O41" s="11"/>
      <c r="P41" s="11">
        <f t="shared" si="9"/>
        <v>10</v>
      </c>
      <c r="Q41" s="13"/>
      <c r="R41" s="5">
        <f t="shared" si="6"/>
        <v>0</v>
      </c>
      <c r="S41" s="20"/>
      <c r="T41" s="11">
        <f t="shared" si="10"/>
        <v>0.8</v>
      </c>
      <c r="U41" s="11">
        <f t="shared" si="11"/>
        <v>0.8</v>
      </c>
      <c r="V41" s="11">
        <v>-0.6</v>
      </c>
      <c r="W41" s="11">
        <v>-0.4</v>
      </c>
      <c r="X41" s="11">
        <v>21</v>
      </c>
      <c r="Y41" s="11">
        <v>33.4</v>
      </c>
      <c r="Z41" s="11">
        <v>4.5999999999999996</v>
      </c>
      <c r="AA41" s="11">
        <v>-1.4</v>
      </c>
      <c r="AB41" s="11">
        <v>15</v>
      </c>
      <c r="AC41" s="11">
        <v>4.2</v>
      </c>
      <c r="AD41" s="11"/>
      <c r="AE41" s="1">
        <f t="shared" si="7"/>
        <v>0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84</v>
      </c>
      <c r="B42" s="1" t="s">
        <v>37</v>
      </c>
      <c r="C42" s="1">
        <v>255.08799999999999</v>
      </c>
      <c r="D42" s="1">
        <v>318.77100000000002</v>
      </c>
      <c r="E42" s="1">
        <v>191.917</v>
      </c>
      <c r="F42" s="1">
        <v>322.73200000000003</v>
      </c>
      <c r="G42" s="7">
        <v>1</v>
      </c>
      <c r="H42" s="1">
        <v>45</v>
      </c>
      <c r="I42" s="1" t="s">
        <v>34</v>
      </c>
      <c r="J42" s="1"/>
      <c r="K42" s="1">
        <v>203</v>
      </c>
      <c r="L42" s="1">
        <f t="shared" si="8"/>
        <v>-11.082999999999998</v>
      </c>
      <c r="M42" s="1"/>
      <c r="N42" s="1"/>
      <c r="O42" s="1"/>
      <c r="P42" s="1">
        <f t="shared" si="9"/>
        <v>38.383400000000002</v>
      </c>
      <c r="Q42" s="5">
        <f>15*P42-F42</f>
        <v>253.01899999999995</v>
      </c>
      <c r="R42" s="5">
        <f t="shared" si="6"/>
        <v>253</v>
      </c>
      <c r="S42" s="19"/>
      <c r="T42" s="1">
        <f t="shared" si="10"/>
        <v>14.999999999999998</v>
      </c>
      <c r="U42" s="1">
        <f t="shared" si="11"/>
        <v>8.4081139242485037</v>
      </c>
      <c r="V42" s="1">
        <v>37.244999999999997</v>
      </c>
      <c r="W42" s="1">
        <v>34.216999999999999</v>
      </c>
      <c r="X42" s="1">
        <v>44.957999999999998</v>
      </c>
      <c r="Y42" s="1">
        <v>38.369199999999999</v>
      </c>
      <c r="Z42" s="1">
        <v>34.367400000000004</v>
      </c>
      <c r="AA42" s="1">
        <v>40.723599999999998</v>
      </c>
      <c r="AB42" s="1">
        <v>31.277200000000001</v>
      </c>
      <c r="AC42" s="1">
        <v>24.531199999999998</v>
      </c>
      <c r="AD42" s="1"/>
      <c r="AE42" s="1">
        <f t="shared" si="7"/>
        <v>253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85</v>
      </c>
      <c r="B43" s="1" t="s">
        <v>33</v>
      </c>
      <c r="C43" s="1">
        <v>13</v>
      </c>
      <c r="D43" s="1">
        <v>680</v>
      </c>
      <c r="E43" s="1">
        <v>94</v>
      </c>
      <c r="F43" s="1">
        <v>524</v>
      </c>
      <c r="G43" s="7">
        <v>0.3</v>
      </c>
      <c r="H43" s="1">
        <v>45</v>
      </c>
      <c r="I43" s="1" t="s">
        <v>34</v>
      </c>
      <c r="J43" s="1"/>
      <c r="K43" s="1">
        <v>446</v>
      </c>
      <c r="L43" s="1">
        <f t="shared" si="8"/>
        <v>-352</v>
      </c>
      <c r="M43" s="1"/>
      <c r="N43" s="1"/>
      <c r="O43" s="1"/>
      <c r="P43" s="1">
        <f t="shared" si="9"/>
        <v>18.8</v>
      </c>
      <c r="Q43" s="5"/>
      <c r="R43" s="5">
        <f t="shared" si="6"/>
        <v>0</v>
      </c>
      <c r="S43" s="19"/>
      <c r="T43" s="1">
        <f t="shared" si="10"/>
        <v>27.872340425531913</v>
      </c>
      <c r="U43" s="1">
        <f t="shared" si="11"/>
        <v>27.872340425531913</v>
      </c>
      <c r="V43" s="1">
        <v>58</v>
      </c>
      <c r="W43" s="1">
        <v>42.8</v>
      </c>
      <c r="X43" s="1">
        <v>21.2</v>
      </c>
      <c r="Y43" s="1">
        <v>22.8</v>
      </c>
      <c r="Z43" s="1">
        <v>28</v>
      </c>
      <c r="AA43" s="1">
        <v>19.2</v>
      </c>
      <c r="AB43" s="1">
        <v>21.6</v>
      </c>
      <c r="AC43" s="1">
        <v>24.4</v>
      </c>
      <c r="AD43" s="1"/>
      <c r="AE43" s="1">
        <f t="shared" si="7"/>
        <v>0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86</v>
      </c>
      <c r="B44" s="1" t="s">
        <v>37</v>
      </c>
      <c r="C44" s="1">
        <v>85.88</v>
      </c>
      <c r="D44" s="1">
        <v>205.74</v>
      </c>
      <c r="E44" s="1">
        <v>101.32</v>
      </c>
      <c r="F44" s="1">
        <v>186.982</v>
      </c>
      <c r="G44" s="7">
        <v>1</v>
      </c>
      <c r="H44" s="1">
        <v>30</v>
      </c>
      <c r="I44" s="1" t="s">
        <v>34</v>
      </c>
      <c r="J44" s="1"/>
      <c r="K44" s="1">
        <v>108</v>
      </c>
      <c r="L44" s="1">
        <f t="shared" si="8"/>
        <v>-6.6800000000000068</v>
      </c>
      <c r="M44" s="1"/>
      <c r="N44" s="1"/>
      <c r="O44" s="1"/>
      <c r="P44" s="1">
        <f t="shared" si="9"/>
        <v>20.263999999999999</v>
      </c>
      <c r="Q44" s="5">
        <f t="shared" ref="Q44:Q48" si="12">15*P44-F44</f>
        <v>116.97799999999998</v>
      </c>
      <c r="R44" s="5">
        <f t="shared" si="6"/>
        <v>117</v>
      </c>
      <c r="S44" s="19"/>
      <c r="T44" s="1">
        <f t="shared" si="10"/>
        <v>15</v>
      </c>
      <c r="U44" s="1">
        <f t="shared" si="11"/>
        <v>9.2272996446900919</v>
      </c>
      <c r="V44" s="1">
        <v>18.549600000000002</v>
      </c>
      <c r="W44" s="1">
        <v>16.238800000000001</v>
      </c>
      <c r="X44" s="1">
        <v>13.000400000000001</v>
      </c>
      <c r="Y44" s="1">
        <v>23.759599999999999</v>
      </c>
      <c r="Z44" s="1">
        <v>5.3927999999999994</v>
      </c>
      <c r="AA44" s="1">
        <v>30.8232</v>
      </c>
      <c r="AB44" s="1">
        <v>12.625999999999999</v>
      </c>
      <c r="AC44" s="1">
        <v>10.706799999999999</v>
      </c>
      <c r="AD44" s="1"/>
      <c r="AE44" s="1">
        <f t="shared" si="7"/>
        <v>117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87</v>
      </c>
      <c r="B45" s="1" t="s">
        <v>37</v>
      </c>
      <c r="C45" s="1">
        <v>302.51600000000002</v>
      </c>
      <c r="D45" s="1">
        <v>404.529</v>
      </c>
      <c r="E45" s="1">
        <v>170.21600000000001</v>
      </c>
      <c r="F45" s="1">
        <v>419.21</v>
      </c>
      <c r="G45" s="7">
        <v>1</v>
      </c>
      <c r="H45" s="1">
        <v>45</v>
      </c>
      <c r="I45" s="1" t="s">
        <v>34</v>
      </c>
      <c r="J45" s="1"/>
      <c r="K45" s="1">
        <v>179.8</v>
      </c>
      <c r="L45" s="1">
        <f t="shared" si="8"/>
        <v>-9.5840000000000032</v>
      </c>
      <c r="M45" s="1"/>
      <c r="N45" s="1"/>
      <c r="O45" s="1"/>
      <c r="P45" s="1">
        <f t="shared" si="9"/>
        <v>34.043199999999999</v>
      </c>
      <c r="Q45" s="5">
        <f t="shared" si="12"/>
        <v>91.437999999999988</v>
      </c>
      <c r="R45" s="5">
        <f t="shared" si="6"/>
        <v>91</v>
      </c>
      <c r="S45" s="19"/>
      <c r="T45" s="1">
        <f t="shared" si="10"/>
        <v>15</v>
      </c>
      <c r="U45" s="1">
        <f t="shared" si="11"/>
        <v>12.314059782864126</v>
      </c>
      <c r="V45" s="1">
        <v>46.182600000000001</v>
      </c>
      <c r="W45" s="1">
        <v>36.746600000000001</v>
      </c>
      <c r="X45" s="1">
        <v>52.787799999999997</v>
      </c>
      <c r="Y45" s="1">
        <v>34.78</v>
      </c>
      <c r="Z45" s="1">
        <v>33.724800000000002</v>
      </c>
      <c r="AA45" s="1">
        <v>37.8416</v>
      </c>
      <c r="AB45" s="1">
        <v>37.513399999999997</v>
      </c>
      <c r="AC45" s="1">
        <v>45.942</v>
      </c>
      <c r="AD45" s="1"/>
      <c r="AE45" s="1">
        <f t="shared" si="7"/>
        <v>91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88</v>
      </c>
      <c r="B46" s="1" t="s">
        <v>33</v>
      </c>
      <c r="C46" s="1">
        <v>506</v>
      </c>
      <c r="D46" s="1">
        <v>453</v>
      </c>
      <c r="E46" s="1">
        <v>286</v>
      </c>
      <c r="F46" s="1">
        <v>593</v>
      </c>
      <c r="G46" s="7">
        <v>0.35</v>
      </c>
      <c r="H46" s="1">
        <v>45</v>
      </c>
      <c r="I46" s="1" t="s">
        <v>34</v>
      </c>
      <c r="J46" s="1"/>
      <c r="K46" s="1">
        <v>319</v>
      </c>
      <c r="L46" s="1">
        <f t="shared" si="8"/>
        <v>-33</v>
      </c>
      <c r="M46" s="1"/>
      <c r="N46" s="1"/>
      <c r="O46" s="1"/>
      <c r="P46" s="1">
        <f t="shared" si="9"/>
        <v>57.2</v>
      </c>
      <c r="Q46" s="5">
        <f t="shared" si="12"/>
        <v>265</v>
      </c>
      <c r="R46" s="5">
        <f t="shared" si="6"/>
        <v>265</v>
      </c>
      <c r="S46" s="19"/>
      <c r="T46" s="1">
        <f t="shared" si="10"/>
        <v>15</v>
      </c>
      <c r="U46" s="1">
        <f t="shared" si="11"/>
        <v>10.367132867132867</v>
      </c>
      <c r="V46" s="1">
        <v>63.4</v>
      </c>
      <c r="W46" s="1">
        <v>62.2</v>
      </c>
      <c r="X46" s="1">
        <v>65.8</v>
      </c>
      <c r="Y46" s="1">
        <v>59.4</v>
      </c>
      <c r="Z46" s="1">
        <v>66.400000000000006</v>
      </c>
      <c r="AA46" s="1">
        <v>74.8</v>
      </c>
      <c r="AB46" s="1">
        <v>52.8</v>
      </c>
      <c r="AC46" s="1">
        <v>68.599999999999994</v>
      </c>
      <c r="AD46" s="1"/>
      <c r="AE46" s="1">
        <f t="shared" si="7"/>
        <v>92.75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89</v>
      </c>
      <c r="B47" s="1" t="s">
        <v>33</v>
      </c>
      <c r="C47" s="1">
        <v>21</v>
      </c>
      <c r="D47" s="1">
        <v>744</v>
      </c>
      <c r="E47" s="1">
        <v>279</v>
      </c>
      <c r="F47" s="1">
        <v>372</v>
      </c>
      <c r="G47" s="7">
        <v>0.41</v>
      </c>
      <c r="H47" s="1">
        <v>45</v>
      </c>
      <c r="I47" s="1" t="s">
        <v>34</v>
      </c>
      <c r="J47" s="1"/>
      <c r="K47" s="1">
        <v>446</v>
      </c>
      <c r="L47" s="1">
        <f t="shared" si="8"/>
        <v>-167</v>
      </c>
      <c r="M47" s="1"/>
      <c r="N47" s="1"/>
      <c r="O47" s="1"/>
      <c r="P47" s="1">
        <f t="shared" si="9"/>
        <v>55.8</v>
      </c>
      <c r="Q47" s="5">
        <f t="shared" si="12"/>
        <v>465</v>
      </c>
      <c r="R47" s="5">
        <f t="shared" si="6"/>
        <v>465</v>
      </c>
      <c r="S47" s="19"/>
      <c r="T47" s="1">
        <f t="shared" si="10"/>
        <v>15</v>
      </c>
      <c r="U47" s="1">
        <f t="shared" si="11"/>
        <v>6.666666666666667</v>
      </c>
      <c r="V47" s="1">
        <v>52.6</v>
      </c>
      <c r="W47" s="1">
        <v>57.2</v>
      </c>
      <c r="X47" s="1">
        <v>41.4</v>
      </c>
      <c r="Y47" s="1">
        <v>37.6</v>
      </c>
      <c r="Z47" s="1">
        <v>6.2</v>
      </c>
      <c r="AA47" s="1">
        <v>55.4</v>
      </c>
      <c r="AB47" s="1">
        <v>22.6</v>
      </c>
      <c r="AC47" s="1">
        <v>39.4</v>
      </c>
      <c r="AD47" s="1"/>
      <c r="AE47" s="1">
        <f t="shared" si="7"/>
        <v>190.64999999999998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90</v>
      </c>
      <c r="B48" s="1" t="s">
        <v>33</v>
      </c>
      <c r="C48" s="1">
        <v>161</v>
      </c>
      <c r="D48" s="1">
        <v>330</v>
      </c>
      <c r="E48" s="1">
        <v>207</v>
      </c>
      <c r="F48" s="1">
        <v>245</v>
      </c>
      <c r="G48" s="7">
        <v>0.41</v>
      </c>
      <c r="H48" s="1">
        <v>45</v>
      </c>
      <c r="I48" s="1" t="s">
        <v>34</v>
      </c>
      <c r="J48" s="1"/>
      <c r="K48" s="1">
        <v>217</v>
      </c>
      <c r="L48" s="1">
        <f t="shared" si="8"/>
        <v>-10</v>
      </c>
      <c r="M48" s="1"/>
      <c r="N48" s="1"/>
      <c r="O48" s="1"/>
      <c r="P48" s="1">
        <f t="shared" si="9"/>
        <v>41.4</v>
      </c>
      <c r="Q48" s="5">
        <f t="shared" si="12"/>
        <v>376</v>
      </c>
      <c r="R48" s="5">
        <f t="shared" si="6"/>
        <v>376</v>
      </c>
      <c r="S48" s="19"/>
      <c r="T48" s="1">
        <f t="shared" si="10"/>
        <v>15</v>
      </c>
      <c r="U48" s="1">
        <f t="shared" si="11"/>
        <v>5.9178743961352662</v>
      </c>
      <c r="V48" s="1">
        <v>27.4</v>
      </c>
      <c r="W48" s="1">
        <v>42.4</v>
      </c>
      <c r="X48" s="1">
        <v>35.799999999999997</v>
      </c>
      <c r="Y48" s="1">
        <v>25.4</v>
      </c>
      <c r="Z48" s="1">
        <v>22.2</v>
      </c>
      <c r="AA48" s="1">
        <v>38.6</v>
      </c>
      <c r="AB48" s="1">
        <v>21.4</v>
      </c>
      <c r="AC48" s="1">
        <v>28.6</v>
      </c>
      <c r="AD48" s="1"/>
      <c r="AE48" s="1">
        <f t="shared" si="7"/>
        <v>154.16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91</v>
      </c>
      <c r="B49" s="1" t="s">
        <v>33</v>
      </c>
      <c r="C49" s="1">
        <v>220</v>
      </c>
      <c r="D49" s="1">
        <v>288</v>
      </c>
      <c r="E49" s="1">
        <v>295</v>
      </c>
      <c r="F49" s="1">
        <v>120</v>
      </c>
      <c r="G49" s="7">
        <v>0.36</v>
      </c>
      <c r="H49" s="1">
        <v>45</v>
      </c>
      <c r="I49" s="1" t="s">
        <v>34</v>
      </c>
      <c r="J49" s="1"/>
      <c r="K49" s="1">
        <v>491</v>
      </c>
      <c r="L49" s="1">
        <f t="shared" si="8"/>
        <v>-196</v>
      </c>
      <c r="M49" s="1"/>
      <c r="N49" s="1"/>
      <c r="O49" s="1"/>
      <c r="P49" s="1">
        <f t="shared" si="9"/>
        <v>59</v>
      </c>
      <c r="Q49" s="5">
        <f>12*P49-F49</f>
        <v>588</v>
      </c>
      <c r="R49" s="5">
        <f t="shared" si="6"/>
        <v>588</v>
      </c>
      <c r="S49" s="19"/>
      <c r="T49" s="1">
        <f t="shared" si="10"/>
        <v>12</v>
      </c>
      <c r="U49" s="1">
        <f t="shared" si="11"/>
        <v>2.0338983050847457</v>
      </c>
      <c r="V49" s="1">
        <v>28.8</v>
      </c>
      <c r="W49" s="1">
        <v>43.8</v>
      </c>
      <c r="X49" s="1">
        <v>41.6</v>
      </c>
      <c r="Y49" s="1">
        <v>39.200000000000003</v>
      </c>
      <c r="Z49" s="1">
        <v>2.6</v>
      </c>
      <c r="AA49" s="1">
        <v>41.8</v>
      </c>
      <c r="AB49" s="1">
        <v>11</v>
      </c>
      <c r="AC49" s="1">
        <v>19.399999999999999</v>
      </c>
      <c r="AD49" s="1"/>
      <c r="AE49" s="1">
        <f t="shared" si="7"/>
        <v>211.67999999999998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92</v>
      </c>
      <c r="B50" s="1" t="s">
        <v>33</v>
      </c>
      <c r="C50" s="1">
        <v>165</v>
      </c>
      <c r="D50" s="1">
        <v>8</v>
      </c>
      <c r="E50" s="1">
        <v>86</v>
      </c>
      <c r="F50" s="1">
        <v>76</v>
      </c>
      <c r="G50" s="7">
        <v>0.33</v>
      </c>
      <c r="H50" s="1">
        <v>45</v>
      </c>
      <c r="I50" s="1" t="s">
        <v>34</v>
      </c>
      <c r="J50" s="1"/>
      <c r="K50" s="1">
        <v>88</v>
      </c>
      <c r="L50" s="1">
        <f t="shared" si="8"/>
        <v>-2</v>
      </c>
      <c r="M50" s="1"/>
      <c r="N50" s="1"/>
      <c r="O50" s="1"/>
      <c r="P50" s="1">
        <f t="shared" si="9"/>
        <v>17.2</v>
      </c>
      <c r="Q50" s="5">
        <f>14*P50-F50</f>
        <v>164.79999999999998</v>
      </c>
      <c r="R50" s="5">
        <f t="shared" si="6"/>
        <v>165</v>
      </c>
      <c r="S50" s="19"/>
      <c r="T50" s="1">
        <f t="shared" si="10"/>
        <v>14</v>
      </c>
      <c r="U50" s="1">
        <f t="shared" si="11"/>
        <v>4.4186046511627906</v>
      </c>
      <c r="V50" s="1">
        <v>11.2</v>
      </c>
      <c r="W50" s="1">
        <v>12.8</v>
      </c>
      <c r="X50" s="1">
        <v>16</v>
      </c>
      <c r="Y50" s="1">
        <v>12.6</v>
      </c>
      <c r="Z50" s="1">
        <v>10.199999999999999</v>
      </c>
      <c r="AA50" s="1">
        <v>26.4</v>
      </c>
      <c r="AB50" s="1">
        <v>8.8000000000000007</v>
      </c>
      <c r="AC50" s="1">
        <v>16.8</v>
      </c>
      <c r="AD50" s="1"/>
      <c r="AE50" s="1">
        <f t="shared" si="7"/>
        <v>54.45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93</v>
      </c>
      <c r="B51" s="1" t="s">
        <v>33</v>
      </c>
      <c r="C51" s="1">
        <v>107</v>
      </c>
      <c r="D51" s="1">
        <v>208</v>
      </c>
      <c r="E51" s="1">
        <v>67</v>
      </c>
      <c r="F51" s="1">
        <v>229</v>
      </c>
      <c r="G51" s="7">
        <v>0.4</v>
      </c>
      <c r="H51" s="1">
        <v>60</v>
      </c>
      <c r="I51" s="1" t="s">
        <v>34</v>
      </c>
      <c r="J51" s="1"/>
      <c r="K51" s="1">
        <v>73</v>
      </c>
      <c r="L51" s="1">
        <f t="shared" si="8"/>
        <v>-6</v>
      </c>
      <c r="M51" s="1"/>
      <c r="N51" s="1"/>
      <c r="O51" s="1"/>
      <c r="P51" s="1">
        <f t="shared" si="9"/>
        <v>13.4</v>
      </c>
      <c r="Q51" s="5"/>
      <c r="R51" s="5">
        <f t="shared" si="6"/>
        <v>0</v>
      </c>
      <c r="S51" s="19"/>
      <c r="T51" s="1">
        <f t="shared" si="10"/>
        <v>17.089552238805968</v>
      </c>
      <c r="U51" s="1">
        <f t="shared" si="11"/>
        <v>17.089552238805968</v>
      </c>
      <c r="V51" s="1">
        <v>21.4</v>
      </c>
      <c r="W51" s="1">
        <v>21.6</v>
      </c>
      <c r="X51" s="1">
        <v>10</v>
      </c>
      <c r="Y51" s="1">
        <v>25</v>
      </c>
      <c r="Z51" s="1">
        <v>35.6</v>
      </c>
      <c r="AA51" s="1">
        <v>19.8</v>
      </c>
      <c r="AB51" s="1">
        <v>0</v>
      </c>
      <c r="AC51" s="1">
        <v>0</v>
      </c>
      <c r="AD51" s="15" t="s">
        <v>46</v>
      </c>
      <c r="AE51" s="1">
        <f t="shared" si="7"/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94</v>
      </c>
      <c r="B52" s="1" t="s">
        <v>33</v>
      </c>
      <c r="C52" s="1">
        <v>38</v>
      </c>
      <c r="D52" s="1">
        <v>48</v>
      </c>
      <c r="E52" s="1">
        <v>23</v>
      </c>
      <c r="F52" s="1">
        <v>47</v>
      </c>
      <c r="G52" s="7">
        <v>0.33</v>
      </c>
      <c r="H52" s="1">
        <v>45</v>
      </c>
      <c r="I52" s="1" t="s">
        <v>34</v>
      </c>
      <c r="J52" s="1"/>
      <c r="K52" s="1">
        <v>40</v>
      </c>
      <c r="L52" s="1">
        <f t="shared" si="8"/>
        <v>-17</v>
      </c>
      <c r="M52" s="1"/>
      <c r="N52" s="1"/>
      <c r="O52" s="1"/>
      <c r="P52" s="1">
        <f t="shared" si="9"/>
        <v>4.5999999999999996</v>
      </c>
      <c r="Q52" s="5">
        <f>15*P52-F52</f>
        <v>22</v>
      </c>
      <c r="R52" s="5">
        <f t="shared" si="6"/>
        <v>22</v>
      </c>
      <c r="S52" s="19"/>
      <c r="T52" s="1">
        <f t="shared" si="10"/>
        <v>15.000000000000002</v>
      </c>
      <c r="U52" s="1">
        <f t="shared" si="11"/>
        <v>10.217391304347826</v>
      </c>
      <c r="V52" s="1">
        <v>5.4</v>
      </c>
      <c r="W52" s="1">
        <v>8</v>
      </c>
      <c r="X52" s="1">
        <v>4.5999999999999996</v>
      </c>
      <c r="Y52" s="1">
        <v>8.1999999999999993</v>
      </c>
      <c r="Z52" s="1">
        <v>11</v>
      </c>
      <c r="AA52" s="1">
        <v>13.4</v>
      </c>
      <c r="AB52" s="1">
        <v>6.2</v>
      </c>
      <c r="AC52" s="1">
        <v>5.8</v>
      </c>
      <c r="AD52" s="1"/>
      <c r="AE52" s="1">
        <f t="shared" si="7"/>
        <v>7.2600000000000007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95</v>
      </c>
      <c r="B53" s="1" t="s">
        <v>37</v>
      </c>
      <c r="C53" s="1">
        <v>158.80500000000001</v>
      </c>
      <c r="D53" s="1">
        <v>599.851</v>
      </c>
      <c r="E53" s="1">
        <v>161.08199999999999</v>
      </c>
      <c r="F53" s="1">
        <v>467.27699999999999</v>
      </c>
      <c r="G53" s="7">
        <v>1</v>
      </c>
      <c r="H53" s="1">
        <v>45</v>
      </c>
      <c r="I53" s="1" t="s">
        <v>34</v>
      </c>
      <c r="J53" s="1"/>
      <c r="K53" s="1">
        <v>169</v>
      </c>
      <c r="L53" s="1">
        <f t="shared" si="8"/>
        <v>-7.9180000000000064</v>
      </c>
      <c r="M53" s="1"/>
      <c r="N53" s="1"/>
      <c r="O53" s="1"/>
      <c r="P53" s="1">
        <f t="shared" si="9"/>
        <v>32.2164</v>
      </c>
      <c r="Q53" s="5">
        <f>15*P53-F53</f>
        <v>15.968999999999994</v>
      </c>
      <c r="R53" s="5">
        <f t="shared" si="6"/>
        <v>16</v>
      </c>
      <c r="S53" s="19"/>
      <c r="T53" s="1">
        <f t="shared" si="10"/>
        <v>15</v>
      </c>
      <c r="U53" s="1">
        <f t="shared" si="11"/>
        <v>14.504320780720377</v>
      </c>
      <c r="V53" s="1">
        <v>50.428199999999997</v>
      </c>
      <c r="W53" s="1">
        <v>56.484000000000002</v>
      </c>
      <c r="X53" s="1">
        <v>47.937399999999997</v>
      </c>
      <c r="Y53" s="1">
        <v>73.170199999999994</v>
      </c>
      <c r="Z53" s="1">
        <v>43.623600000000003</v>
      </c>
      <c r="AA53" s="1">
        <v>22.008600000000001</v>
      </c>
      <c r="AB53" s="1">
        <v>54.067799999999998</v>
      </c>
      <c r="AC53" s="1">
        <v>47.639400000000002</v>
      </c>
      <c r="AD53" s="1"/>
      <c r="AE53" s="1">
        <f t="shared" si="7"/>
        <v>16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1" t="s">
        <v>96</v>
      </c>
      <c r="B54" s="11" t="s">
        <v>33</v>
      </c>
      <c r="C54" s="11">
        <v>56</v>
      </c>
      <c r="D54" s="11"/>
      <c r="E54" s="11">
        <v>28</v>
      </c>
      <c r="F54" s="11">
        <v>28</v>
      </c>
      <c r="G54" s="12">
        <v>0</v>
      </c>
      <c r="H54" s="11">
        <v>60</v>
      </c>
      <c r="I54" s="11" t="s">
        <v>56</v>
      </c>
      <c r="J54" s="11"/>
      <c r="K54" s="11">
        <v>30</v>
      </c>
      <c r="L54" s="11">
        <f t="shared" si="8"/>
        <v>-2</v>
      </c>
      <c r="M54" s="11"/>
      <c r="N54" s="11"/>
      <c r="O54" s="11"/>
      <c r="P54" s="11">
        <f t="shared" si="9"/>
        <v>5.6</v>
      </c>
      <c r="Q54" s="13"/>
      <c r="R54" s="5">
        <f t="shared" si="6"/>
        <v>0</v>
      </c>
      <c r="S54" s="20"/>
      <c r="T54" s="11">
        <f t="shared" si="10"/>
        <v>5</v>
      </c>
      <c r="U54" s="11">
        <f t="shared" si="11"/>
        <v>5</v>
      </c>
      <c r="V54" s="11">
        <v>3</v>
      </c>
      <c r="W54" s="11">
        <v>7.6</v>
      </c>
      <c r="X54" s="11">
        <v>4.2</v>
      </c>
      <c r="Y54" s="11">
        <v>9</v>
      </c>
      <c r="Z54" s="11">
        <v>6.2</v>
      </c>
      <c r="AA54" s="11">
        <v>5</v>
      </c>
      <c r="AB54" s="11">
        <v>9.6</v>
      </c>
      <c r="AC54" s="11">
        <v>13.6</v>
      </c>
      <c r="AD54" s="14" t="s">
        <v>97</v>
      </c>
      <c r="AE54" s="1">
        <f t="shared" si="7"/>
        <v>0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98</v>
      </c>
      <c r="B55" s="1" t="s">
        <v>33</v>
      </c>
      <c r="C55" s="1">
        <v>66</v>
      </c>
      <c r="D55" s="1">
        <v>300</v>
      </c>
      <c r="E55" s="1">
        <v>55</v>
      </c>
      <c r="F55" s="1">
        <v>282</v>
      </c>
      <c r="G55" s="7">
        <v>0.4</v>
      </c>
      <c r="H55" s="1">
        <v>45</v>
      </c>
      <c r="I55" s="1" t="s">
        <v>34</v>
      </c>
      <c r="J55" s="1"/>
      <c r="K55" s="1">
        <v>99</v>
      </c>
      <c r="L55" s="1">
        <f t="shared" si="8"/>
        <v>-44</v>
      </c>
      <c r="M55" s="1"/>
      <c r="N55" s="1"/>
      <c r="O55" s="1"/>
      <c r="P55" s="1">
        <f t="shared" si="9"/>
        <v>11</v>
      </c>
      <c r="Q55" s="5"/>
      <c r="R55" s="5">
        <f t="shared" si="6"/>
        <v>0</v>
      </c>
      <c r="S55" s="19"/>
      <c r="T55" s="1">
        <f t="shared" si="10"/>
        <v>25.636363636363637</v>
      </c>
      <c r="U55" s="1">
        <f t="shared" si="11"/>
        <v>25.636363636363637</v>
      </c>
      <c r="V55" s="1">
        <v>34.4</v>
      </c>
      <c r="W55" s="1">
        <v>7.2</v>
      </c>
      <c r="X55" s="1">
        <v>21.4</v>
      </c>
      <c r="Y55" s="1">
        <v>20.2</v>
      </c>
      <c r="Z55" s="1">
        <v>13.8</v>
      </c>
      <c r="AA55" s="1">
        <v>-1.4</v>
      </c>
      <c r="AB55" s="1">
        <v>19.399999999999999</v>
      </c>
      <c r="AC55" s="1">
        <v>21</v>
      </c>
      <c r="AD55" s="1"/>
      <c r="AE55" s="1">
        <f t="shared" si="7"/>
        <v>0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99</v>
      </c>
      <c r="B56" s="1" t="s">
        <v>37</v>
      </c>
      <c r="C56" s="1">
        <v>-13.763</v>
      </c>
      <c r="D56" s="1">
        <v>50.832000000000001</v>
      </c>
      <c r="E56" s="1">
        <v>15.654</v>
      </c>
      <c r="F56" s="1">
        <v>17.475999999999999</v>
      </c>
      <c r="G56" s="7">
        <v>1</v>
      </c>
      <c r="H56" s="1">
        <v>60</v>
      </c>
      <c r="I56" s="1" t="s">
        <v>34</v>
      </c>
      <c r="J56" s="1"/>
      <c r="K56" s="1">
        <v>17.600000000000001</v>
      </c>
      <c r="L56" s="1">
        <f t="shared" si="8"/>
        <v>-1.9460000000000015</v>
      </c>
      <c r="M56" s="1"/>
      <c r="N56" s="1"/>
      <c r="O56" s="1"/>
      <c r="P56" s="1">
        <f t="shared" si="9"/>
        <v>3.1307999999999998</v>
      </c>
      <c r="Q56" s="5">
        <f>15*P56-F56</f>
        <v>29.485999999999997</v>
      </c>
      <c r="R56" s="5">
        <f t="shared" si="6"/>
        <v>29</v>
      </c>
      <c r="S56" s="19"/>
      <c r="T56" s="1">
        <f t="shared" si="10"/>
        <v>15</v>
      </c>
      <c r="U56" s="1">
        <f t="shared" si="11"/>
        <v>5.5819598824581576</v>
      </c>
      <c r="V56" s="1">
        <v>0.29899999999999999</v>
      </c>
      <c r="W56" s="1">
        <v>4.3317999999999994</v>
      </c>
      <c r="X56" s="1">
        <v>6.2573999999999996</v>
      </c>
      <c r="Y56" s="1">
        <v>3.1316000000000002</v>
      </c>
      <c r="Z56" s="1">
        <v>4.6974</v>
      </c>
      <c r="AA56" s="1">
        <v>1.5696000000000001</v>
      </c>
      <c r="AB56" s="1">
        <v>4.6787999999999998</v>
      </c>
      <c r="AC56" s="1">
        <v>1.1397999999999999</v>
      </c>
      <c r="AD56" s="1" t="s">
        <v>100</v>
      </c>
      <c r="AE56" s="1">
        <f t="shared" si="7"/>
        <v>29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101</v>
      </c>
      <c r="B57" s="1" t="s">
        <v>37</v>
      </c>
      <c r="C57" s="1">
        <v>46.36</v>
      </c>
      <c r="D57" s="1"/>
      <c r="E57" s="1">
        <v>16.510000000000002</v>
      </c>
      <c r="F57" s="1">
        <v>22.4</v>
      </c>
      <c r="G57" s="7">
        <v>1</v>
      </c>
      <c r="H57" s="1">
        <v>60</v>
      </c>
      <c r="I57" s="1" t="s">
        <v>34</v>
      </c>
      <c r="J57" s="1"/>
      <c r="K57" s="1">
        <v>20</v>
      </c>
      <c r="L57" s="1">
        <f t="shared" si="8"/>
        <v>-3.4899999999999984</v>
      </c>
      <c r="M57" s="1"/>
      <c r="N57" s="1"/>
      <c r="O57" s="1"/>
      <c r="P57" s="1">
        <f t="shared" si="9"/>
        <v>3.3020000000000005</v>
      </c>
      <c r="Q57" s="5">
        <f>15*P57-F57</f>
        <v>27.13000000000001</v>
      </c>
      <c r="R57" s="5">
        <f t="shared" si="6"/>
        <v>27</v>
      </c>
      <c r="S57" s="19"/>
      <c r="T57" s="1">
        <f t="shared" si="10"/>
        <v>15</v>
      </c>
      <c r="U57" s="1">
        <f t="shared" si="11"/>
        <v>6.7837674136886719</v>
      </c>
      <c r="V57" s="1">
        <v>1.486</v>
      </c>
      <c r="W57" s="1">
        <v>0</v>
      </c>
      <c r="X57" s="1">
        <v>6.0140000000000002</v>
      </c>
      <c r="Y57" s="1">
        <v>2.7010000000000001</v>
      </c>
      <c r="Z57" s="1">
        <v>3.5880000000000001</v>
      </c>
      <c r="AA57" s="1">
        <v>3.887</v>
      </c>
      <c r="AB57" s="1">
        <v>1.7909999999999999</v>
      </c>
      <c r="AC57" s="1">
        <v>3.6339999999999999</v>
      </c>
      <c r="AD57" s="1"/>
      <c r="AE57" s="1">
        <f t="shared" si="7"/>
        <v>27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1" t="s">
        <v>102</v>
      </c>
      <c r="B58" s="11" t="s">
        <v>37</v>
      </c>
      <c r="C58" s="11">
        <v>67.05</v>
      </c>
      <c r="D58" s="11">
        <v>71.576999999999998</v>
      </c>
      <c r="E58" s="11">
        <v>33.99</v>
      </c>
      <c r="F58" s="11">
        <v>97.804000000000002</v>
      </c>
      <c r="G58" s="12">
        <v>0</v>
      </c>
      <c r="H58" s="11">
        <v>45</v>
      </c>
      <c r="I58" s="11" t="s">
        <v>56</v>
      </c>
      <c r="J58" s="11"/>
      <c r="K58" s="11">
        <v>36.119999999999997</v>
      </c>
      <c r="L58" s="11">
        <f t="shared" si="8"/>
        <v>-2.1299999999999955</v>
      </c>
      <c r="M58" s="11"/>
      <c r="N58" s="11"/>
      <c r="O58" s="11"/>
      <c r="P58" s="11">
        <f t="shared" si="9"/>
        <v>6.798</v>
      </c>
      <c r="Q58" s="13"/>
      <c r="R58" s="5">
        <f t="shared" si="6"/>
        <v>0</v>
      </c>
      <c r="S58" s="20"/>
      <c r="T58" s="11">
        <f t="shared" si="10"/>
        <v>14.387172697852309</v>
      </c>
      <c r="U58" s="11">
        <f t="shared" si="11"/>
        <v>14.387172697852309</v>
      </c>
      <c r="V58" s="11">
        <v>9.2099999999999991</v>
      </c>
      <c r="W58" s="11">
        <v>5.6738</v>
      </c>
      <c r="X58" s="11">
        <v>0</v>
      </c>
      <c r="Y58" s="11">
        <v>0</v>
      </c>
      <c r="Z58" s="11">
        <v>0.17219999999999999</v>
      </c>
      <c r="AA58" s="11">
        <v>0.69100000000000006</v>
      </c>
      <c r="AB58" s="11">
        <v>4.4748000000000001</v>
      </c>
      <c r="AC58" s="11">
        <v>0</v>
      </c>
      <c r="AD58" s="11"/>
      <c r="AE58" s="1">
        <f t="shared" si="7"/>
        <v>0</v>
      </c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103</v>
      </c>
      <c r="B59" s="1" t="s">
        <v>33</v>
      </c>
      <c r="C59" s="1">
        <v>55</v>
      </c>
      <c r="D59" s="1">
        <v>96</v>
      </c>
      <c r="E59" s="1">
        <v>23</v>
      </c>
      <c r="F59" s="1">
        <v>125</v>
      </c>
      <c r="G59" s="7">
        <v>0.25</v>
      </c>
      <c r="H59" s="1">
        <v>120</v>
      </c>
      <c r="I59" s="1" t="s">
        <v>34</v>
      </c>
      <c r="J59" s="1"/>
      <c r="K59" s="1">
        <v>30</v>
      </c>
      <c r="L59" s="1">
        <f t="shared" si="8"/>
        <v>-7</v>
      </c>
      <c r="M59" s="1"/>
      <c r="N59" s="1"/>
      <c r="O59" s="1"/>
      <c r="P59" s="1">
        <f t="shared" si="9"/>
        <v>4.5999999999999996</v>
      </c>
      <c r="Q59" s="5"/>
      <c r="R59" s="5">
        <f t="shared" si="6"/>
        <v>0</v>
      </c>
      <c r="S59" s="19"/>
      <c r="T59" s="1">
        <f t="shared" si="10"/>
        <v>27.173913043478262</v>
      </c>
      <c r="U59" s="1">
        <f t="shared" si="11"/>
        <v>27.173913043478262</v>
      </c>
      <c r="V59" s="1">
        <v>7.8</v>
      </c>
      <c r="W59" s="1">
        <v>5.6</v>
      </c>
      <c r="X59" s="1">
        <v>6.2</v>
      </c>
      <c r="Y59" s="1">
        <v>3.8</v>
      </c>
      <c r="Z59" s="1">
        <v>4</v>
      </c>
      <c r="AA59" s="1">
        <v>3.6</v>
      </c>
      <c r="AB59" s="1">
        <v>2.4</v>
      </c>
      <c r="AC59" s="1">
        <v>4</v>
      </c>
      <c r="AD59" s="1" t="s">
        <v>38</v>
      </c>
      <c r="AE59" s="1">
        <f t="shared" si="7"/>
        <v>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104</v>
      </c>
      <c r="B60" s="1" t="s">
        <v>37</v>
      </c>
      <c r="C60" s="1">
        <v>163.93899999999999</v>
      </c>
      <c r="D60" s="1">
        <v>19.553000000000001</v>
      </c>
      <c r="E60" s="1">
        <v>47.585999999999999</v>
      </c>
      <c r="F60" s="1">
        <v>127.563</v>
      </c>
      <c r="G60" s="7">
        <v>1</v>
      </c>
      <c r="H60" s="1">
        <v>45</v>
      </c>
      <c r="I60" s="1" t="s">
        <v>34</v>
      </c>
      <c r="J60" s="1"/>
      <c r="K60" s="1">
        <v>51</v>
      </c>
      <c r="L60" s="1">
        <f t="shared" si="8"/>
        <v>-3.4140000000000015</v>
      </c>
      <c r="M60" s="1"/>
      <c r="N60" s="1"/>
      <c r="O60" s="1"/>
      <c r="P60" s="1">
        <f t="shared" si="9"/>
        <v>9.517199999999999</v>
      </c>
      <c r="Q60" s="5">
        <f>15*P60-F60</f>
        <v>15.194999999999979</v>
      </c>
      <c r="R60" s="5">
        <f t="shared" si="6"/>
        <v>15</v>
      </c>
      <c r="S60" s="19"/>
      <c r="T60" s="1">
        <f t="shared" si="10"/>
        <v>15</v>
      </c>
      <c r="U60" s="1">
        <f t="shared" si="11"/>
        <v>13.403416971378139</v>
      </c>
      <c r="V60" s="1">
        <v>8.8352000000000004</v>
      </c>
      <c r="W60" s="1">
        <v>8.5221999999999998</v>
      </c>
      <c r="X60" s="1">
        <v>10.96</v>
      </c>
      <c r="Y60" s="1">
        <v>7.5292000000000003</v>
      </c>
      <c r="Z60" s="1">
        <v>9.4152000000000005</v>
      </c>
      <c r="AA60" s="1">
        <v>9.1852</v>
      </c>
      <c r="AB60" s="1">
        <v>7.8763999999999994</v>
      </c>
      <c r="AC60" s="1">
        <v>8.2927999999999997</v>
      </c>
      <c r="AD60" s="1"/>
      <c r="AE60" s="1">
        <f t="shared" si="7"/>
        <v>15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105</v>
      </c>
      <c r="B61" s="1" t="s">
        <v>33</v>
      </c>
      <c r="C61" s="1">
        <v>382</v>
      </c>
      <c r="D61" s="1">
        <v>56</v>
      </c>
      <c r="E61" s="1">
        <v>159</v>
      </c>
      <c r="F61" s="1">
        <v>216</v>
      </c>
      <c r="G61" s="7">
        <v>0.3</v>
      </c>
      <c r="H61" s="1">
        <v>60</v>
      </c>
      <c r="I61" s="1" t="s">
        <v>34</v>
      </c>
      <c r="J61" s="1"/>
      <c r="K61" s="1">
        <v>193</v>
      </c>
      <c r="L61" s="1">
        <f t="shared" si="8"/>
        <v>-34</v>
      </c>
      <c r="M61" s="1"/>
      <c r="N61" s="1"/>
      <c r="O61" s="1"/>
      <c r="P61" s="1">
        <f t="shared" si="9"/>
        <v>31.8</v>
      </c>
      <c r="Q61" s="5">
        <f>15*P61-F61</f>
        <v>261</v>
      </c>
      <c r="R61" s="5">
        <f t="shared" si="6"/>
        <v>261</v>
      </c>
      <c r="S61" s="19"/>
      <c r="T61" s="1">
        <f t="shared" si="10"/>
        <v>15</v>
      </c>
      <c r="U61" s="1">
        <f t="shared" si="11"/>
        <v>6.7924528301886795</v>
      </c>
      <c r="V61" s="1">
        <v>25.4</v>
      </c>
      <c r="W61" s="1">
        <v>38.799999999999997</v>
      </c>
      <c r="X61" s="1">
        <v>37.200000000000003</v>
      </c>
      <c r="Y61" s="1">
        <v>39.799999999999997</v>
      </c>
      <c r="Z61" s="1">
        <v>16.600000000000001</v>
      </c>
      <c r="AA61" s="1">
        <v>34.200000000000003</v>
      </c>
      <c r="AB61" s="1">
        <v>21.4</v>
      </c>
      <c r="AC61" s="1">
        <v>9.8000000000000007</v>
      </c>
      <c r="AD61" s="1"/>
      <c r="AE61" s="1">
        <f t="shared" si="7"/>
        <v>78.3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106</v>
      </c>
      <c r="B62" s="1" t="s">
        <v>33</v>
      </c>
      <c r="C62" s="1">
        <v>271</v>
      </c>
      <c r="D62" s="1">
        <v>982</v>
      </c>
      <c r="E62" s="1">
        <v>504</v>
      </c>
      <c r="F62" s="17">
        <f>587+F63</f>
        <v>637</v>
      </c>
      <c r="G62" s="7">
        <v>0.41</v>
      </c>
      <c r="H62" s="1">
        <v>50</v>
      </c>
      <c r="I62" s="1" t="s">
        <v>34</v>
      </c>
      <c r="J62" s="1"/>
      <c r="K62" s="1">
        <v>745</v>
      </c>
      <c r="L62" s="1">
        <f t="shared" si="8"/>
        <v>-241</v>
      </c>
      <c r="M62" s="1"/>
      <c r="N62" s="1"/>
      <c r="O62" s="1"/>
      <c r="P62" s="1">
        <f t="shared" si="9"/>
        <v>100.8</v>
      </c>
      <c r="Q62" s="5">
        <f>15*P62-F62</f>
        <v>875</v>
      </c>
      <c r="R62" s="5">
        <f t="shared" si="6"/>
        <v>875</v>
      </c>
      <c r="S62" s="19"/>
      <c r="T62" s="1">
        <f t="shared" si="10"/>
        <v>15</v>
      </c>
      <c r="U62" s="1">
        <f t="shared" si="11"/>
        <v>6.3194444444444446</v>
      </c>
      <c r="V62" s="1">
        <v>87</v>
      </c>
      <c r="W62" s="1">
        <v>90.4</v>
      </c>
      <c r="X62" s="1">
        <v>84</v>
      </c>
      <c r="Y62" s="1">
        <v>77.2</v>
      </c>
      <c r="Z62" s="1">
        <v>68.2</v>
      </c>
      <c r="AA62" s="1">
        <v>47.2</v>
      </c>
      <c r="AB62" s="1">
        <v>79.400000000000006</v>
      </c>
      <c r="AC62" s="1">
        <v>88.6</v>
      </c>
      <c r="AD62" s="1"/>
      <c r="AE62" s="1">
        <f t="shared" si="7"/>
        <v>358.75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1" t="s">
        <v>107</v>
      </c>
      <c r="B63" s="11" t="s">
        <v>33</v>
      </c>
      <c r="C63" s="11">
        <v>50</v>
      </c>
      <c r="D63" s="11"/>
      <c r="E63" s="11"/>
      <c r="F63" s="17">
        <v>50</v>
      </c>
      <c r="G63" s="12">
        <v>0</v>
      </c>
      <c r="H63" s="11"/>
      <c r="I63" s="11" t="s">
        <v>108</v>
      </c>
      <c r="J63" s="11" t="s">
        <v>106</v>
      </c>
      <c r="K63" s="11">
        <v>9</v>
      </c>
      <c r="L63" s="11">
        <f t="shared" si="8"/>
        <v>-9</v>
      </c>
      <c r="M63" s="11"/>
      <c r="N63" s="11"/>
      <c r="O63" s="11"/>
      <c r="P63" s="11">
        <f t="shared" si="9"/>
        <v>0</v>
      </c>
      <c r="Q63" s="13"/>
      <c r="R63" s="5">
        <f t="shared" si="6"/>
        <v>0</v>
      </c>
      <c r="S63" s="20"/>
      <c r="T63" s="11" t="e">
        <f t="shared" si="10"/>
        <v>#DIV/0!</v>
      </c>
      <c r="U63" s="11" t="e">
        <f t="shared" si="11"/>
        <v>#DIV/0!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 s="11">
        <v>0</v>
      </c>
      <c r="AD63" s="11"/>
      <c r="AE63" s="1">
        <f t="shared" si="7"/>
        <v>0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109</v>
      </c>
      <c r="B64" s="1" t="s">
        <v>37</v>
      </c>
      <c r="C64" s="1">
        <v>867.34500000000003</v>
      </c>
      <c r="D64" s="1">
        <v>496.98200000000003</v>
      </c>
      <c r="E64" s="1">
        <v>345.32499999999999</v>
      </c>
      <c r="F64" s="1">
        <v>700.89599999999996</v>
      </c>
      <c r="G64" s="7">
        <v>1</v>
      </c>
      <c r="H64" s="1">
        <v>50</v>
      </c>
      <c r="I64" s="1" t="s">
        <v>34</v>
      </c>
      <c r="J64" s="1"/>
      <c r="K64" s="1">
        <v>360.8</v>
      </c>
      <c r="L64" s="1">
        <f t="shared" si="8"/>
        <v>-15.475000000000023</v>
      </c>
      <c r="M64" s="1"/>
      <c r="N64" s="1"/>
      <c r="O64" s="1"/>
      <c r="P64" s="1">
        <f t="shared" si="9"/>
        <v>69.064999999999998</v>
      </c>
      <c r="Q64" s="5">
        <f>15*P64-F64</f>
        <v>335.07899999999995</v>
      </c>
      <c r="R64" s="5">
        <f t="shared" si="6"/>
        <v>335</v>
      </c>
      <c r="S64" s="19"/>
      <c r="T64" s="1">
        <f t="shared" si="10"/>
        <v>15</v>
      </c>
      <c r="U64" s="1">
        <f t="shared" si="11"/>
        <v>10.148353000796352</v>
      </c>
      <c r="V64" s="1">
        <v>43.75</v>
      </c>
      <c r="W64" s="1">
        <v>103.5904</v>
      </c>
      <c r="X64" s="1">
        <v>84.347999999999999</v>
      </c>
      <c r="Y64" s="1">
        <v>76.303599999999989</v>
      </c>
      <c r="Z64" s="1">
        <v>43.255000000000003</v>
      </c>
      <c r="AA64" s="1">
        <v>91.377800000000008</v>
      </c>
      <c r="AB64" s="1">
        <v>47.8</v>
      </c>
      <c r="AC64" s="1">
        <v>53.552799999999998</v>
      </c>
      <c r="AD64" s="1"/>
      <c r="AE64" s="1">
        <f t="shared" si="7"/>
        <v>335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110</v>
      </c>
      <c r="B65" s="1" t="s">
        <v>33</v>
      </c>
      <c r="C65" s="1">
        <v>72</v>
      </c>
      <c r="D65" s="1">
        <v>82</v>
      </c>
      <c r="E65" s="1">
        <v>28</v>
      </c>
      <c r="F65" s="1">
        <v>118</v>
      </c>
      <c r="G65" s="7">
        <v>0.35</v>
      </c>
      <c r="H65" s="1">
        <v>50</v>
      </c>
      <c r="I65" s="1" t="s">
        <v>34</v>
      </c>
      <c r="J65" s="1"/>
      <c r="K65" s="1">
        <v>31</v>
      </c>
      <c r="L65" s="1">
        <f t="shared" si="8"/>
        <v>-3</v>
      </c>
      <c r="M65" s="1"/>
      <c r="N65" s="1"/>
      <c r="O65" s="1"/>
      <c r="P65" s="1">
        <f t="shared" si="9"/>
        <v>5.6</v>
      </c>
      <c r="Q65" s="5"/>
      <c r="R65" s="5">
        <f t="shared" si="6"/>
        <v>0</v>
      </c>
      <c r="S65" s="19"/>
      <c r="T65" s="1">
        <f t="shared" si="10"/>
        <v>21.071428571428573</v>
      </c>
      <c r="U65" s="1">
        <f t="shared" si="11"/>
        <v>21.071428571428573</v>
      </c>
      <c r="V65" s="1">
        <v>10.199999999999999</v>
      </c>
      <c r="W65" s="1">
        <v>9.6</v>
      </c>
      <c r="X65" s="1">
        <v>12.6</v>
      </c>
      <c r="Y65" s="1">
        <v>10.6</v>
      </c>
      <c r="Z65" s="1">
        <v>13.4</v>
      </c>
      <c r="AA65" s="1">
        <v>9.6</v>
      </c>
      <c r="AB65" s="1">
        <v>2</v>
      </c>
      <c r="AC65" s="1">
        <v>7.2</v>
      </c>
      <c r="AD65" s="15" t="s">
        <v>46</v>
      </c>
      <c r="AE65" s="1">
        <f t="shared" si="7"/>
        <v>0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111</v>
      </c>
      <c r="B66" s="1" t="s">
        <v>37</v>
      </c>
      <c r="C66" s="1">
        <v>127.56699999999999</v>
      </c>
      <c r="D66" s="1">
        <v>31.074999999999999</v>
      </c>
      <c r="E66" s="1">
        <v>29.032</v>
      </c>
      <c r="F66" s="1">
        <v>90.683000000000007</v>
      </c>
      <c r="G66" s="7">
        <v>1</v>
      </c>
      <c r="H66" s="1">
        <v>50</v>
      </c>
      <c r="I66" s="1" t="s">
        <v>34</v>
      </c>
      <c r="J66" s="1"/>
      <c r="K66" s="1">
        <v>37.5</v>
      </c>
      <c r="L66" s="1">
        <f t="shared" si="8"/>
        <v>-8.468</v>
      </c>
      <c r="M66" s="1"/>
      <c r="N66" s="1"/>
      <c r="O66" s="1"/>
      <c r="P66" s="1">
        <f t="shared" si="9"/>
        <v>5.8064</v>
      </c>
      <c r="Q66" s="5"/>
      <c r="R66" s="5">
        <f t="shared" si="6"/>
        <v>0</v>
      </c>
      <c r="S66" s="19"/>
      <c r="T66" s="1">
        <f t="shared" si="10"/>
        <v>15.6177666023698</v>
      </c>
      <c r="U66" s="1">
        <f t="shared" si="11"/>
        <v>15.6177666023698</v>
      </c>
      <c r="V66" s="1">
        <v>5.6052</v>
      </c>
      <c r="W66" s="1">
        <v>12.7126</v>
      </c>
      <c r="X66" s="1">
        <v>15.461600000000001</v>
      </c>
      <c r="Y66" s="1">
        <v>11.281599999999999</v>
      </c>
      <c r="Z66" s="1">
        <v>18.711600000000001</v>
      </c>
      <c r="AA66" s="1">
        <v>16.959199999999999</v>
      </c>
      <c r="AB66" s="1">
        <v>4.923</v>
      </c>
      <c r="AC66" s="1">
        <v>14.2194</v>
      </c>
      <c r="AD66" s="9" t="s">
        <v>46</v>
      </c>
      <c r="AE66" s="1">
        <f t="shared" si="7"/>
        <v>0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112</v>
      </c>
      <c r="B67" s="1" t="s">
        <v>33</v>
      </c>
      <c r="C67" s="1">
        <v>360</v>
      </c>
      <c r="D67" s="1">
        <v>230</v>
      </c>
      <c r="E67" s="1">
        <v>244</v>
      </c>
      <c r="F67" s="1">
        <v>304</v>
      </c>
      <c r="G67" s="7">
        <v>0.41</v>
      </c>
      <c r="H67" s="1">
        <v>50</v>
      </c>
      <c r="I67" s="1" t="s">
        <v>34</v>
      </c>
      <c r="J67" s="1"/>
      <c r="K67" s="1">
        <v>287</v>
      </c>
      <c r="L67" s="1">
        <f t="shared" si="8"/>
        <v>-43</v>
      </c>
      <c r="M67" s="1"/>
      <c r="N67" s="1"/>
      <c r="O67" s="1"/>
      <c r="P67" s="1">
        <f t="shared" si="9"/>
        <v>48.8</v>
      </c>
      <c r="Q67" s="5">
        <f>15*P67-F67</f>
        <v>428</v>
      </c>
      <c r="R67" s="5">
        <f t="shared" si="6"/>
        <v>428</v>
      </c>
      <c r="S67" s="19"/>
      <c r="T67" s="1">
        <f t="shared" si="10"/>
        <v>15</v>
      </c>
      <c r="U67" s="1">
        <f t="shared" si="11"/>
        <v>6.2295081967213122</v>
      </c>
      <c r="V67" s="1">
        <v>35.200000000000003</v>
      </c>
      <c r="W67" s="1">
        <v>51.4</v>
      </c>
      <c r="X67" s="1">
        <v>56.6</v>
      </c>
      <c r="Y67" s="1">
        <v>45.8</v>
      </c>
      <c r="Z67" s="1">
        <v>48.4</v>
      </c>
      <c r="AA67" s="1">
        <v>49.8</v>
      </c>
      <c r="AB67" s="1">
        <v>38.6</v>
      </c>
      <c r="AC67" s="1">
        <v>32.799999999999997</v>
      </c>
      <c r="AD67" s="1"/>
      <c r="AE67" s="1">
        <f t="shared" si="7"/>
        <v>175.48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113</v>
      </c>
      <c r="B68" s="1" t="s">
        <v>37</v>
      </c>
      <c r="C68" s="1">
        <v>208.89</v>
      </c>
      <c r="D68" s="1">
        <v>225.30799999999999</v>
      </c>
      <c r="E68" s="1">
        <v>72.504999999999995</v>
      </c>
      <c r="F68" s="1">
        <v>267.33999999999997</v>
      </c>
      <c r="G68" s="7">
        <v>1</v>
      </c>
      <c r="H68" s="1">
        <v>50</v>
      </c>
      <c r="I68" s="1" t="s">
        <v>34</v>
      </c>
      <c r="J68" s="1"/>
      <c r="K68" s="1">
        <v>74.8</v>
      </c>
      <c r="L68" s="1">
        <f t="shared" si="8"/>
        <v>-2.2950000000000017</v>
      </c>
      <c r="M68" s="1"/>
      <c r="N68" s="1"/>
      <c r="O68" s="1"/>
      <c r="P68" s="1">
        <f t="shared" si="9"/>
        <v>14.500999999999999</v>
      </c>
      <c r="Q68" s="5"/>
      <c r="R68" s="5">
        <f t="shared" si="6"/>
        <v>0</v>
      </c>
      <c r="S68" s="19"/>
      <c r="T68" s="1">
        <f t="shared" si="10"/>
        <v>18.435969933108062</v>
      </c>
      <c r="U68" s="1">
        <f t="shared" si="11"/>
        <v>18.435969933108062</v>
      </c>
      <c r="V68" s="1">
        <v>26.771000000000001</v>
      </c>
      <c r="W68" s="1">
        <v>37.538600000000002</v>
      </c>
      <c r="X68" s="1">
        <v>40.284599999999998</v>
      </c>
      <c r="Y68" s="1">
        <v>27.845199999999998</v>
      </c>
      <c r="Z68" s="1">
        <v>4.649</v>
      </c>
      <c r="AA68" s="1">
        <v>35.567799999999998</v>
      </c>
      <c r="AB68" s="1">
        <v>11.6974</v>
      </c>
      <c r="AC68" s="1">
        <v>17.921199999999999</v>
      </c>
      <c r="AD68" s="1"/>
      <c r="AE68" s="1">
        <f t="shared" si="7"/>
        <v>0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114</v>
      </c>
      <c r="B69" s="1" t="s">
        <v>33</v>
      </c>
      <c r="C69" s="1">
        <v>148</v>
      </c>
      <c r="D69" s="1">
        <v>12</v>
      </c>
      <c r="E69" s="1">
        <v>63</v>
      </c>
      <c r="F69" s="1">
        <v>69</v>
      </c>
      <c r="G69" s="7">
        <v>0.3</v>
      </c>
      <c r="H69" s="1">
        <v>50</v>
      </c>
      <c r="I69" s="1" t="s">
        <v>34</v>
      </c>
      <c r="J69" s="1"/>
      <c r="K69" s="1">
        <v>77</v>
      </c>
      <c r="L69" s="1">
        <f t="shared" si="8"/>
        <v>-14</v>
      </c>
      <c r="M69" s="1"/>
      <c r="N69" s="1"/>
      <c r="O69" s="1"/>
      <c r="P69" s="1">
        <f t="shared" si="9"/>
        <v>12.6</v>
      </c>
      <c r="Q69" s="5">
        <f t="shared" ref="Q69:Q81" si="13">15*P69-F69</f>
        <v>120</v>
      </c>
      <c r="R69" s="5">
        <f t="shared" si="6"/>
        <v>120</v>
      </c>
      <c r="S69" s="19"/>
      <c r="T69" s="1">
        <f t="shared" si="10"/>
        <v>15</v>
      </c>
      <c r="U69" s="1">
        <f t="shared" si="11"/>
        <v>5.4761904761904763</v>
      </c>
      <c r="V69" s="1">
        <v>11.4</v>
      </c>
      <c r="W69" s="1">
        <v>12.4</v>
      </c>
      <c r="X69" s="1">
        <v>19.2</v>
      </c>
      <c r="Y69" s="1">
        <v>19.600000000000001</v>
      </c>
      <c r="Z69" s="1">
        <v>25.4</v>
      </c>
      <c r="AA69" s="1">
        <v>23.8</v>
      </c>
      <c r="AB69" s="1">
        <v>18.600000000000001</v>
      </c>
      <c r="AC69" s="1">
        <v>11.6</v>
      </c>
      <c r="AD69" s="1"/>
      <c r="AE69" s="1">
        <f t="shared" si="7"/>
        <v>36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115</v>
      </c>
      <c r="B70" s="1" t="s">
        <v>33</v>
      </c>
      <c r="C70" s="1">
        <v>155</v>
      </c>
      <c r="D70" s="1">
        <v>820</v>
      </c>
      <c r="E70" s="1">
        <v>279</v>
      </c>
      <c r="F70" s="1">
        <v>487</v>
      </c>
      <c r="G70" s="7">
        <v>0.18</v>
      </c>
      <c r="H70" s="1">
        <v>50</v>
      </c>
      <c r="I70" s="1" t="s">
        <v>34</v>
      </c>
      <c r="J70" s="1"/>
      <c r="K70" s="1">
        <v>478</v>
      </c>
      <c r="L70" s="1">
        <f t="shared" ref="L70:L100" si="14">E70-K70</f>
        <v>-199</v>
      </c>
      <c r="M70" s="1"/>
      <c r="N70" s="1"/>
      <c r="O70" s="1"/>
      <c r="P70" s="1">
        <f t="shared" ref="P70:P105" si="15">E70/5</f>
        <v>55.8</v>
      </c>
      <c r="Q70" s="5">
        <f t="shared" si="13"/>
        <v>350</v>
      </c>
      <c r="R70" s="5">
        <f t="shared" si="6"/>
        <v>350</v>
      </c>
      <c r="S70" s="19"/>
      <c r="T70" s="1">
        <f t="shared" ref="T70:T101" si="16">(F70+Q70)/P70</f>
        <v>15</v>
      </c>
      <c r="U70" s="1">
        <f t="shared" ref="U70:U105" si="17">F70/P70</f>
        <v>8.7275985663082434</v>
      </c>
      <c r="V70" s="1">
        <v>40.6</v>
      </c>
      <c r="W70" s="1">
        <v>79.400000000000006</v>
      </c>
      <c r="X70" s="1">
        <v>54.4</v>
      </c>
      <c r="Y70" s="1">
        <v>59.4</v>
      </c>
      <c r="Z70" s="1">
        <v>21.4</v>
      </c>
      <c r="AA70" s="1">
        <v>49.6</v>
      </c>
      <c r="AB70" s="1">
        <v>28</v>
      </c>
      <c r="AC70" s="1">
        <v>35.6</v>
      </c>
      <c r="AD70" s="1"/>
      <c r="AE70" s="1">
        <f t="shared" si="7"/>
        <v>63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116</v>
      </c>
      <c r="B71" s="1" t="s">
        <v>33</v>
      </c>
      <c r="C71" s="1">
        <v>61</v>
      </c>
      <c r="D71" s="1">
        <v>78</v>
      </c>
      <c r="E71" s="1">
        <v>37</v>
      </c>
      <c r="F71" s="1">
        <v>100</v>
      </c>
      <c r="G71" s="7">
        <v>0.84</v>
      </c>
      <c r="H71" s="1">
        <v>50</v>
      </c>
      <c r="I71" s="1" t="s">
        <v>34</v>
      </c>
      <c r="J71" s="1"/>
      <c r="K71" s="1">
        <v>40</v>
      </c>
      <c r="L71" s="1">
        <f t="shared" si="14"/>
        <v>-3</v>
      </c>
      <c r="M71" s="1"/>
      <c r="N71" s="1"/>
      <c r="O71" s="1"/>
      <c r="P71" s="1">
        <f t="shared" si="15"/>
        <v>7.4</v>
      </c>
      <c r="Q71" s="5">
        <f t="shared" si="13"/>
        <v>11</v>
      </c>
      <c r="R71" s="5">
        <f t="shared" ref="R71:R107" si="18">ROUND(Q71,0)</f>
        <v>11</v>
      </c>
      <c r="S71" s="19"/>
      <c r="T71" s="1">
        <f t="shared" si="16"/>
        <v>15</v>
      </c>
      <c r="U71" s="1">
        <f t="shared" si="17"/>
        <v>13.513513513513512</v>
      </c>
      <c r="V71" s="1">
        <v>9.6</v>
      </c>
      <c r="W71" s="1">
        <v>11.6</v>
      </c>
      <c r="X71" s="1">
        <v>12.2</v>
      </c>
      <c r="Y71" s="1">
        <v>16</v>
      </c>
      <c r="Z71" s="1">
        <v>4</v>
      </c>
      <c r="AA71" s="1">
        <v>9.4</v>
      </c>
      <c r="AB71" s="1">
        <v>12.6</v>
      </c>
      <c r="AC71" s="1">
        <v>5.6</v>
      </c>
      <c r="AD71" s="1"/>
      <c r="AE71" s="1">
        <f t="shared" ref="AE71:AE106" si="19">G71*R71</f>
        <v>9.24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117</v>
      </c>
      <c r="B72" s="1" t="s">
        <v>33</v>
      </c>
      <c r="C72" s="1">
        <v>425</v>
      </c>
      <c r="D72" s="1">
        <v>928</v>
      </c>
      <c r="E72" s="1">
        <v>367</v>
      </c>
      <c r="F72" s="1">
        <v>791</v>
      </c>
      <c r="G72" s="7">
        <v>0.35</v>
      </c>
      <c r="H72" s="1">
        <v>50</v>
      </c>
      <c r="I72" s="1" t="s">
        <v>34</v>
      </c>
      <c r="J72" s="1"/>
      <c r="K72" s="1">
        <v>430</v>
      </c>
      <c r="L72" s="1">
        <f t="shared" si="14"/>
        <v>-63</v>
      </c>
      <c r="M72" s="1"/>
      <c r="N72" s="1"/>
      <c r="O72" s="1"/>
      <c r="P72" s="1">
        <f t="shared" si="15"/>
        <v>73.400000000000006</v>
      </c>
      <c r="Q72" s="5">
        <f t="shared" si="13"/>
        <v>310</v>
      </c>
      <c r="R72" s="5">
        <f t="shared" si="18"/>
        <v>310</v>
      </c>
      <c r="S72" s="19"/>
      <c r="T72" s="1">
        <f t="shared" si="16"/>
        <v>14.999999999999998</v>
      </c>
      <c r="U72" s="1">
        <f t="shared" si="17"/>
        <v>10.776566757493187</v>
      </c>
      <c r="V72" s="1">
        <v>90</v>
      </c>
      <c r="W72" s="1">
        <v>64.8</v>
      </c>
      <c r="X72" s="1">
        <v>43.8</v>
      </c>
      <c r="Y72" s="1">
        <v>96</v>
      </c>
      <c r="Z72" s="1">
        <v>50.4</v>
      </c>
      <c r="AA72" s="1">
        <v>8.4</v>
      </c>
      <c r="AB72" s="1">
        <v>63.6</v>
      </c>
      <c r="AC72" s="1">
        <v>62.2</v>
      </c>
      <c r="AD72" s="1"/>
      <c r="AE72" s="1">
        <f t="shared" si="19"/>
        <v>108.5</v>
      </c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118</v>
      </c>
      <c r="B73" s="1" t="s">
        <v>37</v>
      </c>
      <c r="C73" s="1">
        <v>187.982</v>
      </c>
      <c r="D73" s="1">
        <v>374.53199999999998</v>
      </c>
      <c r="E73" s="1">
        <v>142.26</v>
      </c>
      <c r="F73" s="1">
        <v>319.97500000000002</v>
      </c>
      <c r="G73" s="7">
        <v>1</v>
      </c>
      <c r="H73" s="1">
        <v>50</v>
      </c>
      <c r="I73" s="1" t="s">
        <v>34</v>
      </c>
      <c r="J73" s="1"/>
      <c r="K73" s="1">
        <v>147.9</v>
      </c>
      <c r="L73" s="1">
        <f t="shared" si="14"/>
        <v>-5.6400000000000148</v>
      </c>
      <c r="M73" s="1"/>
      <c r="N73" s="1"/>
      <c r="O73" s="1"/>
      <c r="P73" s="1">
        <f t="shared" si="15"/>
        <v>28.451999999999998</v>
      </c>
      <c r="Q73" s="5">
        <f t="shared" si="13"/>
        <v>106.80499999999995</v>
      </c>
      <c r="R73" s="5">
        <f t="shared" si="18"/>
        <v>107</v>
      </c>
      <c r="S73" s="19"/>
      <c r="T73" s="1">
        <f t="shared" si="16"/>
        <v>15</v>
      </c>
      <c r="U73" s="1">
        <f t="shared" si="17"/>
        <v>11.246133839448898</v>
      </c>
      <c r="V73" s="1">
        <v>33.644199999999998</v>
      </c>
      <c r="W73" s="1">
        <v>35.037400000000012</v>
      </c>
      <c r="X73" s="1">
        <v>33.808399999999999</v>
      </c>
      <c r="Y73" s="1">
        <v>32.193199999999997</v>
      </c>
      <c r="Z73" s="1">
        <v>26.458200000000001</v>
      </c>
      <c r="AA73" s="1">
        <v>22.396000000000001</v>
      </c>
      <c r="AB73" s="1">
        <v>18.433</v>
      </c>
      <c r="AC73" s="1">
        <v>21.136199999999999</v>
      </c>
      <c r="AD73" s="1"/>
      <c r="AE73" s="1">
        <f t="shared" si="19"/>
        <v>107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119</v>
      </c>
      <c r="B74" s="1" t="s">
        <v>37</v>
      </c>
      <c r="C74" s="1">
        <v>375.15699999999998</v>
      </c>
      <c r="D74" s="1">
        <v>210.38</v>
      </c>
      <c r="E74" s="1">
        <v>153.148</v>
      </c>
      <c r="F74" s="1">
        <v>285.38600000000002</v>
      </c>
      <c r="G74" s="7">
        <v>1</v>
      </c>
      <c r="H74" s="1">
        <v>50</v>
      </c>
      <c r="I74" s="1" t="s">
        <v>34</v>
      </c>
      <c r="J74" s="1"/>
      <c r="K74" s="1">
        <v>163.1</v>
      </c>
      <c r="L74" s="1">
        <f t="shared" si="14"/>
        <v>-9.9519999999999982</v>
      </c>
      <c r="M74" s="1"/>
      <c r="N74" s="1"/>
      <c r="O74" s="1"/>
      <c r="P74" s="1">
        <f t="shared" si="15"/>
        <v>30.6296</v>
      </c>
      <c r="Q74" s="5">
        <f t="shared" si="13"/>
        <v>174.05799999999999</v>
      </c>
      <c r="R74" s="5">
        <f t="shared" si="18"/>
        <v>174</v>
      </c>
      <c r="S74" s="19"/>
      <c r="T74" s="1">
        <f t="shared" si="16"/>
        <v>15</v>
      </c>
      <c r="U74" s="1">
        <f t="shared" si="17"/>
        <v>9.3173270300624242</v>
      </c>
      <c r="V74" s="1">
        <v>26.934999999999999</v>
      </c>
      <c r="W74" s="1">
        <v>48.299799999999998</v>
      </c>
      <c r="X74" s="1">
        <v>57.070000000000007</v>
      </c>
      <c r="Y74" s="1">
        <v>45.7622</v>
      </c>
      <c r="Z74" s="1">
        <v>39.1586</v>
      </c>
      <c r="AA74" s="1">
        <v>45.9664</v>
      </c>
      <c r="AB74" s="1">
        <v>34.733800000000002</v>
      </c>
      <c r="AC74" s="1">
        <v>34.683800000000012</v>
      </c>
      <c r="AD74" s="1"/>
      <c r="AE74" s="1">
        <f t="shared" si="19"/>
        <v>174</v>
      </c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120</v>
      </c>
      <c r="B75" s="1" t="s">
        <v>33</v>
      </c>
      <c r="C75" s="1">
        <v>296</v>
      </c>
      <c r="D75" s="1">
        <v>289</v>
      </c>
      <c r="E75" s="1">
        <v>221</v>
      </c>
      <c r="F75" s="1">
        <v>267</v>
      </c>
      <c r="G75" s="7">
        <v>0.35</v>
      </c>
      <c r="H75" s="1">
        <v>50</v>
      </c>
      <c r="I75" s="1" t="s">
        <v>34</v>
      </c>
      <c r="J75" s="1"/>
      <c r="K75" s="1">
        <v>249</v>
      </c>
      <c r="L75" s="1">
        <f t="shared" si="14"/>
        <v>-28</v>
      </c>
      <c r="M75" s="1"/>
      <c r="N75" s="1"/>
      <c r="O75" s="1"/>
      <c r="P75" s="1">
        <f t="shared" si="15"/>
        <v>44.2</v>
      </c>
      <c r="Q75" s="5">
        <f t="shared" si="13"/>
        <v>396</v>
      </c>
      <c r="R75" s="5">
        <f t="shared" si="18"/>
        <v>396</v>
      </c>
      <c r="S75" s="19"/>
      <c r="T75" s="1">
        <f t="shared" si="16"/>
        <v>14.999999999999998</v>
      </c>
      <c r="U75" s="1">
        <f t="shared" si="17"/>
        <v>6.0407239819004523</v>
      </c>
      <c r="V75" s="1">
        <v>39.200000000000003</v>
      </c>
      <c r="W75" s="1">
        <v>50.6</v>
      </c>
      <c r="X75" s="1">
        <v>56.2</v>
      </c>
      <c r="Y75" s="1">
        <v>35.6</v>
      </c>
      <c r="Z75" s="1">
        <v>12.6</v>
      </c>
      <c r="AA75" s="1">
        <v>53</v>
      </c>
      <c r="AB75" s="1">
        <v>26.6</v>
      </c>
      <c r="AC75" s="1">
        <v>50</v>
      </c>
      <c r="AD75" s="1"/>
      <c r="AE75" s="1">
        <f t="shared" si="19"/>
        <v>138.6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121</v>
      </c>
      <c r="B76" s="1" t="s">
        <v>33</v>
      </c>
      <c r="C76" s="1">
        <v>80</v>
      </c>
      <c r="D76" s="1">
        <v>78</v>
      </c>
      <c r="E76" s="1">
        <v>88</v>
      </c>
      <c r="F76" s="1">
        <v>51</v>
      </c>
      <c r="G76" s="7">
        <v>0.3</v>
      </c>
      <c r="H76" s="1">
        <v>50</v>
      </c>
      <c r="I76" s="1" t="s">
        <v>34</v>
      </c>
      <c r="J76" s="1"/>
      <c r="K76" s="1">
        <v>87</v>
      </c>
      <c r="L76" s="1">
        <f t="shared" si="14"/>
        <v>1</v>
      </c>
      <c r="M76" s="1"/>
      <c r="N76" s="1"/>
      <c r="O76" s="1"/>
      <c r="P76" s="1">
        <f t="shared" si="15"/>
        <v>17.600000000000001</v>
      </c>
      <c r="Q76" s="5">
        <f>13*P76-F76</f>
        <v>177.8</v>
      </c>
      <c r="R76" s="5">
        <f t="shared" si="18"/>
        <v>178</v>
      </c>
      <c r="S76" s="19"/>
      <c r="T76" s="1">
        <f t="shared" si="16"/>
        <v>13</v>
      </c>
      <c r="U76" s="1">
        <f t="shared" si="17"/>
        <v>2.8977272727272725</v>
      </c>
      <c r="V76" s="1">
        <v>9.6</v>
      </c>
      <c r="W76" s="1">
        <v>13.8</v>
      </c>
      <c r="X76" s="1">
        <v>7.4</v>
      </c>
      <c r="Y76" s="1">
        <v>16.8</v>
      </c>
      <c r="Z76" s="1">
        <v>10.199999999999999</v>
      </c>
      <c r="AA76" s="1">
        <v>9.8000000000000007</v>
      </c>
      <c r="AB76" s="1">
        <v>11</v>
      </c>
      <c r="AC76" s="1">
        <v>20.6</v>
      </c>
      <c r="AD76" s="1"/>
      <c r="AE76" s="1">
        <f t="shared" si="19"/>
        <v>53.4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122</v>
      </c>
      <c r="B77" s="1" t="s">
        <v>33</v>
      </c>
      <c r="C77" s="1">
        <v>34</v>
      </c>
      <c r="D77" s="1">
        <v>184</v>
      </c>
      <c r="E77" s="1">
        <v>78</v>
      </c>
      <c r="F77" s="1">
        <v>119</v>
      </c>
      <c r="G77" s="7">
        <v>0.3</v>
      </c>
      <c r="H77" s="1">
        <v>60</v>
      </c>
      <c r="I77" s="1" t="s">
        <v>34</v>
      </c>
      <c r="J77" s="1"/>
      <c r="K77" s="1">
        <v>88</v>
      </c>
      <c r="L77" s="1">
        <f t="shared" si="14"/>
        <v>-10</v>
      </c>
      <c r="M77" s="1"/>
      <c r="N77" s="1"/>
      <c r="O77" s="1"/>
      <c r="P77" s="1">
        <f t="shared" si="15"/>
        <v>15.6</v>
      </c>
      <c r="Q77" s="5">
        <f t="shared" si="13"/>
        <v>115</v>
      </c>
      <c r="R77" s="5">
        <f t="shared" si="18"/>
        <v>115</v>
      </c>
      <c r="S77" s="19"/>
      <c r="T77" s="1">
        <f t="shared" si="16"/>
        <v>15</v>
      </c>
      <c r="U77" s="1">
        <f t="shared" si="17"/>
        <v>7.6282051282051286</v>
      </c>
      <c r="V77" s="1">
        <v>14.8</v>
      </c>
      <c r="W77" s="1">
        <v>13.4</v>
      </c>
      <c r="X77" s="1">
        <v>6.6</v>
      </c>
      <c r="Y77" s="1">
        <v>13.6</v>
      </c>
      <c r="Z77" s="1">
        <v>13.8</v>
      </c>
      <c r="AA77" s="1">
        <v>9.1999999999999993</v>
      </c>
      <c r="AB77" s="1">
        <v>12.6</v>
      </c>
      <c r="AC77" s="1">
        <v>6.6</v>
      </c>
      <c r="AD77" s="1"/>
      <c r="AE77" s="1">
        <f t="shared" si="19"/>
        <v>34.5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123</v>
      </c>
      <c r="B78" s="1" t="s">
        <v>33</v>
      </c>
      <c r="C78" s="1">
        <v>263</v>
      </c>
      <c r="D78" s="1">
        <v>209</v>
      </c>
      <c r="E78" s="1">
        <v>139</v>
      </c>
      <c r="F78" s="1">
        <v>300</v>
      </c>
      <c r="G78" s="7">
        <v>0.28000000000000003</v>
      </c>
      <c r="H78" s="1">
        <v>50</v>
      </c>
      <c r="I78" s="1" t="s">
        <v>34</v>
      </c>
      <c r="J78" s="1"/>
      <c r="K78" s="1">
        <v>154</v>
      </c>
      <c r="L78" s="1">
        <f t="shared" si="14"/>
        <v>-15</v>
      </c>
      <c r="M78" s="1"/>
      <c r="N78" s="1"/>
      <c r="O78" s="1"/>
      <c r="P78" s="1">
        <f t="shared" si="15"/>
        <v>27.8</v>
      </c>
      <c r="Q78" s="5">
        <f t="shared" si="13"/>
        <v>117</v>
      </c>
      <c r="R78" s="5">
        <f t="shared" si="18"/>
        <v>117</v>
      </c>
      <c r="S78" s="19"/>
      <c r="T78" s="1">
        <f t="shared" si="16"/>
        <v>15</v>
      </c>
      <c r="U78" s="1">
        <f t="shared" si="17"/>
        <v>10.791366906474821</v>
      </c>
      <c r="V78" s="1">
        <v>31.2</v>
      </c>
      <c r="W78" s="1">
        <v>27.4</v>
      </c>
      <c r="X78" s="1">
        <v>42.8</v>
      </c>
      <c r="Y78" s="1">
        <v>29.6</v>
      </c>
      <c r="Z78" s="1">
        <v>22</v>
      </c>
      <c r="AA78" s="1">
        <v>32</v>
      </c>
      <c r="AB78" s="1">
        <v>20</v>
      </c>
      <c r="AC78" s="1">
        <v>39.799999999999997</v>
      </c>
      <c r="AD78" s="1"/>
      <c r="AE78" s="1">
        <f t="shared" si="19"/>
        <v>32.760000000000005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124</v>
      </c>
      <c r="B79" s="1" t="s">
        <v>33</v>
      </c>
      <c r="C79" s="1">
        <v>86</v>
      </c>
      <c r="D79" s="1">
        <v>432</v>
      </c>
      <c r="E79" s="1">
        <v>190</v>
      </c>
      <c r="F79" s="1">
        <v>286</v>
      </c>
      <c r="G79" s="7">
        <v>0.28000000000000003</v>
      </c>
      <c r="H79" s="1">
        <v>45</v>
      </c>
      <c r="I79" s="1" t="s">
        <v>34</v>
      </c>
      <c r="J79" s="1"/>
      <c r="K79" s="1">
        <v>206</v>
      </c>
      <c r="L79" s="1">
        <f t="shared" si="14"/>
        <v>-16</v>
      </c>
      <c r="M79" s="1"/>
      <c r="N79" s="1"/>
      <c r="O79" s="1"/>
      <c r="P79" s="1">
        <f t="shared" si="15"/>
        <v>38</v>
      </c>
      <c r="Q79" s="5">
        <f t="shared" si="13"/>
        <v>284</v>
      </c>
      <c r="R79" s="5">
        <f t="shared" si="18"/>
        <v>284</v>
      </c>
      <c r="S79" s="19"/>
      <c r="T79" s="1">
        <f t="shared" si="16"/>
        <v>15</v>
      </c>
      <c r="U79" s="1">
        <f t="shared" si="17"/>
        <v>7.5263157894736841</v>
      </c>
      <c r="V79" s="1">
        <v>34.4</v>
      </c>
      <c r="W79" s="1">
        <v>35.6</v>
      </c>
      <c r="X79" s="1">
        <v>30.2</v>
      </c>
      <c r="Y79" s="1">
        <v>39.799999999999997</v>
      </c>
      <c r="Z79" s="1">
        <v>29</v>
      </c>
      <c r="AA79" s="1">
        <v>27.6</v>
      </c>
      <c r="AB79" s="1">
        <v>32.799999999999997</v>
      </c>
      <c r="AC79" s="1">
        <v>44.6</v>
      </c>
      <c r="AD79" s="1"/>
      <c r="AE79" s="1">
        <f t="shared" si="19"/>
        <v>79.52000000000001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125</v>
      </c>
      <c r="B80" s="1" t="s">
        <v>33</v>
      </c>
      <c r="C80" s="1">
        <v>4</v>
      </c>
      <c r="D80" s="1">
        <v>145</v>
      </c>
      <c r="E80" s="1">
        <v>90</v>
      </c>
      <c r="F80" s="1">
        <v>49</v>
      </c>
      <c r="G80" s="7">
        <v>0.28000000000000003</v>
      </c>
      <c r="H80" s="1">
        <v>45</v>
      </c>
      <c r="I80" s="1" t="s">
        <v>34</v>
      </c>
      <c r="J80" s="1"/>
      <c r="K80" s="1">
        <v>97</v>
      </c>
      <c r="L80" s="1">
        <f t="shared" si="14"/>
        <v>-7</v>
      </c>
      <c r="M80" s="1"/>
      <c r="N80" s="1"/>
      <c r="O80" s="1"/>
      <c r="P80" s="1">
        <f t="shared" si="15"/>
        <v>18</v>
      </c>
      <c r="Q80" s="5">
        <f>13*P80-F80</f>
        <v>185</v>
      </c>
      <c r="R80" s="5">
        <f t="shared" si="18"/>
        <v>185</v>
      </c>
      <c r="S80" s="19"/>
      <c r="T80" s="1">
        <f t="shared" si="16"/>
        <v>13</v>
      </c>
      <c r="U80" s="1">
        <f t="shared" si="17"/>
        <v>2.7222222222222223</v>
      </c>
      <c r="V80" s="1">
        <v>12.2</v>
      </c>
      <c r="W80" s="1">
        <v>21.2</v>
      </c>
      <c r="X80" s="1">
        <v>12</v>
      </c>
      <c r="Y80" s="1">
        <v>14.4</v>
      </c>
      <c r="Z80" s="1">
        <v>0</v>
      </c>
      <c r="AA80" s="1">
        <v>-0.2</v>
      </c>
      <c r="AB80" s="1">
        <v>22.8</v>
      </c>
      <c r="AC80" s="1">
        <v>9.1999999999999993</v>
      </c>
      <c r="AD80" s="1"/>
      <c r="AE80" s="1">
        <f t="shared" si="19"/>
        <v>51.800000000000004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126</v>
      </c>
      <c r="B81" s="1" t="s">
        <v>33</v>
      </c>
      <c r="C81" s="1">
        <v>354</v>
      </c>
      <c r="D81" s="1">
        <v>659</v>
      </c>
      <c r="E81" s="1">
        <v>362</v>
      </c>
      <c r="F81" s="1">
        <v>512</v>
      </c>
      <c r="G81" s="7">
        <v>0.28000000000000003</v>
      </c>
      <c r="H81" s="1">
        <v>45</v>
      </c>
      <c r="I81" s="1" t="s">
        <v>34</v>
      </c>
      <c r="J81" s="1"/>
      <c r="K81" s="1">
        <v>448</v>
      </c>
      <c r="L81" s="1">
        <f t="shared" si="14"/>
        <v>-86</v>
      </c>
      <c r="M81" s="1"/>
      <c r="N81" s="1"/>
      <c r="O81" s="1"/>
      <c r="P81" s="1">
        <f t="shared" si="15"/>
        <v>72.400000000000006</v>
      </c>
      <c r="Q81" s="5">
        <f t="shared" si="13"/>
        <v>574</v>
      </c>
      <c r="R81" s="5">
        <f t="shared" si="18"/>
        <v>574</v>
      </c>
      <c r="S81" s="19"/>
      <c r="T81" s="1">
        <f t="shared" si="16"/>
        <v>14.999999999999998</v>
      </c>
      <c r="U81" s="1">
        <f t="shared" si="17"/>
        <v>7.0718232044198892</v>
      </c>
      <c r="V81" s="1">
        <v>66.8</v>
      </c>
      <c r="W81" s="1">
        <v>49.4</v>
      </c>
      <c r="X81" s="1">
        <v>83</v>
      </c>
      <c r="Y81" s="1">
        <v>47.2</v>
      </c>
      <c r="Z81" s="1">
        <v>55.6</v>
      </c>
      <c r="AA81" s="1">
        <v>58.2</v>
      </c>
      <c r="AB81" s="1">
        <v>41.8</v>
      </c>
      <c r="AC81" s="1">
        <v>42</v>
      </c>
      <c r="AD81" s="1"/>
      <c r="AE81" s="1">
        <f t="shared" si="19"/>
        <v>160.72000000000003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127</v>
      </c>
      <c r="B82" s="1" t="s">
        <v>33</v>
      </c>
      <c r="C82" s="1">
        <v>266</v>
      </c>
      <c r="D82" s="1">
        <v>54</v>
      </c>
      <c r="E82" s="1">
        <v>187</v>
      </c>
      <c r="F82" s="1">
        <v>48</v>
      </c>
      <c r="G82" s="7">
        <v>0.4</v>
      </c>
      <c r="H82" s="1">
        <v>50</v>
      </c>
      <c r="I82" s="1" t="s">
        <v>34</v>
      </c>
      <c r="J82" s="1"/>
      <c r="K82" s="1">
        <v>222</v>
      </c>
      <c r="L82" s="1">
        <f t="shared" si="14"/>
        <v>-35</v>
      </c>
      <c r="M82" s="1"/>
      <c r="N82" s="1"/>
      <c r="O82" s="1"/>
      <c r="P82" s="1">
        <f t="shared" si="15"/>
        <v>37.4</v>
      </c>
      <c r="Q82" s="5">
        <f>11*P82-F82</f>
        <v>363.4</v>
      </c>
      <c r="R82" s="5">
        <f t="shared" si="18"/>
        <v>363</v>
      </c>
      <c r="S82" s="19"/>
      <c r="T82" s="1">
        <f t="shared" si="16"/>
        <v>11</v>
      </c>
      <c r="U82" s="1">
        <f t="shared" si="17"/>
        <v>1.2834224598930482</v>
      </c>
      <c r="V82" s="1">
        <v>28.2</v>
      </c>
      <c r="W82" s="1">
        <v>30.4</v>
      </c>
      <c r="X82" s="1">
        <v>43.6</v>
      </c>
      <c r="Y82" s="1">
        <v>34.200000000000003</v>
      </c>
      <c r="Z82" s="1">
        <v>31.2</v>
      </c>
      <c r="AA82" s="1">
        <v>22.6</v>
      </c>
      <c r="AB82" s="1">
        <v>33.799999999999997</v>
      </c>
      <c r="AC82" s="1">
        <v>35.6</v>
      </c>
      <c r="AD82" s="1"/>
      <c r="AE82" s="1">
        <f t="shared" si="19"/>
        <v>145.20000000000002</v>
      </c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1" t="s">
        <v>128</v>
      </c>
      <c r="B83" s="11" t="s">
        <v>37</v>
      </c>
      <c r="C83" s="11">
        <v>26.774999999999999</v>
      </c>
      <c r="D83" s="11"/>
      <c r="E83" s="11">
        <v>25.234999999999999</v>
      </c>
      <c r="F83" s="11">
        <v>-3.5999999999999997E-2</v>
      </c>
      <c r="G83" s="12">
        <v>0</v>
      </c>
      <c r="H83" s="11"/>
      <c r="I83" s="11" t="s">
        <v>56</v>
      </c>
      <c r="J83" s="11"/>
      <c r="K83" s="11">
        <v>37.5</v>
      </c>
      <c r="L83" s="11">
        <f t="shared" si="14"/>
        <v>-12.265000000000001</v>
      </c>
      <c r="M83" s="11"/>
      <c r="N83" s="11"/>
      <c r="O83" s="11"/>
      <c r="P83" s="11">
        <f t="shared" si="15"/>
        <v>5.0469999999999997</v>
      </c>
      <c r="Q83" s="13"/>
      <c r="R83" s="5">
        <f t="shared" si="18"/>
        <v>0</v>
      </c>
      <c r="S83" s="20"/>
      <c r="T83" s="11">
        <f t="shared" si="16"/>
        <v>-7.1329502674856351E-3</v>
      </c>
      <c r="U83" s="11">
        <f t="shared" si="17"/>
        <v>-7.1329502674856351E-3</v>
      </c>
      <c r="V83" s="11">
        <v>14.8268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 t="s">
        <v>129</v>
      </c>
      <c r="AE83" s="1">
        <f t="shared" si="19"/>
        <v>0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1" t="s">
        <v>130</v>
      </c>
      <c r="B84" s="11" t="s">
        <v>33</v>
      </c>
      <c r="C84" s="11">
        <v>98</v>
      </c>
      <c r="D84" s="11"/>
      <c r="E84" s="11">
        <v>31</v>
      </c>
      <c r="F84" s="11">
        <v>61</v>
      </c>
      <c r="G84" s="12">
        <v>0</v>
      </c>
      <c r="H84" s="11">
        <v>50</v>
      </c>
      <c r="I84" s="11" t="s">
        <v>56</v>
      </c>
      <c r="J84" s="11"/>
      <c r="K84" s="11">
        <v>28</v>
      </c>
      <c r="L84" s="11">
        <f t="shared" si="14"/>
        <v>3</v>
      </c>
      <c r="M84" s="11"/>
      <c r="N84" s="11"/>
      <c r="O84" s="11"/>
      <c r="P84" s="11">
        <f t="shared" si="15"/>
        <v>6.2</v>
      </c>
      <c r="Q84" s="13"/>
      <c r="R84" s="5">
        <f t="shared" si="18"/>
        <v>0</v>
      </c>
      <c r="S84" s="20"/>
      <c r="T84" s="11">
        <f t="shared" si="16"/>
        <v>9.8387096774193541</v>
      </c>
      <c r="U84" s="11">
        <f t="shared" si="17"/>
        <v>9.8387096774193541</v>
      </c>
      <c r="V84" s="11">
        <v>3.4</v>
      </c>
      <c r="W84" s="11">
        <v>2.8</v>
      </c>
      <c r="X84" s="11">
        <v>7.6</v>
      </c>
      <c r="Y84" s="11">
        <v>3.6</v>
      </c>
      <c r="Z84" s="11">
        <v>5.4</v>
      </c>
      <c r="AA84" s="11">
        <v>8</v>
      </c>
      <c r="AB84" s="11">
        <v>7.8</v>
      </c>
      <c r="AC84" s="11">
        <v>2.2000000000000002</v>
      </c>
      <c r="AD84" s="15" t="s">
        <v>46</v>
      </c>
      <c r="AE84" s="1">
        <f t="shared" si="19"/>
        <v>0</v>
      </c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131</v>
      </c>
      <c r="B85" s="1" t="s">
        <v>33</v>
      </c>
      <c r="C85" s="1">
        <v>50</v>
      </c>
      <c r="D85" s="1">
        <v>68</v>
      </c>
      <c r="E85" s="1">
        <v>17</v>
      </c>
      <c r="F85" s="1">
        <v>62</v>
      </c>
      <c r="G85" s="7">
        <v>0.33</v>
      </c>
      <c r="H85" s="1">
        <v>30</v>
      </c>
      <c r="I85" s="1" t="s">
        <v>34</v>
      </c>
      <c r="J85" s="1"/>
      <c r="K85" s="1">
        <v>37</v>
      </c>
      <c r="L85" s="1">
        <f t="shared" si="14"/>
        <v>-20</v>
      </c>
      <c r="M85" s="1"/>
      <c r="N85" s="1"/>
      <c r="O85" s="1"/>
      <c r="P85" s="1">
        <f t="shared" si="15"/>
        <v>3.4</v>
      </c>
      <c r="Q85" s="5"/>
      <c r="R85" s="5">
        <f t="shared" si="18"/>
        <v>0</v>
      </c>
      <c r="S85" s="19"/>
      <c r="T85" s="1">
        <f t="shared" si="16"/>
        <v>18.235294117647058</v>
      </c>
      <c r="U85" s="1">
        <f t="shared" si="17"/>
        <v>18.235294117647058</v>
      </c>
      <c r="V85" s="1">
        <v>10.4</v>
      </c>
      <c r="W85" s="1">
        <v>6.2</v>
      </c>
      <c r="X85" s="1">
        <v>6.4</v>
      </c>
      <c r="Y85" s="1">
        <v>4.4000000000000004</v>
      </c>
      <c r="Z85" s="1">
        <v>10.4</v>
      </c>
      <c r="AA85" s="1">
        <v>10.6</v>
      </c>
      <c r="AB85" s="1">
        <v>4.5999999999999996</v>
      </c>
      <c r="AC85" s="1">
        <v>7.2</v>
      </c>
      <c r="AD85" s="1"/>
      <c r="AE85" s="1">
        <f t="shared" si="19"/>
        <v>0</v>
      </c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1" t="s">
        <v>132</v>
      </c>
      <c r="B86" s="11" t="s">
        <v>33</v>
      </c>
      <c r="C86" s="11">
        <v>37</v>
      </c>
      <c r="D86" s="11"/>
      <c r="E86" s="17">
        <v>32</v>
      </c>
      <c r="F86" s="17">
        <v>-2</v>
      </c>
      <c r="G86" s="12">
        <v>0</v>
      </c>
      <c r="H86" s="11">
        <v>60</v>
      </c>
      <c r="I86" s="11" t="s">
        <v>56</v>
      </c>
      <c r="J86" s="11" t="s">
        <v>133</v>
      </c>
      <c r="K86" s="11">
        <v>33</v>
      </c>
      <c r="L86" s="11">
        <f t="shared" si="14"/>
        <v>-1</v>
      </c>
      <c r="M86" s="11"/>
      <c r="N86" s="11"/>
      <c r="O86" s="11"/>
      <c r="P86" s="11">
        <f t="shared" si="15"/>
        <v>6.4</v>
      </c>
      <c r="Q86" s="13"/>
      <c r="R86" s="5">
        <f t="shared" si="18"/>
        <v>0</v>
      </c>
      <c r="S86" s="20"/>
      <c r="T86" s="11">
        <f t="shared" si="16"/>
        <v>-0.3125</v>
      </c>
      <c r="U86" s="11">
        <f t="shared" si="17"/>
        <v>-0.3125</v>
      </c>
      <c r="V86" s="11">
        <v>5.2</v>
      </c>
      <c r="W86" s="11">
        <v>6.2</v>
      </c>
      <c r="X86" s="11">
        <v>8</v>
      </c>
      <c r="Y86" s="11">
        <v>6</v>
      </c>
      <c r="Z86" s="11">
        <v>12.4</v>
      </c>
      <c r="AA86" s="11">
        <v>7.2</v>
      </c>
      <c r="AB86" s="11">
        <v>8.1999999999999993</v>
      </c>
      <c r="AC86" s="11">
        <v>8.8000000000000007</v>
      </c>
      <c r="AD86" s="11" t="s">
        <v>134</v>
      </c>
      <c r="AE86" s="1">
        <f t="shared" si="19"/>
        <v>0</v>
      </c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135</v>
      </c>
      <c r="B87" s="1" t="s">
        <v>37</v>
      </c>
      <c r="C87" s="1"/>
      <c r="D87" s="1">
        <v>100.41</v>
      </c>
      <c r="E87" s="1">
        <v>47.838000000000001</v>
      </c>
      <c r="F87" s="1">
        <v>46.262</v>
      </c>
      <c r="G87" s="7">
        <v>1</v>
      </c>
      <c r="H87" s="1">
        <v>30</v>
      </c>
      <c r="I87" s="1" t="s">
        <v>34</v>
      </c>
      <c r="J87" s="1"/>
      <c r="K87" s="1">
        <v>45.427999999999997</v>
      </c>
      <c r="L87" s="1">
        <f t="shared" si="14"/>
        <v>2.4100000000000037</v>
      </c>
      <c r="M87" s="1"/>
      <c r="N87" s="1"/>
      <c r="O87" s="1"/>
      <c r="P87" s="1">
        <f t="shared" si="15"/>
        <v>9.5676000000000005</v>
      </c>
      <c r="Q87" s="5">
        <f>15*P87-F87</f>
        <v>97.25200000000001</v>
      </c>
      <c r="R87" s="5">
        <f t="shared" si="18"/>
        <v>97</v>
      </c>
      <c r="S87" s="19"/>
      <c r="T87" s="1">
        <f t="shared" si="16"/>
        <v>15</v>
      </c>
      <c r="U87" s="1">
        <f t="shared" si="17"/>
        <v>4.8352773945399052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 t="s">
        <v>136</v>
      </c>
      <c r="AE87" s="1">
        <f t="shared" si="19"/>
        <v>97</v>
      </c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1" t="s">
        <v>137</v>
      </c>
      <c r="B88" s="11" t="s">
        <v>33</v>
      </c>
      <c r="C88" s="11">
        <v>136</v>
      </c>
      <c r="D88" s="11"/>
      <c r="E88" s="11">
        <v>47</v>
      </c>
      <c r="F88" s="11">
        <v>71</v>
      </c>
      <c r="G88" s="12">
        <v>0</v>
      </c>
      <c r="H88" s="11">
        <v>60</v>
      </c>
      <c r="I88" s="11" t="s">
        <v>56</v>
      </c>
      <c r="J88" s="11"/>
      <c r="K88" s="11">
        <v>52</v>
      </c>
      <c r="L88" s="11">
        <f t="shared" si="14"/>
        <v>-5</v>
      </c>
      <c r="M88" s="11"/>
      <c r="N88" s="11"/>
      <c r="O88" s="11"/>
      <c r="P88" s="11">
        <f t="shared" si="15"/>
        <v>9.4</v>
      </c>
      <c r="Q88" s="13"/>
      <c r="R88" s="5">
        <f t="shared" si="18"/>
        <v>0</v>
      </c>
      <c r="S88" s="20"/>
      <c r="T88" s="11">
        <f t="shared" si="16"/>
        <v>7.5531914893617023</v>
      </c>
      <c r="U88" s="11">
        <f t="shared" si="17"/>
        <v>7.5531914893617023</v>
      </c>
      <c r="V88" s="11">
        <v>8.8000000000000007</v>
      </c>
      <c r="W88" s="11">
        <v>6.4</v>
      </c>
      <c r="X88" s="11">
        <v>8.4</v>
      </c>
      <c r="Y88" s="11">
        <v>9.6</v>
      </c>
      <c r="Z88" s="11">
        <v>4.4000000000000004</v>
      </c>
      <c r="AA88" s="11">
        <v>3.2</v>
      </c>
      <c r="AB88" s="11">
        <v>10.4</v>
      </c>
      <c r="AC88" s="11">
        <v>4</v>
      </c>
      <c r="AD88" s="11"/>
      <c r="AE88" s="1">
        <f t="shared" si="19"/>
        <v>0</v>
      </c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138</v>
      </c>
      <c r="B89" s="1" t="s">
        <v>33</v>
      </c>
      <c r="C89" s="1">
        <v>212</v>
      </c>
      <c r="D89" s="1"/>
      <c r="E89" s="1">
        <v>42</v>
      </c>
      <c r="F89" s="1">
        <v>-4</v>
      </c>
      <c r="G89" s="7">
        <v>0.3</v>
      </c>
      <c r="H89" s="1">
        <v>45</v>
      </c>
      <c r="I89" s="1" t="s">
        <v>34</v>
      </c>
      <c r="J89" s="1"/>
      <c r="K89" s="1">
        <v>49</v>
      </c>
      <c r="L89" s="1">
        <f t="shared" si="14"/>
        <v>-7</v>
      </c>
      <c r="M89" s="1"/>
      <c r="N89" s="1"/>
      <c r="O89" s="1"/>
      <c r="P89" s="1">
        <f t="shared" si="15"/>
        <v>8.4</v>
      </c>
      <c r="Q89" s="5">
        <f>9*P89-F89</f>
        <v>79.600000000000009</v>
      </c>
      <c r="R89" s="5">
        <f t="shared" si="18"/>
        <v>80</v>
      </c>
      <c r="S89" s="19"/>
      <c r="T89" s="1">
        <f t="shared" si="16"/>
        <v>9</v>
      </c>
      <c r="U89" s="1">
        <f t="shared" si="17"/>
        <v>-0.47619047619047616</v>
      </c>
      <c r="V89" s="1">
        <v>6</v>
      </c>
      <c r="W89" s="1">
        <v>6.6</v>
      </c>
      <c r="X89" s="1">
        <v>9.1999999999999993</v>
      </c>
      <c r="Y89" s="1">
        <v>15.2</v>
      </c>
      <c r="Z89" s="1">
        <v>19.399999999999999</v>
      </c>
      <c r="AA89" s="1">
        <v>14.4</v>
      </c>
      <c r="AB89" s="1">
        <v>20.6</v>
      </c>
      <c r="AC89" s="1">
        <v>18.8</v>
      </c>
      <c r="AD89" s="1" t="s">
        <v>157</v>
      </c>
      <c r="AE89" s="1">
        <f t="shared" si="19"/>
        <v>24</v>
      </c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139</v>
      </c>
      <c r="B90" s="1" t="s">
        <v>33</v>
      </c>
      <c r="C90" s="1">
        <v>134</v>
      </c>
      <c r="D90" s="1">
        <v>272</v>
      </c>
      <c r="E90" s="1">
        <v>137</v>
      </c>
      <c r="F90" s="1">
        <v>237</v>
      </c>
      <c r="G90" s="7">
        <v>0.12</v>
      </c>
      <c r="H90" s="1">
        <v>60</v>
      </c>
      <c r="I90" s="1" t="s">
        <v>34</v>
      </c>
      <c r="J90" s="1"/>
      <c r="K90" s="1">
        <v>180</v>
      </c>
      <c r="L90" s="1">
        <f t="shared" si="14"/>
        <v>-43</v>
      </c>
      <c r="M90" s="1"/>
      <c r="N90" s="1"/>
      <c r="O90" s="1"/>
      <c r="P90" s="1">
        <f t="shared" si="15"/>
        <v>27.4</v>
      </c>
      <c r="Q90" s="5">
        <f>15*P90-F90</f>
        <v>174</v>
      </c>
      <c r="R90" s="5">
        <f t="shared" si="18"/>
        <v>174</v>
      </c>
      <c r="S90" s="19"/>
      <c r="T90" s="1">
        <f t="shared" si="16"/>
        <v>15</v>
      </c>
      <c r="U90" s="1">
        <f t="shared" si="17"/>
        <v>8.6496350364963508</v>
      </c>
      <c r="V90" s="1">
        <v>27</v>
      </c>
      <c r="W90" s="1">
        <v>17.399999999999999</v>
      </c>
      <c r="X90" s="1">
        <v>24.4</v>
      </c>
      <c r="Y90" s="1">
        <v>19.2</v>
      </c>
      <c r="Z90" s="1">
        <v>23</v>
      </c>
      <c r="AA90" s="1">
        <v>11.6</v>
      </c>
      <c r="AB90" s="1">
        <v>29.6</v>
      </c>
      <c r="AC90" s="1">
        <v>16.8</v>
      </c>
      <c r="AD90" s="1"/>
      <c r="AE90" s="1">
        <f t="shared" si="19"/>
        <v>20.88</v>
      </c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140</v>
      </c>
      <c r="B91" s="1" t="s">
        <v>33</v>
      </c>
      <c r="C91" s="1"/>
      <c r="D91" s="1">
        <v>114</v>
      </c>
      <c r="E91" s="1">
        <v>47</v>
      </c>
      <c r="F91" s="1">
        <v>44</v>
      </c>
      <c r="G91" s="7">
        <v>0.33</v>
      </c>
      <c r="H91" s="1">
        <v>30</v>
      </c>
      <c r="I91" s="1" t="s">
        <v>34</v>
      </c>
      <c r="J91" s="1"/>
      <c r="K91" s="1">
        <v>69</v>
      </c>
      <c r="L91" s="1">
        <f t="shared" si="14"/>
        <v>-22</v>
      </c>
      <c r="M91" s="1"/>
      <c r="N91" s="1"/>
      <c r="O91" s="1"/>
      <c r="P91" s="1">
        <f t="shared" si="15"/>
        <v>9.4</v>
      </c>
      <c r="Q91" s="5">
        <f>15*P91-F91</f>
        <v>97</v>
      </c>
      <c r="R91" s="5">
        <f t="shared" si="18"/>
        <v>97</v>
      </c>
      <c r="S91" s="19"/>
      <c r="T91" s="1">
        <f t="shared" si="16"/>
        <v>15</v>
      </c>
      <c r="U91" s="1">
        <f t="shared" si="17"/>
        <v>4.6808510638297873</v>
      </c>
      <c r="V91" s="1">
        <v>-1</v>
      </c>
      <c r="W91" s="1">
        <v>-0.8</v>
      </c>
      <c r="X91" s="1">
        <v>2</v>
      </c>
      <c r="Y91" s="1">
        <v>15.6</v>
      </c>
      <c r="Z91" s="1">
        <v>16.399999999999999</v>
      </c>
      <c r="AA91" s="1">
        <v>12.6</v>
      </c>
      <c r="AB91" s="1">
        <v>21.4</v>
      </c>
      <c r="AC91" s="1">
        <v>11.4</v>
      </c>
      <c r="AD91" s="1"/>
      <c r="AE91" s="1">
        <f t="shared" si="19"/>
        <v>32.01</v>
      </c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141</v>
      </c>
      <c r="B92" s="1" t="s">
        <v>33</v>
      </c>
      <c r="C92" s="1">
        <v>148</v>
      </c>
      <c r="D92" s="1">
        <v>201</v>
      </c>
      <c r="E92" s="1">
        <v>66</v>
      </c>
      <c r="F92" s="1">
        <v>273</v>
      </c>
      <c r="G92" s="7">
        <v>0.28000000000000003</v>
      </c>
      <c r="H92" s="1">
        <v>45</v>
      </c>
      <c r="I92" s="1" t="s">
        <v>34</v>
      </c>
      <c r="J92" s="1"/>
      <c r="K92" s="1">
        <v>73</v>
      </c>
      <c r="L92" s="1">
        <f t="shared" si="14"/>
        <v>-7</v>
      </c>
      <c r="M92" s="1"/>
      <c r="N92" s="1"/>
      <c r="O92" s="1"/>
      <c r="P92" s="1">
        <f t="shared" si="15"/>
        <v>13.2</v>
      </c>
      <c r="Q92" s="5"/>
      <c r="R92" s="5">
        <f t="shared" si="18"/>
        <v>0</v>
      </c>
      <c r="S92" s="19"/>
      <c r="T92" s="1">
        <f t="shared" si="16"/>
        <v>20.681818181818183</v>
      </c>
      <c r="U92" s="1">
        <f t="shared" si="17"/>
        <v>20.681818181818183</v>
      </c>
      <c r="V92" s="1">
        <v>15</v>
      </c>
      <c r="W92" s="1">
        <v>28.2</v>
      </c>
      <c r="X92" s="1">
        <v>7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6" t="s">
        <v>35</v>
      </c>
      <c r="AE92" s="1">
        <f t="shared" si="19"/>
        <v>0</v>
      </c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142</v>
      </c>
      <c r="B93" s="1" t="s">
        <v>33</v>
      </c>
      <c r="C93" s="1">
        <v>-1</v>
      </c>
      <c r="D93" s="1">
        <v>354</v>
      </c>
      <c r="E93" s="1">
        <v>98</v>
      </c>
      <c r="F93" s="1">
        <v>202</v>
      </c>
      <c r="G93" s="7">
        <v>0.4</v>
      </c>
      <c r="H93" s="1">
        <v>60</v>
      </c>
      <c r="I93" s="1" t="s">
        <v>34</v>
      </c>
      <c r="J93" s="1"/>
      <c r="K93" s="1">
        <v>225</v>
      </c>
      <c r="L93" s="1">
        <f t="shared" si="14"/>
        <v>-127</v>
      </c>
      <c r="M93" s="1"/>
      <c r="N93" s="1"/>
      <c r="O93" s="1"/>
      <c r="P93" s="1">
        <f t="shared" si="15"/>
        <v>19.600000000000001</v>
      </c>
      <c r="Q93" s="5">
        <f>15*P93-F93</f>
        <v>92</v>
      </c>
      <c r="R93" s="5">
        <f t="shared" si="18"/>
        <v>92</v>
      </c>
      <c r="S93" s="19"/>
      <c r="T93" s="1">
        <f t="shared" si="16"/>
        <v>14.999999999999998</v>
      </c>
      <c r="U93" s="1">
        <f t="shared" si="17"/>
        <v>10.306122448979592</v>
      </c>
      <c r="V93" s="1">
        <v>23.8</v>
      </c>
      <c r="W93" s="1">
        <v>19.399999999999999</v>
      </c>
      <c r="X93" s="1">
        <v>2.4</v>
      </c>
      <c r="Y93" s="1">
        <v>16.8</v>
      </c>
      <c r="Z93" s="1">
        <v>0.2</v>
      </c>
      <c r="AA93" s="1">
        <v>7</v>
      </c>
      <c r="AB93" s="1">
        <v>0</v>
      </c>
      <c r="AC93" s="1">
        <v>2.8</v>
      </c>
      <c r="AD93" s="1"/>
      <c r="AE93" s="1">
        <f t="shared" si="19"/>
        <v>36.800000000000004</v>
      </c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143</v>
      </c>
      <c r="B94" s="1" t="s">
        <v>33</v>
      </c>
      <c r="C94" s="1">
        <v>121</v>
      </c>
      <c r="D94" s="1"/>
      <c r="E94" s="1">
        <v>21</v>
      </c>
      <c r="F94" s="1">
        <v>97</v>
      </c>
      <c r="G94" s="7">
        <v>0.35</v>
      </c>
      <c r="H94" s="1">
        <v>60</v>
      </c>
      <c r="I94" s="1" t="s">
        <v>34</v>
      </c>
      <c r="J94" s="1"/>
      <c r="K94" s="1">
        <v>22</v>
      </c>
      <c r="L94" s="1">
        <f t="shared" si="14"/>
        <v>-1</v>
      </c>
      <c r="M94" s="1"/>
      <c r="N94" s="1"/>
      <c r="O94" s="1"/>
      <c r="P94" s="1">
        <f t="shared" si="15"/>
        <v>4.2</v>
      </c>
      <c r="Q94" s="5"/>
      <c r="R94" s="5">
        <f t="shared" si="18"/>
        <v>0</v>
      </c>
      <c r="S94" s="19"/>
      <c r="T94" s="1">
        <f t="shared" si="16"/>
        <v>23.095238095238095</v>
      </c>
      <c r="U94" s="1">
        <f t="shared" si="17"/>
        <v>23.095238095238095</v>
      </c>
      <c r="V94" s="1">
        <v>8.6</v>
      </c>
      <c r="W94" s="1">
        <v>8.8000000000000007</v>
      </c>
      <c r="X94" s="1">
        <v>3.8</v>
      </c>
      <c r="Y94" s="1">
        <v>3</v>
      </c>
      <c r="Z94" s="1">
        <v>0.4</v>
      </c>
      <c r="AA94" s="1">
        <v>1.8</v>
      </c>
      <c r="AB94" s="1">
        <v>2</v>
      </c>
      <c r="AC94" s="1">
        <v>1.6</v>
      </c>
      <c r="AD94" s="1" t="s">
        <v>144</v>
      </c>
      <c r="AE94" s="1">
        <f t="shared" si="19"/>
        <v>0</v>
      </c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145</v>
      </c>
      <c r="B95" s="1" t="s">
        <v>33</v>
      </c>
      <c r="C95" s="1">
        <v>96</v>
      </c>
      <c r="D95" s="1">
        <v>51</v>
      </c>
      <c r="E95" s="1">
        <v>54</v>
      </c>
      <c r="F95" s="1">
        <v>84</v>
      </c>
      <c r="G95" s="7">
        <v>0.33</v>
      </c>
      <c r="H95" s="1">
        <v>45</v>
      </c>
      <c r="I95" s="1" t="s">
        <v>34</v>
      </c>
      <c r="J95" s="1"/>
      <c r="K95" s="1">
        <v>64</v>
      </c>
      <c r="L95" s="1">
        <f t="shared" si="14"/>
        <v>-10</v>
      </c>
      <c r="M95" s="1"/>
      <c r="N95" s="1"/>
      <c r="O95" s="1"/>
      <c r="P95" s="1">
        <f t="shared" si="15"/>
        <v>10.8</v>
      </c>
      <c r="Q95" s="5">
        <f>15*P95-F95</f>
        <v>78</v>
      </c>
      <c r="R95" s="5">
        <f t="shared" si="18"/>
        <v>78</v>
      </c>
      <c r="S95" s="19"/>
      <c r="T95" s="1">
        <f t="shared" si="16"/>
        <v>14.999999999999998</v>
      </c>
      <c r="U95" s="1">
        <f t="shared" si="17"/>
        <v>7.7777777777777777</v>
      </c>
      <c r="V95" s="1">
        <v>2</v>
      </c>
      <c r="W95" s="1">
        <v>12</v>
      </c>
      <c r="X95" s="1">
        <v>3.4</v>
      </c>
      <c r="Y95" s="1">
        <v>1.6</v>
      </c>
      <c r="Z95" s="1">
        <v>0</v>
      </c>
      <c r="AA95" s="1">
        <v>0</v>
      </c>
      <c r="AB95" s="1">
        <v>0</v>
      </c>
      <c r="AC95" s="1">
        <v>0</v>
      </c>
      <c r="AD95" s="1"/>
      <c r="AE95" s="1">
        <f t="shared" si="19"/>
        <v>25.740000000000002</v>
      </c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133</v>
      </c>
      <c r="B96" s="1" t="s">
        <v>33</v>
      </c>
      <c r="C96" s="1">
        <v>20</v>
      </c>
      <c r="D96" s="1">
        <v>10</v>
      </c>
      <c r="E96" s="17">
        <f>0+E86</f>
        <v>32</v>
      </c>
      <c r="F96" s="17">
        <f>30+F86</f>
        <v>28</v>
      </c>
      <c r="G96" s="7">
        <v>0.1</v>
      </c>
      <c r="H96" s="1">
        <v>60</v>
      </c>
      <c r="I96" s="1" t="s">
        <v>34</v>
      </c>
      <c r="J96" s="1"/>
      <c r="K96" s="1"/>
      <c r="L96" s="1">
        <f t="shared" si="14"/>
        <v>32</v>
      </c>
      <c r="M96" s="1"/>
      <c r="N96" s="1"/>
      <c r="O96" s="1"/>
      <c r="P96" s="1">
        <f t="shared" si="15"/>
        <v>6.4</v>
      </c>
      <c r="Q96" s="5">
        <f>14*P96-F96</f>
        <v>61.600000000000009</v>
      </c>
      <c r="R96" s="5">
        <f t="shared" si="18"/>
        <v>62</v>
      </c>
      <c r="S96" s="19"/>
      <c r="T96" s="1">
        <f t="shared" si="16"/>
        <v>14</v>
      </c>
      <c r="U96" s="1">
        <f t="shared" si="17"/>
        <v>4.375</v>
      </c>
      <c r="V96" s="1">
        <v>5.2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5" t="s">
        <v>156</v>
      </c>
      <c r="AE96" s="1">
        <f t="shared" si="19"/>
        <v>6.2</v>
      </c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70</v>
      </c>
      <c r="B97" s="1" t="s">
        <v>33</v>
      </c>
      <c r="C97" s="1">
        <v>190</v>
      </c>
      <c r="D97" s="1">
        <v>760</v>
      </c>
      <c r="E97" s="17">
        <f>80+E33</f>
        <v>239</v>
      </c>
      <c r="F97" s="17">
        <f>634+F33</f>
        <v>483</v>
      </c>
      <c r="G97" s="7">
        <v>0.1</v>
      </c>
      <c r="H97" s="1">
        <v>60</v>
      </c>
      <c r="I97" s="1" t="s">
        <v>34</v>
      </c>
      <c r="J97" s="1"/>
      <c r="K97" s="1">
        <v>76</v>
      </c>
      <c r="L97" s="1">
        <f t="shared" si="14"/>
        <v>163</v>
      </c>
      <c r="M97" s="1"/>
      <c r="N97" s="1"/>
      <c r="O97" s="1"/>
      <c r="P97" s="1">
        <f t="shared" si="15"/>
        <v>47.8</v>
      </c>
      <c r="Q97" s="5">
        <f t="shared" ref="Q97" si="20">15*P97-F97</f>
        <v>234</v>
      </c>
      <c r="R97" s="5">
        <f t="shared" si="18"/>
        <v>234</v>
      </c>
      <c r="S97" s="19"/>
      <c r="T97" s="1">
        <f t="shared" si="16"/>
        <v>15.000000000000002</v>
      </c>
      <c r="U97" s="1">
        <f t="shared" si="17"/>
        <v>10.104602510460252</v>
      </c>
      <c r="V97" s="1">
        <v>36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 t="s">
        <v>146</v>
      </c>
      <c r="AE97" s="1">
        <f t="shared" si="19"/>
        <v>23.400000000000002</v>
      </c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66</v>
      </c>
      <c r="B98" s="1" t="s">
        <v>33</v>
      </c>
      <c r="C98" s="1">
        <v>736</v>
      </c>
      <c r="D98" s="1">
        <v>117</v>
      </c>
      <c r="E98" s="17">
        <f>34+E31</f>
        <v>104</v>
      </c>
      <c r="F98" s="17">
        <f>472+F31</f>
        <v>455</v>
      </c>
      <c r="G98" s="7">
        <v>0.4</v>
      </c>
      <c r="H98" s="1">
        <v>60</v>
      </c>
      <c r="I98" s="1" t="s">
        <v>34</v>
      </c>
      <c r="J98" s="1"/>
      <c r="K98" s="1">
        <v>34</v>
      </c>
      <c r="L98" s="1">
        <f t="shared" si="14"/>
        <v>70</v>
      </c>
      <c r="M98" s="1"/>
      <c r="N98" s="1"/>
      <c r="O98" s="1"/>
      <c r="P98" s="1">
        <f t="shared" si="15"/>
        <v>20.8</v>
      </c>
      <c r="Q98" s="5"/>
      <c r="R98" s="5">
        <f t="shared" si="18"/>
        <v>0</v>
      </c>
      <c r="S98" s="19"/>
      <c r="T98" s="1">
        <f t="shared" si="16"/>
        <v>21.875</v>
      </c>
      <c r="U98" s="1">
        <f t="shared" si="17"/>
        <v>21.875</v>
      </c>
      <c r="V98" s="1">
        <v>25.2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 t="s">
        <v>147</v>
      </c>
      <c r="AE98" s="1">
        <f t="shared" si="19"/>
        <v>0</v>
      </c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8" t="s">
        <v>148</v>
      </c>
      <c r="B99" s="1" t="s">
        <v>33</v>
      </c>
      <c r="C99" s="1"/>
      <c r="D99" s="1"/>
      <c r="E99" s="1"/>
      <c r="F99" s="1"/>
      <c r="G99" s="7">
        <v>0.1</v>
      </c>
      <c r="H99" s="1"/>
      <c r="I99" s="1" t="s">
        <v>34</v>
      </c>
      <c r="J99" s="1"/>
      <c r="K99" s="1"/>
      <c r="L99" s="1">
        <f t="shared" si="14"/>
        <v>0</v>
      </c>
      <c r="M99" s="1"/>
      <c r="N99" s="1"/>
      <c r="O99" s="1"/>
      <c r="P99" s="1">
        <f t="shared" si="15"/>
        <v>0</v>
      </c>
      <c r="Q99" s="5">
        <v>100</v>
      </c>
      <c r="R99" s="5">
        <f t="shared" si="18"/>
        <v>100</v>
      </c>
      <c r="S99" s="19"/>
      <c r="T99" s="1" t="e">
        <f t="shared" si="16"/>
        <v>#DIV/0!</v>
      </c>
      <c r="U99" s="1" t="e">
        <f t="shared" si="17"/>
        <v>#DIV/0!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 t="s">
        <v>158</v>
      </c>
      <c r="AE99" s="1">
        <f t="shared" si="19"/>
        <v>10</v>
      </c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8" t="s">
        <v>149</v>
      </c>
      <c r="B100" s="1" t="s">
        <v>33</v>
      </c>
      <c r="C100" s="1"/>
      <c r="D100" s="1"/>
      <c r="E100" s="1"/>
      <c r="F100" s="1"/>
      <c r="G100" s="7">
        <v>0.1</v>
      </c>
      <c r="H100" s="1"/>
      <c r="I100" s="1" t="s">
        <v>34</v>
      </c>
      <c r="J100" s="1"/>
      <c r="K100" s="1"/>
      <c r="L100" s="1">
        <f t="shared" si="14"/>
        <v>0</v>
      </c>
      <c r="M100" s="1"/>
      <c r="N100" s="1"/>
      <c r="O100" s="1"/>
      <c r="P100" s="1">
        <f t="shared" si="15"/>
        <v>0</v>
      </c>
      <c r="Q100" s="5">
        <v>100</v>
      </c>
      <c r="R100" s="5">
        <f t="shared" si="18"/>
        <v>100</v>
      </c>
      <c r="S100" s="19"/>
      <c r="T100" s="1" t="e">
        <f t="shared" si="16"/>
        <v>#DIV/0!</v>
      </c>
      <c r="U100" s="1" t="e">
        <f t="shared" si="17"/>
        <v>#DIV/0!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 t="s">
        <v>158</v>
      </c>
      <c r="AE100" s="1">
        <f t="shared" si="19"/>
        <v>10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1" t="s">
        <v>150</v>
      </c>
      <c r="B101" s="11" t="s">
        <v>33</v>
      </c>
      <c r="C101" s="11"/>
      <c r="D101" s="11"/>
      <c r="E101" s="11"/>
      <c r="F101" s="11"/>
      <c r="G101" s="12">
        <v>0</v>
      </c>
      <c r="H101" s="11"/>
      <c r="I101" s="11" t="s">
        <v>34</v>
      </c>
      <c r="J101" s="11"/>
      <c r="K101" s="11"/>
      <c r="L101" s="11"/>
      <c r="M101" s="11"/>
      <c r="N101" s="11"/>
      <c r="O101" s="11"/>
      <c r="P101" s="11">
        <f t="shared" si="15"/>
        <v>0</v>
      </c>
      <c r="Q101" s="13"/>
      <c r="R101" s="5">
        <f t="shared" si="18"/>
        <v>0</v>
      </c>
      <c r="S101" s="20"/>
      <c r="T101" s="11" t="e">
        <f t="shared" si="16"/>
        <v>#DIV/0!</v>
      </c>
      <c r="U101" s="11" t="e">
        <f t="shared" si="17"/>
        <v>#DIV/0!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4" t="s">
        <v>151</v>
      </c>
      <c r="AE101" s="1">
        <f t="shared" si="19"/>
        <v>0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1" t="s">
        <v>152</v>
      </c>
      <c r="B102" s="11" t="s">
        <v>33</v>
      </c>
      <c r="C102" s="11"/>
      <c r="D102" s="11"/>
      <c r="E102" s="11"/>
      <c r="F102" s="11"/>
      <c r="G102" s="12">
        <v>0</v>
      </c>
      <c r="H102" s="11"/>
      <c r="I102" s="11" t="s">
        <v>34</v>
      </c>
      <c r="J102" s="11"/>
      <c r="K102" s="11"/>
      <c r="L102" s="11"/>
      <c r="M102" s="11"/>
      <c r="N102" s="11"/>
      <c r="O102" s="11"/>
      <c r="P102" s="11">
        <f t="shared" si="15"/>
        <v>0</v>
      </c>
      <c r="Q102" s="13"/>
      <c r="R102" s="5">
        <f t="shared" si="18"/>
        <v>0</v>
      </c>
      <c r="S102" s="20"/>
      <c r="T102" s="11" t="e">
        <f t="shared" ref="T102:T105" si="21">(F102+Q102)/P102</f>
        <v>#DIV/0!</v>
      </c>
      <c r="U102" s="11" t="e">
        <f t="shared" si="17"/>
        <v>#DIV/0!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4" t="s">
        <v>151</v>
      </c>
      <c r="AE102" s="1">
        <f t="shared" si="19"/>
        <v>0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1" t="s">
        <v>153</v>
      </c>
      <c r="B103" s="14" t="s">
        <v>37</v>
      </c>
      <c r="C103" s="11"/>
      <c r="D103" s="11"/>
      <c r="E103" s="11"/>
      <c r="F103" s="11"/>
      <c r="G103" s="12">
        <v>0</v>
      </c>
      <c r="H103" s="11"/>
      <c r="I103" s="11" t="s">
        <v>34</v>
      </c>
      <c r="J103" s="11"/>
      <c r="K103" s="11"/>
      <c r="L103" s="11"/>
      <c r="M103" s="11"/>
      <c r="N103" s="11"/>
      <c r="O103" s="11"/>
      <c r="P103" s="11">
        <f t="shared" si="15"/>
        <v>0</v>
      </c>
      <c r="Q103" s="13"/>
      <c r="R103" s="5">
        <f t="shared" si="18"/>
        <v>0</v>
      </c>
      <c r="S103" s="20"/>
      <c r="T103" s="11" t="e">
        <f t="shared" si="21"/>
        <v>#DIV/0!</v>
      </c>
      <c r="U103" s="11" t="e">
        <f t="shared" si="17"/>
        <v>#DIV/0!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4" t="s">
        <v>151</v>
      </c>
      <c r="AE103" s="1">
        <f t="shared" si="19"/>
        <v>0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0" t="s">
        <v>76</v>
      </c>
      <c r="B104" s="10" t="s">
        <v>33</v>
      </c>
      <c r="C104" s="1"/>
      <c r="D104" s="1"/>
      <c r="E104" s="17">
        <f>0+E35</f>
        <v>36</v>
      </c>
      <c r="F104" s="17">
        <f>0+F35</f>
        <v>57</v>
      </c>
      <c r="G104" s="7">
        <v>0.1</v>
      </c>
      <c r="H104" s="1">
        <v>45</v>
      </c>
      <c r="I104" s="1" t="s">
        <v>34</v>
      </c>
      <c r="J104" s="1"/>
      <c r="K104" s="1"/>
      <c r="L104" s="1"/>
      <c r="M104" s="1"/>
      <c r="N104" s="1"/>
      <c r="O104" s="1"/>
      <c r="P104" s="1">
        <f t="shared" si="15"/>
        <v>7.2</v>
      </c>
      <c r="Q104" s="5">
        <f t="shared" ref="Q104:Q105" si="22">15*P104-F104</f>
        <v>51</v>
      </c>
      <c r="R104" s="5">
        <f t="shared" si="18"/>
        <v>51</v>
      </c>
      <c r="S104" s="19"/>
      <c r="T104" s="1">
        <f t="shared" si="21"/>
        <v>15</v>
      </c>
      <c r="U104" s="1">
        <f t="shared" si="17"/>
        <v>7.9166666666666661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0" t="s">
        <v>154</v>
      </c>
      <c r="AE104" s="1">
        <f t="shared" si="19"/>
        <v>5.1000000000000005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0" t="s">
        <v>73</v>
      </c>
      <c r="B105" s="10" t="s">
        <v>33</v>
      </c>
      <c r="C105" s="1"/>
      <c r="D105" s="1"/>
      <c r="E105" s="17">
        <f>0+E34</f>
        <v>201</v>
      </c>
      <c r="F105" s="17">
        <f>0+F34</f>
        <v>228</v>
      </c>
      <c r="G105" s="7">
        <v>0.1</v>
      </c>
      <c r="H105" s="1">
        <v>60</v>
      </c>
      <c r="I105" s="1" t="s">
        <v>34</v>
      </c>
      <c r="J105" s="1"/>
      <c r="K105" s="1"/>
      <c r="L105" s="1"/>
      <c r="M105" s="1"/>
      <c r="N105" s="1"/>
      <c r="O105" s="1"/>
      <c r="P105" s="1">
        <f t="shared" si="15"/>
        <v>40.200000000000003</v>
      </c>
      <c r="Q105" s="5">
        <f t="shared" si="22"/>
        <v>375</v>
      </c>
      <c r="R105" s="5">
        <f t="shared" si="18"/>
        <v>375</v>
      </c>
      <c r="S105" s="19"/>
      <c r="T105" s="1">
        <f t="shared" si="21"/>
        <v>14.999999999999998</v>
      </c>
      <c r="U105" s="1">
        <f t="shared" si="17"/>
        <v>5.6716417910447756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0" t="s">
        <v>155</v>
      </c>
      <c r="AE105" s="1">
        <f t="shared" si="19"/>
        <v>37.5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23" t="s">
        <v>161</v>
      </c>
      <c r="B106" s="23" t="s">
        <v>33</v>
      </c>
      <c r="C106" s="24"/>
      <c r="D106" s="24"/>
      <c r="E106" s="24"/>
      <c r="F106" s="24"/>
      <c r="G106" s="25">
        <v>0.27</v>
      </c>
      <c r="H106" s="24"/>
      <c r="I106" s="23" t="s">
        <v>34</v>
      </c>
      <c r="J106" s="24"/>
      <c r="K106" s="24"/>
      <c r="L106" s="24"/>
      <c r="M106" s="24"/>
      <c r="N106" s="24"/>
      <c r="O106" s="24"/>
      <c r="P106" s="24">
        <f t="shared" ref="P106" si="23">E106/5</f>
        <v>0</v>
      </c>
      <c r="Q106" s="26"/>
      <c r="R106" s="5">
        <v>100</v>
      </c>
      <c r="S106" s="27">
        <v>100</v>
      </c>
      <c r="T106" s="24" t="e">
        <f t="shared" ref="T106:T107" si="24">(F106+Q106)/P106</f>
        <v>#DIV/0!</v>
      </c>
      <c r="U106" s="24" t="e">
        <f t="shared" ref="U106:U107" si="25">F106/P106</f>
        <v>#DIV/0!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3" t="s">
        <v>136</v>
      </c>
      <c r="AE106" s="1">
        <f t="shared" si="19"/>
        <v>27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1" t="s">
        <v>162</v>
      </c>
      <c r="B107" s="14" t="s">
        <v>33</v>
      </c>
      <c r="C107" s="11"/>
      <c r="D107" s="11"/>
      <c r="E107" s="11"/>
      <c r="F107" s="11"/>
      <c r="G107" s="12">
        <v>0</v>
      </c>
      <c r="H107" s="11">
        <v>45</v>
      </c>
      <c r="I107" s="11" t="s">
        <v>34</v>
      </c>
      <c r="J107" s="11"/>
      <c r="K107" s="11"/>
      <c r="L107" s="11"/>
      <c r="M107" s="11"/>
      <c r="N107" s="11"/>
      <c r="O107" s="11"/>
      <c r="P107" s="11">
        <f t="shared" ref="P107" si="26">E107/5</f>
        <v>0</v>
      </c>
      <c r="Q107" s="13">
        <v>0</v>
      </c>
      <c r="R107" s="5">
        <f t="shared" si="18"/>
        <v>0</v>
      </c>
      <c r="S107" s="20"/>
      <c r="T107" s="11" t="e">
        <f t="shared" si="24"/>
        <v>#DIV/0!</v>
      </c>
      <c r="U107" s="11" t="e">
        <f t="shared" si="25"/>
        <v>#DIV/0!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4" t="s">
        <v>151</v>
      </c>
      <c r="AE107" s="1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E105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2026-07-20T16:26:28Z</dcterms:created>
  <dcterms:modified xsi:type="dcterms:W3CDTF">2026-07-22T11:53:43Z</dcterms:modified>
</cp:coreProperties>
</file>