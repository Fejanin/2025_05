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Ост КИ\"/>
    </mc:Choice>
  </mc:AlternateContent>
  <xr:revisionPtr revIDLastSave="0" documentId="13_ncr:1_{5CEE1D59-FFFC-4281-B774-E3E277066A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6" i="1"/>
  <c r="Q96" i="1" l="1"/>
  <c r="Q16" i="1"/>
  <c r="Q111" i="1" l="1"/>
  <c r="T111" i="1" s="1"/>
  <c r="L111" i="1"/>
  <c r="Q110" i="1"/>
  <c r="T110" i="1" s="1"/>
  <c r="L110" i="1"/>
  <c r="Q109" i="1"/>
  <c r="T109" i="1" s="1"/>
  <c r="L109" i="1"/>
  <c r="Q108" i="1"/>
  <c r="L108" i="1"/>
  <c r="Q107" i="1"/>
  <c r="L107" i="1"/>
  <c r="E106" i="1"/>
  <c r="L106" i="1" s="1"/>
  <c r="F105" i="1"/>
  <c r="E105" i="1"/>
  <c r="L105" i="1" s="1"/>
  <c r="F104" i="1"/>
  <c r="E104" i="1"/>
  <c r="Q104" i="1" s="1"/>
  <c r="F103" i="1"/>
  <c r="E103" i="1"/>
  <c r="L103" i="1" s="1"/>
  <c r="Q102" i="1"/>
  <c r="R102" i="1" s="1"/>
  <c r="L102" i="1"/>
  <c r="Q101" i="1"/>
  <c r="R101" i="1" s="1"/>
  <c r="L101" i="1"/>
  <c r="E100" i="1"/>
  <c r="Q100" i="1" s="1"/>
  <c r="E99" i="1"/>
  <c r="Q99" i="1" s="1"/>
  <c r="R99" i="1" s="1"/>
  <c r="Q98" i="1"/>
  <c r="L98" i="1"/>
  <c r="Q97" i="1"/>
  <c r="L97" i="1"/>
  <c r="L96" i="1"/>
  <c r="Q95" i="1"/>
  <c r="L95" i="1"/>
  <c r="Q94" i="1"/>
  <c r="L94" i="1"/>
  <c r="Q93" i="1"/>
  <c r="L93" i="1"/>
  <c r="Q92" i="1"/>
  <c r="L92" i="1"/>
  <c r="Q91" i="1"/>
  <c r="T91" i="1" s="1"/>
  <c r="L91" i="1"/>
  <c r="Q90" i="1"/>
  <c r="R90" i="1" s="1"/>
  <c r="L90" i="1"/>
  <c r="Q89" i="1"/>
  <c r="L89" i="1"/>
  <c r="E88" i="1"/>
  <c r="L88" i="1" s="1"/>
  <c r="Q87" i="1"/>
  <c r="L87" i="1"/>
  <c r="Q86" i="1"/>
  <c r="L86" i="1"/>
  <c r="Q85" i="1"/>
  <c r="L85" i="1"/>
  <c r="Q84" i="1"/>
  <c r="L84" i="1"/>
  <c r="Q83" i="1"/>
  <c r="R83" i="1" s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S72" i="1" s="1"/>
  <c r="L72" i="1"/>
  <c r="Q71" i="1"/>
  <c r="L71" i="1"/>
  <c r="Q70" i="1"/>
  <c r="T70" i="1" s="1"/>
  <c r="L70" i="1"/>
  <c r="Q69" i="1"/>
  <c r="T69" i="1" s="1"/>
  <c r="L69" i="1"/>
  <c r="F68" i="1"/>
  <c r="E68" i="1"/>
  <c r="Q68" i="1" s="1"/>
  <c r="Q67" i="1"/>
  <c r="T67" i="1" s="1"/>
  <c r="L67" i="1"/>
  <c r="F66" i="1"/>
  <c r="E66" i="1"/>
  <c r="L66" i="1" s="1"/>
  <c r="Q65" i="1"/>
  <c r="L65" i="1"/>
  <c r="Q64" i="1"/>
  <c r="L64" i="1"/>
  <c r="Q63" i="1"/>
  <c r="R63" i="1" s="1"/>
  <c r="L63" i="1"/>
  <c r="Q62" i="1"/>
  <c r="R62" i="1" s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R40" i="1" s="1"/>
  <c r="L40" i="1"/>
  <c r="Q39" i="1"/>
  <c r="L39" i="1"/>
  <c r="Q38" i="1"/>
  <c r="T38" i="1" s="1"/>
  <c r="L38" i="1"/>
  <c r="Q37" i="1"/>
  <c r="L37" i="1"/>
  <c r="Q36" i="1"/>
  <c r="S36" i="1" s="1"/>
  <c r="L36" i="1"/>
  <c r="Q35" i="1"/>
  <c r="L35" i="1"/>
  <c r="Q34" i="1"/>
  <c r="T34" i="1" s="1"/>
  <c r="L34" i="1"/>
  <c r="Q33" i="1"/>
  <c r="L33" i="1"/>
  <c r="Q32" i="1"/>
  <c r="L32" i="1"/>
  <c r="Q31" i="1"/>
  <c r="T31" i="1" s="1"/>
  <c r="L31" i="1"/>
  <c r="Q30" i="1"/>
  <c r="L30" i="1"/>
  <c r="F30" i="1"/>
  <c r="Q29" i="1"/>
  <c r="L29" i="1"/>
  <c r="Q28" i="1"/>
  <c r="S28" i="1" s="1"/>
  <c r="L28" i="1"/>
  <c r="Q27" i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L19" i="1"/>
  <c r="Q18" i="1"/>
  <c r="T18" i="1" s="1"/>
  <c r="L18" i="1"/>
  <c r="Q17" i="1"/>
  <c r="L17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E8" i="1"/>
  <c r="Q8" i="1" s="1"/>
  <c r="R8" i="1" s="1"/>
  <c r="AC8" i="1" s="1"/>
  <c r="Q7" i="1"/>
  <c r="R7" i="1" s="1"/>
  <c r="L7" i="1"/>
  <c r="Q6" i="1"/>
  <c r="L6" i="1"/>
  <c r="AA5" i="1"/>
  <c r="Z5" i="1"/>
  <c r="Y5" i="1"/>
  <c r="X5" i="1"/>
  <c r="W5" i="1"/>
  <c r="V5" i="1"/>
  <c r="U5" i="1"/>
  <c r="P5" i="1"/>
  <c r="O5" i="1"/>
  <c r="N5" i="1"/>
  <c r="M5" i="1"/>
  <c r="K5" i="1"/>
  <c r="S31" i="1" l="1"/>
  <c r="S70" i="1"/>
  <c r="R9" i="1"/>
  <c r="AC9" i="1" s="1"/>
  <c r="AC13" i="1"/>
  <c r="T16" i="1"/>
  <c r="AC16" i="1"/>
  <c r="T21" i="1"/>
  <c r="R24" i="1"/>
  <c r="AC24" i="1" s="1"/>
  <c r="AC29" i="1"/>
  <c r="T32" i="1"/>
  <c r="R32" i="1"/>
  <c r="AC32" i="1" s="1"/>
  <c r="T39" i="1"/>
  <c r="AC42" i="1"/>
  <c r="AC46" i="1"/>
  <c r="T49" i="1"/>
  <c r="AC49" i="1"/>
  <c r="T53" i="1"/>
  <c r="R53" i="1"/>
  <c r="AC53" i="1" s="1"/>
  <c r="AC56" i="1"/>
  <c r="R60" i="1"/>
  <c r="AC60" i="1" s="1"/>
  <c r="T71" i="1"/>
  <c r="AC71" i="1"/>
  <c r="T76" i="1"/>
  <c r="AC76" i="1"/>
  <c r="T80" i="1"/>
  <c r="R80" i="1"/>
  <c r="AC80" i="1" s="1"/>
  <c r="T84" i="1"/>
  <c r="R84" i="1"/>
  <c r="AC84" i="1" s="1"/>
  <c r="T7" i="1"/>
  <c r="R11" i="1"/>
  <c r="AC11" i="1" s="1"/>
  <c r="T19" i="1"/>
  <c r="AC19" i="1"/>
  <c r="AC22" i="1"/>
  <c r="R26" i="1"/>
  <c r="AC26" i="1" s="1"/>
  <c r="F5" i="1"/>
  <c r="R30" i="1"/>
  <c r="AC30" i="1" s="1"/>
  <c r="T35" i="1"/>
  <c r="R35" i="1"/>
  <c r="AC35" i="1" s="1"/>
  <c r="AC40" i="1"/>
  <c r="R44" i="1"/>
  <c r="AC44" i="1" s="1"/>
  <c r="T51" i="1"/>
  <c r="AC51" i="1"/>
  <c r="T55" i="1"/>
  <c r="R55" i="1"/>
  <c r="S58" i="1"/>
  <c r="AC58" i="1"/>
  <c r="AC62" i="1"/>
  <c r="T65" i="1"/>
  <c r="R65" i="1"/>
  <c r="AC65" i="1" s="1"/>
  <c r="T74" i="1"/>
  <c r="R74" i="1"/>
  <c r="AC74" i="1" s="1"/>
  <c r="T78" i="1"/>
  <c r="R78" i="1"/>
  <c r="AC78" i="1" s="1"/>
  <c r="T82" i="1"/>
  <c r="R82" i="1"/>
  <c r="AC82" i="1" s="1"/>
  <c r="T86" i="1"/>
  <c r="R86" i="1"/>
  <c r="AC86" i="1" s="1"/>
  <c r="T89" i="1"/>
  <c r="AC89" i="1"/>
  <c r="T92" i="1"/>
  <c r="AC92" i="1"/>
  <c r="T94" i="1"/>
  <c r="AC94" i="1"/>
  <c r="T96" i="1"/>
  <c r="S97" i="1"/>
  <c r="AC97" i="1"/>
  <c r="AC101" i="1"/>
  <c r="T107" i="1"/>
  <c r="AC107" i="1"/>
  <c r="R6" i="1"/>
  <c r="S6" i="1" s="1"/>
  <c r="T10" i="1"/>
  <c r="R10" i="1"/>
  <c r="AC10" i="1" s="1"/>
  <c r="T12" i="1"/>
  <c r="R12" i="1"/>
  <c r="AC12" i="1" s="1"/>
  <c r="T14" i="1"/>
  <c r="S15" i="1"/>
  <c r="AC15" i="1"/>
  <c r="R17" i="1"/>
  <c r="AC17" i="1" s="1"/>
  <c r="R20" i="1"/>
  <c r="AC20" i="1" s="1"/>
  <c r="T23" i="1"/>
  <c r="AC23" i="1"/>
  <c r="T25" i="1"/>
  <c r="R25" i="1"/>
  <c r="AC25" i="1" s="1"/>
  <c r="T27" i="1"/>
  <c r="AC27" i="1"/>
  <c r="R33" i="1"/>
  <c r="AC33" i="1" s="1"/>
  <c r="R37" i="1"/>
  <c r="AC37" i="1" s="1"/>
  <c r="T41" i="1"/>
  <c r="R41" i="1"/>
  <c r="AC41" i="1" s="1"/>
  <c r="T43" i="1"/>
  <c r="R43" i="1"/>
  <c r="AC43" i="1" s="1"/>
  <c r="T45" i="1"/>
  <c r="R45" i="1"/>
  <c r="AC45" i="1" s="1"/>
  <c r="T47" i="1"/>
  <c r="S48" i="1"/>
  <c r="AC48" i="1"/>
  <c r="R50" i="1"/>
  <c r="AC50" i="1" s="1"/>
  <c r="S52" i="1"/>
  <c r="AC52" i="1"/>
  <c r="S54" i="1"/>
  <c r="AC54" i="1"/>
  <c r="T57" i="1"/>
  <c r="AC57" i="1"/>
  <c r="T59" i="1"/>
  <c r="R59" i="1"/>
  <c r="AC59" i="1" s="1"/>
  <c r="T61" i="1"/>
  <c r="R61" i="1"/>
  <c r="AC61" i="1" s="1"/>
  <c r="T63" i="1"/>
  <c r="R64" i="1"/>
  <c r="AC64" i="1" s="1"/>
  <c r="R68" i="1"/>
  <c r="AC68" i="1" s="1"/>
  <c r="R69" i="1"/>
  <c r="AC69" i="1" s="1"/>
  <c r="R73" i="1"/>
  <c r="AC73" i="1" s="1"/>
  <c r="R75" i="1"/>
  <c r="AC75" i="1" s="1"/>
  <c r="AC77" i="1"/>
  <c r="AC79" i="1"/>
  <c r="R81" i="1"/>
  <c r="AC81" i="1" s="1"/>
  <c r="AC83" i="1"/>
  <c r="R85" i="1"/>
  <c r="AC85" i="1" s="1"/>
  <c r="AC87" i="1"/>
  <c r="AC90" i="1"/>
  <c r="R93" i="1"/>
  <c r="AC93" i="1" s="1"/>
  <c r="R95" i="1"/>
  <c r="AC95" i="1" s="1"/>
  <c r="T98" i="1"/>
  <c r="AC98" i="1"/>
  <c r="T99" i="1"/>
  <c r="AC99" i="1"/>
  <c r="T100" i="1"/>
  <c r="AC100" i="1"/>
  <c r="T102" i="1"/>
  <c r="AC104" i="1"/>
  <c r="AC108" i="1"/>
  <c r="S18" i="1"/>
  <c r="S25" i="1"/>
  <c r="S34" i="1"/>
  <c r="S43" i="1"/>
  <c r="S51" i="1"/>
  <c r="S59" i="1"/>
  <c r="S92" i="1"/>
  <c r="L99" i="1"/>
  <c r="S104" i="1"/>
  <c r="S110" i="1"/>
  <c r="Q103" i="1"/>
  <c r="AC103" i="1" s="1"/>
  <c r="L8" i="1"/>
  <c r="S19" i="1"/>
  <c r="S23" i="1"/>
  <c r="S27" i="1"/>
  <c r="T37" i="1"/>
  <c r="S38" i="1"/>
  <c r="S41" i="1"/>
  <c r="S57" i="1"/>
  <c r="Q66" i="1"/>
  <c r="S67" i="1"/>
  <c r="T68" i="1"/>
  <c r="T73" i="1"/>
  <c r="T75" i="1"/>
  <c r="T77" i="1"/>
  <c r="T79" i="1"/>
  <c r="T81" i="1"/>
  <c r="T83" i="1"/>
  <c r="T85" i="1"/>
  <c r="T87" i="1"/>
  <c r="S89" i="1"/>
  <c r="T90" i="1"/>
  <c r="S91" i="1"/>
  <c r="S94" i="1"/>
  <c r="L100" i="1"/>
  <c r="Q105" i="1"/>
  <c r="S107" i="1"/>
  <c r="T108" i="1"/>
  <c r="S109" i="1"/>
  <c r="S111" i="1"/>
  <c r="T8" i="1"/>
  <c r="S8" i="1"/>
  <c r="T6" i="1"/>
  <c r="T9" i="1"/>
  <c r="T11" i="1"/>
  <c r="T13" i="1"/>
  <c r="T15" i="1"/>
  <c r="T17" i="1"/>
  <c r="T20" i="1"/>
  <c r="T22" i="1"/>
  <c r="T24" i="1"/>
  <c r="T26" i="1"/>
  <c r="T28" i="1"/>
  <c r="T29" i="1"/>
  <c r="T30" i="1"/>
  <c r="T33" i="1"/>
  <c r="L104" i="1"/>
  <c r="E5" i="1"/>
  <c r="T36" i="1"/>
  <c r="T40" i="1"/>
  <c r="T42" i="1"/>
  <c r="T44" i="1"/>
  <c r="T46" i="1"/>
  <c r="T48" i="1"/>
  <c r="T50" i="1"/>
  <c r="T52" i="1"/>
  <c r="T54" i="1"/>
  <c r="T56" i="1"/>
  <c r="T58" i="1"/>
  <c r="T60" i="1"/>
  <c r="T62" i="1"/>
  <c r="T64" i="1"/>
  <c r="L68" i="1"/>
  <c r="T72" i="1"/>
  <c r="Q88" i="1"/>
  <c r="R88" i="1" s="1"/>
  <c r="AC88" i="1" s="1"/>
  <c r="T93" i="1"/>
  <c r="T95" i="1"/>
  <c r="T97" i="1"/>
  <c r="S100" i="1"/>
  <c r="T101" i="1"/>
  <c r="T104" i="1"/>
  <c r="Q106" i="1"/>
  <c r="R106" i="1" s="1"/>
  <c r="AC106" i="1" s="1"/>
  <c r="S82" i="1" l="1"/>
  <c r="S61" i="1"/>
  <c r="S53" i="1"/>
  <c r="S74" i="1"/>
  <c r="S10" i="1"/>
  <c r="S45" i="1"/>
  <c r="S37" i="1"/>
  <c r="S33" i="1"/>
  <c r="S20" i="1"/>
  <c r="S17" i="1"/>
  <c r="S86" i="1"/>
  <c r="S78" i="1"/>
  <c r="S65" i="1"/>
  <c r="S35" i="1"/>
  <c r="S12" i="1"/>
  <c r="S50" i="1"/>
  <c r="S101" i="1"/>
  <c r="S62" i="1"/>
  <c r="S44" i="1"/>
  <c r="S40" i="1"/>
  <c r="S108" i="1"/>
  <c r="S64" i="1"/>
  <c r="R105" i="1"/>
  <c r="AC105" i="1" s="1"/>
  <c r="T66" i="1"/>
  <c r="R66" i="1"/>
  <c r="AC66" i="1" s="1"/>
  <c r="AC102" i="1"/>
  <c r="S102" i="1"/>
  <c r="S7" i="1"/>
  <c r="AC7" i="1"/>
  <c r="S39" i="1"/>
  <c r="AC39" i="1"/>
  <c r="S21" i="1"/>
  <c r="AC21" i="1"/>
  <c r="S99" i="1"/>
  <c r="L5" i="1"/>
  <c r="T105" i="1"/>
  <c r="T103" i="1"/>
  <c r="S103" i="1"/>
  <c r="S98" i="1"/>
  <c r="S84" i="1"/>
  <c r="S80" i="1"/>
  <c r="S76" i="1"/>
  <c r="S71" i="1"/>
  <c r="S49" i="1"/>
  <c r="S32" i="1"/>
  <c r="S16" i="1"/>
  <c r="S68" i="1"/>
  <c r="S95" i="1"/>
  <c r="S93" i="1"/>
  <c r="S90" i="1"/>
  <c r="S87" i="1"/>
  <c r="S85" i="1"/>
  <c r="S83" i="1"/>
  <c r="S81" i="1"/>
  <c r="S79" i="1"/>
  <c r="S77" i="1"/>
  <c r="S75" i="1"/>
  <c r="S73" i="1"/>
  <c r="S69" i="1"/>
  <c r="AC63" i="1"/>
  <c r="S63" i="1"/>
  <c r="AC47" i="1"/>
  <c r="S47" i="1"/>
  <c r="AC14" i="1"/>
  <c r="S14" i="1"/>
  <c r="AC6" i="1"/>
  <c r="S96" i="1"/>
  <c r="AC96" i="1"/>
  <c r="S55" i="1"/>
  <c r="AC55" i="1"/>
  <c r="S30" i="1"/>
  <c r="S26" i="1"/>
  <c r="S22" i="1"/>
  <c r="S11" i="1"/>
  <c r="S60" i="1"/>
  <c r="S56" i="1"/>
  <c r="S46" i="1"/>
  <c r="S42" i="1"/>
  <c r="S29" i="1"/>
  <c r="S24" i="1"/>
  <c r="S13" i="1"/>
  <c r="S9" i="1"/>
  <c r="S106" i="1"/>
  <c r="T106" i="1"/>
  <c r="S88" i="1"/>
  <c r="T88" i="1"/>
  <c r="Q5" i="1"/>
  <c r="S66" i="1" l="1"/>
  <c r="R5" i="1"/>
  <c r="S105" i="1"/>
  <c r="AC5" i="1"/>
</calcChain>
</file>

<file path=xl/sharedStrings.xml><?xml version="1.0" encoding="utf-8"?>
<sst xmlns="http://schemas.openxmlformats.org/spreadsheetml/2006/main" count="320" uniqueCount="166">
  <si>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</si>
  <si>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</si>
  <si>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</si>
  <si>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</si>
  <si>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</si>
  <si>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</si>
  <si>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</si>
  <si>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</si>
  <si>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</si>
  <si>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</si>
  <si>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</si>
  <si>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</si>
  <si>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</si>
  <si>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</si>
  <si>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</si>
  <si>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</si>
  <si>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</si>
  <si>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</si>
  <si>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</si>
  <si>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</si>
  <si>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</si>
  <si>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</si>
  <si>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</si>
  <si>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</si>
  <si>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</si>
  <si>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</si>
  <si>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</si>
  <si>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</si>
  <si>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</si>
  <si>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</si>
  <si>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</si>
  <si>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</si>
  <si>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</si>
  <si>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</si>
  <si>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</si>
  <si>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</si>
  <si>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</si>
  <si>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</si>
  <si>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</si>
  <si>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</si>
  <si>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</si>
  <si>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</si>
  <si>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</si>
  <si>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</si>
  <si>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</si>
  <si>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</si>
  <si>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</si>
  <si>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акция</t>
  </si>
  <si>
    <t>07,07,26 +600шт в заказ (просьба Босых под сети)</t>
  </si>
  <si>
    <t>5544 Сервелат Финский в/к в/у_45с НОВАЯ ОСТАНКИНО</t>
  </si>
  <si>
    <t>5706 АРОМАТНАЯ Папа может с/к в/у 1/250 8шт.  ОСТАНКИНО</t>
  </si>
  <si>
    <t>дубль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</si>
  <si>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</si>
  <si>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</si>
  <si>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</si>
  <si>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</si>
  <si>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</si>
  <si>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</si>
  <si>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</si>
  <si>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</si>
  <si>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</si>
  <si>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</si>
  <si>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</si>
  <si>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</si>
  <si>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</si>
  <si>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</si>
  <si>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не в матрице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</si>
  <si>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</si>
  <si>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</si>
  <si>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</si>
  <si>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</si>
  <si>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</si>
  <si>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</si>
  <si>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</si>
  <si>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</si>
  <si>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</si>
  <si>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</si>
  <si>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</si>
  <si>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</si>
  <si>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</si>
  <si>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</si>
  <si>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</si>
  <si>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ротация на 1001304197608,СЕРВЕЛАТ ШВЕЙЦАРСК.в/к с/н в/у 1/100_Л11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</si>
  <si>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</si>
  <si>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</si>
  <si>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</si>
  <si>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</si>
  <si>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</si>
  <si>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</si>
  <si>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</si>
  <si>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</si>
  <si>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</si>
  <si>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</si>
  <si>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</si>
  <si>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</si>
  <si>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</si>
  <si>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</si>
  <si>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</si>
  <si>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</si>
  <si>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</si>
  <si>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</si>
  <si>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</si>
  <si>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</si>
  <si>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</si>
  <si>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</si>
  <si>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</si>
  <si>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</si>
  <si>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</si>
  <si>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</si>
  <si>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</si>
  <si>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</si>
  <si>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</si>
  <si>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</si>
  <si>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</si>
  <si>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</si>
  <si>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</si>
  <si>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</si>
  <si>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ВНИМАНИЕ / 7080</t>
  </si>
  <si>
    <t>07,07,26 +600шт в заказ (просьба Босых под сети - просил 700) / нужно увеличить продажи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</si>
  <si>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</si>
  <si>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</si>
  <si>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</si>
  <si>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</si>
  <si>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</si>
  <si>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</si>
  <si>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</si>
  <si>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</si>
  <si>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</si>
  <si>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</si>
  <si>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</si>
  <si>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</si>
  <si>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</si>
  <si>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</si>
  <si>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</si>
  <si>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</si>
  <si>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</si>
  <si>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</si>
  <si>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</si>
  <si>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</si>
  <si>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</si>
  <si>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</si>
  <si>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</si>
  <si>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</si>
  <si>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</si>
  <si>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</si>
  <si>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</si>
  <si>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</si>
  <si>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</si>
  <si>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</si>
  <si>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</si>
  <si>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</si>
  <si>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</si>
  <si>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</si>
  <si>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</si>
  <si>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</si>
  <si>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</si>
  <si>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</si>
  <si>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</si>
  <si>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</si>
  <si>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</si>
  <si>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</si>
  <si>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</si>
  <si>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</si>
  <si>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</si>
  <si>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22 кг в уценку (08,07,26)</t>
  </si>
  <si>
    <t>пересчет +155кг (12,07,26)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</si>
</sst>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7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1" sqref="AG11"/>
    </sheetView>
  </sheetViews>
  <sheetFormatPr defaultRowHeight="15" x14ac:dyDescent="0.25"/>
  <cols>
    <col min="1" max="1" width="60" style="11" customWidth="1"/>
    <col min="2" max="2" width="3" style="11" customWidth="1"/>
    <col min="3" max="4" width="6" style="11" customWidth="1"/>
    <col min="5" max="6" width="7" style="11" customWidth="1"/>
    <col min="7" max="7" width="5" style="3" customWidth="1"/>
    <col min="8" max="8" width="5" style="11" customWidth="1"/>
    <col min="9" max="9" width="12" style="11" customWidth="1"/>
    <col min="10" max="10" width="1" style="11" customWidth="1"/>
    <col min="11" max="12" width="7" style="11" customWidth="1"/>
    <col min="13" max="14" width="0.28515625" style="11" customWidth="1"/>
    <col min="15" max="18" width="7" style="11" customWidth="1"/>
    <col min="19" max="20" width="5" style="11" customWidth="1"/>
    <col min="21" max="27" width="6" style="11" customWidth="1"/>
    <col min="28" max="28" width="56.140625" style="11" customWidth="1"/>
    <col min="29" max="29" width="7" style="11" customWidth="1"/>
    <col min="30" max="30" width="9.7109375" style="11" customWidth="1"/>
    <col min="31" max="48" width="3" style="11" customWidth="1"/>
  </cols>
  <sheetData>
    <row r="1" spans="1:48" x14ac:dyDescent="0.25">
      <c r="A1" s="6"/>
      <c r="B1" s="6"/>
      <c r="C1" s="6"/>
      <c r="D1" s="6"/>
      <c r="E1" s="6"/>
      <c r="F1" s="6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4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9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/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5">
        <f>SUM(E6:E493)</f>
        <v>17779.148000000001</v>
      </c>
      <c r="F5" s="5">
        <f>SUM(F6:F493)</f>
        <v>20376.769000000004</v>
      </c>
      <c r="G5" s="9"/>
      <c r="H5" s="6"/>
      <c r="I5" s="6"/>
      <c r="J5" s="6"/>
      <c r="K5" s="5">
        <f t="shared" ref="K5:R5" si="0">SUM(K6:K493)</f>
        <v>20082.902999999998</v>
      </c>
      <c r="L5" s="5">
        <f t="shared" si="0"/>
        <v>-2303.7549999999997</v>
      </c>
      <c r="M5" s="5">
        <f t="shared" si="0"/>
        <v>0</v>
      </c>
      <c r="N5" s="5">
        <f t="shared" si="0"/>
        <v>0</v>
      </c>
      <c r="O5" s="5">
        <f t="shared" si="0"/>
        <v>10932</v>
      </c>
      <c r="P5" s="5">
        <f t="shared" si="0"/>
        <v>10049</v>
      </c>
      <c r="Q5" s="5">
        <f t="shared" si="0"/>
        <v>3555.8295999999996</v>
      </c>
      <c r="R5" s="5">
        <f t="shared" si="0"/>
        <v>12229.686000000003</v>
      </c>
      <c r="S5" s="6"/>
      <c r="T5" s="6"/>
      <c r="U5" s="5">
        <f t="shared" ref="U5:AA5" si="1">SUM(U6:U493)</f>
        <v>3692.7072000000007</v>
      </c>
      <c r="V5" s="5">
        <f t="shared" si="1"/>
        <v>3896.2230000000009</v>
      </c>
      <c r="W5" s="5">
        <f t="shared" si="1"/>
        <v>5287.8044000000009</v>
      </c>
      <c r="X5" s="5">
        <f t="shared" si="1"/>
        <v>3472.4326000000001</v>
      </c>
      <c r="Y5" s="5">
        <f t="shared" si="1"/>
        <v>3680.8409999999994</v>
      </c>
      <c r="Z5" s="5">
        <f t="shared" si="1"/>
        <v>3589.7323999999994</v>
      </c>
      <c r="AA5" s="5">
        <f t="shared" si="1"/>
        <v>3501.0075999999999</v>
      </c>
      <c r="AB5" s="6"/>
      <c r="AC5" s="5">
        <f>SUM(AC6:AC493)</f>
        <v>6683.7140000000018</v>
      </c>
      <c r="AD5" s="6" t="s">
        <v>34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31</v>
      </c>
      <c r="B6" s="6" t="s">
        <v>32</v>
      </c>
      <c r="C6" s="6">
        <v>330</v>
      </c>
      <c r="D6" s="6">
        <v>498</v>
      </c>
      <c r="E6" s="6">
        <v>313</v>
      </c>
      <c r="F6" s="6">
        <v>66</v>
      </c>
      <c r="G6" s="9">
        <v>0.4</v>
      </c>
      <c r="H6" s="6">
        <v>60</v>
      </c>
      <c r="I6" s="6">
        <v>3215</v>
      </c>
      <c r="J6" s="6"/>
      <c r="K6" s="6">
        <v>316</v>
      </c>
      <c r="L6" s="6">
        <f t="shared" ref="L6:L37" si="2">E6-K6</f>
        <v>-3</v>
      </c>
      <c r="M6" s="6"/>
      <c r="N6" s="6"/>
      <c r="O6" s="6">
        <v>312</v>
      </c>
      <c r="P6" s="6">
        <v>469</v>
      </c>
      <c r="Q6" s="6">
        <f t="shared" ref="Q6:Q37" si="3">E6/5</f>
        <v>62.6</v>
      </c>
      <c r="R6" s="10">
        <f>15*Q6-P6-O6-F6</f>
        <v>92</v>
      </c>
      <c r="S6" s="6">
        <f t="shared" ref="S6:S37" si="4">(F6+O6+P6+R6)/Q6</f>
        <v>15</v>
      </c>
      <c r="T6" s="6">
        <f t="shared" ref="T6:T37" si="5">(F6+O6+P6)/Q6</f>
        <v>13.530351437699681</v>
      </c>
      <c r="U6" s="6">
        <v>77.400000000000006</v>
      </c>
      <c r="V6" s="6">
        <v>50</v>
      </c>
      <c r="W6" s="6">
        <v>76.400000000000006</v>
      </c>
      <c r="X6" s="6">
        <v>59.8</v>
      </c>
      <c r="Y6" s="6">
        <v>79.8</v>
      </c>
      <c r="Z6" s="6">
        <v>60.4</v>
      </c>
      <c r="AA6" s="6">
        <v>56.2</v>
      </c>
      <c r="AB6" s="6"/>
      <c r="AC6" s="6">
        <f t="shared" ref="AC6:AC17" si="6">G6*R6</f>
        <v>36.800000000000004</v>
      </c>
      <c r="AD6" s="6">
        <f>(Q6+U6+V6+W6+X6+Y6+Z6+AA6)/8*G6</f>
        <v>26.130000000000003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33</v>
      </c>
      <c r="B7" s="6" t="s">
        <v>34</v>
      </c>
      <c r="C7" s="6">
        <v>19.655000000000001</v>
      </c>
      <c r="D7" s="6">
        <v>28.571999999999999</v>
      </c>
      <c r="E7" s="6">
        <v>7.04</v>
      </c>
      <c r="F7" s="6">
        <v>20.600999999999999</v>
      </c>
      <c r="G7" s="9">
        <v>1</v>
      </c>
      <c r="H7" s="6">
        <v>120</v>
      </c>
      <c r="I7" s="6">
        <v>3287</v>
      </c>
      <c r="J7" s="6"/>
      <c r="K7" s="6">
        <v>23.1</v>
      </c>
      <c r="L7" s="6">
        <f t="shared" si="2"/>
        <v>-16.060000000000002</v>
      </c>
      <c r="M7" s="6"/>
      <c r="N7" s="6"/>
      <c r="O7" s="6">
        <v>0</v>
      </c>
      <c r="P7" s="6"/>
      <c r="Q7" s="6">
        <f t="shared" si="3"/>
        <v>1.4079999999999999</v>
      </c>
      <c r="R7" s="10">
        <f>20*Q7-P7-O7-F7</f>
        <v>7.5589999999999975</v>
      </c>
      <c r="S7" s="6">
        <f t="shared" si="4"/>
        <v>20</v>
      </c>
      <c r="T7" s="6">
        <f t="shared" si="5"/>
        <v>14.631392045454545</v>
      </c>
      <c r="U7" s="6">
        <v>0.70300000000000007</v>
      </c>
      <c r="V7" s="6">
        <v>1.204</v>
      </c>
      <c r="W7" s="6">
        <v>1.9656</v>
      </c>
      <c r="X7" s="6">
        <v>1.6342000000000001</v>
      </c>
      <c r="Y7" s="6">
        <v>1.167</v>
      </c>
      <c r="Z7" s="6">
        <v>0.98599999999999999</v>
      </c>
      <c r="AA7" s="6">
        <v>1.5744</v>
      </c>
      <c r="AB7" s="6" t="s">
        <v>35</v>
      </c>
      <c r="AC7" s="6">
        <f t="shared" si="6"/>
        <v>7.5589999999999975</v>
      </c>
      <c r="AD7" s="6">
        <f t="shared" ref="AD7:AD70" si="7">(Q7+U7+V7+W7+X7+Y7+Z7+AA7)/8*G7</f>
        <v>1.3302750000000001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7" t="s">
        <v>36</v>
      </c>
      <c r="B8" s="6" t="s">
        <v>32</v>
      </c>
      <c r="C8" s="6">
        <v>155</v>
      </c>
      <c r="D8" s="6">
        <v>270</v>
      </c>
      <c r="E8" s="17">
        <f>159+E18</f>
        <v>160</v>
      </c>
      <c r="F8" s="6">
        <v>16</v>
      </c>
      <c r="G8" s="9">
        <v>0.25</v>
      </c>
      <c r="H8" s="6">
        <v>120</v>
      </c>
      <c r="I8" s="6">
        <v>3986</v>
      </c>
      <c r="J8" s="6"/>
      <c r="K8" s="6">
        <v>201</v>
      </c>
      <c r="L8" s="6">
        <f t="shared" si="2"/>
        <v>-41</v>
      </c>
      <c r="M8" s="6"/>
      <c r="N8" s="6"/>
      <c r="O8" s="6">
        <v>211</v>
      </c>
      <c r="P8" s="6">
        <v>316</v>
      </c>
      <c r="Q8" s="6">
        <f t="shared" si="3"/>
        <v>32</v>
      </c>
      <c r="R8" s="10">
        <f>20*Q8-P8-O8-F8</f>
        <v>97</v>
      </c>
      <c r="S8" s="6">
        <f t="shared" si="4"/>
        <v>20</v>
      </c>
      <c r="T8" s="6">
        <f t="shared" si="5"/>
        <v>16.96875</v>
      </c>
      <c r="U8" s="6">
        <v>56.8</v>
      </c>
      <c r="V8" s="6">
        <v>27</v>
      </c>
      <c r="W8" s="6">
        <v>45.8</v>
      </c>
      <c r="X8" s="6">
        <v>42.2</v>
      </c>
      <c r="Y8" s="6">
        <v>25.8</v>
      </c>
      <c r="Z8" s="6">
        <v>49.4</v>
      </c>
      <c r="AA8" s="6">
        <v>55.2</v>
      </c>
      <c r="AB8" s="7" t="s">
        <v>35</v>
      </c>
      <c r="AC8" s="6">
        <f t="shared" si="6"/>
        <v>24.25</v>
      </c>
      <c r="AD8" s="6">
        <f t="shared" si="7"/>
        <v>10.44375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37</v>
      </c>
      <c r="B9" s="6" t="s">
        <v>34</v>
      </c>
      <c r="C9" s="6">
        <v>1225.318</v>
      </c>
      <c r="D9" s="6">
        <v>1714.614</v>
      </c>
      <c r="E9" s="6">
        <v>897.80600000000004</v>
      </c>
      <c r="F9" s="6">
        <v>1158.201</v>
      </c>
      <c r="G9" s="9">
        <v>1</v>
      </c>
      <c r="H9" s="6">
        <v>60</v>
      </c>
      <c r="I9" s="6">
        <v>4063</v>
      </c>
      <c r="J9" s="6"/>
      <c r="K9" s="6">
        <v>919</v>
      </c>
      <c r="L9" s="6">
        <f t="shared" si="2"/>
        <v>-21.19399999999996</v>
      </c>
      <c r="M9" s="6"/>
      <c r="N9" s="6"/>
      <c r="O9" s="6">
        <v>303</v>
      </c>
      <c r="P9" s="6">
        <v>453</v>
      </c>
      <c r="Q9" s="6">
        <f t="shared" si="3"/>
        <v>179.56120000000001</v>
      </c>
      <c r="R9" s="10">
        <f t="shared" ref="R9:R17" si="8">15*Q9-P9-O9-F9</f>
        <v>779.2170000000001</v>
      </c>
      <c r="S9" s="6">
        <f t="shared" si="4"/>
        <v>15</v>
      </c>
      <c r="T9" s="6">
        <f t="shared" si="5"/>
        <v>10.660437778317364</v>
      </c>
      <c r="U9" s="6">
        <v>188.56039999999999</v>
      </c>
      <c r="V9" s="6">
        <v>210.9682</v>
      </c>
      <c r="W9" s="6">
        <v>273.19080000000002</v>
      </c>
      <c r="X9" s="6">
        <v>182.46039999999999</v>
      </c>
      <c r="Y9" s="6">
        <v>221.37100000000001</v>
      </c>
      <c r="Z9" s="6">
        <v>197.34700000000001</v>
      </c>
      <c r="AA9" s="6">
        <v>222.8562</v>
      </c>
      <c r="AB9" s="6"/>
      <c r="AC9" s="6">
        <f t="shared" si="6"/>
        <v>779.2170000000001</v>
      </c>
      <c r="AD9" s="6">
        <f t="shared" si="7"/>
        <v>209.5394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38</v>
      </c>
      <c r="B10" s="6" t="s">
        <v>34</v>
      </c>
      <c r="C10" s="6">
        <v>74.394000000000005</v>
      </c>
      <c r="D10" s="6">
        <v>4.5</v>
      </c>
      <c r="E10" s="6">
        <v>22.286999999999999</v>
      </c>
      <c r="F10" s="6">
        <v>51.613999999999997</v>
      </c>
      <c r="G10" s="9">
        <v>1</v>
      </c>
      <c r="H10" s="6">
        <v>120</v>
      </c>
      <c r="I10" s="6">
        <v>4117</v>
      </c>
      <c r="J10" s="6"/>
      <c r="K10" s="6">
        <v>24.1</v>
      </c>
      <c r="L10" s="6">
        <f t="shared" si="2"/>
        <v>-1.8130000000000024</v>
      </c>
      <c r="M10" s="6"/>
      <c r="N10" s="6"/>
      <c r="O10" s="6">
        <v>0</v>
      </c>
      <c r="P10" s="6"/>
      <c r="Q10" s="6">
        <f t="shared" si="3"/>
        <v>4.4573999999999998</v>
      </c>
      <c r="R10" s="10">
        <f t="shared" si="8"/>
        <v>15.246999999999993</v>
      </c>
      <c r="S10" s="6">
        <f t="shared" si="4"/>
        <v>14.999999999999998</v>
      </c>
      <c r="T10" s="6">
        <f t="shared" si="5"/>
        <v>11.57939606048369</v>
      </c>
      <c r="U10" s="6">
        <v>2.1379999999999999</v>
      </c>
      <c r="V10" s="6">
        <v>1.2092000000000001</v>
      </c>
      <c r="W10" s="6">
        <v>6.8614000000000006</v>
      </c>
      <c r="X10" s="6">
        <v>1.8819999999999999</v>
      </c>
      <c r="Y10" s="6">
        <v>0.79900000000000004</v>
      </c>
      <c r="Z10" s="6">
        <v>6.34</v>
      </c>
      <c r="AA10" s="6">
        <v>3.8715999999999999</v>
      </c>
      <c r="AB10" s="6"/>
      <c r="AC10" s="6">
        <f t="shared" si="6"/>
        <v>15.246999999999993</v>
      </c>
      <c r="AD10" s="6">
        <f t="shared" si="7"/>
        <v>3.4448250000000002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40</v>
      </c>
      <c r="B11" s="6" t="s">
        <v>34</v>
      </c>
      <c r="C11" s="6">
        <v>201.42</v>
      </c>
      <c r="D11" s="6">
        <v>244.60900000000001</v>
      </c>
      <c r="E11" s="6">
        <v>114.913</v>
      </c>
      <c r="F11" s="6">
        <v>291.93700000000001</v>
      </c>
      <c r="G11" s="9">
        <v>1</v>
      </c>
      <c r="H11" s="6">
        <v>60</v>
      </c>
      <c r="I11" s="6">
        <v>4574</v>
      </c>
      <c r="J11" s="6"/>
      <c r="K11" s="6">
        <v>116.8</v>
      </c>
      <c r="L11" s="6">
        <f t="shared" si="2"/>
        <v>-1.8870000000000005</v>
      </c>
      <c r="M11" s="6"/>
      <c r="N11" s="6"/>
      <c r="O11" s="6">
        <v>0</v>
      </c>
      <c r="P11" s="6"/>
      <c r="Q11" s="6">
        <f t="shared" si="3"/>
        <v>22.982599999999998</v>
      </c>
      <c r="R11" s="10">
        <f t="shared" si="8"/>
        <v>52.801999999999964</v>
      </c>
      <c r="S11" s="6">
        <f t="shared" si="4"/>
        <v>15</v>
      </c>
      <c r="T11" s="6">
        <f t="shared" si="5"/>
        <v>12.702522778101695</v>
      </c>
      <c r="U11" s="6">
        <v>20.1874</v>
      </c>
      <c r="V11" s="6">
        <v>35.412799999999997</v>
      </c>
      <c r="W11" s="6">
        <v>36.8416</v>
      </c>
      <c r="X11" s="6">
        <v>21.529199999999999</v>
      </c>
      <c r="Y11" s="6">
        <v>24.9114</v>
      </c>
      <c r="Z11" s="6">
        <v>29.545400000000001</v>
      </c>
      <c r="AA11" s="6">
        <v>27.542200000000001</v>
      </c>
      <c r="AB11" s="6"/>
      <c r="AC11" s="6">
        <f t="shared" si="6"/>
        <v>52.801999999999964</v>
      </c>
      <c r="AD11" s="6">
        <f t="shared" si="7"/>
        <v>27.369075000000002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41</v>
      </c>
      <c r="B12" s="6" t="s">
        <v>34</v>
      </c>
      <c r="C12" s="6">
        <v>457.09199999999998</v>
      </c>
      <c r="D12" s="6">
        <v>835.69299999999998</v>
      </c>
      <c r="E12" s="6">
        <v>427.14100000000002</v>
      </c>
      <c r="F12" s="6">
        <v>477.238</v>
      </c>
      <c r="G12" s="9">
        <v>1</v>
      </c>
      <c r="H12" s="6">
        <v>60</v>
      </c>
      <c r="I12" s="6">
        <v>4813</v>
      </c>
      <c r="J12" s="6"/>
      <c r="K12" s="6">
        <v>450</v>
      </c>
      <c r="L12" s="6">
        <f t="shared" si="2"/>
        <v>-22.85899999999998</v>
      </c>
      <c r="M12" s="6"/>
      <c r="N12" s="6"/>
      <c r="O12" s="6">
        <v>237</v>
      </c>
      <c r="P12" s="6">
        <v>355</v>
      </c>
      <c r="Q12" s="6">
        <f t="shared" si="3"/>
        <v>85.428200000000004</v>
      </c>
      <c r="R12" s="10">
        <f t="shared" si="8"/>
        <v>212.185</v>
      </c>
      <c r="S12" s="6">
        <f t="shared" si="4"/>
        <v>15</v>
      </c>
      <c r="T12" s="6">
        <f t="shared" si="5"/>
        <v>12.516218297939089</v>
      </c>
      <c r="U12" s="6">
        <v>98.685399999999987</v>
      </c>
      <c r="V12" s="6">
        <v>97.275999999999996</v>
      </c>
      <c r="W12" s="6">
        <v>103.453</v>
      </c>
      <c r="X12" s="6">
        <v>79.201400000000007</v>
      </c>
      <c r="Y12" s="6">
        <v>95.4328</v>
      </c>
      <c r="Z12" s="6">
        <v>114.4444</v>
      </c>
      <c r="AA12" s="6">
        <v>86.782200000000003</v>
      </c>
      <c r="AB12" s="6"/>
      <c r="AC12" s="6">
        <f t="shared" si="6"/>
        <v>212.185</v>
      </c>
      <c r="AD12" s="6">
        <f t="shared" si="7"/>
        <v>95.087924999999998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42</v>
      </c>
      <c r="B13" s="6" t="s">
        <v>32</v>
      </c>
      <c r="C13" s="6">
        <v>159</v>
      </c>
      <c r="D13" s="6">
        <v>120</v>
      </c>
      <c r="E13" s="6">
        <v>42</v>
      </c>
      <c r="F13" s="6">
        <v>156</v>
      </c>
      <c r="G13" s="9">
        <v>0.25</v>
      </c>
      <c r="H13" s="6">
        <v>120</v>
      </c>
      <c r="I13" s="6">
        <v>4993</v>
      </c>
      <c r="J13" s="6"/>
      <c r="K13" s="6">
        <v>63</v>
      </c>
      <c r="L13" s="6">
        <f t="shared" si="2"/>
        <v>-21</v>
      </c>
      <c r="M13" s="6"/>
      <c r="N13" s="6"/>
      <c r="O13" s="6">
        <v>0</v>
      </c>
      <c r="P13" s="6"/>
      <c r="Q13" s="6">
        <f t="shared" si="3"/>
        <v>8.4</v>
      </c>
      <c r="R13" s="10">
        <f>20*Q13-P13-O13-F13</f>
        <v>12</v>
      </c>
      <c r="S13" s="6">
        <f t="shared" si="4"/>
        <v>20</v>
      </c>
      <c r="T13" s="6">
        <f t="shared" si="5"/>
        <v>18.571428571428569</v>
      </c>
      <c r="U13" s="6">
        <v>8.4</v>
      </c>
      <c r="V13" s="6">
        <v>17.399999999999999</v>
      </c>
      <c r="W13" s="6">
        <v>20.097200000000001</v>
      </c>
      <c r="X13" s="6">
        <v>15.8</v>
      </c>
      <c r="Y13" s="6">
        <v>13.2</v>
      </c>
      <c r="Z13" s="6">
        <v>23</v>
      </c>
      <c r="AA13" s="6">
        <v>14.2</v>
      </c>
      <c r="AB13" s="6" t="s">
        <v>35</v>
      </c>
      <c r="AC13" s="6">
        <f t="shared" si="6"/>
        <v>3</v>
      </c>
      <c r="AD13" s="6">
        <f t="shared" si="7"/>
        <v>3.7655375000000002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43</v>
      </c>
      <c r="B14" s="6" t="s">
        <v>34</v>
      </c>
      <c r="C14" s="6">
        <v>59.313000000000002</v>
      </c>
      <c r="D14" s="6">
        <v>148.584</v>
      </c>
      <c r="E14" s="6">
        <v>53.401000000000003</v>
      </c>
      <c r="F14" s="6">
        <v>132.13399999999999</v>
      </c>
      <c r="G14" s="9">
        <v>1</v>
      </c>
      <c r="H14" s="6">
        <v>60</v>
      </c>
      <c r="I14" s="6">
        <v>5452</v>
      </c>
      <c r="J14" s="6"/>
      <c r="K14" s="6">
        <v>53.7</v>
      </c>
      <c r="L14" s="6">
        <f t="shared" si="2"/>
        <v>-0.29899999999999949</v>
      </c>
      <c r="M14" s="6"/>
      <c r="N14" s="6"/>
      <c r="O14" s="6">
        <v>161</v>
      </c>
      <c r="P14" s="6"/>
      <c r="Q14" s="6">
        <f t="shared" si="3"/>
        <v>10.680200000000001</v>
      </c>
      <c r="R14" s="10"/>
      <c r="S14" s="6">
        <f t="shared" si="4"/>
        <v>27.446489766109249</v>
      </c>
      <c r="T14" s="6">
        <f t="shared" si="5"/>
        <v>27.446489766109249</v>
      </c>
      <c r="U14" s="6">
        <v>23.291399999999999</v>
      </c>
      <c r="V14" s="6">
        <v>15.771800000000001</v>
      </c>
      <c r="W14" s="6">
        <v>13.082800000000001</v>
      </c>
      <c r="X14" s="6">
        <v>7.8231999999999999</v>
      </c>
      <c r="Y14" s="6">
        <v>13.077400000000001</v>
      </c>
      <c r="Z14" s="6">
        <v>11.439399999999999</v>
      </c>
      <c r="AA14" s="6">
        <v>10.8256</v>
      </c>
      <c r="AB14" s="6"/>
      <c r="AC14" s="6">
        <f t="shared" si="6"/>
        <v>0</v>
      </c>
      <c r="AD14" s="6">
        <f t="shared" si="7"/>
        <v>13.248975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44</v>
      </c>
      <c r="B15" s="6" t="s">
        <v>32</v>
      </c>
      <c r="C15" s="6">
        <v>400</v>
      </c>
      <c r="D15" s="6">
        <v>54</v>
      </c>
      <c r="E15" s="6">
        <v>50</v>
      </c>
      <c r="F15" s="6">
        <v>360</v>
      </c>
      <c r="G15" s="9">
        <v>0.25</v>
      </c>
      <c r="H15" s="6">
        <v>120</v>
      </c>
      <c r="I15" s="6">
        <v>5483</v>
      </c>
      <c r="J15" s="6"/>
      <c r="K15" s="6">
        <v>55</v>
      </c>
      <c r="L15" s="6">
        <f t="shared" si="2"/>
        <v>-5</v>
      </c>
      <c r="M15" s="6"/>
      <c r="N15" s="6"/>
      <c r="O15" s="6">
        <v>0</v>
      </c>
      <c r="P15" s="6"/>
      <c r="Q15" s="6">
        <f t="shared" si="3"/>
        <v>10</v>
      </c>
      <c r="R15" s="10"/>
      <c r="S15" s="6">
        <f t="shared" si="4"/>
        <v>36</v>
      </c>
      <c r="T15" s="6">
        <f t="shared" si="5"/>
        <v>36</v>
      </c>
      <c r="U15" s="6">
        <v>10.4</v>
      </c>
      <c r="V15" s="6">
        <v>14</v>
      </c>
      <c r="W15" s="6">
        <v>13.6</v>
      </c>
      <c r="X15" s="6">
        <v>61</v>
      </c>
      <c r="Y15" s="6">
        <v>10.4</v>
      </c>
      <c r="Z15" s="6">
        <v>34</v>
      </c>
      <c r="AA15" s="6">
        <v>20.2</v>
      </c>
      <c r="AB15" s="18" t="s">
        <v>45</v>
      </c>
      <c r="AC15" s="6">
        <f t="shared" si="6"/>
        <v>0</v>
      </c>
      <c r="AD15" s="6">
        <f t="shared" si="7"/>
        <v>5.4249999999999998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46</v>
      </c>
      <c r="B16" s="6" t="s">
        <v>32</v>
      </c>
      <c r="C16" s="6"/>
      <c r="D16" s="6">
        <v>3357</v>
      </c>
      <c r="E16" s="6">
        <v>1356</v>
      </c>
      <c r="F16" s="6">
        <v>489</v>
      </c>
      <c r="G16" s="9">
        <v>0.4</v>
      </c>
      <c r="H16" s="6">
        <v>60</v>
      </c>
      <c r="I16" s="16" t="s">
        <v>47</v>
      </c>
      <c r="J16" s="6"/>
      <c r="K16" s="6">
        <v>1416</v>
      </c>
      <c r="L16" s="6">
        <f t="shared" si="2"/>
        <v>-60</v>
      </c>
      <c r="M16" s="6"/>
      <c r="N16" s="6"/>
      <c r="O16" s="6">
        <v>240</v>
      </c>
      <c r="P16" s="6">
        <v>360</v>
      </c>
      <c r="Q16" s="6">
        <f t="shared" si="3"/>
        <v>271.2</v>
      </c>
      <c r="R16" s="10">
        <v>500</v>
      </c>
      <c r="S16" s="6">
        <f t="shared" si="4"/>
        <v>5.8591445427728619</v>
      </c>
      <c r="T16" s="6">
        <f t="shared" si="5"/>
        <v>4.0154867256637168</v>
      </c>
      <c r="U16" s="6">
        <v>117.8</v>
      </c>
      <c r="V16" s="6">
        <v>83.6</v>
      </c>
      <c r="W16" s="6">
        <v>90.4</v>
      </c>
      <c r="X16" s="6">
        <v>68</v>
      </c>
      <c r="Y16" s="6">
        <v>82.4</v>
      </c>
      <c r="Z16" s="6">
        <v>65.400000000000006</v>
      </c>
      <c r="AA16" s="6">
        <v>74.8</v>
      </c>
      <c r="AB16" s="6" t="s">
        <v>48</v>
      </c>
      <c r="AC16" s="6">
        <f t="shared" si="6"/>
        <v>200</v>
      </c>
      <c r="AD16" s="6">
        <f t="shared" si="7"/>
        <v>42.68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49</v>
      </c>
      <c r="B17" s="6" t="s">
        <v>34</v>
      </c>
      <c r="C17" s="6">
        <v>324.83800000000002</v>
      </c>
      <c r="D17" s="6">
        <v>459.46300000000002</v>
      </c>
      <c r="E17" s="6">
        <v>293.88799999999998</v>
      </c>
      <c r="F17" s="6">
        <v>326.84399999999999</v>
      </c>
      <c r="G17" s="9">
        <v>1</v>
      </c>
      <c r="H17" s="6">
        <v>45</v>
      </c>
      <c r="I17" s="6">
        <v>5544</v>
      </c>
      <c r="J17" s="6"/>
      <c r="K17" s="6">
        <v>291.10000000000002</v>
      </c>
      <c r="L17" s="6">
        <f t="shared" si="2"/>
        <v>2.7879999999999541</v>
      </c>
      <c r="M17" s="6"/>
      <c r="N17" s="6"/>
      <c r="O17" s="6">
        <v>216</v>
      </c>
      <c r="P17" s="6"/>
      <c r="Q17" s="6">
        <f t="shared" si="3"/>
        <v>58.777599999999993</v>
      </c>
      <c r="R17" s="10">
        <f t="shared" si="8"/>
        <v>338.81999999999988</v>
      </c>
      <c r="S17" s="6">
        <f t="shared" si="4"/>
        <v>15.000000000000002</v>
      </c>
      <c r="T17" s="6">
        <f t="shared" si="5"/>
        <v>9.2355591245644622</v>
      </c>
      <c r="U17" s="6">
        <v>55.939200000000007</v>
      </c>
      <c r="V17" s="6">
        <v>60.511800000000008</v>
      </c>
      <c r="W17" s="6">
        <v>76.385400000000004</v>
      </c>
      <c r="X17" s="6">
        <v>56.423400000000001</v>
      </c>
      <c r="Y17" s="6">
        <v>67.234400000000008</v>
      </c>
      <c r="Z17" s="6">
        <v>65.8172</v>
      </c>
      <c r="AA17" s="6">
        <v>70.875</v>
      </c>
      <c r="AB17" s="6"/>
      <c r="AC17" s="6">
        <f t="shared" si="6"/>
        <v>338.81999999999988</v>
      </c>
      <c r="AD17" s="6">
        <f t="shared" si="7"/>
        <v>63.995500000000007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12" t="s">
        <v>50</v>
      </c>
      <c r="B18" s="12" t="s">
        <v>32</v>
      </c>
      <c r="C18" s="12"/>
      <c r="D18" s="12">
        <v>1</v>
      </c>
      <c r="E18" s="17">
        <v>1</v>
      </c>
      <c r="F18" s="12"/>
      <c r="G18" s="13">
        <v>0</v>
      </c>
      <c r="H18" s="12"/>
      <c r="I18" s="14" t="s">
        <v>51</v>
      </c>
      <c r="J18" s="14" t="s">
        <v>36</v>
      </c>
      <c r="K18" s="12">
        <v>1</v>
      </c>
      <c r="L18" s="12">
        <f t="shared" si="2"/>
        <v>0</v>
      </c>
      <c r="M18" s="12"/>
      <c r="N18" s="12"/>
      <c r="O18" s="12"/>
      <c r="P18" s="12"/>
      <c r="Q18" s="12">
        <f t="shared" si="3"/>
        <v>0.2</v>
      </c>
      <c r="R18" s="15"/>
      <c r="S18" s="12">
        <f t="shared" si="4"/>
        <v>0</v>
      </c>
      <c r="T18" s="12">
        <f t="shared" si="5"/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/>
      <c r="AC18" s="12"/>
      <c r="AD18" s="6">
        <f t="shared" si="7"/>
        <v>0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52</v>
      </c>
      <c r="B19" s="6" t="s">
        <v>34</v>
      </c>
      <c r="C19" s="6">
        <v>-4.0000000000000001E-3</v>
      </c>
      <c r="D19" s="6">
        <v>29.466000000000001</v>
      </c>
      <c r="E19" s="6">
        <v>4.92</v>
      </c>
      <c r="F19" s="6">
        <v>21.574000000000002</v>
      </c>
      <c r="G19" s="9">
        <v>1</v>
      </c>
      <c r="H19" s="6">
        <v>120</v>
      </c>
      <c r="I19" s="6">
        <v>5708</v>
      </c>
      <c r="J19" s="6"/>
      <c r="K19" s="6">
        <v>8.1</v>
      </c>
      <c r="L19" s="6">
        <f t="shared" si="2"/>
        <v>-3.1799999999999997</v>
      </c>
      <c r="M19" s="6"/>
      <c r="N19" s="6"/>
      <c r="O19" s="6">
        <v>6</v>
      </c>
      <c r="P19" s="6"/>
      <c r="Q19" s="6">
        <f t="shared" si="3"/>
        <v>0.98399999999999999</v>
      </c>
      <c r="R19" s="10"/>
      <c r="S19" s="6">
        <f t="shared" si="4"/>
        <v>28.022357723577237</v>
      </c>
      <c r="T19" s="6">
        <f t="shared" si="5"/>
        <v>28.022357723577237</v>
      </c>
      <c r="U19" s="6">
        <v>2.4192</v>
      </c>
      <c r="V19" s="6">
        <v>2.4304000000000001</v>
      </c>
      <c r="W19" s="6">
        <v>0.68220000000000003</v>
      </c>
      <c r="X19" s="6">
        <v>2.8746</v>
      </c>
      <c r="Y19" s="6">
        <v>0.99380000000000002</v>
      </c>
      <c r="Z19" s="6">
        <v>3.379</v>
      </c>
      <c r="AA19" s="6">
        <v>9.8799999999999999E-2</v>
      </c>
      <c r="AB19" s="6" t="s">
        <v>35</v>
      </c>
      <c r="AC19" s="6">
        <f t="shared" ref="AC19:AC27" si="9">G19*R19</f>
        <v>0</v>
      </c>
      <c r="AD19" s="6">
        <f t="shared" si="7"/>
        <v>1.73275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53</v>
      </c>
      <c r="B20" s="6" t="s">
        <v>32</v>
      </c>
      <c r="C20" s="6">
        <v>79</v>
      </c>
      <c r="D20" s="6">
        <v>894</v>
      </c>
      <c r="E20" s="6">
        <v>283</v>
      </c>
      <c r="F20" s="6">
        <v>147</v>
      </c>
      <c r="G20" s="9">
        <v>0.4</v>
      </c>
      <c r="H20" s="6">
        <v>45</v>
      </c>
      <c r="I20" s="6">
        <v>5819</v>
      </c>
      <c r="J20" s="6"/>
      <c r="K20" s="6">
        <v>312</v>
      </c>
      <c r="L20" s="6">
        <f t="shared" si="2"/>
        <v>-29</v>
      </c>
      <c r="M20" s="6"/>
      <c r="N20" s="6"/>
      <c r="O20" s="6">
        <v>231</v>
      </c>
      <c r="P20" s="6">
        <v>346</v>
      </c>
      <c r="Q20" s="6">
        <f t="shared" si="3"/>
        <v>56.6</v>
      </c>
      <c r="R20" s="10">
        <f t="shared" ref="R20:R26" si="10">15*Q20-P20-O20-F20</f>
        <v>125</v>
      </c>
      <c r="S20" s="6">
        <f t="shared" si="4"/>
        <v>15</v>
      </c>
      <c r="T20" s="6">
        <f t="shared" si="5"/>
        <v>12.791519434628976</v>
      </c>
      <c r="U20" s="6">
        <v>68.2</v>
      </c>
      <c r="V20" s="6">
        <v>54.6</v>
      </c>
      <c r="W20" s="6">
        <v>56.6</v>
      </c>
      <c r="X20" s="6">
        <v>67.400000000000006</v>
      </c>
      <c r="Y20" s="6">
        <v>44</v>
      </c>
      <c r="Z20" s="6">
        <v>55</v>
      </c>
      <c r="AA20" s="6">
        <v>71.2</v>
      </c>
      <c r="AB20" s="6"/>
      <c r="AC20" s="6">
        <f t="shared" si="9"/>
        <v>50</v>
      </c>
      <c r="AD20" s="6">
        <f t="shared" si="7"/>
        <v>23.68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54</v>
      </c>
      <c r="B21" s="6" t="s">
        <v>34</v>
      </c>
      <c r="C21" s="6">
        <v>404.62599999999998</v>
      </c>
      <c r="D21" s="6">
        <v>166.649</v>
      </c>
      <c r="E21" s="6">
        <v>154.24100000000001</v>
      </c>
      <c r="F21" s="6">
        <v>317.678</v>
      </c>
      <c r="G21" s="9">
        <v>1</v>
      </c>
      <c r="H21" s="6">
        <v>60</v>
      </c>
      <c r="I21" s="6">
        <v>5851</v>
      </c>
      <c r="J21" s="6"/>
      <c r="K21" s="6">
        <v>163</v>
      </c>
      <c r="L21" s="6">
        <f t="shared" si="2"/>
        <v>-8.7589999999999861</v>
      </c>
      <c r="M21" s="6"/>
      <c r="N21" s="6"/>
      <c r="O21" s="6">
        <v>159</v>
      </c>
      <c r="P21" s="6">
        <v>238</v>
      </c>
      <c r="Q21" s="6">
        <f t="shared" si="3"/>
        <v>30.848200000000002</v>
      </c>
      <c r="R21" s="10"/>
      <c r="S21" s="6">
        <f t="shared" si="4"/>
        <v>23.167575417690497</v>
      </c>
      <c r="T21" s="6">
        <f t="shared" si="5"/>
        <v>23.167575417690497</v>
      </c>
      <c r="U21" s="6">
        <v>57.430399999999999</v>
      </c>
      <c r="V21" s="6">
        <v>43.7378</v>
      </c>
      <c r="W21" s="6">
        <v>68.502600000000001</v>
      </c>
      <c r="X21" s="6">
        <v>41.588000000000001</v>
      </c>
      <c r="Y21" s="6">
        <v>50.5824</v>
      </c>
      <c r="Z21" s="6">
        <v>56.876399999999997</v>
      </c>
      <c r="AA21" s="6">
        <v>42.729599999999998</v>
      </c>
      <c r="AB21" s="18" t="s">
        <v>45</v>
      </c>
      <c r="AC21" s="6">
        <f t="shared" si="9"/>
        <v>0</v>
      </c>
      <c r="AD21" s="6">
        <f t="shared" si="7"/>
        <v>49.036924999999997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55</v>
      </c>
      <c r="B22" s="6" t="s">
        <v>32</v>
      </c>
      <c r="C22" s="6">
        <v>208</v>
      </c>
      <c r="D22" s="6">
        <v>145</v>
      </c>
      <c r="E22" s="6">
        <v>180</v>
      </c>
      <c r="F22" s="6">
        <v>124</v>
      </c>
      <c r="G22" s="9">
        <v>0.22</v>
      </c>
      <c r="H22" s="6">
        <v>120</v>
      </c>
      <c r="I22" s="6">
        <v>5931</v>
      </c>
      <c r="J22" s="6"/>
      <c r="K22" s="6">
        <v>192</v>
      </c>
      <c r="L22" s="6">
        <f t="shared" si="2"/>
        <v>-12</v>
      </c>
      <c r="M22" s="6"/>
      <c r="N22" s="6"/>
      <c r="O22" s="6">
        <v>128</v>
      </c>
      <c r="P22" s="6">
        <v>191</v>
      </c>
      <c r="Q22" s="6">
        <f t="shared" si="3"/>
        <v>36</v>
      </c>
      <c r="R22" s="10">
        <f>20*Q22-P22-O22-F22</f>
        <v>277</v>
      </c>
      <c r="S22" s="6">
        <f t="shared" si="4"/>
        <v>20</v>
      </c>
      <c r="T22" s="6">
        <f t="shared" si="5"/>
        <v>12.305555555555555</v>
      </c>
      <c r="U22" s="6">
        <v>41.8</v>
      </c>
      <c r="V22" s="6">
        <v>34.799999999999997</v>
      </c>
      <c r="W22" s="6">
        <v>44</v>
      </c>
      <c r="X22" s="6">
        <v>26.4</v>
      </c>
      <c r="Y22" s="6">
        <v>17.2</v>
      </c>
      <c r="Z22" s="6">
        <v>28.8</v>
      </c>
      <c r="AA22" s="6">
        <v>17.399999999999999</v>
      </c>
      <c r="AB22" s="6" t="s">
        <v>35</v>
      </c>
      <c r="AC22" s="6">
        <f t="shared" si="9"/>
        <v>60.94</v>
      </c>
      <c r="AD22" s="6">
        <f t="shared" si="7"/>
        <v>6.7759999999999998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56</v>
      </c>
      <c r="B23" s="6" t="s">
        <v>34</v>
      </c>
      <c r="C23" s="6">
        <v>90.85</v>
      </c>
      <c r="D23" s="6">
        <v>4.8920000000000003</v>
      </c>
      <c r="E23" s="6">
        <v>22.315999999999999</v>
      </c>
      <c r="F23" s="6">
        <v>73.426000000000002</v>
      </c>
      <c r="G23" s="9">
        <v>1</v>
      </c>
      <c r="H23" s="6">
        <v>40</v>
      </c>
      <c r="I23" s="6"/>
      <c r="J23" s="6"/>
      <c r="K23" s="6">
        <v>25.2</v>
      </c>
      <c r="L23" s="6">
        <f t="shared" si="2"/>
        <v>-2.8840000000000003</v>
      </c>
      <c r="M23" s="6"/>
      <c r="N23" s="6"/>
      <c r="O23" s="6">
        <v>50</v>
      </c>
      <c r="P23" s="6"/>
      <c r="Q23" s="6">
        <f t="shared" si="3"/>
        <v>4.4631999999999996</v>
      </c>
      <c r="R23" s="10"/>
      <c r="S23" s="6">
        <f t="shared" si="4"/>
        <v>27.654149489155767</v>
      </c>
      <c r="T23" s="6">
        <f t="shared" si="5"/>
        <v>27.654149489155767</v>
      </c>
      <c r="U23" s="6">
        <v>9.3635999999999999</v>
      </c>
      <c r="V23" s="6">
        <v>8.4480000000000004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18" t="s">
        <v>45</v>
      </c>
      <c r="AC23" s="6">
        <f t="shared" si="9"/>
        <v>0</v>
      </c>
      <c r="AD23" s="6">
        <f t="shared" si="7"/>
        <v>2.7843499999999999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57</v>
      </c>
      <c r="B24" s="6" t="s">
        <v>32</v>
      </c>
      <c r="C24" s="6">
        <v>29</v>
      </c>
      <c r="D24" s="6">
        <v>54</v>
      </c>
      <c r="E24" s="6">
        <v>28</v>
      </c>
      <c r="F24" s="6">
        <v>38</v>
      </c>
      <c r="G24" s="9">
        <v>0.15</v>
      </c>
      <c r="H24" s="6">
        <v>45</v>
      </c>
      <c r="I24" s="6">
        <v>6208</v>
      </c>
      <c r="J24" s="6"/>
      <c r="K24" s="6">
        <v>64</v>
      </c>
      <c r="L24" s="6">
        <f t="shared" si="2"/>
        <v>-36</v>
      </c>
      <c r="M24" s="6"/>
      <c r="N24" s="6"/>
      <c r="O24" s="6">
        <v>0</v>
      </c>
      <c r="P24" s="6"/>
      <c r="Q24" s="6">
        <f t="shared" si="3"/>
        <v>5.6</v>
      </c>
      <c r="R24" s="10">
        <f t="shared" si="10"/>
        <v>46</v>
      </c>
      <c r="S24" s="6">
        <f t="shared" si="4"/>
        <v>15.000000000000002</v>
      </c>
      <c r="T24" s="6">
        <f t="shared" si="5"/>
        <v>6.7857142857142865</v>
      </c>
      <c r="U24" s="6">
        <v>0.8</v>
      </c>
      <c r="V24" s="6">
        <v>3.8</v>
      </c>
      <c r="W24" s="6">
        <v>2.2000000000000002</v>
      </c>
      <c r="X24" s="6">
        <v>1.8</v>
      </c>
      <c r="Y24" s="6">
        <v>9</v>
      </c>
      <c r="Z24" s="6">
        <v>2.8</v>
      </c>
      <c r="AA24" s="6">
        <v>4</v>
      </c>
      <c r="AB24" s="6"/>
      <c r="AC24" s="6">
        <f t="shared" si="9"/>
        <v>6.8999999999999995</v>
      </c>
      <c r="AD24" s="6">
        <f t="shared" si="7"/>
        <v>0.5625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58</v>
      </c>
      <c r="B25" s="6" t="s">
        <v>34</v>
      </c>
      <c r="C25" s="6">
        <v>267.101</v>
      </c>
      <c r="D25" s="6">
        <v>186.61799999999999</v>
      </c>
      <c r="E25" s="6">
        <v>233.35300000000001</v>
      </c>
      <c r="F25" s="6">
        <v>148.49100000000001</v>
      </c>
      <c r="G25" s="9">
        <v>1</v>
      </c>
      <c r="H25" s="6">
        <v>60</v>
      </c>
      <c r="I25" s="6">
        <v>6220</v>
      </c>
      <c r="J25" s="6"/>
      <c r="K25" s="6">
        <v>234.6</v>
      </c>
      <c r="L25" s="6">
        <f t="shared" si="2"/>
        <v>-1.2469999999999857</v>
      </c>
      <c r="M25" s="6"/>
      <c r="N25" s="6"/>
      <c r="O25" s="6">
        <v>238</v>
      </c>
      <c r="P25" s="6"/>
      <c r="Q25" s="6">
        <f t="shared" si="3"/>
        <v>46.6706</v>
      </c>
      <c r="R25" s="10">
        <f t="shared" si="10"/>
        <v>313.56799999999998</v>
      </c>
      <c r="S25" s="6">
        <f t="shared" si="4"/>
        <v>15</v>
      </c>
      <c r="T25" s="6">
        <f t="shared" si="5"/>
        <v>8.281252008759262</v>
      </c>
      <c r="U25" s="6">
        <v>41.666800000000002</v>
      </c>
      <c r="V25" s="6">
        <v>53.355600000000003</v>
      </c>
      <c r="W25" s="6">
        <v>72.2042</v>
      </c>
      <c r="X25" s="6">
        <v>33.979999999999997</v>
      </c>
      <c r="Y25" s="6">
        <v>58.654400000000003</v>
      </c>
      <c r="Z25" s="6">
        <v>38.292200000000001</v>
      </c>
      <c r="AA25" s="6">
        <v>37.873399999999997</v>
      </c>
      <c r="AB25" s="6"/>
      <c r="AC25" s="6">
        <f t="shared" si="9"/>
        <v>313.56799999999998</v>
      </c>
      <c r="AD25" s="6">
        <f t="shared" si="7"/>
        <v>47.837149999999994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59</v>
      </c>
      <c r="B26" s="6" t="s">
        <v>32</v>
      </c>
      <c r="C26" s="6">
        <v>477</v>
      </c>
      <c r="D26" s="6">
        <v>395</v>
      </c>
      <c r="E26" s="6">
        <v>267</v>
      </c>
      <c r="F26" s="6">
        <v>380</v>
      </c>
      <c r="G26" s="9">
        <v>0.09</v>
      </c>
      <c r="H26" s="6">
        <v>60</v>
      </c>
      <c r="I26" s="6">
        <v>6221</v>
      </c>
      <c r="J26" s="6"/>
      <c r="K26" s="6">
        <v>286</v>
      </c>
      <c r="L26" s="6">
        <f t="shared" si="2"/>
        <v>-19</v>
      </c>
      <c r="M26" s="6"/>
      <c r="N26" s="6"/>
      <c r="O26" s="6">
        <v>121</v>
      </c>
      <c r="P26" s="6">
        <v>182</v>
      </c>
      <c r="Q26" s="6">
        <f t="shared" si="3"/>
        <v>53.4</v>
      </c>
      <c r="R26" s="10">
        <f t="shared" si="10"/>
        <v>118</v>
      </c>
      <c r="S26" s="6">
        <f t="shared" si="4"/>
        <v>15</v>
      </c>
      <c r="T26" s="6">
        <f t="shared" si="5"/>
        <v>12.790262172284644</v>
      </c>
      <c r="U26" s="6">
        <v>74.400000000000006</v>
      </c>
      <c r="V26" s="6">
        <v>83</v>
      </c>
      <c r="W26" s="6">
        <v>88.8</v>
      </c>
      <c r="X26" s="6">
        <v>72</v>
      </c>
      <c r="Y26" s="6">
        <v>76.599999999999994</v>
      </c>
      <c r="Z26" s="6">
        <v>96</v>
      </c>
      <c r="AA26" s="6">
        <v>71.8</v>
      </c>
      <c r="AB26" s="6"/>
      <c r="AC26" s="6">
        <f t="shared" si="9"/>
        <v>10.62</v>
      </c>
      <c r="AD26" s="6">
        <f t="shared" si="7"/>
        <v>6.93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60</v>
      </c>
      <c r="B27" s="6" t="s">
        <v>32</v>
      </c>
      <c r="C27" s="6">
        <v>395</v>
      </c>
      <c r="D27" s="6">
        <v>56</v>
      </c>
      <c r="E27" s="6">
        <v>80</v>
      </c>
      <c r="F27" s="6">
        <v>312</v>
      </c>
      <c r="G27" s="9">
        <v>0.09</v>
      </c>
      <c r="H27" s="6">
        <v>45</v>
      </c>
      <c r="I27" s="6">
        <v>6228</v>
      </c>
      <c r="J27" s="6"/>
      <c r="K27" s="6">
        <v>86</v>
      </c>
      <c r="L27" s="6">
        <f t="shared" si="2"/>
        <v>-6</v>
      </c>
      <c r="M27" s="6"/>
      <c r="N27" s="6"/>
      <c r="O27" s="6">
        <v>0</v>
      </c>
      <c r="P27" s="6"/>
      <c r="Q27" s="6">
        <f t="shared" si="3"/>
        <v>16</v>
      </c>
      <c r="R27" s="10"/>
      <c r="S27" s="6">
        <f t="shared" si="4"/>
        <v>19.5</v>
      </c>
      <c r="T27" s="6">
        <f t="shared" si="5"/>
        <v>19.5</v>
      </c>
      <c r="U27" s="6">
        <v>20.399999999999999</v>
      </c>
      <c r="V27" s="6">
        <v>10</v>
      </c>
      <c r="W27" s="6">
        <v>40.799999999999997</v>
      </c>
      <c r="X27" s="6">
        <v>19</v>
      </c>
      <c r="Y27" s="6">
        <v>14.8</v>
      </c>
      <c r="Z27" s="6">
        <v>20.2</v>
      </c>
      <c r="AA27" s="6">
        <v>13.2</v>
      </c>
      <c r="AB27" s="18" t="s">
        <v>45</v>
      </c>
      <c r="AC27" s="6">
        <f t="shared" si="9"/>
        <v>0</v>
      </c>
      <c r="AD27" s="6">
        <f t="shared" si="7"/>
        <v>1.7369999999999997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12" t="s">
        <v>61</v>
      </c>
      <c r="B28" s="12" t="s">
        <v>32</v>
      </c>
      <c r="C28" s="12">
        <v>-2</v>
      </c>
      <c r="D28" s="12">
        <v>6</v>
      </c>
      <c r="E28" s="17">
        <v>3</v>
      </c>
      <c r="F28" s="12"/>
      <c r="G28" s="13">
        <v>0</v>
      </c>
      <c r="H28" s="12"/>
      <c r="I28" s="12" t="s">
        <v>51</v>
      </c>
      <c r="J28" s="12" t="s">
        <v>62</v>
      </c>
      <c r="K28" s="12">
        <v>10</v>
      </c>
      <c r="L28" s="12">
        <f t="shared" si="2"/>
        <v>-7</v>
      </c>
      <c r="M28" s="12"/>
      <c r="N28" s="12"/>
      <c r="O28" s="12">
        <v>0</v>
      </c>
      <c r="P28" s="12"/>
      <c r="Q28" s="12">
        <f t="shared" si="3"/>
        <v>0.6</v>
      </c>
      <c r="R28" s="15"/>
      <c r="S28" s="12">
        <f t="shared" si="4"/>
        <v>0</v>
      </c>
      <c r="T28" s="12">
        <f t="shared" si="5"/>
        <v>0</v>
      </c>
      <c r="U28" s="12">
        <v>0.2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/>
      <c r="AC28" s="12"/>
      <c r="AD28" s="6">
        <f t="shared" si="7"/>
        <v>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63</v>
      </c>
      <c r="B29" s="6" t="s">
        <v>32</v>
      </c>
      <c r="C29" s="6">
        <v>351</v>
      </c>
      <c r="D29" s="6">
        <v>5</v>
      </c>
      <c r="E29" s="6">
        <v>19</v>
      </c>
      <c r="F29" s="6">
        <v>280</v>
      </c>
      <c r="G29" s="9">
        <v>0.15</v>
      </c>
      <c r="H29" s="6">
        <v>45</v>
      </c>
      <c r="I29" s="6">
        <v>6279</v>
      </c>
      <c r="J29" s="6"/>
      <c r="K29" s="6">
        <v>151</v>
      </c>
      <c r="L29" s="6">
        <f t="shared" si="2"/>
        <v>-132</v>
      </c>
      <c r="M29" s="6"/>
      <c r="N29" s="6"/>
      <c r="O29" s="6">
        <v>0</v>
      </c>
      <c r="P29" s="6"/>
      <c r="Q29" s="6">
        <f t="shared" si="3"/>
        <v>3.8</v>
      </c>
      <c r="R29" s="10"/>
      <c r="S29" s="6">
        <f t="shared" si="4"/>
        <v>73.684210526315795</v>
      </c>
      <c r="T29" s="6">
        <f t="shared" si="5"/>
        <v>73.684210526315795</v>
      </c>
      <c r="U29" s="6">
        <v>6</v>
      </c>
      <c r="V29" s="6">
        <v>13.6</v>
      </c>
      <c r="W29" s="6">
        <v>29.4</v>
      </c>
      <c r="X29" s="6">
        <v>16.600000000000001</v>
      </c>
      <c r="Y29" s="6">
        <v>24.6</v>
      </c>
      <c r="Z29" s="6">
        <v>45.6</v>
      </c>
      <c r="AA29" s="6">
        <v>6.2</v>
      </c>
      <c r="AB29" s="18" t="s">
        <v>45</v>
      </c>
      <c r="AC29" s="6">
        <f>G29*R29</f>
        <v>0</v>
      </c>
      <c r="AD29" s="6">
        <f t="shared" si="7"/>
        <v>2.7337499999999997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64</v>
      </c>
      <c r="B30" s="6" t="s">
        <v>34</v>
      </c>
      <c r="C30" s="6">
        <v>324.80799999999999</v>
      </c>
      <c r="D30" s="6">
        <v>288.39999999999998</v>
      </c>
      <c r="E30" s="6">
        <v>204.86600000000001</v>
      </c>
      <c r="F30" s="17">
        <f>147.942+F109</f>
        <v>277.572</v>
      </c>
      <c r="G30" s="9">
        <v>1</v>
      </c>
      <c r="H30" s="6">
        <v>45</v>
      </c>
      <c r="I30" s="6">
        <v>6303</v>
      </c>
      <c r="J30" s="6"/>
      <c r="K30" s="6">
        <v>193.6</v>
      </c>
      <c r="L30" s="6">
        <f t="shared" si="2"/>
        <v>11.26600000000002</v>
      </c>
      <c r="M30" s="6"/>
      <c r="N30" s="6"/>
      <c r="O30" s="6">
        <v>138</v>
      </c>
      <c r="P30" s="6"/>
      <c r="Q30" s="6">
        <f t="shared" si="3"/>
        <v>40.973200000000006</v>
      </c>
      <c r="R30" s="10">
        <f t="shared" ref="R30" si="11">15*Q30-P30-O30-F30</f>
        <v>199.02600000000007</v>
      </c>
      <c r="S30" s="6">
        <f t="shared" si="4"/>
        <v>15</v>
      </c>
      <c r="T30" s="6">
        <f t="shared" si="5"/>
        <v>10.142532191774134</v>
      </c>
      <c r="U30" s="6">
        <v>46.067999999999998</v>
      </c>
      <c r="V30" s="6">
        <v>42.266199999999998</v>
      </c>
      <c r="W30" s="6">
        <v>73.7684</v>
      </c>
      <c r="X30" s="6">
        <v>25.926400000000001</v>
      </c>
      <c r="Y30" s="6">
        <v>46.323399999999999</v>
      </c>
      <c r="Z30" s="6">
        <v>37.568800000000003</v>
      </c>
      <c r="AA30" s="6">
        <v>53.324800000000003</v>
      </c>
      <c r="AB30" s="6"/>
      <c r="AC30" s="6">
        <f>G30*R30</f>
        <v>199.02600000000007</v>
      </c>
      <c r="AD30" s="6">
        <f t="shared" si="7"/>
        <v>45.7774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14" t="s">
        <v>65</v>
      </c>
      <c r="B31" s="12" t="s">
        <v>32</v>
      </c>
      <c r="C31" s="12"/>
      <c r="D31" s="12">
        <v>5</v>
      </c>
      <c r="E31" s="17">
        <v>1</v>
      </c>
      <c r="F31" s="12"/>
      <c r="G31" s="13">
        <v>0</v>
      </c>
      <c r="H31" s="12"/>
      <c r="I31" s="14" t="s">
        <v>66</v>
      </c>
      <c r="J31" s="14" t="s">
        <v>67</v>
      </c>
      <c r="K31" s="12">
        <v>270</v>
      </c>
      <c r="L31" s="12">
        <f t="shared" si="2"/>
        <v>-269</v>
      </c>
      <c r="M31" s="12"/>
      <c r="N31" s="12"/>
      <c r="O31" s="12"/>
      <c r="P31" s="12"/>
      <c r="Q31" s="12">
        <f t="shared" si="3"/>
        <v>0.2</v>
      </c>
      <c r="R31" s="15"/>
      <c r="S31" s="12">
        <f t="shared" si="4"/>
        <v>0</v>
      </c>
      <c r="T31" s="12">
        <f t="shared" si="5"/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/>
      <c r="AC31" s="12"/>
      <c r="AD31" s="6">
        <f t="shared" si="7"/>
        <v>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68</v>
      </c>
      <c r="B32" s="6" t="s">
        <v>32</v>
      </c>
      <c r="C32" s="6">
        <v>30</v>
      </c>
      <c r="D32" s="6">
        <v>63</v>
      </c>
      <c r="E32" s="6">
        <v>72</v>
      </c>
      <c r="F32" s="6">
        <v>7</v>
      </c>
      <c r="G32" s="9">
        <v>0.4</v>
      </c>
      <c r="H32" s="6">
        <v>60</v>
      </c>
      <c r="I32" s="6">
        <v>6325</v>
      </c>
      <c r="J32" s="6"/>
      <c r="K32" s="6">
        <v>135</v>
      </c>
      <c r="L32" s="6">
        <f t="shared" si="2"/>
        <v>-63</v>
      </c>
      <c r="M32" s="6"/>
      <c r="N32" s="6"/>
      <c r="O32" s="6">
        <v>82</v>
      </c>
      <c r="P32" s="6"/>
      <c r="Q32" s="6">
        <f t="shared" si="3"/>
        <v>14.4</v>
      </c>
      <c r="R32" s="10">
        <f t="shared" ref="R32:R33" si="12">15*Q32-P32-O32-F32</f>
        <v>127</v>
      </c>
      <c r="S32" s="6">
        <f t="shared" si="4"/>
        <v>15</v>
      </c>
      <c r="T32" s="6">
        <f t="shared" si="5"/>
        <v>6.1805555555555554</v>
      </c>
      <c r="U32" s="6">
        <v>10.8</v>
      </c>
      <c r="V32" s="6">
        <v>7</v>
      </c>
      <c r="W32" s="6">
        <v>9.1999999999999993</v>
      </c>
      <c r="X32" s="6">
        <v>5.2</v>
      </c>
      <c r="Y32" s="6">
        <v>-0.2</v>
      </c>
      <c r="Z32" s="6">
        <v>6</v>
      </c>
      <c r="AA32" s="6">
        <v>-0.2</v>
      </c>
      <c r="AB32" s="6"/>
      <c r="AC32" s="6">
        <f>G32*R32</f>
        <v>50.800000000000004</v>
      </c>
      <c r="AD32" s="6">
        <f t="shared" si="7"/>
        <v>2.6100000000000003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69</v>
      </c>
      <c r="B33" s="6" t="s">
        <v>32</v>
      </c>
      <c r="C33" s="6">
        <v>230</v>
      </c>
      <c r="D33" s="6">
        <v>1769</v>
      </c>
      <c r="E33" s="6">
        <v>632</v>
      </c>
      <c r="F33" s="6">
        <v>839</v>
      </c>
      <c r="G33" s="9">
        <v>0.4</v>
      </c>
      <c r="H33" s="6">
        <v>60</v>
      </c>
      <c r="I33" s="6">
        <v>6333</v>
      </c>
      <c r="J33" s="6"/>
      <c r="K33" s="6">
        <v>660</v>
      </c>
      <c r="L33" s="6">
        <f t="shared" si="2"/>
        <v>-28</v>
      </c>
      <c r="M33" s="6"/>
      <c r="N33" s="6"/>
      <c r="O33" s="6">
        <v>2</v>
      </c>
      <c r="P33" s="6"/>
      <c r="Q33" s="6">
        <f t="shared" si="3"/>
        <v>126.4</v>
      </c>
      <c r="R33" s="10">
        <f t="shared" si="12"/>
        <v>1055</v>
      </c>
      <c r="S33" s="6">
        <f t="shared" si="4"/>
        <v>15</v>
      </c>
      <c r="T33" s="6">
        <f t="shared" si="5"/>
        <v>6.6534810126582276</v>
      </c>
      <c r="U33" s="6">
        <v>97</v>
      </c>
      <c r="V33" s="6">
        <v>134.6</v>
      </c>
      <c r="W33" s="6">
        <v>131.6</v>
      </c>
      <c r="X33" s="6">
        <v>108.6</v>
      </c>
      <c r="Y33" s="6">
        <v>119.2</v>
      </c>
      <c r="Z33" s="6">
        <v>106</v>
      </c>
      <c r="AA33" s="6">
        <v>145</v>
      </c>
      <c r="AB33" s="6"/>
      <c r="AC33" s="6">
        <f>G33*R33</f>
        <v>422</v>
      </c>
      <c r="AD33" s="6">
        <f t="shared" si="7"/>
        <v>48.420000000000009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12" t="s">
        <v>70</v>
      </c>
      <c r="B34" s="12" t="s">
        <v>32</v>
      </c>
      <c r="C34" s="12"/>
      <c r="D34" s="12">
        <v>23</v>
      </c>
      <c r="E34" s="17">
        <v>5</v>
      </c>
      <c r="F34" s="12"/>
      <c r="G34" s="13">
        <v>0</v>
      </c>
      <c r="H34" s="12">
        <v>60</v>
      </c>
      <c r="I34" s="12" t="s">
        <v>71</v>
      </c>
      <c r="J34" s="12" t="s">
        <v>72</v>
      </c>
      <c r="K34" s="12">
        <v>240.3</v>
      </c>
      <c r="L34" s="12">
        <f t="shared" si="2"/>
        <v>-235.3</v>
      </c>
      <c r="M34" s="12"/>
      <c r="N34" s="12"/>
      <c r="O34" s="12"/>
      <c r="P34" s="12"/>
      <c r="Q34" s="12">
        <f t="shared" si="3"/>
        <v>1</v>
      </c>
      <c r="R34" s="15"/>
      <c r="S34" s="12">
        <f t="shared" si="4"/>
        <v>0</v>
      </c>
      <c r="T34" s="12">
        <f t="shared" si="5"/>
        <v>0</v>
      </c>
      <c r="U34" s="12">
        <v>0</v>
      </c>
      <c r="V34" s="12">
        <v>57.4</v>
      </c>
      <c r="W34" s="12">
        <v>111</v>
      </c>
      <c r="X34" s="12">
        <v>112.6</v>
      </c>
      <c r="Y34" s="12">
        <v>84</v>
      </c>
      <c r="Z34" s="12">
        <v>105.4</v>
      </c>
      <c r="AA34" s="12">
        <v>131.80000000000001</v>
      </c>
      <c r="AB34" s="12" t="s">
        <v>73</v>
      </c>
      <c r="AC34" s="12"/>
      <c r="AD34" s="6">
        <f t="shared" si="7"/>
        <v>0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74</v>
      </c>
      <c r="B35" s="6" t="s">
        <v>32</v>
      </c>
      <c r="C35" s="6">
        <v>455</v>
      </c>
      <c r="D35" s="6">
        <v>1618</v>
      </c>
      <c r="E35" s="6">
        <v>738</v>
      </c>
      <c r="F35" s="6">
        <v>471</v>
      </c>
      <c r="G35" s="9">
        <v>0.4</v>
      </c>
      <c r="H35" s="6">
        <v>60</v>
      </c>
      <c r="I35" s="6">
        <v>6392</v>
      </c>
      <c r="J35" s="6"/>
      <c r="K35" s="6">
        <v>802</v>
      </c>
      <c r="L35" s="6">
        <f t="shared" si="2"/>
        <v>-64</v>
      </c>
      <c r="M35" s="6"/>
      <c r="N35" s="6"/>
      <c r="O35" s="6">
        <v>432</v>
      </c>
      <c r="P35" s="6">
        <v>649</v>
      </c>
      <c r="Q35" s="6">
        <f t="shared" si="3"/>
        <v>147.6</v>
      </c>
      <c r="R35" s="10">
        <f>15*Q35-P35-O35-F35</f>
        <v>662</v>
      </c>
      <c r="S35" s="6">
        <f t="shared" si="4"/>
        <v>15</v>
      </c>
      <c r="T35" s="6">
        <f t="shared" si="5"/>
        <v>10.514905149051492</v>
      </c>
      <c r="U35" s="6">
        <v>152.4</v>
      </c>
      <c r="V35" s="6">
        <v>133.94</v>
      </c>
      <c r="W35" s="6">
        <v>162.6</v>
      </c>
      <c r="X35" s="6">
        <v>195.6</v>
      </c>
      <c r="Y35" s="6">
        <v>155.80000000000001</v>
      </c>
      <c r="Z35" s="6">
        <v>136.4</v>
      </c>
      <c r="AA35" s="6">
        <v>189.4</v>
      </c>
      <c r="AB35" s="6"/>
      <c r="AC35" s="6">
        <f>G35*R35</f>
        <v>264.8</v>
      </c>
      <c r="AD35" s="6">
        <f t="shared" si="7"/>
        <v>63.687000000000012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12" t="s">
        <v>75</v>
      </c>
      <c r="B36" s="12" t="s">
        <v>32</v>
      </c>
      <c r="C36" s="12">
        <v>392</v>
      </c>
      <c r="D36" s="12">
        <v>422</v>
      </c>
      <c r="E36" s="17">
        <v>274</v>
      </c>
      <c r="F36" s="17">
        <v>116</v>
      </c>
      <c r="G36" s="13">
        <v>0</v>
      </c>
      <c r="H36" s="12">
        <v>60</v>
      </c>
      <c r="I36" s="12" t="s">
        <v>71</v>
      </c>
      <c r="J36" s="14" t="s">
        <v>76</v>
      </c>
      <c r="K36" s="12">
        <v>294</v>
      </c>
      <c r="L36" s="12">
        <f t="shared" si="2"/>
        <v>-20</v>
      </c>
      <c r="M36" s="12"/>
      <c r="N36" s="12"/>
      <c r="O36" s="12"/>
      <c r="P36" s="12"/>
      <c r="Q36" s="12">
        <f t="shared" si="3"/>
        <v>54.8</v>
      </c>
      <c r="R36" s="15"/>
      <c r="S36" s="12">
        <f t="shared" si="4"/>
        <v>2.1167883211678835</v>
      </c>
      <c r="T36" s="12">
        <f t="shared" si="5"/>
        <v>2.1167883211678835</v>
      </c>
      <c r="U36" s="12">
        <v>70.599999999999994</v>
      </c>
      <c r="V36" s="12">
        <v>60</v>
      </c>
      <c r="W36" s="12">
        <v>72.400000000000006</v>
      </c>
      <c r="X36" s="12">
        <v>65.2</v>
      </c>
      <c r="Y36" s="12">
        <v>59</v>
      </c>
      <c r="Z36" s="12">
        <v>96.6</v>
      </c>
      <c r="AA36" s="12">
        <v>47.6</v>
      </c>
      <c r="AB36" s="12" t="s">
        <v>77</v>
      </c>
      <c r="AC36" s="12"/>
      <c r="AD36" s="6">
        <f t="shared" si="7"/>
        <v>0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78</v>
      </c>
      <c r="B37" s="6" t="s">
        <v>32</v>
      </c>
      <c r="C37" s="6">
        <v>66</v>
      </c>
      <c r="D37" s="6">
        <v>416</v>
      </c>
      <c r="E37" s="6">
        <v>159</v>
      </c>
      <c r="F37" s="6">
        <v>234</v>
      </c>
      <c r="G37" s="9">
        <v>0.1</v>
      </c>
      <c r="H37" s="6">
        <v>60</v>
      </c>
      <c r="I37" s="6" t="s">
        <v>71</v>
      </c>
      <c r="J37" s="6"/>
      <c r="K37" s="6">
        <v>170</v>
      </c>
      <c r="L37" s="6">
        <f t="shared" si="2"/>
        <v>-11</v>
      </c>
      <c r="M37" s="6"/>
      <c r="N37" s="6"/>
      <c r="O37" s="6">
        <v>128</v>
      </c>
      <c r="P37" s="6"/>
      <c r="Q37" s="6">
        <f t="shared" si="3"/>
        <v>31.8</v>
      </c>
      <c r="R37" s="10">
        <f>15*Q37-P37-O37-F37</f>
        <v>115</v>
      </c>
      <c r="S37" s="6">
        <f t="shared" si="4"/>
        <v>15</v>
      </c>
      <c r="T37" s="6">
        <f t="shared" si="5"/>
        <v>11.383647798742139</v>
      </c>
      <c r="U37" s="6">
        <v>36.4</v>
      </c>
      <c r="V37" s="6">
        <v>41.2</v>
      </c>
      <c r="W37" s="6">
        <v>44</v>
      </c>
      <c r="X37" s="6">
        <v>32.799999999999997</v>
      </c>
      <c r="Y37" s="6">
        <v>42.6</v>
      </c>
      <c r="Z37" s="6">
        <v>28</v>
      </c>
      <c r="AA37" s="6">
        <v>48.2</v>
      </c>
      <c r="AB37" s="6" t="s">
        <v>79</v>
      </c>
      <c r="AC37" s="6">
        <f>G37*R37</f>
        <v>11.5</v>
      </c>
      <c r="AD37" s="6">
        <f t="shared" si="7"/>
        <v>3.8124999999999996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14" t="s">
        <v>80</v>
      </c>
      <c r="B38" s="12" t="s">
        <v>32</v>
      </c>
      <c r="C38" s="12">
        <v>130</v>
      </c>
      <c r="D38" s="12">
        <v>17</v>
      </c>
      <c r="E38" s="17">
        <v>21</v>
      </c>
      <c r="F38" s="17">
        <v>107</v>
      </c>
      <c r="G38" s="13">
        <v>0</v>
      </c>
      <c r="H38" s="12">
        <v>45</v>
      </c>
      <c r="I38" s="12" t="s">
        <v>71</v>
      </c>
      <c r="J38" s="14" t="s">
        <v>81</v>
      </c>
      <c r="K38" s="12">
        <v>24</v>
      </c>
      <c r="L38" s="12">
        <f t="shared" ref="L38:L69" si="13">E38-K38</f>
        <v>-3</v>
      </c>
      <c r="M38" s="12"/>
      <c r="N38" s="12"/>
      <c r="O38" s="12">
        <v>0</v>
      </c>
      <c r="P38" s="12"/>
      <c r="Q38" s="12">
        <f t="shared" ref="Q38:Q69" si="14">E38/5</f>
        <v>4.2</v>
      </c>
      <c r="R38" s="15"/>
      <c r="S38" s="12">
        <f t="shared" ref="S38:S69" si="15">(F38+O38+P38+R38)/Q38</f>
        <v>25.476190476190474</v>
      </c>
      <c r="T38" s="12">
        <f t="shared" ref="T38:T69" si="16">(F38+O38+P38)/Q38</f>
        <v>25.476190476190474</v>
      </c>
      <c r="U38" s="12">
        <v>14.4</v>
      </c>
      <c r="V38" s="12">
        <v>21.2</v>
      </c>
      <c r="W38" s="12">
        <v>25.2</v>
      </c>
      <c r="X38" s="12">
        <v>13.4</v>
      </c>
      <c r="Y38" s="12">
        <v>5</v>
      </c>
      <c r="Z38" s="12">
        <v>20.6</v>
      </c>
      <c r="AA38" s="12">
        <v>13.2</v>
      </c>
      <c r="AB38" s="12" t="s">
        <v>82</v>
      </c>
      <c r="AC38" s="12"/>
      <c r="AD38" s="6">
        <f t="shared" si="7"/>
        <v>0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83</v>
      </c>
      <c r="B39" s="6" t="s">
        <v>34</v>
      </c>
      <c r="C39" s="6">
        <v>32.47</v>
      </c>
      <c r="D39" s="6"/>
      <c r="E39" s="6">
        <v>8.0869999999999997</v>
      </c>
      <c r="F39" s="6"/>
      <c r="G39" s="9">
        <v>1</v>
      </c>
      <c r="H39" s="6">
        <v>45</v>
      </c>
      <c r="I39" s="6"/>
      <c r="J39" s="6"/>
      <c r="K39" s="6">
        <v>31.7</v>
      </c>
      <c r="L39" s="6">
        <f t="shared" si="13"/>
        <v>-23.613</v>
      </c>
      <c r="M39" s="6"/>
      <c r="N39" s="6"/>
      <c r="O39" s="6">
        <v>32</v>
      </c>
      <c r="P39" s="6"/>
      <c r="Q39" s="6">
        <f t="shared" si="14"/>
        <v>1.6173999999999999</v>
      </c>
      <c r="R39" s="10">
        <v>24</v>
      </c>
      <c r="S39" s="6">
        <f t="shared" si="15"/>
        <v>34.623469766291578</v>
      </c>
      <c r="T39" s="6">
        <f t="shared" si="16"/>
        <v>19.78483986645233</v>
      </c>
      <c r="U39" s="6">
        <v>4.3179999999999996</v>
      </c>
      <c r="V39" s="6">
        <v>2.4239999999999999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7" t="s">
        <v>164</v>
      </c>
      <c r="AC39" s="6">
        <f t="shared" ref="AC39:AC66" si="17">G39*R39</f>
        <v>24</v>
      </c>
      <c r="AD39" s="6">
        <f t="shared" si="7"/>
        <v>1.0449249999999999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84</v>
      </c>
      <c r="B40" s="6" t="s">
        <v>32</v>
      </c>
      <c r="C40" s="6">
        <v>-1</v>
      </c>
      <c r="D40" s="6">
        <v>114</v>
      </c>
      <c r="E40" s="6">
        <v>65</v>
      </c>
      <c r="F40" s="6">
        <v>29</v>
      </c>
      <c r="G40" s="9">
        <v>0.4</v>
      </c>
      <c r="H40" s="6">
        <v>45</v>
      </c>
      <c r="I40" s="6">
        <v>6475</v>
      </c>
      <c r="J40" s="6"/>
      <c r="K40" s="6">
        <v>95</v>
      </c>
      <c r="L40" s="6">
        <f t="shared" si="13"/>
        <v>-30</v>
      </c>
      <c r="M40" s="6"/>
      <c r="N40" s="6"/>
      <c r="O40" s="6">
        <v>0</v>
      </c>
      <c r="P40" s="6"/>
      <c r="Q40" s="6">
        <f t="shared" si="14"/>
        <v>13</v>
      </c>
      <c r="R40" s="10">
        <f>12*Q40-P40-O40-F40</f>
        <v>127</v>
      </c>
      <c r="S40" s="6">
        <f t="shared" si="15"/>
        <v>12</v>
      </c>
      <c r="T40" s="6">
        <f t="shared" si="16"/>
        <v>2.2307692307692308</v>
      </c>
      <c r="U40" s="6">
        <v>1.2</v>
      </c>
      <c r="V40" s="6">
        <v>10.6</v>
      </c>
      <c r="W40" s="6">
        <v>3</v>
      </c>
      <c r="X40" s="6">
        <v>7.4</v>
      </c>
      <c r="Y40" s="6">
        <v>1.6</v>
      </c>
      <c r="Z40" s="6">
        <v>0</v>
      </c>
      <c r="AA40" s="6">
        <v>1.2</v>
      </c>
      <c r="AB40" s="6"/>
      <c r="AC40" s="6">
        <f t="shared" si="17"/>
        <v>50.800000000000004</v>
      </c>
      <c r="AD40" s="6">
        <f t="shared" si="7"/>
        <v>1.9000000000000001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85</v>
      </c>
      <c r="B41" s="6" t="s">
        <v>32</v>
      </c>
      <c r="C41" s="6">
        <v>332</v>
      </c>
      <c r="D41" s="6">
        <v>4</v>
      </c>
      <c r="E41" s="6">
        <v>148</v>
      </c>
      <c r="F41" s="6">
        <v>175</v>
      </c>
      <c r="G41" s="9">
        <v>0.3</v>
      </c>
      <c r="H41" s="6">
        <v>45</v>
      </c>
      <c r="I41" s="6">
        <v>6495</v>
      </c>
      <c r="J41" s="6"/>
      <c r="K41" s="6">
        <v>156</v>
      </c>
      <c r="L41" s="6">
        <f t="shared" si="13"/>
        <v>-8</v>
      </c>
      <c r="M41" s="6"/>
      <c r="N41" s="6"/>
      <c r="O41" s="6">
        <v>0</v>
      </c>
      <c r="P41" s="6"/>
      <c r="Q41" s="6">
        <f t="shared" si="14"/>
        <v>29.6</v>
      </c>
      <c r="R41" s="10">
        <f t="shared" ref="R41:R66" si="18">15*Q41-P41-O41-F41</f>
        <v>269</v>
      </c>
      <c r="S41" s="6">
        <f t="shared" si="15"/>
        <v>15</v>
      </c>
      <c r="T41" s="6">
        <f t="shared" si="16"/>
        <v>5.9121621621621623</v>
      </c>
      <c r="U41" s="6">
        <v>17.600000000000001</v>
      </c>
      <c r="V41" s="6">
        <v>29.2</v>
      </c>
      <c r="W41" s="6">
        <v>42</v>
      </c>
      <c r="X41" s="6">
        <v>0</v>
      </c>
      <c r="Y41" s="6">
        <v>0</v>
      </c>
      <c r="Z41" s="6">
        <v>0</v>
      </c>
      <c r="AA41" s="6">
        <v>18.399999999999999</v>
      </c>
      <c r="AB41" s="6"/>
      <c r="AC41" s="6">
        <f t="shared" si="17"/>
        <v>80.7</v>
      </c>
      <c r="AD41" s="6">
        <f t="shared" si="7"/>
        <v>5.13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86</v>
      </c>
      <c r="B42" s="6" t="s">
        <v>34</v>
      </c>
      <c r="C42" s="6">
        <v>33.261000000000003</v>
      </c>
      <c r="D42" s="6">
        <v>179.666</v>
      </c>
      <c r="E42" s="6">
        <v>94.703000000000003</v>
      </c>
      <c r="F42" s="6">
        <v>82.918000000000006</v>
      </c>
      <c r="G42" s="9">
        <v>1</v>
      </c>
      <c r="H42" s="6">
        <v>60</v>
      </c>
      <c r="I42" s="6">
        <v>6498</v>
      </c>
      <c r="J42" s="6"/>
      <c r="K42" s="6">
        <v>121.5</v>
      </c>
      <c r="L42" s="6">
        <f t="shared" si="13"/>
        <v>-26.796999999999997</v>
      </c>
      <c r="M42" s="6"/>
      <c r="N42" s="6"/>
      <c r="O42" s="6">
        <v>211</v>
      </c>
      <c r="P42" s="6"/>
      <c r="Q42" s="6">
        <f t="shared" si="14"/>
        <v>18.9406</v>
      </c>
      <c r="R42" s="10"/>
      <c r="S42" s="6">
        <f t="shared" si="15"/>
        <v>15.51788222126015</v>
      </c>
      <c r="T42" s="6">
        <f t="shared" si="16"/>
        <v>15.51788222126015</v>
      </c>
      <c r="U42" s="6">
        <v>26.659800000000001</v>
      </c>
      <c r="V42" s="6">
        <v>21.777200000000001</v>
      </c>
      <c r="W42" s="6">
        <v>22.845600000000001</v>
      </c>
      <c r="X42" s="6">
        <v>21.195799999999998</v>
      </c>
      <c r="Y42" s="6">
        <v>26.767199999999999</v>
      </c>
      <c r="Z42" s="6">
        <v>22.452999999999999</v>
      </c>
      <c r="AA42" s="6">
        <v>14.877000000000001</v>
      </c>
      <c r="AB42" s="6"/>
      <c r="AC42" s="6">
        <f t="shared" si="17"/>
        <v>0</v>
      </c>
      <c r="AD42" s="6">
        <f t="shared" si="7"/>
        <v>21.939525000000003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87</v>
      </c>
      <c r="B43" s="6" t="s">
        <v>34</v>
      </c>
      <c r="C43" s="6">
        <v>73.198999999999998</v>
      </c>
      <c r="D43" s="6">
        <v>109.71</v>
      </c>
      <c r="E43" s="6">
        <v>75.412999999999997</v>
      </c>
      <c r="F43" s="6">
        <v>41.015999999999998</v>
      </c>
      <c r="G43" s="9">
        <v>1</v>
      </c>
      <c r="H43" s="6">
        <v>45</v>
      </c>
      <c r="I43" s="6">
        <v>6527</v>
      </c>
      <c r="J43" s="6"/>
      <c r="K43" s="6">
        <v>85.343000000000004</v>
      </c>
      <c r="L43" s="6">
        <f t="shared" si="13"/>
        <v>-9.9300000000000068</v>
      </c>
      <c r="M43" s="6"/>
      <c r="N43" s="6"/>
      <c r="O43" s="6">
        <v>53</v>
      </c>
      <c r="P43" s="6"/>
      <c r="Q43" s="6">
        <f t="shared" si="14"/>
        <v>15.082599999999999</v>
      </c>
      <c r="R43" s="10">
        <f t="shared" si="18"/>
        <v>132.22299999999998</v>
      </c>
      <c r="S43" s="6">
        <f t="shared" si="15"/>
        <v>14.999999999999998</v>
      </c>
      <c r="T43" s="6">
        <f t="shared" si="16"/>
        <v>6.2334080330977413</v>
      </c>
      <c r="U43" s="6">
        <v>11.778600000000001</v>
      </c>
      <c r="V43" s="6">
        <v>11.2448</v>
      </c>
      <c r="W43" s="6">
        <v>14.4396</v>
      </c>
      <c r="X43" s="6">
        <v>14.8492</v>
      </c>
      <c r="Y43" s="6">
        <v>17.9648</v>
      </c>
      <c r="Z43" s="6">
        <v>14.7774</v>
      </c>
      <c r="AA43" s="6">
        <v>12.758800000000001</v>
      </c>
      <c r="AB43" s="6"/>
      <c r="AC43" s="6">
        <f t="shared" si="17"/>
        <v>132.22299999999998</v>
      </c>
      <c r="AD43" s="6">
        <f t="shared" si="7"/>
        <v>14.111975000000001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88</v>
      </c>
      <c r="B44" s="6" t="s">
        <v>34</v>
      </c>
      <c r="C44" s="6">
        <v>78.019000000000005</v>
      </c>
      <c r="D44" s="6">
        <v>193.67500000000001</v>
      </c>
      <c r="E44" s="6">
        <v>87.953999999999994</v>
      </c>
      <c r="F44" s="6">
        <v>110.749</v>
      </c>
      <c r="G44" s="9">
        <v>1</v>
      </c>
      <c r="H44" s="6">
        <v>45</v>
      </c>
      <c r="I44" s="6">
        <v>6550</v>
      </c>
      <c r="J44" s="6"/>
      <c r="K44" s="6">
        <v>97.1</v>
      </c>
      <c r="L44" s="6">
        <f t="shared" si="13"/>
        <v>-9.1460000000000008</v>
      </c>
      <c r="M44" s="6"/>
      <c r="N44" s="6"/>
      <c r="O44" s="6">
        <v>129</v>
      </c>
      <c r="P44" s="6"/>
      <c r="Q44" s="6">
        <f t="shared" si="14"/>
        <v>17.590799999999998</v>
      </c>
      <c r="R44" s="10">
        <f t="shared" si="18"/>
        <v>24.112999999999971</v>
      </c>
      <c r="S44" s="6">
        <f t="shared" si="15"/>
        <v>15</v>
      </c>
      <c r="T44" s="6">
        <f t="shared" si="16"/>
        <v>13.629226641198811</v>
      </c>
      <c r="U44" s="6">
        <v>22.394200000000001</v>
      </c>
      <c r="V44" s="6">
        <v>22.173999999999999</v>
      </c>
      <c r="W44" s="6">
        <v>24.6816</v>
      </c>
      <c r="X44" s="6">
        <v>17.996200000000002</v>
      </c>
      <c r="Y44" s="6">
        <v>17.272200000000002</v>
      </c>
      <c r="Z44" s="6">
        <v>10.6646</v>
      </c>
      <c r="AA44" s="6">
        <v>20.632000000000001</v>
      </c>
      <c r="AB44" s="6"/>
      <c r="AC44" s="6">
        <f t="shared" si="17"/>
        <v>24.112999999999971</v>
      </c>
      <c r="AD44" s="6">
        <f t="shared" si="7"/>
        <v>19.175699999999999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89</v>
      </c>
      <c r="B45" s="6" t="s">
        <v>34</v>
      </c>
      <c r="C45" s="6">
        <v>182.08699999999999</v>
      </c>
      <c r="D45" s="6">
        <v>378.07499999999999</v>
      </c>
      <c r="E45" s="6">
        <v>136.60599999999999</v>
      </c>
      <c r="F45" s="6">
        <v>271.55</v>
      </c>
      <c r="G45" s="9">
        <v>1</v>
      </c>
      <c r="H45" s="6">
        <v>45</v>
      </c>
      <c r="I45" s="6">
        <v>6608</v>
      </c>
      <c r="J45" s="6"/>
      <c r="K45" s="6">
        <v>145.6</v>
      </c>
      <c r="L45" s="6">
        <f t="shared" si="13"/>
        <v>-8.9939999999999998</v>
      </c>
      <c r="M45" s="6"/>
      <c r="N45" s="6"/>
      <c r="O45" s="6">
        <v>0</v>
      </c>
      <c r="P45" s="6"/>
      <c r="Q45" s="6">
        <f t="shared" si="14"/>
        <v>27.321199999999997</v>
      </c>
      <c r="R45" s="10">
        <f t="shared" si="18"/>
        <v>138.26799999999997</v>
      </c>
      <c r="S45" s="6">
        <f t="shared" si="15"/>
        <v>15</v>
      </c>
      <c r="T45" s="6">
        <f t="shared" si="16"/>
        <v>9.9391681185306666</v>
      </c>
      <c r="U45" s="6">
        <v>24.925999999999998</v>
      </c>
      <c r="V45" s="6">
        <v>38.509399999999999</v>
      </c>
      <c r="W45" s="6">
        <v>42.509799999999998</v>
      </c>
      <c r="X45" s="6">
        <v>27.579799999999999</v>
      </c>
      <c r="Y45" s="6">
        <v>40.957799999999999</v>
      </c>
      <c r="Z45" s="6">
        <v>29.583200000000001</v>
      </c>
      <c r="AA45" s="6">
        <v>33.079799999999999</v>
      </c>
      <c r="AB45" s="6"/>
      <c r="AC45" s="6">
        <f t="shared" si="17"/>
        <v>138.26799999999997</v>
      </c>
      <c r="AD45" s="6">
        <f t="shared" si="7"/>
        <v>33.058374999999998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90</v>
      </c>
      <c r="B46" s="6" t="s">
        <v>32</v>
      </c>
      <c r="C46" s="6">
        <v>2143</v>
      </c>
      <c r="D46" s="6">
        <v>42</v>
      </c>
      <c r="E46" s="6">
        <v>277</v>
      </c>
      <c r="F46" s="6">
        <v>1874</v>
      </c>
      <c r="G46" s="9">
        <v>0.3</v>
      </c>
      <c r="H46" s="6">
        <v>45</v>
      </c>
      <c r="I46" s="6">
        <v>6616</v>
      </c>
      <c r="J46" s="6"/>
      <c r="K46" s="6">
        <v>305</v>
      </c>
      <c r="L46" s="6">
        <f t="shared" si="13"/>
        <v>-28</v>
      </c>
      <c r="M46" s="6"/>
      <c r="N46" s="6"/>
      <c r="O46" s="6">
        <v>0</v>
      </c>
      <c r="P46" s="6"/>
      <c r="Q46" s="6">
        <f t="shared" si="14"/>
        <v>55.4</v>
      </c>
      <c r="R46" s="10"/>
      <c r="S46" s="6">
        <f t="shared" si="15"/>
        <v>33.826714801444041</v>
      </c>
      <c r="T46" s="6">
        <f t="shared" si="16"/>
        <v>33.826714801444041</v>
      </c>
      <c r="U46" s="6">
        <v>70.8</v>
      </c>
      <c r="V46" s="6">
        <v>472.6</v>
      </c>
      <c r="W46" s="6">
        <v>1125</v>
      </c>
      <c r="X46" s="6">
        <v>88.8</v>
      </c>
      <c r="Y46" s="6">
        <v>92.2</v>
      </c>
      <c r="Z46" s="6">
        <v>90.2</v>
      </c>
      <c r="AA46" s="6">
        <v>75.2</v>
      </c>
      <c r="AB46" s="18" t="s">
        <v>45</v>
      </c>
      <c r="AC46" s="6">
        <f t="shared" si="17"/>
        <v>0</v>
      </c>
      <c r="AD46" s="6">
        <f t="shared" si="7"/>
        <v>77.632499999999993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91</v>
      </c>
      <c r="B47" s="6" t="s">
        <v>34</v>
      </c>
      <c r="C47" s="6">
        <v>9.2219999999999995</v>
      </c>
      <c r="D47" s="6">
        <v>173.85300000000001</v>
      </c>
      <c r="E47" s="6">
        <v>10.766999999999999</v>
      </c>
      <c r="F47" s="6">
        <v>170.69</v>
      </c>
      <c r="G47" s="9">
        <v>1</v>
      </c>
      <c r="H47" s="6">
        <v>45</v>
      </c>
      <c r="I47" s="6">
        <v>6661</v>
      </c>
      <c r="J47" s="6"/>
      <c r="K47" s="6">
        <v>16.5</v>
      </c>
      <c r="L47" s="6">
        <f t="shared" si="13"/>
        <v>-5.7330000000000005</v>
      </c>
      <c r="M47" s="6"/>
      <c r="N47" s="6"/>
      <c r="O47" s="6">
        <v>0</v>
      </c>
      <c r="P47" s="6"/>
      <c r="Q47" s="6">
        <f t="shared" si="14"/>
        <v>2.1534</v>
      </c>
      <c r="R47" s="10"/>
      <c r="S47" s="6">
        <f t="shared" si="15"/>
        <v>79.265347822048852</v>
      </c>
      <c r="T47" s="6">
        <f t="shared" si="16"/>
        <v>79.265347822048852</v>
      </c>
      <c r="U47" s="6">
        <v>0.62980000000000003</v>
      </c>
      <c r="V47" s="6">
        <v>2.1646000000000001</v>
      </c>
      <c r="W47" s="6">
        <v>2.6646000000000001</v>
      </c>
      <c r="X47" s="6">
        <v>1.2427999999999999</v>
      </c>
      <c r="Y47" s="6">
        <v>1.234</v>
      </c>
      <c r="Z47" s="6">
        <v>3.0461999999999998</v>
      </c>
      <c r="AA47" s="6">
        <v>2.7833999999999999</v>
      </c>
      <c r="AB47" s="7" t="s">
        <v>165</v>
      </c>
      <c r="AC47" s="6">
        <f t="shared" si="17"/>
        <v>0</v>
      </c>
      <c r="AD47" s="6">
        <f t="shared" si="7"/>
        <v>1.9898500000000001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92</v>
      </c>
      <c r="B48" s="6" t="s">
        <v>32</v>
      </c>
      <c r="C48" s="6">
        <v>1160</v>
      </c>
      <c r="D48" s="6">
        <v>1491</v>
      </c>
      <c r="E48" s="6">
        <v>761</v>
      </c>
      <c r="F48" s="6">
        <v>1113</v>
      </c>
      <c r="G48" s="9">
        <v>0.35</v>
      </c>
      <c r="H48" s="6">
        <v>45</v>
      </c>
      <c r="I48" s="6">
        <v>6697</v>
      </c>
      <c r="J48" s="6"/>
      <c r="K48" s="6">
        <v>818</v>
      </c>
      <c r="L48" s="6">
        <f t="shared" si="13"/>
        <v>-57</v>
      </c>
      <c r="M48" s="6"/>
      <c r="N48" s="6"/>
      <c r="O48" s="6">
        <v>680</v>
      </c>
      <c r="P48" s="6">
        <v>1019</v>
      </c>
      <c r="Q48" s="6">
        <f t="shared" si="14"/>
        <v>152.19999999999999</v>
      </c>
      <c r="R48" s="10"/>
      <c r="S48" s="6">
        <f t="shared" si="15"/>
        <v>18.47568988173456</v>
      </c>
      <c r="T48" s="6">
        <f t="shared" si="16"/>
        <v>18.47568988173456</v>
      </c>
      <c r="U48" s="6">
        <v>238</v>
      </c>
      <c r="V48" s="6">
        <v>215.8</v>
      </c>
      <c r="W48" s="6">
        <v>254.4</v>
      </c>
      <c r="X48" s="6">
        <v>225.4</v>
      </c>
      <c r="Y48" s="6">
        <v>174.6</v>
      </c>
      <c r="Z48" s="6">
        <v>242.8</v>
      </c>
      <c r="AA48" s="6">
        <v>195.2</v>
      </c>
      <c r="AB48" s="6"/>
      <c r="AC48" s="6">
        <f t="shared" si="17"/>
        <v>0</v>
      </c>
      <c r="AD48" s="6">
        <f t="shared" si="7"/>
        <v>74.304999999999993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93</v>
      </c>
      <c r="B49" s="6" t="s">
        <v>32</v>
      </c>
      <c r="C49" s="6">
        <v>107</v>
      </c>
      <c r="D49" s="6">
        <v>1032</v>
      </c>
      <c r="E49" s="6">
        <v>236</v>
      </c>
      <c r="F49" s="6">
        <v>563</v>
      </c>
      <c r="G49" s="9">
        <v>0.41</v>
      </c>
      <c r="H49" s="6">
        <v>45</v>
      </c>
      <c r="I49" s="6">
        <v>6713</v>
      </c>
      <c r="J49" s="6"/>
      <c r="K49" s="6">
        <v>274</v>
      </c>
      <c r="L49" s="6">
        <f t="shared" si="13"/>
        <v>-38</v>
      </c>
      <c r="M49" s="6"/>
      <c r="N49" s="6"/>
      <c r="O49" s="6">
        <v>278</v>
      </c>
      <c r="P49" s="6"/>
      <c r="Q49" s="6">
        <f t="shared" si="14"/>
        <v>47.2</v>
      </c>
      <c r="R49" s="10"/>
      <c r="S49" s="6">
        <f t="shared" si="15"/>
        <v>17.817796610169491</v>
      </c>
      <c r="T49" s="6">
        <f t="shared" si="16"/>
        <v>17.817796610169491</v>
      </c>
      <c r="U49" s="6">
        <v>73.8</v>
      </c>
      <c r="V49" s="6">
        <v>85.4</v>
      </c>
      <c r="W49" s="6">
        <v>90</v>
      </c>
      <c r="X49" s="6">
        <v>70.8</v>
      </c>
      <c r="Y49" s="6">
        <v>61</v>
      </c>
      <c r="Z49" s="6">
        <v>64.599999999999994</v>
      </c>
      <c r="AA49" s="6">
        <v>87.2</v>
      </c>
      <c r="AB49" s="6"/>
      <c r="AC49" s="6">
        <f t="shared" si="17"/>
        <v>0</v>
      </c>
      <c r="AD49" s="6">
        <f t="shared" si="7"/>
        <v>29.724999999999998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94</v>
      </c>
      <c r="B50" s="6" t="s">
        <v>32</v>
      </c>
      <c r="C50" s="6">
        <v>167</v>
      </c>
      <c r="D50" s="6">
        <v>42</v>
      </c>
      <c r="E50" s="6">
        <v>69</v>
      </c>
      <c r="F50" s="6">
        <v>98</v>
      </c>
      <c r="G50" s="9">
        <v>0.41</v>
      </c>
      <c r="H50" s="6">
        <v>45</v>
      </c>
      <c r="I50" s="6">
        <v>6724</v>
      </c>
      <c r="J50" s="6"/>
      <c r="K50" s="6">
        <v>69</v>
      </c>
      <c r="L50" s="6">
        <f t="shared" si="13"/>
        <v>0</v>
      </c>
      <c r="M50" s="6"/>
      <c r="N50" s="6"/>
      <c r="O50" s="6">
        <v>43</v>
      </c>
      <c r="P50" s="6"/>
      <c r="Q50" s="6">
        <f t="shared" si="14"/>
        <v>13.8</v>
      </c>
      <c r="R50" s="10">
        <f t="shared" si="18"/>
        <v>66</v>
      </c>
      <c r="S50" s="6">
        <f t="shared" si="15"/>
        <v>15</v>
      </c>
      <c r="T50" s="6">
        <f t="shared" si="16"/>
        <v>10.217391304347826</v>
      </c>
      <c r="U50" s="6">
        <v>14</v>
      </c>
      <c r="V50" s="6">
        <v>12.6</v>
      </c>
      <c r="W50" s="6">
        <v>24.6</v>
      </c>
      <c r="X50" s="6">
        <v>24.6</v>
      </c>
      <c r="Y50" s="6">
        <v>19</v>
      </c>
      <c r="Z50" s="6">
        <v>12.2</v>
      </c>
      <c r="AA50" s="6">
        <v>19.8</v>
      </c>
      <c r="AB50" s="6"/>
      <c r="AC50" s="6">
        <f t="shared" si="17"/>
        <v>27.06</v>
      </c>
      <c r="AD50" s="6">
        <f t="shared" si="7"/>
        <v>7.2057499999999992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95</v>
      </c>
      <c r="B51" s="6" t="s">
        <v>32</v>
      </c>
      <c r="C51" s="6">
        <v>159</v>
      </c>
      <c r="D51" s="6">
        <v>280</v>
      </c>
      <c r="E51" s="6">
        <v>178</v>
      </c>
      <c r="F51" s="6">
        <v>109</v>
      </c>
      <c r="G51" s="9">
        <v>0.36</v>
      </c>
      <c r="H51" s="6">
        <v>45</v>
      </c>
      <c r="I51" s="6">
        <v>6765</v>
      </c>
      <c r="J51" s="6"/>
      <c r="K51" s="6">
        <v>184</v>
      </c>
      <c r="L51" s="6">
        <f t="shared" si="13"/>
        <v>-6</v>
      </c>
      <c r="M51" s="6"/>
      <c r="N51" s="6"/>
      <c r="O51" s="6">
        <v>232</v>
      </c>
      <c r="P51" s="6">
        <v>348</v>
      </c>
      <c r="Q51" s="6">
        <f t="shared" si="14"/>
        <v>35.6</v>
      </c>
      <c r="R51" s="10"/>
      <c r="S51" s="6">
        <f t="shared" si="15"/>
        <v>19.353932584269661</v>
      </c>
      <c r="T51" s="6">
        <f t="shared" si="16"/>
        <v>19.353932584269661</v>
      </c>
      <c r="U51" s="6">
        <v>58.4</v>
      </c>
      <c r="V51" s="6">
        <v>42.6</v>
      </c>
      <c r="W51" s="6">
        <v>61.8</v>
      </c>
      <c r="X51" s="6">
        <v>30.8</v>
      </c>
      <c r="Y51" s="6">
        <v>48.8</v>
      </c>
      <c r="Z51" s="6">
        <v>26.6</v>
      </c>
      <c r="AA51" s="6">
        <v>45.8</v>
      </c>
      <c r="AB51" s="6"/>
      <c r="AC51" s="6">
        <f t="shared" si="17"/>
        <v>0</v>
      </c>
      <c r="AD51" s="6">
        <f t="shared" si="7"/>
        <v>15.768000000000001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96</v>
      </c>
      <c r="B52" s="6" t="s">
        <v>32</v>
      </c>
      <c r="C52" s="6">
        <v>112</v>
      </c>
      <c r="D52" s="6">
        <v>699</v>
      </c>
      <c r="E52" s="6">
        <v>197</v>
      </c>
      <c r="F52" s="6">
        <v>385</v>
      </c>
      <c r="G52" s="9">
        <v>0.33</v>
      </c>
      <c r="H52" s="6">
        <v>45</v>
      </c>
      <c r="I52" s="6">
        <v>6787</v>
      </c>
      <c r="J52" s="6"/>
      <c r="K52" s="6">
        <v>204</v>
      </c>
      <c r="L52" s="6">
        <f t="shared" si="13"/>
        <v>-7</v>
      </c>
      <c r="M52" s="6"/>
      <c r="N52" s="6"/>
      <c r="O52" s="6">
        <v>215</v>
      </c>
      <c r="P52" s="6"/>
      <c r="Q52" s="6">
        <f t="shared" si="14"/>
        <v>39.4</v>
      </c>
      <c r="R52" s="10"/>
      <c r="S52" s="6">
        <f t="shared" si="15"/>
        <v>15.228426395939087</v>
      </c>
      <c r="T52" s="6">
        <f t="shared" si="16"/>
        <v>15.228426395939087</v>
      </c>
      <c r="U52" s="6">
        <v>53.2</v>
      </c>
      <c r="V52" s="6">
        <v>56.4</v>
      </c>
      <c r="W52" s="6">
        <v>54.2</v>
      </c>
      <c r="X52" s="6">
        <v>59.2</v>
      </c>
      <c r="Y52" s="6">
        <v>41.2</v>
      </c>
      <c r="Z52" s="6">
        <v>51.6</v>
      </c>
      <c r="AA52" s="6">
        <v>54.8</v>
      </c>
      <c r="AB52" s="6"/>
      <c r="AC52" s="6">
        <f t="shared" si="17"/>
        <v>0</v>
      </c>
      <c r="AD52" s="6">
        <f t="shared" si="7"/>
        <v>16.912500000000001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97</v>
      </c>
      <c r="B53" s="6" t="s">
        <v>32</v>
      </c>
      <c r="C53" s="6">
        <v>153</v>
      </c>
      <c r="D53" s="6">
        <v>351</v>
      </c>
      <c r="E53" s="6">
        <v>166</v>
      </c>
      <c r="F53" s="6">
        <v>259</v>
      </c>
      <c r="G53" s="9">
        <v>0.4</v>
      </c>
      <c r="H53" s="6">
        <v>60</v>
      </c>
      <c r="I53" s="6">
        <v>6797</v>
      </c>
      <c r="J53" s="6"/>
      <c r="K53" s="6">
        <v>175</v>
      </c>
      <c r="L53" s="6">
        <f t="shared" si="13"/>
        <v>-9</v>
      </c>
      <c r="M53" s="6"/>
      <c r="N53" s="6"/>
      <c r="O53" s="6">
        <v>0</v>
      </c>
      <c r="P53" s="6"/>
      <c r="Q53" s="6">
        <f t="shared" si="14"/>
        <v>33.200000000000003</v>
      </c>
      <c r="R53" s="10">
        <f t="shared" si="18"/>
        <v>239.00000000000006</v>
      </c>
      <c r="S53" s="6">
        <f t="shared" si="15"/>
        <v>15</v>
      </c>
      <c r="T53" s="6">
        <f t="shared" si="16"/>
        <v>7.8012048192771077</v>
      </c>
      <c r="U53" s="6">
        <v>20.8</v>
      </c>
      <c r="V53" s="6">
        <v>38.799999999999997</v>
      </c>
      <c r="W53" s="6">
        <v>37.4</v>
      </c>
      <c r="X53" s="6">
        <v>0</v>
      </c>
      <c r="Y53" s="6">
        <v>0</v>
      </c>
      <c r="Z53" s="6">
        <v>11.2</v>
      </c>
      <c r="AA53" s="6">
        <v>40.200000000000003</v>
      </c>
      <c r="AB53" s="6"/>
      <c r="AC53" s="6">
        <f t="shared" si="17"/>
        <v>95.600000000000023</v>
      </c>
      <c r="AD53" s="6">
        <f t="shared" si="7"/>
        <v>9.0799999999999983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98</v>
      </c>
      <c r="B54" s="6" t="s">
        <v>32</v>
      </c>
      <c r="C54" s="6">
        <v>323</v>
      </c>
      <c r="D54" s="6">
        <v>11</v>
      </c>
      <c r="E54" s="6">
        <v>18</v>
      </c>
      <c r="F54" s="6">
        <v>305</v>
      </c>
      <c r="G54" s="9">
        <v>0.33</v>
      </c>
      <c r="H54" s="6">
        <v>45</v>
      </c>
      <c r="I54" s="6">
        <v>6807</v>
      </c>
      <c r="J54" s="6"/>
      <c r="K54" s="6">
        <v>23</v>
      </c>
      <c r="L54" s="6">
        <f t="shared" si="13"/>
        <v>-5</v>
      </c>
      <c r="M54" s="6"/>
      <c r="N54" s="6"/>
      <c r="O54" s="6">
        <v>0</v>
      </c>
      <c r="P54" s="6"/>
      <c r="Q54" s="6">
        <f t="shared" si="14"/>
        <v>3.6</v>
      </c>
      <c r="R54" s="10"/>
      <c r="S54" s="6">
        <f t="shared" si="15"/>
        <v>84.722222222222214</v>
      </c>
      <c r="T54" s="6">
        <f t="shared" si="16"/>
        <v>84.722222222222214</v>
      </c>
      <c r="U54" s="6">
        <v>4.5999999999999996</v>
      </c>
      <c r="V54" s="6">
        <v>5.6</v>
      </c>
      <c r="W54" s="6">
        <v>6.2</v>
      </c>
      <c r="X54" s="6">
        <v>18</v>
      </c>
      <c r="Y54" s="6">
        <v>13</v>
      </c>
      <c r="Z54" s="6">
        <v>26.6</v>
      </c>
      <c r="AA54" s="6">
        <v>4.8</v>
      </c>
      <c r="AB54" s="18" t="s">
        <v>45</v>
      </c>
      <c r="AC54" s="6">
        <f t="shared" si="17"/>
        <v>0</v>
      </c>
      <c r="AD54" s="6">
        <f t="shared" si="7"/>
        <v>3.399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99</v>
      </c>
      <c r="B55" s="6" t="s">
        <v>34</v>
      </c>
      <c r="C55" s="6">
        <v>364.54700000000003</v>
      </c>
      <c r="D55" s="6">
        <v>810.03399999999999</v>
      </c>
      <c r="E55" s="6">
        <v>395.84899999999999</v>
      </c>
      <c r="F55" s="6">
        <v>523.39400000000001</v>
      </c>
      <c r="G55" s="9">
        <v>1</v>
      </c>
      <c r="H55" s="6">
        <v>45</v>
      </c>
      <c r="I55" s="6">
        <v>6829</v>
      </c>
      <c r="J55" s="6"/>
      <c r="K55" s="6">
        <v>406.8</v>
      </c>
      <c r="L55" s="6">
        <f t="shared" si="13"/>
        <v>-10.951000000000022</v>
      </c>
      <c r="M55" s="6"/>
      <c r="N55" s="6"/>
      <c r="O55" s="6">
        <v>0</v>
      </c>
      <c r="P55" s="6"/>
      <c r="Q55" s="6">
        <f t="shared" si="14"/>
        <v>79.169799999999995</v>
      </c>
      <c r="R55" s="10">
        <f t="shared" si="18"/>
        <v>664.15300000000002</v>
      </c>
      <c r="S55" s="6">
        <f t="shared" si="15"/>
        <v>15.000000000000002</v>
      </c>
      <c r="T55" s="6">
        <f t="shared" si="16"/>
        <v>6.6110309739319799</v>
      </c>
      <c r="U55" s="6">
        <v>59.140799999999999</v>
      </c>
      <c r="V55" s="6">
        <v>88.197000000000003</v>
      </c>
      <c r="W55" s="6">
        <v>93.295600000000007</v>
      </c>
      <c r="X55" s="6">
        <v>55.942399999999999</v>
      </c>
      <c r="Y55" s="6">
        <v>66.259600000000006</v>
      </c>
      <c r="Z55" s="6">
        <v>76.353999999999999</v>
      </c>
      <c r="AA55" s="6">
        <v>67.717999999999989</v>
      </c>
      <c r="AB55" s="6"/>
      <c r="AC55" s="6">
        <f t="shared" si="17"/>
        <v>664.15300000000002</v>
      </c>
      <c r="AD55" s="6">
        <f t="shared" si="7"/>
        <v>73.259650000000008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100</v>
      </c>
      <c r="B56" s="6" t="s">
        <v>34</v>
      </c>
      <c r="C56" s="6">
        <v>37.898000000000003</v>
      </c>
      <c r="D56" s="6">
        <v>8.3800000000000008</v>
      </c>
      <c r="E56" s="6">
        <v>32.459000000000003</v>
      </c>
      <c r="F56" s="6">
        <v>4.4240000000000004</v>
      </c>
      <c r="G56" s="9">
        <v>1</v>
      </c>
      <c r="H56" s="6">
        <v>30</v>
      </c>
      <c r="I56" s="6">
        <v>6832</v>
      </c>
      <c r="J56" s="6"/>
      <c r="K56" s="6">
        <v>32.4</v>
      </c>
      <c r="L56" s="6">
        <f t="shared" si="13"/>
        <v>5.9000000000004604E-2</v>
      </c>
      <c r="M56" s="6"/>
      <c r="N56" s="6"/>
      <c r="O56" s="6">
        <v>109</v>
      </c>
      <c r="P56" s="6"/>
      <c r="Q56" s="6">
        <f t="shared" si="14"/>
        <v>6.4918000000000005</v>
      </c>
      <c r="R56" s="10"/>
      <c r="S56" s="6">
        <f t="shared" si="15"/>
        <v>17.47188761206445</v>
      </c>
      <c r="T56" s="6">
        <f t="shared" si="16"/>
        <v>17.47188761206445</v>
      </c>
      <c r="U56" s="6">
        <v>12.2532</v>
      </c>
      <c r="V56" s="6">
        <v>3.6048</v>
      </c>
      <c r="W56" s="6">
        <v>8.5906000000000002</v>
      </c>
      <c r="X56" s="6">
        <v>5.4905999999999997</v>
      </c>
      <c r="Y56" s="6">
        <v>0.93459999999999999</v>
      </c>
      <c r="Z56" s="6">
        <v>5.4938000000000002</v>
      </c>
      <c r="AA56" s="6">
        <v>4.8000000000000001E-2</v>
      </c>
      <c r="AB56" s="6"/>
      <c r="AC56" s="6">
        <f t="shared" si="17"/>
        <v>0</v>
      </c>
      <c r="AD56" s="6">
        <f t="shared" si="7"/>
        <v>5.3634250000000012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8" t="s">
        <v>101</v>
      </c>
      <c r="B57" s="6" t="s">
        <v>32</v>
      </c>
      <c r="C57" s="6"/>
      <c r="D57" s="6"/>
      <c r="E57" s="6"/>
      <c r="F57" s="6"/>
      <c r="G57" s="9">
        <v>0.1</v>
      </c>
      <c r="H57" s="6">
        <v>60</v>
      </c>
      <c r="I57" s="6">
        <v>6834</v>
      </c>
      <c r="J57" s="6"/>
      <c r="K57" s="6">
        <v>10</v>
      </c>
      <c r="L57" s="6">
        <f t="shared" si="13"/>
        <v>-10</v>
      </c>
      <c r="M57" s="6"/>
      <c r="N57" s="6"/>
      <c r="O57" s="6">
        <v>10</v>
      </c>
      <c r="P57" s="6"/>
      <c r="Q57" s="6">
        <f t="shared" si="14"/>
        <v>0</v>
      </c>
      <c r="R57" s="10">
        <v>20</v>
      </c>
      <c r="S57" s="6" t="e">
        <f t="shared" si="15"/>
        <v>#DIV/0!</v>
      </c>
      <c r="T57" s="6" t="e">
        <f t="shared" si="16"/>
        <v>#DIV/0!</v>
      </c>
      <c r="U57" s="6">
        <v>0</v>
      </c>
      <c r="V57" s="6">
        <v>1.6</v>
      </c>
      <c r="W57" s="6">
        <v>2.8</v>
      </c>
      <c r="X57" s="6">
        <v>2.4</v>
      </c>
      <c r="Y57" s="6">
        <v>2.2000000000000002</v>
      </c>
      <c r="Z57" s="6">
        <v>2</v>
      </c>
      <c r="AA57" s="6">
        <v>3.4</v>
      </c>
      <c r="AB57" s="6"/>
      <c r="AC57" s="6">
        <f t="shared" si="17"/>
        <v>2</v>
      </c>
      <c r="AD57" s="6">
        <f t="shared" si="7"/>
        <v>0.18000000000000002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102</v>
      </c>
      <c r="B58" s="6" t="s">
        <v>32</v>
      </c>
      <c r="C58" s="6">
        <v>84</v>
      </c>
      <c r="D58" s="6">
        <v>4</v>
      </c>
      <c r="E58" s="6">
        <v>17</v>
      </c>
      <c r="F58" s="6">
        <v>63</v>
      </c>
      <c r="G58" s="9">
        <v>0.4</v>
      </c>
      <c r="H58" s="6">
        <v>45</v>
      </c>
      <c r="I58" s="6">
        <v>6837</v>
      </c>
      <c r="J58" s="6"/>
      <c r="K58" s="6">
        <v>23</v>
      </c>
      <c r="L58" s="6">
        <f t="shared" si="13"/>
        <v>-6</v>
      </c>
      <c r="M58" s="6"/>
      <c r="N58" s="6"/>
      <c r="O58" s="6">
        <v>0</v>
      </c>
      <c r="P58" s="6"/>
      <c r="Q58" s="6">
        <f t="shared" si="14"/>
        <v>3.4</v>
      </c>
      <c r="R58" s="10"/>
      <c r="S58" s="6">
        <f t="shared" si="15"/>
        <v>18.529411764705884</v>
      </c>
      <c r="T58" s="6">
        <f t="shared" si="16"/>
        <v>18.529411764705884</v>
      </c>
      <c r="U58" s="6">
        <v>1.6</v>
      </c>
      <c r="V58" s="6">
        <v>4.2</v>
      </c>
      <c r="W58" s="6">
        <v>9</v>
      </c>
      <c r="X58" s="6">
        <v>6.2</v>
      </c>
      <c r="Y58" s="6">
        <v>7.2</v>
      </c>
      <c r="Z58" s="6">
        <v>7.2</v>
      </c>
      <c r="AA58" s="6">
        <v>2.6</v>
      </c>
      <c r="AB58" s="8" t="s">
        <v>39</v>
      </c>
      <c r="AC58" s="6">
        <f t="shared" si="17"/>
        <v>0</v>
      </c>
      <c r="AD58" s="6">
        <f t="shared" si="7"/>
        <v>2.0699999999999998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103</v>
      </c>
      <c r="B59" s="6" t="s">
        <v>34</v>
      </c>
      <c r="C59" s="6"/>
      <c r="D59" s="6">
        <v>25.523</v>
      </c>
      <c r="E59" s="6">
        <v>11.672000000000001</v>
      </c>
      <c r="F59" s="6">
        <v>11.882</v>
      </c>
      <c r="G59" s="9">
        <v>1</v>
      </c>
      <c r="H59" s="6">
        <v>60</v>
      </c>
      <c r="I59" s="6">
        <v>6861</v>
      </c>
      <c r="J59" s="6"/>
      <c r="K59" s="6">
        <v>28.3</v>
      </c>
      <c r="L59" s="6">
        <f t="shared" si="13"/>
        <v>-16.628</v>
      </c>
      <c r="M59" s="6"/>
      <c r="N59" s="6"/>
      <c r="O59" s="6">
        <v>16</v>
      </c>
      <c r="P59" s="6"/>
      <c r="Q59" s="6">
        <f t="shared" si="14"/>
        <v>2.3344</v>
      </c>
      <c r="R59" s="10">
        <f t="shared" si="18"/>
        <v>7.1339999999999986</v>
      </c>
      <c r="S59" s="6">
        <f t="shared" si="15"/>
        <v>14.999999999999998</v>
      </c>
      <c r="T59" s="6">
        <f t="shared" si="16"/>
        <v>11.943968471555859</v>
      </c>
      <c r="U59" s="6">
        <v>0.3916</v>
      </c>
      <c r="V59" s="6">
        <v>2.6023999999999998</v>
      </c>
      <c r="W59" s="6">
        <v>0.76580000000000004</v>
      </c>
      <c r="X59" s="6">
        <v>4.7548000000000004</v>
      </c>
      <c r="Y59" s="6">
        <v>5.0624000000000002</v>
      </c>
      <c r="Z59" s="6">
        <v>3.1055999999999999</v>
      </c>
      <c r="AA59" s="6">
        <v>4.3197999999999999</v>
      </c>
      <c r="AB59" s="6"/>
      <c r="AC59" s="6">
        <f t="shared" si="17"/>
        <v>7.1339999999999986</v>
      </c>
      <c r="AD59" s="6">
        <f t="shared" si="7"/>
        <v>2.9171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104</v>
      </c>
      <c r="B60" s="6" t="s">
        <v>34</v>
      </c>
      <c r="C60" s="6">
        <v>34.585000000000001</v>
      </c>
      <c r="D60" s="6">
        <v>1.53</v>
      </c>
      <c r="E60" s="6">
        <v>22.555</v>
      </c>
      <c r="F60" s="6">
        <v>12.03</v>
      </c>
      <c r="G60" s="9">
        <v>1</v>
      </c>
      <c r="H60" s="6">
        <v>60</v>
      </c>
      <c r="I60" s="6">
        <v>6866</v>
      </c>
      <c r="J60" s="6"/>
      <c r="K60" s="6">
        <v>25.5</v>
      </c>
      <c r="L60" s="6">
        <f t="shared" si="13"/>
        <v>-2.9450000000000003</v>
      </c>
      <c r="M60" s="6"/>
      <c r="N60" s="6"/>
      <c r="O60" s="6">
        <v>20</v>
      </c>
      <c r="P60" s="6"/>
      <c r="Q60" s="6">
        <f t="shared" si="14"/>
        <v>4.5110000000000001</v>
      </c>
      <c r="R60" s="10">
        <f t="shared" si="18"/>
        <v>35.635000000000005</v>
      </c>
      <c r="S60" s="6">
        <f t="shared" si="15"/>
        <v>15.000000000000002</v>
      </c>
      <c r="T60" s="6">
        <f t="shared" si="16"/>
        <v>7.100421192640213</v>
      </c>
      <c r="U60" s="6">
        <v>3.62</v>
      </c>
      <c r="V60" s="6">
        <v>2.024</v>
      </c>
      <c r="W60" s="6">
        <v>4.5279999999999996</v>
      </c>
      <c r="X60" s="6">
        <v>3.6309999999999998</v>
      </c>
      <c r="Y60" s="6">
        <v>3.617</v>
      </c>
      <c r="Z60" s="6">
        <v>1.8580000000000001</v>
      </c>
      <c r="AA60" s="6">
        <v>2.8534000000000002</v>
      </c>
      <c r="AB60" s="6"/>
      <c r="AC60" s="6">
        <f t="shared" si="17"/>
        <v>35.635000000000005</v>
      </c>
      <c r="AD60" s="6">
        <f t="shared" si="7"/>
        <v>3.3303000000000003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105</v>
      </c>
      <c r="B61" s="6" t="s">
        <v>32</v>
      </c>
      <c r="C61" s="6"/>
      <c r="D61" s="6">
        <v>56</v>
      </c>
      <c r="E61" s="6">
        <v>20</v>
      </c>
      <c r="F61" s="6">
        <v>33</v>
      </c>
      <c r="G61" s="9">
        <v>0.6</v>
      </c>
      <c r="H61" s="6">
        <v>45</v>
      </c>
      <c r="I61" s="6">
        <v>6925</v>
      </c>
      <c r="J61" s="6"/>
      <c r="K61" s="6">
        <v>22</v>
      </c>
      <c r="L61" s="6">
        <f t="shared" si="13"/>
        <v>-2</v>
      </c>
      <c r="M61" s="6"/>
      <c r="N61" s="6"/>
      <c r="O61" s="6">
        <v>0</v>
      </c>
      <c r="P61" s="6"/>
      <c r="Q61" s="6">
        <f t="shared" si="14"/>
        <v>4</v>
      </c>
      <c r="R61" s="10">
        <f t="shared" si="18"/>
        <v>27</v>
      </c>
      <c r="S61" s="6">
        <f t="shared" si="15"/>
        <v>15</v>
      </c>
      <c r="T61" s="6">
        <f t="shared" si="16"/>
        <v>8.25</v>
      </c>
      <c r="U61" s="6">
        <v>-0.2</v>
      </c>
      <c r="V61" s="6">
        <v>0.8</v>
      </c>
      <c r="W61" s="6">
        <v>3</v>
      </c>
      <c r="X61" s="6">
        <v>10.4</v>
      </c>
      <c r="Y61" s="6">
        <v>6</v>
      </c>
      <c r="Z61" s="6">
        <v>7</v>
      </c>
      <c r="AA61" s="6">
        <v>4.8</v>
      </c>
      <c r="AB61" s="6"/>
      <c r="AC61" s="6">
        <f t="shared" si="17"/>
        <v>16.2</v>
      </c>
      <c r="AD61" s="6">
        <f t="shared" si="7"/>
        <v>2.6849999999999996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106</v>
      </c>
      <c r="B62" s="6" t="s">
        <v>34</v>
      </c>
      <c r="C62" s="6">
        <v>11.137</v>
      </c>
      <c r="D62" s="6"/>
      <c r="E62" s="6">
        <v>8.5660000000000007</v>
      </c>
      <c r="F62" s="6"/>
      <c r="G62" s="9">
        <v>1</v>
      </c>
      <c r="H62" s="6">
        <v>45</v>
      </c>
      <c r="I62" s="6"/>
      <c r="J62" s="6"/>
      <c r="K62" s="6">
        <v>19.28</v>
      </c>
      <c r="L62" s="6">
        <f t="shared" si="13"/>
        <v>-10.714</v>
      </c>
      <c r="M62" s="6"/>
      <c r="N62" s="6"/>
      <c r="O62" s="6">
        <v>4</v>
      </c>
      <c r="P62" s="6"/>
      <c r="Q62" s="6">
        <f t="shared" si="14"/>
        <v>1.7132000000000001</v>
      </c>
      <c r="R62" s="10">
        <f>12*Q62-P62-O62-F62</f>
        <v>16.558399999999999</v>
      </c>
      <c r="S62" s="6">
        <f t="shared" si="15"/>
        <v>11.999999999999998</v>
      </c>
      <c r="T62" s="6">
        <f t="shared" si="16"/>
        <v>2.3348120476301655</v>
      </c>
      <c r="U62" s="6">
        <v>1.03</v>
      </c>
      <c r="V62" s="6">
        <v>0.85760000000000003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/>
      <c r="AC62" s="6">
        <f t="shared" si="17"/>
        <v>16.558399999999999</v>
      </c>
      <c r="AD62" s="6">
        <f t="shared" si="7"/>
        <v>0.4501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107</v>
      </c>
      <c r="B63" s="6" t="s">
        <v>32</v>
      </c>
      <c r="C63" s="6">
        <v>67</v>
      </c>
      <c r="D63" s="6">
        <v>72</v>
      </c>
      <c r="E63" s="6">
        <v>38</v>
      </c>
      <c r="F63" s="6">
        <v>70</v>
      </c>
      <c r="G63" s="9">
        <v>0.25</v>
      </c>
      <c r="H63" s="6">
        <v>120</v>
      </c>
      <c r="I63" s="6">
        <v>6967</v>
      </c>
      <c r="J63" s="6"/>
      <c r="K63" s="6">
        <v>38</v>
      </c>
      <c r="L63" s="6">
        <f t="shared" si="13"/>
        <v>0</v>
      </c>
      <c r="M63" s="6"/>
      <c r="N63" s="6"/>
      <c r="O63" s="6">
        <v>42</v>
      </c>
      <c r="P63" s="6"/>
      <c r="Q63" s="6">
        <f t="shared" si="14"/>
        <v>7.6</v>
      </c>
      <c r="R63" s="10">
        <f>20*Q63-P63-O63-F63</f>
        <v>40</v>
      </c>
      <c r="S63" s="6">
        <f t="shared" si="15"/>
        <v>20</v>
      </c>
      <c r="T63" s="6">
        <f t="shared" si="16"/>
        <v>14.736842105263159</v>
      </c>
      <c r="U63" s="6">
        <v>10</v>
      </c>
      <c r="V63" s="6">
        <v>11.4</v>
      </c>
      <c r="W63" s="6">
        <v>4.5999999999999996</v>
      </c>
      <c r="X63" s="6">
        <v>7</v>
      </c>
      <c r="Y63" s="6">
        <v>8.8000000000000007</v>
      </c>
      <c r="Z63" s="6">
        <v>15.8</v>
      </c>
      <c r="AA63" s="6">
        <v>8</v>
      </c>
      <c r="AB63" s="6" t="s">
        <v>35</v>
      </c>
      <c r="AC63" s="6">
        <f t="shared" si="17"/>
        <v>10</v>
      </c>
      <c r="AD63" s="6">
        <f t="shared" si="7"/>
        <v>2.2875000000000001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108</v>
      </c>
      <c r="B64" s="6" t="s">
        <v>34</v>
      </c>
      <c r="C64" s="6">
        <v>18.635999999999999</v>
      </c>
      <c r="D64" s="6">
        <v>23.905000000000001</v>
      </c>
      <c r="E64" s="6">
        <v>14.319000000000001</v>
      </c>
      <c r="F64" s="6">
        <v>8.2710000000000008</v>
      </c>
      <c r="G64" s="9">
        <v>1</v>
      </c>
      <c r="H64" s="6">
        <v>45</v>
      </c>
      <c r="I64" s="6">
        <v>7001</v>
      </c>
      <c r="J64" s="6"/>
      <c r="K64" s="6">
        <v>15.1</v>
      </c>
      <c r="L64" s="6">
        <f t="shared" si="13"/>
        <v>-0.78099999999999881</v>
      </c>
      <c r="M64" s="6"/>
      <c r="N64" s="6"/>
      <c r="O64" s="6">
        <v>17</v>
      </c>
      <c r="P64" s="6"/>
      <c r="Q64" s="6">
        <f t="shared" si="14"/>
        <v>2.8638000000000003</v>
      </c>
      <c r="R64" s="10">
        <f t="shared" si="18"/>
        <v>17.686000000000007</v>
      </c>
      <c r="S64" s="6">
        <f t="shared" si="15"/>
        <v>15.000000000000002</v>
      </c>
      <c r="T64" s="6">
        <f t="shared" si="16"/>
        <v>8.8242894056847536</v>
      </c>
      <c r="U64" s="6">
        <v>2.9007999999999998</v>
      </c>
      <c r="V64" s="6">
        <v>3.1057999999999999</v>
      </c>
      <c r="W64" s="6">
        <v>3.4205999999999999</v>
      </c>
      <c r="X64" s="6">
        <v>3.7978000000000001</v>
      </c>
      <c r="Y64" s="6">
        <v>2.9956</v>
      </c>
      <c r="Z64" s="6">
        <v>3.9388000000000001</v>
      </c>
      <c r="AA64" s="6">
        <v>3.18</v>
      </c>
      <c r="AB64" s="6"/>
      <c r="AC64" s="6">
        <f t="shared" si="17"/>
        <v>17.686000000000007</v>
      </c>
      <c r="AD64" s="6">
        <f t="shared" si="7"/>
        <v>3.2753999999999999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109</v>
      </c>
      <c r="B65" s="6" t="s">
        <v>32</v>
      </c>
      <c r="C65" s="6">
        <v>129</v>
      </c>
      <c r="D65" s="6">
        <v>141</v>
      </c>
      <c r="E65" s="6">
        <v>122</v>
      </c>
      <c r="F65" s="6"/>
      <c r="G65" s="9">
        <v>0.3</v>
      </c>
      <c r="H65" s="6">
        <v>60</v>
      </c>
      <c r="I65" s="6">
        <v>7059</v>
      </c>
      <c r="J65" s="6"/>
      <c r="K65" s="6">
        <v>144</v>
      </c>
      <c r="L65" s="6">
        <f t="shared" si="13"/>
        <v>-22</v>
      </c>
      <c r="M65" s="6"/>
      <c r="N65" s="6"/>
      <c r="O65" s="6">
        <v>252</v>
      </c>
      <c r="P65" s="6"/>
      <c r="Q65" s="6">
        <f t="shared" si="14"/>
        <v>24.4</v>
      </c>
      <c r="R65" s="10">
        <f t="shared" si="18"/>
        <v>114</v>
      </c>
      <c r="S65" s="6">
        <f t="shared" si="15"/>
        <v>15</v>
      </c>
      <c r="T65" s="6">
        <f t="shared" si="16"/>
        <v>10.327868852459018</v>
      </c>
      <c r="U65" s="6">
        <v>27.4</v>
      </c>
      <c r="V65" s="6">
        <v>18.399999999999999</v>
      </c>
      <c r="W65" s="6">
        <v>26.2</v>
      </c>
      <c r="X65" s="6">
        <v>33.4</v>
      </c>
      <c r="Y65" s="6">
        <v>35.6</v>
      </c>
      <c r="Z65" s="6">
        <v>17.600000000000001</v>
      </c>
      <c r="AA65" s="6">
        <v>13.2</v>
      </c>
      <c r="AB65" s="6"/>
      <c r="AC65" s="6">
        <f t="shared" si="17"/>
        <v>34.199999999999996</v>
      </c>
      <c r="AD65" s="6">
        <f t="shared" si="7"/>
        <v>7.3574999999999982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110</v>
      </c>
      <c r="B66" s="6" t="s">
        <v>32</v>
      </c>
      <c r="C66" s="6">
        <v>-129</v>
      </c>
      <c r="D66" s="6">
        <v>1585</v>
      </c>
      <c r="E66" s="17">
        <f>954+E67</f>
        <v>1121</v>
      </c>
      <c r="F66" s="17">
        <f>200+F67</f>
        <v>201</v>
      </c>
      <c r="G66" s="9">
        <v>0.41</v>
      </c>
      <c r="H66" s="6">
        <v>50</v>
      </c>
      <c r="I66" s="6">
        <v>7066</v>
      </c>
      <c r="J66" s="6"/>
      <c r="K66" s="6">
        <v>993</v>
      </c>
      <c r="L66" s="6">
        <f t="shared" si="13"/>
        <v>128</v>
      </c>
      <c r="M66" s="6"/>
      <c r="N66" s="6"/>
      <c r="O66" s="6">
        <v>1006</v>
      </c>
      <c r="P66" s="6">
        <v>1508</v>
      </c>
      <c r="Q66" s="6">
        <f t="shared" si="14"/>
        <v>224.2</v>
      </c>
      <c r="R66" s="10">
        <f t="shared" si="18"/>
        <v>648</v>
      </c>
      <c r="S66" s="6">
        <f t="shared" si="15"/>
        <v>15</v>
      </c>
      <c r="T66" s="6">
        <f t="shared" si="16"/>
        <v>12.109723461195362</v>
      </c>
      <c r="U66" s="6">
        <v>325.39999999999998</v>
      </c>
      <c r="V66" s="6">
        <v>226.4</v>
      </c>
      <c r="W66" s="6">
        <v>282</v>
      </c>
      <c r="X66" s="6">
        <v>262.39999999999998</v>
      </c>
      <c r="Y66" s="6">
        <v>228</v>
      </c>
      <c r="Z66" s="6">
        <v>234</v>
      </c>
      <c r="AA66" s="6">
        <v>316.39999999999998</v>
      </c>
      <c r="AB66" s="6"/>
      <c r="AC66" s="6">
        <f t="shared" si="17"/>
        <v>265.68</v>
      </c>
      <c r="AD66" s="6">
        <f t="shared" si="7"/>
        <v>107.5635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12" t="s">
        <v>111</v>
      </c>
      <c r="B67" s="12" t="s">
        <v>32</v>
      </c>
      <c r="C67" s="12">
        <v>316</v>
      </c>
      <c r="D67" s="12">
        <v>396</v>
      </c>
      <c r="E67" s="17">
        <v>167</v>
      </c>
      <c r="F67" s="17">
        <v>1</v>
      </c>
      <c r="G67" s="13">
        <v>0</v>
      </c>
      <c r="H67" s="12"/>
      <c r="I67" s="12" t="s">
        <v>51</v>
      </c>
      <c r="J67" s="12" t="s">
        <v>110</v>
      </c>
      <c r="K67" s="12">
        <v>351</v>
      </c>
      <c r="L67" s="12">
        <f t="shared" si="13"/>
        <v>-184</v>
      </c>
      <c r="M67" s="12"/>
      <c r="N67" s="12"/>
      <c r="O67" s="12">
        <v>0</v>
      </c>
      <c r="P67" s="12"/>
      <c r="Q67" s="12">
        <f t="shared" si="14"/>
        <v>33.4</v>
      </c>
      <c r="R67" s="15"/>
      <c r="S67" s="12">
        <f t="shared" si="15"/>
        <v>2.9940119760479042E-2</v>
      </c>
      <c r="T67" s="12">
        <f t="shared" si="16"/>
        <v>2.9940119760479042E-2</v>
      </c>
      <c r="U67" s="12">
        <v>184.6</v>
      </c>
      <c r="V67" s="12">
        <v>20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/>
      <c r="AC67" s="12"/>
      <c r="AD67" s="6">
        <f t="shared" si="7"/>
        <v>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112</v>
      </c>
      <c r="B68" s="6" t="s">
        <v>34</v>
      </c>
      <c r="C68" s="6">
        <v>526.55200000000002</v>
      </c>
      <c r="D68" s="6">
        <v>430.41899999999998</v>
      </c>
      <c r="E68" s="17">
        <f>308.716+E111</f>
        <v>310.26300000000003</v>
      </c>
      <c r="F68" s="17">
        <f>465.989+F111</f>
        <v>504.226</v>
      </c>
      <c r="G68" s="9">
        <v>1</v>
      </c>
      <c r="H68" s="6">
        <v>50</v>
      </c>
      <c r="I68" s="6">
        <v>7070</v>
      </c>
      <c r="J68" s="6"/>
      <c r="K68" s="6">
        <v>301.10000000000002</v>
      </c>
      <c r="L68" s="6">
        <f t="shared" si="13"/>
        <v>9.1630000000000109</v>
      </c>
      <c r="M68" s="6"/>
      <c r="N68" s="6"/>
      <c r="O68" s="6">
        <v>204</v>
      </c>
      <c r="P68" s="6"/>
      <c r="Q68" s="6">
        <f t="shared" si="14"/>
        <v>62.052600000000005</v>
      </c>
      <c r="R68" s="10">
        <f t="shared" ref="R68:R69" si="19">15*Q68-P68-O68-F68</f>
        <v>222.5630000000001</v>
      </c>
      <c r="S68" s="6">
        <f t="shared" si="15"/>
        <v>15</v>
      </c>
      <c r="T68" s="6">
        <f t="shared" si="16"/>
        <v>11.413317089050256</v>
      </c>
      <c r="U68" s="6">
        <v>67.328400000000002</v>
      </c>
      <c r="V68" s="6">
        <v>75.135400000000004</v>
      </c>
      <c r="W68" s="6">
        <v>94.911000000000001</v>
      </c>
      <c r="X68" s="6">
        <v>43.7624</v>
      </c>
      <c r="Y68" s="6">
        <v>79.599999999999994</v>
      </c>
      <c r="Z68" s="6">
        <v>20.056000000000001</v>
      </c>
      <c r="AA68" s="6">
        <v>51.692399999999999</v>
      </c>
      <c r="AB68" s="6"/>
      <c r="AC68" s="6">
        <f>G68*R68</f>
        <v>222.5630000000001</v>
      </c>
      <c r="AD68" s="6">
        <f t="shared" si="7"/>
        <v>61.817275000000002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113</v>
      </c>
      <c r="B69" s="6" t="s">
        <v>32</v>
      </c>
      <c r="C69" s="6">
        <v>43</v>
      </c>
      <c r="D69" s="6">
        <v>87</v>
      </c>
      <c r="E69" s="6">
        <v>40</v>
      </c>
      <c r="F69" s="6">
        <v>25</v>
      </c>
      <c r="G69" s="9">
        <v>0.35</v>
      </c>
      <c r="H69" s="6">
        <v>50</v>
      </c>
      <c r="I69" s="6">
        <v>7073</v>
      </c>
      <c r="J69" s="6"/>
      <c r="K69" s="6">
        <v>44</v>
      </c>
      <c r="L69" s="6">
        <f t="shared" si="13"/>
        <v>-4</v>
      </c>
      <c r="M69" s="6"/>
      <c r="N69" s="6"/>
      <c r="O69" s="6">
        <v>69</v>
      </c>
      <c r="P69" s="6"/>
      <c r="Q69" s="6">
        <f t="shared" si="14"/>
        <v>8</v>
      </c>
      <c r="R69" s="10">
        <f t="shared" si="19"/>
        <v>26</v>
      </c>
      <c r="S69" s="6">
        <f t="shared" si="15"/>
        <v>15</v>
      </c>
      <c r="T69" s="6">
        <f t="shared" si="16"/>
        <v>11.75</v>
      </c>
      <c r="U69" s="6">
        <v>9.8000000000000007</v>
      </c>
      <c r="V69" s="6">
        <v>10</v>
      </c>
      <c r="W69" s="6">
        <v>9.4</v>
      </c>
      <c r="X69" s="6">
        <v>8</v>
      </c>
      <c r="Y69" s="6">
        <v>7.6</v>
      </c>
      <c r="Z69" s="6">
        <v>12.6</v>
      </c>
      <c r="AA69" s="6">
        <v>5.4</v>
      </c>
      <c r="AB69" s="6"/>
      <c r="AC69" s="6">
        <f>G69*R69</f>
        <v>9.1</v>
      </c>
      <c r="AD69" s="6">
        <f t="shared" si="7"/>
        <v>3.0975000000000001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12" t="s">
        <v>114</v>
      </c>
      <c r="B70" s="12" t="s">
        <v>32</v>
      </c>
      <c r="C70" s="12"/>
      <c r="D70" s="12">
        <v>3</v>
      </c>
      <c r="E70" s="17">
        <v>3</v>
      </c>
      <c r="F70" s="12"/>
      <c r="G70" s="13">
        <v>0</v>
      </c>
      <c r="H70" s="12"/>
      <c r="I70" s="14" t="s">
        <v>66</v>
      </c>
      <c r="J70" s="12" t="s">
        <v>115</v>
      </c>
      <c r="K70" s="12">
        <v>18</v>
      </c>
      <c r="L70" s="12">
        <f t="shared" ref="L70:L101" si="20">E70-K70</f>
        <v>-15</v>
      </c>
      <c r="M70" s="12"/>
      <c r="N70" s="12"/>
      <c r="O70" s="12"/>
      <c r="P70" s="12"/>
      <c r="Q70" s="12">
        <f t="shared" ref="Q70:Q101" si="21">E70/5</f>
        <v>0.6</v>
      </c>
      <c r="R70" s="15"/>
      <c r="S70" s="12">
        <f t="shared" ref="S70:S101" si="22">(F70+O70+P70+R70)/Q70</f>
        <v>0</v>
      </c>
      <c r="T70" s="12">
        <f t="shared" ref="T70:T101" si="23">(F70+O70+P70)/Q70</f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/>
      <c r="AC70" s="12"/>
      <c r="AD70" s="6">
        <f t="shared" si="7"/>
        <v>0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116</v>
      </c>
      <c r="B71" s="6" t="s">
        <v>32</v>
      </c>
      <c r="C71" s="6">
        <v>1020</v>
      </c>
      <c r="D71" s="6">
        <v>1066</v>
      </c>
      <c r="E71" s="6">
        <v>659</v>
      </c>
      <c r="F71" s="6">
        <v>864</v>
      </c>
      <c r="G71" s="9">
        <v>0.41</v>
      </c>
      <c r="H71" s="6">
        <v>50</v>
      </c>
      <c r="I71" s="16" t="s">
        <v>117</v>
      </c>
      <c r="J71" s="6"/>
      <c r="K71" s="6">
        <v>1067</v>
      </c>
      <c r="L71" s="6">
        <f t="shared" si="20"/>
        <v>-408</v>
      </c>
      <c r="M71" s="6"/>
      <c r="N71" s="6"/>
      <c r="O71" s="6">
        <v>240</v>
      </c>
      <c r="P71" s="6">
        <v>360</v>
      </c>
      <c r="Q71" s="6">
        <f t="shared" si="21"/>
        <v>131.80000000000001</v>
      </c>
      <c r="R71" s="10">
        <v>400</v>
      </c>
      <c r="S71" s="6">
        <f t="shared" si="22"/>
        <v>14.142640364188162</v>
      </c>
      <c r="T71" s="6">
        <f t="shared" si="23"/>
        <v>11.107738998482548</v>
      </c>
      <c r="U71" s="6">
        <v>48</v>
      </c>
      <c r="V71" s="6">
        <v>131.4</v>
      </c>
      <c r="W71" s="6">
        <v>124</v>
      </c>
      <c r="X71" s="6">
        <v>154.19999999999999</v>
      </c>
      <c r="Y71" s="6">
        <v>270.60000000000002</v>
      </c>
      <c r="Z71" s="6">
        <v>133</v>
      </c>
      <c r="AA71" s="6">
        <v>136.80000000000001</v>
      </c>
      <c r="AB71" s="6" t="s">
        <v>118</v>
      </c>
      <c r="AC71" s="6">
        <f>G71*R71</f>
        <v>164</v>
      </c>
      <c r="AD71" s="6">
        <f t="shared" ref="AD71:AD111" si="24">(Q71+U71+V71+W71+X71+Y71+Z71+AA71)/8*G71</f>
        <v>57.902250000000009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12" t="s">
        <v>119</v>
      </c>
      <c r="B72" s="12" t="s">
        <v>34</v>
      </c>
      <c r="C72" s="12">
        <v>-1.542</v>
      </c>
      <c r="D72" s="12">
        <v>1.542</v>
      </c>
      <c r="E72" s="12"/>
      <c r="F72" s="12"/>
      <c r="G72" s="13">
        <v>0</v>
      </c>
      <c r="H72" s="12"/>
      <c r="I72" s="12" t="s">
        <v>51</v>
      </c>
      <c r="J72" s="12" t="s">
        <v>120</v>
      </c>
      <c r="K72" s="12">
        <v>9</v>
      </c>
      <c r="L72" s="12">
        <f t="shared" si="20"/>
        <v>-9</v>
      </c>
      <c r="M72" s="12"/>
      <c r="N72" s="12"/>
      <c r="O72" s="12">
        <v>0</v>
      </c>
      <c r="P72" s="12"/>
      <c r="Q72" s="12">
        <f t="shared" si="21"/>
        <v>0</v>
      </c>
      <c r="R72" s="15"/>
      <c r="S72" s="12" t="e">
        <f t="shared" si="22"/>
        <v>#DIV/0!</v>
      </c>
      <c r="T72" s="12" t="e">
        <f t="shared" si="23"/>
        <v>#DIV/0!</v>
      </c>
      <c r="U72" s="12">
        <v>0.30840000000000001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/>
      <c r="AC72" s="12"/>
      <c r="AD72" s="6">
        <f t="shared" si="24"/>
        <v>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120</v>
      </c>
      <c r="B73" s="6" t="s">
        <v>34</v>
      </c>
      <c r="C73" s="6">
        <v>153.71799999999999</v>
      </c>
      <c r="D73" s="6">
        <v>164.75299999999999</v>
      </c>
      <c r="E73" s="6">
        <v>96.328999999999994</v>
      </c>
      <c r="F73" s="6">
        <v>160.78899999999999</v>
      </c>
      <c r="G73" s="9">
        <v>1</v>
      </c>
      <c r="H73" s="6">
        <v>50</v>
      </c>
      <c r="I73" s="6">
        <v>7083</v>
      </c>
      <c r="J73" s="6"/>
      <c r="K73" s="6">
        <v>97.4</v>
      </c>
      <c r="L73" s="6">
        <f t="shared" si="20"/>
        <v>-1.0710000000000122</v>
      </c>
      <c r="M73" s="6"/>
      <c r="N73" s="6"/>
      <c r="O73" s="6">
        <v>14</v>
      </c>
      <c r="P73" s="6"/>
      <c r="Q73" s="6">
        <f t="shared" si="21"/>
        <v>19.265799999999999</v>
      </c>
      <c r="R73" s="10">
        <f t="shared" ref="R73:R88" si="25">15*Q73-P73-O73-F73</f>
        <v>114.19799999999998</v>
      </c>
      <c r="S73" s="6">
        <f t="shared" si="22"/>
        <v>15</v>
      </c>
      <c r="T73" s="6">
        <f t="shared" si="23"/>
        <v>9.0725015312107473</v>
      </c>
      <c r="U73" s="6">
        <v>18.461200000000002</v>
      </c>
      <c r="V73" s="6">
        <v>25.2182</v>
      </c>
      <c r="W73" s="6">
        <v>39</v>
      </c>
      <c r="X73" s="6">
        <v>44.2</v>
      </c>
      <c r="Y73" s="6">
        <v>23.9648</v>
      </c>
      <c r="Z73" s="6">
        <v>22.8184</v>
      </c>
      <c r="AA73" s="6">
        <v>27.2654</v>
      </c>
      <c r="AB73" s="6"/>
      <c r="AC73" s="6">
        <f t="shared" ref="AC73:AC90" si="26">G73*R73</f>
        <v>114.19799999999998</v>
      </c>
      <c r="AD73" s="6">
        <f t="shared" si="24"/>
        <v>27.524224999999998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121</v>
      </c>
      <c r="B74" s="6" t="s">
        <v>32</v>
      </c>
      <c r="C74" s="6"/>
      <c r="D74" s="6">
        <v>24</v>
      </c>
      <c r="E74" s="6">
        <v>22</v>
      </c>
      <c r="F74" s="6"/>
      <c r="G74" s="9">
        <v>0.3</v>
      </c>
      <c r="H74" s="6">
        <v>50</v>
      </c>
      <c r="I74" s="6">
        <v>7090</v>
      </c>
      <c r="J74" s="6"/>
      <c r="K74" s="6">
        <v>84</v>
      </c>
      <c r="L74" s="6">
        <f t="shared" si="20"/>
        <v>-62</v>
      </c>
      <c r="M74" s="6"/>
      <c r="N74" s="6"/>
      <c r="O74" s="6">
        <v>50</v>
      </c>
      <c r="P74" s="6"/>
      <c r="Q74" s="6">
        <f t="shared" si="21"/>
        <v>4.4000000000000004</v>
      </c>
      <c r="R74" s="10">
        <f t="shared" si="25"/>
        <v>16</v>
      </c>
      <c r="S74" s="6">
        <f t="shared" si="22"/>
        <v>14.999999999999998</v>
      </c>
      <c r="T74" s="6">
        <f t="shared" si="23"/>
        <v>11.363636363636363</v>
      </c>
      <c r="U74" s="6">
        <v>-0.6</v>
      </c>
      <c r="V74" s="6">
        <v>3</v>
      </c>
      <c r="W74" s="6">
        <v>-0.6</v>
      </c>
      <c r="X74" s="6">
        <v>7.2</v>
      </c>
      <c r="Y74" s="6">
        <v>39.799999999999997</v>
      </c>
      <c r="Z74" s="6">
        <v>10.6</v>
      </c>
      <c r="AA74" s="6">
        <v>1.2</v>
      </c>
      <c r="AB74" s="6"/>
      <c r="AC74" s="6">
        <f t="shared" si="26"/>
        <v>4.8</v>
      </c>
      <c r="AD74" s="6">
        <f t="shared" si="24"/>
        <v>2.4375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122</v>
      </c>
      <c r="B75" s="6" t="s">
        <v>32</v>
      </c>
      <c r="C75" s="6">
        <v>115</v>
      </c>
      <c r="D75" s="6">
        <v>461</v>
      </c>
      <c r="E75" s="6">
        <v>263</v>
      </c>
      <c r="F75" s="6">
        <v>89</v>
      </c>
      <c r="G75" s="9">
        <v>0.18</v>
      </c>
      <c r="H75" s="6">
        <v>50</v>
      </c>
      <c r="I75" s="6">
        <v>7103</v>
      </c>
      <c r="J75" s="6"/>
      <c r="K75" s="6">
        <v>272</v>
      </c>
      <c r="L75" s="6">
        <f t="shared" si="20"/>
        <v>-9</v>
      </c>
      <c r="M75" s="6"/>
      <c r="N75" s="6"/>
      <c r="O75" s="6">
        <v>144</v>
      </c>
      <c r="P75" s="6">
        <v>217</v>
      </c>
      <c r="Q75" s="6">
        <f t="shared" si="21"/>
        <v>52.6</v>
      </c>
      <c r="R75" s="10">
        <f t="shared" si="25"/>
        <v>339</v>
      </c>
      <c r="S75" s="6">
        <f t="shared" si="22"/>
        <v>15</v>
      </c>
      <c r="T75" s="6">
        <f t="shared" si="23"/>
        <v>8.5551330798479093</v>
      </c>
      <c r="U75" s="6">
        <v>48.4</v>
      </c>
      <c r="V75" s="6">
        <v>41.2</v>
      </c>
      <c r="W75" s="6">
        <v>48.6</v>
      </c>
      <c r="X75" s="6">
        <v>28</v>
      </c>
      <c r="Y75" s="6">
        <v>25.8</v>
      </c>
      <c r="Z75" s="6">
        <v>49.4</v>
      </c>
      <c r="AA75" s="6">
        <v>15.2</v>
      </c>
      <c r="AB75" s="6"/>
      <c r="AC75" s="6">
        <f t="shared" si="26"/>
        <v>61.019999999999996</v>
      </c>
      <c r="AD75" s="6">
        <f t="shared" si="24"/>
        <v>6.9569999999999999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123</v>
      </c>
      <c r="B76" s="6" t="s">
        <v>32</v>
      </c>
      <c r="C76" s="6">
        <v>8</v>
      </c>
      <c r="D76" s="6">
        <v>2</v>
      </c>
      <c r="E76" s="6"/>
      <c r="F76" s="6"/>
      <c r="G76" s="9">
        <v>0.22</v>
      </c>
      <c r="H76" s="6">
        <v>120</v>
      </c>
      <c r="I76" s="6">
        <v>7147</v>
      </c>
      <c r="J76" s="6"/>
      <c r="K76" s="6">
        <v>3</v>
      </c>
      <c r="L76" s="6">
        <f t="shared" si="20"/>
        <v>-3</v>
      </c>
      <c r="M76" s="6"/>
      <c r="N76" s="6"/>
      <c r="O76" s="6">
        <v>0</v>
      </c>
      <c r="P76" s="6"/>
      <c r="Q76" s="6">
        <f t="shared" si="21"/>
        <v>0</v>
      </c>
      <c r="R76" s="10">
        <v>24</v>
      </c>
      <c r="S76" s="6" t="e">
        <f t="shared" si="22"/>
        <v>#DIV/0!</v>
      </c>
      <c r="T76" s="6" t="e">
        <f t="shared" si="23"/>
        <v>#DIV/0!</v>
      </c>
      <c r="U76" s="6">
        <v>1.4</v>
      </c>
      <c r="V76" s="6">
        <v>1.8</v>
      </c>
      <c r="W76" s="6">
        <v>3</v>
      </c>
      <c r="X76" s="6">
        <v>2.4</v>
      </c>
      <c r="Y76" s="6">
        <v>2.4</v>
      </c>
      <c r="Z76" s="6">
        <v>1.6</v>
      </c>
      <c r="AA76" s="6">
        <v>5.2</v>
      </c>
      <c r="AB76" s="6" t="s">
        <v>35</v>
      </c>
      <c r="AC76" s="6">
        <f t="shared" si="26"/>
        <v>5.28</v>
      </c>
      <c r="AD76" s="6">
        <f t="shared" si="24"/>
        <v>0.48950000000000005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124</v>
      </c>
      <c r="B77" s="6" t="s">
        <v>32</v>
      </c>
      <c r="C77" s="6">
        <v>854</v>
      </c>
      <c r="D77" s="6">
        <v>1759</v>
      </c>
      <c r="E77" s="6">
        <v>661</v>
      </c>
      <c r="F77" s="6">
        <v>747</v>
      </c>
      <c r="G77" s="9">
        <v>0.35</v>
      </c>
      <c r="H77" s="6">
        <v>50</v>
      </c>
      <c r="I77" s="6">
        <v>7154</v>
      </c>
      <c r="J77" s="6"/>
      <c r="K77" s="6">
        <v>712</v>
      </c>
      <c r="L77" s="6">
        <f t="shared" si="20"/>
        <v>-51</v>
      </c>
      <c r="M77" s="6"/>
      <c r="N77" s="6"/>
      <c r="O77" s="6">
        <v>504</v>
      </c>
      <c r="P77" s="6">
        <v>756</v>
      </c>
      <c r="Q77" s="6">
        <f t="shared" si="21"/>
        <v>132.19999999999999</v>
      </c>
      <c r="R77" s="10"/>
      <c r="S77" s="6">
        <f t="shared" si="22"/>
        <v>15.181543116490168</v>
      </c>
      <c r="T77" s="6">
        <f t="shared" si="23"/>
        <v>15.181543116490168</v>
      </c>
      <c r="U77" s="6">
        <v>175.6</v>
      </c>
      <c r="V77" s="6">
        <v>149.80000000000001</v>
      </c>
      <c r="W77" s="6">
        <v>176.6688</v>
      </c>
      <c r="X77" s="6">
        <v>152.4</v>
      </c>
      <c r="Y77" s="6">
        <v>142.6</v>
      </c>
      <c r="Z77" s="6">
        <v>166</v>
      </c>
      <c r="AA77" s="6">
        <v>139</v>
      </c>
      <c r="AB77" s="6"/>
      <c r="AC77" s="6">
        <f t="shared" si="26"/>
        <v>0</v>
      </c>
      <c r="AD77" s="6">
        <f t="shared" si="24"/>
        <v>53.999259999999992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125</v>
      </c>
      <c r="B78" s="6" t="s">
        <v>34</v>
      </c>
      <c r="C78" s="6">
        <v>104.095</v>
      </c>
      <c r="D78" s="6">
        <v>221.06399999999999</v>
      </c>
      <c r="E78" s="6">
        <v>100.607</v>
      </c>
      <c r="F78" s="6">
        <v>115.035</v>
      </c>
      <c r="G78" s="9">
        <v>1</v>
      </c>
      <c r="H78" s="6">
        <v>50</v>
      </c>
      <c r="I78" s="6">
        <v>7157</v>
      </c>
      <c r="J78" s="6"/>
      <c r="K78" s="6">
        <v>100.9</v>
      </c>
      <c r="L78" s="6">
        <f t="shared" si="20"/>
        <v>-0.29300000000000637</v>
      </c>
      <c r="M78" s="6"/>
      <c r="N78" s="6"/>
      <c r="O78" s="6">
        <v>106</v>
      </c>
      <c r="P78" s="6"/>
      <c r="Q78" s="6">
        <f t="shared" si="21"/>
        <v>20.121400000000001</v>
      </c>
      <c r="R78" s="10">
        <f t="shared" si="25"/>
        <v>80.78600000000003</v>
      </c>
      <c r="S78" s="6">
        <f t="shared" si="22"/>
        <v>15</v>
      </c>
      <c r="T78" s="6">
        <f t="shared" si="23"/>
        <v>10.985070621328536</v>
      </c>
      <c r="U78" s="6">
        <v>21.1388</v>
      </c>
      <c r="V78" s="6">
        <v>21.977599999999999</v>
      </c>
      <c r="W78" s="6">
        <v>24.486999999999998</v>
      </c>
      <c r="X78" s="6">
        <v>16.852399999999999</v>
      </c>
      <c r="Y78" s="6">
        <v>27.894400000000001</v>
      </c>
      <c r="Z78" s="6">
        <v>17.2348</v>
      </c>
      <c r="AA78" s="6">
        <v>19.504200000000001</v>
      </c>
      <c r="AB78" s="6"/>
      <c r="AC78" s="6">
        <f t="shared" si="26"/>
        <v>80.78600000000003</v>
      </c>
      <c r="AD78" s="6">
        <f t="shared" si="24"/>
        <v>21.151325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126</v>
      </c>
      <c r="B79" s="6" t="s">
        <v>32</v>
      </c>
      <c r="C79" s="6">
        <v>14</v>
      </c>
      <c r="D79" s="6"/>
      <c r="E79" s="6"/>
      <c r="F79" s="6">
        <v>14</v>
      </c>
      <c r="G79" s="9">
        <v>0.62</v>
      </c>
      <c r="H79" s="6">
        <v>50</v>
      </c>
      <c r="I79" s="6">
        <v>7163</v>
      </c>
      <c r="J79" s="6"/>
      <c r="K79" s="6"/>
      <c r="L79" s="6">
        <f t="shared" si="20"/>
        <v>0</v>
      </c>
      <c r="M79" s="6"/>
      <c r="N79" s="6"/>
      <c r="O79" s="6">
        <v>0</v>
      </c>
      <c r="P79" s="6"/>
      <c r="Q79" s="6">
        <f t="shared" si="21"/>
        <v>0</v>
      </c>
      <c r="R79" s="10"/>
      <c r="S79" s="6" t="e">
        <f t="shared" si="22"/>
        <v>#DIV/0!</v>
      </c>
      <c r="T79" s="6" t="e">
        <f t="shared" si="23"/>
        <v>#DIV/0!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18" t="s">
        <v>45</v>
      </c>
      <c r="AC79" s="6">
        <f t="shared" si="26"/>
        <v>0</v>
      </c>
      <c r="AD79" s="6">
        <f t="shared" si="24"/>
        <v>0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127</v>
      </c>
      <c r="B80" s="6" t="s">
        <v>34</v>
      </c>
      <c r="C80" s="6">
        <v>297.51</v>
      </c>
      <c r="D80" s="6">
        <v>482.64</v>
      </c>
      <c r="E80" s="6">
        <v>269.15100000000001</v>
      </c>
      <c r="F80" s="6">
        <v>256.61799999999999</v>
      </c>
      <c r="G80" s="9">
        <v>1</v>
      </c>
      <c r="H80" s="6">
        <v>50</v>
      </c>
      <c r="I80" s="6">
        <v>7166</v>
      </c>
      <c r="J80" s="6"/>
      <c r="K80" s="6">
        <v>268.58</v>
      </c>
      <c r="L80" s="6">
        <f t="shared" si="20"/>
        <v>0.57100000000002638</v>
      </c>
      <c r="M80" s="6"/>
      <c r="N80" s="6"/>
      <c r="O80" s="6">
        <v>198</v>
      </c>
      <c r="P80" s="6"/>
      <c r="Q80" s="6">
        <f t="shared" si="21"/>
        <v>53.830200000000005</v>
      </c>
      <c r="R80" s="10">
        <f t="shared" si="25"/>
        <v>352.83500000000009</v>
      </c>
      <c r="S80" s="6">
        <f t="shared" si="22"/>
        <v>15</v>
      </c>
      <c r="T80" s="6">
        <f t="shared" si="23"/>
        <v>8.4454079680179515</v>
      </c>
      <c r="U80" s="6">
        <v>48.284999999999989</v>
      </c>
      <c r="V80" s="6">
        <v>52.988399999999999</v>
      </c>
      <c r="W80" s="6">
        <v>77.6614</v>
      </c>
      <c r="X80" s="6">
        <v>51.933399999999992</v>
      </c>
      <c r="Y80" s="6">
        <v>61.083799999999997</v>
      </c>
      <c r="Z80" s="6">
        <v>50.800600000000003</v>
      </c>
      <c r="AA80" s="6">
        <v>63.891399999999997</v>
      </c>
      <c r="AB80" s="6"/>
      <c r="AC80" s="6">
        <f t="shared" si="26"/>
        <v>352.83500000000009</v>
      </c>
      <c r="AD80" s="6">
        <f t="shared" si="24"/>
        <v>57.559275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128</v>
      </c>
      <c r="B81" s="6" t="s">
        <v>32</v>
      </c>
      <c r="C81" s="6">
        <v>791</v>
      </c>
      <c r="D81" s="6">
        <v>1499</v>
      </c>
      <c r="E81" s="6">
        <v>808</v>
      </c>
      <c r="F81" s="6">
        <v>331</v>
      </c>
      <c r="G81" s="9">
        <v>0.35</v>
      </c>
      <c r="H81" s="6">
        <v>50</v>
      </c>
      <c r="I81" s="6">
        <v>7169</v>
      </c>
      <c r="J81" s="6"/>
      <c r="K81" s="6">
        <v>905.5</v>
      </c>
      <c r="L81" s="6">
        <f t="shared" si="20"/>
        <v>-97.5</v>
      </c>
      <c r="M81" s="6"/>
      <c r="N81" s="6"/>
      <c r="O81" s="6">
        <v>625</v>
      </c>
      <c r="P81" s="6">
        <v>937</v>
      </c>
      <c r="Q81" s="6">
        <f t="shared" si="21"/>
        <v>161.6</v>
      </c>
      <c r="R81" s="10">
        <f t="shared" si="25"/>
        <v>531</v>
      </c>
      <c r="S81" s="6">
        <f t="shared" si="22"/>
        <v>15</v>
      </c>
      <c r="T81" s="6">
        <f t="shared" si="23"/>
        <v>11.71410891089109</v>
      </c>
      <c r="U81" s="6">
        <v>172.8</v>
      </c>
      <c r="V81" s="6">
        <v>140.2818</v>
      </c>
      <c r="W81" s="6">
        <v>173.4</v>
      </c>
      <c r="X81" s="6">
        <v>162.80000000000001</v>
      </c>
      <c r="Y81" s="6">
        <v>250.2</v>
      </c>
      <c r="Z81" s="6">
        <v>195.6</v>
      </c>
      <c r="AA81" s="6">
        <v>125.8</v>
      </c>
      <c r="AB81" s="6"/>
      <c r="AC81" s="6">
        <f t="shared" si="26"/>
        <v>185.85</v>
      </c>
      <c r="AD81" s="6">
        <f t="shared" si="24"/>
        <v>60.483578749999985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129</v>
      </c>
      <c r="B82" s="6" t="s">
        <v>32</v>
      </c>
      <c r="C82" s="6">
        <v>51</v>
      </c>
      <c r="D82" s="6">
        <v>199</v>
      </c>
      <c r="E82" s="6">
        <v>85</v>
      </c>
      <c r="F82" s="6">
        <v>144</v>
      </c>
      <c r="G82" s="9">
        <v>0.3</v>
      </c>
      <c r="H82" s="6">
        <v>50</v>
      </c>
      <c r="I82" s="6">
        <v>7187</v>
      </c>
      <c r="J82" s="6"/>
      <c r="K82" s="6">
        <v>94</v>
      </c>
      <c r="L82" s="6">
        <f t="shared" si="20"/>
        <v>-9</v>
      </c>
      <c r="M82" s="6"/>
      <c r="N82" s="6"/>
      <c r="O82" s="6">
        <v>91</v>
      </c>
      <c r="P82" s="6"/>
      <c r="Q82" s="6">
        <f t="shared" si="21"/>
        <v>17</v>
      </c>
      <c r="R82" s="10">
        <f t="shared" si="25"/>
        <v>20</v>
      </c>
      <c r="S82" s="6">
        <f t="shared" si="22"/>
        <v>15</v>
      </c>
      <c r="T82" s="6">
        <f t="shared" si="23"/>
        <v>13.823529411764707</v>
      </c>
      <c r="U82" s="6">
        <v>22</v>
      </c>
      <c r="V82" s="6">
        <v>20.6</v>
      </c>
      <c r="W82" s="6">
        <v>1</v>
      </c>
      <c r="X82" s="6">
        <v>0</v>
      </c>
      <c r="Y82" s="6">
        <v>0</v>
      </c>
      <c r="Z82" s="6">
        <v>0</v>
      </c>
      <c r="AA82" s="6">
        <v>17.8</v>
      </c>
      <c r="AB82" s="6"/>
      <c r="AC82" s="6">
        <f t="shared" si="26"/>
        <v>6</v>
      </c>
      <c r="AD82" s="6">
        <f t="shared" si="24"/>
        <v>2.94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 t="s">
        <v>130</v>
      </c>
      <c r="B83" s="6" t="s">
        <v>32</v>
      </c>
      <c r="C83" s="6">
        <v>95</v>
      </c>
      <c r="D83" s="6">
        <v>122</v>
      </c>
      <c r="E83" s="6">
        <v>55</v>
      </c>
      <c r="F83" s="6">
        <v>97</v>
      </c>
      <c r="G83" s="9">
        <v>0.3</v>
      </c>
      <c r="H83" s="6">
        <v>60</v>
      </c>
      <c r="I83" s="6">
        <v>7231</v>
      </c>
      <c r="J83" s="6"/>
      <c r="K83" s="6">
        <v>57</v>
      </c>
      <c r="L83" s="6">
        <f t="shared" si="20"/>
        <v>-2</v>
      </c>
      <c r="M83" s="6"/>
      <c r="N83" s="6"/>
      <c r="O83" s="6">
        <v>0</v>
      </c>
      <c r="P83" s="6"/>
      <c r="Q83" s="6">
        <f t="shared" si="21"/>
        <v>11</v>
      </c>
      <c r="R83" s="10">
        <f>13*Q83-P83-O83-F83</f>
        <v>46</v>
      </c>
      <c r="S83" s="6">
        <f t="shared" si="22"/>
        <v>13</v>
      </c>
      <c r="T83" s="6">
        <f t="shared" si="23"/>
        <v>8.8181818181818183</v>
      </c>
      <c r="U83" s="6">
        <v>10.8</v>
      </c>
      <c r="V83" s="6">
        <v>14.2</v>
      </c>
      <c r="W83" s="6">
        <v>15</v>
      </c>
      <c r="X83" s="6">
        <v>7.6</v>
      </c>
      <c r="Y83" s="6">
        <v>19</v>
      </c>
      <c r="Z83" s="6">
        <v>10.199999999999999</v>
      </c>
      <c r="AA83" s="6">
        <v>9.6</v>
      </c>
      <c r="AB83" s="6"/>
      <c r="AC83" s="6">
        <f t="shared" si="26"/>
        <v>13.799999999999999</v>
      </c>
      <c r="AD83" s="6">
        <f t="shared" si="24"/>
        <v>3.6524999999999994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131</v>
      </c>
      <c r="B84" s="6" t="s">
        <v>32</v>
      </c>
      <c r="C84" s="6">
        <v>88</v>
      </c>
      <c r="D84" s="6">
        <v>260</v>
      </c>
      <c r="E84" s="6">
        <v>115</v>
      </c>
      <c r="F84" s="6">
        <v>82</v>
      </c>
      <c r="G84" s="9">
        <v>0.28000000000000003</v>
      </c>
      <c r="H84" s="6">
        <v>50</v>
      </c>
      <c r="I84" s="6">
        <v>7232</v>
      </c>
      <c r="J84" s="6"/>
      <c r="K84" s="6">
        <v>137</v>
      </c>
      <c r="L84" s="6">
        <f t="shared" si="20"/>
        <v>-22</v>
      </c>
      <c r="M84" s="6"/>
      <c r="N84" s="6"/>
      <c r="O84" s="6">
        <v>199</v>
      </c>
      <c r="P84" s="6"/>
      <c r="Q84" s="6">
        <f t="shared" si="21"/>
        <v>23</v>
      </c>
      <c r="R84" s="10">
        <f t="shared" si="25"/>
        <v>64</v>
      </c>
      <c r="S84" s="6">
        <f t="shared" si="22"/>
        <v>15</v>
      </c>
      <c r="T84" s="6">
        <f t="shared" si="23"/>
        <v>12.217391304347826</v>
      </c>
      <c r="U84" s="6">
        <v>27.2</v>
      </c>
      <c r="V84" s="6">
        <v>25.2</v>
      </c>
      <c r="W84" s="6">
        <v>32.6</v>
      </c>
      <c r="X84" s="6">
        <v>18.8</v>
      </c>
      <c r="Y84" s="6">
        <v>33.6</v>
      </c>
      <c r="Z84" s="6">
        <v>27</v>
      </c>
      <c r="AA84" s="6">
        <v>37</v>
      </c>
      <c r="AB84" s="6"/>
      <c r="AC84" s="6">
        <f t="shared" si="26"/>
        <v>17.920000000000002</v>
      </c>
      <c r="AD84" s="6">
        <f t="shared" si="24"/>
        <v>7.854000000000001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132</v>
      </c>
      <c r="B85" s="6" t="s">
        <v>32</v>
      </c>
      <c r="C85" s="6">
        <v>478</v>
      </c>
      <c r="D85" s="6">
        <v>77</v>
      </c>
      <c r="E85" s="6">
        <v>233</v>
      </c>
      <c r="F85" s="6">
        <v>223</v>
      </c>
      <c r="G85" s="9">
        <v>0.28000000000000003</v>
      </c>
      <c r="H85" s="6">
        <v>45</v>
      </c>
      <c r="I85" s="6">
        <v>7236</v>
      </c>
      <c r="J85" s="6"/>
      <c r="K85" s="6">
        <v>263</v>
      </c>
      <c r="L85" s="6">
        <f t="shared" si="20"/>
        <v>-30</v>
      </c>
      <c r="M85" s="6"/>
      <c r="N85" s="6"/>
      <c r="O85" s="6">
        <v>107</v>
      </c>
      <c r="P85" s="6"/>
      <c r="Q85" s="6">
        <f t="shared" si="21"/>
        <v>46.6</v>
      </c>
      <c r="R85" s="10">
        <f t="shared" si="25"/>
        <v>369</v>
      </c>
      <c r="S85" s="6">
        <f t="shared" si="22"/>
        <v>15</v>
      </c>
      <c r="T85" s="6">
        <f t="shared" si="23"/>
        <v>7.0815450643776821</v>
      </c>
      <c r="U85" s="6">
        <v>39</v>
      </c>
      <c r="V85" s="6">
        <v>8.4</v>
      </c>
      <c r="W85" s="6">
        <v>60.4</v>
      </c>
      <c r="X85" s="6">
        <v>40.799999999999997</v>
      </c>
      <c r="Y85" s="6">
        <v>41.2</v>
      </c>
      <c r="Z85" s="6">
        <v>42.6</v>
      </c>
      <c r="AA85" s="6">
        <v>22.4</v>
      </c>
      <c r="AB85" s="6"/>
      <c r="AC85" s="6">
        <f t="shared" si="26"/>
        <v>103.32000000000001</v>
      </c>
      <c r="AD85" s="6">
        <f t="shared" si="24"/>
        <v>10.548999999999999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133</v>
      </c>
      <c r="B86" s="6" t="s">
        <v>32</v>
      </c>
      <c r="C86" s="6">
        <v>58</v>
      </c>
      <c r="D86" s="6">
        <v>29</v>
      </c>
      <c r="E86" s="6">
        <v>63</v>
      </c>
      <c r="F86" s="6">
        <v>1</v>
      </c>
      <c r="G86" s="9">
        <v>0.28000000000000003</v>
      </c>
      <c r="H86" s="6">
        <v>45</v>
      </c>
      <c r="I86" s="6">
        <v>7237</v>
      </c>
      <c r="J86" s="6"/>
      <c r="K86" s="6">
        <v>79</v>
      </c>
      <c r="L86" s="6">
        <f t="shared" si="20"/>
        <v>-16</v>
      </c>
      <c r="M86" s="6"/>
      <c r="N86" s="6"/>
      <c r="O86" s="6">
        <v>153</v>
      </c>
      <c r="P86" s="6"/>
      <c r="Q86" s="6">
        <f t="shared" si="21"/>
        <v>12.6</v>
      </c>
      <c r="R86" s="10">
        <f t="shared" si="25"/>
        <v>35</v>
      </c>
      <c r="S86" s="6">
        <f t="shared" si="22"/>
        <v>15</v>
      </c>
      <c r="T86" s="6">
        <f t="shared" si="23"/>
        <v>12.222222222222223</v>
      </c>
      <c r="U86" s="6">
        <v>14.6</v>
      </c>
      <c r="V86" s="6">
        <v>9.1999999999999993</v>
      </c>
      <c r="W86" s="6">
        <v>10.8</v>
      </c>
      <c r="X86" s="6">
        <v>17.600000000000001</v>
      </c>
      <c r="Y86" s="6">
        <v>12</v>
      </c>
      <c r="Z86" s="6">
        <v>16.399999999999999</v>
      </c>
      <c r="AA86" s="6">
        <v>18.600000000000001</v>
      </c>
      <c r="AB86" s="6"/>
      <c r="AC86" s="6">
        <f t="shared" si="26"/>
        <v>9.8000000000000007</v>
      </c>
      <c r="AD86" s="6">
        <f t="shared" si="24"/>
        <v>3.9130000000000007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134</v>
      </c>
      <c r="B87" s="6" t="s">
        <v>32</v>
      </c>
      <c r="C87" s="6">
        <v>363</v>
      </c>
      <c r="D87" s="6">
        <v>129</v>
      </c>
      <c r="E87" s="6">
        <v>170</v>
      </c>
      <c r="F87" s="6">
        <v>193</v>
      </c>
      <c r="G87" s="9">
        <v>0.28000000000000003</v>
      </c>
      <c r="H87" s="6">
        <v>45</v>
      </c>
      <c r="I87" s="6">
        <v>7241</v>
      </c>
      <c r="J87" s="6"/>
      <c r="K87" s="6">
        <v>189</v>
      </c>
      <c r="L87" s="6">
        <f t="shared" si="20"/>
        <v>-19</v>
      </c>
      <c r="M87" s="6"/>
      <c r="N87" s="6"/>
      <c r="O87" s="6">
        <v>130</v>
      </c>
      <c r="P87" s="6">
        <v>194</v>
      </c>
      <c r="Q87" s="6">
        <f t="shared" si="21"/>
        <v>34</v>
      </c>
      <c r="R87" s="10"/>
      <c r="S87" s="6">
        <f t="shared" si="22"/>
        <v>15.205882352941176</v>
      </c>
      <c r="T87" s="6">
        <f t="shared" si="23"/>
        <v>15.205882352941176</v>
      </c>
      <c r="U87" s="6">
        <v>45.8</v>
      </c>
      <c r="V87" s="6">
        <v>23.4</v>
      </c>
      <c r="W87" s="6">
        <v>51</v>
      </c>
      <c r="X87" s="6">
        <v>34</v>
      </c>
      <c r="Y87" s="6">
        <v>10.8</v>
      </c>
      <c r="Z87" s="6">
        <v>50.6</v>
      </c>
      <c r="AA87" s="6">
        <v>9.1999999999999993</v>
      </c>
      <c r="AB87" s="6"/>
      <c r="AC87" s="6">
        <f t="shared" si="26"/>
        <v>0</v>
      </c>
      <c r="AD87" s="6">
        <f t="shared" si="24"/>
        <v>9.0580000000000016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7" t="s">
        <v>115</v>
      </c>
      <c r="B88" s="6" t="s">
        <v>32</v>
      </c>
      <c r="C88" s="6">
        <v>627</v>
      </c>
      <c r="D88" s="6">
        <v>300</v>
      </c>
      <c r="E88" s="17">
        <f>284+E70</f>
        <v>287</v>
      </c>
      <c r="F88" s="6">
        <v>482</v>
      </c>
      <c r="G88" s="9">
        <v>0.4</v>
      </c>
      <c r="H88" s="6">
        <v>50</v>
      </c>
      <c r="I88" s="6">
        <v>7255</v>
      </c>
      <c r="J88" s="6"/>
      <c r="K88" s="6">
        <v>301</v>
      </c>
      <c r="L88" s="6">
        <f t="shared" si="20"/>
        <v>-14</v>
      </c>
      <c r="M88" s="6"/>
      <c r="N88" s="6"/>
      <c r="O88" s="6">
        <v>0</v>
      </c>
      <c r="P88" s="6"/>
      <c r="Q88" s="6">
        <f t="shared" si="21"/>
        <v>57.4</v>
      </c>
      <c r="R88" s="10">
        <f t="shared" si="25"/>
        <v>379</v>
      </c>
      <c r="S88" s="6">
        <f t="shared" si="22"/>
        <v>15</v>
      </c>
      <c r="T88" s="6">
        <f t="shared" si="23"/>
        <v>8.3972125435540068</v>
      </c>
      <c r="U88" s="6">
        <v>43.4</v>
      </c>
      <c r="V88" s="6">
        <v>68.400000000000006</v>
      </c>
      <c r="W88" s="6">
        <v>89.6</v>
      </c>
      <c r="X88" s="6">
        <v>57.4</v>
      </c>
      <c r="Y88" s="6">
        <v>83.4</v>
      </c>
      <c r="Z88" s="6">
        <v>67</v>
      </c>
      <c r="AA88" s="6">
        <v>52.6</v>
      </c>
      <c r="AB88" s="6"/>
      <c r="AC88" s="6">
        <f t="shared" si="26"/>
        <v>151.6</v>
      </c>
      <c r="AD88" s="6">
        <f t="shared" si="24"/>
        <v>25.959999999999997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135</v>
      </c>
      <c r="B89" s="6" t="s">
        <v>32</v>
      </c>
      <c r="C89" s="6">
        <v>147</v>
      </c>
      <c r="D89" s="6">
        <v>11</v>
      </c>
      <c r="E89" s="6">
        <v>7</v>
      </c>
      <c r="F89" s="6">
        <v>143</v>
      </c>
      <c r="G89" s="9">
        <v>0.3</v>
      </c>
      <c r="H89" s="6">
        <v>50</v>
      </c>
      <c r="I89" s="6">
        <v>7276</v>
      </c>
      <c r="J89" s="6"/>
      <c r="K89" s="6">
        <v>19</v>
      </c>
      <c r="L89" s="6">
        <f t="shared" si="20"/>
        <v>-12</v>
      </c>
      <c r="M89" s="6"/>
      <c r="N89" s="6"/>
      <c r="O89" s="6">
        <v>0</v>
      </c>
      <c r="P89" s="6"/>
      <c r="Q89" s="6">
        <f t="shared" si="21"/>
        <v>1.4</v>
      </c>
      <c r="R89" s="10"/>
      <c r="S89" s="6">
        <f t="shared" si="22"/>
        <v>102.14285714285715</v>
      </c>
      <c r="T89" s="6">
        <f t="shared" si="23"/>
        <v>102.14285714285715</v>
      </c>
      <c r="U89" s="6">
        <v>2.2000000000000002</v>
      </c>
      <c r="V89" s="6">
        <v>1.8</v>
      </c>
      <c r="W89" s="6">
        <v>2.4</v>
      </c>
      <c r="X89" s="6">
        <v>10.4</v>
      </c>
      <c r="Y89" s="6">
        <v>6.2</v>
      </c>
      <c r="Z89" s="6">
        <v>11.4</v>
      </c>
      <c r="AA89" s="6">
        <v>13.6</v>
      </c>
      <c r="AB89" s="18" t="s">
        <v>45</v>
      </c>
      <c r="AC89" s="6">
        <f t="shared" si="26"/>
        <v>0</v>
      </c>
      <c r="AD89" s="6">
        <f t="shared" si="24"/>
        <v>1.8525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136</v>
      </c>
      <c r="B90" s="6" t="s">
        <v>32</v>
      </c>
      <c r="C90" s="6">
        <v>-2</v>
      </c>
      <c r="D90" s="6">
        <v>36</v>
      </c>
      <c r="E90" s="6">
        <v>20</v>
      </c>
      <c r="F90" s="6">
        <v>5</v>
      </c>
      <c r="G90" s="9">
        <v>0.33</v>
      </c>
      <c r="H90" s="6">
        <v>30</v>
      </c>
      <c r="I90" s="6">
        <v>7284</v>
      </c>
      <c r="J90" s="6"/>
      <c r="K90" s="6">
        <v>27</v>
      </c>
      <c r="L90" s="6">
        <f t="shared" si="20"/>
        <v>-7</v>
      </c>
      <c r="M90" s="6"/>
      <c r="N90" s="6"/>
      <c r="O90" s="6">
        <v>0</v>
      </c>
      <c r="P90" s="6"/>
      <c r="Q90" s="6">
        <f t="shared" si="21"/>
        <v>4</v>
      </c>
      <c r="R90" s="10">
        <f>11*Q90-P90-O90-F90</f>
        <v>39</v>
      </c>
      <c r="S90" s="6">
        <f t="shared" si="22"/>
        <v>11</v>
      </c>
      <c r="T90" s="6">
        <f t="shared" si="23"/>
        <v>1.25</v>
      </c>
      <c r="U90" s="6">
        <v>1.6</v>
      </c>
      <c r="V90" s="6">
        <v>3.4</v>
      </c>
      <c r="W90" s="6">
        <v>3.6</v>
      </c>
      <c r="X90" s="6">
        <v>2.8</v>
      </c>
      <c r="Y90" s="6">
        <v>5.8</v>
      </c>
      <c r="Z90" s="6">
        <v>4</v>
      </c>
      <c r="AA90" s="6">
        <v>1.4</v>
      </c>
      <c r="AB90" s="6"/>
      <c r="AC90" s="6">
        <f t="shared" si="26"/>
        <v>12.870000000000001</v>
      </c>
      <c r="AD90" s="6">
        <f t="shared" si="24"/>
        <v>1.0972500000000001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12" t="s">
        <v>137</v>
      </c>
      <c r="B91" s="12" t="s">
        <v>32</v>
      </c>
      <c r="C91" s="12">
        <v>118</v>
      </c>
      <c r="D91" s="12">
        <v>15</v>
      </c>
      <c r="E91" s="17">
        <v>28</v>
      </c>
      <c r="F91" s="17">
        <v>92</v>
      </c>
      <c r="G91" s="13">
        <v>0</v>
      </c>
      <c r="H91" s="12">
        <v>60</v>
      </c>
      <c r="I91" s="14" t="s">
        <v>71</v>
      </c>
      <c r="J91" s="12" t="s">
        <v>138</v>
      </c>
      <c r="K91" s="12">
        <v>34</v>
      </c>
      <c r="L91" s="12">
        <f t="shared" si="20"/>
        <v>-6</v>
      </c>
      <c r="M91" s="12"/>
      <c r="N91" s="12"/>
      <c r="O91" s="12">
        <v>0</v>
      </c>
      <c r="P91" s="12"/>
      <c r="Q91" s="12">
        <f t="shared" si="21"/>
        <v>5.6</v>
      </c>
      <c r="R91" s="15"/>
      <c r="S91" s="12">
        <f t="shared" si="22"/>
        <v>16.428571428571431</v>
      </c>
      <c r="T91" s="12">
        <f t="shared" si="23"/>
        <v>16.428571428571431</v>
      </c>
      <c r="U91" s="12">
        <v>5.2</v>
      </c>
      <c r="V91" s="12">
        <v>9.8000000000000007</v>
      </c>
      <c r="W91" s="12">
        <v>13</v>
      </c>
      <c r="X91" s="12">
        <v>9.1999999999999993</v>
      </c>
      <c r="Y91" s="12">
        <v>13.6</v>
      </c>
      <c r="Z91" s="12">
        <v>8.8000000000000007</v>
      </c>
      <c r="AA91" s="12">
        <v>5.2</v>
      </c>
      <c r="AB91" s="14" t="s">
        <v>139</v>
      </c>
      <c r="AC91" s="12"/>
      <c r="AD91" s="6">
        <f t="shared" si="24"/>
        <v>0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140</v>
      </c>
      <c r="B92" s="6" t="s">
        <v>34</v>
      </c>
      <c r="C92" s="6"/>
      <c r="D92" s="6"/>
      <c r="E92" s="6"/>
      <c r="F92" s="6"/>
      <c r="G92" s="9">
        <v>1</v>
      </c>
      <c r="H92" s="6"/>
      <c r="I92" s="6">
        <v>7299</v>
      </c>
      <c r="J92" s="6"/>
      <c r="K92" s="6"/>
      <c r="L92" s="6">
        <f t="shared" si="20"/>
        <v>0</v>
      </c>
      <c r="M92" s="6"/>
      <c r="N92" s="6"/>
      <c r="O92" s="6">
        <v>50</v>
      </c>
      <c r="P92" s="6"/>
      <c r="Q92" s="6">
        <f t="shared" si="21"/>
        <v>0</v>
      </c>
      <c r="R92" s="10"/>
      <c r="S92" s="6" t="e">
        <f t="shared" si="22"/>
        <v>#DIV/0!</v>
      </c>
      <c r="T92" s="6" t="e">
        <f t="shared" si="23"/>
        <v>#DIV/0!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 t="s">
        <v>141</v>
      </c>
      <c r="AC92" s="6">
        <f t="shared" ref="AC92:AC108" si="27">G92*R92</f>
        <v>0</v>
      </c>
      <c r="AD92" s="6">
        <f t="shared" si="24"/>
        <v>0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 t="s">
        <v>142</v>
      </c>
      <c r="B93" s="6" t="s">
        <v>32</v>
      </c>
      <c r="C93" s="6">
        <v>10</v>
      </c>
      <c r="D93" s="6">
        <v>17</v>
      </c>
      <c r="E93" s="6">
        <v>18</v>
      </c>
      <c r="F93" s="6"/>
      <c r="G93" s="9">
        <v>0.28000000000000003</v>
      </c>
      <c r="H93" s="6">
        <v>50</v>
      </c>
      <c r="I93" s="6">
        <v>7332</v>
      </c>
      <c r="J93" s="6"/>
      <c r="K93" s="6">
        <v>23</v>
      </c>
      <c r="L93" s="6">
        <f t="shared" si="20"/>
        <v>-5</v>
      </c>
      <c r="M93" s="6"/>
      <c r="N93" s="6"/>
      <c r="O93" s="6">
        <v>37</v>
      </c>
      <c r="P93" s="6"/>
      <c r="Q93" s="6">
        <f t="shared" si="21"/>
        <v>3.6</v>
      </c>
      <c r="R93" s="10">
        <f t="shared" ref="R93:R106" si="28">15*Q93-P93-O93-F93</f>
        <v>17</v>
      </c>
      <c r="S93" s="6">
        <f t="shared" si="22"/>
        <v>15</v>
      </c>
      <c r="T93" s="6">
        <f t="shared" si="23"/>
        <v>10.277777777777777</v>
      </c>
      <c r="U93" s="6">
        <v>3.8</v>
      </c>
      <c r="V93" s="6">
        <v>2.8</v>
      </c>
      <c r="W93" s="6">
        <v>4.4000000000000004</v>
      </c>
      <c r="X93" s="6">
        <v>0.4</v>
      </c>
      <c r="Y93" s="6">
        <v>3.2</v>
      </c>
      <c r="Z93" s="6">
        <v>6.4</v>
      </c>
      <c r="AA93" s="6">
        <v>3.6</v>
      </c>
      <c r="AB93" s="6"/>
      <c r="AC93" s="6">
        <f t="shared" si="27"/>
        <v>4.7600000000000007</v>
      </c>
      <c r="AD93" s="6">
        <f t="shared" si="24"/>
        <v>0.98700000000000021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143</v>
      </c>
      <c r="B94" s="6" t="s">
        <v>32</v>
      </c>
      <c r="C94" s="6">
        <v>37</v>
      </c>
      <c r="D94" s="6">
        <v>21</v>
      </c>
      <c r="E94" s="6">
        <v>1</v>
      </c>
      <c r="F94" s="6">
        <v>52</v>
      </c>
      <c r="G94" s="9">
        <v>0.28000000000000003</v>
      </c>
      <c r="H94" s="6">
        <v>50</v>
      </c>
      <c r="I94" s="6">
        <v>7333</v>
      </c>
      <c r="J94" s="6"/>
      <c r="K94" s="6">
        <v>1</v>
      </c>
      <c r="L94" s="6">
        <f t="shared" si="20"/>
        <v>0</v>
      </c>
      <c r="M94" s="6"/>
      <c r="N94" s="6"/>
      <c r="O94" s="6">
        <v>0</v>
      </c>
      <c r="P94" s="6"/>
      <c r="Q94" s="6">
        <f t="shared" si="21"/>
        <v>0.2</v>
      </c>
      <c r="R94" s="10"/>
      <c r="S94" s="6">
        <f t="shared" si="22"/>
        <v>260</v>
      </c>
      <c r="T94" s="6">
        <f t="shared" si="23"/>
        <v>260</v>
      </c>
      <c r="U94" s="6">
        <v>1.4</v>
      </c>
      <c r="V94" s="6">
        <v>3</v>
      </c>
      <c r="W94" s="6">
        <v>4</v>
      </c>
      <c r="X94" s="6">
        <v>0.2</v>
      </c>
      <c r="Y94" s="6">
        <v>4.5999999999999996</v>
      </c>
      <c r="Z94" s="6">
        <v>6</v>
      </c>
      <c r="AA94" s="6">
        <v>3.4</v>
      </c>
      <c r="AB94" s="18" t="s">
        <v>45</v>
      </c>
      <c r="AC94" s="6">
        <f t="shared" si="27"/>
        <v>0</v>
      </c>
      <c r="AD94" s="6">
        <f t="shared" si="24"/>
        <v>0.79799999999999993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144</v>
      </c>
      <c r="B95" s="6" t="s">
        <v>32</v>
      </c>
      <c r="C95" s="6">
        <v>118</v>
      </c>
      <c r="D95" s="6">
        <v>343</v>
      </c>
      <c r="E95" s="6">
        <v>122</v>
      </c>
      <c r="F95" s="6">
        <v>304</v>
      </c>
      <c r="G95" s="9">
        <v>0.3</v>
      </c>
      <c r="H95" s="6">
        <v>45</v>
      </c>
      <c r="I95" s="6">
        <v>7371</v>
      </c>
      <c r="J95" s="6"/>
      <c r="K95" s="6">
        <v>133</v>
      </c>
      <c r="L95" s="6">
        <f t="shared" si="20"/>
        <v>-11</v>
      </c>
      <c r="M95" s="6"/>
      <c r="N95" s="6"/>
      <c r="O95" s="6">
        <v>0</v>
      </c>
      <c r="P95" s="6"/>
      <c r="Q95" s="6">
        <f t="shared" si="21"/>
        <v>24.4</v>
      </c>
      <c r="R95" s="10">
        <f t="shared" si="28"/>
        <v>62</v>
      </c>
      <c r="S95" s="6">
        <f t="shared" si="22"/>
        <v>15</v>
      </c>
      <c r="T95" s="6">
        <f t="shared" si="23"/>
        <v>12.459016393442624</v>
      </c>
      <c r="U95" s="6">
        <v>12.4</v>
      </c>
      <c r="V95" s="6">
        <v>33.200000000000003</v>
      </c>
      <c r="W95" s="6">
        <v>32.6</v>
      </c>
      <c r="X95" s="6">
        <v>21</v>
      </c>
      <c r="Y95" s="6">
        <v>33.6</v>
      </c>
      <c r="Z95" s="6">
        <v>28.4</v>
      </c>
      <c r="AA95" s="6">
        <v>25.8</v>
      </c>
      <c r="AB95" s="6"/>
      <c r="AC95" s="6">
        <f t="shared" si="27"/>
        <v>18.599999999999998</v>
      </c>
      <c r="AD95" s="6">
        <f t="shared" si="24"/>
        <v>7.9275000000000002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 t="s">
        <v>145</v>
      </c>
      <c r="B96" s="6" t="s">
        <v>32</v>
      </c>
      <c r="C96" s="6">
        <v>1</v>
      </c>
      <c r="D96" s="6">
        <v>1116</v>
      </c>
      <c r="E96" s="6">
        <v>563</v>
      </c>
      <c r="F96" s="6">
        <v>126</v>
      </c>
      <c r="G96" s="9">
        <v>0.12</v>
      </c>
      <c r="H96" s="6">
        <v>60</v>
      </c>
      <c r="I96" s="16" t="s">
        <v>47</v>
      </c>
      <c r="J96" s="6"/>
      <c r="K96" s="6">
        <v>575</v>
      </c>
      <c r="L96" s="6">
        <f t="shared" si="20"/>
        <v>-12</v>
      </c>
      <c r="M96" s="6"/>
      <c r="N96" s="6"/>
      <c r="O96" s="6">
        <v>224</v>
      </c>
      <c r="P96" s="6">
        <v>336</v>
      </c>
      <c r="Q96" s="6">
        <f t="shared" si="21"/>
        <v>112.6</v>
      </c>
      <c r="R96" s="10">
        <v>200</v>
      </c>
      <c r="S96" s="6">
        <f t="shared" si="22"/>
        <v>7.8685612788632326</v>
      </c>
      <c r="T96" s="6">
        <f t="shared" si="23"/>
        <v>6.0923623445825932</v>
      </c>
      <c r="U96" s="6">
        <v>98</v>
      </c>
      <c r="V96" s="6">
        <v>31</v>
      </c>
      <c r="W96" s="6">
        <v>50.6</v>
      </c>
      <c r="X96" s="6">
        <v>42.6</v>
      </c>
      <c r="Y96" s="6">
        <v>30.8</v>
      </c>
      <c r="Z96" s="6">
        <v>46.2</v>
      </c>
      <c r="AA96" s="6">
        <v>34.200000000000003</v>
      </c>
      <c r="AB96" s="6" t="s">
        <v>146</v>
      </c>
      <c r="AC96" s="6">
        <f t="shared" si="27"/>
        <v>24</v>
      </c>
      <c r="AD96" s="6">
        <f t="shared" si="24"/>
        <v>6.6899999999999995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147</v>
      </c>
      <c r="B97" s="6" t="s">
        <v>32</v>
      </c>
      <c r="C97" s="6">
        <v>71</v>
      </c>
      <c r="D97" s="6">
        <v>124</v>
      </c>
      <c r="E97" s="6">
        <v>120</v>
      </c>
      <c r="F97" s="6">
        <v>1</v>
      </c>
      <c r="G97" s="9">
        <v>0.33</v>
      </c>
      <c r="H97" s="6">
        <v>30</v>
      </c>
      <c r="I97" s="6">
        <v>7461</v>
      </c>
      <c r="J97" s="6"/>
      <c r="K97" s="6">
        <v>295</v>
      </c>
      <c r="L97" s="6">
        <f t="shared" si="20"/>
        <v>-175</v>
      </c>
      <c r="M97" s="6"/>
      <c r="N97" s="6"/>
      <c r="O97" s="6">
        <v>145</v>
      </c>
      <c r="P97" s="6">
        <v>218</v>
      </c>
      <c r="Q97" s="6">
        <f t="shared" si="21"/>
        <v>24</v>
      </c>
      <c r="R97" s="10"/>
      <c r="S97" s="6">
        <f t="shared" si="22"/>
        <v>15.166666666666666</v>
      </c>
      <c r="T97" s="6">
        <f t="shared" si="23"/>
        <v>15.166666666666666</v>
      </c>
      <c r="U97" s="6">
        <v>41.2</v>
      </c>
      <c r="V97" s="6">
        <v>37.200000000000003</v>
      </c>
      <c r="W97" s="6">
        <v>56.2</v>
      </c>
      <c r="X97" s="6">
        <v>49.8</v>
      </c>
      <c r="Y97" s="6">
        <v>31</v>
      </c>
      <c r="Z97" s="6">
        <v>40.799999999999997</v>
      </c>
      <c r="AA97" s="6">
        <v>42.8</v>
      </c>
      <c r="AB97" s="6"/>
      <c r="AC97" s="6">
        <f t="shared" si="27"/>
        <v>0</v>
      </c>
      <c r="AD97" s="6">
        <f t="shared" si="24"/>
        <v>13.323750000000002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148</v>
      </c>
      <c r="B98" s="6" t="s">
        <v>32</v>
      </c>
      <c r="C98" s="6">
        <v>4</v>
      </c>
      <c r="D98" s="6">
        <v>278</v>
      </c>
      <c r="E98" s="6">
        <v>22</v>
      </c>
      <c r="F98" s="6">
        <v>245</v>
      </c>
      <c r="G98" s="9">
        <v>0.28000000000000003</v>
      </c>
      <c r="H98" s="6">
        <v>45</v>
      </c>
      <c r="I98" s="6"/>
      <c r="J98" s="6"/>
      <c r="K98" s="6">
        <v>28</v>
      </c>
      <c r="L98" s="6">
        <f t="shared" si="20"/>
        <v>-6</v>
      </c>
      <c r="M98" s="6"/>
      <c r="N98" s="6"/>
      <c r="O98" s="6">
        <v>0</v>
      </c>
      <c r="P98" s="6"/>
      <c r="Q98" s="6">
        <f t="shared" si="21"/>
        <v>4.4000000000000004</v>
      </c>
      <c r="R98" s="10"/>
      <c r="S98" s="6">
        <f t="shared" si="22"/>
        <v>55.68181818181818</v>
      </c>
      <c r="T98" s="6">
        <f t="shared" si="23"/>
        <v>55.68181818181818</v>
      </c>
      <c r="U98" s="6">
        <v>0</v>
      </c>
      <c r="V98" s="6">
        <v>31.2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/>
      <c r="AC98" s="6">
        <f t="shared" si="27"/>
        <v>0</v>
      </c>
      <c r="AD98" s="6">
        <f t="shared" si="24"/>
        <v>1.2460000000000002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62</v>
      </c>
      <c r="B99" s="6" t="s">
        <v>32</v>
      </c>
      <c r="C99" s="6">
        <v>296</v>
      </c>
      <c r="D99" s="6">
        <v>130</v>
      </c>
      <c r="E99" s="17">
        <f>194+E28</f>
        <v>197</v>
      </c>
      <c r="F99" s="6">
        <v>132</v>
      </c>
      <c r="G99" s="9">
        <v>0.4</v>
      </c>
      <c r="H99" s="6">
        <v>60</v>
      </c>
      <c r="I99" s="6">
        <v>7523</v>
      </c>
      <c r="J99" s="6"/>
      <c r="K99" s="6">
        <v>201</v>
      </c>
      <c r="L99" s="6">
        <f t="shared" si="20"/>
        <v>-4</v>
      </c>
      <c r="M99" s="6"/>
      <c r="N99" s="6"/>
      <c r="O99" s="6">
        <v>0</v>
      </c>
      <c r="P99" s="6"/>
      <c r="Q99" s="6">
        <f t="shared" si="21"/>
        <v>39.4</v>
      </c>
      <c r="R99" s="10">
        <f>13*Q99-P99-O99-F99</f>
        <v>380.19999999999993</v>
      </c>
      <c r="S99" s="6">
        <f t="shared" si="22"/>
        <v>12.999999999999998</v>
      </c>
      <c r="T99" s="6">
        <f t="shared" si="23"/>
        <v>3.3502538071065993</v>
      </c>
      <c r="U99" s="6">
        <v>20.399999999999999</v>
      </c>
      <c r="V99" s="6">
        <v>9.4</v>
      </c>
      <c r="W99" s="6">
        <v>35.200000000000003</v>
      </c>
      <c r="X99" s="6">
        <v>13</v>
      </c>
      <c r="Y99" s="6">
        <v>27.6</v>
      </c>
      <c r="Z99" s="6">
        <v>20.2</v>
      </c>
      <c r="AA99" s="6">
        <v>18.8</v>
      </c>
      <c r="AB99" s="6"/>
      <c r="AC99" s="6">
        <f t="shared" si="27"/>
        <v>152.07999999999998</v>
      </c>
      <c r="AD99" s="6">
        <f t="shared" si="24"/>
        <v>9.2000000000000011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7" t="s">
        <v>67</v>
      </c>
      <c r="B100" s="6" t="s">
        <v>32</v>
      </c>
      <c r="C100" s="6"/>
      <c r="D100" s="6">
        <v>80</v>
      </c>
      <c r="E100" s="17">
        <f>6+E31</f>
        <v>7</v>
      </c>
      <c r="F100" s="6">
        <v>74</v>
      </c>
      <c r="G100" s="9">
        <v>0.35</v>
      </c>
      <c r="H100" s="6">
        <v>60</v>
      </c>
      <c r="I100" s="6">
        <v>7539</v>
      </c>
      <c r="J100" s="6"/>
      <c r="K100" s="6">
        <v>7</v>
      </c>
      <c r="L100" s="6">
        <f t="shared" si="20"/>
        <v>0</v>
      </c>
      <c r="M100" s="6"/>
      <c r="N100" s="6"/>
      <c r="O100" s="6">
        <v>0</v>
      </c>
      <c r="P100" s="6"/>
      <c r="Q100" s="6">
        <f t="shared" si="21"/>
        <v>1.4</v>
      </c>
      <c r="R100" s="10"/>
      <c r="S100" s="6">
        <f t="shared" si="22"/>
        <v>52.857142857142861</v>
      </c>
      <c r="T100" s="6">
        <f t="shared" si="23"/>
        <v>52.857142857142861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7" t="s">
        <v>149</v>
      </c>
      <c r="AC100" s="6">
        <f t="shared" si="27"/>
        <v>0</v>
      </c>
      <c r="AD100" s="6">
        <f t="shared" si="24"/>
        <v>6.1249999999999992E-2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150</v>
      </c>
      <c r="B101" s="6" t="s">
        <v>34</v>
      </c>
      <c r="C101" s="6">
        <v>0.83099999999999996</v>
      </c>
      <c r="D101" s="6">
        <v>12.683</v>
      </c>
      <c r="E101" s="6">
        <v>10.129</v>
      </c>
      <c r="F101" s="6"/>
      <c r="G101" s="9">
        <v>1</v>
      </c>
      <c r="H101" s="6">
        <v>45</v>
      </c>
      <c r="I101" s="6">
        <v>7564</v>
      </c>
      <c r="J101" s="6"/>
      <c r="K101" s="6">
        <v>10.6</v>
      </c>
      <c r="L101" s="6">
        <f t="shared" si="20"/>
        <v>-0.47100000000000009</v>
      </c>
      <c r="M101" s="6"/>
      <c r="N101" s="6"/>
      <c r="O101" s="6">
        <v>0</v>
      </c>
      <c r="P101" s="6"/>
      <c r="Q101" s="6">
        <f t="shared" si="21"/>
        <v>2.0257999999999998</v>
      </c>
      <c r="R101" s="10">
        <f>12*Q101-P101-O101-F101</f>
        <v>24.309599999999996</v>
      </c>
      <c r="S101" s="6">
        <f t="shared" si="22"/>
        <v>12</v>
      </c>
      <c r="T101" s="6">
        <f t="shared" si="23"/>
        <v>0</v>
      </c>
      <c r="U101" s="6">
        <v>0.68120000000000003</v>
      </c>
      <c r="V101" s="6">
        <v>1.6926000000000001</v>
      </c>
      <c r="W101" s="6">
        <v>4.6631999999999998</v>
      </c>
      <c r="X101" s="6">
        <v>0</v>
      </c>
      <c r="Y101" s="6">
        <v>0</v>
      </c>
      <c r="Z101" s="6">
        <v>0</v>
      </c>
      <c r="AA101" s="6">
        <v>2.8502000000000001</v>
      </c>
      <c r="AB101" s="6" t="s">
        <v>151</v>
      </c>
      <c r="AC101" s="6">
        <f t="shared" si="27"/>
        <v>24.309599999999996</v>
      </c>
      <c r="AD101" s="6">
        <f t="shared" si="24"/>
        <v>1.489125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 t="s">
        <v>152</v>
      </c>
      <c r="B102" s="6" t="s">
        <v>32</v>
      </c>
      <c r="C102" s="6">
        <v>17</v>
      </c>
      <c r="D102" s="6">
        <v>194</v>
      </c>
      <c r="E102" s="6">
        <v>123</v>
      </c>
      <c r="F102" s="6">
        <v>14</v>
      </c>
      <c r="G102" s="9">
        <v>0.33</v>
      </c>
      <c r="H102" s="6">
        <v>45</v>
      </c>
      <c r="I102" s="6"/>
      <c r="J102" s="6"/>
      <c r="K102" s="6">
        <v>156</v>
      </c>
      <c r="L102" s="6">
        <f t="shared" ref="L102:L111" si="29">E102-K102</f>
        <v>-33</v>
      </c>
      <c r="M102" s="6"/>
      <c r="N102" s="6"/>
      <c r="O102" s="6">
        <v>0</v>
      </c>
      <c r="P102" s="6"/>
      <c r="Q102" s="6">
        <f t="shared" ref="Q102:Q111" si="30">E102/5</f>
        <v>24.6</v>
      </c>
      <c r="R102" s="10">
        <f>11*Q102-P102-O102-F102</f>
        <v>256.60000000000002</v>
      </c>
      <c r="S102" s="6">
        <f t="shared" ref="S102:S111" si="31">(F102+O102+P102+R102)/Q102</f>
        <v>11</v>
      </c>
      <c r="T102" s="6">
        <f t="shared" ref="T102:T111" si="32">(F102+O102+P102)/Q102</f>
        <v>0.56910569105691056</v>
      </c>
      <c r="U102" s="6">
        <v>1</v>
      </c>
      <c r="V102" s="6">
        <v>14.8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 t="s">
        <v>153</v>
      </c>
      <c r="AC102" s="6">
        <f t="shared" si="27"/>
        <v>84.678000000000011</v>
      </c>
      <c r="AD102" s="6">
        <f t="shared" si="24"/>
        <v>1.6665000000000003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7" t="s">
        <v>81</v>
      </c>
      <c r="B103" s="6" t="s">
        <v>32</v>
      </c>
      <c r="C103" s="6"/>
      <c r="D103" s="6">
        <v>90</v>
      </c>
      <c r="E103" s="17">
        <f>0+E38</f>
        <v>21</v>
      </c>
      <c r="F103" s="17">
        <f>89+F38</f>
        <v>196</v>
      </c>
      <c r="G103" s="9">
        <v>0.1</v>
      </c>
      <c r="H103" s="6">
        <v>45</v>
      </c>
      <c r="I103" s="6">
        <v>7608</v>
      </c>
      <c r="J103" s="6"/>
      <c r="K103" s="6"/>
      <c r="L103" s="6">
        <f t="shared" si="29"/>
        <v>21</v>
      </c>
      <c r="M103" s="6"/>
      <c r="N103" s="6"/>
      <c r="O103" s="6"/>
      <c r="P103" s="6"/>
      <c r="Q103" s="6">
        <f t="shared" si="30"/>
        <v>4.2</v>
      </c>
      <c r="R103" s="10"/>
      <c r="S103" s="6">
        <f t="shared" si="31"/>
        <v>46.666666666666664</v>
      </c>
      <c r="T103" s="6">
        <f t="shared" si="32"/>
        <v>46.666666666666664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7" t="s">
        <v>154</v>
      </c>
      <c r="AC103" s="6">
        <f t="shared" si="27"/>
        <v>0</v>
      </c>
      <c r="AD103" s="6">
        <f t="shared" si="24"/>
        <v>5.2500000000000005E-2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7" t="s">
        <v>138</v>
      </c>
      <c r="B104" s="6" t="s">
        <v>32</v>
      </c>
      <c r="C104" s="6"/>
      <c r="D104" s="6">
        <v>30</v>
      </c>
      <c r="E104" s="17">
        <f>0+E91</f>
        <v>28</v>
      </c>
      <c r="F104" s="17">
        <f>29+F91</f>
        <v>121</v>
      </c>
      <c r="G104" s="9">
        <v>0.1</v>
      </c>
      <c r="H104" s="6">
        <v>60</v>
      </c>
      <c r="I104" s="6">
        <v>7612</v>
      </c>
      <c r="J104" s="6"/>
      <c r="K104" s="6"/>
      <c r="L104" s="6">
        <f t="shared" si="29"/>
        <v>28</v>
      </c>
      <c r="M104" s="6"/>
      <c r="N104" s="6"/>
      <c r="O104" s="6"/>
      <c r="P104" s="6"/>
      <c r="Q104" s="6">
        <f t="shared" si="30"/>
        <v>5.6</v>
      </c>
      <c r="R104" s="10"/>
      <c r="S104" s="6">
        <f t="shared" si="31"/>
        <v>21.607142857142858</v>
      </c>
      <c r="T104" s="6">
        <f t="shared" si="32"/>
        <v>21.607142857142858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7" t="s">
        <v>155</v>
      </c>
      <c r="AC104" s="6">
        <f t="shared" si="27"/>
        <v>0</v>
      </c>
      <c r="AD104" s="6">
        <f t="shared" si="24"/>
        <v>6.9999999999999993E-2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7" t="s">
        <v>76</v>
      </c>
      <c r="B105" s="6" t="s">
        <v>32</v>
      </c>
      <c r="C105" s="6"/>
      <c r="D105" s="6">
        <v>80</v>
      </c>
      <c r="E105" s="17">
        <f>0+E36</f>
        <v>274</v>
      </c>
      <c r="F105" s="17">
        <f>80+F36</f>
        <v>196</v>
      </c>
      <c r="G105" s="9">
        <v>0.1</v>
      </c>
      <c r="H105" s="6">
        <v>60</v>
      </c>
      <c r="I105" s="6">
        <v>7616</v>
      </c>
      <c r="J105" s="6"/>
      <c r="K105" s="6"/>
      <c r="L105" s="6">
        <f t="shared" si="29"/>
        <v>274</v>
      </c>
      <c r="M105" s="6"/>
      <c r="N105" s="6"/>
      <c r="O105" s="6">
        <v>206</v>
      </c>
      <c r="P105" s="6">
        <v>309</v>
      </c>
      <c r="Q105" s="6">
        <f t="shared" si="30"/>
        <v>54.8</v>
      </c>
      <c r="R105" s="10">
        <f t="shared" si="28"/>
        <v>111</v>
      </c>
      <c r="S105" s="6">
        <f t="shared" si="31"/>
        <v>15</v>
      </c>
      <c r="T105" s="6">
        <f t="shared" si="32"/>
        <v>12.974452554744527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7" t="s">
        <v>156</v>
      </c>
      <c r="AC105" s="6">
        <f t="shared" si="27"/>
        <v>11.100000000000001</v>
      </c>
      <c r="AD105" s="6">
        <f t="shared" si="24"/>
        <v>0.68500000000000005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 t="s">
        <v>72</v>
      </c>
      <c r="B106" s="6" t="s">
        <v>32</v>
      </c>
      <c r="C106" s="6"/>
      <c r="D106" s="6">
        <v>608</v>
      </c>
      <c r="E106" s="17">
        <f>352+E34</f>
        <v>357</v>
      </c>
      <c r="F106" s="6">
        <v>225</v>
      </c>
      <c r="G106" s="9">
        <v>0.4</v>
      </c>
      <c r="H106" s="6">
        <v>60</v>
      </c>
      <c r="I106" s="6">
        <v>7632</v>
      </c>
      <c r="J106" s="6"/>
      <c r="K106" s="6">
        <v>382</v>
      </c>
      <c r="L106" s="6">
        <f t="shared" si="29"/>
        <v>-25</v>
      </c>
      <c r="M106" s="6"/>
      <c r="N106" s="6"/>
      <c r="O106" s="6">
        <v>192</v>
      </c>
      <c r="P106" s="6">
        <v>288</v>
      </c>
      <c r="Q106" s="6">
        <f t="shared" si="30"/>
        <v>71.400000000000006</v>
      </c>
      <c r="R106" s="10">
        <f t="shared" si="28"/>
        <v>366</v>
      </c>
      <c r="S106" s="6">
        <f t="shared" si="31"/>
        <v>14.999999999999998</v>
      </c>
      <c r="T106" s="6">
        <f t="shared" si="32"/>
        <v>9.8739495798319314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 t="s">
        <v>157</v>
      </c>
      <c r="AC106" s="6">
        <f t="shared" si="27"/>
        <v>146.4</v>
      </c>
      <c r="AD106" s="6">
        <f t="shared" si="24"/>
        <v>3.5700000000000003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 t="s">
        <v>158</v>
      </c>
      <c r="B107" s="6" t="s">
        <v>32</v>
      </c>
      <c r="C107" s="6"/>
      <c r="D107" s="6"/>
      <c r="E107" s="6"/>
      <c r="F107" s="6"/>
      <c r="G107" s="9">
        <v>0.1</v>
      </c>
      <c r="H107" s="6"/>
      <c r="I107" s="6">
        <v>7647</v>
      </c>
      <c r="J107" s="6"/>
      <c r="K107" s="6"/>
      <c r="L107" s="6">
        <f t="shared" si="29"/>
        <v>0</v>
      </c>
      <c r="M107" s="6"/>
      <c r="N107" s="6"/>
      <c r="O107" s="6">
        <v>250</v>
      </c>
      <c r="P107" s="6"/>
      <c r="Q107" s="6">
        <f t="shared" si="30"/>
        <v>0</v>
      </c>
      <c r="R107" s="10"/>
      <c r="S107" s="6" t="e">
        <f t="shared" si="31"/>
        <v>#DIV/0!</v>
      </c>
      <c r="T107" s="6" t="e">
        <f t="shared" si="32"/>
        <v>#DIV/0!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 t="s">
        <v>141</v>
      </c>
      <c r="AC107" s="6">
        <f t="shared" si="27"/>
        <v>0</v>
      </c>
      <c r="AD107" s="6">
        <f t="shared" si="24"/>
        <v>0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 t="s">
        <v>159</v>
      </c>
      <c r="B108" s="6" t="s">
        <v>32</v>
      </c>
      <c r="C108" s="6"/>
      <c r="D108" s="6"/>
      <c r="E108" s="6"/>
      <c r="F108" s="6"/>
      <c r="G108" s="9">
        <v>0.1</v>
      </c>
      <c r="H108" s="6"/>
      <c r="I108" s="6">
        <v>7651</v>
      </c>
      <c r="J108" s="6"/>
      <c r="K108" s="6"/>
      <c r="L108" s="6">
        <f t="shared" si="29"/>
        <v>0</v>
      </c>
      <c r="M108" s="6"/>
      <c r="N108" s="6"/>
      <c r="O108" s="6">
        <v>250</v>
      </c>
      <c r="P108" s="6"/>
      <c r="Q108" s="6">
        <f t="shared" si="30"/>
        <v>0</v>
      </c>
      <c r="R108" s="10"/>
      <c r="S108" s="6" t="e">
        <f t="shared" si="31"/>
        <v>#DIV/0!</v>
      </c>
      <c r="T108" s="6" t="e">
        <f t="shared" si="32"/>
        <v>#DIV/0!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 t="s">
        <v>141</v>
      </c>
      <c r="AC108" s="6">
        <f t="shared" si="27"/>
        <v>0</v>
      </c>
      <c r="AD108" s="6">
        <f t="shared" si="24"/>
        <v>0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12" t="s">
        <v>160</v>
      </c>
      <c r="B109" s="12" t="s">
        <v>34</v>
      </c>
      <c r="C109" s="12">
        <v>129.63</v>
      </c>
      <c r="D109" s="12"/>
      <c r="E109" s="12"/>
      <c r="F109" s="17">
        <v>129.63</v>
      </c>
      <c r="G109" s="13">
        <v>0</v>
      </c>
      <c r="H109" s="12"/>
      <c r="I109" s="12" t="s">
        <v>161</v>
      </c>
      <c r="J109" s="12" t="s">
        <v>64</v>
      </c>
      <c r="K109" s="12"/>
      <c r="L109" s="12">
        <f t="shared" si="29"/>
        <v>0</v>
      </c>
      <c r="M109" s="12"/>
      <c r="N109" s="12"/>
      <c r="O109" s="12">
        <v>0</v>
      </c>
      <c r="P109" s="12"/>
      <c r="Q109" s="12">
        <f t="shared" si="30"/>
        <v>0</v>
      </c>
      <c r="R109" s="15"/>
      <c r="S109" s="12" t="e">
        <f t="shared" si="31"/>
        <v>#DIV/0!</v>
      </c>
      <c r="T109" s="12" t="e">
        <f t="shared" si="32"/>
        <v>#DIV/0!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/>
      <c r="AC109" s="12"/>
      <c r="AD109" s="6">
        <f t="shared" si="24"/>
        <v>0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12" t="s">
        <v>162</v>
      </c>
      <c r="B110" s="12" t="s">
        <v>32</v>
      </c>
      <c r="C110" s="12">
        <v>-12</v>
      </c>
      <c r="D110" s="12">
        <v>12</v>
      </c>
      <c r="E110" s="12"/>
      <c r="F110" s="12"/>
      <c r="G110" s="13">
        <v>0</v>
      </c>
      <c r="H110" s="12"/>
      <c r="I110" s="12" t="s">
        <v>161</v>
      </c>
      <c r="J110" s="12" t="s">
        <v>110</v>
      </c>
      <c r="K110" s="12">
        <v>2</v>
      </c>
      <c r="L110" s="12">
        <f t="shared" si="29"/>
        <v>-2</v>
      </c>
      <c r="M110" s="12"/>
      <c r="N110" s="12"/>
      <c r="O110" s="12">
        <v>0</v>
      </c>
      <c r="P110" s="12"/>
      <c r="Q110" s="12">
        <f t="shared" si="30"/>
        <v>0</v>
      </c>
      <c r="R110" s="15"/>
      <c r="S110" s="12" t="e">
        <f t="shared" si="31"/>
        <v>#DIV/0!</v>
      </c>
      <c r="T110" s="12" t="e">
        <f t="shared" si="32"/>
        <v>#DIV/0!</v>
      </c>
      <c r="U110" s="12">
        <v>2.4</v>
      </c>
      <c r="V110" s="12">
        <v>8.1999999999999993</v>
      </c>
      <c r="W110" s="12">
        <v>2.6</v>
      </c>
      <c r="X110" s="12">
        <v>18.2</v>
      </c>
      <c r="Y110" s="12">
        <v>13.6</v>
      </c>
      <c r="Z110" s="12">
        <v>1.4</v>
      </c>
      <c r="AA110" s="12">
        <v>0.2</v>
      </c>
      <c r="AB110" s="12"/>
      <c r="AC110" s="12"/>
      <c r="AD110" s="6">
        <f t="shared" si="24"/>
        <v>0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12" t="s">
        <v>163</v>
      </c>
      <c r="B111" s="12" t="s">
        <v>34</v>
      </c>
      <c r="C111" s="12">
        <v>39.783999999999999</v>
      </c>
      <c r="D111" s="12"/>
      <c r="E111" s="17">
        <v>1.5469999999999999</v>
      </c>
      <c r="F111" s="17">
        <v>38.237000000000002</v>
      </c>
      <c r="G111" s="13">
        <v>0</v>
      </c>
      <c r="H111" s="12"/>
      <c r="I111" s="12" t="s">
        <v>161</v>
      </c>
      <c r="J111" s="12" t="s">
        <v>112</v>
      </c>
      <c r="K111" s="12">
        <v>27.1</v>
      </c>
      <c r="L111" s="12">
        <f t="shared" si="29"/>
        <v>-25.553000000000001</v>
      </c>
      <c r="M111" s="12"/>
      <c r="N111" s="12"/>
      <c r="O111" s="12">
        <v>0</v>
      </c>
      <c r="P111" s="12"/>
      <c r="Q111" s="12">
        <f t="shared" si="30"/>
        <v>0.30940000000000001</v>
      </c>
      <c r="R111" s="15"/>
      <c r="S111" s="12">
        <f t="shared" si="31"/>
        <v>123.58435681965094</v>
      </c>
      <c r="T111" s="12">
        <f t="shared" si="32"/>
        <v>123.58435681965094</v>
      </c>
      <c r="U111" s="12">
        <v>6.8086000000000002</v>
      </c>
      <c r="V111" s="12">
        <v>15.711600000000001</v>
      </c>
      <c r="W111" s="12">
        <v>12.635999999999999</v>
      </c>
      <c r="X111" s="12">
        <v>14.8812</v>
      </c>
      <c r="Y111" s="12">
        <v>13.2858</v>
      </c>
      <c r="Z111" s="12">
        <v>0.31219999999999998</v>
      </c>
      <c r="AA111" s="12">
        <v>0</v>
      </c>
      <c r="AB111" s="12"/>
      <c r="AC111" s="12"/>
      <c r="AD111" s="6">
        <f t="shared" si="24"/>
        <v>0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9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9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9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9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9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9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9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9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9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9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9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9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9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9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9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9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9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9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9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9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9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9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9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9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9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9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9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9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9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9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9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9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9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9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9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9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9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9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9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</sheetData>
  <autoFilter ref="A3:AC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2026-07-13T08:00:14Z</dcterms:created>
  <dcterms:modified xsi:type="dcterms:W3CDTF">2026-07-13T12:57:39Z</dcterms:modified>
</cp:coreProperties>
</file>