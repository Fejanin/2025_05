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Sheet" sheetId="1" r:id="rId1"/>
  </sheets>
  <calcPr calcId="162913" refMode="R1C1"/>
</workbook>
</file>

<file path=xl/calcChain.xml><?xml version="1.0" encoding="utf-8"?>
<calcChain xmlns="http://schemas.openxmlformats.org/spreadsheetml/2006/main">
  <c r="Y7" i="1" l="1"/>
  <c r="S8" i="1"/>
  <c r="Q10" i="1"/>
  <c r="Q12" i="1"/>
  <c r="S12" i="1" s="1"/>
  <c r="S13" i="1"/>
  <c r="Q14" i="1"/>
  <c r="S14" i="1" s="1"/>
  <c r="Y16" i="1"/>
  <c r="Y6" i="1"/>
  <c r="T7" i="1"/>
  <c r="T8" i="1"/>
  <c r="S9" i="1"/>
  <c r="T9" i="1"/>
  <c r="S10" i="1"/>
  <c r="T10" i="1"/>
  <c r="S11" i="1"/>
  <c r="T11" i="1"/>
  <c r="T12" i="1"/>
  <c r="T13" i="1"/>
  <c r="T14" i="1"/>
  <c r="S15" i="1"/>
  <c r="T15" i="1"/>
  <c r="S16" i="1"/>
  <c r="T16" i="1"/>
  <c r="T6" i="1"/>
  <c r="S6" i="1"/>
  <c r="P7" i="1"/>
  <c r="P8" i="1"/>
  <c r="P9" i="1"/>
  <c r="P10" i="1"/>
  <c r="P5" i="1" s="1"/>
  <c r="P11" i="1"/>
  <c r="P12" i="1"/>
  <c r="P13" i="1"/>
  <c r="P14" i="1"/>
  <c r="P15" i="1"/>
  <c r="P16" i="1"/>
  <c r="P6" i="1"/>
  <c r="L16" i="1"/>
  <c r="Y15" i="1"/>
  <c r="L15" i="1"/>
  <c r="L14" i="1"/>
  <c r="L13" i="1"/>
  <c r="L12" i="1"/>
  <c r="Y11" i="1"/>
  <c r="L11" i="1"/>
  <c r="Y10" i="1"/>
  <c r="L10" i="1"/>
  <c r="Y9" i="1"/>
  <c r="L9" i="1"/>
  <c r="Y8" i="1"/>
  <c r="L8" i="1"/>
  <c r="L7" i="1"/>
  <c r="L6" i="1"/>
  <c r="W5" i="1"/>
  <c r="V5" i="1"/>
  <c r="U5" i="1"/>
  <c r="O5" i="1"/>
  <c r="N5" i="1"/>
  <c r="M5" i="1"/>
  <c r="K5" i="1"/>
  <c r="F5" i="1"/>
  <c r="E5" i="1"/>
  <c r="Y12" i="1" l="1"/>
  <c r="S7" i="1"/>
  <c r="Y13" i="1"/>
  <c r="Q5" i="1"/>
  <c r="Y14" i="1"/>
  <c r="L5" i="1"/>
  <c r="Y5" i="1"/>
</calcChain>
</file>

<file path=xl/sharedStrings.xml><?xml version="1.0" encoding="utf-8"?>
<sst xmlns="http://schemas.openxmlformats.org/spreadsheetml/2006/main" count="68" uniqueCount="42">
  <si>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</si>
  <si>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</si>
  <si>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</si>
  <si>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</si>
  <si>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</si>
  <si>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</si>
  <si>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</si>
  <si>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</si>
  <si>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</si>
  <si>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</si>
  <si>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</si>
  <si>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</si>
  <si>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</si>
  <si>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</si>
  <si>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</si>
  <si>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</si>
  <si>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</si>
  <si>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</si>
  <si>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</si>
  <si>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</si>
  <si>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</si>
  <si>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</si>
  <si>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</si>
  <si>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20,07,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</si>
  <si>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</si>
  <si>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</si>
  <si>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</si>
  <si>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</si>
  <si>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</si>
  <si>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</si>
  <si>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</si>
  <si>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</si>
  <si>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нужно увеличить продажи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</si>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</sst>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3" xfId="1" applyNumberFormat="1" applyBorder="1"/>
    <xf numFmtId="164" fontId="1" fillId="0" borderId="2" xfId="1" applyNumberFormat="1" applyBorder="1"/>
    <xf numFmtId="164" fontId="1" fillId="5" borderId="2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1" sqref="R21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6640625" customWidth="1"/>
    <col min="15" max="18" width="7" customWidth="1"/>
    <col min="19" max="20" width="5" customWidth="1"/>
    <col min="21" max="23" width="6" customWidth="1"/>
    <col min="24" max="24" width="49.5546875" customWidth="1"/>
    <col min="25" max="25" width="7" customWidth="1"/>
    <col min="26" max="50" width="8" customWidth="1"/>
  </cols>
  <sheetData>
    <row r="1" spans="1:50" x14ac:dyDescent="0.3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SUM(E6:E500)</f>
        <v>318.56600000000003</v>
      </c>
      <c r="F5" s="4">
        <f>SUM(F6:F500)</f>
        <v>1225.5830000000001</v>
      </c>
      <c r="G5" s="6"/>
      <c r="H5" s="1"/>
      <c r="I5" s="1"/>
      <c r="J5" s="1"/>
      <c r="K5" s="4">
        <f t="shared" ref="K5:Q5" si="0">SUM(K6:K500)</f>
        <v>457</v>
      </c>
      <c r="L5" s="4">
        <f t="shared" si="0"/>
        <v>-138.434</v>
      </c>
      <c r="M5" s="4">
        <f t="shared" si="0"/>
        <v>0</v>
      </c>
      <c r="N5" s="4">
        <f t="shared" si="0"/>
        <v>0</v>
      </c>
      <c r="O5" s="4">
        <f t="shared" si="0"/>
        <v>390</v>
      </c>
      <c r="P5" s="4">
        <f t="shared" si="0"/>
        <v>63.713200000000001</v>
      </c>
      <c r="Q5" s="4">
        <f t="shared" si="0"/>
        <v>79</v>
      </c>
      <c r="R5" s="4"/>
      <c r="S5" s="1"/>
      <c r="T5" s="1"/>
      <c r="U5" s="4">
        <f>SUM(U6:U500)</f>
        <v>88.232799999999997</v>
      </c>
      <c r="V5" s="4">
        <f>SUM(V6:V500)</f>
        <v>69.177999999999997</v>
      </c>
      <c r="W5" s="4">
        <f>SUM(W6:W500)</f>
        <v>81.424800000000005</v>
      </c>
      <c r="X5" s="1"/>
      <c r="Y5" s="4">
        <f>SUM(Y6:Y500)</f>
        <v>26.75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26</v>
      </c>
      <c r="B6" s="1" t="s">
        <v>27</v>
      </c>
      <c r="C6" s="1">
        <v>136</v>
      </c>
      <c r="D6" s="1">
        <v>11</v>
      </c>
      <c r="E6" s="1">
        <v>3</v>
      </c>
      <c r="F6" s="1">
        <v>123</v>
      </c>
      <c r="G6" s="6">
        <v>0.42</v>
      </c>
      <c r="H6" s="1">
        <v>120</v>
      </c>
      <c r="I6" s="1" t="s">
        <v>28</v>
      </c>
      <c r="J6" s="1"/>
      <c r="K6" s="1">
        <v>14</v>
      </c>
      <c r="L6" s="1">
        <f t="shared" ref="L6:L16" si="1">E6-K6</f>
        <v>-11</v>
      </c>
      <c r="M6" s="1"/>
      <c r="N6" s="1"/>
      <c r="O6" s="1"/>
      <c r="P6" s="1">
        <f>E6/5</f>
        <v>0.6</v>
      </c>
      <c r="Q6" s="10"/>
      <c r="R6" s="11"/>
      <c r="S6" s="1">
        <f>(F6+O6+Q6)/P6</f>
        <v>205</v>
      </c>
      <c r="T6" s="1">
        <f>(F6+O6)/P6</f>
        <v>205</v>
      </c>
      <c r="U6" s="1">
        <v>-0.2</v>
      </c>
      <c r="V6" s="1">
        <v>1</v>
      </c>
      <c r="W6" s="1">
        <v>1</v>
      </c>
      <c r="X6" s="8" t="s">
        <v>29</v>
      </c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30</v>
      </c>
      <c r="B7" s="1" t="s">
        <v>31</v>
      </c>
      <c r="C7" s="1">
        <v>36.668999999999997</v>
      </c>
      <c r="D7" s="1">
        <v>18.318000000000001</v>
      </c>
      <c r="E7" s="1">
        <v>4.5659999999999998</v>
      </c>
      <c r="F7" s="1">
        <v>50.420999999999999</v>
      </c>
      <c r="G7" s="6">
        <v>1</v>
      </c>
      <c r="H7" s="1">
        <v>120</v>
      </c>
      <c r="I7" s="1" t="s">
        <v>28</v>
      </c>
      <c r="J7" s="1"/>
      <c r="K7" s="1">
        <v>4.5</v>
      </c>
      <c r="L7" s="1">
        <f t="shared" si="1"/>
        <v>6.5999999999999837E-2</v>
      </c>
      <c r="M7" s="1"/>
      <c r="N7" s="1"/>
      <c r="O7" s="1"/>
      <c r="P7" s="1">
        <f t="shared" ref="P7:P16" si="3">E7/5</f>
        <v>0.91320000000000001</v>
      </c>
      <c r="Q7" s="10"/>
      <c r="R7" s="11"/>
      <c r="S7" s="1">
        <f t="shared" ref="S7:S16" si="4">(F7+O7+Q7)/P7</f>
        <v>55.213534822601837</v>
      </c>
      <c r="T7" s="1">
        <f t="shared" ref="T7:T16" si="5">(F7+O7)/P7</f>
        <v>55.213534822601837</v>
      </c>
      <c r="U7" s="1">
        <v>1.8176000000000001</v>
      </c>
      <c r="V7" s="1">
        <v>4.5468000000000002</v>
      </c>
      <c r="W7" s="1">
        <v>0.91639999999999999</v>
      </c>
      <c r="X7" s="8" t="s">
        <v>29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33</v>
      </c>
      <c r="B8" s="1" t="s">
        <v>31</v>
      </c>
      <c r="C8" s="1">
        <v>100.16200000000001</v>
      </c>
      <c r="D8" s="1">
        <v>4.5</v>
      </c>
      <c r="E8" s="1"/>
      <c r="F8" s="1">
        <v>100.16200000000001</v>
      </c>
      <c r="G8" s="6">
        <v>1</v>
      </c>
      <c r="H8" s="1">
        <v>120</v>
      </c>
      <c r="I8" s="1" t="s">
        <v>28</v>
      </c>
      <c r="J8" s="1"/>
      <c r="K8" s="1">
        <v>7.5</v>
      </c>
      <c r="L8" s="1">
        <f t="shared" si="1"/>
        <v>-7.5</v>
      </c>
      <c r="M8" s="1"/>
      <c r="N8" s="1"/>
      <c r="O8" s="1"/>
      <c r="P8" s="1">
        <f t="shared" si="3"/>
        <v>0</v>
      </c>
      <c r="Q8" s="10"/>
      <c r="R8" s="11"/>
      <c r="S8" s="1" t="e">
        <f t="shared" si="4"/>
        <v>#DIV/0!</v>
      </c>
      <c r="T8" s="1" t="e">
        <f t="shared" si="5"/>
        <v>#DIV/0!</v>
      </c>
      <c r="U8" s="1">
        <v>1.8151999999999999</v>
      </c>
      <c r="V8" s="1">
        <v>1.8311999999999999</v>
      </c>
      <c r="W8" s="1">
        <v>0.90839999999999999</v>
      </c>
      <c r="X8" s="8" t="s">
        <v>29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34</v>
      </c>
      <c r="B9" s="1" t="s">
        <v>27</v>
      </c>
      <c r="C9" s="1">
        <v>184</v>
      </c>
      <c r="D9" s="1">
        <v>5</v>
      </c>
      <c r="E9" s="1">
        <v>9</v>
      </c>
      <c r="F9" s="1">
        <v>153</v>
      </c>
      <c r="G9" s="6">
        <v>0.42</v>
      </c>
      <c r="H9" s="1">
        <v>120</v>
      </c>
      <c r="I9" s="1" t="s">
        <v>28</v>
      </c>
      <c r="J9" s="1"/>
      <c r="K9" s="1">
        <v>14</v>
      </c>
      <c r="L9" s="1">
        <f t="shared" si="1"/>
        <v>-5</v>
      </c>
      <c r="M9" s="1"/>
      <c r="N9" s="1"/>
      <c r="O9" s="1"/>
      <c r="P9" s="1">
        <f t="shared" si="3"/>
        <v>1.8</v>
      </c>
      <c r="Q9" s="10"/>
      <c r="R9" s="11"/>
      <c r="S9" s="1">
        <f t="shared" si="4"/>
        <v>85</v>
      </c>
      <c r="T9" s="1">
        <f t="shared" si="5"/>
        <v>85</v>
      </c>
      <c r="U9" s="1">
        <v>1.4</v>
      </c>
      <c r="V9" s="1">
        <v>4.5999999999999996</v>
      </c>
      <c r="W9" s="1">
        <v>2.4</v>
      </c>
      <c r="X9" s="8" t="s">
        <v>29</v>
      </c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35</v>
      </c>
      <c r="B10" s="1" t="s">
        <v>27</v>
      </c>
      <c r="C10" s="1">
        <v>139</v>
      </c>
      <c r="D10" s="1">
        <v>17</v>
      </c>
      <c r="E10" s="1">
        <v>31</v>
      </c>
      <c r="F10" s="1">
        <v>65</v>
      </c>
      <c r="G10" s="6">
        <v>0.3</v>
      </c>
      <c r="H10" s="1">
        <v>120</v>
      </c>
      <c r="I10" s="1" t="s">
        <v>28</v>
      </c>
      <c r="J10" s="1"/>
      <c r="K10" s="1">
        <v>48</v>
      </c>
      <c r="L10" s="1">
        <f t="shared" si="1"/>
        <v>-17</v>
      </c>
      <c r="M10" s="1"/>
      <c r="N10" s="1"/>
      <c r="O10" s="1">
        <v>10</v>
      </c>
      <c r="P10" s="1">
        <f t="shared" si="3"/>
        <v>6.2</v>
      </c>
      <c r="Q10" s="10">
        <f t="shared" ref="Q10:Q14" si="6">15*P10-O10-F10</f>
        <v>18</v>
      </c>
      <c r="R10" s="11"/>
      <c r="S10" s="1">
        <f t="shared" si="4"/>
        <v>15</v>
      </c>
      <c r="T10" s="1">
        <f t="shared" si="5"/>
        <v>12.096774193548386</v>
      </c>
      <c r="U10" s="1">
        <v>9.6</v>
      </c>
      <c r="V10" s="1">
        <v>9.6</v>
      </c>
      <c r="W10" s="1">
        <v>10.199999999999999</v>
      </c>
      <c r="X10" s="1"/>
      <c r="Y10" s="1">
        <f t="shared" si="2"/>
        <v>5.3999999999999995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36</v>
      </c>
      <c r="B11" s="1" t="s">
        <v>27</v>
      </c>
      <c r="C11" s="1">
        <v>55</v>
      </c>
      <c r="D11" s="1">
        <v>63</v>
      </c>
      <c r="E11" s="1">
        <v>50</v>
      </c>
      <c r="F11" s="1">
        <v>64</v>
      </c>
      <c r="G11" s="6">
        <v>0.3</v>
      </c>
      <c r="H11" s="1">
        <v>120</v>
      </c>
      <c r="I11" s="1" t="s">
        <v>28</v>
      </c>
      <c r="J11" s="1"/>
      <c r="K11" s="1">
        <v>76</v>
      </c>
      <c r="L11" s="1">
        <f t="shared" si="1"/>
        <v>-26</v>
      </c>
      <c r="M11" s="1"/>
      <c r="N11" s="1"/>
      <c r="O11" s="1">
        <v>190</v>
      </c>
      <c r="P11" s="1">
        <f t="shared" si="3"/>
        <v>10</v>
      </c>
      <c r="Q11" s="10"/>
      <c r="R11" s="11"/>
      <c r="S11" s="1">
        <f t="shared" si="4"/>
        <v>25.4</v>
      </c>
      <c r="T11" s="1">
        <f t="shared" si="5"/>
        <v>25.4</v>
      </c>
      <c r="U11" s="1">
        <v>20.2</v>
      </c>
      <c r="V11" s="1">
        <v>14.2</v>
      </c>
      <c r="W11" s="1">
        <v>22.6</v>
      </c>
      <c r="X11" s="1"/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37</v>
      </c>
      <c r="B12" s="1" t="s">
        <v>27</v>
      </c>
      <c r="C12" s="1">
        <v>113</v>
      </c>
      <c r="D12" s="1">
        <v>84</v>
      </c>
      <c r="E12" s="1">
        <v>47</v>
      </c>
      <c r="F12" s="1">
        <v>122</v>
      </c>
      <c r="G12" s="6">
        <v>0.35</v>
      </c>
      <c r="H12" s="1">
        <v>120</v>
      </c>
      <c r="I12" s="1" t="s">
        <v>28</v>
      </c>
      <c r="J12" s="1"/>
      <c r="K12" s="1">
        <v>67</v>
      </c>
      <c r="L12" s="1">
        <f t="shared" si="1"/>
        <v>-20</v>
      </c>
      <c r="M12" s="1"/>
      <c r="N12" s="1"/>
      <c r="O12" s="1">
        <v>10</v>
      </c>
      <c r="P12" s="1">
        <f t="shared" si="3"/>
        <v>9.4</v>
      </c>
      <c r="Q12" s="10">
        <f t="shared" si="6"/>
        <v>9</v>
      </c>
      <c r="R12" s="11"/>
      <c r="S12" s="1">
        <f t="shared" si="4"/>
        <v>15</v>
      </c>
      <c r="T12" s="1">
        <f t="shared" si="5"/>
        <v>14.042553191489361</v>
      </c>
      <c r="U12" s="1">
        <v>13.4</v>
      </c>
      <c r="V12" s="1">
        <v>16.399999999999999</v>
      </c>
      <c r="W12" s="1">
        <v>12</v>
      </c>
      <c r="X12" s="1"/>
      <c r="Y12" s="1">
        <f t="shared" si="2"/>
        <v>3.15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38</v>
      </c>
      <c r="B13" s="1" t="s">
        <v>27</v>
      </c>
      <c r="C13" s="1">
        <v>79</v>
      </c>
      <c r="D13" s="1">
        <v>17</v>
      </c>
      <c r="E13" s="1">
        <v>37</v>
      </c>
      <c r="F13" s="1">
        <v>22</v>
      </c>
      <c r="G13" s="6">
        <v>0.3</v>
      </c>
      <c r="H13" s="1">
        <v>120</v>
      </c>
      <c r="I13" s="1" t="s">
        <v>28</v>
      </c>
      <c r="J13" s="1"/>
      <c r="K13" s="1">
        <v>54</v>
      </c>
      <c r="L13" s="1">
        <f t="shared" si="1"/>
        <v>-17</v>
      </c>
      <c r="M13" s="1"/>
      <c r="N13" s="1"/>
      <c r="O13" s="1">
        <v>130</v>
      </c>
      <c r="P13" s="1">
        <f t="shared" si="3"/>
        <v>7.4</v>
      </c>
      <c r="Q13" s="10"/>
      <c r="R13" s="11"/>
      <c r="S13" s="1">
        <f t="shared" si="4"/>
        <v>20.54054054054054</v>
      </c>
      <c r="T13" s="1">
        <f t="shared" si="5"/>
        <v>20.54054054054054</v>
      </c>
      <c r="U13" s="1">
        <v>13.8</v>
      </c>
      <c r="V13" s="1">
        <v>8.1999999999999993</v>
      </c>
      <c r="W13" s="1">
        <v>13.2</v>
      </c>
      <c r="X13" s="1"/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39</v>
      </c>
      <c r="B14" s="1" t="s">
        <v>27</v>
      </c>
      <c r="C14" s="1">
        <v>168</v>
      </c>
      <c r="D14" s="1">
        <v>15</v>
      </c>
      <c r="E14" s="1">
        <v>60</v>
      </c>
      <c r="F14" s="1">
        <v>78</v>
      </c>
      <c r="G14" s="6">
        <v>0.35</v>
      </c>
      <c r="H14" s="1">
        <v>120</v>
      </c>
      <c r="I14" s="1" t="s">
        <v>28</v>
      </c>
      <c r="J14" s="1"/>
      <c r="K14" s="1">
        <v>78</v>
      </c>
      <c r="L14" s="1">
        <f t="shared" si="1"/>
        <v>-18</v>
      </c>
      <c r="M14" s="1"/>
      <c r="N14" s="1"/>
      <c r="O14" s="1">
        <v>50</v>
      </c>
      <c r="P14" s="1">
        <f t="shared" si="3"/>
        <v>12</v>
      </c>
      <c r="Q14" s="10">
        <f t="shared" si="6"/>
        <v>52</v>
      </c>
      <c r="R14" s="11"/>
      <c r="S14" s="1">
        <f t="shared" si="4"/>
        <v>15</v>
      </c>
      <c r="T14" s="1">
        <f t="shared" si="5"/>
        <v>10.666666666666666</v>
      </c>
      <c r="U14" s="1">
        <v>14.2</v>
      </c>
      <c r="V14" s="1">
        <v>0.2</v>
      </c>
      <c r="W14" s="1">
        <v>10.4</v>
      </c>
      <c r="X14" s="1"/>
      <c r="Y14" s="1">
        <f t="shared" si="2"/>
        <v>18.2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40</v>
      </c>
      <c r="B15" s="1" t="s">
        <v>27</v>
      </c>
      <c r="C15" s="1">
        <v>206</v>
      </c>
      <c r="D15" s="1">
        <v>8</v>
      </c>
      <c r="E15" s="1">
        <v>18</v>
      </c>
      <c r="F15" s="1">
        <v>186</v>
      </c>
      <c r="G15" s="6">
        <v>0.3</v>
      </c>
      <c r="H15" s="1">
        <v>120</v>
      </c>
      <c r="I15" s="1" t="s">
        <v>28</v>
      </c>
      <c r="J15" s="1"/>
      <c r="K15" s="1">
        <v>29</v>
      </c>
      <c r="L15" s="1">
        <f t="shared" si="1"/>
        <v>-11</v>
      </c>
      <c r="M15" s="1"/>
      <c r="N15" s="1"/>
      <c r="O15" s="1"/>
      <c r="P15" s="1">
        <f t="shared" si="3"/>
        <v>3.6</v>
      </c>
      <c r="Q15" s="10"/>
      <c r="R15" s="11"/>
      <c r="S15" s="1">
        <f t="shared" si="4"/>
        <v>51.666666666666664</v>
      </c>
      <c r="T15" s="1">
        <f t="shared" si="5"/>
        <v>51.666666666666664</v>
      </c>
      <c r="U15" s="1">
        <v>2.6</v>
      </c>
      <c r="V15" s="1">
        <v>1.6</v>
      </c>
      <c r="W15" s="1">
        <v>1.6</v>
      </c>
      <c r="X15" s="8" t="s">
        <v>29</v>
      </c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41</v>
      </c>
      <c r="B16" s="1" t="s">
        <v>27</v>
      </c>
      <c r="C16" s="1">
        <v>343</v>
      </c>
      <c r="D16" s="1">
        <v>6</v>
      </c>
      <c r="E16" s="1">
        <v>59</v>
      </c>
      <c r="F16" s="1">
        <v>262</v>
      </c>
      <c r="G16" s="6">
        <v>0.7</v>
      </c>
      <c r="H16" s="1">
        <v>180</v>
      </c>
      <c r="I16" s="1" t="s">
        <v>28</v>
      </c>
      <c r="J16" s="1"/>
      <c r="K16" s="1">
        <v>65</v>
      </c>
      <c r="L16" s="1">
        <f t="shared" si="1"/>
        <v>-6</v>
      </c>
      <c r="M16" s="1"/>
      <c r="N16" s="1"/>
      <c r="O16" s="1"/>
      <c r="P16" s="1">
        <f t="shared" si="3"/>
        <v>11.8</v>
      </c>
      <c r="Q16" s="10"/>
      <c r="R16" s="12">
        <v>250</v>
      </c>
      <c r="S16" s="1">
        <f t="shared" si="4"/>
        <v>22.203389830508474</v>
      </c>
      <c r="T16" s="1">
        <f t="shared" si="5"/>
        <v>22.203389830508474</v>
      </c>
      <c r="U16" s="1">
        <v>9.6</v>
      </c>
      <c r="V16" s="1">
        <v>7</v>
      </c>
      <c r="W16" s="1">
        <v>6.2</v>
      </c>
      <c r="X16" s="9" t="s">
        <v>32</v>
      </c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3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2026-07-20T17:49:00Z</dcterms:created>
  <dcterms:modified xsi:type="dcterms:W3CDTF">2026-07-21T09:17:33Z</dcterms:modified>
</cp:coreProperties>
</file>