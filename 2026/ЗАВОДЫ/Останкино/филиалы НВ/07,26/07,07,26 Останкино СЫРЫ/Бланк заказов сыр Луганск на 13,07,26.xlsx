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3F8D29DF-3DF5-430E-9201-E71379EAD54C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0" i="1" l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61" i="1" s="1"/>
  <c r="F4" i="1"/>
</calcChain>
</file>

<file path=xl/sharedStrings.xml><?xml version="1.0" encoding="utf-8"?>
<sst xmlns="http://schemas.openxmlformats.org/spreadsheetml/2006/main" count="91" uniqueCount="83">
  <si>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</si>
  <si>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</si>
  <si>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</si>
  <si>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</si>
  <si>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</si>
  <si>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</si>
  <si>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</si>
  <si>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</si>
  <si>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</si>
  <si>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</si>
  <si>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</si>
  <si>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</si>
  <si>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</si>
  <si>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</si>
  <si>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</si>
  <si>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</si>
  <si>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</si>
  <si>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</si>
  <si>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</si>
  <si>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</si>
  <si>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</si>
  <si>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</si>
  <si>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</si>
  <si>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</si>
  <si>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</si>
  <si>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</si>
  <si>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</si>
  <si>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</si>
  <si>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</si>
  <si>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</si>
  <si>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</si>
  <si>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</si>
  <si>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</si>
  <si>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</si>
  <si>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</si>
  <si>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</si>
  <si>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</si>
  <si>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</si>
  <si>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Сыр ПАПА МОЖЕТ "Тильзитер" ж. 45% газ.среда, 400 гр (8 шт)</t>
  </si>
  <si>
    <t>Сыр ПАПА МОЖЕТ "Папин завтрак" ж. 45% газ.среда, 400 гр (8 шт)</t>
  </si>
  <si>
    <t>Сыр ПАПА МОЖЕТ "Министерский" ж. 45% газ.среда, 400 гр (8 шт)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</si>
  <si>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</si>
  <si>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</si>
  <si>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полутвердый "Российский" 3,2 кг, 50%, "Папа Может" ЮГ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</si>
  <si>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</si>
  <si>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</si>
  <si>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</si>
  <si>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</si>
  <si>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Голландский 45%. Нарезка 125г ТМ Папа Может</t>
  </si>
  <si>
    <t>Сыр Российский Особый 45%. Нарезка 125г  ТМ Папа Может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</si>
  <si>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</si>
  <si>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</si>
  <si>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</si>
  <si>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</si>
  <si>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</si>
  <si>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</si>
  <si>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</si>
  <si>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</si>
  <si>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</si>
  <si>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</si>
  <si>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</si>
  <si>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</si>
  <si>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</si>
  <si>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</si>
  <si>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</si>
  <si>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</si>
  <si>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</si>
  <si>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</si>
  <si>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</si>
  <si>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</si>
  <si>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</si>
  <si>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</si>
  <si>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</si>
  <si>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</si>
  <si>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</si>
  <si>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</si>
  <si>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</si>
  <si>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</si>
  <si>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не доступно к заказу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</si>
  <si>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</si>
  <si>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</si>
  <si>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</si>
  <si>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Средний вес короба 16,4( вес 1 брус 3,2кг)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</si>
</sst>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1" fontId="14" fillId="2" borderId="1" xfId="0" applyNumberFormat="1" applyFont="1" applyFill="1" applyBorder="1" applyAlignment="1">
      <alignment horizontal="left"/>
    </xf>
    <xf numFmtId="0" fontId="17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5" fillId="2" borderId="1" xfId="0" applyFont="1" applyFill="1" applyBorder="1"/>
    <xf numFmtId="0" fontId="17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2" fontId="7" fillId="2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zoomScaleNormal="100" workbookViewId="0">
      <pane ySplit="3" topLeftCell="A40" activePane="bottomLeft" state="frozen"/>
      <selection activeCell="B1" sqref="B1"/>
      <selection pane="bottomLeft" activeCell="F73" sqref="F73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41</v>
      </c>
      <c r="B2" s="4" t="s">
        <v>77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8" t="s">
        <v>1</v>
      </c>
      <c r="B3" s="18" t="s">
        <v>2</v>
      </c>
      <c r="C3" s="18" t="s">
        <v>3</v>
      </c>
      <c r="D3" s="19" t="s">
        <v>4</v>
      </c>
      <c r="E3" s="19" t="s">
        <v>5</v>
      </c>
      <c r="F3" s="18" t="s">
        <v>6</v>
      </c>
      <c r="G3" s="20" t="s">
        <v>11</v>
      </c>
      <c r="H3" s="8" t="s">
        <v>7</v>
      </c>
      <c r="I3" s="8" t="s">
        <v>8</v>
      </c>
    </row>
    <row r="4" spans="1:9" ht="25.5">
      <c r="A4" s="1">
        <v>5038435</v>
      </c>
      <c r="B4" s="21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>
      <c r="A5" s="1">
        <v>8785204</v>
      </c>
      <c r="B5" s="12" t="s">
        <v>43</v>
      </c>
      <c r="C5" s="13">
        <v>5</v>
      </c>
      <c r="D5" s="14" t="s">
        <v>78</v>
      </c>
      <c r="E5" s="14"/>
      <c r="F5" s="8">
        <f>E5/16.5</f>
        <v>0</v>
      </c>
      <c r="G5" s="12">
        <v>3.2</v>
      </c>
      <c r="H5" s="8">
        <f>E5</f>
        <v>0</v>
      </c>
      <c r="I5" s="8"/>
    </row>
    <row r="6" spans="1:9" s="17" customFormat="1" ht="25.5">
      <c r="A6" s="16">
        <v>8783323</v>
      </c>
      <c r="B6" s="22" t="s">
        <v>79</v>
      </c>
      <c r="C6" s="23">
        <v>4</v>
      </c>
      <c r="D6" s="24"/>
      <c r="E6" s="24">
        <v>10</v>
      </c>
      <c r="F6" s="8">
        <f>E6/5</f>
        <v>2</v>
      </c>
      <c r="G6" s="25">
        <v>1.8</v>
      </c>
      <c r="H6" s="26">
        <f>E6</f>
        <v>10</v>
      </c>
      <c r="I6" s="26"/>
    </row>
    <row r="7" spans="1:9" ht="25.5">
      <c r="A7" s="1">
        <v>5038459</v>
      </c>
      <c r="B7" s="21" t="s">
        <v>28</v>
      </c>
      <c r="C7" s="13">
        <v>10</v>
      </c>
      <c r="D7" s="14">
        <v>110</v>
      </c>
      <c r="E7" s="14"/>
      <c r="F7" s="8">
        <f>D7/C7</f>
        <v>11</v>
      </c>
      <c r="G7" s="12">
        <v>0.18</v>
      </c>
      <c r="H7" s="8">
        <f>G7*D7</f>
        <v>19.8</v>
      </c>
      <c r="I7" s="8"/>
    </row>
    <row r="8" spans="1:9" ht="25.5">
      <c r="A8" s="16">
        <v>8785235</v>
      </c>
      <c r="B8" s="22" t="s">
        <v>80</v>
      </c>
      <c r="C8" s="13">
        <v>5</v>
      </c>
      <c r="D8" s="14"/>
      <c r="E8" s="14"/>
      <c r="F8" s="8">
        <f>E8/16.5</f>
        <v>0</v>
      </c>
      <c r="G8" s="8">
        <v>3.5</v>
      </c>
      <c r="H8" s="8">
        <f>E8</f>
        <v>0</v>
      </c>
      <c r="I8" s="8" t="s">
        <v>13</v>
      </c>
    </row>
    <row r="9" spans="1:9" ht="25.5">
      <c r="A9" s="1">
        <v>5038411</v>
      </c>
      <c r="B9" s="21" t="s">
        <v>29</v>
      </c>
      <c r="C9" s="13">
        <v>10</v>
      </c>
      <c r="D9" s="14">
        <v>160</v>
      </c>
      <c r="E9" s="14"/>
      <c r="F9" s="8">
        <f>D9/C9</f>
        <v>16</v>
      </c>
      <c r="G9" s="12">
        <v>0.18</v>
      </c>
      <c r="H9" s="8">
        <f>G9*D9</f>
        <v>28.799999999999997</v>
      </c>
      <c r="I9" s="8"/>
    </row>
    <row r="10" spans="1:9" ht="25.5">
      <c r="A10" s="11">
        <v>8785242</v>
      </c>
      <c r="B10" s="21" t="s">
        <v>42</v>
      </c>
      <c r="C10" s="13">
        <v>5</v>
      </c>
      <c r="D10" s="14"/>
      <c r="E10" s="14"/>
      <c r="F10" s="8">
        <f>E10/16.5</f>
        <v>0</v>
      </c>
      <c r="G10" s="8">
        <v>3.5</v>
      </c>
      <c r="H10" s="8">
        <f>E10</f>
        <v>0</v>
      </c>
      <c r="I10" s="8" t="s">
        <v>13</v>
      </c>
    </row>
    <row r="11" spans="1:9" ht="25.5">
      <c r="A11" s="1">
        <v>5038398</v>
      </c>
      <c r="B11" s="21" t="s">
        <v>31</v>
      </c>
      <c r="C11" s="13">
        <v>10</v>
      </c>
      <c r="D11" s="14"/>
      <c r="E11" s="14"/>
      <c r="F11" s="8">
        <f>D11/C11</f>
        <v>0</v>
      </c>
      <c r="G11" s="12">
        <v>0.18</v>
      </c>
      <c r="H11" s="8">
        <f>G11*D11</f>
        <v>0</v>
      </c>
      <c r="I11" s="8"/>
    </row>
    <row r="12" spans="1:9">
      <c r="A12" s="1">
        <v>5039609</v>
      </c>
      <c r="B12" s="12" t="s">
        <v>38</v>
      </c>
      <c r="C12" s="13">
        <v>8</v>
      </c>
      <c r="D12" s="14"/>
      <c r="E12" s="14" t="s">
        <v>78</v>
      </c>
      <c r="F12" s="8">
        <f>D12/C12</f>
        <v>0</v>
      </c>
      <c r="G12" s="12">
        <v>0.4</v>
      </c>
      <c r="H12" s="8">
        <f>G12*D12</f>
        <v>0</v>
      </c>
      <c r="I12" s="8"/>
    </row>
    <row r="13" spans="1:9" ht="25.5">
      <c r="A13" s="11">
        <v>8785259</v>
      </c>
      <c r="B13" s="21" t="s">
        <v>47</v>
      </c>
      <c r="C13" s="13">
        <v>5</v>
      </c>
      <c r="D13" s="14"/>
      <c r="E13" s="14"/>
      <c r="F13" s="8">
        <f>E13/16.5</f>
        <v>0</v>
      </c>
      <c r="G13" s="8">
        <v>3.5</v>
      </c>
      <c r="H13" s="8">
        <f>E13</f>
        <v>0</v>
      </c>
      <c r="I13" s="8"/>
    </row>
    <row r="14" spans="1:9" ht="25.5">
      <c r="A14" s="11">
        <v>5038855</v>
      </c>
      <c r="B14" s="27" t="s">
        <v>36</v>
      </c>
      <c r="C14" s="13">
        <v>10</v>
      </c>
      <c r="D14" s="14">
        <v>80</v>
      </c>
      <c r="E14" s="14"/>
      <c r="F14" s="8">
        <f>D14/C14</f>
        <v>8</v>
      </c>
      <c r="G14" s="12">
        <v>0.2</v>
      </c>
      <c r="H14" s="8">
        <f>G14*D14</f>
        <v>16</v>
      </c>
      <c r="I14" s="8"/>
    </row>
    <row r="15" spans="1:9">
      <c r="A15" s="11">
        <v>5039647</v>
      </c>
      <c r="B15" s="28" t="s">
        <v>39</v>
      </c>
      <c r="C15" s="13">
        <v>8</v>
      </c>
      <c r="D15" s="14"/>
      <c r="E15" s="14"/>
      <c r="F15" s="8">
        <f>D15/C15</f>
        <v>0</v>
      </c>
      <c r="G15" s="12">
        <v>0.4</v>
      </c>
      <c r="H15" s="8">
        <f>G15*D15</f>
        <v>0</v>
      </c>
      <c r="I15" s="8"/>
    </row>
    <row r="16" spans="1:9" ht="25.5">
      <c r="A16" s="11">
        <v>5038831</v>
      </c>
      <c r="B16" s="21" t="s">
        <v>34</v>
      </c>
      <c r="C16" s="29">
        <v>10</v>
      </c>
      <c r="D16" s="14"/>
      <c r="E16" s="14"/>
      <c r="F16" s="8">
        <f>D16/C16</f>
        <v>0</v>
      </c>
      <c r="G16" s="12">
        <v>0.18</v>
      </c>
      <c r="H16" s="8">
        <f>G16*D16</f>
        <v>0</v>
      </c>
      <c r="I16" s="8"/>
    </row>
    <row r="17" spans="1:9">
      <c r="A17" s="11">
        <v>5039623</v>
      </c>
      <c r="B17" s="12" t="s">
        <v>40</v>
      </c>
      <c r="C17" s="29">
        <v>8</v>
      </c>
      <c r="D17" s="14"/>
      <c r="E17" s="14" t="s">
        <v>78</v>
      </c>
      <c r="F17" s="8">
        <f>D17/C17</f>
        <v>0</v>
      </c>
      <c r="G17" s="12">
        <v>0.4</v>
      </c>
      <c r="H17" s="8">
        <f>G17*D17</f>
        <v>0</v>
      </c>
      <c r="I17" s="8"/>
    </row>
    <row r="18" spans="1:9" ht="38.25">
      <c r="A18" s="30">
        <v>8784931</v>
      </c>
      <c r="B18" s="22" t="s">
        <v>81</v>
      </c>
      <c r="C18" s="29">
        <v>5</v>
      </c>
      <c r="D18" s="14"/>
      <c r="E18" s="14"/>
      <c r="F18" s="8">
        <f>E18/16.4</f>
        <v>0</v>
      </c>
      <c r="G18" s="12">
        <v>3.5</v>
      </c>
      <c r="H18" s="8">
        <f>E18</f>
        <v>0</v>
      </c>
      <c r="I18" s="8" t="s">
        <v>82</v>
      </c>
    </row>
    <row r="19" spans="1:9">
      <c r="A19" s="11">
        <v>1018950</v>
      </c>
      <c r="B19" s="12" t="s">
        <v>35</v>
      </c>
      <c r="C19" s="13">
        <v>10</v>
      </c>
      <c r="D19" s="14"/>
      <c r="E19" s="14"/>
      <c r="F19" s="8">
        <f t="shared" ref="F19:F27" si="0">D19/C19</f>
        <v>0</v>
      </c>
      <c r="G19" s="12">
        <v>0.18</v>
      </c>
      <c r="H19" s="8">
        <f t="shared" ref="H19:H27" si="1">G19*D19</f>
        <v>0</v>
      </c>
      <c r="I19" s="8"/>
    </row>
    <row r="20" spans="1:9">
      <c r="A20" s="11">
        <v>1018967</v>
      </c>
      <c r="B20" s="12" t="s">
        <v>37</v>
      </c>
      <c r="C20" s="13">
        <v>10</v>
      </c>
      <c r="D20" s="14">
        <v>40</v>
      </c>
      <c r="E20" s="14"/>
      <c r="F20" s="8">
        <f t="shared" si="0"/>
        <v>4</v>
      </c>
      <c r="G20" s="12">
        <v>0.18</v>
      </c>
      <c r="H20" s="8">
        <f t="shared" si="1"/>
        <v>7.1999999999999993</v>
      </c>
      <c r="I20" s="8"/>
    </row>
    <row r="21" spans="1:9">
      <c r="A21" s="11">
        <v>8444194</v>
      </c>
      <c r="B21" s="31" t="s">
        <v>15</v>
      </c>
      <c r="C21" s="13">
        <v>6</v>
      </c>
      <c r="D21" s="14"/>
      <c r="E21" s="14"/>
      <c r="F21" s="8">
        <f t="shared" si="0"/>
        <v>0</v>
      </c>
      <c r="G21" s="12">
        <v>0.1</v>
      </c>
      <c r="H21" s="8">
        <f t="shared" si="1"/>
        <v>0</v>
      </c>
      <c r="I21" s="8"/>
    </row>
    <row r="22" spans="1:9">
      <c r="A22" s="11">
        <v>8444187</v>
      </c>
      <c r="B22" s="31" t="s">
        <v>16</v>
      </c>
      <c r="C22" s="13">
        <v>6</v>
      </c>
      <c r="D22" s="14"/>
      <c r="E22" s="14"/>
      <c r="F22" s="8">
        <f t="shared" si="0"/>
        <v>0</v>
      </c>
      <c r="G22" s="12">
        <v>0.1</v>
      </c>
      <c r="H22" s="8">
        <f t="shared" si="1"/>
        <v>0</v>
      </c>
      <c r="I22" s="8"/>
    </row>
    <row r="23" spans="1:9">
      <c r="A23" s="11">
        <v>8444163</v>
      </c>
      <c r="B23" s="31" t="s">
        <v>17</v>
      </c>
      <c r="C23" s="13">
        <v>8</v>
      </c>
      <c r="D23" s="14"/>
      <c r="E23" s="14"/>
      <c r="F23" s="8">
        <f t="shared" si="0"/>
        <v>0</v>
      </c>
      <c r="G23" s="12">
        <v>0.1</v>
      </c>
      <c r="H23" s="8">
        <f t="shared" si="1"/>
        <v>0</v>
      </c>
      <c r="I23" s="8"/>
    </row>
    <row r="24" spans="1:9">
      <c r="A24" s="11">
        <v>8444170</v>
      </c>
      <c r="B24" s="31" t="s">
        <v>60</v>
      </c>
      <c r="C24" s="13">
        <v>8</v>
      </c>
      <c r="D24" s="14"/>
      <c r="E24" s="14"/>
      <c r="F24" s="8">
        <f t="shared" si="0"/>
        <v>0</v>
      </c>
      <c r="G24" s="12">
        <v>0.1</v>
      </c>
      <c r="H24" s="8">
        <f t="shared" si="1"/>
        <v>0</v>
      </c>
      <c r="I24" s="8"/>
    </row>
    <row r="25" spans="1:9">
      <c r="A25" s="11">
        <v>9988377</v>
      </c>
      <c r="B25" s="31" t="s">
        <v>18</v>
      </c>
      <c r="C25" s="13">
        <v>16</v>
      </c>
      <c r="D25" s="14">
        <v>128</v>
      </c>
      <c r="E25" s="14"/>
      <c r="F25" s="8">
        <f t="shared" si="0"/>
        <v>8</v>
      </c>
      <c r="G25" s="12">
        <v>0.14000000000000001</v>
      </c>
      <c r="H25" s="8">
        <f t="shared" si="1"/>
        <v>17.920000000000002</v>
      </c>
      <c r="I25" s="8"/>
    </row>
    <row r="26" spans="1:9">
      <c r="A26" s="11">
        <v>9988391</v>
      </c>
      <c r="B26" s="31" t="s">
        <v>19</v>
      </c>
      <c r="C26" s="13">
        <v>16</v>
      </c>
      <c r="D26" s="14">
        <v>112</v>
      </c>
      <c r="E26" s="14"/>
      <c r="F26" s="8">
        <f t="shared" si="0"/>
        <v>7</v>
      </c>
      <c r="G26" s="12">
        <v>0.14000000000000001</v>
      </c>
      <c r="H26" s="8">
        <f t="shared" si="1"/>
        <v>15.680000000000001</v>
      </c>
      <c r="I26" s="8"/>
    </row>
    <row r="27" spans="1:9">
      <c r="A27" s="11">
        <v>5034819</v>
      </c>
      <c r="B27" s="31" t="s">
        <v>20</v>
      </c>
      <c r="C27" s="13">
        <v>6</v>
      </c>
      <c r="D27" s="14">
        <v>30</v>
      </c>
      <c r="E27" s="14"/>
      <c r="F27" s="8">
        <f t="shared" si="0"/>
        <v>5</v>
      </c>
      <c r="G27" s="12">
        <v>0.18</v>
      </c>
      <c r="H27" s="8">
        <f t="shared" si="1"/>
        <v>5.3999999999999995</v>
      </c>
      <c r="I27" s="8"/>
    </row>
    <row r="28" spans="1:9">
      <c r="A28" s="11">
        <v>2981244</v>
      </c>
      <c r="B28" s="31" t="s">
        <v>21</v>
      </c>
      <c r="C28" s="13">
        <v>6</v>
      </c>
      <c r="D28" s="14"/>
      <c r="E28" s="14"/>
      <c r="F28" s="8">
        <f>E28/7.8</f>
        <v>0</v>
      </c>
      <c r="G28" s="12">
        <v>1.3</v>
      </c>
      <c r="H28" s="8">
        <f>E28</f>
        <v>0</v>
      </c>
      <c r="I28" s="8" t="s">
        <v>14</v>
      </c>
    </row>
    <row r="29" spans="1:9">
      <c r="A29" s="11">
        <v>8785198</v>
      </c>
      <c r="B29" s="31" t="s">
        <v>22</v>
      </c>
      <c r="C29" s="13">
        <v>5</v>
      </c>
      <c r="D29" s="14"/>
      <c r="E29" s="14">
        <v>49.5</v>
      </c>
      <c r="F29" s="8">
        <f>E29/16.5</f>
        <v>3</v>
      </c>
      <c r="G29" s="12">
        <v>3.2</v>
      </c>
      <c r="H29" s="8">
        <f>E29</f>
        <v>49.5</v>
      </c>
      <c r="I29" s="8" t="s">
        <v>13</v>
      </c>
    </row>
    <row r="30" spans="1:9">
      <c r="A30" s="11">
        <v>9988452</v>
      </c>
      <c r="B30" s="31" t="s">
        <v>23</v>
      </c>
      <c r="C30" s="13">
        <v>8</v>
      </c>
      <c r="D30" s="14">
        <v>16</v>
      </c>
      <c r="E30" s="14"/>
      <c r="F30" s="8">
        <f t="shared" ref="F30:F44" si="2">D30/C30</f>
        <v>2</v>
      </c>
      <c r="G30" s="12">
        <v>0.4</v>
      </c>
      <c r="H30" s="8">
        <f t="shared" ref="H30:H35" si="3">G30*D30</f>
        <v>6.4</v>
      </c>
      <c r="I30" s="8"/>
    </row>
    <row r="31" spans="1:9">
      <c r="A31" s="11">
        <v>9988476</v>
      </c>
      <c r="B31" s="31" t="s">
        <v>24</v>
      </c>
      <c r="C31" s="13">
        <v>28</v>
      </c>
      <c r="D31" s="14"/>
      <c r="E31" s="14"/>
      <c r="F31" s="8">
        <f t="shared" si="2"/>
        <v>0</v>
      </c>
      <c r="G31" s="12">
        <v>0.4</v>
      </c>
      <c r="H31" s="8">
        <f t="shared" si="3"/>
        <v>0</v>
      </c>
      <c r="I31" s="8"/>
    </row>
    <row r="32" spans="1:9">
      <c r="A32" s="11">
        <v>9988681</v>
      </c>
      <c r="B32" s="31" t="s">
        <v>32</v>
      </c>
      <c r="C32" s="13">
        <v>16</v>
      </c>
      <c r="D32" s="14">
        <v>80</v>
      </c>
      <c r="E32" s="14"/>
      <c r="F32" s="8">
        <f t="shared" si="2"/>
        <v>5</v>
      </c>
      <c r="G32" s="12">
        <v>0.18</v>
      </c>
      <c r="H32" s="8">
        <f t="shared" si="3"/>
        <v>14.399999999999999</v>
      </c>
      <c r="I32" s="8"/>
    </row>
    <row r="33" spans="1:9">
      <c r="A33" s="11">
        <v>9988438</v>
      </c>
      <c r="B33" s="31" t="s">
        <v>25</v>
      </c>
      <c r="C33" s="13">
        <v>16</v>
      </c>
      <c r="D33" s="14">
        <v>96</v>
      </c>
      <c r="E33" s="14"/>
      <c r="F33" s="8">
        <f t="shared" si="2"/>
        <v>6</v>
      </c>
      <c r="G33" s="12">
        <v>0.18</v>
      </c>
      <c r="H33" s="8">
        <f t="shared" si="3"/>
        <v>17.28</v>
      </c>
      <c r="I33" s="8"/>
    </row>
    <row r="34" spans="1:9">
      <c r="A34" s="11">
        <v>9988445</v>
      </c>
      <c r="B34" s="31" t="s">
        <v>26</v>
      </c>
      <c r="C34" s="13">
        <v>16</v>
      </c>
      <c r="D34" s="14"/>
      <c r="E34" s="14"/>
      <c r="F34" s="8">
        <f t="shared" si="2"/>
        <v>0</v>
      </c>
      <c r="G34" s="12">
        <v>0.18</v>
      </c>
      <c r="H34" s="8">
        <f t="shared" si="3"/>
        <v>0</v>
      </c>
      <c r="I34" s="8"/>
    </row>
    <row r="35" spans="1:9">
      <c r="A35" s="11">
        <v>9988421</v>
      </c>
      <c r="B35" s="31" t="s">
        <v>27</v>
      </c>
      <c r="C35" s="13">
        <v>16</v>
      </c>
      <c r="D35" s="14"/>
      <c r="E35" s="14"/>
      <c r="F35" s="8">
        <f t="shared" si="2"/>
        <v>0</v>
      </c>
      <c r="G35" s="12">
        <v>0.14000000000000001</v>
      </c>
      <c r="H35" s="8">
        <f t="shared" si="3"/>
        <v>0</v>
      </c>
      <c r="I35" s="8"/>
    </row>
    <row r="36" spans="1:9">
      <c r="A36" s="11">
        <v>9988674</v>
      </c>
      <c r="B36" s="31" t="s">
        <v>33</v>
      </c>
      <c r="C36" s="13">
        <v>16</v>
      </c>
      <c r="D36" s="14"/>
      <c r="E36" s="14"/>
      <c r="F36" s="8">
        <f t="shared" si="2"/>
        <v>0</v>
      </c>
      <c r="G36" s="12">
        <v>0.18</v>
      </c>
      <c r="H36" s="8">
        <f>D36*G36</f>
        <v>0</v>
      </c>
      <c r="I36" s="8"/>
    </row>
    <row r="37" spans="1:9">
      <c r="A37" s="32">
        <v>8444903</v>
      </c>
      <c r="B37" s="33" t="s">
        <v>44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D37*G37</f>
        <v>0</v>
      </c>
      <c r="I37" s="8"/>
    </row>
    <row r="38" spans="1:9">
      <c r="A38" s="32">
        <v>8444910</v>
      </c>
      <c r="B38" s="33" t="s">
        <v>45</v>
      </c>
      <c r="C38" s="13">
        <v>8</v>
      </c>
      <c r="D38" s="14"/>
      <c r="E38" s="14"/>
      <c r="F38" s="8">
        <f t="shared" si="2"/>
        <v>0</v>
      </c>
      <c r="G38" s="12">
        <v>0.1</v>
      </c>
      <c r="H38" s="8">
        <f>D38*G38</f>
        <v>0</v>
      </c>
      <c r="I38" s="8"/>
    </row>
    <row r="39" spans="1:9">
      <c r="A39" s="32">
        <v>8444927</v>
      </c>
      <c r="B39" s="33" t="s">
        <v>46</v>
      </c>
      <c r="C39" s="13">
        <v>8</v>
      </c>
      <c r="D39" s="14"/>
      <c r="E39" s="14"/>
      <c r="F39" s="8">
        <f t="shared" si="2"/>
        <v>0</v>
      </c>
      <c r="G39" s="12">
        <v>0.1</v>
      </c>
      <c r="H39" s="8">
        <f>D39*G39</f>
        <v>0</v>
      </c>
      <c r="I39" s="8"/>
    </row>
    <row r="40" spans="1:9" s="10" customFormat="1">
      <c r="A40" s="30">
        <v>8445160</v>
      </c>
      <c r="B40" s="34" t="s">
        <v>75</v>
      </c>
      <c r="C40" s="13">
        <v>8</v>
      </c>
      <c r="D40" s="14"/>
      <c r="E40" s="14"/>
      <c r="F40" s="8">
        <f t="shared" si="2"/>
        <v>0</v>
      </c>
      <c r="G40" s="12">
        <v>0.1</v>
      </c>
      <c r="H40" s="8">
        <f>G40*D40</f>
        <v>0</v>
      </c>
      <c r="I40" s="8"/>
    </row>
    <row r="41" spans="1:9" s="10" customFormat="1" ht="11.25" customHeight="1">
      <c r="A41" s="30">
        <v>8445177</v>
      </c>
      <c r="B41" s="34" t="s">
        <v>76</v>
      </c>
      <c r="C41" s="13">
        <v>8</v>
      </c>
      <c r="D41" s="14">
        <v>24</v>
      </c>
      <c r="E41" s="14"/>
      <c r="F41" s="8">
        <f t="shared" si="2"/>
        <v>3</v>
      </c>
      <c r="G41" s="12">
        <v>0.1</v>
      </c>
      <c r="H41" s="8">
        <f>G41*D41</f>
        <v>2.4000000000000004</v>
      </c>
      <c r="I41" s="8"/>
    </row>
    <row r="42" spans="1:9" s="15" customFormat="1">
      <c r="A42" s="32">
        <v>6600454</v>
      </c>
      <c r="B42" s="33" t="s">
        <v>49</v>
      </c>
      <c r="C42" s="35">
        <v>12</v>
      </c>
      <c r="D42" s="36"/>
      <c r="E42" s="14" t="s">
        <v>78</v>
      </c>
      <c r="F42" s="37">
        <f t="shared" si="2"/>
        <v>0</v>
      </c>
      <c r="G42" s="38">
        <v>0.125</v>
      </c>
      <c r="H42" s="37">
        <f>D42*G42</f>
        <v>0</v>
      </c>
      <c r="I42" s="37"/>
    </row>
    <row r="43" spans="1:9" s="15" customFormat="1">
      <c r="A43" s="32">
        <v>6600447</v>
      </c>
      <c r="B43" s="33" t="s">
        <v>48</v>
      </c>
      <c r="C43" s="35">
        <v>12</v>
      </c>
      <c r="D43" s="36"/>
      <c r="E43" s="14" t="s">
        <v>78</v>
      </c>
      <c r="F43" s="37">
        <f t="shared" si="2"/>
        <v>0</v>
      </c>
      <c r="G43" s="38">
        <v>0.125</v>
      </c>
      <c r="H43" s="37">
        <f>D43*G43</f>
        <v>0</v>
      </c>
      <c r="I43" s="37"/>
    </row>
    <row r="44" spans="1:9" s="15" customFormat="1">
      <c r="A44" s="11" t="s">
        <v>66</v>
      </c>
      <c r="B44" s="12" t="s">
        <v>67</v>
      </c>
      <c r="C44" s="13">
        <v>10</v>
      </c>
      <c r="D44" s="14">
        <v>150</v>
      </c>
      <c r="E44" s="14"/>
      <c r="F44" s="8">
        <f t="shared" si="2"/>
        <v>15</v>
      </c>
      <c r="G44" s="12">
        <v>0.2</v>
      </c>
      <c r="H44" s="8">
        <f>G44*D44</f>
        <v>30</v>
      </c>
      <c r="I44" s="8"/>
    </row>
    <row r="45" spans="1:9" s="15" customFormat="1">
      <c r="A45" s="11" t="s">
        <v>68</v>
      </c>
      <c r="B45" s="12" t="s">
        <v>69</v>
      </c>
      <c r="C45" s="13">
        <v>4</v>
      </c>
      <c r="D45" s="14"/>
      <c r="E45" s="14"/>
      <c r="F45" s="8">
        <f>E45/15</f>
        <v>0</v>
      </c>
      <c r="G45" s="12">
        <v>3.5</v>
      </c>
      <c r="H45" s="8">
        <f>E45</f>
        <v>0</v>
      </c>
      <c r="I45" s="8" t="s">
        <v>70</v>
      </c>
    </row>
    <row r="46" spans="1:9">
      <c r="A46" s="11" t="s">
        <v>71</v>
      </c>
      <c r="B46" s="12" t="s">
        <v>72</v>
      </c>
      <c r="C46" s="13">
        <v>10</v>
      </c>
      <c r="D46" s="14">
        <v>130</v>
      </c>
      <c r="E46" s="14"/>
      <c r="F46" s="8">
        <f>D46/C46</f>
        <v>13</v>
      </c>
      <c r="G46" s="12">
        <v>0.2</v>
      </c>
      <c r="H46" s="8">
        <f>G46*D46</f>
        <v>26</v>
      </c>
      <c r="I46" s="8"/>
    </row>
    <row r="47" spans="1:9">
      <c r="A47" s="11" t="s">
        <v>73</v>
      </c>
      <c r="B47" s="12" t="s">
        <v>74</v>
      </c>
      <c r="C47" s="13">
        <v>4</v>
      </c>
      <c r="D47" s="14"/>
      <c r="E47" s="14"/>
      <c r="F47" s="8">
        <f>E47/15</f>
        <v>0</v>
      </c>
      <c r="G47" s="12">
        <v>3.5</v>
      </c>
      <c r="H47" s="8">
        <f>E47</f>
        <v>0</v>
      </c>
      <c r="I47" s="8" t="s">
        <v>70</v>
      </c>
    </row>
    <row r="48" spans="1:9">
      <c r="A48" s="11">
        <v>7100108</v>
      </c>
      <c r="B48" s="31" t="s">
        <v>50</v>
      </c>
      <c r="C48" s="13">
        <v>12</v>
      </c>
      <c r="D48" s="14"/>
      <c r="E48" s="14"/>
      <c r="F48" s="8">
        <f>D48/C48</f>
        <v>0</v>
      </c>
      <c r="G48" s="12">
        <v>0.2</v>
      </c>
      <c r="H48" s="8">
        <f>D48*G48</f>
        <v>0</v>
      </c>
      <c r="I48" s="8"/>
    </row>
    <row r="49" spans="1:9">
      <c r="A49" s="11">
        <v>7100139</v>
      </c>
      <c r="B49" s="31" t="s">
        <v>51</v>
      </c>
      <c r="C49" s="13">
        <v>8</v>
      </c>
      <c r="D49" s="14"/>
      <c r="E49" s="14"/>
      <c r="F49" s="8">
        <f>E49/20</f>
        <v>0</v>
      </c>
      <c r="G49" s="12">
        <v>2.5</v>
      </c>
      <c r="H49" s="8">
        <f>E49</f>
        <v>0</v>
      </c>
      <c r="I49" s="8" t="s">
        <v>52</v>
      </c>
    </row>
    <row r="50" spans="1:9">
      <c r="A50" s="11">
        <v>7100740</v>
      </c>
      <c r="B50" s="31" t="s">
        <v>53</v>
      </c>
      <c r="C50" s="13">
        <v>12</v>
      </c>
      <c r="D50" s="14"/>
      <c r="E50" s="14"/>
      <c r="F50" s="8">
        <f>D50/C50</f>
        <v>0</v>
      </c>
      <c r="G50" s="12">
        <v>0.2</v>
      </c>
      <c r="H50" s="8">
        <f>D50*G50</f>
        <v>0</v>
      </c>
      <c r="I50" s="8"/>
    </row>
    <row r="51" spans="1:9">
      <c r="A51" s="11">
        <v>7100726</v>
      </c>
      <c r="B51" s="31" t="s">
        <v>54</v>
      </c>
      <c r="C51" s="13">
        <v>8</v>
      </c>
      <c r="D51" s="14"/>
      <c r="E51" s="14"/>
      <c r="F51" s="8">
        <f>E51/20</f>
        <v>0</v>
      </c>
      <c r="G51" s="12">
        <v>2.5</v>
      </c>
      <c r="H51" s="8">
        <f>E51</f>
        <v>0</v>
      </c>
      <c r="I51" s="8" t="s">
        <v>52</v>
      </c>
    </row>
    <row r="52" spans="1:9">
      <c r="A52" s="11">
        <v>4421584</v>
      </c>
      <c r="B52" s="31" t="s">
        <v>56</v>
      </c>
      <c r="C52" s="13">
        <v>12</v>
      </c>
      <c r="D52" s="14"/>
      <c r="E52" s="14"/>
      <c r="F52" s="8">
        <f>D52/C52</f>
        <v>0</v>
      </c>
      <c r="G52" s="12">
        <v>0.18</v>
      </c>
      <c r="H52" s="8">
        <f>G52*D52</f>
        <v>0</v>
      </c>
      <c r="I52" s="8"/>
    </row>
    <row r="53" spans="1:9">
      <c r="A53" s="11">
        <v>4421577</v>
      </c>
      <c r="B53" s="31" t="s">
        <v>55</v>
      </c>
      <c r="C53" s="13">
        <v>12</v>
      </c>
      <c r="D53" s="14"/>
      <c r="E53" s="14"/>
      <c r="F53" s="8">
        <f>D53/C53</f>
        <v>0</v>
      </c>
      <c r="G53" s="12">
        <v>0.18</v>
      </c>
      <c r="H53" s="8">
        <f>G53*D53</f>
        <v>0</v>
      </c>
      <c r="I53" s="8"/>
    </row>
    <row r="54" spans="1:9">
      <c r="A54" s="11">
        <v>9985949</v>
      </c>
      <c r="B54" s="31" t="s">
        <v>57</v>
      </c>
      <c r="C54" s="13">
        <v>10</v>
      </c>
      <c r="D54" s="14"/>
      <c r="E54" s="14"/>
      <c r="F54" s="8">
        <f>D54/C54</f>
        <v>0</v>
      </c>
      <c r="G54" s="39">
        <v>1</v>
      </c>
      <c r="H54" s="8">
        <f>G54*D54</f>
        <v>0</v>
      </c>
      <c r="I54" s="8"/>
    </row>
    <row r="55" spans="1:9">
      <c r="A55" s="11">
        <v>8786928</v>
      </c>
      <c r="B55" s="31" t="s">
        <v>58</v>
      </c>
      <c r="C55" s="13">
        <v>4</v>
      </c>
      <c r="D55" s="14"/>
      <c r="E55" s="14"/>
      <c r="F55" s="8">
        <f>E55/6</f>
        <v>0</v>
      </c>
      <c r="G55" s="12">
        <v>1.5</v>
      </c>
      <c r="H55" s="8">
        <f>E55</f>
        <v>0</v>
      </c>
      <c r="I55" s="8" t="s">
        <v>59</v>
      </c>
    </row>
    <row r="56" spans="1:9">
      <c r="A56" s="11">
        <v>6948270</v>
      </c>
      <c r="B56" s="31" t="s">
        <v>61</v>
      </c>
      <c r="C56" s="13">
        <v>12</v>
      </c>
      <c r="D56" s="14">
        <v>12</v>
      </c>
      <c r="E56" s="14"/>
      <c r="F56" s="8">
        <f>D56/C56</f>
        <v>1</v>
      </c>
      <c r="G56" s="12">
        <v>0.372</v>
      </c>
      <c r="H56" s="8">
        <f>G56*D56</f>
        <v>4.4640000000000004</v>
      </c>
      <c r="I56" s="8"/>
    </row>
    <row r="57" spans="1:9">
      <c r="A57" s="11">
        <v>6948287</v>
      </c>
      <c r="B57" s="31" t="s">
        <v>62</v>
      </c>
      <c r="C57" s="13">
        <v>12</v>
      </c>
      <c r="D57" s="14">
        <v>432</v>
      </c>
      <c r="E57" s="14"/>
      <c r="F57" s="8">
        <f>D57/C57</f>
        <v>36</v>
      </c>
      <c r="G57" s="12">
        <v>0.74399999999999999</v>
      </c>
      <c r="H57" s="8">
        <f>G57*D57</f>
        <v>321.40800000000002</v>
      </c>
      <c r="I57" s="8"/>
    </row>
    <row r="58" spans="1:9">
      <c r="A58" s="11">
        <v>6948256</v>
      </c>
      <c r="B58" s="31" t="s">
        <v>63</v>
      </c>
      <c r="C58" s="13">
        <v>12</v>
      </c>
      <c r="D58" s="14">
        <v>360</v>
      </c>
      <c r="E58" s="14"/>
      <c r="F58" s="8">
        <f>D58/C58</f>
        <v>30</v>
      </c>
      <c r="G58" s="12">
        <v>0.372</v>
      </c>
      <c r="H58" s="8">
        <f>G58*D58</f>
        <v>133.91999999999999</v>
      </c>
      <c r="I58" s="8"/>
    </row>
    <row r="59" spans="1:9">
      <c r="A59" s="11">
        <v>6948263</v>
      </c>
      <c r="B59" s="31" t="s">
        <v>64</v>
      </c>
      <c r="C59" s="13">
        <v>12</v>
      </c>
      <c r="D59" s="14">
        <v>36</v>
      </c>
      <c r="E59" s="14"/>
      <c r="F59" s="8">
        <f>D59/C59</f>
        <v>3</v>
      </c>
      <c r="G59" s="12">
        <v>0.74399999999999999</v>
      </c>
      <c r="H59" s="8">
        <f>G59*D59</f>
        <v>26.783999999999999</v>
      </c>
      <c r="I59" s="8"/>
    </row>
    <row r="60" spans="1:9">
      <c r="A60" s="11">
        <v>6948249</v>
      </c>
      <c r="B60" s="31" t="s">
        <v>65</v>
      </c>
      <c r="C60" s="13">
        <v>12</v>
      </c>
      <c r="D60" s="14"/>
      <c r="E60" s="14"/>
      <c r="F60" s="8">
        <f>D60/C60</f>
        <v>0</v>
      </c>
      <c r="G60" s="12">
        <v>0.82499999999999996</v>
      </c>
      <c r="H60" s="8">
        <f>G60*D60</f>
        <v>0</v>
      </c>
      <c r="I60" s="8"/>
    </row>
    <row r="61" spans="1:9">
      <c r="A61" s="8"/>
      <c r="B61" s="12" t="s">
        <v>12</v>
      </c>
      <c r="C61" s="8"/>
      <c r="D61" s="14"/>
      <c r="E61" s="14"/>
      <c r="F61" s="8"/>
      <c r="G61" s="8"/>
      <c r="H61" s="31">
        <f>SUM(H4:H60)</f>
        <v>753.35599999999999</v>
      </c>
      <c r="I61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2026-07-08T14:01:10Z</dcterms:modified>
</cp:coreProperties>
</file>