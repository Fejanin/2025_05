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FEAC2CA-E50E-4FC5-8642-5BF0F9AC5D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Sheet!$A$3:$AB$58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11" i="1"/>
  <c r="R12" i="1"/>
  <c r="R13" i="1"/>
  <c r="R14" i="1"/>
  <c r="R17" i="1"/>
  <c r="R18" i="1"/>
  <c r="R21" i="1"/>
  <c r="R33" i="1"/>
  <c r="R37" i="1"/>
  <c r="R44" i="1"/>
  <c r="R49" i="1"/>
  <c r="R51" i="1"/>
  <c r="R57" i="1"/>
  <c r="R58" i="1"/>
  <c r="R5" i="1"/>
  <c r="P58" i="1" l="1"/>
  <c r="L58" i="1"/>
  <c r="P57" i="1"/>
  <c r="L57" i="1"/>
  <c r="F56" i="1"/>
  <c r="E56" i="1"/>
  <c r="P56" i="1" s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Q49" i="1" s="1"/>
  <c r="L49" i="1"/>
  <c r="P48" i="1"/>
  <c r="S48" i="1" s="1"/>
  <c r="L48" i="1"/>
  <c r="P47" i="1"/>
  <c r="L47" i="1"/>
  <c r="P46" i="1"/>
  <c r="L46" i="1"/>
  <c r="F45" i="1"/>
  <c r="E45" i="1"/>
  <c r="P45" i="1" s="1"/>
  <c r="P44" i="1"/>
  <c r="L44" i="1"/>
  <c r="P43" i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F38" i="1"/>
  <c r="E38" i="1"/>
  <c r="L38" i="1" s="1"/>
  <c r="F37" i="1"/>
  <c r="E37" i="1"/>
  <c r="P37" i="1" s="1"/>
  <c r="F36" i="1"/>
  <c r="E36" i="1"/>
  <c r="L36" i="1" s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T28" i="1" s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T19" i="1" s="1"/>
  <c r="L19" i="1"/>
  <c r="P18" i="1"/>
  <c r="Q18" i="1" s="1"/>
  <c r="AB18" i="1" s="1"/>
  <c r="L18" i="1"/>
  <c r="P17" i="1"/>
  <c r="L17" i="1"/>
  <c r="P16" i="1"/>
  <c r="T16" i="1" s="1"/>
  <c r="L16" i="1"/>
  <c r="P15" i="1"/>
  <c r="L15" i="1"/>
  <c r="P14" i="1"/>
  <c r="T14" i="1" s="1"/>
  <c r="L14" i="1"/>
  <c r="P13" i="1"/>
  <c r="L13" i="1"/>
  <c r="P12" i="1"/>
  <c r="T12" i="1" s="1"/>
  <c r="L12" i="1"/>
  <c r="P11" i="1"/>
  <c r="L11" i="1"/>
  <c r="P10" i="1"/>
  <c r="L10" i="1"/>
  <c r="P9" i="1"/>
  <c r="L9" i="1"/>
  <c r="P8" i="1"/>
  <c r="L8" i="1"/>
  <c r="P7" i="1"/>
  <c r="L7" i="1"/>
  <c r="F6" i="1"/>
  <c r="E6" i="1"/>
  <c r="L6" i="1" s="1"/>
  <c r="Z5" i="1"/>
  <c r="Y5" i="1"/>
  <c r="X5" i="1"/>
  <c r="W5" i="1"/>
  <c r="V5" i="1"/>
  <c r="U5" i="1"/>
  <c r="O5" i="1"/>
  <c r="N5" i="1"/>
  <c r="M5" i="1"/>
  <c r="K5" i="1"/>
  <c r="F5" i="1"/>
  <c r="S40" i="1" l="1"/>
  <c r="T7" i="1"/>
  <c r="AB8" i="1"/>
  <c r="AB10" i="1"/>
  <c r="T20" i="1"/>
  <c r="Q21" i="1"/>
  <c r="AB21" i="1" s="1"/>
  <c r="AB23" i="1"/>
  <c r="T26" i="1"/>
  <c r="AB26" i="1"/>
  <c r="AB30" i="1"/>
  <c r="T33" i="1"/>
  <c r="Q33" i="1"/>
  <c r="AB33" i="1" s="1"/>
  <c r="T35" i="1"/>
  <c r="Q37" i="1"/>
  <c r="AB37" i="1" s="1"/>
  <c r="Q44" i="1"/>
  <c r="AB44" i="1" s="1"/>
  <c r="AB45" i="1"/>
  <c r="AB46" i="1"/>
  <c r="T50" i="1"/>
  <c r="AB50" i="1"/>
  <c r="T52" i="1"/>
  <c r="AB53" i="1"/>
  <c r="AB55" i="1"/>
  <c r="AB56" i="1"/>
  <c r="Q57" i="1"/>
  <c r="S57" i="1" s="1"/>
  <c r="Q58" i="1"/>
  <c r="AB58" i="1" s="1"/>
  <c r="T9" i="1"/>
  <c r="Q9" i="1"/>
  <c r="AB9" i="1" s="1"/>
  <c r="T11" i="1"/>
  <c r="Q11" i="1"/>
  <c r="Q12" i="1"/>
  <c r="AB12" i="1" s="1"/>
  <c r="T13" i="1"/>
  <c r="Q13" i="1"/>
  <c r="Q14" i="1"/>
  <c r="AB14" i="1" s="1"/>
  <c r="T15" i="1"/>
  <c r="AB16" i="1"/>
  <c r="T17" i="1"/>
  <c r="Q17" i="1"/>
  <c r="T22" i="1"/>
  <c r="AB22" i="1"/>
  <c r="T24" i="1"/>
  <c r="AB25" i="1"/>
  <c r="AB27" i="1"/>
  <c r="S28" i="1"/>
  <c r="T29" i="1"/>
  <c r="AB29" i="1"/>
  <c r="T31" i="1"/>
  <c r="S32" i="1"/>
  <c r="AB32" i="1"/>
  <c r="S34" i="1"/>
  <c r="AB34" i="1"/>
  <c r="S42" i="1"/>
  <c r="T43" i="1"/>
  <c r="AB43" i="1"/>
  <c r="T47" i="1"/>
  <c r="AB49" i="1"/>
  <c r="Q51" i="1"/>
  <c r="AB51" i="1" s="1"/>
  <c r="T54" i="1"/>
  <c r="AB54" i="1"/>
  <c r="P6" i="1"/>
  <c r="P36" i="1"/>
  <c r="S6" i="1"/>
  <c r="S19" i="1"/>
  <c r="S26" i="1"/>
  <c r="S29" i="1"/>
  <c r="P38" i="1"/>
  <c r="S39" i="1"/>
  <c r="S41" i="1"/>
  <c r="S43" i="1"/>
  <c r="S54" i="1"/>
  <c r="T8" i="1"/>
  <c r="T10" i="1"/>
  <c r="S18" i="1"/>
  <c r="T18" i="1"/>
  <c r="T37" i="1"/>
  <c r="T45" i="1"/>
  <c r="T56" i="1"/>
  <c r="T21" i="1"/>
  <c r="T23" i="1"/>
  <c r="T25" i="1"/>
  <c r="T27" i="1"/>
  <c r="T30" i="1"/>
  <c r="T32" i="1"/>
  <c r="T34" i="1"/>
  <c r="L37" i="1"/>
  <c r="T44" i="1"/>
  <c r="L45" i="1"/>
  <c r="T46" i="1"/>
  <c r="T48" i="1"/>
  <c r="T49" i="1"/>
  <c r="T51" i="1"/>
  <c r="T53" i="1"/>
  <c r="T55" i="1"/>
  <c r="L56" i="1"/>
  <c r="T57" i="1"/>
  <c r="T58" i="1"/>
  <c r="E5" i="1"/>
  <c r="S33" i="1" l="1"/>
  <c r="AB6" i="1"/>
  <c r="AB47" i="1"/>
  <c r="S47" i="1"/>
  <c r="AB24" i="1"/>
  <c r="S24" i="1"/>
  <c r="AB17" i="1"/>
  <c r="S17" i="1"/>
  <c r="AB15" i="1"/>
  <c r="S15" i="1"/>
  <c r="AB13" i="1"/>
  <c r="S13" i="1"/>
  <c r="AB11" i="1"/>
  <c r="S11" i="1"/>
  <c r="S52" i="1"/>
  <c r="AB52" i="1"/>
  <c r="S35" i="1"/>
  <c r="AB35" i="1"/>
  <c r="S20" i="1"/>
  <c r="AB20" i="1"/>
  <c r="S7" i="1"/>
  <c r="AB7" i="1"/>
  <c r="T6" i="1"/>
  <c r="S50" i="1"/>
  <c r="AB38" i="1"/>
  <c r="S22" i="1"/>
  <c r="S9" i="1"/>
  <c r="AB36" i="1"/>
  <c r="S51" i="1"/>
  <c r="S49" i="1"/>
  <c r="AB31" i="1"/>
  <c r="S31" i="1"/>
  <c r="S27" i="1"/>
  <c r="S25" i="1"/>
  <c r="S16" i="1"/>
  <c r="S14" i="1"/>
  <c r="S12" i="1"/>
  <c r="S58" i="1"/>
  <c r="S56" i="1"/>
  <c r="S55" i="1"/>
  <c r="S53" i="1"/>
  <c r="S46" i="1"/>
  <c r="S45" i="1"/>
  <c r="S44" i="1"/>
  <c r="S37" i="1"/>
  <c r="S30" i="1"/>
  <c r="S23" i="1"/>
  <c r="S21" i="1"/>
  <c r="S10" i="1"/>
  <c r="S8" i="1"/>
  <c r="T38" i="1"/>
  <c r="T36" i="1"/>
  <c r="P5" i="1"/>
  <c r="L5" i="1"/>
  <c r="AB5" i="1" l="1"/>
  <c r="S36" i="1"/>
  <c r="S38" i="1"/>
  <c r="Q5" i="1"/>
</calcChain>
</file>

<file path=xl/sharedStrings.xml><?xml version="1.0" encoding="utf-8"?>
<sst xmlns="http://schemas.openxmlformats.org/spreadsheetml/2006/main" count="194" uniqueCount="91">
  <si>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</si>
  <si>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</si>
  <si>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</si>
  <si>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</si>
  <si>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</si>
  <si>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</si>
  <si>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</si>
  <si>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</si>
  <si>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</si>
  <si>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</si>
  <si>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</si>
  <si>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</si>
  <si>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</si>
  <si>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</si>
  <si>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</si>
  <si>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</si>
  <si>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</si>
  <si>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</si>
  <si>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</si>
  <si>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</si>
  <si>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</si>
  <si>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</si>
  <si>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</si>
  <si>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</si>
  <si>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</si>
  <si>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</si>
  <si>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</si>
  <si>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</si>
  <si>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</si>
  <si>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</si>
  <si>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</si>
  <si>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</si>
  <si>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</si>
  <si>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</si>
  <si>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</si>
  <si>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</si>
  <si>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</si>
  <si>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</si>
  <si>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</si>
  <si>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</si>
  <si>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</si>
  <si>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</si>
  <si>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</si>
  <si>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</si>
  <si>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</si>
  <si>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</si>
  <si>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</si>
  <si>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</si>
  <si>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</si>
  <si>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</si>
  <si>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</si>
  <si>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</si>
  <si>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</si>
  <si>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</si>
  <si>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</si>
  <si>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</si>
  <si>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</si>
  <si>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дубль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</si>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</sst>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12" sqref="AM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2851562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6" width="6" customWidth="1"/>
    <col min="27" max="27" width="43.85546875" customWidth="1"/>
    <col min="28" max="28" width="7" customWidth="1"/>
    <col min="29" max="49" width="3" customWidth="1"/>
  </cols>
  <sheetData>
    <row r="1" spans="1:49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88</v>
      </c>
      <c r="R3" s="2" t="s">
        <v>89</v>
      </c>
      <c r="S3" s="1" t="s">
        <v>16</v>
      </c>
      <c r="T3" s="1" t="s">
        <v>17</v>
      </c>
      <c r="U3" s="1" t="s">
        <v>18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19</v>
      </c>
      <c r="AB3" s="1" t="s">
        <v>20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21</v>
      </c>
      <c r="P4" s="9" t="s">
        <v>22</v>
      </c>
      <c r="Q4" s="9"/>
      <c r="R4" s="9" t="s">
        <v>90</v>
      </c>
      <c r="S4" s="9"/>
      <c r="T4" s="9"/>
      <c r="U4" s="9" t="s">
        <v>23</v>
      </c>
      <c r="V4" s="9" t="s">
        <v>24</v>
      </c>
      <c r="W4" s="9" t="s">
        <v>25</v>
      </c>
      <c r="X4" s="9" t="s">
        <v>26</v>
      </c>
      <c r="Y4" s="9" t="s">
        <v>27</v>
      </c>
      <c r="Z4" s="9" t="s">
        <v>28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x14ac:dyDescent="0.25">
      <c r="A5" s="9"/>
      <c r="B5" s="9"/>
      <c r="C5" s="9"/>
      <c r="D5" s="9"/>
      <c r="E5" s="3">
        <f>SUM(E6:E500)</f>
        <v>4216.7960000000003</v>
      </c>
      <c r="F5" s="3">
        <f>SUM(F6:F500)</f>
        <v>11893.195000000002</v>
      </c>
      <c r="G5" s="6"/>
      <c r="H5" s="9"/>
      <c r="I5" s="9"/>
      <c r="J5" s="9"/>
      <c r="K5" s="3">
        <f t="shared" ref="K5:R5" si="0">SUM(K6:K500)</f>
        <v>5048.1360000000004</v>
      </c>
      <c r="L5" s="3">
        <f t="shared" si="0"/>
        <v>-831.34</v>
      </c>
      <c r="M5" s="3">
        <f t="shared" si="0"/>
        <v>0</v>
      </c>
      <c r="N5" s="3">
        <f t="shared" si="0"/>
        <v>0</v>
      </c>
      <c r="O5" s="3">
        <f t="shared" si="0"/>
        <v>4890</v>
      </c>
      <c r="P5" s="3">
        <f t="shared" si="0"/>
        <v>843.3592000000001</v>
      </c>
      <c r="Q5" s="3">
        <f t="shared" si="0"/>
        <v>4175.2442000000001</v>
      </c>
      <c r="R5" s="3">
        <f t="shared" si="0"/>
        <v>4177</v>
      </c>
      <c r="S5" s="9"/>
      <c r="T5" s="9"/>
      <c r="U5" s="3">
        <f t="shared" ref="U5:Z5" si="1">SUM(U6:U500)</f>
        <v>765.10399999999993</v>
      </c>
      <c r="V5" s="3">
        <f t="shared" si="1"/>
        <v>655.50919999999996</v>
      </c>
      <c r="W5" s="3">
        <f t="shared" si="1"/>
        <v>702.91539999999986</v>
      </c>
      <c r="X5" s="3">
        <f t="shared" si="1"/>
        <v>878.79880000000003</v>
      </c>
      <c r="Y5" s="3">
        <f t="shared" si="1"/>
        <v>528.02279999999996</v>
      </c>
      <c r="Z5" s="3">
        <f t="shared" si="1"/>
        <v>881.30419999999981</v>
      </c>
      <c r="AA5" s="9"/>
      <c r="AB5" s="3">
        <f>SUM(AB6:AB500)</f>
        <v>1662.0442000000003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25">
      <c r="A6" s="9" t="s">
        <v>29</v>
      </c>
      <c r="B6" s="9" t="s">
        <v>30</v>
      </c>
      <c r="C6" s="9">
        <v>241.624</v>
      </c>
      <c r="D6" s="9">
        <v>116.008</v>
      </c>
      <c r="E6" s="14">
        <f>66.038+E28+E48</f>
        <v>68.161999999999992</v>
      </c>
      <c r="F6" s="14">
        <f>278.288+F28+F48</f>
        <v>272.548</v>
      </c>
      <c r="G6" s="6">
        <v>1</v>
      </c>
      <c r="H6" s="9"/>
      <c r="I6" s="9"/>
      <c r="J6" s="9"/>
      <c r="K6" s="9">
        <v>75.930000000000007</v>
      </c>
      <c r="L6" s="9">
        <f t="shared" ref="L6:L37" si="2">E6-K6</f>
        <v>-7.7680000000000149</v>
      </c>
      <c r="M6" s="9"/>
      <c r="N6" s="9"/>
      <c r="O6" s="9"/>
      <c r="P6" s="9">
        <f t="shared" ref="P6:P37" si="3">E6/5</f>
        <v>13.632399999999999</v>
      </c>
      <c r="Q6" s="4"/>
      <c r="R6" s="4"/>
      <c r="S6" s="9">
        <f t="shared" ref="S6:S37" si="4">(F6+O6+Q6)/P6</f>
        <v>19.992664534491361</v>
      </c>
      <c r="T6" s="9">
        <f t="shared" ref="T6:T37" si="5">(F6+O6)/P6</f>
        <v>19.992664534491361</v>
      </c>
      <c r="U6" s="9">
        <v>9.0015999999999998</v>
      </c>
      <c r="V6" s="9">
        <v>20.434799999999999</v>
      </c>
      <c r="W6" s="9">
        <v>20.461600000000001</v>
      </c>
      <c r="X6" s="9">
        <v>14.24</v>
      </c>
      <c r="Y6" s="9">
        <v>16.459399999999999</v>
      </c>
      <c r="Z6" s="9">
        <v>5.8540000000000001</v>
      </c>
      <c r="AA6" s="15" t="s">
        <v>31</v>
      </c>
      <c r="AB6" s="9">
        <f t="shared" ref="AB6:AB18" si="6">G6*Q6</f>
        <v>0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x14ac:dyDescent="0.25">
      <c r="A7" s="9" t="s">
        <v>32</v>
      </c>
      <c r="B7" s="9" t="s">
        <v>33</v>
      </c>
      <c r="C7" s="9">
        <v>191</v>
      </c>
      <c r="D7" s="9">
        <v>168</v>
      </c>
      <c r="E7" s="9">
        <v>23</v>
      </c>
      <c r="F7" s="9">
        <v>324</v>
      </c>
      <c r="G7" s="6">
        <v>0.18</v>
      </c>
      <c r="H7" s="9"/>
      <c r="I7" s="9"/>
      <c r="J7" s="9"/>
      <c r="K7" s="9">
        <v>33</v>
      </c>
      <c r="L7" s="9">
        <f t="shared" si="2"/>
        <v>-10</v>
      </c>
      <c r="M7" s="9"/>
      <c r="N7" s="9"/>
      <c r="O7" s="9"/>
      <c r="P7" s="9">
        <f t="shared" si="3"/>
        <v>4.5999999999999996</v>
      </c>
      <c r="Q7" s="4"/>
      <c r="R7" s="4"/>
      <c r="S7" s="9">
        <f t="shared" si="4"/>
        <v>70.434782608695656</v>
      </c>
      <c r="T7" s="9">
        <f t="shared" si="5"/>
        <v>70.434782608695656</v>
      </c>
      <c r="U7" s="9">
        <v>6.8</v>
      </c>
      <c r="V7" s="9">
        <v>6.6</v>
      </c>
      <c r="W7" s="9">
        <v>7.4</v>
      </c>
      <c r="X7" s="9">
        <v>1</v>
      </c>
      <c r="Y7" s="9">
        <v>0</v>
      </c>
      <c r="Z7" s="9">
        <v>62</v>
      </c>
      <c r="AA7" s="16" t="s">
        <v>37</v>
      </c>
      <c r="AB7" s="9">
        <f t="shared" si="6"/>
        <v>0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25">
      <c r="A8" s="9" t="s">
        <v>34</v>
      </c>
      <c r="B8" s="9" t="s">
        <v>33</v>
      </c>
      <c r="C8" s="9">
        <v>228</v>
      </c>
      <c r="D8" s="9">
        <v>156</v>
      </c>
      <c r="E8" s="9">
        <v>36</v>
      </c>
      <c r="F8" s="9">
        <v>339</v>
      </c>
      <c r="G8" s="6">
        <v>0.18</v>
      </c>
      <c r="H8" s="9"/>
      <c r="I8" s="9"/>
      <c r="J8" s="9"/>
      <c r="K8" s="9">
        <v>45</v>
      </c>
      <c r="L8" s="9">
        <f t="shared" si="2"/>
        <v>-9</v>
      </c>
      <c r="M8" s="9"/>
      <c r="N8" s="9"/>
      <c r="O8" s="9"/>
      <c r="P8" s="9">
        <f t="shared" si="3"/>
        <v>7.2</v>
      </c>
      <c r="Q8" s="4"/>
      <c r="R8" s="4"/>
      <c r="S8" s="9">
        <f t="shared" si="4"/>
        <v>47.083333333333336</v>
      </c>
      <c r="T8" s="9">
        <f t="shared" si="5"/>
        <v>47.083333333333336</v>
      </c>
      <c r="U8" s="9">
        <v>8</v>
      </c>
      <c r="V8" s="9">
        <v>4.4000000000000004</v>
      </c>
      <c r="W8" s="9">
        <v>11.2</v>
      </c>
      <c r="X8" s="9">
        <v>9.1999999999999993</v>
      </c>
      <c r="Y8" s="9">
        <v>5.6</v>
      </c>
      <c r="Z8" s="9">
        <v>81</v>
      </c>
      <c r="AA8" s="16" t="s">
        <v>37</v>
      </c>
      <c r="AB8" s="9">
        <f t="shared" si="6"/>
        <v>0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x14ac:dyDescent="0.25">
      <c r="A9" s="9" t="s">
        <v>35</v>
      </c>
      <c r="B9" s="9" t="s">
        <v>30</v>
      </c>
      <c r="C9" s="9">
        <v>50.47</v>
      </c>
      <c r="D9" s="9">
        <v>3.3039999999999998</v>
      </c>
      <c r="E9" s="9">
        <v>30.588000000000001</v>
      </c>
      <c r="F9" s="9">
        <v>23.186</v>
      </c>
      <c r="G9" s="6">
        <v>1</v>
      </c>
      <c r="H9" s="9"/>
      <c r="I9" s="9"/>
      <c r="J9" s="9"/>
      <c r="K9" s="9">
        <v>30</v>
      </c>
      <c r="L9" s="9">
        <f t="shared" si="2"/>
        <v>0.58800000000000097</v>
      </c>
      <c r="M9" s="9"/>
      <c r="N9" s="9"/>
      <c r="O9" s="9">
        <v>66</v>
      </c>
      <c r="P9" s="9">
        <f t="shared" si="3"/>
        <v>6.1176000000000004</v>
      </c>
      <c r="Q9" s="4">
        <f t="shared" ref="Q9:Q18" si="7">20*P9-O9-F9</f>
        <v>33.166000000000004</v>
      </c>
      <c r="R9" s="4">
        <f>VLOOKUP(A9,заказ!A:B,2,0)</f>
        <v>33</v>
      </c>
      <c r="S9" s="9">
        <f t="shared" si="4"/>
        <v>20</v>
      </c>
      <c r="T9" s="9">
        <f t="shared" si="5"/>
        <v>14.578592912253171</v>
      </c>
      <c r="U9" s="9">
        <v>5.7628000000000004</v>
      </c>
      <c r="V9" s="9">
        <v>5.9207999999999998</v>
      </c>
      <c r="W9" s="9">
        <v>6.5167999999999999</v>
      </c>
      <c r="X9" s="9">
        <v>0.61439999999999995</v>
      </c>
      <c r="Y9" s="9">
        <v>0</v>
      </c>
      <c r="Z9" s="9">
        <v>0</v>
      </c>
      <c r="AA9" s="9"/>
      <c r="AB9" s="9">
        <f t="shared" si="6"/>
        <v>33.166000000000004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25">
      <c r="A10" s="9" t="s">
        <v>36</v>
      </c>
      <c r="B10" s="9" t="s">
        <v>33</v>
      </c>
      <c r="C10" s="9">
        <v>160</v>
      </c>
      <c r="D10" s="9"/>
      <c r="E10" s="9">
        <v>14</v>
      </c>
      <c r="F10" s="9">
        <v>146</v>
      </c>
      <c r="G10" s="6">
        <v>0.82450000000000001</v>
      </c>
      <c r="H10" s="9">
        <v>180</v>
      </c>
      <c r="I10" s="9"/>
      <c r="J10" s="9"/>
      <c r="K10" s="9">
        <v>12</v>
      </c>
      <c r="L10" s="9">
        <f t="shared" si="2"/>
        <v>2</v>
      </c>
      <c r="M10" s="9"/>
      <c r="N10" s="9"/>
      <c r="O10" s="9"/>
      <c r="P10" s="9">
        <f t="shared" si="3"/>
        <v>2.8</v>
      </c>
      <c r="Q10" s="4"/>
      <c r="R10" s="4"/>
      <c r="S10" s="9">
        <f t="shared" si="4"/>
        <v>52.142857142857146</v>
      </c>
      <c r="T10" s="9">
        <f t="shared" si="5"/>
        <v>52.142857142857146</v>
      </c>
      <c r="U10" s="9">
        <v>3.8</v>
      </c>
      <c r="V10" s="9">
        <v>1.6</v>
      </c>
      <c r="W10" s="9">
        <v>3.8</v>
      </c>
      <c r="X10" s="9">
        <v>2.2000000000000002</v>
      </c>
      <c r="Y10" s="9">
        <v>1</v>
      </c>
      <c r="Z10" s="9">
        <v>7.6</v>
      </c>
      <c r="AA10" s="16" t="s">
        <v>37</v>
      </c>
      <c r="AB10" s="9">
        <f t="shared" si="6"/>
        <v>0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x14ac:dyDescent="0.25">
      <c r="A11" s="9" t="s">
        <v>38</v>
      </c>
      <c r="B11" s="9" t="s">
        <v>33</v>
      </c>
      <c r="C11" s="9">
        <v>516</v>
      </c>
      <c r="D11" s="9">
        <v>9</v>
      </c>
      <c r="E11" s="9">
        <v>203</v>
      </c>
      <c r="F11" s="9">
        <v>315</v>
      </c>
      <c r="G11" s="6">
        <v>0.372</v>
      </c>
      <c r="H11" s="9">
        <v>180</v>
      </c>
      <c r="I11" s="9"/>
      <c r="J11" s="9"/>
      <c r="K11" s="9">
        <v>209</v>
      </c>
      <c r="L11" s="9">
        <f t="shared" si="2"/>
        <v>-6</v>
      </c>
      <c r="M11" s="9"/>
      <c r="N11" s="9"/>
      <c r="O11" s="9">
        <v>72</v>
      </c>
      <c r="P11" s="9">
        <f t="shared" si="3"/>
        <v>40.6</v>
      </c>
      <c r="Q11" s="4">
        <f t="shared" si="7"/>
        <v>425</v>
      </c>
      <c r="R11" s="4">
        <f>VLOOKUP(A11,заказ!A:B,2,0)</f>
        <v>420</v>
      </c>
      <c r="S11" s="9">
        <f t="shared" si="4"/>
        <v>20</v>
      </c>
      <c r="T11" s="9">
        <f t="shared" si="5"/>
        <v>9.5320197044334964</v>
      </c>
      <c r="U11" s="9">
        <v>29.2</v>
      </c>
      <c r="V11" s="9">
        <v>21</v>
      </c>
      <c r="W11" s="9">
        <v>20.6</v>
      </c>
      <c r="X11" s="9">
        <v>44.4</v>
      </c>
      <c r="Y11" s="9">
        <v>21.8</v>
      </c>
      <c r="Z11" s="9">
        <v>32.200000000000003</v>
      </c>
      <c r="AA11" s="9"/>
      <c r="AB11" s="9">
        <f t="shared" si="6"/>
        <v>158.1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25">
      <c r="A12" s="9" t="s">
        <v>39</v>
      </c>
      <c r="B12" s="9" t="s">
        <v>33</v>
      </c>
      <c r="C12" s="9">
        <v>180</v>
      </c>
      <c r="D12" s="9">
        <v>105</v>
      </c>
      <c r="E12" s="9">
        <v>151</v>
      </c>
      <c r="F12" s="9">
        <v>127</v>
      </c>
      <c r="G12" s="6">
        <v>0.74399999999999999</v>
      </c>
      <c r="H12" s="9">
        <v>180</v>
      </c>
      <c r="I12" s="9"/>
      <c r="J12" s="9"/>
      <c r="K12" s="9">
        <v>158</v>
      </c>
      <c r="L12" s="9">
        <f t="shared" si="2"/>
        <v>-7</v>
      </c>
      <c r="M12" s="9"/>
      <c r="N12" s="9"/>
      <c r="O12" s="9">
        <v>204</v>
      </c>
      <c r="P12" s="9">
        <f t="shared" si="3"/>
        <v>30.2</v>
      </c>
      <c r="Q12" s="4">
        <f t="shared" si="7"/>
        <v>273</v>
      </c>
      <c r="R12" s="4">
        <f>VLOOKUP(A12,заказ!A:B,2,0)</f>
        <v>276</v>
      </c>
      <c r="S12" s="9">
        <f t="shared" si="4"/>
        <v>20</v>
      </c>
      <c r="T12" s="9">
        <f t="shared" si="5"/>
        <v>10.960264900662253</v>
      </c>
      <c r="U12" s="9">
        <v>24</v>
      </c>
      <c r="V12" s="9">
        <v>20</v>
      </c>
      <c r="W12" s="9">
        <v>19</v>
      </c>
      <c r="X12" s="9">
        <v>23.4</v>
      </c>
      <c r="Y12" s="9">
        <v>21.2</v>
      </c>
      <c r="Z12" s="9">
        <v>6.2</v>
      </c>
      <c r="AA12" s="9"/>
      <c r="AB12" s="9">
        <f t="shared" si="6"/>
        <v>203.11199999999999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x14ac:dyDescent="0.25">
      <c r="A13" s="9" t="s">
        <v>40</v>
      </c>
      <c r="B13" s="9" t="s">
        <v>33</v>
      </c>
      <c r="C13" s="9">
        <v>596</v>
      </c>
      <c r="D13" s="9">
        <v>45</v>
      </c>
      <c r="E13" s="9">
        <v>419</v>
      </c>
      <c r="F13" s="9">
        <v>204</v>
      </c>
      <c r="G13" s="6">
        <v>0.372</v>
      </c>
      <c r="H13" s="9">
        <v>180</v>
      </c>
      <c r="I13" s="9"/>
      <c r="J13" s="9"/>
      <c r="K13" s="9">
        <v>422</v>
      </c>
      <c r="L13" s="9">
        <f t="shared" si="2"/>
        <v>-3</v>
      </c>
      <c r="M13" s="9"/>
      <c r="N13" s="9"/>
      <c r="O13" s="9">
        <v>804</v>
      </c>
      <c r="P13" s="9">
        <f t="shared" si="3"/>
        <v>83.8</v>
      </c>
      <c r="Q13" s="4">
        <f t="shared" si="7"/>
        <v>668</v>
      </c>
      <c r="R13" s="4">
        <f>VLOOKUP(A13,заказ!A:B,2,0)</f>
        <v>672</v>
      </c>
      <c r="S13" s="9">
        <f t="shared" si="4"/>
        <v>20</v>
      </c>
      <c r="T13" s="9">
        <f t="shared" si="5"/>
        <v>12.028639618138426</v>
      </c>
      <c r="U13" s="9">
        <v>64.8</v>
      </c>
      <c r="V13" s="9">
        <v>50</v>
      </c>
      <c r="W13" s="9">
        <v>61.2</v>
      </c>
      <c r="X13" s="9">
        <v>70.8</v>
      </c>
      <c r="Y13" s="9">
        <v>48</v>
      </c>
      <c r="Z13" s="9">
        <v>54.4</v>
      </c>
      <c r="AA13" s="9"/>
      <c r="AB13" s="9">
        <f t="shared" si="6"/>
        <v>248.49600000000001</v>
      </c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x14ac:dyDescent="0.25">
      <c r="A14" s="9" t="s">
        <v>41</v>
      </c>
      <c r="B14" s="9" t="s">
        <v>33</v>
      </c>
      <c r="C14" s="9">
        <v>602</v>
      </c>
      <c r="D14" s="9">
        <v>21</v>
      </c>
      <c r="E14" s="9">
        <v>353</v>
      </c>
      <c r="F14" s="9">
        <v>241</v>
      </c>
      <c r="G14" s="6">
        <v>0.74399999999999999</v>
      </c>
      <c r="H14" s="9">
        <v>180</v>
      </c>
      <c r="I14" s="9"/>
      <c r="J14" s="9"/>
      <c r="K14" s="9">
        <v>374</v>
      </c>
      <c r="L14" s="9">
        <f t="shared" si="2"/>
        <v>-21</v>
      </c>
      <c r="M14" s="9"/>
      <c r="N14" s="9"/>
      <c r="O14" s="9">
        <v>348</v>
      </c>
      <c r="P14" s="9">
        <f t="shared" si="3"/>
        <v>70.599999999999994</v>
      </c>
      <c r="Q14" s="4">
        <f t="shared" si="7"/>
        <v>823</v>
      </c>
      <c r="R14" s="4">
        <f>VLOOKUP(A14,заказ!A:B,2,0)</f>
        <v>828</v>
      </c>
      <c r="S14" s="9">
        <f t="shared" si="4"/>
        <v>20</v>
      </c>
      <c r="T14" s="9">
        <f t="shared" si="5"/>
        <v>8.3427762039660056</v>
      </c>
      <c r="U14" s="9">
        <v>39.799999999999997</v>
      </c>
      <c r="V14" s="9">
        <v>36.4</v>
      </c>
      <c r="W14" s="9">
        <v>48.8</v>
      </c>
      <c r="X14" s="9">
        <v>39</v>
      </c>
      <c r="Y14" s="9">
        <v>32.200000000000003</v>
      </c>
      <c r="Z14" s="9">
        <v>31</v>
      </c>
      <c r="AA14" s="9"/>
      <c r="AB14" s="9">
        <f t="shared" si="6"/>
        <v>612.31200000000001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x14ac:dyDescent="0.25">
      <c r="A15" s="9" t="s">
        <v>42</v>
      </c>
      <c r="B15" s="9" t="s">
        <v>33</v>
      </c>
      <c r="C15" s="9">
        <v>119</v>
      </c>
      <c r="D15" s="9">
        <v>6</v>
      </c>
      <c r="E15" s="9">
        <v>17</v>
      </c>
      <c r="F15" s="9">
        <v>102</v>
      </c>
      <c r="G15" s="6">
        <v>0.14000000000000001</v>
      </c>
      <c r="H15" s="9"/>
      <c r="I15" s="9"/>
      <c r="J15" s="9"/>
      <c r="K15" s="9">
        <v>23</v>
      </c>
      <c r="L15" s="9">
        <f t="shared" si="2"/>
        <v>-6</v>
      </c>
      <c r="M15" s="9"/>
      <c r="N15" s="9"/>
      <c r="O15" s="9"/>
      <c r="P15" s="9">
        <f t="shared" si="3"/>
        <v>3.4</v>
      </c>
      <c r="Q15" s="4"/>
      <c r="R15" s="4"/>
      <c r="S15" s="9">
        <f t="shared" si="4"/>
        <v>30</v>
      </c>
      <c r="T15" s="9">
        <f t="shared" si="5"/>
        <v>30</v>
      </c>
      <c r="U15" s="9">
        <v>1.6</v>
      </c>
      <c r="V15" s="9">
        <v>3.8</v>
      </c>
      <c r="W15" s="9">
        <v>0.4</v>
      </c>
      <c r="X15" s="9">
        <v>2.2000000000000002</v>
      </c>
      <c r="Y15" s="9">
        <v>3.4</v>
      </c>
      <c r="Z15" s="9">
        <v>1.4</v>
      </c>
      <c r="AA15" s="16" t="s">
        <v>37</v>
      </c>
      <c r="AB15" s="9">
        <f t="shared" si="6"/>
        <v>0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25">
      <c r="A16" s="9" t="s">
        <v>43</v>
      </c>
      <c r="B16" s="9" t="s">
        <v>33</v>
      </c>
      <c r="C16" s="9">
        <v>-1</v>
      </c>
      <c r="D16" s="9">
        <v>1</v>
      </c>
      <c r="E16" s="9"/>
      <c r="F16" s="9"/>
      <c r="G16" s="6">
        <v>0.18</v>
      </c>
      <c r="H16" s="9"/>
      <c r="I16" s="9"/>
      <c r="J16" s="9"/>
      <c r="K16" s="9">
        <v>16</v>
      </c>
      <c r="L16" s="9">
        <f t="shared" si="2"/>
        <v>-16</v>
      </c>
      <c r="M16" s="9"/>
      <c r="N16" s="9"/>
      <c r="O16" s="9">
        <v>32</v>
      </c>
      <c r="P16" s="9">
        <f t="shared" si="3"/>
        <v>0</v>
      </c>
      <c r="Q16" s="4"/>
      <c r="R16" s="4"/>
      <c r="S16" s="9" t="e">
        <f t="shared" si="4"/>
        <v>#DIV/0!</v>
      </c>
      <c r="T16" s="9" t="e">
        <f t="shared" si="5"/>
        <v>#DIV/0!</v>
      </c>
      <c r="U16" s="9">
        <v>-0.4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/>
      <c r="AB16" s="9">
        <f t="shared" si="6"/>
        <v>0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x14ac:dyDescent="0.25">
      <c r="A17" s="9" t="s">
        <v>44</v>
      </c>
      <c r="B17" s="9" t="s">
        <v>33</v>
      </c>
      <c r="C17" s="9">
        <v>127</v>
      </c>
      <c r="D17" s="9">
        <v>6</v>
      </c>
      <c r="E17" s="9">
        <v>37</v>
      </c>
      <c r="F17" s="9">
        <v>92</v>
      </c>
      <c r="G17" s="6">
        <v>0.18</v>
      </c>
      <c r="H17" s="9">
        <v>270</v>
      </c>
      <c r="I17" s="9"/>
      <c r="J17" s="9"/>
      <c r="K17" s="9">
        <v>41</v>
      </c>
      <c r="L17" s="9">
        <f t="shared" si="2"/>
        <v>-4</v>
      </c>
      <c r="M17" s="9"/>
      <c r="N17" s="9"/>
      <c r="O17" s="9">
        <v>16</v>
      </c>
      <c r="P17" s="9">
        <f t="shared" si="3"/>
        <v>7.4</v>
      </c>
      <c r="Q17" s="4">
        <f t="shared" si="7"/>
        <v>40</v>
      </c>
      <c r="R17" s="4">
        <f>VLOOKUP(A17,заказ!A:B,2,0)</f>
        <v>32</v>
      </c>
      <c r="S17" s="9">
        <f t="shared" si="4"/>
        <v>20</v>
      </c>
      <c r="T17" s="9">
        <f t="shared" si="5"/>
        <v>14.594594594594595</v>
      </c>
      <c r="U17" s="9">
        <v>7.2</v>
      </c>
      <c r="V17" s="9">
        <v>8.4</v>
      </c>
      <c r="W17" s="9">
        <v>8.8000000000000007</v>
      </c>
      <c r="X17" s="9">
        <v>12</v>
      </c>
      <c r="Y17" s="9">
        <v>11</v>
      </c>
      <c r="Z17" s="9">
        <v>10.8</v>
      </c>
      <c r="AA17" s="9"/>
      <c r="AB17" s="9">
        <f t="shared" si="6"/>
        <v>7.1999999999999993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25">
      <c r="A18" s="9" t="s">
        <v>45</v>
      </c>
      <c r="B18" s="9" t="s">
        <v>33</v>
      </c>
      <c r="C18" s="9">
        <v>109</v>
      </c>
      <c r="D18" s="9">
        <v>17</v>
      </c>
      <c r="E18" s="9">
        <v>32</v>
      </c>
      <c r="F18" s="9">
        <v>75</v>
      </c>
      <c r="G18" s="6">
        <v>0.1</v>
      </c>
      <c r="H18" s="9"/>
      <c r="I18" s="9"/>
      <c r="J18" s="9"/>
      <c r="K18" s="9">
        <v>47</v>
      </c>
      <c r="L18" s="9">
        <f t="shared" si="2"/>
        <v>-15</v>
      </c>
      <c r="M18" s="9"/>
      <c r="N18" s="9"/>
      <c r="O18" s="9"/>
      <c r="P18" s="9">
        <f t="shared" si="3"/>
        <v>6.4</v>
      </c>
      <c r="Q18" s="4">
        <f t="shared" si="7"/>
        <v>53</v>
      </c>
      <c r="R18" s="4">
        <f>VLOOKUP(A18,заказ!A:B,2,0)</f>
        <v>56</v>
      </c>
      <c r="S18" s="9">
        <f t="shared" si="4"/>
        <v>20</v>
      </c>
      <c r="T18" s="9">
        <f t="shared" si="5"/>
        <v>11.71875</v>
      </c>
      <c r="U18" s="9">
        <v>2.8</v>
      </c>
      <c r="V18" s="9">
        <v>5.4</v>
      </c>
      <c r="W18" s="9">
        <v>8.6</v>
      </c>
      <c r="X18" s="9">
        <v>9</v>
      </c>
      <c r="Y18" s="9">
        <v>5.2</v>
      </c>
      <c r="Z18" s="9">
        <v>11.6</v>
      </c>
      <c r="AA18" s="9"/>
      <c r="AB18" s="9">
        <f t="shared" si="6"/>
        <v>5.3000000000000007</v>
      </c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x14ac:dyDescent="0.25">
      <c r="A19" s="10" t="s">
        <v>46</v>
      </c>
      <c r="B19" s="10" t="s">
        <v>33</v>
      </c>
      <c r="C19" s="10">
        <v>10</v>
      </c>
      <c r="D19" s="10"/>
      <c r="E19" s="10"/>
      <c r="F19" s="10">
        <v>10</v>
      </c>
      <c r="G19" s="11">
        <v>0</v>
      </c>
      <c r="H19" s="10"/>
      <c r="I19" s="10" t="s">
        <v>47</v>
      </c>
      <c r="J19" s="10"/>
      <c r="K19" s="10"/>
      <c r="L19" s="10">
        <f t="shared" si="2"/>
        <v>0</v>
      </c>
      <c r="M19" s="10"/>
      <c r="N19" s="10"/>
      <c r="O19" s="10"/>
      <c r="P19" s="10">
        <f t="shared" si="3"/>
        <v>0</v>
      </c>
      <c r="Q19" s="12"/>
      <c r="R19" s="4"/>
      <c r="S19" s="10" t="e">
        <f t="shared" si="4"/>
        <v>#DIV/0!</v>
      </c>
      <c r="T19" s="10" t="e">
        <f t="shared" si="5"/>
        <v>#DIV/0!</v>
      </c>
      <c r="U19" s="10">
        <v>0</v>
      </c>
      <c r="V19" s="10">
        <v>2</v>
      </c>
      <c r="W19" s="10">
        <v>0</v>
      </c>
      <c r="X19" s="10">
        <v>0</v>
      </c>
      <c r="Y19" s="10">
        <v>0</v>
      </c>
      <c r="Z19" s="10">
        <v>0</v>
      </c>
      <c r="AA19" s="10"/>
      <c r="AB19" s="10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x14ac:dyDescent="0.25">
      <c r="A20" s="9" t="s">
        <v>48</v>
      </c>
      <c r="B20" s="9" t="s">
        <v>33</v>
      </c>
      <c r="C20" s="9">
        <v>-7</v>
      </c>
      <c r="D20" s="9">
        <v>1525</v>
      </c>
      <c r="E20" s="9">
        <v>187</v>
      </c>
      <c r="F20" s="9">
        <v>1324</v>
      </c>
      <c r="G20" s="6">
        <v>0.18</v>
      </c>
      <c r="H20" s="9">
        <v>120</v>
      </c>
      <c r="I20" s="9"/>
      <c r="J20" s="9"/>
      <c r="K20" s="9">
        <v>307</v>
      </c>
      <c r="L20" s="9">
        <f t="shared" si="2"/>
        <v>-120</v>
      </c>
      <c r="M20" s="9"/>
      <c r="N20" s="9"/>
      <c r="O20" s="9"/>
      <c r="P20" s="9">
        <f t="shared" si="3"/>
        <v>37.4</v>
      </c>
      <c r="Q20" s="4"/>
      <c r="R20" s="4"/>
      <c r="S20" s="9">
        <f t="shared" si="4"/>
        <v>35.401069518716582</v>
      </c>
      <c r="T20" s="9">
        <f t="shared" si="5"/>
        <v>35.401069518716582</v>
      </c>
      <c r="U20" s="9">
        <v>18.399999999999999</v>
      </c>
      <c r="V20" s="9">
        <v>80.8</v>
      </c>
      <c r="W20" s="9">
        <v>1.4</v>
      </c>
      <c r="X20" s="9">
        <v>32</v>
      </c>
      <c r="Y20" s="9">
        <v>35.200000000000003</v>
      </c>
      <c r="Z20" s="9">
        <v>41</v>
      </c>
      <c r="AA20" s="9"/>
      <c r="AB20" s="9">
        <f t="shared" ref="AB20:AB27" si="8">G20*Q20</f>
        <v>0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x14ac:dyDescent="0.25">
      <c r="A21" s="9" t="s">
        <v>49</v>
      </c>
      <c r="B21" s="9" t="s">
        <v>33</v>
      </c>
      <c r="C21" s="9">
        <v>2629</v>
      </c>
      <c r="D21" s="9">
        <v>25</v>
      </c>
      <c r="E21" s="9">
        <v>633</v>
      </c>
      <c r="F21" s="9">
        <v>1983</v>
      </c>
      <c r="G21" s="6">
        <v>0.18</v>
      </c>
      <c r="H21" s="9">
        <v>120</v>
      </c>
      <c r="I21" s="9"/>
      <c r="J21" s="9"/>
      <c r="K21" s="9">
        <v>654</v>
      </c>
      <c r="L21" s="9">
        <f t="shared" si="2"/>
        <v>-21</v>
      </c>
      <c r="M21" s="9"/>
      <c r="N21" s="9"/>
      <c r="O21" s="9">
        <v>150</v>
      </c>
      <c r="P21" s="9">
        <f t="shared" si="3"/>
        <v>126.6</v>
      </c>
      <c r="Q21" s="4">
        <f t="shared" ref="Q21" si="9">20*P21-O21-F21</f>
        <v>399</v>
      </c>
      <c r="R21" s="4">
        <f>VLOOKUP(A21,заказ!A:B,2,0)</f>
        <v>400</v>
      </c>
      <c r="S21" s="9">
        <f t="shared" si="4"/>
        <v>20</v>
      </c>
      <c r="T21" s="9">
        <f t="shared" si="5"/>
        <v>16.84834123222749</v>
      </c>
      <c r="U21" s="9">
        <v>138.80000000000001</v>
      </c>
      <c r="V21" s="9">
        <v>42</v>
      </c>
      <c r="W21" s="9">
        <v>156</v>
      </c>
      <c r="X21" s="9">
        <v>193.8</v>
      </c>
      <c r="Y21" s="9">
        <v>94.6</v>
      </c>
      <c r="Z21" s="9">
        <v>137.6</v>
      </c>
      <c r="AA21" s="9"/>
      <c r="AB21" s="9">
        <f t="shared" si="8"/>
        <v>71.819999999999993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x14ac:dyDescent="0.25">
      <c r="A22" s="9" t="s">
        <v>50</v>
      </c>
      <c r="B22" s="9" t="s">
        <v>33</v>
      </c>
      <c r="C22" s="9">
        <v>45</v>
      </c>
      <c r="D22" s="9"/>
      <c r="E22" s="9"/>
      <c r="F22" s="9">
        <v>45</v>
      </c>
      <c r="G22" s="6">
        <v>0.4</v>
      </c>
      <c r="H22" s="9">
        <v>270</v>
      </c>
      <c r="I22" s="9"/>
      <c r="J22" s="9"/>
      <c r="K22" s="9"/>
      <c r="L22" s="9">
        <f t="shared" si="2"/>
        <v>0</v>
      </c>
      <c r="M22" s="9"/>
      <c r="N22" s="9"/>
      <c r="O22" s="9"/>
      <c r="P22" s="9">
        <f t="shared" si="3"/>
        <v>0</v>
      </c>
      <c r="Q22" s="4"/>
      <c r="R22" s="4"/>
      <c r="S22" s="9" t="e">
        <f t="shared" si="4"/>
        <v>#DIV/0!</v>
      </c>
      <c r="T22" s="9" t="e">
        <f t="shared" si="5"/>
        <v>#DIV/0!</v>
      </c>
      <c r="U22" s="9">
        <v>2.2000000000000002</v>
      </c>
      <c r="V22" s="9">
        <v>0.8</v>
      </c>
      <c r="W22" s="9">
        <v>2.8</v>
      </c>
      <c r="X22" s="9">
        <v>0.6</v>
      </c>
      <c r="Y22" s="9">
        <v>0.6</v>
      </c>
      <c r="Z22" s="9">
        <v>0.4</v>
      </c>
      <c r="AA22" s="16" t="s">
        <v>37</v>
      </c>
      <c r="AB22" s="9">
        <f t="shared" si="8"/>
        <v>0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</row>
    <row r="23" spans="1:49" x14ac:dyDescent="0.25">
      <c r="A23" s="9" t="s">
        <v>51</v>
      </c>
      <c r="B23" s="9" t="s">
        <v>33</v>
      </c>
      <c r="C23" s="9">
        <v>89</v>
      </c>
      <c r="D23" s="9">
        <v>2</v>
      </c>
      <c r="E23" s="9"/>
      <c r="F23" s="9">
        <v>91</v>
      </c>
      <c r="G23" s="6">
        <v>0.4</v>
      </c>
      <c r="H23" s="9">
        <v>270</v>
      </c>
      <c r="I23" s="9"/>
      <c r="J23" s="9"/>
      <c r="K23" s="9"/>
      <c r="L23" s="9">
        <f t="shared" si="2"/>
        <v>0</v>
      </c>
      <c r="M23" s="9"/>
      <c r="N23" s="9"/>
      <c r="O23" s="9"/>
      <c r="P23" s="9">
        <f t="shared" si="3"/>
        <v>0</v>
      </c>
      <c r="Q23" s="4"/>
      <c r="R23" s="4"/>
      <c r="S23" s="9" t="e">
        <f t="shared" si="4"/>
        <v>#DIV/0!</v>
      </c>
      <c r="T23" s="9" t="e">
        <f t="shared" si="5"/>
        <v>#DIV/0!</v>
      </c>
      <c r="U23" s="9">
        <v>0</v>
      </c>
      <c r="V23" s="9">
        <v>0.2</v>
      </c>
      <c r="W23" s="9">
        <v>0.2</v>
      </c>
      <c r="X23" s="9">
        <v>0.2</v>
      </c>
      <c r="Y23" s="9">
        <v>0</v>
      </c>
      <c r="Z23" s="9">
        <v>1</v>
      </c>
      <c r="AA23" s="16" t="s">
        <v>37</v>
      </c>
      <c r="AB23" s="9">
        <f t="shared" si="8"/>
        <v>0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25">
      <c r="A24" s="9" t="s">
        <v>52</v>
      </c>
      <c r="B24" s="9" t="s">
        <v>33</v>
      </c>
      <c r="C24" s="9">
        <v>215</v>
      </c>
      <c r="D24" s="9">
        <v>1</v>
      </c>
      <c r="E24" s="9">
        <v>9</v>
      </c>
      <c r="F24" s="9">
        <v>207</v>
      </c>
      <c r="G24" s="6">
        <v>0.18</v>
      </c>
      <c r="H24" s="9"/>
      <c r="I24" s="9"/>
      <c r="J24" s="9"/>
      <c r="K24" s="9">
        <v>9</v>
      </c>
      <c r="L24" s="9">
        <f t="shared" si="2"/>
        <v>0</v>
      </c>
      <c r="M24" s="9"/>
      <c r="N24" s="9"/>
      <c r="O24" s="9"/>
      <c r="P24" s="9">
        <f t="shared" si="3"/>
        <v>1.8</v>
      </c>
      <c r="Q24" s="4"/>
      <c r="R24" s="4"/>
      <c r="S24" s="9">
        <f t="shared" si="4"/>
        <v>115</v>
      </c>
      <c r="T24" s="9">
        <f t="shared" si="5"/>
        <v>115</v>
      </c>
      <c r="U24" s="9">
        <v>1</v>
      </c>
      <c r="V24" s="9">
        <v>1</v>
      </c>
      <c r="W24" s="9">
        <v>1.4</v>
      </c>
      <c r="X24" s="9">
        <v>0.6</v>
      </c>
      <c r="Y24" s="9">
        <v>3.2</v>
      </c>
      <c r="Z24" s="9">
        <v>3.6</v>
      </c>
      <c r="AA24" s="16" t="s">
        <v>37</v>
      </c>
      <c r="AB24" s="9">
        <f t="shared" si="8"/>
        <v>0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</row>
    <row r="25" spans="1:49" x14ac:dyDescent="0.25">
      <c r="A25" s="9" t="s">
        <v>53</v>
      </c>
      <c r="B25" s="9" t="s">
        <v>33</v>
      </c>
      <c r="C25" s="9">
        <v>27</v>
      </c>
      <c r="D25" s="9"/>
      <c r="E25" s="9"/>
      <c r="F25" s="9">
        <v>27</v>
      </c>
      <c r="G25" s="6">
        <v>0.2</v>
      </c>
      <c r="H25" s="9"/>
      <c r="I25" s="9"/>
      <c r="J25" s="9"/>
      <c r="K25" s="9"/>
      <c r="L25" s="9">
        <f t="shared" si="2"/>
        <v>0</v>
      </c>
      <c r="M25" s="9"/>
      <c r="N25" s="9"/>
      <c r="O25" s="9"/>
      <c r="P25" s="9">
        <f t="shared" si="3"/>
        <v>0</v>
      </c>
      <c r="Q25" s="4"/>
      <c r="R25" s="4"/>
      <c r="S25" s="9" t="e">
        <f t="shared" si="4"/>
        <v>#DIV/0!</v>
      </c>
      <c r="T25" s="9" t="e">
        <f t="shared" si="5"/>
        <v>#DIV/0!</v>
      </c>
      <c r="U25" s="9">
        <v>0</v>
      </c>
      <c r="V25" s="9">
        <v>0</v>
      </c>
      <c r="W25" s="9">
        <v>0</v>
      </c>
      <c r="X25" s="9">
        <v>0</v>
      </c>
      <c r="Y25" s="9">
        <v>1</v>
      </c>
      <c r="Z25" s="9">
        <v>0</v>
      </c>
      <c r="AA25" s="16" t="s">
        <v>37</v>
      </c>
      <c r="AB25" s="9">
        <f t="shared" si="8"/>
        <v>0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25">
      <c r="A26" s="9" t="s">
        <v>54</v>
      </c>
      <c r="B26" s="9" t="s">
        <v>30</v>
      </c>
      <c r="C26" s="9">
        <v>67.125</v>
      </c>
      <c r="D26" s="9"/>
      <c r="E26" s="9">
        <v>2.8149999999999999</v>
      </c>
      <c r="F26" s="9">
        <v>64.31</v>
      </c>
      <c r="G26" s="6">
        <v>1</v>
      </c>
      <c r="H26" s="9"/>
      <c r="I26" s="9"/>
      <c r="J26" s="9"/>
      <c r="K26" s="9">
        <v>2</v>
      </c>
      <c r="L26" s="9">
        <f t="shared" si="2"/>
        <v>0.81499999999999995</v>
      </c>
      <c r="M26" s="9"/>
      <c r="N26" s="9"/>
      <c r="O26" s="9"/>
      <c r="P26" s="9">
        <f t="shared" si="3"/>
        <v>0.56299999999999994</v>
      </c>
      <c r="Q26" s="4"/>
      <c r="R26" s="4"/>
      <c r="S26" s="9">
        <f t="shared" si="4"/>
        <v>114.22735346358793</v>
      </c>
      <c r="T26" s="9">
        <f t="shared" si="5"/>
        <v>114.22735346358793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16" t="s">
        <v>37</v>
      </c>
      <c r="AB26" s="9">
        <f t="shared" si="8"/>
        <v>0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</row>
    <row r="27" spans="1:49" x14ac:dyDescent="0.25">
      <c r="A27" s="9" t="s">
        <v>55</v>
      </c>
      <c r="B27" s="9" t="s">
        <v>30</v>
      </c>
      <c r="C27" s="9">
        <v>51.576999999999998</v>
      </c>
      <c r="D27" s="9">
        <v>3.3180000000000001</v>
      </c>
      <c r="E27" s="9"/>
      <c r="F27" s="9">
        <v>54.895000000000003</v>
      </c>
      <c r="G27" s="6">
        <v>1</v>
      </c>
      <c r="H27" s="9"/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4"/>
      <c r="R27" s="4"/>
      <c r="S27" s="9" t="e">
        <f t="shared" si="4"/>
        <v>#DIV/0!</v>
      </c>
      <c r="T27" s="9" t="e">
        <f t="shared" si="5"/>
        <v>#DIV/0!</v>
      </c>
      <c r="U27" s="9">
        <v>0</v>
      </c>
      <c r="V27" s="9">
        <v>0</v>
      </c>
      <c r="W27" s="9">
        <v>1.7669999999999999</v>
      </c>
      <c r="X27" s="9">
        <v>0</v>
      </c>
      <c r="Y27" s="9">
        <v>0.97499999999999998</v>
      </c>
      <c r="Z27" s="9">
        <v>0.44500000000000001</v>
      </c>
      <c r="AA27" s="16" t="s">
        <v>37</v>
      </c>
      <c r="AB27" s="9">
        <f t="shared" si="8"/>
        <v>0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25">
      <c r="A28" s="10" t="s">
        <v>56</v>
      </c>
      <c r="B28" s="10" t="s">
        <v>30</v>
      </c>
      <c r="C28" s="10">
        <v>-2.4020000000000001</v>
      </c>
      <c r="D28" s="10">
        <v>1.214</v>
      </c>
      <c r="E28" s="14">
        <v>-1.1879999999999999</v>
      </c>
      <c r="F28" s="14">
        <v>-1.1879999999999999</v>
      </c>
      <c r="G28" s="11">
        <v>0</v>
      </c>
      <c r="H28" s="10"/>
      <c r="I28" s="10" t="s">
        <v>57</v>
      </c>
      <c r="J28" s="10" t="s">
        <v>29</v>
      </c>
      <c r="K28" s="10"/>
      <c r="L28" s="10">
        <f t="shared" si="2"/>
        <v>-1.1879999999999999</v>
      </c>
      <c r="M28" s="10"/>
      <c r="N28" s="10"/>
      <c r="O28" s="10"/>
      <c r="P28" s="10">
        <f t="shared" si="3"/>
        <v>-0.23759999999999998</v>
      </c>
      <c r="Q28" s="12"/>
      <c r="R28" s="4"/>
      <c r="S28" s="10">
        <f t="shared" si="4"/>
        <v>5</v>
      </c>
      <c r="T28" s="10">
        <f t="shared" si="5"/>
        <v>5</v>
      </c>
      <c r="U28" s="10">
        <v>0.23760000000000001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/>
      <c r="AB28" s="10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</row>
    <row r="29" spans="1:49" x14ac:dyDescent="0.25">
      <c r="A29" s="9" t="s">
        <v>58</v>
      </c>
      <c r="B29" s="9" t="s">
        <v>33</v>
      </c>
      <c r="C29" s="9">
        <v>117</v>
      </c>
      <c r="D29" s="9">
        <v>204</v>
      </c>
      <c r="E29" s="9">
        <v>27</v>
      </c>
      <c r="F29" s="9">
        <v>294</v>
      </c>
      <c r="G29" s="6">
        <v>0.18</v>
      </c>
      <c r="H29" s="9">
        <v>150</v>
      </c>
      <c r="I29" s="9"/>
      <c r="J29" s="9"/>
      <c r="K29" s="9">
        <v>108</v>
      </c>
      <c r="L29" s="9">
        <f t="shared" si="2"/>
        <v>-81</v>
      </c>
      <c r="M29" s="9"/>
      <c r="N29" s="9"/>
      <c r="O29" s="9"/>
      <c r="P29" s="9">
        <f t="shared" si="3"/>
        <v>5.4</v>
      </c>
      <c r="Q29" s="4"/>
      <c r="R29" s="4"/>
      <c r="S29" s="9">
        <f t="shared" si="4"/>
        <v>54.444444444444443</v>
      </c>
      <c r="T29" s="9">
        <f t="shared" si="5"/>
        <v>54.444444444444443</v>
      </c>
      <c r="U29" s="9">
        <v>0</v>
      </c>
      <c r="V29" s="9">
        <v>0</v>
      </c>
      <c r="W29" s="9">
        <v>-0.2</v>
      </c>
      <c r="X29" s="9">
        <v>-0.6</v>
      </c>
      <c r="Y29" s="9">
        <v>-0.6</v>
      </c>
      <c r="Z29" s="9">
        <v>0</v>
      </c>
      <c r="AA29" s="16" t="s">
        <v>37</v>
      </c>
      <c r="AB29" s="9">
        <f t="shared" ref="AB29:AB38" si="10">G29*Q29</f>
        <v>0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25">
      <c r="A30" s="9" t="s">
        <v>59</v>
      </c>
      <c r="B30" s="9" t="s">
        <v>33</v>
      </c>
      <c r="C30" s="9">
        <v>15</v>
      </c>
      <c r="D30" s="9">
        <v>195</v>
      </c>
      <c r="E30" s="9">
        <v>1</v>
      </c>
      <c r="F30" s="9">
        <v>206</v>
      </c>
      <c r="G30" s="6">
        <v>0.1</v>
      </c>
      <c r="H30" s="9">
        <v>90</v>
      </c>
      <c r="I30" s="9"/>
      <c r="J30" s="9"/>
      <c r="K30" s="9">
        <v>21</v>
      </c>
      <c r="L30" s="9">
        <f t="shared" si="2"/>
        <v>-20</v>
      </c>
      <c r="M30" s="9"/>
      <c r="N30" s="9"/>
      <c r="O30" s="9"/>
      <c r="P30" s="9">
        <f t="shared" si="3"/>
        <v>0.2</v>
      </c>
      <c r="Q30" s="4"/>
      <c r="R30" s="4"/>
      <c r="S30" s="9">
        <f t="shared" si="4"/>
        <v>1030</v>
      </c>
      <c r="T30" s="9">
        <f t="shared" si="5"/>
        <v>1030</v>
      </c>
      <c r="U30" s="9">
        <v>7.4</v>
      </c>
      <c r="V30" s="9">
        <v>12.2</v>
      </c>
      <c r="W30" s="9">
        <v>-0.6</v>
      </c>
      <c r="X30" s="9">
        <v>0</v>
      </c>
      <c r="Y30" s="9">
        <v>0</v>
      </c>
      <c r="Z30" s="9">
        <v>0</v>
      </c>
      <c r="AA30" s="16" t="s">
        <v>37</v>
      </c>
      <c r="AB30" s="9">
        <f t="shared" si="10"/>
        <v>0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</row>
    <row r="31" spans="1:49" x14ac:dyDescent="0.25">
      <c r="A31" s="9" t="s">
        <v>60</v>
      </c>
      <c r="B31" s="9" t="s">
        <v>33</v>
      </c>
      <c r="C31" s="9">
        <v>447</v>
      </c>
      <c r="D31" s="9">
        <v>17</v>
      </c>
      <c r="E31" s="9">
        <v>152</v>
      </c>
      <c r="F31" s="9">
        <v>296</v>
      </c>
      <c r="G31" s="6">
        <v>0.1</v>
      </c>
      <c r="H31" s="9"/>
      <c r="I31" s="9"/>
      <c r="J31" s="9"/>
      <c r="K31" s="9">
        <v>169</v>
      </c>
      <c r="L31" s="9">
        <f t="shared" si="2"/>
        <v>-17</v>
      </c>
      <c r="M31" s="9"/>
      <c r="N31" s="9"/>
      <c r="O31" s="9">
        <v>304</v>
      </c>
      <c r="P31" s="9">
        <f t="shared" si="3"/>
        <v>30.4</v>
      </c>
      <c r="Q31" s="4"/>
      <c r="R31" s="4"/>
      <c r="S31" s="9">
        <f t="shared" si="4"/>
        <v>19.736842105263158</v>
      </c>
      <c r="T31" s="9">
        <f t="shared" si="5"/>
        <v>19.736842105263158</v>
      </c>
      <c r="U31" s="9">
        <v>37.4</v>
      </c>
      <c r="V31" s="9">
        <v>2</v>
      </c>
      <c r="W31" s="9">
        <v>24.8</v>
      </c>
      <c r="X31" s="9">
        <v>44.2</v>
      </c>
      <c r="Y31" s="9">
        <v>5.2</v>
      </c>
      <c r="Z31" s="9">
        <v>14</v>
      </c>
      <c r="AA31" s="9"/>
      <c r="AB31" s="9">
        <f t="shared" si="10"/>
        <v>0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25">
      <c r="A32" s="9" t="s">
        <v>61</v>
      </c>
      <c r="B32" s="9" t="s">
        <v>33</v>
      </c>
      <c r="C32" s="9">
        <v>191</v>
      </c>
      <c r="D32" s="9">
        <v>103</v>
      </c>
      <c r="E32" s="9">
        <v>105</v>
      </c>
      <c r="F32" s="9">
        <v>181</v>
      </c>
      <c r="G32" s="6">
        <v>0.1</v>
      </c>
      <c r="H32" s="9"/>
      <c r="I32" s="9"/>
      <c r="J32" s="9"/>
      <c r="K32" s="9">
        <v>121</v>
      </c>
      <c r="L32" s="9">
        <f t="shared" si="2"/>
        <v>-16</v>
      </c>
      <c r="M32" s="9"/>
      <c r="N32" s="9"/>
      <c r="O32" s="9">
        <v>248</v>
      </c>
      <c r="P32" s="9">
        <f t="shared" si="3"/>
        <v>21</v>
      </c>
      <c r="Q32" s="4"/>
      <c r="R32" s="4"/>
      <c r="S32" s="9">
        <f t="shared" si="4"/>
        <v>20.428571428571427</v>
      </c>
      <c r="T32" s="9">
        <f t="shared" si="5"/>
        <v>20.428571428571427</v>
      </c>
      <c r="U32" s="9">
        <v>26.6</v>
      </c>
      <c r="V32" s="9">
        <v>20.6</v>
      </c>
      <c r="W32" s="9">
        <v>21.4</v>
      </c>
      <c r="X32" s="9">
        <v>28</v>
      </c>
      <c r="Y32" s="9">
        <v>2.2000000000000002</v>
      </c>
      <c r="Z32" s="9">
        <v>16.2</v>
      </c>
      <c r="AA32" s="9"/>
      <c r="AB32" s="9">
        <f t="shared" si="10"/>
        <v>0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</row>
    <row r="33" spans="1:49" x14ac:dyDescent="0.25">
      <c r="A33" s="9" t="s">
        <v>62</v>
      </c>
      <c r="B33" s="9" t="s">
        <v>33</v>
      </c>
      <c r="C33" s="9">
        <v>214</v>
      </c>
      <c r="D33" s="9">
        <v>174</v>
      </c>
      <c r="E33" s="9">
        <v>174</v>
      </c>
      <c r="F33" s="9">
        <v>188</v>
      </c>
      <c r="G33" s="6">
        <v>0.18</v>
      </c>
      <c r="H33" s="9">
        <v>150</v>
      </c>
      <c r="I33" s="9"/>
      <c r="J33" s="9"/>
      <c r="K33" s="9">
        <v>197</v>
      </c>
      <c r="L33" s="9">
        <f t="shared" si="2"/>
        <v>-23</v>
      </c>
      <c r="M33" s="9"/>
      <c r="N33" s="9"/>
      <c r="O33" s="9">
        <v>280</v>
      </c>
      <c r="P33" s="9">
        <f t="shared" si="3"/>
        <v>34.799999999999997</v>
      </c>
      <c r="Q33" s="4">
        <f t="shared" ref="Q33:Q37" si="11">20*P33-O33-F33</f>
        <v>228</v>
      </c>
      <c r="R33" s="4">
        <f>VLOOKUP(A33,заказ!A:B,2,0)</f>
        <v>230</v>
      </c>
      <c r="S33" s="9">
        <f t="shared" si="4"/>
        <v>20</v>
      </c>
      <c r="T33" s="9">
        <f t="shared" si="5"/>
        <v>13.448275862068966</v>
      </c>
      <c r="U33" s="9">
        <v>33.200000000000003</v>
      </c>
      <c r="V33" s="9">
        <v>23.2</v>
      </c>
      <c r="W33" s="9">
        <v>15</v>
      </c>
      <c r="X33" s="9">
        <v>35</v>
      </c>
      <c r="Y33" s="9">
        <v>37.799999999999997</v>
      </c>
      <c r="Z33" s="9">
        <v>39.4</v>
      </c>
      <c r="AA33" s="9"/>
      <c r="AB33" s="9">
        <f t="shared" si="10"/>
        <v>41.04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25">
      <c r="A34" s="9" t="s">
        <v>63</v>
      </c>
      <c r="B34" s="9" t="s">
        <v>33</v>
      </c>
      <c r="C34" s="9">
        <v>551</v>
      </c>
      <c r="D34" s="9">
        <v>354</v>
      </c>
      <c r="E34" s="9">
        <v>301</v>
      </c>
      <c r="F34" s="9">
        <v>601</v>
      </c>
      <c r="G34" s="6">
        <v>0.18</v>
      </c>
      <c r="H34" s="9">
        <v>150</v>
      </c>
      <c r="I34" s="9"/>
      <c r="J34" s="9"/>
      <c r="K34" s="9">
        <v>303</v>
      </c>
      <c r="L34" s="9">
        <f t="shared" si="2"/>
        <v>-2</v>
      </c>
      <c r="M34" s="9"/>
      <c r="N34" s="9"/>
      <c r="O34" s="9">
        <v>750</v>
      </c>
      <c r="P34" s="9">
        <f t="shared" si="3"/>
        <v>60.2</v>
      </c>
      <c r="Q34" s="4"/>
      <c r="R34" s="4"/>
      <c r="S34" s="9">
        <f t="shared" si="4"/>
        <v>22.441860465116278</v>
      </c>
      <c r="T34" s="9">
        <f t="shared" si="5"/>
        <v>22.441860465116278</v>
      </c>
      <c r="U34" s="9">
        <v>84.2</v>
      </c>
      <c r="V34" s="9">
        <v>19.8</v>
      </c>
      <c r="W34" s="9">
        <v>15.8</v>
      </c>
      <c r="X34" s="9">
        <v>83.6</v>
      </c>
      <c r="Y34" s="9">
        <v>2</v>
      </c>
      <c r="Z34" s="9">
        <v>26.4</v>
      </c>
      <c r="AA34" s="9"/>
      <c r="AB34" s="9">
        <f t="shared" si="10"/>
        <v>0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 spans="1:49" x14ac:dyDescent="0.25">
      <c r="A35" s="9" t="s">
        <v>64</v>
      </c>
      <c r="B35" s="9" t="s">
        <v>33</v>
      </c>
      <c r="C35" s="9">
        <v>126</v>
      </c>
      <c r="D35" s="9"/>
      <c r="E35" s="9"/>
      <c r="F35" s="9">
        <v>126</v>
      </c>
      <c r="G35" s="6">
        <v>0.18</v>
      </c>
      <c r="H35" s="9">
        <v>150</v>
      </c>
      <c r="I35" s="9"/>
      <c r="J35" s="9"/>
      <c r="K35" s="9">
        <v>142</v>
      </c>
      <c r="L35" s="9">
        <f t="shared" si="2"/>
        <v>-142</v>
      </c>
      <c r="M35" s="9"/>
      <c r="N35" s="9"/>
      <c r="O35" s="9"/>
      <c r="P35" s="9">
        <f t="shared" si="3"/>
        <v>0</v>
      </c>
      <c r="Q35" s="4"/>
      <c r="R35" s="4"/>
      <c r="S35" s="9" t="e">
        <f t="shared" si="4"/>
        <v>#DIV/0!</v>
      </c>
      <c r="T35" s="9" t="e">
        <f t="shared" si="5"/>
        <v>#DIV/0!</v>
      </c>
      <c r="U35" s="9">
        <v>-0.2</v>
      </c>
      <c r="V35" s="9">
        <v>0</v>
      </c>
      <c r="W35" s="9">
        <v>-0.4</v>
      </c>
      <c r="X35" s="9">
        <v>-0.4</v>
      </c>
      <c r="Y35" s="9">
        <v>0</v>
      </c>
      <c r="Z35" s="9">
        <v>0.2</v>
      </c>
      <c r="AA35" s="16" t="s">
        <v>37</v>
      </c>
      <c r="AB35" s="9">
        <f t="shared" si="10"/>
        <v>0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25">
      <c r="A36" s="9" t="s">
        <v>65</v>
      </c>
      <c r="B36" s="9" t="s">
        <v>33</v>
      </c>
      <c r="C36" s="9">
        <v>230</v>
      </c>
      <c r="D36" s="9">
        <v>230</v>
      </c>
      <c r="E36" s="14">
        <f>70+E39</f>
        <v>72</v>
      </c>
      <c r="F36" s="14">
        <f>370+F39</f>
        <v>366</v>
      </c>
      <c r="G36" s="6">
        <v>0.18</v>
      </c>
      <c r="H36" s="9">
        <v>120</v>
      </c>
      <c r="I36" s="9"/>
      <c r="J36" s="9"/>
      <c r="K36" s="9">
        <v>90</v>
      </c>
      <c r="L36" s="9">
        <f t="shared" si="2"/>
        <v>-18</v>
      </c>
      <c r="M36" s="9"/>
      <c r="N36" s="9"/>
      <c r="O36" s="9"/>
      <c r="P36" s="9">
        <f t="shared" si="3"/>
        <v>14.4</v>
      </c>
      <c r="Q36" s="4"/>
      <c r="R36" s="4"/>
      <c r="S36" s="9">
        <f t="shared" si="4"/>
        <v>25.416666666666664</v>
      </c>
      <c r="T36" s="9">
        <f t="shared" si="5"/>
        <v>25.416666666666664</v>
      </c>
      <c r="U36" s="9">
        <v>14.6</v>
      </c>
      <c r="V36" s="9">
        <v>27</v>
      </c>
      <c r="W36" s="9">
        <v>22.4</v>
      </c>
      <c r="X36" s="9">
        <v>19.2</v>
      </c>
      <c r="Y36" s="9">
        <v>19.2</v>
      </c>
      <c r="Z36" s="9">
        <v>17.399999999999999</v>
      </c>
      <c r="AA36" s="9"/>
      <c r="AB36" s="9">
        <f t="shared" si="10"/>
        <v>0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</row>
    <row r="37" spans="1:49" x14ac:dyDescent="0.25">
      <c r="A37" s="9" t="s">
        <v>66</v>
      </c>
      <c r="B37" s="9" t="s">
        <v>33</v>
      </c>
      <c r="C37" s="9">
        <v>470</v>
      </c>
      <c r="D37" s="9">
        <v>9</v>
      </c>
      <c r="E37" s="14">
        <f>311+E40</f>
        <v>313</v>
      </c>
      <c r="F37" s="14">
        <f>159+F40</f>
        <v>155</v>
      </c>
      <c r="G37" s="6">
        <v>0.18</v>
      </c>
      <c r="H37" s="9">
        <v>150</v>
      </c>
      <c r="I37" s="9"/>
      <c r="J37" s="9"/>
      <c r="K37" s="9">
        <v>320</v>
      </c>
      <c r="L37" s="9">
        <f t="shared" si="2"/>
        <v>-7</v>
      </c>
      <c r="M37" s="9"/>
      <c r="N37" s="9"/>
      <c r="O37" s="9">
        <v>750</v>
      </c>
      <c r="P37" s="9">
        <f t="shared" si="3"/>
        <v>62.6</v>
      </c>
      <c r="Q37" s="4">
        <f t="shared" si="11"/>
        <v>347</v>
      </c>
      <c r="R37" s="4">
        <f>VLOOKUP(A37,заказ!A:B,2,0)</f>
        <v>350</v>
      </c>
      <c r="S37" s="9">
        <f t="shared" si="4"/>
        <v>20</v>
      </c>
      <c r="T37" s="9">
        <f t="shared" si="5"/>
        <v>14.456869009584665</v>
      </c>
      <c r="U37" s="9">
        <v>65</v>
      </c>
      <c r="V37" s="9">
        <v>24.4</v>
      </c>
      <c r="W37" s="9">
        <v>46</v>
      </c>
      <c r="X37" s="9">
        <v>78</v>
      </c>
      <c r="Y37" s="9">
        <v>1.2</v>
      </c>
      <c r="Z37" s="9">
        <v>47.8</v>
      </c>
      <c r="AA37" s="9"/>
      <c r="AB37" s="9">
        <f t="shared" si="10"/>
        <v>62.46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25">
      <c r="A38" s="9" t="s">
        <v>67</v>
      </c>
      <c r="B38" s="9" t="s">
        <v>33</v>
      </c>
      <c r="C38" s="9">
        <v>152</v>
      </c>
      <c r="D38" s="9">
        <v>1044</v>
      </c>
      <c r="E38" s="14">
        <f>118+E41</f>
        <v>119</v>
      </c>
      <c r="F38" s="14">
        <f>1074+F41</f>
        <v>1073</v>
      </c>
      <c r="G38" s="6">
        <v>0.18</v>
      </c>
      <c r="H38" s="9">
        <v>120</v>
      </c>
      <c r="I38" s="9"/>
      <c r="J38" s="9"/>
      <c r="K38" s="9">
        <v>170</v>
      </c>
      <c r="L38" s="9">
        <f t="shared" ref="L38:L58" si="12">E38-K38</f>
        <v>-51</v>
      </c>
      <c r="M38" s="9"/>
      <c r="N38" s="9"/>
      <c r="O38" s="9"/>
      <c r="P38" s="9">
        <f t="shared" ref="P38:P58" si="13">E38/5</f>
        <v>23.8</v>
      </c>
      <c r="Q38" s="4"/>
      <c r="R38" s="4"/>
      <c r="S38" s="9">
        <f t="shared" ref="S38:S58" si="14">(F38+O38+Q38)/P38</f>
        <v>45.084033613445378</v>
      </c>
      <c r="T38" s="9">
        <f t="shared" ref="T38:T58" si="15">(F38+O38)/P38</f>
        <v>45.084033613445378</v>
      </c>
      <c r="U38" s="9">
        <v>17</v>
      </c>
      <c r="V38" s="9">
        <v>36.799999999999997</v>
      </c>
      <c r="W38" s="9">
        <v>22.6</v>
      </c>
      <c r="X38" s="9">
        <v>22</v>
      </c>
      <c r="Y38" s="9">
        <v>28.4</v>
      </c>
      <c r="Z38" s="9">
        <v>31.4</v>
      </c>
      <c r="AA38" s="16" t="s">
        <v>37</v>
      </c>
      <c r="AB38" s="9">
        <f t="shared" si="10"/>
        <v>0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</row>
    <row r="39" spans="1:49" x14ac:dyDescent="0.25">
      <c r="A39" s="10" t="s">
        <v>68</v>
      </c>
      <c r="B39" s="10" t="s">
        <v>33</v>
      </c>
      <c r="C39" s="10">
        <v>-2</v>
      </c>
      <c r="D39" s="10"/>
      <c r="E39" s="14">
        <v>2</v>
      </c>
      <c r="F39" s="14">
        <v>-4</v>
      </c>
      <c r="G39" s="11">
        <v>0</v>
      </c>
      <c r="H39" s="10"/>
      <c r="I39" s="10" t="s">
        <v>57</v>
      </c>
      <c r="J39" s="10" t="s">
        <v>65</v>
      </c>
      <c r="K39" s="10">
        <v>2</v>
      </c>
      <c r="L39" s="10">
        <f t="shared" si="12"/>
        <v>0</v>
      </c>
      <c r="M39" s="10"/>
      <c r="N39" s="10"/>
      <c r="O39" s="10"/>
      <c r="P39" s="10">
        <f t="shared" si="13"/>
        <v>0.4</v>
      </c>
      <c r="Q39" s="12"/>
      <c r="R39" s="4"/>
      <c r="S39" s="10">
        <f t="shared" si="14"/>
        <v>-10</v>
      </c>
      <c r="T39" s="10">
        <f t="shared" si="15"/>
        <v>-10</v>
      </c>
      <c r="U39" s="10">
        <v>0</v>
      </c>
      <c r="V39" s="10">
        <v>0.4</v>
      </c>
      <c r="W39" s="10">
        <v>0</v>
      </c>
      <c r="X39" s="10">
        <v>0</v>
      </c>
      <c r="Y39" s="10">
        <v>0</v>
      </c>
      <c r="Z39" s="10">
        <v>0</v>
      </c>
      <c r="AA39" s="10"/>
      <c r="AB39" s="10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25">
      <c r="A40" s="10" t="s">
        <v>69</v>
      </c>
      <c r="B40" s="10" t="s">
        <v>33</v>
      </c>
      <c r="C40" s="10">
        <v>-2</v>
      </c>
      <c r="D40" s="10"/>
      <c r="E40" s="14">
        <v>2</v>
      </c>
      <c r="F40" s="14">
        <v>-4</v>
      </c>
      <c r="G40" s="11">
        <v>0</v>
      </c>
      <c r="H40" s="10"/>
      <c r="I40" s="10" t="s">
        <v>57</v>
      </c>
      <c r="J40" s="10" t="s">
        <v>66</v>
      </c>
      <c r="K40" s="10">
        <v>2</v>
      </c>
      <c r="L40" s="10">
        <f t="shared" si="12"/>
        <v>0</v>
      </c>
      <c r="M40" s="10"/>
      <c r="N40" s="10"/>
      <c r="O40" s="10"/>
      <c r="P40" s="10">
        <f t="shared" si="13"/>
        <v>0.4</v>
      </c>
      <c r="Q40" s="12"/>
      <c r="R40" s="4"/>
      <c r="S40" s="10">
        <f t="shared" si="14"/>
        <v>-10</v>
      </c>
      <c r="T40" s="10">
        <f t="shared" si="15"/>
        <v>-10</v>
      </c>
      <c r="U40" s="10">
        <v>0</v>
      </c>
      <c r="V40" s="10">
        <v>0.4</v>
      </c>
      <c r="W40" s="10">
        <v>0</v>
      </c>
      <c r="X40" s="10">
        <v>0</v>
      </c>
      <c r="Y40" s="10">
        <v>0</v>
      </c>
      <c r="Z40" s="10">
        <v>0</v>
      </c>
      <c r="AA40" s="10"/>
      <c r="AB40" s="10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</row>
    <row r="41" spans="1:49" x14ac:dyDescent="0.25">
      <c r="A41" s="10" t="s">
        <v>70</v>
      </c>
      <c r="B41" s="10" t="s">
        <v>33</v>
      </c>
      <c r="C41" s="10"/>
      <c r="D41" s="10"/>
      <c r="E41" s="14">
        <v>1</v>
      </c>
      <c r="F41" s="14">
        <v>-1</v>
      </c>
      <c r="G41" s="11">
        <v>0</v>
      </c>
      <c r="H41" s="10"/>
      <c r="I41" s="13" t="s">
        <v>57</v>
      </c>
      <c r="J41" s="10" t="s">
        <v>67</v>
      </c>
      <c r="K41" s="10">
        <v>1</v>
      </c>
      <c r="L41" s="10">
        <f t="shared" si="12"/>
        <v>0</v>
      </c>
      <c r="M41" s="10"/>
      <c r="N41" s="10"/>
      <c r="O41" s="10"/>
      <c r="P41" s="10">
        <f t="shared" si="13"/>
        <v>0.2</v>
      </c>
      <c r="Q41" s="12"/>
      <c r="R41" s="4"/>
      <c r="S41" s="10">
        <f t="shared" si="14"/>
        <v>-5</v>
      </c>
      <c r="T41" s="10">
        <f t="shared" si="15"/>
        <v>-5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/>
      <c r="AB41" s="10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25">
      <c r="A42" s="10" t="s">
        <v>71</v>
      </c>
      <c r="B42" s="10" t="s">
        <v>33</v>
      </c>
      <c r="C42" s="10">
        <v>-3</v>
      </c>
      <c r="D42" s="10"/>
      <c r="E42" s="14">
        <v>1</v>
      </c>
      <c r="F42" s="14">
        <v>-4</v>
      </c>
      <c r="G42" s="11">
        <v>0</v>
      </c>
      <c r="H42" s="10"/>
      <c r="I42" s="10" t="s">
        <v>57</v>
      </c>
      <c r="J42" s="10" t="s">
        <v>72</v>
      </c>
      <c r="K42" s="10">
        <v>7</v>
      </c>
      <c r="L42" s="10">
        <f t="shared" si="12"/>
        <v>-6</v>
      </c>
      <c r="M42" s="10"/>
      <c r="N42" s="10"/>
      <c r="O42" s="10"/>
      <c r="P42" s="10">
        <f t="shared" si="13"/>
        <v>0.2</v>
      </c>
      <c r="Q42" s="12"/>
      <c r="R42" s="4"/>
      <c r="S42" s="10">
        <f t="shared" si="14"/>
        <v>-20</v>
      </c>
      <c r="T42" s="10">
        <f t="shared" si="15"/>
        <v>-20</v>
      </c>
      <c r="U42" s="10">
        <v>0.6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/>
      <c r="AB42" s="10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</row>
    <row r="43" spans="1:49" x14ac:dyDescent="0.25">
      <c r="A43" s="9" t="s">
        <v>73</v>
      </c>
      <c r="B43" s="9" t="s">
        <v>33</v>
      </c>
      <c r="C43" s="9">
        <v>107</v>
      </c>
      <c r="D43" s="9">
        <v>25</v>
      </c>
      <c r="E43" s="9">
        <v>15</v>
      </c>
      <c r="F43" s="9">
        <v>114</v>
      </c>
      <c r="G43" s="6">
        <v>0.1</v>
      </c>
      <c r="H43" s="9"/>
      <c r="I43" s="9"/>
      <c r="J43" s="9"/>
      <c r="K43" s="9">
        <v>18</v>
      </c>
      <c r="L43" s="9">
        <f t="shared" si="12"/>
        <v>-3</v>
      </c>
      <c r="M43" s="9"/>
      <c r="N43" s="9"/>
      <c r="O43" s="9"/>
      <c r="P43" s="9">
        <f t="shared" si="13"/>
        <v>3</v>
      </c>
      <c r="Q43" s="4"/>
      <c r="R43" s="4"/>
      <c r="S43" s="9">
        <f t="shared" si="14"/>
        <v>38</v>
      </c>
      <c r="T43" s="9">
        <f t="shared" si="15"/>
        <v>38</v>
      </c>
      <c r="U43" s="9">
        <v>1.8</v>
      </c>
      <c r="V43" s="9">
        <v>7.4</v>
      </c>
      <c r="W43" s="9">
        <v>7.2</v>
      </c>
      <c r="X43" s="9">
        <v>10.4</v>
      </c>
      <c r="Y43" s="9">
        <v>3.8</v>
      </c>
      <c r="Z43" s="9">
        <v>3.2</v>
      </c>
      <c r="AA43" s="16" t="s">
        <v>37</v>
      </c>
      <c r="AB43" s="9">
        <f>G43*Q43</f>
        <v>0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</row>
    <row r="44" spans="1:49" x14ac:dyDescent="0.25">
      <c r="A44" s="9" t="s">
        <v>74</v>
      </c>
      <c r="B44" s="9" t="s">
        <v>33</v>
      </c>
      <c r="C44" s="9">
        <v>66</v>
      </c>
      <c r="D44" s="9">
        <v>41</v>
      </c>
      <c r="E44" s="9">
        <v>27</v>
      </c>
      <c r="F44" s="9">
        <v>74</v>
      </c>
      <c r="G44" s="6">
        <v>0.14000000000000001</v>
      </c>
      <c r="H44" s="9">
        <v>180</v>
      </c>
      <c r="I44" s="9"/>
      <c r="J44" s="9"/>
      <c r="K44" s="9">
        <v>33</v>
      </c>
      <c r="L44" s="9">
        <f t="shared" si="12"/>
        <v>-6</v>
      </c>
      <c r="M44" s="9"/>
      <c r="N44" s="9"/>
      <c r="O44" s="9"/>
      <c r="P44" s="9">
        <f t="shared" si="13"/>
        <v>5.4</v>
      </c>
      <c r="Q44" s="4">
        <f t="shared" ref="Q44" si="16">20*P44-O44-F44</f>
        <v>34</v>
      </c>
      <c r="R44" s="4">
        <f>VLOOKUP(A44,заказ!A:B,2,0)</f>
        <v>32</v>
      </c>
      <c r="S44" s="9">
        <f t="shared" si="14"/>
        <v>20</v>
      </c>
      <c r="T44" s="9">
        <f t="shared" si="15"/>
        <v>13.703703703703702</v>
      </c>
      <c r="U44" s="9">
        <v>3.4</v>
      </c>
      <c r="V44" s="9">
        <v>5.6</v>
      </c>
      <c r="W44" s="9">
        <v>1.8</v>
      </c>
      <c r="X44" s="9">
        <v>5.4</v>
      </c>
      <c r="Y44" s="9">
        <v>7</v>
      </c>
      <c r="Z44" s="9">
        <v>2.4</v>
      </c>
      <c r="AA44" s="9"/>
      <c r="AB44" s="9">
        <f>G44*Q44</f>
        <v>4.7600000000000007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</row>
    <row r="45" spans="1:49" x14ac:dyDescent="0.25">
      <c r="A45" s="9" t="s">
        <v>72</v>
      </c>
      <c r="B45" s="9" t="s">
        <v>33</v>
      </c>
      <c r="C45" s="9">
        <v>118</v>
      </c>
      <c r="D45" s="9">
        <v>163</v>
      </c>
      <c r="E45" s="14">
        <f>57+E42</f>
        <v>58</v>
      </c>
      <c r="F45" s="14">
        <f>221+F42</f>
        <v>217</v>
      </c>
      <c r="G45" s="6">
        <v>0.18</v>
      </c>
      <c r="H45" s="9">
        <v>270</v>
      </c>
      <c r="I45" s="9"/>
      <c r="J45" s="9"/>
      <c r="K45" s="9">
        <v>60</v>
      </c>
      <c r="L45" s="9">
        <f t="shared" si="12"/>
        <v>-2</v>
      </c>
      <c r="M45" s="9"/>
      <c r="N45" s="9"/>
      <c r="O45" s="9">
        <v>128</v>
      </c>
      <c r="P45" s="9">
        <f t="shared" si="13"/>
        <v>11.6</v>
      </c>
      <c r="Q45" s="4"/>
      <c r="R45" s="4"/>
      <c r="S45" s="9">
        <f t="shared" si="14"/>
        <v>29.741379310344829</v>
      </c>
      <c r="T45" s="9">
        <f t="shared" si="15"/>
        <v>29.741379310344829</v>
      </c>
      <c r="U45" s="9">
        <v>20.2</v>
      </c>
      <c r="V45" s="9">
        <v>18.600000000000001</v>
      </c>
      <c r="W45" s="9">
        <v>15.4</v>
      </c>
      <c r="X45" s="9">
        <v>13.4</v>
      </c>
      <c r="Y45" s="9">
        <v>17</v>
      </c>
      <c r="Z45" s="9">
        <v>8.8000000000000007</v>
      </c>
      <c r="AA45" s="9"/>
      <c r="AB45" s="9">
        <f>G45*Q45</f>
        <v>0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x14ac:dyDescent="0.25">
      <c r="A46" s="9" t="s">
        <v>75</v>
      </c>
      <c r="B46" s="9" t="s">
        <v>30</v>
      </c>
      <c r="C46" s="9">
        <v>175.744</v>
      </c>
      <c r="D46" s="9">
        <v>6.1360000000000001</v>
      </c>
      <c r="E46" s="9">
        <v>20.602</v>
      </c>
      <c r="F46" s="9">
        <v>158.142</v>
      </c>
      <c r="G46" s="6">
        <v>1</v>
      </c>
      <c r="H46" s="9"/>
      <c r="I46" s="9"/>
      <c r="J46" s="9"/>
      <c r="K46" s="9">
        <v>23.306000000000001</v>
      </c>
      <c r="L46" s="9">
        <f t="shared" si="12"/>
        <v>-2.7040000000000006</v>
      </c>
      <c r="M46" s="9"/>
      <c r="N46" s="9"/>
      <c r="O46" s="9"/>
      <c r="P46" s="9">
        <f t="shared" si="13"/>
        <v>4.1204000000000001</v>
      </c>
      <c r="Q46" s="4"/>
      <c r="R46" s="4"/>
      <c r="S46" s="9">
        <f t="shared" si="14"/>
        <v>38.380254344238423</v>
      </c>
      <c r="T46" s="9">
        <f t="shared" si="15"/>
        <v>38.380254344238423</v>
      </c>
      <c r="U46" s="9">
        <v>1.3091999999999999</v>
      </c>
      <c r="V46" s="9">
        <v>4.6416000000000004</v>
      </c>
      <c r="W46" s="9">
        <v>1.8744000000000001</v>
      </c>
      <c r="X46" s="9">
        <v>3.3104</v>
      </c>
      <c r="Y46" s="9">
        <v>5.3731999999999998</v>
      </c>
      <c r="Z46" s="9">
        <v>10.0892</v>
      </c>
      <c r="AA46" s="16" t="s">
        <v>37</v>
      </c>
      <c r="AB46" s="9">
        <f>G46*Q46</f>
        <v>0</v>
      </c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</row>
    <row r="47" spans="1:49" x14ac:dyDescent="0.25">
      <c r="A47" s="9" t="s">
        <v>76</v>
      </c>
      <c r="B47" s="9" t="s">
        <v>30</v>
      </c>
      <c r="C47" s="9">
        <v>137.13999999999999</v>
      </c>
      <c r="D47" s="9">
        <v>9.4339999999999993</v>
      </c>
      <c r="E47" s="9">
        <v>18.995999999999999</v>
      </c>
      <c r="F47" s="9">
        <v>111.324</v>
      </c>
      <c r="G47" s="6">
        <v>1</v>
      </c>
      <c r="H47" s="9"/>
      <c r="I47" s="9"/>
      <c r="J47" s="9"/>
      <c r="K47" s="9">
        <v>32.5</v>
      </c>
      <c r="L47" s="9">
        <f t="shared" si="12"/>
        <v>-13.504000000000001</v>
      </c>
      <c r="M47" s="9"/>
      <c r="N47" s="9"/>
      <c r="O47" s="9"/>
      <c r="P47" s="9">
        <f t="shared" si="13"/>
        <v>3.7991999999999999</v>
      </c>
      <c r="Q47" s="4"/>
      <c r="R47" s="4"/>
      <c r="S47" s="9">
        <f t="shared" si="14"/>
        <v>29.301958307012004</v>
      </c>
      <c r="T47" s="9">
        <f t="shared" si="15"/>
        <v>29.301958307012004</v>
      </c>
      <c r="U47" s="9">
        <v>2.6511999999999998</v>
      </c>
      <c r="V47" s="9">
        <v>1.9648000000000001</v>
      </c>
      <c r="W47" s="9">
        <v>5.1787999999999998</v>
      </c>
      <c r="X47" s="9">
        <v>3.278</v>
      </c>
      <c r="Y47" s="9">
        <v>0</v>
      </c>
      <c r="Z47" s="9">
        <v>0</v>
      </c>
      <c r="AA47" s="16" t="s">
        <v>37</v>
      </c>
      <c r="AB47" s="9">
        <f>G47*Q47</f>
        <v>0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x14ac:dyDescent="0.25">
      <c r="A48" s="10" t="s">
        <v>77</v>
      </c>
      <c r="B48" s="10" t="s">
        <v>30</v>
      </c>
      <c r="C48" s="10">
        <v>-2.5099999999999998</v>
      </c>
      <c r="D48" s="10">
        <v>1.27</v>
      </c>
      <c r="E48" s="14">
        <v>3.3119999999999998</v>
      </c>
      <c r="F48" s="14">
        <v>-4.5519999999999996</v>
      </c>
      <c r="G48" s="11">
        <v>0</v>
      </c>
      <c r="H48" s="10"/>
      <c r="I48" s="10" t="s">
        <v>57</v>
      </c>
      <c r="J48" s="10" t="s">
        <v>29</v>
      </c>
      <c r="K48" s="10">
        <v>3</v>
      </c>
      <c r="L48" s="10">
        <f t="shared" si="12"/>
        <v>0.31199999999999983</v>
      </c>
      <c r="M48" s="10"/>
      <c r="N48" s="10"/>
      <c r="O48" s="10"/>
      <c r="P48" s="10">
        <f t="shared" si="13"/>
        <v>0.66239999999999999</v>
      </c>
      <c r="Q48" s="12"/>
      <c r="R48" s="4"/>
      <c r="S48" s="10">
        <f t="shared" si="14"/>
        <v>-6.8719806763285023</v>
      </c>
      <c r="T48" s="10">
        <f t="shared" si="15"/>
        <v>-6.8719806763285023</v>
      </c>
      <c r="U48" s="10">
        <v>0.248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/>
      <c r="AB48" s="10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</row>
    <row r="49" spans="1:49" x14ac:dyDescent="0.25">
      <c r="A49" s="9" t="s">
        <v>78</v>
      </c>
      <c r="B49" s="9" t="s">
        <v>30</v>
      </c>
      <c r="C49" s="9">
        <v>181.65799999999999</v>
      </c>
      <c r="D49" s="9"/>
      <c r="E49" s="9">
        <v>64.807000000000002</v>
      </c>
      <c r="F49" s="9">
        <v>116.851</v>
      </c>
      <c r="G49" s="6">
        <v>1</v>
      </c>
      <c r="H49" s="9">
        <v>120</v>
      </c>
      <c r="I49" s="9"/>
      <c r="J49" s="9"/>
      <c r="K49" s="9">
        <v>67.599999999999994</v>
      </c>
      <c r="L49" s="9">
        <f t="shared" si="12"/>
        <v>-2.7929999999999922</v>
      </c>
      <c r="M49" s="9"/>
      <c r="N49" s="9"/>
      <c r="O49" s="9"/>
      <c r="P49" s="9">
        <f t="shared" si="13"/>
        <v>12.961400000000001</v>
      </c>
      <c r="Q49" s="4">
        <f>18*P49-O49-F49</f>
        <v>116.45420000000001</v>
      </c>
      <c r="R49" s="4">
        <f>VLOOKUP(A49,заказ!A:B,2,0)</f>
        <v>116</v>
      </c>
      <c r="S49" s="9">
        <f t="shared" si="14"/>
        <v>18</v>
      </c>
      <c r="T49" s="9">
        <f t="shared" si="15"/>
        <v>9.0153069884426049</v>
      </c>
      <c r="U49" s="9">
        <v>7.6576000000000004</v>
      </c>
      <c r="V49" s="9">
        <v>5.2435999999999998</v>
      </c>
      <c r="W49" s="9">
        <v>8.76</v>
      </c>
      <c r="X49" s="9">
        <v>11.757999999999999</v>
      </c>
      <c r="Y49" s="9">
        <v>13.148400000000001</v>
      </c>
      <c r="Z49" s="9">
        <v>6.5208000000000004</v>
      </c>
      <c r="AA49" s="9"/>
      <c r="AB49" s="9">
        <f t="shared" ref="AB49:AB56" si="17">G49*Q49</f>
        <v>116.45420000000001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x14ac:dyDescent="0.25">
      <c r="A50" s="9" t="s">
        <v>79</v>
      </c>
      <c r="B50" s="9" t="s">
        <v>30</v>
      </c>
      <c r="C50" s="9">
        <v>152.24199999999999</v>
      </c>
      <c r="D50" s="9">
        <v>3.8860000000000001</v>
      </c>
      <c r="E50" s="9">
        <v>25.78</v>
      </c>
      <c r="F50" s="9">
        <v>129.542</v>
      </c>
      <c r="G50" s="6">
        <v>1</v>
      </c>
      <c r="H50" s="9"/>
      <c r="I50" s="9"/>
      <c r="J50" s="9"/>
      <c r="K50" s="9">
        <v>27</v>
      </c>
      <c r="L50" s="9">
        <f t="shared" si="12"/>
        <v>-1.2199999999999989</v>
      </c>
      <c r="M50" s="9"/>
      <c r="N50" s="9"/>
      <c r="O50" s="9"/>
      <c r="P50" s="9">
        <f t="shared" si="13"/>
        <v>5.1560000000000006</v>
      </c>
      <c r="Q50" s="4"/>
      <c r="R50" s="4"/>
      <c r="S50" s="9">
        <f t="shared" si="14"/>
        <v>25.124515128006205</v>
      </c>
      <c r="T50" s="9">
        <f t="shared" si="15"/>
        <v>25.124515128006205</v>
      </c>
      <c r="U50" s="9">
        <v>0.63280000000000003</v>
      </c>
      <c r="V50" s="9">
        <v>2.4144000000000001</v>
      </c>
      <c r="W50" s="9">
        <v>3.694</v>
      </c>
      <c r="X50" s="9">
        <v>1.24</v>
      </c>
      <c r="Y50" s="9">
        <v>0.59599999999999997</v>
      </c>
      <c r="Z50" s="9">
        <v>6.4363999999999999</v>
      </c>
      <c r="AA50" s="16" t="s">
        <v>37</v>
      </c>
      <c r="AB50" s="9">
        <f t="shared" si="17"/>
        <v>0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</row>
    <row r="51" spans="1:49" x14ac:dyDescent="0.25">
      <c r="A51" s="9" t="s">
        <v>80</v>
      </c>
      <c r="B51" s="9" t="s">
        <v>33</v>
      </c>
      <c r="C51" s="9">
        <v>711</v>
      </c>
      <c r="D51" s="9">
        <v>29</v>
      </c>
      <c r="E51" s="9">
        <v>270</v>
      </c>
      <c r="F51" s="9">
        <v>438</v>
      </c>
      <c r="G51" s="6">
        <v>0.1</v>
      </c>
      <c r="H51" s="9">
        <v>60</v>
      </c>
      <c r="I51" s="9"/>
      <c r="J51" s="9"/>
      <c r="K51" s="9">
        <v>297</v>
      </c>
      <c r="L51" s="9">
        <f t="shared" si="12"/>
        <v>-27</v>
      </c>
      <c r="M51" s="9"/>
      <c r="N51" s="9"/>
      <c r="O51" s="9"/>
      <c r="P51" s="9">
        <f t="shared" si="13"/>
        <v>54</v>
      </c>
      <c r="Q51" s="4">
        <f t="shared" ref="Q51:Q58" si="18">20*P51-O51-F51</f>
        <v>642</v>
      </c>
      <c r="R51" s="4">
        <f>VLOOKUP(A51,заказ!A:B,2,0)</f>
        <v>642</v>
      </c>
      <c r="S51" s="9">
        <f t="shared" si="14"/>
        <v>20</v>
      </c>
      <c r="T51" s="9">
        <f t="shared" si="15"/>
        <v>8.1111111111111107</v>
      </c>
      <c r="U51" s="9">
        <v>0.6</v>
      </c>
      <c r="V51" s="9">
        <v>34</v>
      </c>
      <c r="W51" s="9">
        <v>68</v>
      </c>
      <c r="X51" s="9">
        <v>12.8</v>
      </c>
      <c r="Y51" s="9">
        <v>13</v>
      </c>
      <c r="Z51" s="9">
        <v>87.8</v>
      </c>
      <c r="AA51" s="9"/>
      <c r="AB51" s="9">
        <f t="shared" si="17"/>
        <v>64.2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x14ac:dyDescent="0.25">
      <c r="A52" s="9" t="s">
        <v>81</v>
      </c>
      <c r="B52" s="9" t="s">
        <v>33</v>
      </c>
      <c r="C52" s="9">
        <v>16</v>
      </c>
      <c r="D52" s="9">
        <v>390</v>
      </c>
      <c r="E52" s="9">
        <v>76</v>
      </c>
      <c r="F52" s="9">
        <v>329</v>
      </c>
      <c r="G52" s="6">
        <v>0.1</v>
      </c>
      <c r="H52" s="9">
        <v>90</v>
      </c>
      <c r="I52" s="9"/>
      <c r="J52" s="9"/>
      <c r="K52" s="9">
        <v>184</v>
      </c>
      <c r="L52" s="9">
        <f t="shared" si="12"/>
        <v>-108</v>
      </c>
      <c r="M52" s="9"/>
      <c r="N52" s="9"/>
      <c r="O52" s="9">
        <v>588</v>
      </c>
      <c r="P52" s="9">
        <f t="shared" si="13"/>
        <v>15.2</v>
      </c>
      <c r="Q52" s="4"/>
      <c r="R52" s="4"/>
      <c r="S52" s="9">
        <f t="shared" si="14"/>
        <v>60.328947368421055</v>
      </c>
      <c r="T52" s="9">
        <f t="shared" si="15"/>
        <v>60.328947368421055</v>
      </c>
      <c r="U52" s="9">
        <v>49.6</v>
      </c>
      <c r="V52" s="9">
        <v>33.200000000000003</v>
      </c>
      <c r="W52" s="9">
        <v>22.2</v>
      </c>
      <c r="X52" s="9">
        <v>30.2</v>
      </c>
      <c r="Y52" s="9">
        <v>35.799999999999997</v>
      </c>
      <c r="Z52" s="9">
        <v>48.4</v>
      </c>
      <c r="AA52" s="9"/>
      <c r="AB52" s="9">
        <f t="shared" si="17"/>
        <v>0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</row>
    <row r="53" spans="1:49" x14ac:dyDescent="0.25">
      <c r="A53" s="9" t="s">
        <v>82</v>
      </c>
      <c r="B53" s="9" t="s">
        <v>33</v>
      </c>
      <c r="C53" s="9">
        <v>143</v>
      </c>
      <c r="D53" s="9">
        <v>57</v>
      </c>
      <c r="E53" s="9">
        <v>41</v>
      </c>
      <c r="F53" s="9">
        <v>152</v>
      </c>
      <c r="G53" s="6">
        <v>0.14000000000000001</v>
      </c>
      <c r="H53" s="9">
        <v>180</v>
      </c>
      <c r="I53" s="9"/>
      <c r="J53" s="9"/>
      <c r="K53" s="9">
        <v>48</v>
      </c>
      <c r="L53" s="9">
        <f t="shared" si="12"/>
        <v>-7</v>
      </c>
      <c r="M53" s="9"/>
      <c r="N53" s="9"/>
      <c r="O53" s="9"/>
      <c r="P53" s="9">
        <f t="shared" si="13"/>
        <v>8.1999999999999993</v>
      </c>
      <c r="Q53" s="4"/>
      <c r="R53" s="4"/>
      <c r="S53" s="9">
        <f t="shared" si="14"/>
        <v>18.536585365853661</v>
      </c>
      <c r="T53" s="9">
        <f t="shared" si="15"/>
        <v>18.536585365853661</v>
      </c>
      <c r="U53" s="9">
        <v>4.8</v>
      </c>
      <c r="V53" s="9">
        <v>10.6</v>
      </c>
      <c r="W53" s="9">
        <v>3.4</v>
      </c>
      <c r="X53" s="9">
        <v>6.2</v>
      </c>
      <c r="Y53" s="9">
        <v>13.4</v>
      </c>
      <c r="Z53" s="9">
        <v>5</v>
      </c>
      <c r="AA53" s="9"/>
      <c r="AB53" s="9">
        <f t="shared" si="17"/>
        <v>0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x14ac:dyDescent="0.25">
      <c r="A54" s="9" t="s">
        <v>83</v>
      </c>
      <c r="B54" s="9" t="s">
        <v>33</v>
      </c>
      <c r="C54" s="9">
        <v>128</v>
      </c>
      <c r="D54" s="9"/>
      <c r="E54" s="9">
        <v>26</v>
      </c>
      <c r="F54" s="9">
        <v>101</v>
      </c>
      <c r="G54" s="6">
        <v>0.2</v>
      </c>
      <c r="H54" s="9"/>
      <c r="I54" s="9"/>
      <c r="J54" s="9"/>
      <c r="K54" s="9">
        <v>27</v>
      </c>
      <c r="L54" s="9">
        <f t="shared" si="12"/>
        <v>-1</v>
      </c>
      <c r="M54" s="9"/>
      <c r="N54" s="9"/>
      <c r="O54" s="9"/>
      <c r="P54" s="9">
        <f t="shared" si="13"/>
        <v>5.2</v>
      </c>
      <c r="Q54" s="4"/>
      <c r="R54" s="4"/>
      <c r="S54" s="9">
        <f t="shared" si="14"/>
        <v>19.423076923076923</v>
      </c>
      <c r="T54" s="9">
        <f t="shared" si="15"/>
        <v>19.423076923076923</v>
      </c>
      <c r="U54" s="9">
        <v>4.8</v>
      </c>
      <c r="V54" s="9">
        <v>7.8</v>
      </c>
      <c r="W54" s="9">
        <v>7.4</v>
      </c>
      <c r="X54" s="9">
        <v>2.2000000000000002</v>
      </c>
      <c r="Y54" s="9">
        <v>12</v>
      </c>
      <c r="Z54" s="9">
        <v>9.1999999999999993</v>
      </c>
      <c r="AA54" s="15" t="s">
        <v>31</v>
      </c>
      <c r="AB54" s="9">
        <f t="shared" si="17"/>
        <v>0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</row>
    <row r="55" spans="1:49" x14ac:dyDescent="0.25">
      <c r="A55" s="9" t="s">
        <v>84</v>
      </c>
      <c r="B55" s="9" t="s">
        <v>30</v>
      </c>
      <c r="C55" s="9">
        <v>99.513000000000005</v>
      </c>
      <c r="D55" s="9">
        <v>235.79</v>
      </c>
      <c r="E55" s="9">
        <v>3.246</v>
      </c>
      <c r="F55" s="9">
        <v>332.05700000000002</v>
      </c>
      <c r="G55" s="6">
        <v>1</v>
      </c>
      <c r="H55" s="9"/>
      <c r="I55" s="9"/>
      <c r="J55" s="9"/>
      <c r="K55" s="9">
        <v>3.5</v>
      </c>
      <c r="L55" s="9">
        <f t="shared" si="12"/>
        <v>-0.254</v>
      </c>
      <c r="M55" s="9"/>
      <c r="N55" s="9"/>
      <c r="O55" s="9"/>
      <c r="P55" s="9">
        <f t="shared" si="13"/>
        <v>0.6492</v>
      </c>
      <c r="Q55" s="4"/>
      <c r="R55" s="4"/>
      <c r="S55" s="9">
        <f t="shared" si="14"/>
        <v>511.48644485520646</v>
      </c>
      <c r="T55" s="9">
        <f t="shared" si="15"/>
        <v>511.48644485520646</v>
      </c>
      <c r="U55" s="9">
        <v>6.3916000000000004</v>
      </c>
      <c r="V55" s="9">
        <v>34.374000000000002</v>
      </c>
      <c r="W55" s="9">
        <v>1.9136</v>
      </c>
      <c r="X55" s="9">
        <v>2.6507999999999998</v>
      </c>
      <c r="Y55" s="9">
        <v>1.1095999999999999</v>
      </c>
      <c r="Z55" s="9">
        <v>2.7692000000000001</v>
      </c>
      <c r="AA55" s="16" t="s">
        <v>37</v>
      </c>
      <c r="AB55" s="9">
        <f t="shared" si="17"/>
        <v>0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x14ac:dyDescent="0.25">
      <c r="A56" s="9" t="s">
        <v>85</v>
      </c>
      <c r="B56" s="9" t="s">
        <v>33</v>
      </c>
      <c r="C56" s="9">
        <v>42</v>
      </c>
      <c r="D56" s="9">
        <v>80</v>
      </c>
      <c r="E56" s="14">
        <f>8+E57</f>
        <v>20</v>
      </c>
      <c r="F56" s="14">
        <f>91+F57</f>
        <v>79</v>
      </c>
      <c r="G56" s="6">
        <v>0.2</v>
      </c>
      <c r="H56" s="9"/>
      <c r="I56" s="9"/>
      <c r="J56" s="9"/>
      <c r="K56" s="9">
        <v>52</v>
      </c>
      <c r="L56" s="9">
        <f t="shared" si="12"/>
        <v>-32</v>
      </c>
      <c r="M56" s="9"/>
      <c r="N56" s="9"/>
      <c r="O56" s="9"/>
      <c r="P56" s="9">
        <f t="shared" si="13"/>
        <v>4</v>
      </c>
      <c r="Q56" s="4"/>
      <c r="R56" s="4"/>
      <c r="S56" s="9">
        <f t="shared" si="14"/>
        <v>19.75</v>
      </c>
      <c r="T56" s="9">
        <f t="shared" si="15"/>
        <v>19.75</v>
      </c>
      <c r="U56" s="9">
        <v>0.6</v>
      </c>
      <c r="V56" s="9">
        <v>5.4</v>
      </c>
      <c r="W56" s="9">
        <v>3.8</v>
      </c>
      <c r="X56" s="9">
        <v>2</v>
      </c>
      <c r="Y56" s="9">
        <v>2.4</v>
      </c>
      <c r="Z56" s="9">
        <v>3.4</v>
      </c>
      <c r="AA56" s="9"/>
      <c r="AB56" s="9">
        <f t="shared" si="17"/>
        <v>0</v>
      </c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</row>
    <row r="57" spans="1:49" x14ac:dyDescent="0.25">
      <c r="A57" s="9" t="s">
        <v>86</v>
      </c>
      <c r="B57" s="9" t="s">
        <v>33</v>
      </c>
      <c r="C57" s="9"/>
      <c r="D57" s="9"/>
      <c r="E57" s="14">
        <v>12</v>
      </c>
      <c r="F57" s="14">
        <v>-12</v>
      </c>
      <c r="G57" s="6"/>
      <c r="H57" s="9"/>
      <c r="I57" s="8" t="s">
        <v>57</v>
      </c>
      <c r="J57" s="8" t="s">
        <v>85</v>
      </c>
      <c r="K57" s="9">
        <v>12</v>
      </c>
      <c r="L57" s="9">
        <f t="shared" si="12"/>
        <v>0</v>
      </c>
      <c r="M57" s="9"/>
      <c r="N57" s="9"/>
      <c r="O57" s="9"/>
      <c r="P57" s="9">
        <f t="shared" si="13"/>
        <v>2.4</v>
      </c>
      <c r="Q57" s="4">
        <f t="shared" si="18"/>
        <v>60</v>
      </c>
      <c r="R57" s="4">
        <f>VLOOKUP(A57,заказ!A:B,2,0)</f>
        <v>60</v>
      </c>
      <c r="S57" s="9">
        <f t="shared" si="14"/>
        <v>20</v>
      </c>
      <c r="T57" s="9">
        <f t="shared" si="15"/>
        <v>-5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x14ac:dyDescent="0.25">
      <c r="A58" s="9" t="s">
        <v>87</v>
      </c>
      <c r="B58" s="9" t="s">
        <v>30</v>
      </c>
      <c r="C58" s="9">
        <v>56.154000000000003</v>
      </c>
      <c r="D58" s="9">
        <v>17.222000000000001</v>
      </c>
      <c r="E58" s="9">
        <v>50.676000000000002</v>
      </c>
      <c r="F58" s="9">
        <v>19.079999999999998</v>
      </c>
      <c r="G58" s="6">
        <v>1</v>
      </c>
      <c r="H58" s="9"/>
      <c r="I58" s="9"/>
      <c r="J58" s="9"/>
      <c r="K58" s="9">
        <v>49.3</v>
      </c>
      <c r="L58" s="9">
        <f t="shared" si="12"/>
        <v>1.3760000000000048</v>
      </c>
      <c r="M58" s="9"/>
      <c r="N58" s="9"/>
      <c r="O58" s="9">
        <v>150</v>
      </c>
      <c r="P58" s="9">
        <f t="shared" si="13"/>
        <v>10.135200000000001</v>
      </c>
      <c r="Q58" s="4">
        <f t="shared" si="18"/>
        <v>33.624000000000009</v>
      </c>
      <c r="R58" s="4">
        <f>VLOOKUP(A58,заказ!A:B,2,0)</f>
        <v>30</v>
      </c>
      <c r="S58" s="9">
        <f t="shared" si="14"/>
        <v>20</v>
      </c>
      <c r="T58" s="9">
        <f t="shared" si="15"/>
        <v>16.682453232299309</v>
      </c>
      <c r="U58" s="9">
        <v>11.611599999999999</v>
      </c>
      <c r="V58" s="9">
        <v>6.7152000000000003</v>
      </c>
      <c r="W58" s="9">
        <v>5.1492000000000004</v>
      </c>
      <c r="X58" s="9">
        <v>9.7072000000000003</v>
      </c>
      <c r="Y58" s="9">
        <v>6.5612000000000004</v>
      </c>
      <c r="Z58" s="9">
        <v>6.3895999999999997</v>
      </c>
      <c r="AA58" s="9"/>
      <c r="AB58" s="9">
        <f>G58*Q58</f>
        <v>33.624000000000009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</row>
    <row r="59" spans="1:49" x14ac:dyDescent="0.25">
      <c r="A59" s="9"/>
      <c r="B59" s="9"/>
      <c r="C59" s="9"/>
      <c r="D59" s="9"/>
      <c r="E59" s="9"/>
      <c r="F59" s="9"/>
      <c r="G59" s="6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x14ac:dyDescent="0.25">
      <c r="A60" s="9"/>
      <c r="B60" s="9"/>
      <c r="C60" s="9"/>
      <c r="D60" s="9"/>
      <c r="E60" s="9"/>
      <c r="F60" s="9"/>
      <c r="G60" s="6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</row>
    <row r="61" spans="1:49" x14ac:dyDescent="0.25">
      <c r="A61" s="9"/>
      <c r="B61" s="9"/>
      <c r="C61" s="9"/>
      <c r="D61" s="9"/>
      <c r="E61" s="9"/>
      <c r="F61" s="9"/>
      <c r="G61" s="6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x14ac:dyDescent="0.25">
      <c r="A62" s="9"/>
      <c r="B62" s="9"/>
      <c r="C62" s="9"/>
      <c r="D62" s="9"/>
      <c r="E62" s="9"/>
      <c r="F62" s="9"/>
      <c r="G62" s="6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</row>
    <row r="63" spans="1:49" x14ac:dyDescent="0.25">
      <c r="A63" s="9"/>
      <c r="B63" s="9"/>
      <c r="C63" s="9"/>
      <c r="D63" s="9"/>
      <c r="E63" s="9"/>
      <c r="F63" s="9"/>
      <c r="G63" s="6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</row>
    <row r="64" spans="1:49" x14ac:dyDescent="0.25">
      <c r="A64" s="9"/>
      <c r="B64" s="9"/>
      <c r="C64" s="9"/>
      <c r="D64" s="9"/>
      <c r="E64" s="9"/>
      <c r="F64" s="9"/>
      <c r="G64" s="6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</row>
    <row r="65" spans="1:49" x14ac:dyDescent="0.25">
      <c r="A65" s="9"/>
      <c r="B65" s="9"/>
      <c r="C65" s="9"/>
      <c r="D65" s="9"/>
      <c r="E65" s="9"/>
      <c r="F65" s="9"/>
      <c r="G65" s="6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</row>
    <row r="66" spans="1:49" x14ac:dyDescent="0.25">
      <c r="A66" s="9"/>
      <c r="B66" s="9"/>
      <c r="C66" s="9"/>
      <c r="D66" s="9"/>
      <c r="E66" s="9"/>
      <c r="F66" s="9"/>
      <c r="G66" s="6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</row>
    <row r="67" spans="1:49" x14ac:dyDescent="0.25">
      <c r="A67" s="9"/>
      <c r="B67" s="9"/>
      <c r="C67" s="9"/>
      <c r="D67" s="9"/>
      <c r="E67" s="9"/>
      <c r="F67" s="9"/>
      <c r="G67" s="6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</row>
    <row r="68" spans="1:49" x14ac:dyDescent="0.25">
      <c r="A68" s="9"/>
      <c r="B68" s="9"/>
      <c r="C68" s="9"/>
      <c r="D68" s="9"/>
      <c r="E68" s="9"/>
      <c r="F68" s="9"/>
      <c r="G68" s="6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</row>
    <row r="69" spans="1:49" x14ac:dyDescent="0.25">
      <c r="A69" s="9"/>
      <c r="B69" s="9"/>
      <c r="C69" s="9"/>
      <c r="D69" s="9"/>
      <c r="E69" s="9"/>
      <c r="F69" s="9"/>
      <c r="G69" s="6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</row>
    <row r="70" spans="1:49" x14ac:dyDescent="0.25">
      <c r="A70" s="9"/>
      <c r="B70" s="9"/>
      <c r="C70" s="9"/>
      <c r="D70" s="9"/>
      <c r="E70" s="9"/>
      <c r="F70" s="9"/>
      <c r="G70" s="6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</row>
    <row r="71" spans="1:49" x14ac:dyDescent="0.25">
      <c r="A71" s="9"/>
      <c r="B71" s="9"/>
      <c r="C71" s="9"/>
      <c r="D71" s="9"/>
      <c r="E71" s="9"/>
      <c r="F71" s="9"/>
      <c r="G71" s="6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</row>
    <row r="72" spans="1:49" x14ac:dyDescent="0.25">
      <c r="A72" s="9"/>
      <c r="B72" s="9"/>
      <c r="C72" s="9"/>
      <c r="D72" s="9"/>
      <c r="E72" s="9"/>
      <c r="F72" s="9"/>
      <c r="G72" s="6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</row>
    <row r="73" spans="1:49" x14ac:dyDescent="0.25">
      <c r="A73" s="9"/>
      <c r="B73" s="9"/>
      <c r="C73" s="9"/>
      <c r="D73" s="9"/>
      <c r="E73" s="9"/>
      <c r="F73" s="9"/>
      <c r="G73" s="6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</row>
    <row r="74" spans="1:49" x14ac:dyDescent="0.25">
      <c r="A74" s="9"/>
      <c r="B74" s="9"/>
      <c r="C74" s="9"/>
      <c r="D74" s="9"/>
      <c r="E74" s="9"/>
      <c r="F74" s="9"/>
      <c r="G74" s="6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</row>
    <row r="75" spans="1:49" x14ac:dyDescent="0.25">
      <c r="A75" s="9"/>
      <c r="B75" s="9"/>
      <c r="C75" s="9"/>
      <c r="D75" s="9"/>
      <c r="E75" s="9"/>
      <c r="F75" s="9"/>
      <c r="G75" s="6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</row>
    <row r="76" spans="1:49" x14ac:dyDescent="0.25">
      <c r="A76" s="9"/>
      <c r="B76" s="9"/>
      <c r="C76" s="9"/>
      <c r="D76" s="9"/>
      <c r="E76" s="9"/>
      <c r="F76" s="9"/>
      <c r="G76" s="6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</row>
    <row r="77" spans="1:49" x14ac:dyDescent="0.25">
      <c r="A77" s="9"/>
      <c r="B77" s="9"/>
      <c r="C77" s="9"/>
      <c r="D77" s="9"/>
      <c r="E77" s="9"/>
      <c r="F77" s="9"/>
      <c r="G77" s="6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</row>
    <row r="78" spans="1:49" x14ac:dyDescent="0.25">
      <c r="A78" s="9"/>
      <c r="B78" s="9"/>
      <c r="C78" s="9"/>
      <c r="D78" s="9"/>
      <c r="E78" s="9"/>
      <c r="F78" s="9"/>
      <c r="G78" s="6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</row>
    <row r="79" spans="1:49" x14ac:dyDescent="0.25">
      <c r="A79" s="9"/>
      <c r="B79" s="9"/>
      <c r="C79" s="9"/>
      <c r="D79" s="9"/>
      <c r="E79" s="9"/>
      <c r="F79" s="9"/>
      <c r="G79" s="6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</row>
    <row r="80" spans="1:49" x14ac:dyDescent="0.25">
      <c r="A80" s="9"/>
      <c r="B80" s="9"/>
      <c r="C80" s="9"/>
      <c r="D80" s="9"/>
      <c r="E80" s="9"/>
      <c r="F80" s="9"/>
      <c r="G80" s="6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</row>
    <row r="81" spans="1:49" x14ac:dyDescent="0.25">
      <c r="A81" s="9"/>
      <c r="B81" s="9"/>
      <c r="C81" s="9"/>
      <c r="D81" s="9"/>
      <c r="E81" s="9"/>
      <c r="F81" s="9"/>
      <c r="G81" s="6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</row>
    <row r="82" spans="1:49" x14ac:dyDescent="0.25">
      <c r="A82" s="9"/>
      <c r="B82" s="9"/>
      <c r="C82" s="9"/>
      <c r="D82" s="9"/>
      <c r="E82" s="9"/>
      <c r="F82" s="9"/>
      <c r="G82" s="6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</row>
    <row r="83" spans="1:49" x14ac:dyDescent="0.25">
      <c r="A83" s="9"/>
      <c r="B83" s="9"/>
      <c r="C83" s="9"/>
      <c r="D83" s="9"/>
      <c r="E83" s="9"/>
      <c r="F83" s="9"/>
      <c r="G83" s="6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</row>
    <row r="84" spans="1:49" x14ac:dyDescent="0.25">
      <c r="A84" s="9"/>
      <c r="B84" s="9"/>
      <c r="C84" s="9"/>
      <c r="D84" s="9"/>
      <c r="E84" s="9"/>
      <c r="F84" s="9"/>
      <c r="G84" s="6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</row>
    <row r="85" spans="1:49" x14ac:dyDescent="0.25">
      <c r="A85" s="9"/>
      <c r="B85" s="9"/>
      <c r="C85" s="9"/>
      <c r="D85" s="9"/>
      <c r="E85" s="9"/>
      <c r="F85" s="9"/>
      <c r="G85" s="6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</row>
    <row r="86" spans="1:49" x14ac:dyDescent="0.25">
      <c r="A86" s="9"/>
      <c r="B86" s="9"/>
      <c r="C86" s="9"/>
      <c r="D86" s="9"/>
      <c r="E86" s="9"/>
      <c r="F86" s="9"/>
      <c r="G86" s="6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</row>
    <row r="87" spans="1:49" x14ac:dyDescent="0.25">
      <c r="A87" s="9"/>
      <c r="B87" s="9"/>
      <c r="C87" s="9"/>
      <c r="D87" s="9"/>
      <c r="E87" s="9"/>
      <c r="F87" s="9"/>
      <c r="G87" s="6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</row>
    <row r="88" spans="1:49" x14ac:dyDescent="0.25">
      <c r="A88" s="9"/>
      <c r="B88" s="9"/>
      <c r="C88" s="9"/>
      <c r="D88" s="9"/>
      <c r="E88" s="9"/>
      <c r="F88" s="9"/>
      <c r="G88" s="6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</row>
    <row r="89" spans="1:49" x14ac:dyDescent="0.25">
      <c r="A89" s="9"/>
      <c r="B89" s="9"/>
      <c r="C89" s="9"/>
      <c r="D89" s="9"/>
      <c r="E89" s="9"/>
      <c r="F89" s="9"/>
      <c r="G89" s="6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</row>
    <row r="90" spans="1:49" x14ac:dyDescent="0.25">
      <c r="A90" s="9"/>
      <c r="B90" s="9"/>
      <c r="C90" s="9"/>
      <c r="D90" s="9"/>
      <c r="E90" s="9"/>
      <c r="F90" s="9"/>
      <c r="G90" s="6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</row>
    <row r="91" spans="1:49" x14ac:dyDescent="0.25">
      <c r="A91" s="9"/>
      <c r="B91" s="9"/>
      <c r="C91" s="9"/>
      <c r="D91" s="9"/>
      <c r="E91" s="9"/>
      <c r="F91" s="9"/>
      <c r="G91" s="6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</row>
    <row r="92" spans="1:49" x14ac:dyDescent="0.25">
      <c r="A92" s="9"/>
      <c r="B92" s="9"/>
      <c r="C92" s="9"/>
      <c r="D92" s="9"/>
      <c r="E92" s="9"/>
      <c r="F92" s="9"/>
      <c r="G92" s="6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</row>
    <row r="93" spans="1:49" x14ac:dyDescent="0.25">
      <c r="A93" s="9"/>
      <c r="B93" s="9"/>
      <c r="C93" s="9"/>
      <c r="D93" s="9"/>
      <c r="E93" s="9"/>
      <c r="F93" s="9"/>
      <c r="G93" s="6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</row>
    <row r="94" spans="1:49" x14ac:dyDescent="0.25">
      <c r="A94" s="9"/>
      <c r="B94" s="9"/>
      <c r="C94" s="9"/>
      <c r="D94" s="9"/>
      <c r="E94" s="9"/>
      <c r="F94" s="9"/>
      <c r="G94" s="6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</row>
    <row r="95" spans="1:49" x14ac:dyDescent="0.25">
      <c r="A95" s="9"/>
      <c r="B95" s="9"/>
      <c r="C95" s="9"/>
      <c r="D95" s="9"/>
      <c r="E95" s="9"/>
      <c r="F95" s="9"/>
      <c r="G95" s="6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</row>
    <row r="96" spans="1:49" x14ac:dyDescent="0.25">
      <c r="A96" s="9"/>
      <c r="B96" s="9"/>
      <c r="C96" s="9"/>
      <c r="D96" s="9"/>
      <c r="E96" s="9"/>
      <c r="F96" s="9"/>
      <c r="G96" s="6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</row>
    <row r="97" spans="1:49" x14ac:dyDescent="0.25">
      <c r="A97" s="9"/>
      <c r="B97" s="9"/>
      <c r="C97" s="9"/>
      <c r="D97" s="9"/>
      <c r="E97" s="9"/>
      <c r="F97" s="9"/>
      <c r="G97" s="6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</row>
    <row r="98" spans="1:49" x14ac:dyDescent="0.25">
      <c r="A98" s="9"/>
      <c r="B98" s="9"/>
      <c r="C98" s="9"/>
      <c r="D98" s="9"/>
      <c r="E98" s="9"/>
      <c r="F98" s="9"/>
      <c r="G98" s="6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</row>
    <row r="99" spans="1:49" x14ac:dyDescent="0.25">
      <c r="A99" s="9"/>
      <c r="B99" s="9"/>
      <c r="C99" s="9"/>
      <c r="D99" s="9"/>
      <c r="E99" s="9"/>
      <c r="F99" s="9"/>
      <c r="G99" s="6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</row>
    <row r="100" spans="1:49" x14ac:dyDescent="0.25">
      <c r="A100" s="9"/>
      <c r="B100" s="9"/>
      <c r="C100" s="9"/>
      <c r="D100" s="9"/>
      <c r="E100" s="9"/>
      <c r="F100" s="9"/>
      <c r="G100" s="6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</row>
    <row r="101" spans="1:49" x14ac:dyDescent="0.25">
      <c r="A101" s="9"/>
      <c r="B101" s="9"/>
      <c r="C101" s="9"/>
      <c r="D101" s="9"/>
      <c r="E101" s="9"/>
      <c r="F101" s="9"/>
      <c r="G101" s="6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</row>
    <row r="102" spans="1:49" x14ac:dyDescent="0.25">
      <c r="A102" s="9"/>
      <c r="B102" s="9"/>
      <c r="C102" s="9"/>
      <c r="D102" s="9"/>
      <c r="E102" s="9"/>
      <c r="F102" s="9"/>
      <c r="G102" s="6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</row>
    <row r="103" spans="1:49" x14ac:dyDescent="0.25">
      <c r="A103" s="9"/>
      <c r="B103" s="9"/>
      <c r="C103" s="9"/>
      <c r="D103" s="9"/>
      <c r="E103" s="9"/>
      <c r="F103" s="9"/>
      <c r="G103" s="6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</row>
    <row r="104" spans="1:49" x14ac:dyDescent="0.25">
      <c r="A104" s="9"/>
      <c r="B104" s="9"/>
      <c r="C104" s="9"/>
      <c r="D104" s="9"/>
      <c r="E104" s="9"/>
      <c r="F104" s="9"/>
      <c r="G104" s="6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</row>
    <row r="105" spans="1:49" x14ac:dyDescent="0.25">
      <c r="A105" s="9"/>
      <c r="B105" s="9"/>
      <c r="C105" s="9"/>
      <c r="D105" s="9"/>
      <c r="E105" s="9"/>
      <c r="F105" s="9"/>
      <c r="G105" s="6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</row>
    <row r="106" spans="1:49" x14ac:dyDescent="0.25">
      <c r="A106" s="9"/>
      <c r="B106" s="9"/>
      <c r="C106" s="9"/>
      <c r="D106" s="9"/>
      <c r="E106" s="9"/>
      <c r="F106" s="9"/>
      <c r="G106" s="6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</row>
    <row r="107" spans="1:49" x14ac:dyDescent="0.25">
      <c r="A107" s="9"/>
      <c r="B107" s="9"/>
      <c r="C107" s="9"/>
      <c r="D107" s="9"/>
      <c r="E107" s="9"/>
      <c r="F107" s="9"/>
      <c r="G107" s="6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</row>
    <row r="108" spans="1:49" x14ac:dyDescent="0.25">
      <c r="A108" s="9"/>
      <c r="B108" s="9"/>
      <c r="C108" s="9"/>
      <c r="D108" s="9"/>
      <c r="E108" s="9"/>
      <c r="F108" s="9"/>
      <c r="G108" s="6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</row>
    <row r="109" spans="1:49" x14ac:dyDescent="0.25">
      <c r="A109" s="9"/>
      <c r="B109" s="9"/>
      <c r="C109" s="9"/>
      <c r="D109" s="9"/>
      <c r="E109" s="9"/>
      <c r="F109" s="9"/>
      <c r="G109" s="6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</row>
    <row r="110" spans="1:49" x14ac:dyDescent="0.25">
      <c r="A110" s="9"/>
      <c r="B110" s="9"/>
      <c r="C110" s="9"/>
      <c r="D110" s="9"/>
      <c r="E110" s="9"/>
      <c r="F110" s="9"/>
      <c r="G110" s="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</row>
    <row r="111" spans="1:49" x14ac:dyDescent="0.25">
      <c r="A111" s="9"/>
      <c r="B111" s="9"/>
      <c r="C111" s="9"/>
      <c r="D111" s="9"/>
      <c r="E111" s="9"/>
      <c r="F111" s="9"/>
      <c r="G111" s="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</row>
    <row r="112" spans="1:49" x14ac:dyDescent="0.25">
      <c r="A112" s="9"/>
      <c r="B112" s="9"/>
      <c r="C112" s="9"/>
      <c r="D112" s="9"/>
      <c r="E112" s="9"/>
      <c r="F112" s="9"/>
      <c r="G112" s="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</row>
    <row r="113" spans="1:49" x14ac:dyDescent="0.25">
      <c r="A113" s="9"/>
      <c r="B113" s="9"/>
      <c r="C113" s="9"/>
      <c r="D113" s="9"/>
      <c r="E113" s="9"/>
      <c r="F113" s="9"/>
      <c r="G113" s="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</row>
    <row r="114" spans="1:49" x14ac:dyDescent="0.25">
      <c r="A114" s="9"/>
      <c r="B114" s="9"/>
      <c r="C114" s="9"/>
      <c r="D114" s="9"/>
      <c r="E114" s="9"/>
      <c r="F114" s="9"/>
      <c r="G114" s="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</row>
    <row r="115" spans="1:49" x14ac:dyDescent="0.25">
      <c r="A115" s="9"/>
      <c r="B115" s="9"/>
      <c r="C115" s="9"/>
      <c r="D115" s="9"/>
      <c r="E115" s="9"/>
      <c r="F115" s="9"/>
      <c r="G115" s="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</row>
    <row r="116" spans="1:49" x14ac:dyDescent="0.25">
      <c r="A116" s="9"/>
      <c r="B116" s="9"/>
      <c r="C116" s="9"/>
      <c r="D116" s="9"/>
      <c r="E116" s="9"/>
      <c r="F116" s="9"/>
      <c r="G116" s="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</row>
    <row r="117" spans="1:49" x14ac:dyDescent="0.25">
      <c r="A117" s="9"/>
      <c r="B117" s="9"/>
      <c r="C117" s="9"/>
      <c r="D117" s="9"/>
      <c r="E117" s="9"/>
      <c r="F117" s="9"/>
      <c r="G117" s="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</row>
    <row r="118" spans="1:49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</row>
    <row r="119" spans="1:49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</row>
    <row r="120" spans="1:49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</row>
    <row r="121" spans="1:49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</row>
    <row r="122" spans="1:49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</row>
    <row r="123" spans="1:49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</row>
    <row r="124" spans="1:49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</row>
    <row r="125" spans="1:49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</row>
    <row r="126" spans="1:49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</row>
    <row r="127" spans="1:49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</row>
    <row r="128" spans="1:49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</row>
    <row r="129" spans="1:49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</row>
    <row r="130" spans="1:49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</row>
    <row r="131" spans="1:49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</row>
    <row r="132" spans="1:49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</row>
    <row r="133" spans="1:49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</row>
    <row r="134" spans="1:49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</row>
    <row r="135" spans="1:49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</row>
    <row r="136" spans="1:49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</row>
    <row r="137" spans="1:49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</row>
    <row r="138" spans="1:49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</row>
    <row r="139" spans="1:49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</row>
    <row r="140" spans="1:49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</row>
    <row r="141" spans="1:49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</row>
    <row r="142" spans="1:49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</row>
    <row r="143" spans="1:49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</row>
    <row r="144" spans="1:49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</row>
    <row r="145" spans="1:49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</row>
    <row r="146" spans="1:49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</row>
    <row r="147" spans="1:49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</row>
    <row r="148" spans="1:49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</row>
    <row r="149" spans="1:49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</row>
    <row r="150" spans="1:49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</row>
    <row r="151" spans="1:49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</row>
    <row r="152" spans="1:49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</row>
    <row r="153" spans="1:49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</row>
    <row r="155" spans="1:49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</row>
    <row r="156" spans="1:49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</row>
    <row r="157" spans="1:49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</row>
    <row r="158" spans="1:49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</row>
    <row r="159" spans="1:49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</row>
    <row r="160" spans="1:49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</row>
    <row r="161" spans="1:49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</row>
    <row r="162" spans="1:49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</row>
    <row r="163" spans="1:49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</row>
    <row r="164" spans="1:49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</row>
    <row r="165" spans="1:49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</row>
    <row r="166" spans="1:49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</row>
    <row r="167" spans="1:49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</row>
    <row r="168" spans="1:49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</row>
    <row r="169" spans="1:49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</row>
    <row r="170" spans="1:49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</row>
    <row r="171" spans="1:49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</row>
    <row r="172" spans="1:49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</row>
    <row r="173" spans="1:49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</row>
    <row r="174" spans="1:49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</row>
    <row r="175" spans="1:49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</row>
    <row r="176" spans="1:49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</row>
    <row r="177" spans="1:49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</row>
    <row r="178" spans="1:49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</row>
    <row r="179" spans="1:49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</row>
    <row r="180" spans="1:49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</row>
    <row r="181" spans="1:49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</row>
    <row r="182" spans="1:49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</row>
    <row r="183" spans="1:49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</row>
    <row r="184" spans="1:49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</row>
    <row r="185" spans="1:49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</row>
    <row r="186" spans="1:49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</row>
    <row r="187" spans="1:49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</row>
    <row r="188" spans="1:49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</row>
    <row r="189" spans="1:49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</row>
    <row r="190" spans="1:49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</row>
    <row r="191" spans="1:49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</row>
    <row r="192" spans="1:49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</row>
    <row r="193" spans="1:49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</row>
    <row r="194" spans="1:49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</row>
    <row r="195" spans="1:49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</row>
    <row r="196" spans="1:49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</row>
    <row r="197" spans="1:49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</row>
    <row r="198" spans="1:49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</row>
    <row r="199" spans="1:49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</row>
    <row r="200" spans="1:49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</row>
    <row r="201" spans="1:49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</row>
    <row r="202" spans="1:49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</row>
    <row r="203" spans="1:49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</row>
    <row r="204" spans="1:49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</row>
    <row r="205" spans="1:49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</row>
    <row r="206" spans="1:49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</row>
    <row r="207" spans="1:49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</row>
    <row r="208" spans="1:49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</row>
    <row r="209" spans="1:49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</row>
    <row r="210" spans="1:49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</row>
    <row r="211" spans="1:49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</row>
    <row r="212" spans="1:49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</row>
    <row r="213" spans="1:49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</row>
    <row r="214" spans="1:49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</row>
    <row r="215" spans="1:49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</row>
    <row r="216" spans="1:49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</row>
    <row r="217" spans="1:49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</row>
    <row r="218" spans="1:49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</row>
    <row r="219" spans="1:49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</row>
    <row r="220" spans="1:49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</row>
    <row r="221" spans="1:49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</row>
    <row r="222" spans="1:49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</row>
    <row r="223" spans="1:49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</row>
    <row r="224" spans="1:49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</row>
    <row r="225" spans="1:49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spans="1:49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spans="1:49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spans="1:49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  <row r="498" spans="1:49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</row>
    <row r="499" spans="1:49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</row>
    <row r="500" spans="1:49" x14ac:dyDescent="0.25">
      <c r="A500" s="9"/>
      <c r="B500" s="9"/>
      <c r="C500" s="9"/>
      <c r="D500" s="9"/>
      <c r="E500" s="9"/>
      <c r="F500" s="9"/>
      <c r="G500" s="6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</row>
  </sheetData>
  <autoFilter ref="A3:AB58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1784-25A9-4CE3-A638-0FAB60C052CC}">
  <dimension ref="A1:B15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33</v>
      </c>
    </row>
    <row r="2" spans="1:2" x14ac:dyDescent="0.25">
      <c r="A2" t="s">
        <v>38</v>
      </c>
      <c r="B2">
        <v>420</v>
      </c>
    </row>
    <row r="3" spans="1:2" x14ac:dyDescent="0.25">
      <c r="A3" t="s">
        <v>39</v>
      </c>
      <c r="B3">
        <v>276</v>
      </c>
    </row>
    <row r="4" spans="1:2" x14ac:dyDescent="0.25">
      <c r="A4" t="s">
        <v>40</v>
      </c>
      <c r="B4">
        <v>672</v>
      </c>
    </row>
    <row r="5" spans="1:2" x14ac:dyDescent="0.25">
      <c r="A5" t="s">
        <v>41</v>
      </c>
      <c r="B5">
        <v>828</v>
      </c>
    </row>
    <row r="6" spans="1:2" x14ac:dyDescent="0.25">
      <c r="A6" t="s">
        <v>44</v>
      </c>
      <c r="B6">
        <v>32</v>
      </c>
    </row>
    <row r="7" spans="1:2" x14ac:dyDescent="0.25">
      <c r="A7" t="s">
        <v>45</v>
      </c>
      <c r="B7">
        <v>56</v>
      </c>
    </row>
    <row r="8" spans="1:2" x14ac:dyDescent="0.25">
      <c r="A8" t="s">
        <v>49</v>
      </c>
      <c r="B8">
        <v>400</v>
      </c>
    </row>
    <row r="9" spans="1:2" x14ac:dyDescent="0.25">
      <c r="A9" t="s">
        <v>62</v>
      </c>
      <c r="B9">
        <v>230</v>
      </c>
    </row>
    <row r="10" spans="1:2" x14ac:dyDescent="0.25">
      <c r="A10" t="s">
        <v>66</v>
      </c>
      <c r="B10">
        <v>350</v>
      </c>
    </row>
    <row r="11" spans="1:2" x14ac:dyDescent="0.25">
      <c r="A11" t="s">
        <v>74</v>
      </c>
      <c r="B11">
        <v>32</v>
      </c>
    </row>
    <row r="12" spans="1:2" x14ac:dyDescent="0.25">
      <c r="A12" t="s">
        <v>78</v>
      </c>
      <c r="B12">
        <v>116</v>
      </c>
    </row>
    <row r="13" spans="1:2" x14ac:dyDescent="0.25">
      <c r="A13" t="s">
        <v>80</v>
      </c>
      <c r="B13">
        <v>642</v>
      </c>
    </row>
    <row r="14" spans="1:2" x14ac:dyDescent="0.25">
      <c r="A14" t="s">
        <v>86</v>
      </c>
      <c r="B14">
        <v>60</v>
      </c>
    </row>
    <row r="15" spans="1:2" x14ac:dyDescent="0.25">
      <c r="A15" t="s">
        <v>87</v>
      </c>
      <c r="B1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2026-07-07T07:10:49Z</dcterms:created>
  <dcterms:modified xsi:type="dcterms:W3CDTF">2026-07-08T13:49:38Z</dcterms:modified>
</cp:coreProperties>
</file>