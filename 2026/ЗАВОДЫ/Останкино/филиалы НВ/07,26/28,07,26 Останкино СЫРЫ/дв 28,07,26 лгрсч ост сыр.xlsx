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"/>
    </mc:Choice>
  </mc:AlternateContent>
  <xr:revisionPtr revIDLastSave="0" documentId="13_ncr:1_{25A22E3B-EDC2-4CC7-9FB5-2671BB2679B9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заказ" sheetId="2" r:id="rId2"/>
  </sheets>
  <definedNames>
    <definedName name="_xlnm._FilterDatabase" localSheetId="0" hidden="1">Sheet!$A$3:$AF$44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11" i="1" l="1"/>
  <c r="R12" i="1"/>
  <c r="R14" i="1"/>
  <c r="R15" i="1"/>
  <c r="R17" i="1"/>
  <c r="R19" i="1"/>
  <c r="R24" i="1"/>
  <c r="R25" i="1"/>
  <c r="R27" i="1"/>
  <c r="R28" i="1"/>
  <c r="R29" i="1"/>
  <c r="R30" i="1"/>
  <c r="R31" i="1"/>
  <c r="R32" i="1"/>
  <c r="R35" i="1"/>
  <c r="R37" i="1"/>
  <c r="R41" i="1"/>
  <c r="R42" i="1"/>
  <c r="R43" i="1"/>
  <c r="R5" i="1"/>
  <c r="P7" i="1" l="1"/>
  <c r="P8" i="1"/>
  <c r="P9" i="1"/>
  <c r="P10" i="1"/>
  <c r="T10" i="1" s="1"/>
  <c r="P11" i="1"/>
  <c r="P12" i="1"/>
  <c r="P13" i="1"/>
  <c r="P14" i="1"/>
  <c r="P15" i="1"/>
  <c r="P16" i="1"/>
  <c r="P17" i="1"/>
  <c r="P18" i="1"/>
  <c r="P19" i="1"/>
  <c r="Q19" i="1" s="1"/>
  <c r="P20" i="1"/>
  <c r="T20" i="1" s="1"/>
  <c r="P21" i="1"/>
  <c r="P22" i="1"/>
  <c r="P23" i="1"/>
  <c r="P24" i="1"/>
  <c r="Q24" i="1" s="1"/>
  <c r="P25" i="1"/>
  <c r="U25" i="1" s="1"/>
  <c r="P26" i="1"/>
  <c r="T26" i="1" s="1"/>
  <c r="P27" i="1"/>
  <c r="Q27" i="1" s="1"/>
  <c r="P28" i="1"/>
  <c r="Q28" i="1" s="1"/>
  <c r="P29" i="1"/>
  <c r="Q29" i="1" s="1"/>
  <c r="P30" i="1"/>
  <c r="Q30" i="1" s="1"/>
  <c r="P31" i="1"/>
  <c r="U31" i="1" s="1"/>
  <c r="P32" i="1"/>
  <c r="Q32" i="1" s="1"/>
  <c r="P33" i="1"/>
  <c r="P34" i="1"/>
  <c r="T34" i="1" s="1"/>
  <c r="P35" i="1"/>
  <c r="U35" i="1" s="1"/>
  <c r="P36" i="1"/>
  <c r="U36" i="1" s="1"/>
  <c r="P37" i="1"/>
  <c r="Q37" i="1" s="1"/>
  <c r="P38" i="1"/>
  <c r="P39" i="1"/>
  <c r="U39" i="1" s="1"/>
  <c r="P40" i="1"/>
  <c r="P41" i="1"/>
  <c r="P42" i="1"/>
  <c r="Q42" i="1" s="1"/>
  <c r="P43" i="1"/>
  <c r="U43" i="1" s="1"/>
  <c r="P44" i="1"/>
  <c r="P6" i="1"/>
  <c r="U6" i="1" s="1"/>
  <c r="U34" i="1" l="1"/>
  <c r="U26" i="1"/>
  <c r="Q25" i="1"/>
  <c r="T25" i="1" s="1"/>
  <c r="Q31" i="1"/>
  <c r="Q14" i="1"/>
  <c r="T14" i="1" s="1"/>
  <c r="Q35" i="1"/>
  <c r="T35" i="1" s="1"/>
  <c r="T13" i="1"/>
  <c r="Q15" i="1"/>
  <c r="T15" i="1" s="1"/>
  <c r="T18" i="1"/>
  <c r="T33" i="1"/>
  <c r="Q17" i="1"/>
  <c r="T17" i="1" s="1"/>
  <c r="T38" i="1"/>
  <c r="T37" i="1"/>
  <c r="T16" i="1"/>
  <c r="AF11" i="1"/>
  <c r="T32" i="1"/>
  <c r="T36" i="1"/>
  <c r="T39" i="1"/>
  <c r="T22" i="1"/>
  <c r="T42" i="1"/>
  <c r="T19" i="1"/>
  <c r="Q41" i="1"/>
  <c r="T41" i="1" s="1"/>
  <c r="T44" i="1"/>
  <c r="T24" i="1"/>
  <c r="Q43" i="1"/>
  <c r="T43" i="1" s="1"/>
  <c r="T23" i="1"/>
  <c r="T12" i="1"/>
  <c r="T30" i="1"/>
  <c r="T29" i="1"/>
  <c r="T9" i="1"/>
  <c r="T8" i="1"/>
  <c r="T7" i="1"/>
  <c r="T27" i="1"/>
  <c r="T21" i="1"/>
  <c r="T28" i="1"/>
  <c r="T40" i="1"/>
  <c r="U33" i="1"/>
  <c r="U32" i="1"/>
  <c r="T31" i="1"/>
  <c r="U16" i="1"/>
  <c r="U15" i="1"/>
  <c r="T6" i="1"/>
  <c r="U14" i="1"/>
  <c r="U44" i="1"/>
  <c r="U24" i="1"/>
  <c r="U23" i="1"/>
  <c r="U13" i="1"/>
  <c r="U42" i="1"/>
  <c r="U22" i="1"/>
  <c r="U12" i="1"/>
  <c r="U41" i="1"/>
  <c r="U21" i="1"/>
  <c r="U11" i="1"/>
  <c r="U40" i="1"/>
  <c r="U30" i="1"/>
  <c r="U20" i="1"/>
  <c r="U10" i="1"/>
  <c r="U29" i="1"/>
  <c r="U19" i="1"/>
  <c r="U9" i="1"/>
  <c r="U38" i="1"/>
  <c r="U28" i="1"/>
  <c r="U18" i="1"/>
  <c r="U8" i="1"/>
  <c r="U37" i="1"/>
  <c r="U27" i="1"/>
  <c r="U17" i="1"/>
  <c r="U7" i="1"/>
  <c r="AF44" i="1"/>
  <c r="L44" i="1"/>
  <c r="L43" i="1"/>
  <c r="L42" i="1"/>
  <c r="AF41" i="1"/>
  <c r="L41" i="1"/>
  <c r="AF40" i="1"/>
  <c r="L40" i="1"/>
  <c r="AF39" i="1"/>
  <c r="L39" i="1"/>
  <c r="AF38" i="1"/>
  <c r="L38" i="1"/>
  <c r="AF37" i="1"/>
  <c r="L37" i="1"/>
  <c r="AF36" i="1"/>
  <c r="L36" i="1"/>
  <c r="AF35" i="1"/>
  <c r="L35" i="1"/>
  <c r="AF34" i="1"/>
  <c r="L34" i="1"/>
  <c r="AF33" i="1"/>
  <c r="L33" i="1"/>
  <c r="AF32" i="1"/>
  <c r="L32" i="1"/>
  <c r="AF31" i="1"/>
  <c r="L31" i="1"/>
  <c r="AF30" i="1"/>
  <c r="L30" i="1"/>
  <c r="AF29" i="1"/>
  <c r="L29" i="1"/>
  <c r="AF28" i="1"/>
  <c r="L28" i="1"/>
  <c r="AF27" i="1"/>
  <c r="L27" i="1"/>
  <c r="AF26" i="1"/>
  <c r="L26" i="1"/>
  <c r="L25" i="1"/>
  <c r="AF24" i="1"/>
  <c r="L24" i="1"/>
  <c r="AF23" i="1"/>
  <c r="L23" i="1"/>
  <c r="L22" i="1"/>
  <c r="AF21" i="1"/>
  <c r="L21" i="1"/>
  <c r="L20" i="1"/>
  <c r="L19" i="1"/>
  <c r="AF18" i="1"/>
  <c r="L18" i="1"/>
  <c r="L17" i="1"/>
  <c r="AF16" i="1"/>
  <c r="L16" i="1"/>
  <c r="L15" i="1"/>
  <c r="AF14" i="1"/>
  <c r="L14" i="1"/>
  <c r="AF13" i="1"/>
  <c r="L13" i="1"/>
  <c r="AF12" i="1"/>
  <c r="L12" i="1"/>
  <c r="L11" i="1"/>
  <c r="L10" i="1"/>
  <c r="AF9" i="1"/>
  <c r="L9" i="1"/>
  <c r="AF8" i="1"/>
  <c r="L8" i="1"/>
  <c r="AF7" i="1"/>
  <c r="L7" i="1"/>
  <c r="AF6" i="1"/>
  <c r="L6" i="1"/>
  <c r="AD5" i="1"/>
  <c r="AC5" i="1"/>
  <c r="AB5" i="1"/>
  <c r="AA5" i="1"/>
  <c r="Z5" i="1"/>
  <c r="Y5" i="1"/>
  <c r="X5" i="1"/>
  <c r="W5" i="1"/>
  <c r="V5" i="1"/>
  <c r="P5" i="1"/>
  <c r="O5" i="1"/>
  <c r="N5" i="1"/>
  <c r="M5" i="1"/>
  <c r="K5" i="1"/>
  <c r="F5" i="1"/>
  <c r="E5" i="1"/>
  <c r="AF25" i="1" l="1"/>
  <c r="AF43" i="1"/>
  <c r="AF19" i="1"/>
  <c r="AF22" i="1"/>
  <c r="AF15" i="1"/>
  <c r="AF17" i="1"/>
  <c r="AF5" i="1" s="1"/>
  <c r="T11" i="1"/>
  <c r="Q5" i="1"/>
  <c r="AF42" i="1"/>
  <c r="L5" i="1"/>
</calcChain>
</file>

<file path=xl/sharedStrings.xml><?xml version="1.0" encoding="utf-8"?>
<sst xmlns="http://schemas.openxmlformats.org/spreadsheetml/2006/main" count="161" uniqueCount="88">
  <si>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</si>
  <si>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</si>
  <si>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</si>
  <si>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</si>
  <si>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</si>
  <si>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</si>
  <si>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</si>
  <si>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</si>
  <si>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</si>
  <si>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</si>
  <si>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</si>
  <si>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</si>
  <si>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</si>
  <si>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</si>
  <si>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</si>
  <si>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</si>
  <si>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кон ост</t>
  </si>
  <si>
    <t>факт</t>
  </si>
  <si>
    <t>ср</t>
  </si>
  <si>
    <t>комментарии</t>
  </si>
  <si>
    <t>вес</t>
  </si>
  <si>
    <t>27,06,</t>
  </si>
  <si>
    <t>28,07,</t>
  </si>
  <si>
    <t>21,07,</t>
  </si>
  <si>
    <t>14,07,</t>
  </si>
  <si>
    <t>07,07,</t>
  </si>
  <si>
    <t>22,06,</t>
  </si>
  <si>
    <t>15,06,</t>
  </si>
  <si>
    <t>08,06,</t>
  </si>
  <si>
    <t>01,06,</t>
  </si>
  <si>
    <t>25,05,</t>
  </si>
  <si>
    <t>1103201 Сыр копченый "Косичка" мини ПАПА МОЖЕТ 55г лоток  ОСТАНКИНО</t>
  </si>
  <si>
    <t>шт</t>
  </si>
  <si>
    <t>новинка</t>
  </si>
  <si>
    <t>2103201 БЖП, произведенный по технологии сыра копченый "Косичка" мини Ассорти  ОСТАНКИНО</t>
  </si>
  <si>
    <t>2105201 БЖП, произведенный по технологии сыра копченый "Балык" резаный 4 вкуса  ОСТАНКИНО</t>
  </si>
  <si>
    <t>3323 Сыр Российский цилиндр 1/4 пленка ЮКМП м.д.ж. 50%  ОСТАНКИНО</t>
  </si>
  <si>
    <t>кг</t>
  </si>
  <si>
    <t>3534796 Масло сливочное ж.82,5% 180г фольга ТМ Папа может(вл 12)  Останкино</t>
  </si>
  <si>
    <t>дубль</t>
  </si>
  <si>
    <t>Масло "Папа может" 82,5% 180гр  Останкино</t>
  </si>
  <si>
    <t>4421577 Спред растительно-сливочный "Сливочный вкус" 82,5% 180гр  Останкино</t>
  </si>
  <si>
    <t>нужно увеличить продажи!!!</t>
  </si>
  <si>
    <t>4421584 Спред растительно-сливочный "Сливочный вкус" 72,5% 180гр  Останкино</t>
  </si>
  <si>
    <t>нужно увеличить продажи</t>
  </si>
  <si>
    <t>4931  Сыр полутвердый "Купеческий" с ароматом топленого молока, с м.д.ж. 50% ОСТАНКИНО</t>
  </si>
  <si>
    <t>6948249 Майонезный соус провансаль 824,5гр деликатес.с массовой долей жирн.25% Коровино Останкино</t>
  </si>
  <si>
    <t>6948256 Майонез провансаль классич.оливковый Папа может 372гр с массовой долей жирн. 67% Останкино</t>
  </si>
  <si>
    <t>6948263 Майонез провансаль классич.оливковый Папа может 744гр с массовой долей жирн. 67% Останкино</t>
  </si>
  <si>
    <t>6948270 Майонез провансаль классич.Папа может 372гр с массовой долей жирн. 67% Останкино</t>
  </si>
  <si>
    <t>6948287 Майонез провансаль классич.Папа может 744гр с массовой долей жирн. 67% Останкино</t>
  </si>
  <si>
    <t>9988438 Плавленый Сыр 45% "С ветчиной" СТМ"ПапаМожет" 180гр  Останкино</t>
  </si>
  <si>
    <t>Акц_Сыр ПАПА МОЖЕТ "Тильзитер" фасованный массовая доля жира в сухом веществе 45%, 180г  Останкино</t>
  </si>
  <si>
    <t>акция</t>
  </si>
  <si>
    <t>Масло сливочное 72,5 % 180 гр.(10 шт) СЛАВЯНА  Останкино</t>
  </si>
  <si>
    <t>Плавленый Сыр колбасный копченый 40% СТМ"ПапаМожет"400гр  Останкино</t>
  </si>
  <si>
    <t>Плавленый продукт с Сыром колбасный копченый 40% СТМ "Коровино" 400гр  Останкино</t>
  </si>
  <si>
    <t>Сыр "Пармезан" 40% кусок 180 гр  ОСТАНКИНО</t>
  </si>
  <si>
    <t>Сыр Косичка сырная копченая 43% 100г/8шт Папа Может Останкино</t>
  </si>
  <si>
    <t>Сыр ПАПА МОЖЕТ "Гауда Голд" 45 % 180 гр (10шт) Останкино</t>
  </si>
  <si>
    <t>Сыр ПАПА МОЖЕТ "Голландский традиционный" 45% 180 гр (10шт)  Останкино</t>
  </si>
  <si>
    <t>Сыр ПАПА МОЖЕТ "Министерский" 180 г фасованный массовая  Останкино</t>
  </si>
  <si>
    <t>Сыр ПАПА МОЖЕТ "Папин завтрак"  45% 180 г  Останкино</t>
  </si>
  <si>
    <t>Сыр ПАПА МОЖЕТ "Российский традиционный"45 % 180 г Останкино</t>
  </si>
  <si>
    <t>Сыр ПАПА МОЖЕТ "Тильзитер" фасованный массовая доля жира в сухом веществе 45%, 180г  Останкино</t>
  </si>
  <si>
    <t>Сыр Папа Может "Гауда Голд" 45% (-2,5 кг брус) (6 шт)  Останкино</t>
  </si>
  <si>
    <t>Сыр Творожный с зеленью 60% Папа может 140 гр.  Останкино</t>
  </si>
  <si>
    <t>Сыр плавленный Сливочный ж.45% 180г ТМ Папа может (16шт)  Останкино</t>
  </si>
  <si>
    <t>Сыр полутвердый "Гауда" с массовой долей жира в пересчете на сухое вещество 45%,   Останкино</t>
  </si>
  <si>
    <t>Сыр полутвердый "Сметанковый", с масс долей жира в пересчете на сухое вещес50%, брус  Останкино</t>
  </si>
  <si>
    <t>Сыр рассольный жирный Чечил 45% 100 гр  ОСТАНКИНО</t>
  </si>
  <si>
    <t>Сыр рассольный жирный Чечил копченый 43% 100 гр  Останкино</t>
  </si>
  <si>
    <t>Сыр творожный Сливочный 140 гр.  Останкино</t>
  </si>
  <si>
    <t>Сыч/Прод Коровино Российский 50% 200г НОВАЯ СЗМЖ  ОСТАНКИНО</t>
  </si>
  <si>
    <t>Сыч/Прод Коровино Российский Оригин 50% ВЕС НОВАЯ (3,5 кг)  ОСТАНКИНО</t>
  </si>
  <si>
    <t>Сыч/Прод Коровино Тильзитер 50% 200г НОВАЯ СЗМЖ  ОСТАНКИНО</t>
  </si>
  <si>
    <t>Сыч/Прод Коровино Тильзитер Оригин 50% ВЕС НОВАЯ (5 кг брус) СЗМЖ  ОСТАНКИНО</t>
  </si>
  <si>
    <t>нужно увеличить продажи / плюс 320кг пересчет (25,07,26)</t>
  </si>
  <si>
    <t>175шт в уценку (24,07,26)</t>
  </si>
  <si>
    <t>145шт в уценку (24,07,26)</t>
  </si>
  <si>
    <t>400шт в уценку (24,07,26)</t>
  </si>
  <si>
    <t>ТК</t>
  </si>
  <si>
    <t>убрать из заказа</t>
  </si>
  <si>
    <t>Чепрасова</t>
  </si>
  <si>
    <t>29,06,</t>
  </si>
  <si>
    <t>итого</t>
  </si>
  <si>
    <t>заказ</t>
  </si>
  <si>
    <t>03,08,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</si>
</sst>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0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0" borderId="1" xfId="1" applyNumberFormat="1" applyFont="1"/>
    <xf numFmtId="164" fontId="4" fillId="5" borderId="1" xfId="1" applyNumberFormat="1" applyFont="1" applyFill="1"/>
    <xf numFmtId="164" fontId="5" fillId="5" borderId="1" xfId="1" applyNumberFormat="1" applyFont="1" applyFill="1"/>
    <xf numFmtId="164" fontId="1" fillId="6" borderId="2" xfId="1" applyNumberFormat="1" applyFill="1" applyBorder="1"/>
    <xf numFmtId="164" fontId="1" fillId="0" borderId="1" xfId="1" applyNumberFormat="1" applyBorder="1"/>
    <xf numFmtId="164" fontId="1" fillId="4" borderId="1" xfId="1" applyNumberFormat="1" applyFill="1" applyBorder="1"/>
    <xf numFmtId="164" fontId="1" fillId="6" borderId="1" xfId="1" applyNumberFormat="1" applyFill="1" applyBorder="1"/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S7" sqref="S7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5703125" customWidth="1"/>
    <col min="15" max="18" width="7" customWidth="1"/>
    <col min="19" max="19" width="15.7109375" style="19" customWidth="1"/>
    <col min="20" max="21" width="5" customWidth="1"/>
    <col min="22" max="30" width="6" customWidth="1"/>
    <col min="31" max="31" width="42.85546875" customWidth="1"/>
    <col min="32" max="32" width="7" customWidth="1"/>
    <col min="33" max="51" width="3" customWidth="1"/>
  </cols>
  <sheetData>
    <row r="1" spans="1:51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</row>
    <row r="2" spans="1:51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</row>
    <row r="3" spans="1:5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85</v>
      </c>
      <c r="R3" s="3" t="s">
        <v>86</v>
      </c>
      <c r="S3" s="3" t="s">
        <v>81</v>
      </c>
      <c r="T3" s="2" t="s">
        <v>16</v>
      </c>
      <c r="U3" s="2" t="s">
        <v>17</v>
      </c>
      <c r="V3" s="2" t="s">
        <v>18</v>
      </c>
      <c r="W3" s="2" t="s">
        <v>18</v>
      </c>
      <c r="X3" s="2" t="s">
        <v>18</v>
      </c>
      <c r="Y3" s="2" t="s">
        <v>18</v>
      </c>
      <c r="Z3" s="2" t="s">
        <v>18</v>
      </c>
      <c r="AA3" s="2" t="s">
        <v>18</v>
      </c>
      <c r="AB3" s="2" t="s">
        <v>18</v>
      </c>
      <c r="AC3" s="2" t="s">
        <v>18</v>
      </c>
      <c r="AD3" s="2" t="s">
        <v>18</v>
      </c>
      <c r="AE3" s="2" t="s">
        <v>19</v>
      </c>
      <c r="AF3" s="2" t="s">
        <v>20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</row>
    <row r="4" spans="1:51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21</v>
      </c>
      <c r="P4" s="1" t="s">
        <v>22</v>
      </c>
      <c r="Q4" s="1"/>
      <c r="R4" s="1" t="s">
        <v>87</v>
      </c>
      <c r="S4" s="1" t="s">
        <v>83</v>
      </c>
      <c r="T4" s="1"/>
      <c r="U4" s="1"/>
      <c r="V4" s="1" t="s">
        <v>23</v>
      </c>
      <c r="W4" s="1" t="s">
        <v>24</v>
      </c>
      <c r="X4" s="1" t="s">
        <v>25</v>
      </c>
      <c r="Y4" s="1" t="s">
        <v>84</v>
      </c>
      <c r="Z4" s="1" t="s">
        <v>26</v>
      </c>
      <c r="AA4" s="1" t="s">
        <v>27</v>
      </c>
      <c r="AB4" s="1" t="s">
        <v>28</v>
      </c>
      <c r="AC4" s="1" t="s">
        <v>29</v>
      </c>
      <c r="AD4" s="1" t="s">
        <v>30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</row>
    <row r="5" spans="1:51" x14ac:dyDescent="0.25">
      <c r="A5" s="1"/>
      <c r="B5" s="1"/>
      <c r="C5" s="1"/>
      <c r="D5" s="1"/>
      <c r="E5" s="4">
        <f>SUM(E6:E500)</f>
        <v>2035.1940000000002</v>
      </c>
      <c r="F5" s="4">
        <f>SUM(F6:F500)</f>
        <v>5374.884</v>
      </c>
      <c r="G5" s="7"/>
      <c r="H5" s="1"/>
      <c r="I5" s="1"/>
      <c r="J5" s="1"/>
      <c r="K5" s="4">
        <f t="shared" ref="K5:R5" si="0">SUM(K6:K500)</f>
        <v>2137.6</v>
      </c>
      <c r="L5" s="4">
        <f t="shared" si="0"/>
        <v>-102.40599999999999</v>
      </c>
      <c r="M5" s="4">
        <f t="shared" si="0"/>
        <v>0</v>
      </c>
      <c r="N5" s="4">
        <f t="shared" si="0"/>
        <v>0</v>
      </c>
      <c r="O5" s="4">
        <f t="shared" si="0"/>
        <v>859</v>
      </c>
      <c r="P5" s="4">
        <f t="shared" si="0"/>
        <v>407.03879999999987</v>
      </c>
      <c r="Q5" s="4">
        <f t="shared" si="0"/>
        <v>2642.8675999999996</v>
      </c>
      <c r="R5" s="4">
        <f t="shared" si="0"/>
        <v>2650</v>
      </c>
      <c r="S5" s="4"/>
      <c r="T5" s="1"/>
      <c r="U5" s="1"/>
      <c r="V5" s="4">
        <f t="shared" ref="V5:AD5" si="1">SUM(V6:V500)</f>
        <v>324.46199999999999</v>
      </c>
      <c r="W5" s="4">
        <f t="shared" si="1"/>
        <v>420.2068000000001</v>
      </c>
      <c r="X5" s="4">
        <f t="shared" si="1"/>
        <v>402.34719999999999</v>
      </c>
      <c r="Y5" s="4">
        <f t="shared" si="1"/>
        <v>299.33160000000004</v>
      </c>
      <c r="Z5" s="4">
        <f t="shared" si="1"/>
        <v>358.81580000000002</v>
      </c>
      <c r="AA5" s="4">
        <f t="shared" si="1"/>
        <v>346.77240000000006</v>
      </c>
      <c r="AB5" s="4">
        <f t="shared" si="1"/>
        <v>374.9812</v>
      </c>
      <c r="AC5" s="4">
        <f t="shared" si="1"/>
        <v>347.31840000000011</v>
      </c>
      <c r="AD5" s="4">
        <f t="shared" si="1"/>
        <v>357.3904</v>
      </c>
      <c r="AE5" s="1"/>
      <c r="AF5" s="4">
        <f>SUM(AF6:AF500)</f>
        <v>648.14760000000001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</row>
    <row r="6" spans="1:51" x14ac:dyDescent="0.25">
      <c r="A6" s="1" t="s">
        <v>31</v>
      </c>
      <c r="B6" s="1" t="s">
        <v>32</v>
      </c>
      <c r="C6" s="1"/>
      <c r="D6" s="1">
        <v>48</v>
      </c>
      <c r="E6" s="1">
        <v>2</v>
      </c>
      <c r="F6" s="1">
        <v>45</v>
      </c>
      <c r="G6" s="7">
        <v>5.5E-2</v>
      </c>
      <c r="H6" s="1"/>
      <c r="I6" s="1"/>
      <c r="J6" s="1"/>
      <c r="K6" s="1">
        <v>2</v>
      </c>
      <c r="L6" s="1">
        <f t="shared" ref="L6:L44" si="2">E6-K6</f>
        <v>0</v>
      </c>
      <c r="M6" s="1"/>
      <c r="N6" s="1"/>
      <c r="O6" s="1"/>
      <c r="P6" s="1">
        <f>E6/5</f>
        <v>0.4</v>
      </c>
      <c r="Q6" s="5"/>
      <c r="R6" s="5"/>
      <c r="S6" s="16"/>
      <c r="T6" s="1">
        <f>(F6+O6+Q6)/P6</f>
        <v>112.5</v>
      </c>
      <c r="U6" s="1">
        <f>(F6+O6)/P6</f>
        <v>112.5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 t="s">
        <v>33</v>
      </c>
      <c r="AF6" s="1">
        <f>G6*Q6</f>
        <v>0</v>
      </c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</row>
    <row r="7" spans="1:51" x14ac:dyDescent="0.25">
      <c r="A7" s="1" t="s">
        <v>34</v>
      </c>
      <c r="B7" s="1" t="s">
        <v>32</v>
      </c>
      <c r="C7" s="1"/>
      <c r="D7" s="1">
        <v>48</v>
      </c>
      <c r="E7" s="1">
        <v>2</v>
      </c>
      <c r="F7" s="1">
        <v>40</v>
      </c>
      <c r="G7" s="7">
        <v>0.1</v>
      </c>
      <c r="H7" s="1"/>
      <c r="I7" s="1"/>
      <c r="J7" s="1"/>
      <c r="K7" s="1">
        <v>2</v>
      </c>
      <c r="L7" s="1">
        <f t="shared" si="2"/>
        <v>0</v>
      </c>
      <c r="M7" s="1"/>
      <c r="N7" s="1"/>
      <c r="O7" s="1"/>
      <c r="P7" s="1">
        <f t="shared" ref="P7:P44" si="3">E7/5</f>
        <v>0.4</v>
      </c>
      <c r="Q7" s="5"/>
      <c r="R7" s="5"/>
      <c r="S7" s="16"/>
      <c r="T7" s="1">
        <f t="shared" ref="T7:T44" si="4">(F7+O7+Q7)/P7</f>
        <v>100</v>
      </c>
      <c r="U7" s="1">
        <f t="shared" ref="U7:U44" si="5">(F7+O7)/P7</f>
        <v>100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 t="s">
        <v>33</v>
      </c>
      <c r="AF7" s="1">
        <f>G7*Q7</f>
        <v>0</v>
      </c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</row>
    <row r="8" spans="1:51" x14ac:dyDescent="0.25">
      <c r="A8" s="1" t="s">
        <v>35</v>
      </c>
      <c r="B8" s="1" t="s">
        <v>32</v>
      </c>
      <c r="C8" s="1"/>
      <c r="D8" s="1">
        <v>48</v>
      </c>
      <c r="E8" s="1">
        <v>2</v>
      </c>
      <c r="F8" s="1">
        <v>40</v>
      </c>
      <c r="G8" s="7">
        <v>0.1</v>
      </c>
      <c r="H8" s="1"/>
      <c r="I8" s="1"/>
      <c r="J8" s="1"/>
      <c r="K8" s="1">
        <v>2</v>
      </c>
      <c r="L8" s="1">
        <f t="shared" si="2"/>
        <v>0</v>
      </c>
      <c r="M8" s="1"/>
      <c r="N8" s="1"/>
      <c r="O8" s="1"/>
      <c r="P8" s="1">
        <f t="shared" si="3"/>
        <v>0.4</v>
      </c>
      <c r="Q8" s="5"/>
      <c r="R8" s="5"/>
      <c r="S8" s="16"/>
      <c r="T8" s="1">
        <f t="shared" si="4"/>
        <v>100</v>
      </c>
      <c r="U8" s="1">
        <f t="shared" si="5"/>
        <v>100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 t="s">
        <v>33</v>
      </c>
      <c r="AF8" s="1">
        <f>G8*Q8</f>
        <v>0</v>
      </c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</row>
    <row r="9" spans="1:51" x14ac:dyDescent="0.25">
      <c r="A9" s="1" t="s">
        <v>36</v>
      </c>
      <c r="B9" s="1" t="s">
        <v>37</v>
      </c>
      <c r="C9" s="1">
        <v>56.366</v>
      </c>
      <c r="D9" s="1">
        <v>399.19900000000001</v>
      </c>
      <c r="E9" s="1">
        <v>37.57</v>
      </c>
      <c r="F9" s="1">
        <v>389.93700000000001</v>
      </c>
      <c r="G9" s="7">
        <v>1</v>
      </c>
      <c r="H9" s="1"/>
      <c r="I9" s="1"/>
      <c r="J9" s="1"/>
      <c r="K9" s="1">
        <v>42.6</v>
      </c>
      <c r="L9" s="1">
        <f t="shared" si="2"/>
        <v>-5.0300000000000011</v>
      </c>
      <c r="M9" s="1"/>
      <c r="N9" s="1"/>
      <c r="O9" s="1">
        <v>105</v>
      </c>
      <c r="P9" s="1">
        <f t="shared" si="3"/>
        <v>7.5140000000000002</v>
      </c>
      <c r="Q9" s="5"/>
      <c r="R9" s="5"/>
      <c r="S9" s="16"/>
      <c r="T9" s="1">
        <f t="shared" si="4"/>
        <v>65.868645195634812</v>
      </c>
      <c r="U9" s="1">
        <f t="shared" si="5"/>
        <v>65.868645195634812</v>
      </c>
      <c r="V9" s="1">
        <v>11.027200000000001</v>
      </c>
      <c r="W9" s="1">
        <v>9.781600000000001</v>
      </c>
      <c r="X9" s="1">
        <v>9.0831999999999997</v>
      </c>
      <c r="Y9" s="1">
        <v>6.6611999999999991</v>
      </c>
      <c r="Z9" s="1">
        <v>7.8073999999999986</v>
      </c>
      <c r="AA9" s="1">
        <v>5.952</v>
      </c>
      <c r="AB9" s="1">
        <v>15.026400000000001</v>
      </c>
      <c r="AC9" s="1">
        <v>12.090400000000001</v>
      </c>
      <c r="AD9" s="1">
        <v>19.646799999999999</v>
      </c>
      <c r="AE9" s="13" t="s">
        <v>77</v>
      </c>
      <c r="AF9" s="1">
        <f>G9*Q9</f>
        <v>0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</row>
    <row r="10" spans="1:51" x14ac:dyDescent="0.25">
      <c r="A10" s="9" t="s">
        <v>38</v>
      </c>
      <c r="B10" s="9" t="s">
        <v>32</v>
      </c>
      <c r="C10" s="9">
        <v>-1</v>
      </c>
      <c r="D10" s="9">
        <v>1</v>
      </c>
      <c r="E10" s="9"/>
      <c r="F10" s="9"/>
      <c r="G10" s="10">
        <v>0</v>
      </c>
      <c r="H10" s="9"/>
      <c r="I10" s="9" t="s">
        <v>39</v>
      </c>
      <c r="J10" s="9" t="s">
        <v>40</v>
      </c>
      <c r="K10" s="9"/>
      <c r="L10" s="9">
        <f t="shared" si="2"/>
        <v>0</v>
      </c>
      <c r="M10" s="9"/>
      <c r="N10" s="9"/>
      <c r="O10" s="9"/>
      <c r="P10" s="9">
        <f t="shared" si="3"/>
        <v>0</v>
      </c>
      <c r="Q10" s="11"/>
      <c r="R10" s="5"/>
      <c r="S10" s="17"/>
      <c r="T10" s="9" t="e">
        <f t="shared" si="4"/>
        <v>#DIV/0!</v>
      </c>
      <c r="U10" s="9" t="e">
        <f t="shared" si="5"/>
        <v>#DIV/0!</v>
      </c>
      <c r="V10" s="9">
        <v>0</v>
      </c>
      <c r="W10" s="9">
        <v>0</v>
      </c>
      <c r="X10" s="9">
        <v>0</v>
      </c>
      <c r="Y10" s="9">
        <v>0.2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/>
      <c r="AF10" s="9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</row>
    <row r="11" spans="1:51" x14ac:dyDescent="0.25">
      <c r="A11" s="1" t="s">
        <v>41</v>
      </c>
      <c r="B11" s="1" t="s">
        <v>32</v>
      </c>
      <c r="C11" s="1">
        <v>181</v>
      </c>
      <c r="D11" s="1">
        <v>1</v>
      </c>
      <c r="E11" s="1">
        <v>12</v>
      </c>
      <c r="F11" s="1">
        <v>-5</v>
      </c>
      <c r="G11" s="7">
        <v>0.18</v>
      </c>
      <c r="H11" s="1"/>
      <c r="I11" s="1"/>
      <c r="J11" s="1"/>
      <c r="K11" s="1">
        <v>23</v>
      </c>
      <c r="L11" s="1">
        <f t="shared" si="2"/>
        <v>-11</v>
      </c>
      <c r="M11" s="1"/>
      <c r="N11" s="1"/>
      <c r="O11" s="1"/>
      <c r="P11" s="1">
        <f t="shared" si="3"/>
        <v>2.4</v>
      </c>
      <c r="Q11" s="5">
        <v>40</v>
      </c>
      <c r="R11" s="5">
        <f>VLOOKUP(A11,заказ!A:B,2,0)</f>
        <v>36</v>
      </c>
      <c r="S11" s="16"/>
      <c r="T11" s="1">
        <f t="shared" si="4"/>
        <v>14.583333333333334</v>
      </c>
      <c r="U11" s="1">
        <f t="shared" si="5"/>
        <v>-2.0833333333333335</v>
      </c>
      <c r="V11" s="1">
        <v>4.5999999999999996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2" t="s">
        <v>78</v>
      </c>
      <c r="AF11" s="1">
        <f t="shared" ref="AF11:AF19" si="6">G11*Q11</f>
        <v>7.1999999999999993</v>
      </c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</row>
    <row r="12" spans="1:51" x14ac:dyDescent="0.25">
      <c r="A12" s="1" t="s">
        <v>43</v>
      </c>
      <c r="B12" s="1" t="s">
        <v>32</v>
      </c>
      <c r="C12" s="1">
        <v>151</v>
      </c>
      <c r="D12" s="1">
        <v>1</v>
      </c>
      <c r="E12" s="1">
        <v>4</v>
      </c>
      <c r="F12" s="1">
        <v>-5</v>
      </c>
      <c r="G12" s="7">
        <v>0.18</v>
      </c>
      <c r="H12" s="1"/>
      <c r="I12" s="1"/>
      <c r="J12" s="1"/>
      <c r="K12" s="1">
        <v>23</v>
      </c>
      <c r="L12" s="1">
        <f t="shared" si="2"/>
        <v>-19</v>
      </c>
      <c r="M12" s="1"/>
      <c r="N12" s="1"/>
      <c r="O12" s="1"/>
      <c r="P12" s="1">
        <f t="shared" si="3"/>
        <v>0.8</v>
      </c>
      <c r="Q12" s="5">
        <v>20</v>
      </c>
      <c r="R12" s="5">
        <f>VLOOKUP(A12,заказ!A:B,2,0)</f>
        <v>24</v>
      </c>
      <c r="S12" s="16"/>
      <c r="T12" s="1">
        <f t="shared" si="4"/>
        <v>18.75</v>
      </c>
      <c r="U12" s="1">
        <f t="shared" si="5"/>
        <v>-6.25</v>
      </c>
      <c r="V12" s="1">
        <v>5.6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2" t="s">
        <v>79</v>
      </c>
      <c r="AF12" s="1">
        <f t="shared" si="6"/>
        <v>3.5999999999999996</v>
      </c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</row>
    <row r="13" spans="1:51" x14ac:dyDescent="0.25">
      <c r="A13" s="1" t="s">
        <v>45</v>
      </c>
      <c r="B13" s="1" t="s">
        <v>37</v>
      </c>
      <c r="C13" s="1">
        <v>115.54</v>
      </c>
      <c r="D13" s="1">
        <v>3.206</v>
      </c>
      <c r="E13" s="1">
        <v>18.638000000000002</v>
      </c>
      <c r="F13" s="1">
        <v>93.316999999999993</v>
      </c>
      <c r="G13" s="7">
        <v>1</v>
      </c>
      <c r="H13" s="1"/>
      <c r="I13" s="1"/>
      <c r="J13" s="1"/>
      <c r="K13" s="1">
        <v>20.7</v>
      </c>
      <c r="L13" s="1">
        <f t="shared" si="2"/>
        <v>-2.0619999999999976</v>
      </c>
      <c r="M13" s="1"/>
      <c r="N13" s="1"/>
      <c r="O13" s="1"/>
      <c r="P13" s="1">
        <f t="shared" si="3"/>
        <v>3.7276000000000002</v>
      </c>
      <c r="Q13" s="5"/>
      <c r="R13" s="5"/>
      <c r="S13" s="16"/>
      <c r="T13" s="1">
        <f t="shared" si="4"/>
        <v>25.034070179203773</v>
      </c>
      <c r="U13" s="1">
        <f t="shared" si="5"/>
        <v>25.034070179203773</v>
      </c>
      <c r="V13" s="1">
        <v>2.6724000000000001</v>
      </c>
      <c r="W13" s="1">
        <v>0.63600000000000001</v>
      </c>
      <c r="X13" s="1">
        <v>2.7296</v>
      </c>
      <c r="Y13" s="1">
        <v>0</v>
      </c>
      <c r="Z13" s="1">
        <v>3.2768000000000002</v>
      </c>
      <c r="AA13" s="1">
        <v>4.0444000000000004</v>
      </c>
      <c r="AB13" s="1">
        <v>1.9536</v>
      </c>
      <c r="AC13" s="1">
        <v>0</v>
      </c>
      <c r="AD13" s="1">
        <v>0</v>
      </c>
      <c r="AE13" s="13" t="s">
        <v>44</v>
      </c>
      <c r="AF13" s="1">
        <f t="shared" si="6"/>
        <v>0</v>
      </c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 spans="1:51" x14ac:dyDescent="0.25">
      <c r="A14" s="1" t="s">
        <v>46</v>
      </c>
      <c r="B14" s="1" t="s">
        <v>32</v>
      </c>
      <c r="C14" s="1">
        <v>64</v>
      </c>
      <c r="D14" s="1"/>
      <c r="E14" s="1">
        <v>9</v>
      </c>
      <c r="F14" s="1">
        <v>12</v>
      </c>
      <c r="G14" s="7">
        <v>0.82450000000000001</v>
      </c>
      <c r="H14" s="1">
        <v>180</v>
      </c>
      <c r="I14" s="1"/>
      <c r="J14" s="1"/>
      <c r="K14" s="1">
        <v>9</v>
      </c>
      <c r="L14" s="1">
        <f t="shared" si="2"/>
        <v>0</v>
      </c>
      <c r="M14" s="1"/>
      <c r="N14" s="1"/>
      <c r="O14" s="1"/>
      <c r="P14" s="1">
        <f t="shared" si="3"/>
        <v>1.8</v>
      </c>
      <c r="Q14" s="5">
        <f t="shared" ref="Q14:Q17" si="7">20*P14-O14-F14</f>
        <v>24</v>
      </c>
      <c r="R14" s="5">
        <f>VLOOKUP(A14,заказ!A:B,2,0)</f>
        <v>24</v>
      </c>
      <c r="S14" s="16"/>
      <c r="T14" s="1">
        <f t="shared" si="4"/>
        <v>20</v>
      </c>
      <c r="U14" s="1">
        <f t="shared" si="5"/>
        <v>6.6666666666666661</v>
      </c>
      <c r="V14" s="1">
        <v>0.8</v>
      </c>
      <c r="W14" s="1">
        <v>0.8</v>
      </c>
      <c r="X14" s="1">
        <v>1</v>
      </c>
      <c r="Y14" s="1">
        <v>1</v>
      </c>
      <c r="Z14" s="1">
        <v>2.4</v>
      </c>
      <c r="AA14" s="1">
        <v>0.4</v>
      </c>
      <c r="AB14" s="1">
        <v>0.6</v>
      </c>
      <c r="AC14" s="1">
        <v>1.2</v>
      </c>
      <c r="AD14" s="1">
        <v>1.4</v>
      </c>
      <c r="AE14" s="1"/>
      <c r="AF14" s="1">
        <f t="shared" si="6"/>
        <v>19.788</v>
      </c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</row>
    <row r="15" spans="1:51" x14ac:dyDescent="0.25">
      <c r="A15" s="1" t="s">
        <v>47</v>
      </c>
      <c r="B15" s="1" t="s">
        <v>32</v>
      </c>
      <c r="C15" s="1">
        <v>318</v>
      </c>
      <c r="D15" s="1">
        <v>124</v>
      </c>
      <c r="E15" s="1">
        <v>122</v>
      </c>
      <c r="F15" s="1">
        <v>302</v>
      </c>
      <c r="G15" s="7">
        <v>0.372</v>
      </c>
      <c r="H15" s="1">
        <v>180</v>
      </c>
      <c r="I15" s="1"/>
      <c r="J15" s="1"/>
      <c r="K15" s="1">
        <v>122</v>
      </c>
      <c r="L15" s="1">
        <f t="shared" si="2"/>
        <v>0</v>
      </c>
      <c r="M15" s="1"/>
      <c r="N15" s="1"/>
      <c r="O15" s="1"/>
      <c r="P15" s="1">
        <f t="shared" si="3"/>
        <v>24.4</v>
      </c>
      <c r="Q15" s="5">
        <f t="shared" si="7"/>
        <v>186</v>
      </c>
      <c r="R15" s="5">
        <f>VLOOKUP(A15,заказ!A:B,2,0)</f>
        <v>192</v>
      </c>
      <c r="S15" s="16"/>
      <c r="T15" s="1">
        <f t="shared" si="4"/>
        <v>20</v>
      </c>
      <c r="U15" s="1">
        <f t="shared" si="5"/>
        <v>12.377049180327869</v>
      </c>
      <c r="V15" s="1">
        <v>11.6</v>
      </c>
      <c r="W15" s="1">
        <v>25.2</v>
      </c>
      <c r="X15" s="1">
        <v>28.2</v>
      </c>
      <c r="Y15" s="1">
        <v>10.4</v>
      </c>
      <c r="Z15" s="1">
        <v>15.4</v>
      </c>
      <c r="AA15" s="1">
        <v>20.2</v>
      </c>
      <c r="AB15" s="1">
        <v>21.8</v>
      </c>
      <c r="AC15" s="1">
        <v>30.8</v>
      </c>
      <c r="AD15" s="1">
        <v>3.4</v>
      </c>
      <c r="AE15" s="1"/>
      <c r="AF15" s="1">
        <f t="shared" si="6"/>
        <v>69.191999999999993</v>
      </c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</row>
    <row r="16" spans="1:51" x14ac:dyDescent="0.25">
      <c r="A16" s="1" t="s">
        <v>48</v>
      </c>
      <c r="B16" s="1" t="s">
        <v>32</v>
      </c>
      <c r="C16" s="1">
        <v>147</v>
      </c>
      <c r="D16" s="1">
        <v>338</v>
      </c>
      <c r="E16" s="1">
        <v>29</v>
      </c>
      <c r="F16" s="1">
        <v>407</v>
      </c>
      <c r="G16" s="7">
        <v>0.74399999999999999</v>
      </c>
      <c r="H16" s="1">
        <v>180</v>
      </c>
      <c r="I16" s="1"/>
      <c r="J16" s="1"/>
      <c r="K16" s="1">
        <v>29</v>
      </c>
      <c r="L16" s="1">
        <f t="shared" si="2"/>
        <v>0</v>
      </c>
      <c r="M16" s="1"/>
      <c r="N16" s="1"/>
      <c r="O16" s="1"/>
      <c r="P16" s="1">
        <f t="shared" si="3"/>
        <v>5.8</v>
      </c>
      <c r="Q16" s="5"/>
      <c r="R16" s="5"/>
      <c r="S16" s="16"/>
      <c r="T16" s="1">
        <f t="shared" si="4"/>
        <v>70.172413793103445</v>
      </c>
      <c r="U16" s="1">
        <f t="shared" si="5"/>
        <v>70.172413793103445</v>
      </c>
      <c r="V16" s="1">
        <v>5.2</v>
      </c>
      <c r="W16" s="1">
        <v>23</v>
      </c>
      <c r="X16" s="1">
        <v>16.8</v>
      </c>
      <c r="Y16" s="1">
        <v>10.8</v>
      </c>
      <c r="Z16" s="1">
        <v>8</v>
      </c>
      <c r="AA16" s="1">
        <v>19.399999999999999</v>
      </c>
      <c r="AB16" s="1">
        <v>20.2</v>
      </c>
      <c r="AC16" s="1">
        <v>30.2</v>
      </c>
      <c r="AD16" s="1">
        <v>17.399999999999999</v>
      </c>
      <c r="AE16" s="14" t="s">
        <v>42</v>
      </c>
      <c r="AF16" s="1">
        <f t="shared" si="6"/>
        <v>0</v>
      </c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</row>
    <row r="17" spans="1:51" x14ac:dyDescent="0.25">
      <c r="A17" s="1" t="s">
        <v>49</v>
      </c>
      <c r="B17" s="1" t="s">
        <v>32</v>
      </c>
      <c r="C17" s="1">
        <v>258</v>
      </c>
      <c r="D17" s="1">
        <v>455</v>
      </c>
      <c r="E17" s="1">
        <v>237</v>
      </c>
      <c r="F17" s="1">
        <v>442</v>
      </c>
      <c r="G17" s="7">
        <v>0.372</v>
      </c>
      <c r="H17" s="1">
        <v>180</v>
      </c>
      <c r="I17" s="1"/>
      <c r="J17" s="1"/>
      <c r="K17" s="1">
        <v>252</v>
      </c>
      <c r="L17" s="1">
        <f t="shared" si="2"/>
        <v>-15</v>
      </c>
      <c r="M17" s="1"/>
      <c r="N17" s="1"/>
      <c r="O17" s="1">
        <v>180</v>
      </c>
      <c r="P17" s="1">
        <f t="shared" si="3"/>
        <v>47.4</v>
      </c>
      <c r="Q17" s="5">
        <f t="shared" si="7"/>
        <v>326</v>
      </c>
      <c r="R17" s="5">
        <f>VLOOKUP(A17,заказ!A:B,2,0)</f>
        <v>324</v>
      </c>
      <c r="S17" s="16"/>
      <c r="T17" s="1">
        <f t="shared" si="4"/>
        <v>20</v>
      </c>
      <c r="U17" s="1">
        <f t="shared" si="5"/>
        <v>13.122362869198312</v>
      </c>
      <c r="V17" s="1">
        <v>41.4</v>
      </c>
      <c r="W17" s="1">
        <v>44.2</v>
      </c>
      <c r="X17" s="1">
        <v>38.6</v>
      </c>
      <c r="Y17" s="1">
        <v>32.4</v>
      </c>
      <c r="Z17" s="1">
        <v>35</v>
      </c>
      <c r="AA17" s="1">
        <v>33.6</v>
      </c>
      <c r="AB17" s="1">
        <v>70.400000000000006</v>
      </c>
      <c r="AC17" s="1">
        <v>10.4</v>
      </c>
      <c r="AD17" s="1">
        <v>33.6</v>
      </c>
      <c r="AE17" s="1"/>
      <c r="AF17" s="1">
        <f t="shared" si="6"/>
        <v>121.27200000000001</v>
      </c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</row>
    <row r="18" spans="1:51" x14ac:dyDescent="0.25">
      <c r="A18" s="1" t="s">
        <v>50</v>
      </c>
      <c r="B18" s="1" t="s">
        <v>32</v>
      </c>
      <c r="C18" s="1">
        <v>813</v>
      </c>
      <c r="D18" s="1">
        <v>144</v>
      </c>
      <c r="E18" s="1">
        <v>131</v>
      </c>
      <c r="F18" s="1">
        <v>668</v>
      </c>
      <c r="G18" s="7">
        <v>0.74399999999999999</v>
      </c>
      <c r="H18" s="1">
        <v>180</v>
      </c>
      <c r="I18" s="1"/>
      <c r="J18" s="1"/>
      <c r="K18" s="1">
        <v>134</v>
      </c>
      <c r="L18" s="1">
        <f t="shared" si="2"/>
        <v>-3</v>
      </c>
      <c r="M18" s="1"/>
      <c r="N18" s="1"/>
      <c r="O18" s="1"/>
      <c r="P18" s="1">
        <f t="shared" si="3"/>
        <v>26.2</v>
      </c>
      <c r="Q18" s="5"/>
      <c r="R18" s="5"/>
      <c r="S18" s="16"/>
      <c r="T18" s="1">
        <f t="shared" si="4"/>
        <v>25.496183206106871</v>
      </c>
      <c r="U18" s="1">
        <f t="shared" si="5"/>
        <v>25.496183206106871</v>
      </c>
      <c r="V18" s="1">
        <v>30.2</v>
      </c>
      <c r="W18" s="1">
        <v>41.4</v>
      </c>
      <c r="X18" s="1">
        <v>58.6</v>
      </c>
      <c r="Y18" s="1">
        <v>46.2</v>
      </c>
      <c r="Z18" s="1">
        <v>25.4</v>
      </c>
      <c r="AA18" s="1">
        <v>41.2</v>
      </c>
      <c r="AB18" s="1">
        <v>14.2</v>
      </c>
      <c r="AC18" s="1">
        <v>40.6</v>
      </c>
      <c r="AD18" s="1">
        <v>41.2</v>
      </c>
      <c r="AE18" s="1"/>
      <c r="AF18" s="1">
        <f t="shared" si="6"/>
        <v>0</v>
      </c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</row>
    <row r="19" spans="1:51" x14ac:dyDescent="0.25">
      <c r="A19" s="1" t="s">
        <v>51</v>
      </c>
      <c r="B19" s="1" t="s">
        <v>32</v>
      </c>
      <c r="C19" s="1">
        <v>142</v>
      </c>
      <c r="D19" s="1">
        <v>17</v>
      </c>
      <c r="E19" s="1">
        <v>41</v>
      </c>
      <c r="F19" s="1">
        <v>98</v>
      </c>
      <c r="G19" s="7">
        <v>0.18</v>
      </c>
      <c r="H19" s="1">
        <v>270</v>
      </c>
      <c r="I19" s="1"/>
      <c r="J19" s="1"/>
      <c r="K19" s="1">
        <v>41</v>
      </c>
      <c r="L19" s="1">
        <f t="shared" si="2"/>
        <v>0</v>
      </c>
      <c r="M19" s="1"/>
      <c r="N19" s="1"/>
      <c r="O19" s="1"/>
      <c r="P19" s="1">
        <f t="shared" si="3"/>
        <v>8.1999999999999993</v>
      </c>
      <c r="Q19" s="5">
        <f>18*P19-O19-F19</f>
        <v>49.599999999999994</v>
      </c>
      <c r="R19" s="5">
        <f>VLOOKUP(A19,заказ!A:B,2,0)</f>
        <v>48</v>
      </c>
      <c r="S19" s="16"/>
      <c r="T19" s="1">
        <f t="shared" si="4"/>
        <v>18</v>
      </c>
      <c r="U19" s="1">
        <f t="shared" si="5"/>
        <v>11.951219512195124</v>
      </c>
      <c r="V19" s="1">
        <v>3.4</v>
      </c>
      <c r="W19" s="1">
        <v>2.2000000000000002</v>
      </c>
      <c r="X19" s="1">
        <v>9.6</v>
      </c>
      <c r="Y19" s="1">
        <v>1.8</v>
      </c>
      <c r="Z19" s="1">
        <v>5.8</v>
      </c>
      <c r="AA19" s="1">
        <v>7.8</v>
      </c>
      <c r="AB19" s="1">
        <v>2.8</v>
      </c>
      <c r="AC19" s="1">
        <v>6</v>
      </c>
      <c r="AD19" s="1">
        <v>9.8000000000000007</v>
      </c>
      <c r="AE19" s="1"/>
      <c r="AF19" s="1">
        <f t="shared" si="6"/>
        <v>8.927999999999999</v>
      </c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</row>
    <row r="20" spans="1:51" x14ac:dyDescent="0.25">
      <c r="A20" s="9" t="s">
        <v>52</v>
      </c>
      <c r="B20" s="9" t="s">
        <v>32</v>
      </c>
      <c r="C20" s="9">
        <v>4</v>
      </c>
      <c r="D20" s="9">
        <v>46</v>
      </c>
      <c r="E20" s="9"/>
      <c r="F20" s="9"/>
      <c r="G20" s="10">
        <v>0</v>
      </c>
      <c r="H20" s="9"/>
      <c r="I20" s="9" t="s">
        <v>53</v>
      </c>
      <c r="J20" s="9"/>
      <c r="K20" s="9"/>
      <c r="L20" s="9">
        <f t="shared" si="2"/>
        <v>0</v>
      </c>
      <c r="M20" s="9"/>
      <c r="N20" s="9"/>
      <c r="O20" s="9"/>
      <c r="P20" s="9">
        <f t="shared" si="3"/>
        <v>0</v>
      </c>
      <c r="Q20" s="11"/>
      <c r="R20" s="5"/>
      <c r="S20" s="17"/>
      <c r="T20" s="9" t="e">
        <f t="shared" si="4"/>
        <v>#DIV/0!</v>
      </c>
      <c r="U20" s="9" t="e">
        <f t="shared" si="5"/>
        <v>#DIV/0!</v>
      </c>
      <c r="V20" s="9">
        <v>0</v>
      </c>
      <c r="W20" s="9">
        <v>39.200000000000003</v>
      </c>
      <c r="X20" s="9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/>
      <c r="AF20" s="9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</row>
    <row r="21" spans="1:51" x14ac:dyDescent="0.25">
      <c r="A21" s="1" t="s">
        <v>40</v>
      </c>
      <c r="B21" s="1" t="s">
        <v>32</v>
      </c>
      <c r="C21" s="1">
        <v>251</v>
      </c>
      <c r="D21" s="1">
        <v>33</v>
      </c>
      <c r="E21" s="1">
        <v>131</v>
      </c>
      <c r="F21" s="1">
        <v>112</v>
      </c>
      <c r="G21" s="7">
        <v>0.18</v>
      </c>
      <c r="H21" s="1">
        <v>120</v>
      </c>
      <c r="I21" s="1"/>
      <c r="J21" s="1"/>
      <c r="K21" s="1">
        <v>135</v>
      </c>
      <c r="L21" s="1">
        <f t="shared" si="2"/>
        <v>-4</v>
      </c>
      <c r="M21" s="1"/>
      <c r="N21" s="1"/>
      <c r="O21" s="1"/>
      <c r="P21" s="1">
        <f t="shared" si="3"/>
        <v>26.2</v>
      </c>
      <c r="Q21" s="15">
        <v>0</v>
      </c>
      <c r="R21" s="5"/>
      <c r="S21" s="18" t="s">
        <v>82</v>
      </c>
      <c r="T21" s="1">
        <f t="shared" si="4"/>
        <v>4.2748091603053435</v>
      </c>
      <c r="U21" s="1">
        <f t="shared" si="5"/>
        <v>4.2748091603053435</v>
      </c>
      <c r="V21" s="1">
        <v>11.8</v>
      </c>
      <c r="W21" s="1">
        <v>17.399999999999999</v>
      </c>
      <c r="X21" s="1">
        <v>20</v>
      </c>
      <c r="Y21" s="1">
        <v>15.4</v>
      </c>
      <c r="Z21" s="1">
        <v>15</v>
      </c>
      <c r="AA21" s="1">
        <v>21.6</v>
      </c>
      <c r="AB21" s="1">
        <v>20</v>
      </c>
      <c r="AC21" s="1">
        <v>13.8</v>
      </c>
      <c r="AD21" s="1">
        <v>6.2</v>
      </c>
      <c r="AE21" s="1"/>
      <c r="AF21" s="1">
        <f t="shared" ref="AF21:AF44" si="8">G21*Q21</f>
        <v>0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</row>
    <row r="22" spans="1:51" x14ac:dyDescent="0.25">
      <c r="A22" s="1" t="s">
        <v>54</v>
      </c>
      <c r="B22" s="1" t="s">
        <v>32</v>
      </c>
      <c r="C22" s="1">
        <v>769</v>
      </c>
      <c r="D22" s="1">
        <v>8</v>
      </c>
      <c r="E22" s="1">
        <v>76</v>
      </c>
      <c r="F22" s="1">
        <v>242</v>
      </c>
      <c r="G22" s="7">
        <v>0.18</v>
      </c>
      <c r="H22" s="1">
        <v>120</v>
      </c>
      <c r="I22" s="1"/>
      <c r="J22" s="1"/>
      <c r="K22" s="1">
        <v>80</v>
      </c>
      <c r="L22" s="1">
        <f t="shared" si="2"/>
        <v>-4</v>
      </c>
      <c r="M22" s="1"/>
      <c r="N22" s="1"/>
      <c r="O22" s="1"/>
      <c r="P22" s="1">
        <f t="shared" si="3"/>
        <v>15.2</v>
      </c>
      <c r="Q22" s="15">
        <v>0</v>
      </c>
      <c r="R22" s="5"/>
      <c r="S22" s="18" t="s">
        <v>82</v>
      </c>
      <c r="T22" s="1">
        <f t="shared" si="4"/>
        <v>15.921052631578949</v>
      </c>
      <c r="U22" s="1">
        <f t="shared" si="5"/>
        <v>15.921052631578949</v>
      </c>
      <c r="V22" s="1">
        <v>22.4</v>
      </c>
      <c r="W22" s="1">
        <v>20.8</v>
      </c>
      <c r="X22" s="1">
        <v>22.8</v>
      </c>
      <c r="Y22" s="1">
        <v>22.8</v>
      </c>
      <c r="Z22" s="1">
        <v>20.8</v>
      </c>
      <c r="AA22" s="1">
        <v>25</v>
      </c>
      <c r="AB22" s="1">
        <v>25</v>
      </c>
      <c r="AC22" s="1">
        <v>19</v>
      </c>
      <c r="AD22" s="1">
        <v>4.8</v>
      </c>
      <c r="AE22" s="12" t="s">
        <v>80</v>
      </c>
      <c r="AF22" s="1">
        <f t="shared" si="8"/>
        <v>0</v>
      </c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</row>
    <row r="23" spans="1:51" x14ac:dyDescent="0.25">
      <c r="A23" s="1" t="s">
        <v>55</v>
      </c>
      <c r="B23" s="1" t="s">
        <v>32</v>
      </c>
      <c r="C23" s="1">
        <v>25</v>
      </c>
      <c r="D23" s="1"/>
      <c r="E23" s="1">
        <v>3</v>
      </c>
      <c r="F23" s="1">
        <v>21</v>
      </c>
      <c r="G23" s="7">
        <v>0.4</v>
      </c>
      <c r="H23" s="1">
        <v>270</v>
      </c>
      <c r="I23" s="1"/>
      <c r="J23" s="1"/>
      <c r="K23" s="1">
        <v>3</v>
      </c>
      <c r="L23" s="1">
        <f t="shared" si="2"/>
        <v>0</v>
      </c>
      <c r="M23" s="1"/>
      <c r="N23" s="1"/>
      <c r="O23" s="1"/>
      <c r="P23" s="1">
        <f t="shared" si="3"/>
        <v>0.6</v>
      </c>
      <c r="Q23" s="5"/>
      <c r="R23" s="5"/>
      <c r="S23" s="16"/>
      <c r="T23" s="1">
        <f t="shared" si="4"/>
        <v>35</v>
      </c>
      <c r="U23" s="1">
        <f t="shared" si="5"/>
        <v>35</v>
      </c>
      <c r="V23" s="1">
        <v>0.2</v>
      </c>
      <c r="W23" s="1">
        <v>0</v>
      </c>
      <c r="X23" s="1">
        <v>1.2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4" t="s">
        <v>42</v>
      </c>
      <c r="AF23" s="1">
        <f t="shared" si="8"/>
        <v>0</v>
      </c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</row>
    <row r="24" spans="1:51" x14ac:dyDescent="0.25">
      <c r="A24" s="1" t="s">
        <v>56</v>
      </c>
      <c r="B24" s="1" t="s">
        <v>32</v>
      </c>
      <c r="C24" s="1">
        <v>110</v>
      </c>
      <c r="D24" s="1">
        <v>1</v>
      </c>
      <c r="E24" s="1">
        <v>30</v>
      </c>
      <c r="F24" s="1">
        <v>79</v>
      </c>
      <c r="G24" s="7">
        <v>0.4</v>
      </c>
      <c r="H24" s="1">
        <v>270</v>
      </c>
      <c r="I24" s="1"/>
      <c r="J24" s="1"/>
      <c r="K24" s="1">
        <v>30</v>
      </c>
      <c r="L24" s="1">
        <f t="shared" si="2"/>
        <v>0</v>
      </c>
      <c r="M24" s="1"/>
      <c r="N24" s="1"/>
      <c r="O24" s="1"/>
      <c r="P24" s="1">
        <f t="shared" si="3"/>
        <v>6</v>
      </c>
      <c r="Q24" s="5">
        <f>18*P24-O24-F24</f>
        <v>29</v>
      </c>
      <c r="R24" s="5">
        <f>VLOOKUP(A24,заказ!A:B,2,0)</f>
        <v>28</v>
      </c>
      <c r="S24" s="16"/>
      <c r="T24" s="1">
        <f t="shared" si="4"/>
        <v>18</v>
      </c>
      <c r="U24" s="1">
        <f t="shared" si="5"/>
        <v>13.166666666666666</v>
      </c>
      <c r="V24" s="1">
        <v>1.6</v>
      </c>
      <c r="W24" s="1">
        <v>1.4</v>
      </c>
      <c r="X24" s="1">
        <v>3.2</v>
      </c>
      <c r="Y24" s="1">
        <v>1.2</v>
      </c>
      <c r="Z24" s="1">
        <v>4.5999999999999996</v>
      </c>
      <c r="AA24" s="1">
        <v>2.4</v>
      </c>
      <c r="AB24" s="1">
        <v>1.8</v>
      </c>
      <c r="AC24" s="1">
        <v>0</v>
      </c>
      <c r="AD24" s="1">
        <v>10</v>
      </c>
      <c r="AE24" s="1"/>
      <c r="AF24" s="1">
        <f t="shared" si="8"/>
        <v>11.600000000000001</v>
      </c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</row>
    <row r="25" spans="1:51" x14ac:dyDescent="0.25">
      <c r="A25" s="1" t="s">
        <v>57</v>
      </c>
      <c r="B25" s="1" t="s">
        <v>32</v>
      </c>
      <c r="C25" s="1">
        <v>49</v>
      </c>
      <c r="D25" s="1">
        <v>20</v>
      </c>
      <c r="E25" s="1">
        <v>21</v>
      </c>
      <c r="F25" s="1">
        <v>43</v>
      </c>
      <c r="G25" s="7">
        <v>0.18</v>
      </c>
      <c r="H25" s="1"/>
      <c r="I25" s="1"/>
      <c r="J25" s="1"/>
      <c r="K25" s="1">
        <v>22</v>
      </c>
      <c r="L25" s="1">
        <f t="shared" si="2"/>
        <v>-1</v>
      </c>
      <c r="M25" s="1"/>
      <c r="N25" s="1"/>
      <c r="O25" s="1">
        <v>24</v>
      </c>
      <c r="P25" s="1">
        <f t="shared" si="3"/>
        <v>4.2</v>
      </c>
      <c r="Q25" s="5">
        <f t="shared" ref="Q25:Q43" si="9">20*P25-O25-F25</f>
        <v>17</v>
      </c>
      <c r="R25" s="5">
        <f>VLOOKUP(A25,заказ!A:B,2,0)</f>
        <v>18</v>
      </c>
      <c r="S25" s="16"/>
      <c r="T25" s="1">
        <f t="shared" si="4"/>
        <v>20</v>
      </c>
      <c r="U25" s="1">
        <f t="shared" si="5"/>
        <v>15.952380952380953</v>
      </c>
      <c r="V25" s="1">
        <v>3.4</v>
      </c>
      <c r="W25" s="1">
        <v>2.6</v>
      </c>
      <c r="X25" s="1">
        <v>4.4000000000000004</v>
      </c>
      <c r="Y25" s="1">
        <v>1.6</v>
      </c>
      <c r="Z25" s="1">
        <v>1.4</v>
      </c>
      <c r="AA25" s="1">
        <v>3.2</v>
      </c>
      <c r="AB25" s="1">
        <v>3.8</v>
      </c>
      <c r="AC25" s="1">
        <v>4.8</v>
      </c>
      <c r="AD25" s="1">
        <v>7.4</v>
      </c>
      <c r="AE25" s="1"/>
      <c r="AF25" s="1">
        <f t="shared" si="8"/>
        <v>3.06</v>
      </c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</row>
    <row r="26" spans="1:51" x14ac:dyDescent="0.25">
      <c r="A26" s="1" t="s">
        <v>58</v>
      </c>
      <c r="B26" s="1" t="s">
        <v>32</v>
      </c>
      <c r="C26" s="1">
        <v>41</v>
      </c>
      <c r="D26" s="1">
        <v>190</v>
      </c>
      <c r="E26" s="1">
        <v>35</v>
      </c>
      <c r="F26" s="1">
        <v>172</v>
      </c>
      <c r="G26" s="7">
        <v>0.1</v>
      </c>
      <c r="H26" s="1"/>
      <c r="I26" s="1"/>
      <c r="J26" s="1"/>
      <c r="K26" s="1">
        <v>34</v>
      </c>
      <c r="L26" s="1">
        <f t="shared" si="2"/>
        <v>1</v>
      </c>
      <c r="M26" s="1"/>
      <c r="N26" s="1"/>
      <c r="O26" s="1"/>
      <c r="P26" s="1">
        <f t="shared" si="3"/>
        <v>7</v>
      </c>
      <c r="Q26" s="5"/>
      <c r="R26" s="5"/>
      <c r="S26" s="16"/>
      <c r="T26" s="1">
        <f t="shared" si="4"/>
        <v>24.571428571428573</v>
      </c>
      <c r="U26" s="1">
        <f t="shared" si="5"/>
        <v>24.571428571428573</v>
      </c>
      <c r="V26" s="1">
        <v>6</v>
      </c>
      <c r="W26" s="1">
        <v>14</v>
      </c>
      <c r="X26" s="1">
        <v>7.2</v>
      </c>
      <c r="Y26" s="1">
        <v>4.8</v>
      </c>
      <c r="Z26" s="1">
        <v>8.8000000000000007</v>
      </c>
      <c r="AA26" s="1">
        <v>8.8000000000000007</v>
      </c>
      <c r="AB26" s="1">
        <v>6.2</v>
      </c>
      <c r="AC26" s="1">
        <v>0.4</v>
      </c>
      <c r="AD26" s="1">
        <v>9.1999999999999993</v>
      </c>
      <c r="AE26" s="1"/>
      <c r="AF26" s="1">
        <f t="shared" si="8"/>
        <v>0</v>
      </c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</row>
    <row r="27" spans="1:51" x14ac:dyDescent="0.25">
      <c r="A27" s="1" t="s">
        <v>59</v>
      </c>
      <c r="B27" s="1" t="s">
        <v>32</v>
      </c>
      <c r="C27" s="1">
        <v>226</v>
      </c>
      <c r="D27" s="1">
        <v>263</v>
      </c>
      <c r="E27" s="1">
        <v>157</v>
      </c>
      <c r="F27" s="1">
        <v>290</v>
      </c>
      <c r="G27" s="7">
        <v>0.18</v>
      </c>
      <c r="H27" s="1">
        <v>150</v>
      </c>
      <c r="I27" s="1"/>
      <c r="J27" s="1"/>
      <c r="K27" s="1">
        <v>159</v>
      </c>
      <c r="L27" s="1">
        <f t="shared" si="2"/>
        <v>-2</v>
      </c>
      <c r="M27" s="1"/>
      <c r="N27" s="1"/>
      <c r="O27" s="1">
        <v>110</v>
      </c>
      <c r="P27" s="1">
        <f t="shared" si="3"/>
        <v>31.4</v>
      </c>
      <c r="Q27" s="5">
        <f t="shared" si="9"/>
        <v>228</v>
      </c>
      <c r="R27" s="5">
        <f>VLOOKUP(A27,заказ!A:B,2,0)</f>
        <v>230</v>
      </c>
      <c r="S27" s="16"/>
      <c r="T27" s="1">
        <f t="shared" si="4"/>
        <v>20</v>
      </c>
      <c r="U27" s="1">
        <f t="shared" si="5"/>
        <v>12.738853503184714</v>
      </c>
      <c r="V27" s="1">
        <v>28.2</v>
      </c>
      <c r="W27" s="1">
        <v>30.4</v>
      </c>
      <c r="X27" s="1">
        <v>20.8</v>
      </c>
      <c r="Y27" s="1">
        <v>18.2</v>
      </c>
      <c r="Z27" s="1">
        <v>23.8</v>
      </c>
      <c r="AA27" s="1">
        <v>13</v>
      </c>
      <c r="AB27" s="1">
        <v>27.6</v>
      </c>
      <c r="AC27" s="1">
        <v>27.2</v>
      </c>
      <c r="AD27" s="1">
        <v>19</v>
      </c>
      <c r="AE27" s="1"/>
      <c r="AF27" s="1">
        <f t="shared" si="8"/>
        <v>41.04</v>
      </c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</row>
    <row r="28" spans="1:51" x14ac:dyDescent="0.25">
      <c r="A28" s="1" t="s">
        <v>60</v>
      </c>
      <c r="B28" s="1" t="s">
        <v>32</v>
      </c>
      <c r="C28" s="1">
        <v>386</v>
      </c>
      <c r="D28" s="1">
        <v>50</v>
      </c>
      <c r="E28" s="1">
        <v>95</v>
      </c>
      <c r="F28" s="1">
        <v>286</v>
      </c>
      <c r="G28" s="7">
        <v>0.18</v>
      </c>
      <c r="H28" s="1">
        <v>150</v>
      </c>
      <c r="I28" s="1"/>
      <c r="J28" s="1"/>
      <c r="K28" s="1">
        <v>98</v>
      </c>
      <c r="L28" s="1">
        <f t="shared" si="2"/>
        <v>-3</v>
      </c>
      <c r="M28" s="1"/>
      <c r="N28" s="1"/>
      <c r="O28" s="1">
        <v>10</v>
      </c>
      <c r="P28" s="1">
        <f t="shared" si="3"/>
        <v>19</v>
      </c>
      <c r="Q28" s="5">
        <f t="shared" si="9"/>
        <v>84</v>
      </c>
      <c r="R28" s="5">
        <f>VLOOKUP(A28,заказ!A:B,2,0)</f>
        <v>80</v>
      </c>
      <c r="S28" s="16"/>
      <c r="T28" s="1">
        <f t="shared" si="4"/>
        <v>20</v>
      </c>
      <c r="U28" s="1">
        <f t="shared" si="5"/>
        <v>15.578947368421053</v>
      </c>
      <c r="V28" s="1">
        <v>19.399999999999999</v>
      </c>
      <c r="W28" s="1">
        <v>25</v>
      </c>
      <c r="X28" s="1">
        <v>20.2</v>
      </c>
      <c r="Y28" s="1">
        <v>19.600000000000001</v>
      </c>
      <c r="Z28" s="1">
        <v>25.6</v>
      </c>
      <c r="AA28" s="1">
        <v>19.399999999999999</v>
      </c>
      <c r="AB28" s="1">
        <v>23.4</v>
      </c>
      <c r="AC28" s="1">
        <v>29.6</v>
      </c>
      <c r="AD28" s="1">
        <v>23.2</v>
      </c>
      <c r="AE28" s="1"/>
      <c r="AF28" s="1">
        <f t="shared" si="8"/>
        <v>15.12</v>
      </c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</row>
    <row r="29" spans="1:51" x14ac:dyDescent="0.25">
      <c r="A29" s="1" t="s">
        <v>61</v>
      </c>
      <c r="B29" s="1" t="s">
        <v>32</v>
      </c>
      <c r="C29" s="1">
        <v>98</v>
      </c>
      <c r="D29" s="1"/>
      <c r="E29" s="1">
        <v>47</v>
      </c>
      <c r="F29" s="1">
        <v>39</v>
      </c>
      <c r="G29" s="7">
        <v>0.18</v>
      </c>
      <c r="H29" s="1"/>
      <c r="I29" s="1"/>
      <c r="J29" s="1"/>
      <c r="K29" s="1">
        <v>47</v>
      </c>
      <c r="L29" s="1">
        <f t="shared" si="2"/>
        <v>0</v>
      </c>
      <c r="M29" s="1"/>
      <c r="N29" s="1"/>
      <c r="O29" s="1">
        <v>100</v>
      </c>
      <c r="P29" s="1">
        <f t="shared" si="3"/>
        <v>9.4</v>
      </c>
      <c r="Q29" s="5">
        <f t="shared" si="9"/>
        <v>49</v>
      </c>
      <c r="R29" s="5">
        <f>VLOOKUP(A29,заказ!A:B,2,0)</f>
        <v>50</v>
      </c>
      <c r="S29" s="16"/>
      <c r="T29" s="1">
        <f t="shared" si="4"/>
        <v>20</v>
      </c>
      <c r="U29" s="1">
        <f t="shared" si="5"/>
        <v>14.787234042553191</v>
      </c>
      <c r="V29" s="1">
        <v>9.4</v>
      </c>
      <c r="W29" s="1">
        <v>8</v>
      </c>
      <c r="X29" s="1">
        <v>7.4</v>
      </c>
      <c r="Y29" s="1">
        <v>9</v>
      </c>
      <c r="Z29" s="1">
        <v>8.6</v>
      </c>
      <c r="AA29" s="1">
        <v>11.8</v>
      </c>
      <c r="AB29" s="1">
        <v>9.6</v>
      </c>
      <c r="AC29" s="1">
        <v>15.2</v>
      </c>
      <c r="AD29" s="1">
        <v>13.2</v>
      </c>
      <c r="AE29" s="1"/>
      <c r="AF29" s="1">
        <f t="shared" si="8"/>
        <v>8.82</v>
      </c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</row>
    <row r="30" spans="1:51" x14ac:dyDescent="0.25">
      <c r="A30" s="1" t="s">
        <v>62</v>
      </c>
      <c r="B30" s="1" t="s">
        <v>32</v>
      </c>
      <c r="C30" s="1">
        <v>121</v>
      </c>
      <c r="D30" s="1">
        <v>6</v>
      </c>
      <c r="E30" s="1">
        <v>33</v>
      </c>
      <c r="F30" s="1">
        <v>80</v>
      </c>
      <c r="G30" s="7">
        <v>0.18</v>
      </c>
      <c r="H30" s="1"/>
      <c r="I30" s="1"/>
      <c r="J30" s="1"/>
      <c r="K30" s="1">
        <v>33</v>
      </c>
      <c r="L30" s="1">
        <f t="shared" si="2"/>
        <v>0</v>
      </c>
      <c r="M30" s="1"/>
      <c r="N30" s="1"/>
      <c r="O30" s="1">
        <v>20</v>
      </c>
      <c r="P30" s="1">
        <f t="shared" si="3"/>
        <v>6.6</v>
      </c>
      <c r="Q30" s="5">
        <f t="shared" si="9"/>
        <v>32</v>
      </c>
      <c r="R30" s="5">
        <f>VLOOKUP(A30,заказ!A:B,2,0)</f>
        <v>30</v>
      </c>
      <c r="S30" s="16"/>
      <c r="T30" s="1">
        <f t="shared" si="4"/>
        <v>20</v>
      </c>
      <c r="U30" s="1">
        <f t="shared" si="5"/>
        <v>15.151515151515152</v>
      </c>
      <c r="V30" s="1">
        <v>6.8</v>
      </c>
      <c r="W30" s="1">
        <v>7.8</v>
      </c>
      <c r="X30" s="1">
        <v>9.4</v>
      </c>
      <c r="Y30" s="1">
        <v>7.8</v>
      </c>
      <c r="Z30" s="1">
        <v>7.2</v>
      </c>
      <c r="AA30" s="1">
        <v>9</v>
      </c>
      <c r="AB30" s="1">
        <v>9.8000000000000007</v>
      </c>
      <c r="AC30" s="1">
        <v>6.2</v>
      </c>
      <c r="AD30" s="1">
        <v>0</v>
      </c>
      <c r="AE30" s="1"/>
      <c r="AF30" s="1">
        <f t="shared" si="8"/>
        <v>5.76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</row>
    <row r="31" spans="1:51" x14ac:dyDescent="0.25">
      <c r="A31" s="1" t="s">
        <v>63</v>
      </c>
      <c r="B31" s="1" t="s">
        <v>32</v>
      </c>
      <c r="C31" s="1">
        <v>348</v>
      </c>
      <c r="D31" s="1">
        <v>192</v>
      </c>
      <c r="E31" s="1">
        <v>131</v>
      </c>
      <c r="F31" s="1">
        <v>357</v>
      </c>
      <c r="G31" s="7">
        <v>0.18</v>
      </c>
      <c r="H31" s="1">
        <v>150</v>
      </c>
      <c r="I31" s="1"/>
      <c r="J31" s="1"/>
      <c r="K31" s="1">
        <v>135</v>
      </c>
      <c r="L31" s="1">
        <f t="shared" si="2"/>
        <v>-4</v>
      </c>
      <c r="M31" s="1"/>
      <c r="N31" s="1"/>
      <c r="O31" s="1">
        <v>40</v>
      </c>
      <c r="P31" s="1">
        <f t="shared" si="3"/>
        <v>26.2</v>
      </c>
      <c r="Q31" s="5">
        <f t="shared" si="9"/>
        <v>127</v>
      </c>
      <c r="R31" s="5">
        <f>VLOOKUP(A31,заказ!A:B,2,0)</f>
        <v>130</v>
      </c>
      <c r="S31" s="16"/>
      <c r="T31" s="1">
        <f t="shared" si="4"/>
        <v>20</v>
      </c>
      <c r="U31" s="1">
        <f t="shared" si="5"/>
        <v>15.152671755725191</v>
      </c>
      <c r="V31" s="1">
        <v>26.6</v>
      </c>
      <c r="W31" s="1">
        <v>32.6</v>
      </c>
      <c r="X31" s="1">
        <v>15.6</v>
      </c>
      <c r="Y31" s="1">
        <v>24.6</v>
      </c>
      <c r="Z31" s="1">
        <v>27.4</v>
      </c>
      <c r="AA31" s="1">
        <v>25.4</v>
      </c>
      <c r="AB31" s="1">
        <v>20.8</v>
      </c>
      <c r="AC31" s="1">
        <v>24.6</v>
      </c>
      <c r="AD31" s="1">
        <v>32.4</v>
      </c>
      <c r="AE31" s="1"/>
      <c r="AF31" s="1">
        <f t="shared" si="8"/>
        <v>22.86</v>
      </c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</row>
    <row r="32" spans="1:51" x14ac:dyDescent="0.25">
      <c r="A32" s="1" t="s">
        <v>64</v>
      </c>
      <c r="B32" s="1" t="s">
        <v>32</v>
      </c>
      <c r="C32" s="1">
        <v>219</v>
      </c>
      <c r="D32" s="1">
        <v>10</v>
      </c>
      <c r="E32" s="1">
        <v>98</v>
      </c>
      <c r="F32" s="1">
        <v>122</v>
      </c>
      <c r="G32" s="7">
        <v>0.18</v>
      </c>
      <c r="H32" s="1">
        <v>120</v>
      </c>
      <c r="I32" s="1"/>
      <c r="J32" s="1"/>
      <c r="K32" s="1">
        <v>101</v>
      </c>
      <c r="L32" s="1">
        <f t="shared" si="2"/>
        <v>-3</v>
      </c>
      <c r="M32" s="1"/>
      <c r="N32" s="1"/>
      <c r="O32" s="1"/>
      <c r="P32" s="1">
        <f t="shared" si="3"/>
        <v>19.600000000000001</v>
      </c>
      <c r="Q32" s="5">
        <f t="shared" si="9"/>
        <v>270</v>
      </c>
      <c r="R32" s="5">
        <f>VLOOKUP(A32,заказ!A:B,2,0)</f>
        <v>270</v>
      </c>
      <c r="S32" s="16"/>
      <c r="T32" s="1">
        <f t="shared" si="4"/>
        <v>20</v>
      </c>
      <c r="U32" s="1">
        <f t="shared" si="5"/>
        <v>6.2244897959183669</v>
      </c>
      <c r="V32" s="1">
        <v>8.1999999999999993</v>
      </c>
      <c r="W32" s="1">
        <v>14</v>
      </c>
      <c r="X32" s="1">
        <v>12.4</v>
      </c>
      <c r="Y32" s="1">
        <v>10.8</v>
      </c>
      <c r="Z32" s="1">
        <v>11.6</v>
      </c>
      <c r="AA32" s="1">
        <v>9.4</v>
      </c>
      <c r="AB32" s="1">
        <v>13.2</v>
      </c>
      <c r="AC32" s="1">
        <v>12.8</v>
      </c>
      <c r="AD32" s="1">
        <v>4.8</v>
      </c>
      <c r="AE32" s="1"/>
      <c r="AF32" s="1">
        <f t="shared" si="8"/>
        <v>48.6</v>
      </c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</row>
    <row r="33" spans="1:51" x14ac:dyDescent="0.25">
      <c r="A33" s="1" t="s">
        <v>65</v>
      </c>
      <c r="B33" s="1" t="s">
        <v>37</v>
      </c>
      <c r="C33" s="1">
        <v>36.363999999999997</v>
      </c>
      <c r="D33" s="1"/>
      <c r="E33" s="1"/>
      <c r="F33" s="1">
        <v>36.363999999999997</v>
      </c>
      <c r="G33" s="7">
        <v>1</v>
      </c>
      <c r="H33" s="1"/>
      <c r="I33" s="1"/>
      <c r="J33" s="1"/>
      <c r="K33" s="1"/>
      <c r="L33" s="1">
        <f t="shared" si="2"/>
        <v>0</v>
      </c>
      <c r="M33" s="1"/>
      <c r="N33" s="1"/>
      <c r="O33" s="1"/>
      <c r="P33" s="1">
        <f t="shared" si="3"/>
        <v>0</v>
      </c>
      <c r="Q33" s="5"/>
      <c r="R33" s="5"/>
      <c r="S33" s="16"/>
      <c r="T33" s="1" t="e">
        <f t="shared" si="4"/>
        <v>#DIV/0!</v>
      </c>
      <c r="U33" s="1" t="e">
        <f t="shared" si="5"/>
        <v>#DIV/0!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4" t="s">
        <v>42</v>
      </c>
      <c r="AF33" s="1">
        <f t="shared" si="8"/>
        <v>0</v>
      </c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</row>
    <row r="34" spans="1:51" x14ac:dyDescent="0.25">
      <c r="A34" s="1" t="s">
        <v>66</v>
      </c>
      <c r="B34" s="1" t="s">
        <v>32</v>
      </c>
      <c r="C34" s="1">
        <v>169</v>
      </c>
      <c r="D34" s="1"/>
      <c r="E34" s="1">
        <v>32</v>
      </c>
      <c r="F34" s="1">
        <v>115</v>
      </c>
      <c r="G34" s="7">
        <v>0.14000000000000001</v>
      </c>
      <c r="H34" s="1"/>
      <c r="I34" s="1"/>
      <c r="J34" s="1"/>
      <c r="K34" s="1">
        <v>32</v>
      </c>
      <c r="L34" s="1">
        <f t="shared" si="2"/>
        <v>0</v>
      </c>
      <c r="M34" s="1"/>
      <c r="N34" s="1"/>
      <c r="O34" s="1"/>
      <c r="P34" s="1">
        <f t="shared" si="3"/>
        <v>6.4</v>
      </c>
      <c r="Q34" s="5"/>
      <c r="R34" s="5"/>
      <c r="S34" s="16"/>
      <c r="T34" s="1">
        <f t="shared" si="4"/>
        <v>17.96875</v>
      </c>
      <c r="U34" s="1">
        <f t="shared" si="5"/>
        <v>17.96875</v>
      </c>
      <c r="V34" s="1">
        <v>2.4</v>
      </c>
      <c r="W34" s="1">
        <v>2.2000000000000002</v>
      </c>
      <c r="X34" s="1">
        <v>9.1999999999999993</v>
      </c>
      <c r="Y34" s="1">
        <v>3</v>
      </c>
      <c r="Z34" s="1">
        <v>6.2</v>
      </c>
      <c r="AA34" s="1">
        <v>7</v>
      </c>
      <c r="AB34" s="1">
        <v>7</v>
      </c>
      <c r="AC34" s="1">
        <v>3.6</v>
      </c>
      <c r="AD34" s="1">
        <v>1</v>
      </c>
      <c r="AE34" s="1"/>
      <c r="AF34" s="1">
        <f t="shared" si="8"/>
        <v>0</v>
      </c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</row>
    <row r="35" spans="1:51" x14ac:dyDescent="0.25">
      <c r="A35" s="1" t="s">
        <v>67</v>
      </c>
      <c r="B35" s="1" t="s">
        <v>32</v>
      </c>
      <c r="C35" s="1">
        <v>136</v>
      </c>
      <c r="D35" s="1">
        <v>1</v>
      </c>
      <c r="E35" s="1">
        <v>42</v>
      </c>
      <c r="F35" s="1">
        <v>90</v>
      </c>
      <c r="G35" s="7">
        <v>0.18</v>
      </c>
      <c r="H35" s="1"/>
      <c r="I35" s="1"/>
      <c r="J35" s="1"/>
      <c r="K35" s="1">
        <v>42</v>
      </c>
      <c r="L35" s="1">
        <f t="shared" si="2"/>
        <v>0</v>
      </c>
      <c r="M35" s="1"/>
      <c r="N35" s="1"/>
      <c r="O35" s="1"/>
      <c r="P35" s="1">
        <f t="shared" si="3"/>
        <v>8.4</v>
      </c>
      <c r="Q35" s="5">
        <f t="shared" si="9"/>
        <v>78</v>
      </c>
      <c r="R35" s="5">
        <f>VLOOKUP(A35,заказ!A:B,2,0)</f>
        <v>80</v>
      </c>
      <c r="S35" s="16"/>
      <c r="T35" s="1">
        <f t="shared" si="4"/>
        <v>20</v>
      </c>
      <c r="U35" s="1">
        <f t="shared" si="5"/>
        <v>10.714285714285714</v>
      </c>
      <c r="V35" s="1">
        <v>6.2</v>
      </c>
      <c r="W35" s="1">
        <v>2.4</v>
      </c>
      <c r="X35" s="1">
        <v>9.8000000000000007</v>
      </c>
      <c r="Y35" s="1">
        <v>2.2000000000000002</v>
      </c>
      <c r="Z35" s="1">
        <v>8.1999999999999993</v>
      </c>
      <c r="AA35" s="1">
        <v>8.6</v>
      </c>
      <c r="AB35" s="1">
        <v>7.4</v>
      </c>
      <c r="AC35" s="1">
        <v>5.8</v>
      </c>
      <c r="AD35" s="1">
        <v>12.4</v>
      </c>
      <c r="AE35" s="1"/>
      <c r="AF35" s="1">
        <f t="shared" si="8"/>
        <v>14.04</v>
      </c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</row>
    <row r="36" spans="1:51" x14ac:dyDescent="0.25">
      <c r="A36" s="1" t="s">
        <v>68</v>
      </c>
      <c r="B36" s="1" t="s">
        <v>37</v>
      </c>
      <c r="C36" s="1">
        <v>22.72</v>
      </c>
      <c r="D36" s="1">
        <v>3.512</v>
      </c>
      <c r="E36" s="1"/>
      <c r="F36" s="1">
        <v>22.72</v>
      </c>
      <c r="G36" s="7">
        <v>1</v>
      </c>
      <c r="H36" s="1"/>
      <c r="I36" s="1"/>
      <c r="J36" s="1"/>
      <c r="K36" s="1"/>
      <c r="L36" s="1">
        <f t="shared" si="2"/>
        <v>0</v>
      </c>
      <c r="M36" s="1"/>
      <c r="N36" s="1"/>
      <c r="O36" s="1"/>
      <c r="P36" s="1">
        <f t="shared" si="3"/>
        <v>0</v>
      </c>
      <c r="Q36" s="5"/>
      <c r="R36" s="5"/>
      <c r="S36" s="16"/>
      <c r="T36" s="1" t="e">
        <f t="shared" si="4"/>
        <v>#DIV/0!</v>
      </c>
      <c r="U36" s="1" t="e">
        <f t="shared" si="5"/>
        <v>#DIV/0!</v>
      </c>
      <c r="V36" s="1">
        <v>1.4072</v>
      </c>
      <c r="W36" s="1">
        <v>1.3271999999999999</v>
      </c>
      <c r="X36" s="1">
        <v>1.9408000000000001</v>
      </c>
      <c r="Y36" s="1">
        <v>0.68840000000000001</v>
      </c>
      <c r="Z36" s="1">
        <v>1.3236000000000001</v>
      </c>
      <c r="AA36" s="1">
        <v>0.68840000000000001</v>
      </c>
      <c r="AB36" s="1">
        <v>2.0207999999999999</v>
      </c>
      <c r="AC36" s="1">
        <v>1.988</v>
      </c>
      <c r="AD36" s="1">
        <v>1.3355999999999999</v>
      </c>
      <c r="AE36" s="14" t="s">
        <v>42</v>
      </c>
      <c r="AF36" s="1">
        <f t="shared" si="8"/>
        <v>0</v>
      </c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</row>
    <row r="37" spans="1:51" x14ac:dyDescent="0.25">
      <c r="A37" s="1" t="s">
        <v>69</v>
      </c>
      <c r="B37" s="1" t="s">
        <v>37</v>
      </c>
      <c r="C37" s="1">
        <v>49.427999999999997</v>
      </c>
      <c r="D37" s="1">
        <v>16.771999999999998</v>
      </c>
      <c r="E37" s="1">
        <v>15.422000000000001</v>
      </c>
      <c r="F37" s="1">
        <v>35.450000000000003</v>
      </c>
      <c r="G37" s="7">
        <v>1</v>
      </c>
      <c r="H37" s="1"/>
      <c r="I37" s="1"/>
      <c r="J37" s="1"/>
      <c r="K37" s="1">
        <v>14.8</v>
      </c>
      <c r="L37" s="1">
        <f t="shared" si="2"/>
        <v>0.62199999999999989</v>
      </c>
      <c r="M37" s="1"/>
      <c r="N37" s="1"/>
      <c r="O37" s="1">
        <v>16</v>
      </c>
      <c r="P37" s="1">
        <f t="shared" si="3"/>
        <v>3.0844</v>
      </c>
      <c r="Q37" s="5">
        <f t="shared" si="9"/>
        <v>10.238</v>
      </c>
      <c r="R37" s="5">
        <f>VLOOKUP(A37,заказ!A:B,2,0)</f>
        <v>16</v>
      </c>
      <c r="S37" s="16"/>
      <c r="T37" s="1">
        <f t="shared" si="4"/>
        <v>20</v>
      </c>
      <c r="U37" s="1">
        <f t="shared" si="5"/>
        <v>16.680715860459085</v>
      </c>
      <c r="V37" s="1">
        <v>3.2427999999999999</v>
      </c>
      <c r="W37" s="1">
        <v>4.4512</v>
      </c>
      <c r="X37" s="1">
        <v>4.6284000000000001</v>
      </c>
      <c r="Y37" s="1">
        <v>2.6107999999999998</v>
      </c>
      <c r="Z37" s="1">
        <v>3.7959999999999998</v>
      </c>
      <c r="AA37" s="1">
        <v>0</v>
      </c>
      <c r="AB37" s="1">
        <v>0.71599999999999997</v>
      </c>
      <c r="AC37" s="1">
        <v>3.9607999999999999</v>
      </c>
      <c r="AD37" s="1">
        <v>3.8763999999999998</v>
      </c>
      <c r="AE37" s="1"/>
      <c r="AF37" s="1">
        <f t="shared" si="8"/>
        <v>10.238</v>
      </c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</row>
    <row r="38" spans="1:51" x14ac:dyDescent="0.25">
      <c r="A38" s="1" t="s">
        <v>70</v>
      </c>
      <c r="B38" s="1" t="s">
        <v>32</v>
      </c>
      <c r="C38" s="1"/>
      <c r="D38" s="1">
        <v>103</v>
      </c>
      <c r="E38" s="1">
        <v>7</v>
      </c>
      <c r="F38" s="1">
        <v>77</v>
      </c>
      <c r="G38" s="7">
        <v>0.1</v>
      </c>
      <c r="H38" s="1"/>
      <c r="I38" s="1"/>
      <c r="J38" s="1"/>
      <c r="K38" s="1">
        <v>25</v>
      </c>
      <c r="L38" s="1">
        <f t="shared" si="2"/>
        <v>-18</v>
      </c>
      <c r="M38" s="1"/>
      <c r="N38" s="1"/>
      <c r="O38" s="1"/>
      <c r="P38" s="1">
        <f t="shared" si="3"/>
        <v>1.4</v>
      </c>
      <c r="Q38" s="5"/>
      <c r="R38" s="5"/>
      <c r="S38" s="16"/>
      <c r="T38" s="1">
        <f t="shared" si="4"/>
        <v>55</v>
      </c>
      <c r="U38" s="1">
        <f t="shared" si="5"/>
        <v>55</v>
      </c>
      <c r="V38" s="1">
        <v>0</v>
      </c>
      <c r="W38" s="1">
        <v>-0.2</v>
      </c>
      <c r="X38" s="1">
        <v>-0.2</v>
      </c>
      <c r="Y38" s="1">
        <v>8.1999999999999993</v>
      </c>
      <c r="Z38" s="1">
        <v>13.6</v>
      </c>
      <c r="AA38" s="1">
        <v>8.1999999999999993</v>
      </c>
      <c r="AB38" s="1">
        <v>4.8</v>
      </c>
      <c r="AC38" s="1">
        <v>-0.4</v>
      </c>
      <c r="AD38" s="1">
        <v>8.6</v>
      </c>
      <c r="AE38" s="1"/>
      <c r="AF38" s="1">
        <f t="shared" si="8"/>
        <v>0</v>
      </c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</row>
    <row r="39" spans="1:51" x14ac:dyDescent="0.25">
      <c r="A39" s="1" t="s">
        <v>71</v>
      </c>
      <c r="B39" s="1" t="s">
        <v>32</v>
      </c>
      <c r="C39" s="1">
        <v>91</v>
      </c>
      <c r="D39" s="1">
        <v>40</v>
      </c>
      <c r="E39" s="1">
        <v>42</v>
      </c>
      <c r="F39" s="1">
        <v>75</v>
      </c>
      <c r="G39" s="7">
        <v>0.1</v>
      </c>
      <c r="H39" s="1"/>
      <c r="I39" s="1"/>
      <c r="J39" s="1"/>
      <c r="K39" s="1">
        <v>42</v>
      </c>
      <c r="L39" s="1">
        <f t="shared" si="2"/>
        <v>0</v>
      </c>
      <c r="M39" s="1"/>
      <c r="N39" s="1"/>
      <c r="O39" s="1">
        <v>114</v>
      </c>
      <c r="P39" s="1">
        <f t="shared" si="3"/>
        <v>8.4</v>
      </c>
      <c r="Q39" s="5"/>
      <c r="R39" s="5"/>
      <c r="S39" s="16"/>
      <c r="T39" s="1">
        <f t="shared" si="4"/>
        <v>22.5</v>
      </c>
      <c r="U39" s="1">
        <f t="shared" si="5"/>
        <v>22.5</v>
      </c>
      <c r="V39" s="1">
        <v>11</v>
      </c>
      <c r="W39" s="1">
        <v>9.1999999999999993</v>
      </c>
      <c r="X39" s="1">
        <v>8.4</v>
      </c>
      <c r="Y39" s="1">
        <v>7</v>
      </c>
      <c r="Z39" s="1">
        <v>14.2</v>
      </c>
      <c r="AA39" s="1">
        <v>7.6</v>
      </c>
      <c r="AB39" s="1">
        <v>7.4</v>
      </c>
      <c r="AC39" s="1">
        <v>2.6</v>
      </c>
      <c r="AD39" s="1">
        <v>12.6</v>
      </c>
      <c r="AE39" s="1"/>
      <c r="AF39" s="1">
        <f t="shared" si="8"/>
        <v>0</v>
      </c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</row>
    <row r="40" spans="1:51" x14ac:dyDescent="0.25">
      <c r="A40" s="1" t="s">
        <v>72</v>
      </c>
      <c r="B40" s="1" t="s">
        <v>32</v>
      </c>
      <c r="C40" s="1">
        <v>166</v>
      </c>
      <c r="D40" s="1">
        <v>15</v>
      </c>
      <c r="E40" s="1">
        <v>25</v>
      </c>
      <c r="F40" s="1">
        <v>146</v>
      </c>
      <c r="G40" s="7">
        <v>0.14000000000000001</v>
      </c>
      <c r="H40" s="1"/>
      <c r="I40" s="1"/>
      <c r="J40" s="1"/>
      <c r="K40" s="1">
        <v>25</v>
      </c>
      <c r="L40" s="1">
        <f t="shared" si="2"/>
        <v>0</v>
      </c>
      <c r="M40" s="1"/>
      <c r="N40" s="1"/>
      <c r="O40" s="1"/>
      <c r="P40" s="1">
        <f t="shared" si="3"/>
        <v>5</v>
      </c>
      <c r="Q40" s="5"/>
      <c r="R40" s="5"/>
      <c r="S40" s="16"/>
      <c r="T40" s="1">
        <f t="shared" si="4"/>
        <v>29.2</v>
      </c>
      <c r="U40" s="1">
        <f t="shared" si="5"/>
        <v>29.2</v>
      </c>
      <c r="V40" s="1">
        <v>3.6</v>
      </c>
      <c r="W40" s="1">
        <v>3.6</v>
      </c>
      <c r="X40" s="1">
        <v>10</v>
      </c>
      <c r="Y40" s="1">
        <v>4</v>
      </c>
      <c r="Z40" s="1">
        <v>8</v>
      </c>
      <c r="AA40" s="1">
        <v>7.6</v>
      </c>
      <c r="AB40" s="1">
        <v>7.4</v>
      </c>
      <c r="AC40" s="1">
        <v>7.4</v>
      </c>
      <c r="AD40" s="1">
        <v>5.2</v>
      </c>
      <c r="AE40" s="14" t="s">
        <v>42</v>
      </c>
      <c r="AF40" s="1">
        <f t="shared" si="8"/>
        <v>0</v>
      </c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</row>
    <row r="41" spans="1:51" x14ac:dyDescent="0.25">
      <c r="A41" s="1" t="s">
        <v>73</v>
      </c>
      <c r="B41" s="1" t="s">
        <v>32</v>
      </c>
      <c r="C41" s="1">
        <v>305</v>
      </c>
      <c r="D41" s="1">
        <v>74</v>
      </c>
      <c r="E41" s="1">
        <v>194</v>
      </c>
      <c r="F41" s="1">
        <v>154</v>
      </c>
      <c r="G41" s="7">
        <v>0.2</v>
      </c>
      <c r="H41" s="1"/>
      <c r="I41" s="1"/>
      <c r="J41" s="1"/>
      <c r="K41" s="1">
        <v>198</v>
      </c>
      <c r="L41" s="1">
        <f t="shared" si="2"/>
        <v>-4</v>
      </c>
      <c r="M41" s="1"/>
      <c r="N41" s="1"/>
      <c r="O41" s="1">
        <v>40</v>
      </c>
      <c r="P41" s="1">
        <f t="shared" si="3"/>
        <v>38.799999999999997</v>
      </c>
      <c r="Q41" s="5">
        <f t="shared" si="9"/>
        <v>582</v>
      </c>
      <c r="R41" s="5">
        <f>VLOOKUP(A41,заказ!A:B,2,0)</f>
        <v>580</v>
      </c>
      <c r="S41" s="16"/>
      <c r="T41" s="1">
        <f t="shared" si="4"/>
        <v>20</v>
      </c>
      <c r="U41" s="1">
        <f t="shared" si="5"/>
        <v>5</v>
      </c>
      <c r="V41" s="1">
        <v>18.600000000000001</v>
      </c>
      <c r="W41" s="1">
        <v>21.8</v>
      </c>
      <c r="X41" s="1">
        <v>28</v>
      </c>
      <c r="Y41" s="1">
        <v>12</v>
      </c>
      <c r="Z41" s="1">
        <v>24.6</v>
      </c>
      <c r="AA41" s="1">
        <v>13.2</v>
      </c>
      <c r="AB41" s="1">
        <v>8.1999999999999993</v>
      </c>
      <c r="AC41" s="1">
        <v>13.8</v>
      </c>
      <c r="AD41" s="1">
        <v>31.8</v>
      </c>
      <c r="AE41" s="1"/>
      <c r="AF41" s="1">
        <f t="shared" si="8"/>
        <v>116.4</v>
      </c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</row>
    <row r="42" spans="1:51" x14ac:dyDescent="0.25">
      <c r="A42" s="1" t="s">
        <v>74</v>
      </c>
      <c r="B42" s="1" t="s">
        <v>37</v>
      </c>
      <c r="C42" s="1">
        <v>69.298000000000002</v>
      </c>
      <c r="D42" s="1"/>
      <c r="E42" s="1">
        <v>19.065999999999999</v>
      </c>
      <c r="F42" s="1">
        <v>40.607999999999997</v>
      </c>
      <c r="G42" s="7">
        <v>1</v>
      </c>
      <c r="H42" s="1"/>
      <c r="I42" s="1"/>
      <c r="J42" s="1"/>
      <c r="K42" s="1">
        <v>24.5</v>
      </c>
      <c r="L42" s="1">
        <f t="shared" si="2"/>
        <v>-5.4340000000000011</v>
      </c>
      <c r="M42" s="1"/>
      <c r="N42" s="1"/>
      <c r="O42" s="1"/>
      <c r="P42" s="1">
        <f t="shared" si="3"/>
        <v>3.8131999999999997</v>
      </c>
      <c r="Q42" s="5">
        <f>18*P42-O42-F42</f>
        <v>28.029599999999995</v>
      </c>
      <c r="R42" s="5">
        <f>VLOOKUP(A42,заказ!A:B,2,0)</f>
        <v>30</v>
      </c>
      <c r="S42" s="16"/>
      <c r="T42" s="1">
        <f t="shared" si="4"/>
        <v>18</v>
      </c>
      <c r="U42" s="1">
        <f t="shared" si="5"/>
        <v>10.649323402916187</v>
      </c>
      <c r="V42" s="1">
        <v>1.9352</v>
      </c>
      <c r="W42" s="1">
        <v>2.5895999999999999</v>
      </c>
      <c r="X42" s="1">
        <v>3.7652000000000001</v>
      </c>
      <c r="Y42" s="1">
        <v>3.7711999999999999</v>
      </c>
      <c r="Z42" s="1">
        <v>3.0623999999999998</v>
      </c>
      <c r="AA42" s="1">
        <v>3.6636000000000002</v>
      </c>
      <c r="AB42" s="1">
        <v>7.4767999999999999</v>
      </c>
      <c r="AC42" s="1">
        <v>1.1104000000000001</v>
      </c>
      <c r="AD42" s="1">
        <v>3.8748</v>
      </c>
      <c r="AE42" s="1"/>
      <c r="AF42" s="1">
        <f t="shared" si="8"/>
        <v>28.029599999999995</v>
      </c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</row>
    <row r="43" spans="1:51" x14ac:dyDescent="0.25">
      <c r="A43" s="1" t="s">
        <v>75</v>
      </c>
      <c r="B43" s="1" t="s">
        <v>32</v>
      </c>
      <c r="C43" s="1">
        <v>191</v>
      </c>
      <c r="D43" s="1">
        <v>27</v>
      </c>
      <c r="E43" s="1">
        <v>147</v>
      </c>
      <c r="F43" s="1">
        <v>25</v>
      </c>
      <c r="G43" s="7">
        <v>0.2</v>
      </c>
      <c r="H43" s="1"/>
      <c r="I43" s="1"/>
      <c r="J43" s="1"/>
      <c r="K43" s="1">
        <v>148</v>
      </c>
      <c r="L43" s="1">
        <f t="shared" si="2"/>
        <v>-1</v>
      </c>
      <c r="M43" s="1"/>
      <c r="N43" s="1"/>
      <c r="O43" s="1">
        <v>100</v>
      </c>
      <c r="P43" s="1">
        <f t="shared" si="3"/>
        <v>29.4</v>
      </c>
      <c r="Q43" s="5">
        <f t="shared" si="9"/>
        <v>463</v>
      </c>
      <c r="R43" s="5">
        <f>VLOOKUP(A43,заказ!A:B,2,0)</f>
        <v>460</v>
      </c>
      <c r="S43" s="16"/>
      <c r="T43" s="1">
        <f t="shared" si="4"/>
        <v>20</v>
      </c>
      <c r="U43" s="1">
        <f t="shared" si="5"/>
        <v>4.2517006802721093</v>
      </c>
      <c r="V43" s="1">
        <v>13.4</v>
      </c>
      <c r="W43" s="1">
        <v>11</v>
      </c>
      <c r="X43" s="1">
        <v>17.600000000000001</v>
      </c>
      <c r="Y43" s="1">
        <v>10.6</v>
      </c>
      <c r="Z43" s="1">
        <v>15</v>
      </c>
      <c r="AA43" s="1">
        <v>8.6</v>
      </c>
      <c r="AB43" s="1">
        <v>12.2</v>
      </c>
      <c r="AC43" s="1">
        <v>14</v>
      </c>
      <c r="AD43" s="1">
        <v>18.600000000000001</v>
      </c>
      <c r="AE43" s="1"/>
      <c r="AF43" s="1">
        <f t="shared" si="8"/>
        <v>92.600000000000009</v>
      </c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</row>
    <row r="44" spans="1:51" x14ac:dyDescent="0.25">
      <c r="A44" s="1" t="s">
        <v>76</v>
      </c>
      <c r="B44" s="1" t="s">
        <v>37</v>
      </c>
      <c r="C44" s="1">
        <v>195.60599999999999</v>
      </c>
      <c r="D44" s="1">
        <v>13.7</v>
      </c>
      <c r="E44" s="1">
        <v>7.4980000000000002</v>
      </c>
      <c r="F44" s="1">
        <v>187.488</v>
      </c>
      <c r="G44" s="7">
        <v>1</v>
      </c>
      <c r="H44" s="1"/>
      <c r="I44" s="1"/>
      <c r="J44" s="1"/>
      <c r="K44" s="1">
        <v>7</v>
      </c>
      <c r="L44" s="1">
        <f t="shared" si="2"/>
        <v>0.49800000000000022</v>
      </c>
      <c r="M44" s="1"/>
      <c r="N44" s="1"/>
      <c r="O44" s="1"/>
      <c r="P44" s="1">
        <f t="shared" si="3"/>
        <v>1.4996</v>
      </c>
      <c r="Q44" s="5"/>
      <c r="R44" s="5"/>
      <c r="S44" s="16"/>
      <c r="T44" s="1">
        <f t="shared" si="4"/>
        <v>125.02534009069085</v>
      </c>
      <c r="U44" s="1">
        <f t="shared" si="5"/>
        <v>125.02534009069085</v>
      </c>
      <c r="V44" s="1">
        <v>2.1772</v>
      </c>
      <c r="W44" s="1">
        <v>1.4212</v>
      </c>
      <c r="X44" s="1">
        <v>0</v>
      </c>
      <c r="Y44" s="1">
        <v>0</v>
      </c>
      <c r="Z44" s="1">
        <v>2.9496000000000002</v>
      </c>
      <c r="AA44" s="1">
        <v>2.4E-2</v>
      </c>
      <c r="AB44" s="1">
        <v>2.1876000000000002</v>
      </c>
      <c r="AC44" s="1">
        <v>8.5687999999999995</v>
      </c>
      <c r="AD44" s="1">
        <v>1.4568000000000001</v>
      </c>
      <c r="AE44" s="14" t="s">
        <v>42</v>
      </c>
      <c r="AF44" s="1">
        <f t="shared" si="8"/>
        <v>0</v>
      </c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</row>
    <row r="45" spans="1:51" x14ac:dyDescent="0.25">
      <c r="A45" s="1"/>
      <c r="B45" s="1"/>
      <c r="C45" s="1"/>
      <c r="D45" s="1"/>
      <c r="E45" s="1"/>
      <c r="F45" s="1"/>
      <c r="G45" s="7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</row>
    <row r="46" spans="1:51" x14ac:dyDescent="0.25">
      <c r="A46" s="1"/>
      <c r="B46" s="1"/>
      <c r="C46" s="1"/>
      <c r="D46" s="1"/>
      <c r="E46" s="1"/>
      <c r="F46" s="1"/>
      <c r="G46" s="7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</row>
    <row r="47" spans="1:51" x14ac:dyDescent="0.25">
      <c r="A47" s="1"/>
      <c r="B47" s="1"/>
      <c r="C47" s="1"/>
      <c r="D47" s="1"/>
      <c r="E47" s="1"/>
      <c r="F47" s="1"/>
      <c r="G47" s="7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</row>
    <row r="48" spans="1:51" x14ac:dyDescent="0.25">
      <c r="A48" s="1"/>
      <c r="B48" s="1"/>
      <c r="C48" s="1"/>
      <c r="D48" s="1"/>
      <c r="E48" s="1"/>
      <c r="F48" s="1"/>
      <c r="G48" s="7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</row>
    <row r="49" spans="1:51" x14ac:dyDescent="0.25">
      <c r="A49" s="1"/>
      <c r="B49" s="1"/>
      <c r="C49" s="1"/>
      <c r="D49" s="1"/>
      <c r="E49" s="1"/>
      <c r="F49" s="1"/>
      <c r="G49" s="7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</row>
    <row r="50" spans="1:51" x14ac:dyDescent="0.25">
      <c r="A50" s="1"/>
      <c r="B50" s="1"/>
      <c r="C50" s="1"/>
      <c r="D50" s="1"/>
      <c r="E50" s="1"/>
      <c r="F50" s="1"/>
      <c r="G50" s="7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</row>
    <row r="51" spans="1:51" x14ac:dyDescent="0.25">
      <c r="A51" s="1"/>
      <c r="B51" s="1"/>
      <c r="C51" s="1"/>
      <c r="D51" s="1"/>
      <c r="E51" s="1"/>
      <c r="F51" s="1"/>
      <c r="G51" s="7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</row>
    <row r="52" spans="1:51" x14ac:dyDescent="0.25">
      <c r="A52" s="1"/>
      <c r="B52" s="1"/>
      <c r="C52" s="1"/>
      <c r="D52" s="1"/>
      <c r="E52" s="1"/>
      <c r="F52" s="1"/>
      <c r="G52" s="7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</row>
    <row r="53" spans="1:51" x14ac:dyDescent="0.25">
      <c r="A53" s="1"/>
      <c r="B53" s="1"/>
      <c r="C53" s="1"/>
      <c r="D53" s="1"/>
      <c r="E53" s="1"/>
      <c r="F53" s="1"/>
      <c r="G53" s="7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</row>
    <row r="54" spans="1:51" x14ac:dyDescent="0.25">
      <c r="A54" s="1"/>
      <c r="B54" s="1"/>
      <c r="C54" s="1"/>
      <c r="D54" s="1"/>
      <c r="E54" s="1"/>
      <c r="F54" s="1"/>
      <c r="G54" s="7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</row>
    <row r="55" spans="1:51" x14ac:dyDescent="0.25">
      <c r="A55" s="1"/>
      <c r="B55" s="1"/>
      <c r="C55" s="1"/>
      <c r="D55" s="1"/>
      <c r="E55" s="1"/>
      <c r="F55" s="1"/>
      <c r="G55" s="7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</row>
    <row r="56" spans="1:51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</row>
    <row r="57" spans="1:51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</row>
    <row r="58" spans="1:51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</row>
    <row r="59" spans="1:51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</row>
    <row r="60" spans="1:51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</row>
    <row r="61" spans="1:51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</row>
    <row r="62" spans="1:51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</row>
    <row r="63" spans="1:51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</row>
    <row r="64" spans="1:51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</row>
    <row r="65" spans="1:51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</row>
    <row r="66" spans="1:51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</row>
    <row r="67" spans="1:51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</row>
    <row r="68" spans="1:51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</row>
    <row r="69" spans="1:51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</row>
    <row r="70" spans="1:51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</row>
    <row r="71" spans="1:51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</row>
    <row r="72" spans="1:51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</row>
    <row r="73" spans="1:51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</row>
    <row r="74" spans="1:51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spans="1:51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</row>
    <row r="76" spans="1:51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</row>
    <row r="77" spans="1:51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</row>
    <row r="78" spans="1:51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</row>
    <row r="79" spans="1:51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</row>
    <row r="80" spans="1:51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</row>
    <row r="81" spans="1:51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</row>
    <row r="82" spans="1:51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</row>
    <row r="83" spans="1:51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</row>
    <row r="84" spans="1:51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</row>
    <row r="85" spans="1:51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</row>
    <row r="86" spans="1:51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</row>
    <row r="87" spans="1:51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</row>
    <row r="88" spans="1:51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</row>
    <row r="89" spans="1:51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</row>
    <row r="90" spans="1:51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</row>
    <row r="91" spans="1:51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</row>
    <row r="92" spans="1:51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</row>
    <row r="93" spans="1:51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</row>
    <row r="94" spans="1:51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</row>
    <row r="95" spans="1:51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</row>
    <row r="96" spans="1:51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</row>
    <row r="97" spans="1:51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</row>
    <row r="98" spans="1:51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</row>
    <row r="99" spans="1:51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</row>
    <row r="100" spans="1:51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</row>
    <row r="101" spans="1:51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</row>
    <row r="102" spans="1:51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</row>
    <row r="103" spans="1:51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</row>
    <row r="104" spans="1:51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</row>
    <row r="105" spans="1:51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</row>
    <row r="106" spans="1:51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</row>
    <row r="107" spans="1:51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</row>
    <row r="108" spans="1:51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</row>
    <row r="109" spans="1:51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</row>
    <row r="110" spans="1:51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</row>
    <row r="111" spans="1:51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</row>
    <row r="112" spans="1:51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</row>
    <row r="113" spans="1:51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</row>
    <row r="114" spans="1:51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</row>
    <row r="115" spans="1:51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</row>
    <row r="116" spans="1:51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</row>
    <row r="117" spans="1:51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</row>
    <row r="118" spans="1:51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</row>
    <row r="119" spans="1:51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</row>
    <row r="120" spans="1:51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</row>
    <row r="121" spans="1:51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</row>
    <row r="122" spans="1:51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</row>
    <row r="123" spans="1:51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</row>
    <row r="124" spans="1:51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</row>
    <row r="125" spans="1:51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</row>
    <row r="126" spans="1:51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</row>
    <row r="127" spans="1:51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</row>
    <row r="128" spans="1:51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</row>
    <row r="129" spans="1:51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</row>
    <row r="130" spans="1:51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</row>
    <row r="131" spans="1:51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</row>
    <row r="132" spans="1:51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</row>
    <row r="133" spans="1:51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</row>
    <row r="134" spans="1:51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</row>
    <row r="135" spans="1:51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</row>
    <row r="136" spans="1:51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</row>
    <row r="137" spans="1:51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</row>
    <row r="138" spans="1:51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</row>
    <row r="139" spans="1:51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</row>
    <row r="140" spans="1:51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</row>
    <row r="141" spans="1:51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</row>
    <row r="142" spans="1:51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</row>
    <row r="143" spans="1:51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</row>
    <row r="144" spans="1:51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</row>
    <row r="145" spans="1:51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</row>
    <row r="146" spans="1:51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</row>
    <row r="147" spans="1:51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</row>
    <row r="148" spans="1:51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</row>
    <row r="149" spans="1:51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</row>
    <row r="150" spans="1:51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</row>
    <row r="151" spans="1:51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</row>
    <row r="152" spans="1:51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</row>
    <row r="153" spans="1:51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</row>
    <row r="154" spans="1:51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</row>
    <row r="155" spans="1:51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</row>
    <row r="156" spans="1:51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</row>
    <row r="157" spans="1:51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</row>
    <row r="158" spans="1:51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</row>
    <row r="159" spans="1:51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</row>
    <row r="160" spans="1:51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</row>
    <row r="161" spans="1:51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</row>
    <row r="162" spans="1:51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</row>
    <row r="163" spans="1:51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</row>
    <row r="164" spans="1:51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</row>
    <row r="165" spans="1:51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</row>
    <row r="166" spans="1:51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</row>
    <row r="167" spans="1:51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</row>
    <row r="168" spans="1:51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</row>
    <row r="169" spans="1:51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</row>
    <row r="170" spans="1:51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</row>
    <row r="171" spans="1:51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</row>
    <row r="172" spans="1:51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</row>
    <row r="173" spans="1:51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</row>
    <row r="174" spans="1:51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</row>
    <row r="175" spans="1:51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</row>
    <row r="176" spans="1:51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</row>
    <row r="177" spans="1:51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</row>
    <row r="178" spans="1:51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</row>
    <row r="179" spans="1:51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</row>
    <row r="180" spans="1:51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</row>
    <row r="181" spans="1:51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</row>
    <row r="182" spans="1:51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</row>
    <row r="183" spans="1:51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</row>
    <row r="184" spans="1:51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</row>
    <row r="185" spans="1:51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</row>
    <row r="186" spans="1:51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</row>
    <row r="187" spans="1:51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</row>
    <row r="188" spans="1:51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</row>
    <row r="189" spans="1:51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</row>
    <row r="190" spans="1:51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</row>
    <row r="191" spans="1:51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</row>
    <row r="192" spans="1:51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</row>
    <row r="193" spans="1:51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</row>
    <row r="194" spans="1:51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</row>
    <row r="195" spans="1:51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</row>
    <row r="196" spans="1:51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</row>
    <row r="197" spans="1:51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</row>
    <row r="198" spans="1:51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</row>
    <row r="199" spans="1:51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</row>
    <row r="200" spans="1:51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</row>
    <row r="201" spans="1:51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</row>
    <row r="202" spans="1:51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</row>
    <row r="203" spans="1:51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</row>
    <row r="204" spans="1:51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</row>
    <row r="205" spans="1:51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</row>
    <row r="206" spans="1:51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</row>
    <row r="207" spans="1:51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</row>
    <row r="208" spans="1:51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</row>
    <row r="209" spans="1:51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</row>
    <row r="210" spans="1:51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</row>
    <row r="211" spans="1:51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</row>
    <row r="212" spans="1:51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</row>
    <row r="213" spans="1:51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</row>
    <row r="214" spans="1:51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</row>
    <row r="215" spans="1:51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</row>
    <row r="216" spans="1:51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</row>
    <row r="217" spans="1:51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</row>
    <row r="218" spans="1:51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</row>
    <row r="219" spans="1:51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</row>
    <row r="220" spans="1:51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</row>
    <row r="221" spans="1:51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</row>
    <row r="222" spans="1:51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</row>
    <row r="223" spans="1:51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</row>
    <row r="224" spans="1:51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</row>
    <row r="225" spans="1:51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</row>
    <row r="226" spans="1:51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</row>
    <row r="227" spans="1:51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</row>
    <row r="228" spans="1:51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</row>
    <row r="229" spans="1:51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</row>
    <row r="230" spans="1:51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</row>
    <row r="231" spans="1:51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</row>
    <row r="232" spans="1:51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</row>
    <row r="233" spans="1:51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</row>
    <row r="234" spans="1:51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</row>
    <row r="235" spans="1:51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</row>
    <row r="236" spans="1:51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</row>
    <row r="237" spans="1:51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</row>
    <row r="238" spans="1:51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</row>
    <row r="239" spans="1:51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</row>
    <row r="240" spans="1:51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</row>
    <row r="241" spans="1:51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</row>
    <row r="242" spans="1:51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</row>
    <row r="243" spans="1:51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</row>
    <row r="244" spans="1:51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</row>
    <row r="245" spans="1:51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</row>
    <row r="246" spans="1:51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</row>
    <row r="247" spans="1:51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</row>
    <row r="248" spans="1:51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</row>
    <row r="249" spans="1:51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</row>
    <row r="250" spans="1:51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</row>
    <row r="251" spans="1:51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</row>
    <row r="252" spans="1:51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</row>
    <row r="253" spans="1:51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</row>
    <row r="254" spans="1:51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</row>
    <row r="255" spans="1:51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</row>
    <row r="256" spans="1:51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</row>
    <row r="257" spans="1:51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</row>
    <row r="258" spans="1:51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</row>
    <row r="259" spans="1:51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</row>
    <row r="260" spans="1:51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</row>
    <row r="261" spans="1:51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</row>
    <row r="262" spans="1:51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</row>
    <row r="263" spans="1:51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</row>
    <row r="264" spans="1:51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</row>
    <row r="265" spans="1:51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</row>
    <row r="266" spans="1:51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</row>
    <row r="267" spans="1:51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</row>
    <row r="268" spans="1:51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</row>
    <row r="269" spans="1:51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</row>
    <row r="270" spans="1:51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</row>
    <row r="271" spans="1:51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</row>
    <row r="272" spans="1:51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</row>
    <row r="273" spans="1:51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</row>
    <row r="274" spans="1:51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</row>
    <row r="275" spans="1:51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</row>
    <row r="276" spans="1:51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</row>
    <row r="277" spans="1:51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</row>
    <row r="278" spans="1:51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</row>
    <row r="279" spans="1:51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</row>
    <row r="280" spans="1:51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</row>
    <row r="281" spans="1:51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</row>
    <row r="282" spans="1:51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</row>
    <row r="283" spans="1:51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</row>
    <row r="284" spans="1:51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</row>
    <row r="285" spans="1:51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</row>
    <row r="286" spans="1:51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</row>
    <row r="287" spans="1:51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</row>
    <row r="288" spans="1:51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</row>
    <row r="289" spans="1:51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</row>
    <row r="290" spans="1:51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</row>
    <row r="291" spans="1:51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</row>
    <row r="292" spans="1:51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</row>
    <row r="293" spans="1:51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</row>
    <row r="294" spans="1:51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</row>
    <row r="295" spans="1:51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</row>
    <row r="296" spans="1:51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</row>
    <row r="297" spans="1:51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</row>
    <row r="298" spans="1:51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</row>
    <row r="299" spans="1:51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</row>
    <row r="300" spans="1:51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</row>
    <row r="301" spans="1:51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</row>
    <row r="302" spans="1:51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</row>
    <row r="303" spans="1:51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</row>
    <row r="304" spans="1:51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</row>
    <row r="305" spans="1:51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</row>
    <row r="306" spans="1:51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</row>
    <row r="307" spans="1:51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</row>
    <row r="308" spans="1:51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</row>
    <row r="309" spans="1:51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</row>
    <row r="310" spans="1:51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</row>
    <row r="311" spans="1:51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</row>
    <row r="312" spans="1:51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</row>
    <row r="313" spans="1:51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</row>
    <row r="314" spans="1:51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</row>
    <row r="315" spans="1:51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</row>
    <row r="316" spans="1:51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</row>
    <row r="317" spans="1:51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</row>
    <row r="318" spans="1:51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</row>
    <row r="319" spans="1:51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</row>
    <row r="320" spans="1:51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</row>
    <row r="321" spans="1:51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</row>
    <row r="322" spans="1:51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</row>
    <row r="323" spans="1:51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</row>
    <row r="324" spans="1:51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</row>
    <row r="325" spans="1:51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</row>
    <row r="326" spans="1:51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</row>
    <row r="327" spans="1:51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</row>
    <row r="328" spans="1:51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</row>
    <row r="329" spans="1:51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</row>
    <row r="330" spans="1:51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</row>
    <row r="331" spans="1:51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</row>
    <row r="332" spans="1:51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</row>
    <row r="333" spans="1:51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</row>
    <row r="334" spans="1:51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</row>
    <row r="335" spans="1:51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</row>
    <row r="336" spans="1:51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</row>
    <row r="337" spans="1:51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</row>
    <row r="338" spans="1:51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</row>
    <row r="339" spans="1:51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</row>
    <row r="340" spans="1:51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</row>
    <row r="341" spans="1:51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</row>
    <row r="342" spans="1:51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</row>
    <row r="343" spans="1:51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</row>
    <row r="344" spans="1:51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</row>
    <row r="345" spans="1:51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</row>
    <row r="346" spans="1:51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</row>
    <row r="347" spans="1:51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</row>
    <row r="348" spans="1:51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</row>
    <row r="349" spans="1:51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</row>
    <row r="350" spans="1:51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</row>
    <row r="351" spans="1:51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</row>
    <row r="352" spans="1:51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</row>
    <row r="353" spans="1:51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</row>
    <row r="354" spans="1:51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</row>
    <row r="355" spans="1:51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</row>
    <row r="356" spans="1:51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</row>
    <row r="357" spans="1:51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</row>
    <row r="358" spans="1:51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</row>
    <row r="359" spans="1:51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</row>
    <row r="360" spans="1:51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</row>
    <row r="361" spans="1:51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</row>
    <row r="362" spans="1:51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</row>
    <row r="363" spans="1:51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</row>
    <row r="364" spans="1:51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</row>
    <row r="365" spans="1:51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</row>
    <row r="366" spans="1:51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</row>
    <row r="367" spans="1:51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</row>
    <row r="368" spans="1:51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</row>
    <row r="369" spans="1:51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</row>
    <row r="370" spans="1:51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</row>
    <row r="371" spans="1:51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</row>
    <row r="372" spans="1:51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</row>
    <row r="373" spans="1:51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</row>
    <row r="374" spans="1:51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</row>
    <row r="375" spans="1:51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</row>
    <row r="376" spans="1:51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</row>
    <row r="377" spans="1:51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</row>
    <row r="378" spans="1:51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</row>
    <row r="379" spans="1:51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</row>
    <row r="380" spans="1:51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</row>
    <row r="381" spans="1:51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</row>
    <row r="382" spans="1:51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</row>
    <row r="383" spans="1:51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</row>
    <row r="384" spans="1:51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</row>
    <row r="385" spans="1:51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</row>
    <row r="386" spans="1:51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</row>
    <row r="387" spans="1:51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</row>
    <row r="388" spans="1:51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</row>
    <row r="389" spans="1:51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</row>
    <row r="390" spans="1:51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</row>
    <row r="391" spans="1:51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</row>
    <row r="392" spans="1:51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</row>
    <row r="393" spans="1:51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</row>
    <row r="394" spans="1:51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</row>
    <row r="395" spans="1:51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</row>
    <row r="396" spans="1:51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</row>
    <row r="397" spans="1:51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</row>
    <row r="398" spans="1:51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</row>
    <row r="399" spans="1:51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</row>
    <row r="400" spans="1:51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</row>
    <row r="401" spans="1:51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</row>
    <row r="402" spans="1:51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</row>
    <row r="403" spans="1:51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</row>
    <row r="404" spans="1:51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</row>
    <row r="405" spans="1:51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</row>
    <row r="406" spans="1:51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</row>
    <row r="407" spans="1:51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</row>
    <row r="408" spans="1:51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</row>
    <row r="409" spans="1:51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</row>
    <row r="410" spans="1:51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</row>
    <row r="411" spans="1:51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</row>
    <row r="412" spans="1:51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</row>
    <row r="413" spans="1:51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</row>
    <row r="414" spans="1:51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</row>
    <row r="415" spans="1:51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</row>
    <row r="416" spans="1:51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</row>
    <row r="417" spans="1:51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</row>
    <row r="418" spans="1:51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</row>
    <row r="419" spans="1:51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</row>
    <row r="420" spans="1:51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</row>
    <row r="421" spans="1:51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</row>
    <row r="422" spans="1:51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</row>
    <row r="423" spans="1:51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</row>
    <row r="424" spans="1:51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</row>
    <row r="425" spans="1:51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</row>
    <row r="426" spans="1:51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</row>
    <row r="427" spans="1:51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</row>
    <row r="428" spans="1:51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</row>
    <row r="429" spans="1:51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</row>
    <row r="430" spans="1:51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</row>
    <row r="431" spans="1:51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</row>
    <row r="432" spans="1:51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</row>
    <row r="433" spans="1:51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</row>
    <row r="434" spans="1:51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</row>
    <row r="435" spans="1:51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</row>
    <row r="436" spans="1:51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</row>
    <row r="437" spans="1:51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</row>
    <row r="438" spans="1:51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</row>
    <row r="439" spans="1:51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</row>
    <row r="440" spans="1:51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</row>
    <row r="441" spans="1:51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</row>
    <row r="442" spans="1:51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</row>
    <row r="443" spans="1:51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</row>
    <row r="444" spans="1:51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</row>
    <row r="445" spans="1:51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</row>
    <row r="446" spans="1:51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</row>
    <row r="447" spans="1:51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</row>
    <row r="448" spans="1:51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</row>
    <row r="449" spans="1:51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</row>
    <row r="450" spans="1:51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</row>
    <row r="451" spans="1:51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</row>
    <row r="452" spans="1:51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</row>
    <row r="453" spans="1:51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</row>
    <row r="454" spans="1:51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</row>
    <row r="455" spans="1:51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</row>
    <row r="456" spans="1:51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</row>
    <row r="457" spans="1:51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</row>
    <row r="458" spans="1:51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</row>
    <row r="459" spans="1:51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</row>
    <row r="460" spans="1:51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</row>
    <row r="461" spans="1:51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</row>
    <row r="462" spans="1:51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</row>
    <row r="463" spans="1:51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</row>
    <row r="464" spans="1:51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</row>
    <row r="465" spans="1:51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</row>
    <row r="466" spans="1:51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</row>
    <row r="467" spans="1:51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</row>
    <row r="468" spans="1:51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</row>
    <row r="469" spans="1:51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</row>
    <row r="470" spans="1:51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</row>
    <row r="471" spans="1:51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</row>
    <row r="472" spans="1:51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</row>
    <row r="473" spans="1:51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</row>
    <row r="474" spans="1:51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</row>
    <row r="475" spans="1:51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</row>
    <row r="476" spans="1:51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</row>
    <row r="477" spans="1:51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</row>
    <row r="478" spans="1:51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</row>
    <row r="479" spans="1:51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</row>
    <row r="480" spans="1:51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</row>
    <row r="481" spans="1:51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</row>
    <row r="482" spans="1:51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</row>
    <row r="483" spans="1:51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</row>
    <row r="484" spans="1:51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</row>
    <row r="485" spans="1:51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</row>
    <row r="486" spans="1:51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</row>
    <row r="487" spans="1:51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</row>
    <row r="488" spans="1:51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</row>
    <row r="489" spans="1:51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</row>
    <row r="490" spans="1:51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</row>
    <row r="491" spans="1:51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</row>
    <row r="492" spans="1:51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</row>
    <row r="493" spans="1:51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</row>
    <row r="494" spans="1:51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</row>
    <row r="495" spans="1:51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</row>
    <row r="496" spans="1:51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</row>
    <row r="497" spans="1:51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</row>
    <row r="498" spans="1:51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</row>
    <row r="499" spans="1:51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</row>
    <row r="500" spans="1:51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</row>
  </sheetData>
  <autoFilter ref="A3:AF44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AE0C9-74E7-43F8-B363-17E29648E95D}">
  <dimension ref="A1:B19"/>
  <sheetViews>
    <sheetView workbookViewId="0">
      <selection activeCell="C1" sqref="C1"/>
    </sheetView>
  </sheetViews>
  <sheetFormatPr defaultRowHeight="15" x14ac:dyDescent="0.25"/>
  <sheetData>
    <row r="1" spans="1:2" x14ac:dyDescent="0.25">
      <c r="A1" t="s">
        <v>41</v>
      </c>
      <c r="B1">
        <v>36</v>
      </c>
    </row>
    <row r="2" spans="1:2" x14ac:dyDescent="0.25">
      <c r="A2" t="s">
        <v>43</v>
      </c>
      <c r="B2">
        <v>24</v>
      </c>
    </row>
    <row r="3" spans="1:2" x14ac:dyDescent="0.25">
      <c r="A3" t="s">
        <v>46</v>
      </c>
      <c r="B3">
        <v>24</v>
      </c>
    </row>
    <row r="4" spans="1:2" x14ac:dyDescent="0.25">
      <c r="A4" t="s">
        <v>47</v>
      </c>
      <c r="B4">
        <v>192</v>
      </c>
    </row>
    <row r="5" spans="1:2" x14ac:dyDescent="0.25">
      <c r="A5" t="s">
        <v>49</v>
      </c>
      <c r="B5">
        <v>324</v>
      </c>
    </row>
    <row r="6" spans="1:2" x14ac:dyDescent="0.25">
      <c r="A6" t="s">
        <v>51</v>
      </c>
      <c r="B6">
        <v>48</v>
      </c>
    </row>
    <row r="7" spans="1:2" x14ac:dyDescent="0.25">
      <c r="A7" t="s">
        <v>56</v>
      </c>
      <c r="B7">
        <v>28</v>
      </c>
    </row>
    <row r="8" spans="1:2" x14ac:dyDescent="0.25">
      <c r="A8" t="s">
        <v>57</v>
      </c>
      <c r="B8">
        <v>18</v>
      </c>
    </row>
    <row r="9" spans="1:2" x14ac:dyDescent="0.25">
      <c r="A9" t="s">
        <v>59</v>
      </c>
      <c r="B9">
        <v>230</v>
      </c>
    </row>
    <row r="10" spans="1:2" x14ac:dyDescent="0.25">
      <c r="A10" t="s">
        <v>60</v>
      </c>
      <c r="B10">
        <v>80</v>
      </c>
    </row>
    <row r="11" spans="1:2" x14ac:dyDescent="0.25">
      <c r="A11" t="s">
        <v>61</v>
      </c>
      <c r="B11">
        <v>50</v>
      </c>
    </row>
    <row r="12" spans="1:2" x14ac:dyDescent="0.25">
      <c r="A12" t="s">
        <v>62</v>
      </c>
      <c r="B12">
        <v>30</v>
      </c>
    </row>
    <row r="13" spans="1:2" x14ac:dyDescent="0.25">
      <c r="A13" t="s">
        <v>63</v>
      </c>
      <c r="B13">
        <v>130</v>
      </c>
    </row>
    <row r="14" spans="1:2" x14ac:dyDescent="0.25">
      <c r="A14" t="s">
        <v>64</v>
      </c>
      <c r="B14">
        <v>270</v>
      </c>
    </row>
    <row r="15" spans="1:2" x14ac:dyDescent="0.25">
      <c r="A15" t="s">
        <v>67</v>
      </c>
      <c r="B15">
        <v>80</v>
      </c>
    </row>
    <row r="16" spans="1:2" x14ac:dyDescent="0.25">
      <c r="A16" t="s">
        <v>69</v>
      </c>
      <c r="B16">
        <v>16</v>
      </c>
    </row>
    <row r="17" spans="1:2" x14ac:dyDescent="0.25">
      <c r="A17" t="s">
        <v>73</v>
      </c>
      <c r="B17">
        <v>580</v>
      </c>
    </row>
    <row r="18" spans="1:2" x14ac:dyDescent="0.25">
      <c r="A18" t="s">
        <v>74</v>
      </c>
      <c r="B18">
        <v>30</v>
      </c>
    </row>
    <row r="19" spans="1:2" x14ac:dyDescent="0.25">
      <c r="A19" t="s">
        <v>75</v>
      </c>
      <c r="B19">
        <v>460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заказ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2026-07-28T16:35:55Z</dcterms:created>
  <dcterms:modified xsi:type="dcterms:W3CDTF">2026-07-30T07:52:27Z</dcterms:modified>
</cp:coreProperties>
</file>