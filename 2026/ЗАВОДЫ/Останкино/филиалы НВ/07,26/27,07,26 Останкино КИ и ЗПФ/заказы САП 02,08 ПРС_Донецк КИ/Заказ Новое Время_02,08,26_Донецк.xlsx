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Бланк!$AC$3:$AC$606</definedName>
    <definedName name="номин.вес_нетто__кг">Бланк!$W$3:$W$606</definedName>
    <definedName name="_xlnm._FilterDatabase" localSheetId="0" hidden="1">'Бланк'!$A$9:$J$170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darkGray">
        <fgColor indexed="42"/>
        <bgColor theme="5" tint="0.799981688894314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6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1" fontId="0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8" fillId="13" borderId="0" applyAlignment="1" pivotButton="0" quotePrefix="0" xfId="0">
      <alignment vertical="center"/>
    </xf>
    <xf numFmtId="0" fontId="11" fillId="13" borderId="7" applyAlignment="1" pivotButton="0" quotePrefix="0" xfId="0">
      <alignment horizontal="center" vertical="center"/>
    </xf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94"/>
  <sheetViews>
    <sheetView tabSelected="1" zoomScale="85" zoomScaleNormal="85" workbookViewId="0">
      <pane ySplit="9" topLeftCell="A167" activePane="bottomLeft" state="frozen"/>
      <selection pane="bottomLeft" activeCell="O172" sqref="O172"/>
    </sheetView>
  </sheetViews>
  <sheetFormatPr baseColWidth="8" defaultRowHeight="15"/>
  <cols>
    <col width="9.140625" customWidth="1" style="68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4" min="5" max="5"/>
    <col width="19" bestFit="1" customWidth="1" style="68" min="6" max="6"/>
    <col width="11.5703125" customWidth="1" style="68" min="7" max="7"/>
    <col width="11.5703125" customWidth="1" style="5" min="8" max="9"/>
    <col width="26.7109375" customWidth="1" style="6" min="10" max="10"/>
    <col width="22.140625" customWidth="1" style="60" min="11" max="11"/>
    <col width="21.28515625" customWidth="1" style="131" min="12" max="12"/>
    <col width="8.85546875" customWidth="1" style="131" min="13" max="14"/>
    <col width="8.85546875" customWidth="1" style="131" min="15" max="67"/>
  </cols>
  <sheetData>
    <row r="1" ht="27" customHeight="1" s="131" thickBot="1" thickTop="1">
      <c r="C1" s="1" t="inlineStr">
        <is>
          <t xml:space="preserve">Грузополучатель: </t>
        </is>
      </c>
      <c r="D1" s="140" t="n">
        <v>130438120</v>
      </c>
      <c r="E1" s="141" t="inlineStr">
        <is>
          <t>ООО "НОВОЕ ВРЕМЯ"</t>
        </is>
      </c>
      <c r="F1" s="142" t="n"/>
      <c r="G1" s="142" t="n"/>
      <c r="H1" s="142" t="n"/>
      <c r="I1" s="142" t="n"/>
      <c r="J1" s="143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1" thickBot="1" thickTop="1">
      <c r="B3" s="32" t="n"/>
      <c r="C3" s="7" t="inlineStr">
        <is>
          <t xml:space="preserve">Дата отгрузки с ОМПК: </t>
        </is>
      </c>
      <c r="D3" s="145" t="n">
        <v>46236</v>
      </c>
      <c r="E3" s="7" t="inlineStr">
        <is>
          <t xml:space="preserve">Доставка: </t>
        </is>
      </c>
      <c r="F3" s="145">
        <f>D3+3</f>
        <v/>
      </c>
      <c r="G3" s="145">
        <f>VLOOKUP(D1,K:L,2,0)</f>
        <v/>
      </c>
      <c r="H3" s="142" t="n"/>
      <c r="I3" s="142" t="n"/>
      <c r="J3" s="143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1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60">
        <f>LEFT(L5,9)</f>
        <v/>
      </c>
    </row>
    <row r="6" ht="15.75" customHeight="1" s="13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60">
        <f>LEFT(L6,9)</f>
        <v/>
      </c>
    </row>
    <row r="7" ht="19.5" customHeight="1" s="13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60">
        <f>LEFT(L7,9)</f>
        <v/>
      </c>
    </row>
    <row r="8" ht="16.5" customHeight="1" s="131" thickBot="1" thickTop="1"/>
    <row r="9" ht="47.25" customFormat="1" customHeight="1" s="127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27" t="n"/>
      <c r="AM9" s="127" t="n"/>
      <c r="AN9" s="127" t="n"/>
      <c r="AO9" s="127" t="n"/>
      <c r="AP9" s="127" t="n"/>
      <c r="AQ9" s="127" t="n"/>
      <c r="AR9" s="127" t="n"/>
      <c r="AS9" s="127" t="n"/>
      <c r="AT9" s="127" t="n"/>
      <c r="AU9" s="127" t="n"/>
      <c r="AV9" s="127" t="n"/>
      <c r="AW9" s="127" t="n"/>
      <c r="AX9" s="127" t="n"/>
      <c r="AY9" s="127" t="n"/>
      <c r="AZ9" s="127" t="n"/>
      <c r="BA9" s="127" t="n"/>
      <c r="BB9" s="127" t="n"/>
      <c r="BC9" s="127" t="n"/>
      <c r="BD9" s="127" t="n"/>
      <c r="BE9" s="127" t="n"/>
      <c r="BF9" s="127" t="n"/>
      <c r="BG9" s="127" t="n"/>
      <c r="BH9" s="127" t="n"/>
      <c r="BI9" s="127" t="n"/>
      <c r="BJ9" s="127" t="n"/>
      <c r="BK9" s="127" t="n"/>
      <c r="BL9" s="127" t="n"/>
      <c r="BM9" s="127" t="n"/>
      <c r="BN9" s="127" t="n"/>
      <c r="BO9" s="127" t="n"/>
    </row>
    <row r="10" ht="16.5" customHeight="1" s="13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8" thickTop="1">
      <c r="A11" s="56">
        <f>RIGHT(D11,4)</f>
        <v/>
      </c>
      <c r="B11" s="67" t="inlineStr">
        <is>
          <t>ГОВЯЖЬЯ Папа может вар п/о 0.4кг 6шт.</t>
        </is>
      </c>
      <c r="C11" s="55" t="inlineStr">
        <is>
          <t>ШТ</t>
        </is>
      </c>
      <c r="D11" s="70" t="n">
        <v>1001012427523</v>
      </c>
      <c r="E11" s="24" t="n">
        <v>16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60" t="n"/>
      <c r="AY11" s="128" t="n"/>
      <c r="AZ11" s="128" t="n"/>
      <c r="BA11" s="128" t="n"/>
      <c r="BB11" s="128" t="n"/>
      <c r="BC11" s="128" t="n"/>
      <c r="BD11" s="128" t="n"/>
      <c r="BE11" s="128" t="n"/>
      <c r="BF11" s="128" t="n"/>
      <c r="BG11" s="128" t="n"/>
      <c r="BH11" s="128" t="n"/>
      <c r="BI11" s="128" t="n"/>
      <c r="BJ11" s="128" t="n"/>
      <c r="BK11" s="128" t="n"/>
      <c r="BL11" s="128" t="n"/>
      <c r="BM11" s="128" t="n"/>
      <c r="BN11" s="128" t="n"/>
      <c r="BO11" s="128" t="n"/>
    </row>
    <row r="12" ht="16.5" customFormat="1" customHeight="1" s="128">
      <c r="A12" s="56">
        <f>RIGHT(D12,4)</f>
        <v/>
      </c>
      <c r="B12" s="67" t="inlineStr">
        <is>
          <t>ГОВЯЖЬЯ Папа может вар п/о</t>
        </is>
      </c>
      <c r="C12" s="55" t="inlineStr">
        <is>
          <t>КГ</t>
        </is>
      </c>
      <c r="D12" s="70" t="n">
        <v>1001012426220</v>
      </c>
      <c r="E12" s="24" t="n">
        <v>113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60" t="n"/>
      <c r="AY12" s="128" t="n"/>
      <c r="AZ12" s="128" t="n"/>
      <c r="BA12" s="128" t="n"/>
      <c r="BB12" s="128" t="n"/>
      <c r="BC12" s="128" t="n"/>
      <c r="BD12" s="128" t="n"/>
      <c r="BE12" s="128" t="n"/>
      <c r="BF12" s="128" t="n"/>
      <c r="BG12" s="128" t="n"/>
      <c r="BH12" s="128" t="n"/>
      <c r="BI12" s="128" t="n"/>
      <c r="BJ12" s="128" t="n"/>
      <c r="BK12" s="128" t="n"/>
      <c r="BL12" s="128" t="n"/>
      <c r="BM12" s="128" t="n"/>
      <c r="BN12" s="128" t="n"/>
      <c r="BO12" s="128" t="n"/>
    </row>
    <row r="13" ht="16.5" customFormat="1" customHeight="1" s="128">
      <c r="A13" s="56">
        <f>RIGHT(D13,4)</f>
        <v/>
      </c>
      <c r="B13" s="67" t="inlineStr">
        <is>
          <t>ДОКТОРСКАЯ ГОСТ Останкино вар п/о 0.35кг</t>
        </is>
      </c>
      <c r="C13" s="55" t="inlineStr">
        <is>
          <t>ШТ</t>
        </is>
      </c>
      <c r="D13" s="70" t="n">
        <v>1001010017539</v>
      </c>
      <c r="E13" s="24" t="n">
        <v>67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60" t="n"/>
      <c r="AY13" s="128" t="n"/>
      <c r="AZ13" s="128" t="n"/>
      <c r="BA13" s="128" t="n"/>
      <c r="BB13" s="128" t="n"/>
      <c r="BC13" s="128" t="n"/>
      <c r="BD13" s="128" t="n"/>
      <c r="BE13" s="128" t="n"/>
      <c r="BF13" s="128" t="n"/>
      <c r="BG13" s="128" t="n"/>
      <c r="BH13" s="128" t="n"/>
      <c r="BI13" s="128" t="n"/>
      <c r="BJ13" s="128" t="n"/>
      <c r="BK13" s="128" t="n"/>
      <c r="BL13" s="128" t="n"/>
      <c r="BM13" s="128" t="n"/>
      <c r="BN13" s="128" t="n"/>
      <c r="BO13" s="128" t="n"/>
    </row>
    <row r="14" ht="16.5" customFormat="1" customHeight="1" s="128">
      <c r="A14" s="56">
        <f>RIGHT(D14,4)</f>
        <v/>
      </c>
      <c r="B14" s="67" t="inlineStr">
        <is>
          <t>ДОКТОРСКАЯ ГОСТ Останкино вар п/о</t>
        </is>
      </c>
      <c r="C14" s="55" t="inlineStr">
        <is>
          <t>КГ</t>
        </is>
      </c>
      <c r="D14" s="70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60" t="n"/>
      <c r="AY14" s="128" t="n"/>
      <c r="AZ14" s="128" t="n"/>
      <c r="BA14" s="128" t="n"/>
      <c r="BB14" s="128" t="n"/>
      <c r="BC14" s="128" t="n"/>
      <c r="BD14" s="128" t="n"/>
      <c r="BE14" s="128" t="n"/>
      <c r="BF14" s="128" t="n"/>
      <c r="BG14" s="128" t="n"/>
      <c r="BH14" s="128" t="n"/>
      <c r="BI14" s="128" t="n"/>
      <c r="BJ14" s="128" t="n"/>
      <c r="BK14" s="128" t="n"/>
      <c r="BL14" s="128" t="n"/>
      <c r="BM14" s="128" t="n"/>
      <c r="BN14" s="128" t="n"/>
      <c r="BO14" s="128" t="n"/>
    </row>
    <row r="15" ht="16.5" customFormat="1" customHeight="1" s="128">
      <c r="A15" s="56">
        <f>RIGHT(D15,4)</f>
        <v/>
      </c>
      <c r="B15" s="67" t="inlineStr">
        <is>
          <t>ДОМАШНИЙ РЕЦЕПТ Коровино 0.5кг 8шт.</t>
        </is>
      </c>
      <c r="C15" s="55" t="inlineStr">
        <is>
          <t>ШТ</t>
        </is>
      </c>
      <c r="D15" s="70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59" t="n"/>
      <c r="K15" s="60" t="n"/>
      <c r="AY15" s="128" t="n"/>
      <c r="AZ15" s="128" t="n"/>
      <c r="BA15" s="128" t="n"/>
      <c r="BB15" s="128" t="n"/>
      <c r="BC15" s="128" t="n"/>
      <c r="BD15" s="128" t="n"/>
      <c r="BE15" s="128" t="n"/>
      <c r="BF15" s="128" t="n"/>
      <c r="BG15" s="128" t="n"/>
      <c r="BH15" s="128" t="n"/>
      <c r="BI15" s="128" t="n"/>
      <c r="BJ15" s="128" t="n"/>
      <c r="BK15" s="128" t="n"/>
      <c r="BL15" s="128" t="n"/>
      <c r="BM15" s="128" t="n"/>
      <c r="BN15" s="128" t="n"/>
      <c r="BO15" s="128" t="n"/>
    </row>
    <row r="16" ht="16.5" customHeight="1" s="131">
      <c r="A16" s="56">
        <f>RIGHT(D16,4)</f>
        <v/>
      </c>
      <c r="B16" s="67" t="inlineStr">
        <is>
          <t>ДОМАШНИЙ РЕЦЕПТ Коровино вар п/о</t>
        </is>
      </c>
      <c r="C16" s="55" t="inlineStr">
        <is>
          <t>КГ</t>
        </is>
      </c>
      <c r="D16" s="70" t="n">
        <v>1001015646861</v>
      </c>
      <c r="E16" s="24" t="n">
        <v>18</v>
      </c>
      <c r="F16" s="23" t="n">
        <v>1.95</v>
      </c>
      <c r="G16" s="23">
        <f>E16</f>
        <v/>
      </c>
      <c r="H16" s="14" t="n">
        <v>3.9</v>
      </c>
      <c r="I16" s="14" t="n">
        <v>60</v>
      </c>
      <c r="J16" s="59" t="n"/>
    </row>
    <row r="17" ht="16.5" customHeight="1" s="131">
      <c r="A17" s="56">
        <f>RIGHT(D17,4)</f>
        <v/>
      </c>
      <c r="B17" s="67" t="inlineStr">
        <is>
          <t>ДОМАШНИЙ РЕЦЕПТ СО ШПИК.Коровино вар п/о</t>
        </is>
      </c>
      <c r="C17" s="55" t="inlineStr">
        <is>
          <t>КГ</t>
        </is>
      </c>
      <c r="D17" s="70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59" t="n"/>
    </row>
    <row r="18" ht="16.5" customHeight="1" s="131">
      <c r="A18" s="56">
        <f>RIGHT(D18,4)</f>
        <v/>
      </c>
      <c r="B18" s="67" t="inlineStr">
        <is>
          <t>ДОМАШНИЙ РЕЦЕПТ СО ШПИКОМ Коровино 0.5кг</t>
        </is>
      </c>
      <c r="C18" s="55" t="inlineStr">
        <is>
          <t>ШТ</t>
        </is>
      </c>
      <c r="D18" s="70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59" t="n"/>
    </row>
    <row r="19" ht="16.5" customHeight="1" s="131">
      <c r="A19" s="56">
        <f>RIGHT(D19,4)</f>
        <v/>
      </c>
      <c r="B19" s="67" t="inlineStr">
        <is>
          <t>МОЛОЧНАЯ Папа может вар п/о</t>
        </is>
      </c>
      <c r="C19" s="55" t="inlineStr">
        <is>
          <t>КГ</t>
        </is>
      </c>
      <c r="D19" s="70" t="n">
        <v>1001012456498</v>
      </c>
      <c r="E19" s="24" t="n">
        <v>135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59" t="n"/>
    </row>
    <row r="20" ht="16.5" customHeight="1" s="131">
      <c r="A20" s="56">
        <f>RIGHT(D20,4)</f>
        <v/>
      </c>
      <c r="B20" s="67" t="inlineStr">
        <is>
          <t>МЯСНАЯ Папа может вар п/о</t>
        </is>
      </c>
      <c r="C20" s="55" t="inlineStr">
        <is>
          <t>КГ</t>
        </is>
      </c>
      <c r="D20" s="70" t="n">
        <v>1001012484063</v>
      </c>
      <c r="E20" s="24" t="n">
        <v>450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59" t="n"/>
    </row>
    <row r="21" ht="16.5" customHeight="1" s="131">
      <c r="A21" s="56">
        <f>RIGHT(D21,4)</f>
        <v/>
      </c>
      <c r="B21" s="67" t="inlineStr">
        <is>
          <t>МЯСНАЯ Папа может вар п/о 0.4кг 8шт.</t>
        </is>
      </c>
      <c r="C21" s="55" t="inlineStr">
        <is>
          <t>ШТ</t>
        </is>
      </c>
      <c r="D21" s="70" t="n">
        <v>1001012486333</v>
      </c>
      <c r="E21" s="24" t="n">
        <v>500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59" t="n"/>
    </row>
    <row r="22" ht="16.5" customHeight="1" s="131">
      <c r="A22" s="56">
        <f>RIGHT(D22,4)</f>
        <v/>
      </c>
      <c r="B22" s="67" t="inlineStr">
        <is>
          <t>МЯСНАЯ СО ШПИКОМ Папа может вар п/о</t>
        </is>
      </c>
      <c r="C22" s="55" t="inlineStr">
        <is>
          <t>КГ</t>
        </is>
      </c>
      <c r="D22" s="70" t="n">
        <v>1001012634574</v>
      </c>
      <c r="E22" s="24" t="n">
        <v>101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59" t="n"/>
    </row>
    <row r="23" ht="16.5" customHeight="1" s="131">
      <c r="A23" s="56">
        <f>RIGHT(D23,4)</f>
        <v/>
      </c>
      <c r="B23" s="67" t="inlineStr">
        <is>
          <t>МЯСНАЯ СО ШПИКОМ ПМ вар п/о 0.4кг 8шт.</t>
        </is>
      </c>
      <c r="C23" s="55" t="inlineStr">
        <is>
          <t>ШТ</t>
        </is>
      </c>
      <c r="D23" s="70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59" t="n"/>
    </row>
    <row r="24" ht="16.5" customHeight="1" s="131">
      <c r="A24" s="56">
        <f>RIGHT(D24,4)</f>
        <v/>
      </c>
      <c r="B24" s="67" t="inlineStr">
        <is>
          <t>ФИЛЕЙНАЯ Папа может вар п/о</t>
        </is>
      </c>
      <c r="C24" s="55" t="inlineStr">
        <is>
          <t>КГ</t>
        </is>
      </c>
      <c r="D24" s="70" t="n">
        <v>1001012564813</v>
      </c>
      <c r="E24" s="24" t="n">
        <v>363</v>
      </c>
      <c r="F24" s="58" t="n">
        <v>1.35</v>
      </c>
      <c r="G24" s="23">
        <f>E24</f>
        <v/>
      </c>
      <c r="H24" s="59" t="n">
        <v>4.05</v>
      </c>
      <c r="I24" s="59" t="n">
        <v>60</v>
      </c>
      <c r="J24" s="59" t="n"/>
      <c r="K24" s="60" t="n"/>
    </row>
    <row r="25" ht="16.5" customHeight="1" s="131">
      <c r="A25" s="56">
        <f>RIGHT(D25,4)</f>
        <v/>
      </c>
      <c r="B25" s="67" t="inlineStr">
        <is>
          <t>ФИЛЕЙНАЯ Папа может вар п/о 0.4кг</t>
        </is>
      </c>
      <c r="C25" s="55" t="inlineStr">
        <is>
          <t>ШТ</t>
        </is>
      </c>
      <c r="D25" s="70" t="n">
        <v>1001012566392</v>
      </c>
      <c r="E25" s="24" t="n">
        <v>680</v>
      </c>
      <c r="F25" s="58" t="n">
        <v>0.4</v>
      </c>
      <c r="G25" s="23">
        <f>E25*F25</f>
        <v/>
      </c>
      <c r="H25" s="59" t="n">
        <v>3.2</v>
      </c>
      <c r="I25" s="59" t="n">
        <v>60</v>
      </c>
      <c r="J25" s="59" t="n"/>
      <c r="K25" s="60" t="n"/>
    </row>
    <row r="26" ht="16.5" customHeight="1" s="131">
      <c r="A26" s="56">
        <f>RIGHT(D26,4)</f>
        <v/>
      </c>
      <c r="B26" s="67" t="inlineStr">
        <is>
          <t>ЭКСТРА Папа может вар п/о</t>
        </is>
      </c>
      <c r="C26" s="55" t="inlineStr">
        <is>
          <t>КГ</t>
        </is>
      </c>
      <c r="D26" s="70" t="n">
        <v>1001012505851</v>
      </c>
      <c r="E26" s="24" t="n">
        <v>242</v>
      </c>
      <c r="F26" s="58" t="n">
        <v>1.35</v>
      </c>
      <c r="G26" s="23">
        <f>E26</f>
        <v/>
      </c>
      <c r="H26" s="59" t="n">
        <v>4.05</v>
      </c>
      <c r="I26" s="59" t="n">
        <v>60</v>
      </c>
      <c r="J26" s="59" t="n"/>
      <c r="K26" s="60" t="n"/>
    </row>
    <row r="27" ht="16.5" customHeight="1" s="131">
      <c r="A27" s="56">
        <f>RIGHT(D27,4)</f>
        <v/>
      </c>
      <c r="B27" s="67" t="inlineStr">
        <is>
          <t>ЭКСТРА Папа может вар п/о 0.4кг 8шт_195к</t>
        </is>
      </c>
      <c r="C27" s="55" t="inlineStr">
        <is>
          <t>ШТ</t>
        </is>
      </c>
      <c r="D27" s="70" t="n">
        <v>1001012507632</v>
      </c>
      <c r="E27" s="24" t="n">
        <v>333</v>
      </c>
      <c r="F27" s="58" t="n">
        <v>0.4</v>
      </c>
      <c r="G27" s="23">
        <f>E27*F27</f>
        <v/>
      </c>
      <c r="H27" s="59" t="n">
        <v>3.2</v>
      </c>
      <c r="I27" s="59" t="n">
        <v>60</v>
      </c>
      <c r="J27" s="52" t="inlineStr">
        <is>
          <t>Ротация кода 6353</t>
        </is>
      </c>
      <c r="K27" s="60" t="n"/>
    </row>
    <row r="28" ht="16.5" customHeight="1" s="131">
      <c r="A28" s="56">
        <f>RIGHT(D28,4)</f>
        <v/>
      </c>
      <c r="B28" s="67" t="inlineStr">
        <is>
          <t>ДОКТОРСКАЯ ГОСТ Папа может вар п/о</t>
        </is>
      </c>
      <c r="C28" s="55" t="inlineStr">
        <is>
          <t>КГ</t>
        </is>
      </c>
      <c r="D28" s="70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59" t="n"/>
    </row>
    <row r="29" ht="16.5" customHeight="1" s="131">
      <c r="A29" s="56">
        <f>RIGHT(D29,4)</f>
        <v/>
      </c>
      <c r="B29" s="67" t="inlineStr">
        <is>
          <t>ДОКТОРСКАЯ ПО-ОСТАНКИНСКИ вар б/о в/у</t>
        </is>
      </c>
      <c r="C29" s="55" t="inlineStr">
        <is>
          <t>КГ</t>
        </is>
      </c>
      <c r="D29" s="70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31">
      <c r="A30" s="56">
        <f>RIGHT(D30,4)</f>
        <v/>
      </c>
      <c r="B30" s="67" t="inlineStr">
        <is>
          <t>ДОКТОРСКАЯ ПРЕМИУМ вар п/о 0.4кг 8шт.</t>
        </is>
      </c>
      <c r="C30" s="55" t="inlineStr">
        <is>
          <t>ШТ</t>
        </is>
      </c>
      <c r="D30" s="70" t="n">
        <v>1001010106325</v>
      </c>
      <c r="E30" s="24" t="n">
        <v>16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59" t="n"/>
    </row>
    <row r="31" ht="16.5" customHeight="1" s="131">
      <c r="A31" s="56">
        <f>RIGHT(D31,4)</f>
        <v/>
      </c>
      <c r="B31" s="67" t="inlineStr">
        <is>
          <t>РУССКАЯ ПО-ОСТАНКИНСКИ вар б/о в/у</t>
        </is>
      </c>
      <c r="C31" s="55" t="inlineStr">
        <is>
          <t>КГ</t>
        </is>
      </c>
      <c r="D31" s="70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31">
      <c r="A32" s="56">
        <f>RIGHT(D32,4)</f>
        <v/>
      </c>
      <c r="B32" s="67" t="inlineStr">
        <is>
          <t>ДОКТОРСКАЯ ПРЕМИУМ вар п/о(п)</t>
        </is>
      </c>
      <c r="C32" s="55" t="inlineStr">
        <is>
          <t>КГ</t>
        </is>
      </c>
      <c r="D32" s="70" t="n">
        <v>1001010108014</v>
      </c>
      <c r="E32" s="24" t="n"/>
      <c r="F32" s="58" t="n">
        <v>1.35</v>
      </c>
      <c r="G32" s="23">
        <f>E32</f>
        <v/>
      </c>
      <c r="H32" s="59" t="n">
        <v>5.4</v>
      </c>
      <c r="I32" s="59" t="n">
        <v>60</v>
      </c>
      <c r="J32" s="59" t="n"/>
      <c r="K32" s="60" t="n"/>
    </row>
    <row r="33" ht="16.5" customHeight="1" s="131">
      <c r="A33" s="56">
        <f>RIGHT(D33,4)</f>
        <v/>
      </c>
      <c r="B33" s="67" t="inlineStr">
        <is>
          <t>СЕЙЧАС СЕЗОН ПМ вар п/о 0.4кг</t>
        </is>
      </c>
      <c r="C33" s="55" t="inlineStr">
        <is>
          <t>ШТ</t>
        </is>
      </c>
      <c r="D33" s="70" t="n">
        <v>1001016747343</v>
      </c>
      <c r="E33" s="24" t="n"/>
      <c r="F33" s="58" t="n">
        <v>0.4</v>
      </c>
      <c r="G33" s="23">
        <f>E33*F33</f>
        <v/>
      </c>
      <c r="H33" s="59" t="n">
        <v>3.2</v>
      </c>
      <c r="I33" s="59" t="n">
        <v>60</v>
      </c>
      <c r="J33" s="59" t="n"/>
      <c r="K33" s="60" t="n"/>
    </row>
    <row r="34" ht="16.5" customHeight="1" s="131">
      <c r="A34" s="56">
        <f>RIGHT(D34,4)</f>
        <v/>
      </c>
      <c r="B34" s="67" t="inlineStr">
        <is>
          <t>С ИНДЕЙКОЙ Папа может вар п/о 0.4кг 8шт.</t>
        </is>
      </c>
      <c r="C34" s="55" t="inlineStr">
        <is>
          <t>ШТ</t>
        </is>
      </c>
      <c r="D34" s="70" t="n">
        <v>1001015026797</v>
      </c>
      <c r="E34" s="24" t="n"/>
      <c r="F34" s="58" t="n">
        <v>0.4</v>
      </c>
      <c r="G34" s="23">
        <f>E34*F34</f>
        <v/>
      </c>
      <c r="H34" s="59" t="n">
        <v>3.2</v>
      </c>
      <c r="I34" s="59" t="n">
        <v>60</v>
      </c>
      <c r="J34" s="59" t="n"/>
      <c r="K34" s="60" t="n"/>
    </row>
    <row r="35" ht="16.5" customHeight="1" s="131" thickBot="1">
      <c r="A35" s="56">
        <f>RIGHT(D35,4)</f>
        <v/>
      </c>
      <c r="B35" s="67" t="inlineStr">
        <is>
          <t>КЛАССИЧЕСКАЯ ПМ вар п/о 0.3кг 8шт_209к</t>
        </is>
      </c>
      <c r="C35" s="55" t="inlineStr">
        <is>
          <t>ШТ</t>
        </is>
      </c>
      <c r="D35" s="70" t="n">
        <v>1001013957231</v>
      </c>
      <c r="E35" s="24" t="n">
        <v>69</v>
      </c>
      <c r="F35" s="58" t="n">
        <v>0.3</v>
      </c>
      <c r="G35" s="23">
        <f>E35*F35</f>
        <v/>
      </c>
      <c r="H35" s="59" t="n">
        <v>2.4</v>
      </c>
      <c r="I35" s="59" t="n">
        <v>60</v>
      </c>
      <c r="J35" s="59" t="n"/>
      <c r="K35" s="60" t="n"/>
    </row>
    <row r="36" ht="16.5" customHeight="1" s="131" thickBot="1" thickTop="1">
      <c r="A36" s="47" t="inlineStr"/>
      <c r="B36" s="42" t="inlineStr">
        <is>
          <t>Сосиски</t>
        </is>
      </c>
      <c r="C36" s="42" t="n"/>
      <c r="D36" s="42" t="n"/>
      <c r="E36" s="42" t="n"/>
      <c r="F36" s="41" t="n"/>
      <c r="G36" s="42" t="n"/>
      <c r="H36" s="42" t="n"/>
      <c r="I36" s="42" t="n"/>
      <c r="J36" s="43" t="n"/>
    </row>
    <row r="37" ht="16.5" customHeight="1" s="131" thickTop="1">
      <c r="A37" s="56">
        <f>RIGHT(D37,4)</f>
        <v/>
      </c>
      <c r="B37" s="67" t="inlineStr">
        <is>
          <t>БАВАРСКИЕ ПМ сос ц/о мгс 0.35кг 8шт.</t>
        </is>
      </c>
      <c r="C37" s="55" t="inlineStr">
        <is>
          <t>ШТ</t>
        </is>
      </c>
      <c r="D37" s="70" t="n">
        <v>1001021966602</v>
      </c>
      <c r="E37" s="24" t="n"/>
      <c r="F37" s="58" t="n">
        <v>0.35</v>
      </c>
      <c r="G37" s="23">
        <f>E37*F37</f>
        <v/>
      </c>
      <c r="H37" s="59" t="n">
        <v>2.8</v>
      </c>
      <c r="I37" s="59" t="n">
        <v>45</v>
      </c>
      <c r="J37" s="59" t="n"/>
      <c r="K37" s="60" t="n"/>
    </row>
    <row r="38" ht="16.5" customHeight="1" s="131">
      <c r="A38" s="56">
        <f>RIGHT(D38,4)</f>
        <v/>
      </c>
      <c r="B38" s="67" t="inlineStr">
        <is>
          <t>ДЛЯ ДЕТЕЙ сос п/о мгс 0.33кг 8шт.</t>
        </is>
      </c>
      <c r="C38" s="55" t="inlineStr">
        <is>
          <t>ШТ</t>
        </is>
      </c>
      <c r="D38" s="70" t="n">
        <v>1001025767284</v>
      </c>
      <c r="E38" s="24" t="n"/>
      <c r="F38" s="58" t="n">
        <v>0.33</v>
      </c>
      <c r="G38" s="23">
        <f>E38*F38</f>
        <v/>
      </c>
      <c r="H38" s="59" t="n">
        <v>1.98</v>
      </c>
      <c r="I38" s="59" t="n">
        <v>30</v>
      </c>
      <c r="J38" s="59" t="n"/>
      <c r="K38" s="60" t="n"/>
    </row>
    <row r="39" ht="16.5" customHeight="1" s="131">
      <c r="A39" s="56">
        <f>RIGHT(D39,4)</f>
        <v/>
      </c>
      <c r="B39" s="67" t="inlineStr">
        <is>
          <t>ДЛЯ ДЕТЕЙ Папа может сос п/о мгс 0.264кг</t>
        </is>
      </c>
      <c r="C39" s="55" t="inlineStr">
        <is>
          <t>ШТ</t>
        </is>
      </c>
      <c r="D39" s="70" t="n">
        <v>1001025767601</v>
      </c>
      <c r="E39" s="24" t="n"/>
      <c r="F39" s="58" t="n">
        <v>0.264</v>
      </c>
      <c r="G39" s="23">
        <f>E39*F39</f>
        <v/>
      </c>
      <c r="H39" s="59" t="n">
        <v>1.58</v>
      </c>
      <c r="I39" s="59" t="n">
        <v>30</v>
      </c>
      <c r="J39" s="59" t="n"/>
      <c r="K39" s="60" t="n"/>
    </row>
    <row r="40" ht="16.5" customHeight="1" s="131">
      <c r="A40" s="56">
        <f>RIGHT(D40,4)</f>
        <v/>
      </c>
      <c r="B40" s="67" t="inlineStr">
        <is>
          <t>ДЛЯ ДЕТЕЙ Папа может сос п/о мгс 0.33кг</t>
        </is>
      </c>
      <c r="C40" s="55" t="inlineStr">
        <is>
          <t>ШТ</t>
        </is>
      </c>
      <c r="D40" s="70" t="n">
        <v>1001025767461</v>
      </c>
      <c r="E40" s="24" t="n">
        <v>196</v>
      </c>
      <c r="F40" s="58" t="n">
        <v>0.33</v>
      </c>
      <c r="G40" s="23">
        <f>E40*F40</f>
        <v/>
      </c>
      <c r="H40" s="59" t="n">
        <v>1.98</v>
      </c>
      <c r="I40" s="59" t="n">
        <v>30</v>
      </c>
      <c r="J40" s="52" t="inlineStr">
        <is>
          <t>Новинка, Смешарики</t>
        </is>
      </c>
      <c r="K40" s="60" t="n"/>
    </row>
    <row r="41" ht="16.5" customHeight="1" s="131">
      <c r="A41" s="56">
        <f>RIGHT(D41,4)</f>
        <v/>
      </c>
      <c r="B41" s="67" t="inlineStr">
        <is>
          <t>БРЕСТСКИЕ сос п/о в/у 0.3кг 8шт.</t>
        </is>
      </c>
      <c r="C41" s="55" t="inlineStr">
        <is>
          <t>ШТ</t>
        </is>
      </c>
      <c r="D41" s="70" t="n">
        <v>1001026947371</v>
      </c>
      <c r="E41" s="24" t="n"/>
      <c r="F41" s="58" t="n">
        <v>0.3</v>
      </c>
      <c r="G41" s="23">
        <f>E41*F41</f>
        <v/>
      </c>
      <c r="H41" s="59" t="n">
        <v>2.4</v>
      </c>
      <c r="I41" s="59" t="n">
        <v>45</v>
      </c>
      <c r="J41" s="59" t="n"/>
      <c r="K41" s="60" t="n"/>
    </row>
    <row r="42" ht="16.5" customHeight="1" s="131">
      <c r="A42" s="56">
        <f>RIGHT(D42,4)</f>
        <v/>
      </c>
      <c r="B42" s="67" t="inlineStr">
        <is>
          <t>С ИНДЕЙКОЙ ПМ сос ц/о в/у 1/270 8шт.</t>
        </is>
      </c>
      <c r="C42" s="55" t="inlineStr">
        <is>
          <t>ШТ</t>
        </is>
      </c>
      <c r="D42" s="70" t="n">
        <v>1001025027040</v>
      </c>
      <c r="E42" s="24" t="n"/>
      <c r="F42" s="58" t="n">
        <v>0.27</v>
      </c>
      <c r="G42" s="23">
        <f>E42*F42</f>
        <v/>
      </c>
      <c r="H42" s="59" t="n"/>
      <c r="I42" s="59" t="n"/>
      <c r="J42" s="59" t="n"/>
      <c r="K42" s="60" t="n"/>
    </row>
    <row r="43" ht="16.5" customHeight="1" s="131">
      <c r="A43" s="56">
        <f>RIGHT(D43,4)</f>
        <v/>
      </c>
      <c r="B43" s="67" t="inlineStr">
        <is>
          <t>МОЛОЧНЫЕ ГОСТ сос ц/о мгс 0.4кг 7шт.</t>
        </is>
      </c>
      <c r="C43" s="55" t="inlineStr">
        <is>
          <t>ШТ</t>
        </is>
      </c>
      <c r="D43" s="70" t="n">
        <v>1001020836759</v>
      </c>
      <c r="E43" s="24" t="n"/>
      <c r="F43" s="58" t="n">
        <v>0.4</v>
      </c>
      <c r="G43" s="23">
        <f>E43*F43</f>
        <v/>
      </c>
      <c r="H43" s="59" t="n">
        <v>2.8</v>
      </c>
      <c r="I43" s="59" t="n">
        <v>30</v>
      </c>
      <c r="J43" s="59" t="n"/>
      <c r="K43" s="60" t="n"/>
    </row>
    <row r="44" ht="16.5" customHeight="1" s="131">
      <c r="A44" s="56">
        <f>RIGHT(D44,4)</f>
        <v/>
      </c>
      <c r="B44" s="67" t="inlineStr">
        <is>
          <t>МОЛОЧНЫЕ ГОСТ сос ц/о мгс 1*4</t>
        </is>
      </c>
      <c r="C44" s="55" t="inlineStr">
        <is>
          <t>КГ</t>
        </is>
      </c>
      <c r="D44" s="70" t="n">
        <v>1001020836761</v>
      </c>
      <c r="E44" s="24" t="n"/>
      <c r="F44" s="58" t="n">
        <v>1</v>
      </c>
      <c r="G44" s="23">
        <f>E44</f>
        <v/>
      </c>
      <c r="H44" s="59" t="n">
        <v>4</v>
      </c>
      <c r="I44" s="59" t="n">
        <v>30</v>
      </c>
      <c r="J44" s="59" t="n"/>
      <c r="K44" s="60" t="n"/>
    </row>
    <row r="45" ht="16.5" customHeight="1" s="131">
      <c r="A45" s="56">
        <f>RIGHT(D45,4)</f>
        <v/>
      </c>
      <c r="B45" s="67" t="inlineStr">
        <is>
          <t>МОЛОЧНЫЕ КЛАССИЧЕСКИЕ сос п/о мгс 2*4_С</t>
        </is>
      </c>
      <c r="C45" s="55" t="inlineStr">
        <is>
          <t>КГ</t>
        </is>
      </c>
      <c r="D45" s="70" t="n">
        <v>1001024976829</v>
      </c>
      <c r="E45" s="24" t="n">
        <v>230</v>
      </c>
      <c r="F45" s="58" t="n">
        <v>2.1</v>
      </c>
      <c r="G45" s="23">
        <f>E45</f>
        <v/>
      </c>
      <c r="H45" s="59" t="n">
        <v>8.4</v>
      </c>
      <c r="I45" s="59" t="n">
        <v>45</v>
      </c>
      <c r="J45" s="59" t="n"/>
      <c r="K45" s="60" t="n"/>
    </row>
    <row r="46" ht="16.5" customHeight="1" s="131">
      <c r="A46" s="56">
        <f>RIGHT(D46,4)</f>
        <v/>
      </c>
      <c r="B46" s="67" t="inlineStr">
        <is>
          <t>МОЛОЧНЫЕ КЛАССИЧЕСКИЕ сос п/о в/у 0.3кг</t>
        </is>
      </c>
      <c r="C46" s="55" t="inlineStr">
        <is>
          <t>ШТ</t>
        </is>
      </c>
      <c r="D46" s="70" t="n">
        <v>1001024976616</v>
      </c>
      <c r="E46" s="24" t="n"/>
      <c r="F46" s="58" t="n">
        <v>0.3</v>
      </c>
      <c r="G46" s="23">
        <f>E46*F46</f>
        <v/>
      </c>
      <c r="H46" s="59" t="n">
        <v>2.4</v>
      </c>
      <c r="I46" s="59" t="n">
        <v>45</v>
      </c>
      <c r="J46" s="59" t="n"/>
      <c r="K46" s="60" t="n"/>
    </row>
    <row r="47" ht="16.5" customHeight="1" s="131">
      <c r="A47" s="56">
        <f>RIGHT(D47,4)</f>
        <v/>
      </c>
      <c r="B47" s="67" t="inlineStr">
        <is>
          <t>МОЛОЧ.ПРЕМИУМ ПМ сос п/о мгс 1.5*4_О_50с</t>
        </is>
      </c>
      <c r="C47" s="55" t="inlineStr">
        <is>
          <t>КГ</t>
        </is>
      </c>
      <c r="D47" s="70" t="n">
        <v>1001022657075</v>
      </c>
      <c r="E47" s="24" t="n"/>
      <c r="F47" s="58" t="n">
        <v>1.5</v>
      </c>
      <c r="G47" s="23">
        <f>E47</f>
        <v/>
      </c>
      <c r="H47" s="59" t="n">
        <v>6</v>
      </c>
      <c r="I47" s="59" t="n">
        <v>50</v>
      </c>
      <c r="J47" s="59" t="n"/>
      <c r="K47" s="60" t="n"/>
    </row>
    <row r="48" ht="16.5" customHeight="1" s="131">
      <c r="A48" s="56">
        <f>RIGHT(D48,4)</f>
        <v/>
      </c>
      <c r="B48" s="67" t="inlineStr">
        <is>
          <t>МОЛОЧ.ПРЕМИУМ ПМ сос п/о мгс 0.6кг_50с</t>
        </is>
      </c>
      <c r="C48" s="55" t="inlineStr">
        <is>
          <t>ШТ</t>
        </is>
      </c>
      <c r="D48" s="70" t="n">
        <v>1001022657074</v>
      </c>
      <c r="E48" s="24" t="n"/>
      <c r="F48" s="58" t="n">
        <v>0.6</v>
      </c>
      <c r="G48" s="23">
        <f>E48*F48</f>
        <v/>
      </c>
      <c r="H48" s="59" t="n">
        <v>4.8</v>
      </c>
      <c r="I48" s="59" t="n">
        <v>50</v>
      </c>
      <c r="J48" s="59" t="n"/>
      <c r="K48" s="60" t="n"/>
    </row>
    <row r="49" ht="16.5" customHeight="1" s="131">
      <c r="A49" s="56">
        <f>RIGHT(D49,4)</f>
        <v/>
      </c>
      <c r="B49" s="67" t="inlineStr">
        <is>
          <t>МОЛОЧ.ПРЕМИУМ ПМ сос п/о в/у 1/350_50с</t>
        </is>
      </c>
      <c r="C49" s="55" t="inlineStr">
        <is>
          <t>ШТ</t>
        </is>
      </c>
      <c r="D49" s="70" t="n">
        <v>1001022657073</v>
      </c>
      <c r="E49" s="24" t="n">
        <v>22</v>
      </c>
      <c r="F49" s="58" t="n">
        <v>0.35</v>
      </c>
      <c r="G49" s="23">
        <f>E49*F49</f>
        <v/>
      </c>
      <c r="H49" s="59" t="n">
        <v>2.8</v>
      </c>
      <c r="I49" s="59" t="n">
        <v>50</v>
      </c>
      <c r="J49" s="59" t="n"/>
      <c r="K49" s="60" t="n"/>
    </row>
    <row r="50" ht="16.5" customHeight="1" s="131">
      <c r="A50" s="56">
        <f>RIGHT(D50,4)</f>
        <v/>
      </c>
      <c r="B50" s="67" t="inlineStr">
        <is>
          <t>МОЛОЧНЫЕ ПМ сос п/о мгс 0.41кг 10шт.</t>
        </is>
      </c>
      <c r="C50" s="55" t="inlineStr">
        <is>
          <t>ШТ</t>
        </is>
      </c>
      <c r="D50" s="70" t="n">
        <v>1001020836724</v>
      </c>
      <c r="E50" s="24" t="n">
        <v>35</v>
      </c>
      <c r="F50" s="58" t="n">
        <v>0.41</v>
      </c>
      <c r="G50" s="23">
        <f>E50*F50</f>
        <v/>
      </c>
      <c r="H50" s="59" t="n">
        <v>4.1</v>
      </c>
      <c r="I50" s="59" t="n">
        <v>45</v>
      </c>
      <c r="J50" s="59" t="n"/>
      <c r="K50" s="60" t="n"/>
    </row>
    <row r="51" ht="16.5" customHeight="1" s="131">
      <c r="A51" s="56">
        <f>RIGHT(D51,4)</f>
        <v/>
      </c>
      <c r="B51" s="67" t="inlineStr">
        <is>
          <t>МЯСНЫЕ Папа может сос п/о в/у 0.4кг_45с</t>
        </is>
      </c>
      <c r="C51" s="55" t="inlineStr">
        <is>
          <t>ШТ</t>
        </is>
      </c>
      <c r="D51" s="70" t="n">
        <v>1001022725819</v>
      </c>
      <c r="E51" s="24" t="n">
        <v>383</v>
      </c>
      <c r="F51" s="58" t="n">
        <v>0.4</v>
      </c>
      <c r="G51" s="23">
        <f>E51*F51</f>
        <v/>
      </c>
      <c r="H51" s="59" t="n">
        <v>3.2</v>
      </c>
      <c r="I51" s="59" t="n">
        <v>45</v>
      </c>
      <c r="J51" s="59" t="n"/>
      <c r="K51" s="60" t="n"/>
    </row>
    <row r="52" ht="16.5" customHeight="1" s="131">
      <c r="A52" s="56">
        <f>RIGHT(D52,4)</f>
        <v/>
      </c>
      <c r="B52" s="67" t="inlineStr">
        <is>
          <t>МЯСНЫЕ Папа может сос п/о мгс 1.5*3</t>
        </is>
      </c>
      <c r="C52" s="55" t="inlineStr">
        <is>
          <t>КГ</t>
        </is>
      </c>
      <c r="D52" s="70" t="n">
        <v>1001022726303</v>
      </c>
      <c r="E52" s="24" t="n">
        <v>104</v>
      </c>
      <c r="F52" s="58" t="n">
        <v>1.5</v>
      </c>
      <c r="G52" s="23">
        <f>E52</f>
        <v/>
      </c>
      <c r="H52" s="59" t="n">
        <v>4.5</v>
      </c>
      <c r="I52" s="59" t="n">
        <v>45</v>
      </c>
      <c r="J52" s="59" t="n"/>
      <c r="K52" s="60" t="n"/>
    </row>
    <row r="53" ht="16.5" customHeight="1" s="131">
      <c r="A53" s="56">
        <f>RIGHT(D53,4)</f>
        <v/>
      </c>
      <c r="B53" s="67" t="inlineStr">
        <is>
          <t>МЯСНЫЕ С ГОВЯД.ПМ сос п/о мгс 0.4кг 6шт.</t>
        </is>
      </c>
      <c r="C53" s="55" t="inlineStr">
        <is>
          <t>ШТ</t>
        </is>
      </c>
      <c r="D53" s="70" t="n">
        <v>1001025507255</v>
      </c>
      <c r="E53" s="24" t="n"/>
      <c r="F53" s="58" t="n">
        <v>0.4</v>
      </c>
      <c r="G53" s="23">
        <f>E53*F53</f>
        <v/>
      </c>
      <c r="H53" s="59" t="n">
        <v>2.4</v>
      </c>
      <c r="I53" s="59" t="n">
        <v>50</v>
      </c>
      <c r="J53" s="59" t="n"/>
      <c r="K53" s="60" t="n"/>
    </row>
    <row r="54" ht="16.5" customHeight="1" s="131">
      <c r="A54" s="56">
        <f>RIGHT(D54,4)</f>
        <v/>
      </c>
      <c r="B54" s="67" t="inlineStr">
        <is>
          <t>МЯСНЫЕ С ГОВЯДИНОЙ ПМ сос п/о мгс 1.5*4</t>
        </is>
      </c>
      <c r="C54" s="55" t="inlineStr">
        <is>
          <t>КГ</t>
        </is>
      </c>
      <c r="D54" s="70" t="n">
        <v>1001025507271</v>
      </c>
      <c r="E54" s="24" t="n"/>
      <c r="F54" s="58" t="n">
        <v>1.5</v>
      </c>
      <c r="G54" s="23">
        <f>E54</f>
        <v/>
      </c>
      <c r="H54" s="59" t="n">
        <v>6</v>
      </c>
      <c r="I54" s="59" t="n">
        <v>50</v>
      </c>
      <c r="J54" s="59" t="n"/>
      <c r="K54" s="60" t="n"/>
    </row>
    <row r="55" ht="16.5" customHeight="1" s="131">
      <c r="A55" s="56">
        <f>RIGHT(D55,4)</f>
        <v/>
      </c>
      <c r="B55" s="67" t="inlineStr">
        <is>
          <t>РУБЛЕНЫЕ сос ц/о мгс 0.36кг 6шт.</t>
        </is>
      </c>
      <c r="C55" s="55" t="inlineStr">
        <is>
          <t>ШТ</t>
        </is>
      </c>
      <c r="D55" s="70" t="n">
        <v>1001023696765</v>
      </c>
      <c r="E55" s="24" t="n"/>
      <c r="F55" s="58" t="n">
        <v>0.36</v>
      </c>
      <c r="G55" s="23">
        <f>E55*F55</f>
        <v/>
      </c>
      <c r="H55" s="59" t="n">
        <v>2.16</v>
      </c>
      <c r="I55" s="59" t="n">
        <v>45</v>
      </c>
      <c r="J55" s="59" t="n"/>
      <c r="K55" s="60" t="n"/>
    </row>
    <row r="56" ht="16.5" customHeight="1" s="131">
      <c r="A56" s="56">
        <f>RIGHT(D56,4)</f>
        <v/>
      </c>
      <c r="B56" s="67" t="inlineStr">
        <is>
          <t>РУБЛЕНЫЕ сос ц/о мгс 1*4</t>
        </is>
      </c>
      <c r="C56" s="55" t="inlineStr">
        <is>
          <t>КГ</t>
        </is>
      </c>
      <c r="D56" s="70" t="n">
        <v>1001023696767</v>
      </c>
      <c r="E56" s="24" t="n"/>
      <c r="F56" s="58" t="n">
        <v>1.04</v>
      </c>
      <c r="G56" s="23">
        <f>E56</f>
        <v/>
      </c>
      <c r="H56" s="59" t="n">
        <v>4.16</v>
      </c>
      <c r="I56" s="59" t="n">
        <v>45</v>
      </c>
      <c r="J56" s="59" t="n"/>
      <c r="K56" s="60" t="n"/>
    </row>
    <row r="57" ht="16.5" customHeight="1" s="131">
      <c r="A57" s="56">
        <f>RIGHT(D57,4)</f>
        <v/>
      </c>
      <c r="B57" s="67" t="inlineStr">
        <is>
          <t>С СЫРОМ Папа может сос ц/о мгс 0.4кг 6шт</t>
        </is>
      </c>
      <c r="C57" s="55" t="inlineStr">
        <is>
          <t>ШТ</t>
        </is>
      </c>
      <c r="D57" s="70" t="n">
        <v>1001025176475</v>
      </c>
      <c r="E57" s="24" t="n"/>
      <c r="F57" s="58" t="n">
        <v>0.4</v>
      </c>
      <c r="G57" s="23">
        <f>E57*F57</f>
        <v/>
      </c>
      <c r="H57" s="59" t="n">
        <v>2.4</v>
      </c>
      <c r="I57" s="59" t="n">
        <v>45</v>
      </c>
      <c r="J57" s="59" t="n"/>
      <c r="K57" s="60" t="n"/>
    </row>
    <row r="58" ht="16.5" customHeight="1" s="131">
      <c r="A58" s="56">
        <f>RIGHT(D58,4)</f>
        <v/>
      </c>
      <c r="B58" s="67" t="inlineStr">
        <is>
          <t>СЛИВОЧНЫЕ ПМ сос п/о мгс 1.5*4_А_50с</t>
        </is>
      </c>
      <c r="C58" s="55" t="inlineStr">
        <is>
          <t>КГ</t>
        </is>
      </c>
      <c r="D58" s="70" t="n">
        <v>1001022467083</v>
      </c>
      <c r="E58" s="24" t="n">
        <v>106</v>
      </c>
      <c r="F58" s="58" t="n">
        <v>1.5</v>
      </c>
      <c r="G58" s="23">
        <f>E58</f>
        <v/>
      </c>
      <c r="H58" s="59" t="n">
        <v>6</v>
      </c>
      <c r="I58" s="59" t="n">
        <v>50</v>
      </c>
      <c r="J58" s="59" t="n"/>
      <c r="K58" s="60" t="n"/>
    </row>
    <row r="59" ht="16.5" customHeight="1" s="131">
      <c r="A59" s="56">
        <f>RIGHT(D59,4)</f>
        <v/>
      </c>
      <c r="B59" s="67" t="inlineStr">
        <is>
          <t>СЛИВОЧНЫЕ ПМ сос п/о мгс 0.41кг 10шт_50с</t>
        </is>
      </c>
      <c r="C59" s="55" t="inlineStr">
        <is>
          <t>ШТ</t>
        </is>
      </c>
      <c r="D59" s="70" t="n">
        <v>1001022467080</v>
      </c>
      <c r="E59" s="24" t="n">
        <v>371</v>
      </c>
      <c r="F59" s="58" t="n">
        <v>0.41</v>
      </c>
      <c r="G59" s="23">
        <f>E59*F59</f>
        <v/>
      </c>
      <c r="H59" s="59" t="n">
        <v>4.1</v>
      </c>
      <c r="I59" s="59" t="n">
        <v>50</v>
      </c>
      <c r="J59" s="59" t="n"/>
      <c r="K59" s="60" t="n"/>
    </row>
    <row r="60" ht="16.5" customHeight="1" s="131">
      <c r="A60" s="56">
        <f>RIGHT(D60,4)</f>
        <v/>
      </c>
      <c r="B60" s="67" t="inlineStr">
        <is>
          <t>СЛИВОЧНЫЕ ПМ сос п/о мгс 0.3кг 7шт.</t>
        </is>
      </c>
      <c r="C60" s="55" t="inlineStr">
        <is>
          <t>ШТ</t>
        </is>
      </c>
      <c r="D60" s="70" t="n">
        <v>1001022467276</v>
      </c>
      <c r="E60" s="24" t="n"/>
      <c r="F60" s="58" t="n">
        <v>0.3</v>
      </c>
      <c r="G60" s="23">
        <f>E60*F60</f>
        <v/>
      </c>
      <c r="H60" s="59" t="n">
        <v>2.1</v>
      </c>
      <c r="I60" s="59" t="n">
        <v>50</v>
      </c>
      <c r="J60" s="59" t="n"/>
      <c r="K60" s="60" t="n"/>
    </row>
    <row r="61" ht="16.5" customHeight="1" s="131">
      <c r="A61" s="56">
        <f>RIGHT(D61,4)</f>
        <v/>
      </c>
      <c r="B61" s="67" t="inlineStr">
        <is>
          <t>СЛИВОЧНЫЕ сос ц/о мгс 0.41кг 8шт.</t>
        </is>
      </c>
      <c r="C61" s="55" t="inlineStr">
        <is>
          <t>ШТ</t>
        </is>
      </c>
      <c r="D61" s="70" t="n">
        <v>1001020846762</v>
      </c>
      <c r="E61" s="24" t="n"/>
      <c r="F61" s="58" t="n">
        <v>0.41</v>
      </c>
      <c r="G61" s="23">
        <f>E61*F61</f>
        <v/>
      </c>
      <c r="H61" s="59" t="n">
        <v>3.28</v>
      </c>
      <c r="I61" s="59" t="n">
        <v>45</v>
      </c>
      <c r="J61" s="59" t="n"/>
      <c r="K61" s="60" t="n"/>
    </row>
    <row r="62" ht="16.5" customHeight="1" s="131">
      <c r="A62" s="56">
        <f>RIGHT(D62,4)</f>
        <v/>
      </c>
      <c r="B62" s="67" t="inlineStr">
        <is>
          <t>СЛИВОЧНЫЕ сос ц/о мгс 1*4</t>
        </is>
      </c>
      <c r="C62" s="55" t="inlineStr">
        <is>
          <t>КГ</t>
        </is>
      </c>
      <c r="D62" s="70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59" t="n"/>
    </row>
    <row r="63" ht="16.5" customHeight="1" s="131">
      <c r="A63" s="56">
        <f>RIGHT(D63,4)</f>
        <v/>
      </c>
      <c r="B63" s="67" t="inlineStr">
        <is>
          <t>СОЧНЫЕ ПМ сос п/о мгс 0.41кг 10шт_50с</t>
        </is>
      </c>
      <c r="C63" s="55" t="inlineStr">
        <is>
          <t>ШТ</t>
        </is>
      </c>
      <c r="D63" s="70" t="n">
        <v>1001022377066</v>
      </c>
      <c r="E63" s="24" t="n">
        <v>1285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59" t="n"/>
    </row>
    <row r="64" ht="16.5" customHeight="1" s="131">
      <c r="A64" s="56">
        <f>RIGHT(D64,4)</f>
        <v/>
      </c>
      <c r="B64" s="67" t="inlineStr">
        <is>
          <t>СОЧНЫЕ ПМ сос п/о мгс 1.5*4_А_50с</t>
        </is>
      </c>
      <c r="C64" s="55" t="inlineStr">
        <is>
          <t>КГ</t>
        </is>
      </c>
      <c r="D64" s="70" t="n">
        <v>1001022377070</v>
      </c>
      <c r="E64" s="24" t="n">
        <v>222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59" t="n"/>
    </row>
    <row r="65" ht="16.5" customHeight="1" s="131">
      <c r="A65" s="56">
        <f>RIGHT(D65,4)</f>
        <v/>
      </c>
      <c r="B65" s="67" t="inlineStr">
        <is>
          <t>СОЧНЫЙ ГРИЛЬ ПМ сос п/о мгс 0.41кг 8шт.</t>
        </is>
      </c>
      <c r="C65" s="55" t="inlineStr">
        <is>
          <t>ШТ</t>
        </is>
      </c>
      <c r="D65" s="70" t="n">
        <v>1001022246713</v>
      </c>
      <c r="E65" s="24" t="n">
        <v>334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59" t="n"/>
    </row>
    <row r="66" ht="16.5" customHeight="1" s="131">
      <c r="A66" s="56">
        <f>RIGHT(D66,4)</f>
        <v/>
      </c>
      <c r="B66" s="67" t="inlineStr">
        <is>
          <t>СОЧНЫЙ ГРИЛЬ ПМ сос п/о мгс 1.5*4_Маяк</t>
        </is>
      </c>
      <c r="C66" s="55" t="inlineStr">
        <is>
          <t>КГ</t>
        </is>
      </c>
      <c r="D66" s="70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59" t="n"/>
    </row>
    <row r="67" ht="16.5" customHeight="1" s="131">
      <c r="A67" s="56">
        <f>RIGHT(D67,4)</f>
        <v/>
      </c>
      <c r="B67" s="67" t="inlineStr">
        <is>
          <t>ФИЛЕЙНЫЕ Папа может сос ц/о мгс 1.5*2</t>
        </is>
      </c>
      <c r="C67" s="55" t="inlineStr">
        <is>
          <t>КГ</t>
        </is>
      </c>
      <c r="D67" s="70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59" t="n"/>
    </row>
    <row r="68" ht="16.5" customHeight="1" s="131">
      <c r="A68" s="56">
        <f>RIGHT(D68,4)</f>
        <v/>
      </c>
      <c r="B68" s="67" t="inlineStr">
        <is>
          <t>ФИЛЕЙНЫЕ Папа Может сос ц/о мгс 0.4кг</t>
        </is>
      </c>
      <c r="C68" s="55" t="inlineStr">
        <is>
          <t>ШТ</t>
        </is>
      </c>
      <c r="D68" s="70" t="n">
        <v>1001022556837</v>
      </c>
      <c r="E68" s="24" t="n">
        <v>49</v>
      </c>
      <c r="F68" s="23" t="n">
        <v>0.4</v>
      </c>
      <c r="G68" s="23">
        <f>E68*F68</f>
        <v/>
      </c>
      <c r="H68" s="14" t="n">
        <v>2.4</v>
      </c>
      <c r="I68" s="14" t="n">
        <v>45</v>
      </c>
      <c r="J68" s="59" t="n"/>
    </row>
    <row r="69" ht="16.5" customHeight="1" s="131">
      <c r="A69" s="56">
        <f>RIGHT(D69,4)</f>
        <v/>
      </c>
      <c r="B69" s="67" t="inlineStr">
        <is>
          <t>ЧИКЕН КАРРИ Папа может сос п/о мгс 1/330</t>
        </is>
      </c>
      <c r="C69" s="55" t="inlineStr">
        <is>
          <t>ШТ</t>
        </is>
      </c>
      <c r="D69" s="70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59" t="n"/>
    </row>
    <row r="70" ht="16.5" customHeight="1" s="131">
      <c r="A70" s="56">
        <f>RIGHT(D70,4)</f>
        <v/>
      </c>
      <c r="B70" s="67" t="inlineStr">
        <is>
          <t>ХОТ-ДОГ Папа может сос б/о в/у 1/320 8шт</t>
        </is>
      </c>
      <c r="C70" s="55" t="inlineStr">
        <is>
          <t>ШТ</t>
        </is>
      </c>
      <c r="D70" s="70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59" t="n"/>
    </row>
    <row r="71" ht="16.5" customHeight="1" s="131" thickBot="1">
      <c r="A71" s="56">
        <f>RIGHT(D71,4)</f>
        <v/>
      </c>
      <c r="B71" s="67" t="inlineStr">
        <is>
          <t>СО ВКУС.ПИЦЦА БАРБЕКЮ сос п/о мгс 0.33кг</t>
        </is>
      </c>
      <c r="C71" s="55" t="inlineStr">
        <is>
          <t>ШТ</t>
        </is>
      </c>
      <c r="D71" s="70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59" t="n"/>
    </row>
    <row r="72" ht="16.5" customHeight="1" s="131" thickBot="1" thickTop="1">
      <c r="A72" s="47" t="inlineStr"/>
      <c r="B72" s="42" t="inlineStr">
        <is>
          <t>Сардельки</t>
        </is>
      </c>
      <c r="C72" s="42" t="n"/>
      <c r="D72" s="42" t="n"/>
      <c r="E72" s="42" t="n"/>
      <c r="F72" s="41" t="n"/>
      <c r="G72" s="42" t="n"/>
      <c r="H72" s="42" t="n"/>
      <c r="I72" s="42" t="n"/>
      <c r="J72" s="43" t="n"/>
    </row>
    <row r="73" ht="16.5" customHeight="1" s="131" thickTop="1">
      <c r="A73" s="56">
        <f>RIGHT(D73,4)</f>
        <v/>
      </c>
      <c r="B73" s="124" t="inlineStr">
        <is>
          <t>МЯСНЫЕ Папа может сар б/о мгс 1*3_О_45с</t>
        </is>
      </c>
      <c r="C73" s="125" t="inlineStr">
        <is>
          <t>КГ</t>
        </is>
      </c>
      <c r="D73" s="70" t="n">
        <v>1001032736550</v>
      </c>
      <c r="E73" s="24" t="n"/>
      <c r="F73" s="58" t="n">
        <v>1</v>
      </c>
      <c r="G73" s="23">
        <f>E73</f>
        <v/>
      </c>
      <c r="H73" s="59" t="n">
        <v>3</v>
      </c>
      <c r="I73" s="59" t="n">
        <v>45</v>
      </c>
      <c r="J73" s="59" t="n"/>
    </row>
    <row r="74" ht="16.5" customHeight="1" s="131">
      <c r="A74" s="56">
        <f>RIGHT(D74,4)</f>
        <v/>
      </c>
      <c r="B74" s="124" t="inlineStr">
        <is>
          <t>С ГОВЯДИНОЙ ОРИГИН. сар б/о мгс 1*3_45с</t>
        </is>
      </c>
      <c r="C74" s="55" t="inlineStr">
        <is>
          <t>КГ</t>
        </is>
      </c>
      <c r="D74" s="70" t="n">
        <v>1001033856608</v>
      </c>
      <c r="E74" s="24" t="n">
        <v>123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59" t="n"/>
    </row>
    <row r="75" ht="16.5" customHeight="1" s="131">
      <c r="A75" s="56">
        <f>RIGHT(D75,4)</f>
        <v/>
      </c>
      <c r="B75" s="124" t="inlineStr">
        <is>
          <t>КЛАССИЧЕСКИЕ Папа может сар б/о мгс 1*3</t>
        </is>
      </c>
      <c r="C75" s="55" t="inlineStr">
        <is>
          <t>КГ</t>
        </is>
      </c>
      <c r="D75" s="70" t="n">
        <v>1001035937001</v>
      </c>
      <c r="E75" s="24" t="n">
        <v>44</v>
      </c>
      <c r="F75" s="23" t="n">
        <v>1</v>
      </c>
      <c r="G75" s="23">
        <f>E75</f>
        <v/>
      </c>
      <c r="H75" s="14" t="n">
        <v>3</v>
      </c>
      <c r="I75" s="14" t="n">
        <v>45</v>
      </c>
      <c r="J75" s="59" t="n"/>
    </row>
    <row r="76" ht="16.5" customHeight="1" s="131">
      <c r="A76" s="56">
        <f>RIGHT(D76,4)</f>
        <v/>
      </c>
      <c r="B76" s="124" t="inlineStr">
        <is>
          <t>ШПИКАЧКИ СОЧНЫЕ ПМ сар б/о мгс 1*3_45с</t>
        </is>
      </c>
      <c r="C76" s="55" t="inlineStr">
        <is>
          <t>КГ</t>
        </is>
      </c>
      <c r="D76" s="70" t="n">
        <v>1001031076527</v>
      </c>
      <c r="E76" s="24" t="n">
        <v>70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59" t="n"/>
    </row>
    <row r="77" ht="16.5" customHeight="1" s="131">
      <c r="A77" s="56">
        <f>RIGHT(D77,4)</f>
        <v/>
      </c>
      <c r="B77" s="124" t="inlineStr">
        <is>
          <t>С ГОВЯДИНОЙ ПМ сар б/о мгс 0.4кг_45с</t>
        </is>
      </c>
      <c r="C77" s="55" t="inlineStr">
        <is>
          <t>ШТ</t>
        </is>
      </c>
      <c r="D77" s="70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59" t="n"/>
    </row>
    <row r="78" ht="16.5" customHeight="1" s="131">
      <c r="A78" s="56">
        <f>RIGHT(D78,4)</f>
        <v/>
      </c>
      <c r="B78" s="124" t="inlineStr">
        <is>
          <t>ШПИКАЧКИ СОЧНЫЕ С БЕК. п/о мгс 0.3кг_60с</t>
        </is>
      </c>
      <c r="C78" s="55" t="inlineStr">
        <is>
          <t>ШТ</t>
        </is>
      </c>
      <c r="D78" s="70" t="n">
        <v>1001035277059</v>
      </c>
      <c r="E78" s="24" t="n">
        <v>117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59" t="n"/>
    </row>
    <row r="79" ht="16.5" customHeight="1" s="131" thickBot="1">
      <c r="A79" s="56">
        <f>RIGHT(D79,4)</f>
        <v/>
      </c>
      <c r="B79" s="124" t="inlineStr">
        <is>
          <t>ШПИКАЧКИ СОЧНЫЕ ПМ сар б/о мгс 0.4кг_45с</t>
        </is>
      </c>
      <c r="C79" s="55" t="inlineStr">
        <is>
          <t>ШТ</t>
        </is>
      </c>
      <c r="D79" s="70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59" t="n"/>
    </row>
    <row r="80" ht="16.5" customHeight="1" s="13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42" t="n"/>
      <c r="F80" s="41" t="n"/>
      <c r="G80" s="42" t="n"/>
      <c r="H80" s="42" t="n"/>
      <c r="I80" s="42" t="n"/>
      <c r="J80" s="43" t="n"/>
    </row>
    <row r="81" ht="16.5" customHeight="1" s="131" thickTop="1">
      <c r="A81" s="56">
        <f>RIGHT(D81,4)</f>
        <v/>
      </c>
      <c r="B81" s="67" t="inlineStr">
        <is>
          <t>БАЛЫКОВАЯ Останкино в/к в/у</t>
        </is>
      </c>
      <c r="C81" s="55" t="inlineStr">
        <is>
          <t>КГ</t>
        </is>
      </c>
      <c r="D81" s="70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31">
      <c r="A82" s="56">
        <f>RIGHT(D82,4)</f>
        <v/>
      </c>
      <c r="B82" s="67" t="inlineStr">
        <is>
          <t>БАЛЫКОВАЯ Останкино в/к в/у 0.33кг 8шт.</t>
        </is>
      </c>
      <c r="C82" s="55" t="inlineStr">
        <is>
          <t>ШТ</t>
        </is>
      </c>
      <c r="D82" s="70" t="n">
        <v>1001303637603</v>
      </c>
      <c r="E82" s="24" t="n">
        <v>197</v>
      </c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31">
      <c r="A83" s="56">
        <f>RIGHT(D83,4)</f>
        <v/>
      </c>
      <c r="B83" s="67" t="inlineStr">
        <is>
          <t>БАЛЫКОВАЯ Коровино п/к в/у 0.84кг_50с</t>
        </is>
      </c>
      <c r="C83" s="55" t="inlineStr">
        <is>
          <t>ШТ</t>
        </is>
      </c>
      <c r="D83" s="70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59" t="n"/>
    </row>
    <row r="84" ht="16.5" customHeight="1" s="131">
      <c r="A84" s="56">
        <f>RIGHT(D84,4)</f>
        <v/>
      </c>
      <c r="B84" s="67" t="inlineStr">
        <is>
          <t>БАЛЫКОВАЯ ПМ п/к в/у 0.31кг 8шт_209к</t>
        </is>
      </c>
      <c r="C84" s="55" t="inlineStr">
        <is>
          <t>ШТ</t>
        </is>
      </c>
      <c r="D84" s="70" t="n">
        <v>1001303637233</v>
      </c>
      <c r="E84" s="24" t="n"/>
      <c r="F84" s="58" t="n">
        <v>0.31</v>
      </c>
      <c r="G84" s="23">
        <f>E84*F84</f>
        <v/>
      </c>
      <c r="H84" s="59" t="n">
        <v>2.48</v>
      </c>
      <c r="I84" s="59" t="n">
        <v>45</v>
      </c>
      <c r="J84" s="59" t="n"/>
    </row>
    <row r="85" ht="16.5" customHeight="1" s="131">
      <c r="A85" s="56">
        <f>RIGHT(D85,4)</f>
        <v/>
      </c>
      <c r="B85" s="67" t="inlineStr">
        <is>
          <t>БОЯNСКАЯ ПМ п/к в/у 0.28кг 8шт_209к</t>
        </is>
      </c>
      <c r="C85" s="55" t="inlineStr">
        <is>
          <t>ШТ</t>
        </is>
      </c>
      <c r="D85" s="70" t="n">
        <v>1001302277232</v>
      </c>
      <c r="E85" s="24" t="n">
        <v>181</v>
      </c>
      <c r="F85" s="58" t="n">
        <v>0.28</v>
      </c>
      <c r="G85" s="23">
        <f>E85*F85</f>
        <v/>
      </c>
      <c r="H85" s="59" t="n">
        <v>2.24</v>
      </c>
      <c r="I85" s="59" t="n">
        <v>50</v>
      </c>
      <c r="J85" s="59" t="n"/>
    </row>
    <row r="86" ht="16.5" customHeight="1" s="131">
      <c r="A86" s="56">
        <f>RIGHT(D86,4)</f>
        <v/>
      </c>
      <c r="B86" s="67" t="inlineStr">
        <is>
          <t>САЛЯМИ Папа может п/к в/у 0.28кг_209к</t>
        </is>
      </c>
      <c r="C86" s="55" t="inlineStr">
        <is>
          <t>ШТ</t>
        </is>
      </c>
      <c r="D86" s="70" t="n">
        <v>1001303107241</v>
      </c>
      <c r="E86" s="24" t="n">
        <v>78</v>
      </c>
      <c r="F86" s="58" t="n">
        <v>0.28</v>
      </c>
      <c r="G86" s="23">
        <f>E86*F86</f>
        <v/>
      </c>
      <c r="H86" s="59" t="n">
        <v>2.24</v>
      </c>
      <c r="I86" s="59" t="n">
        <v>45</v>
      </c>
      <c r="J86" s="59" t="n"/>
    </row>
    <row r="87" ht="16.5" customHeight="1" s="131">
      <c r="A87" s="56">
        <f>RIGHT(D87,4)</f>
        <v/>
      </c>
      <c r="B87" s="67" t="inlineStr">
        <is>
          <t>СЕРВЕЛАТ ЕВРОПЕЙСКИЙ в/к в/у 0.84кг</t>
        </is>
      </c>
      <c r="C87" s="55" t="inlineStr">
        <is>
          <t>КГ</t>
        </is>
      </c>
      <c r="D87" s="70" t="n">
        <v>1001300367133</v>
      </c>
      <c r="E87" s="24" t="n"/>
      <c r="F87" s="58" t="n">
        <v>0.84</v>
      </c>
      <c r="G87" s="23">
        <f>E87</f>
        <v/>
      </c>
      <c r="H87" s="59" t="n">
        <v>5.04</v>
      </c>
      <c r="I87" s="59" t="n">
        <v>45</v>
      </c>
      <c r="J87" s="59" t="n"/>
    </row>
    <row r="88" ht="16.5" customHeight="1" s="131">
      <c r="A88" s="56">
        <f>RIGHT(D88,4)</f>
        <v/>
      </c>
      <c r="B88" s="67" t="inlineStr">
        <is>
          <t>СЕРВЕЛАТ КРЕМЛЕВСКИЙ в/к в/у 0.84кг</t>
        </is>
      </c>
      <c r="C88" s="55" t="inlineStr">
        <is>
          <t>КГ</t>
        </is>
      </c>
      <c r="D88" s="70" t="n">
        <v>1001300456946</v>
      </c>
      <c r="E88" s="24" t="n"/>
      <c r="F88" s="58" t="n"/>
      <c r="G88" s="23">
        <f>E88</f>
        <v/>
      </c>
      <c r="H88" s="59" t="n"/>
      <c r="I88" s="59" t="n"/>
      <c r="J88" s="59" t="n"/>
    </row>
    <row r="89" ht="16.5" customHeight="1" s="131">
      <c r="A89" s="56">
        <f>RIGHT(D89,4)</f>
        <v/>
      </c>
      <c r="B89" s="67" t="inlineStr">
        <is>
          <t>СЕРВЕЛАТ ЕВРОПЕЙСКИЙ в/к в/у 0.33кг 8шт.</t>
        </is>
      </c>
      <c r="C89" s="55" t="inlineStr">
        <is>
          <t>ШТ</t>
        </is>
      </c>
      <c r="D89" s="70" t="n">
        <v>1001300366807</v>
      </c>
      <c r="E89" s="24" t="n">
        <v>30</v>
      </c>
      <c r="F89" s="58" t="n">
        <v>0.33</v>
      </c>
      <c r="G89" s="23">
        <f>E89*F89</f>
        <v/>
      </c>
      <c r="H89" s="59" t="n">
        <v>2.64</v>
      </c>
      <c r="I89" s="59" t="n">
        <v>45</v>
      </c>
      <c r="J89" s="59" t="n"/>
    </row>
    <row r="90" ht="16.5" customHeight="1" s="131">
      <c r="A90" s="56">
        <f>RIGHT(D90,4)</f>
        <v/>
      </c>
      <c r="B90" s="67" t="inlineStr">
        <is>
          <t>СЕРВЕЛАТ ЗЕРНИСТЫЙ ПМ в/к в/у 0.35кг_50с</t>
        </is>
      </c>
      <c r="C90" s="55" t="inlineStr">
        <is>
          <t>ШТ</t>
        </is>
      </c>
      <c r="D90" s="70" t="n">
        <v>1001300387154</v>
      </c>
      <c r="E90" s="24" t="n">
        <v>670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59" t="n"/>
    </row>
    <row r="91" ht="16.5" customHeight="1" s="131">
      <c r="A91" s="56">
        <f>RIGHT(D91,4)</f>
        <v/>
      </c>
      <c r="B91" s="67" t="inlineStr">
        <is>
          <t>СЕРВЕЛАТ ЗЕРНИСТЫЙ ПМ в/к в/у_50с</t>
        </is>
      </c>
      <c r="C91" s="55" t="inlineStr">
        <is>
          <t>КГ</t>
        </is>
      </c>
      <c r="D91" s="70" t="n">
        <v>1001300387157</v>
      </c>
      <c r="E91" s="24" t="n">
        <v>188</v>
      </c>
      <c r="F91" s="23" t="n">
        <v>0.63</v>
      </c>
      <c r="G91" s="23">
        <f>E91</f>
        <v/>
      </c>
      <c r="H91" s="14" t="n">
        <v>5.04</v>
      </c>
      <c r="I91" s="14" t="n">
        <v>50</v>
      </c>
      <c r="J91" s="59" t="n"/>
    </row>
    <row r="92" ht="16.5" customHeight="1" s="131">
      <c r="A92" s="56">
        <f>RIGHT(D92,4)</f>
        <v/>
      </c>
      <c r="B92" s="67" t="inlineStr">
        <is>
          <t>КРАКОВСКАЯ ГОСТ Останкино п/к н/о мгс</t>
        </is>
      </c>
      <c r="C92" s="55" t="inlineStr">
        <is>
          <t>КГ</t>
        </is>
      </c>
      <c r="D92" s="70" t="n">
        <v>1001307587562</v>
      </c>
      <c r="E92" s="24" t="n">
        <v>10</v>
      </c>
      <c r="F92" s="23" t="n"/>
      <c r="G92" s="23">
        <f>E92</f>
        <v/>
      </c>
      <c r="H92" s="14" t="n"/>
      <c r="I92" s="14" t="n"/>
      <c r="J92" s="59" t="n"/>
    </row>
    <row r="93" ht="16.5" customHeight="1" s="131">
      <c r="A93" s="56">
        <f>RIGHT(D93,4)</f>
        <v/>
      </c>
      <c r="B93" s="67" t="inlineStr">
        <is>
          <t>СЕРВЕЛАТ КАРЕЛЬСКИЙ в/к в/у 0.28кг_209к</t>
        </is>
      </c>
      <c r="C93" s="55" t="inlineStr">
        <is>
          <t>ШТ</t>
        </is>
      </c>
      <c r="D93" s="70" t="n">
        <v>1001304507236</v>
      </c>
      <c r="E93" s="24" t="n">
        <v>100</v>
      </c>
      <c r="F93" s="23" t="n">
        <v>0.28</v>
      </c>
      <c r="G93" s="23">
        <f>E93*F93</f>
        <v/>
      </c>
      <c r="H93" s="14" t="n">
        <v>2.24</v>
      </c>
      <c r="I93" s="14" t="n">
        <v>45</v>
      </c>
      <c r="J93" s="59" t="n"/>
    </row>
    <row r="94" ht="16.5" customHeight="1" s="131">
      <c r="A94" s="56">
        <f>RIGHT(D94,4)</f>
        <v/>
      </c>
      <c r="B94" s="67" t="inlineStr">
        <is>
          <t>СЫРРРВЕЛАТ Папа может в/к в/у 0.28кг 8шт</t>
        </is>
      </c>
      <c r="C94" s="55" t="inlineStr">
        <is>
          <t>ШТ</t>
        </is>
      </c>
      <c r="D94" s="70" t="n">
        <v>1001307357489</v>
      </c>
      <c r="E94" s="24" t="n"/>
      <c r="F94" s="23" t="n">
        <v>0.28</v>
      </c>
      <c r="G94" s="23">
        <f>E94*F94</f>
        <v/>
      </c>
      <c r="H94" s="14" t="n"/>
      <c r="I94" s="14" t="n"/>
      <c r="J94" s="59" t="n"/>
    </row>
    <row r="95" ht="16.5" customHeight="1" s="131">
      <c r="A95" s="56">
        <f>RIGHT(D95,4)</f>
        <v/>
      </c>
      <c r="B95" s="123" t="inlineStr">
        <is>
          <t>СЕРВЕЛАТ КРЕМЛЕВСКИЙ в/к в/у 0.33кг 8шт.</t>
        </is>
      </c>
      <c r="C95" s="55" t="inlineStr">
        <is>
          <t>ШТ</t>
        </is>
      </c>
      <c r="D95" s="70" t="n">
        <v>1001300456787</v>
      </c>
      <c r="E95" s="24" t="n">
        <v>193</v>
      </c>
      <c r="F95" s="23" t="n">
        <v>0.33</v>
      </c>
      <c r="G95" s="23">
        <f>E95*F95</f>
        <v/>
      </c>
      <c r="H95" s="14" t="n">
        <v>2.64</v>
      </c>
      <c r="I95" s="14" t="n">
        <v>45</v>
      </c>
      <c r="J95" s="59" t="n"/>
    </row>
    <row r="96" ht="16.5" customHeight="1" s="131">
      <c r="A96" s="56">
        <f>RIGHT(D96,4)</f>
        <v/>
      </c>
      <c r="B96" s="123" t="inlineStr">
        <is>
          <t>СЕРВЕЛАТ ОХОТНИЧИЙ ПМ в/к в/у_50с</t>
        </is>
      </c>
      <c r="C96" s="55" t="inlineStr">
        <is>
          <t>КГ</t>
        </is>
      </c>
      <c r="D96" s="70" t="n">
        <v>1001303987166</v>
      </c>
      <c r="E96" s="24" t="n">
        <v>176</v>
      </c>
      <c r="F96" s="23" t="n">
        <v>0.7</v>
      </c>
      <c r="G96" s="23">
        <f>E96</f>
        <v/>
      </c>
      <c r="H96" s="14" t="n">
        <v>5.6</v>
      </c>
      <c r="I96" s="14" t="n">
        <v>50</v>
      </c>
      <c r="J96" s="59" t="n"/>
    </row>
    <row r="97" ht="15.75" customHeight="1" s="131">
      <c r="A97" s="56">
        <f>RIGHT(D97,4)</f>
        <v/>
      </c>
      <c r="B97" s="67" t="inlineStr">
        <is>
          <t>СЕРВЕЛАТ ОХОТНИЧИЙ ПМ в/к в/у 0.35кг_50с</t>
        </is>
      </c>
      <c r="C97" s="55" t="inlineStr">
        <is>
          <t>ШТ</t>
        </is>
      </c>
      <c r="D97" s="70" t="n">
        <v>1001303987169</v>
      </c>
      <c r="E97" s="24" t="n">
        <v>732</v>
      </c>
      <c r="F97" s="23" t="n">
        <v>0.35</v>
      </c>
      <c r="G97" s="23">
        <f>E97*F97</f>
        <v/>
      </c>
      <c r="H97" s="14" t="n">
        <v>2.8</v>
      </c>
      <c r="I97" s="14" t="n">
        <v>50</v>
      </c>
      <c r="J97" s="59" t="n"/>
    </row>
    <row r="98" ht="15.75" customHeight="1" s="131">
      <c r="A98" s="56">
        <f>RIGHT(D98,4)</f>
        <v/>
      </c>
      <c r="B98" s="67" t="inlineStr">
        <is>
          <t>СЕРВЕЛАТ ФИНСКИЙ в/к в/у_45с</t>
        </is>
      </c>
      <c r="C98" s="55" t="inlineStr">
        <is>
          <t>КГ</t>
        </is>
      </c>
      <c r="D98" s="70" t="n">
        <v>1001051875544</v>
      </c>
      <c r="E98" s="24" t="n"/>
      <c r="F98" s="23" t="n">
        <v>0.8100000000000001</v>
      </c>
      <c r="G98" s="23">
        <f>E98</f>
        <v/>
      </c>
      <c r="H98" s="14" t="n">
        <v>4.86</v>
      </c>
      <c r="I98" s="14" t="n">
        <v>45</v>
      </c>
      <c r="J98" s="49" t="n"/>
    </row>
    <row r="99" ht="15.75" customHeight="1" s="131">
      <c r="A99" s="56">
        <f>RIGHT(D99,4)</f>
        <v/>
      </c>
      <c r="B99" s="67" t="inlineStr">
        <is>
          <t>СЕРВЕЛАТ ФИНСКИЙ ПМ в/к в/у 0.35кг 8шт.</t>
        </is>
      </c>
      <c r="C99" s="55" t="inlineStr">
        <is>
          <t>ШТ</t>
        </is>
      </c>
      <c r="D99" s="70" t="n">
        <v>1001301876697</v>
      </c>
      <c r="E99" s="24" t="n">
        <v>590</v>
      </c>
      <c r="F99" s="23" t="n">
        <v>0.35</v>
      </c>
      <c r="G99" s="23">
        <f>E99*F99</f>
        <v/>
      </c>
      <c r="H99" s="14" t="n">
        <v>2.8</v>
      </c>
      <c r="I99" s="14" t="n">
        <v>45</v>
      </c>
      <c r="J99" s="49" t="n"/>
    </row>
    <row r="100" ht="15.75" customHeight="1" s="131">
      <c r="A100" s="56">
        <f>RIGHT(D100,4)</f>
        <v/>
      </c>
      <c r="B100" s="67" t="inlineStr">
        <is>
          <t>СЕРВЕЛАТ ШВАРЦЕР ПМ в/к в/у 0.28кг_209к</t>
        </is>
      </c>
      <c r="C100" s="55" t="inlineStr">
        <is>
          <t>ШТ</t>
        </is>
      </c>
      <c r="D100" s="70" t="n">
        <v>1001304497237</v>
      </c>
      <c r="E100" s="24" t="n">
        <v>80</v>
      </c>
      <c r="F100" s="23" t="n">
        <v>0.28</v>
      </c>
      <c r="G100" s="23">
        <f>E100*F100</f>
        <v/>
      </c>
      <c r="H100" s="14" t="n">
        <v>2.24</v>
      </c>
      <c r="I100" s="14" t="n">
        <v>45</v>
      </c>
      <c r="J100" s="49" t="n"/>
    </row>
    <row r="101" ht="15.75" customHeight="1" s="131">
      <c r="A101" s="56">
        <f>RIGHT(D101,4)</f>
        <v/>
      </c>
      <c r="B101" s="67" t="inlineStr">
        <is>
          <t>СЕРВЕЛАТ ОРЕХОВЫЙ в/к в/у 0.31кг_209к</t>
        </is>
      </c>
      <c r="C101" s="55" t="inlineStr">
        <is>
          <t>ШТ</t>
        </is>
      </c>
      <c r="D101" s="70" t="n">
        <v>1001305197238</v>
      </c>
      <c r="E101" s="24" t="n"/>
      <c r="F101" s="23" t="n">
        <v>0.31</v>
      </c>
      <c r="G101" s="23">
        <f>E101*F101</f>
        <v/>
      </c>
      <c r="H101" s="14" t="n">
        <v>2.48</v>
      </c>
      <c r="I101" s="14" t="n">
        <v>45</v>
      </c>
      <c r="J101" s="49" t="n"/>
    </row>
    <row r="102" ht="15.75" customHeight="1" s="131">
      <c r="A102" s="56">
        <f>RIGHT(D102,4)</f>
        <v/>
      </c>
      <c r="B102" s="67" t="inlineStr">
        <is>
          <t>НОВОМОСКОВСКАЯ в/к в/у срез 0.31кг</t>
        </is>
      </c>
      <c r="C102" s="55" t="inlineStr">
        <is>
          <t>ШТ</t>
        </is>
      </c>
      <c r="D102" s="70" t="n">
        <v>1001307107516</v>
      </c>
      <c r="E102" s="24" t="n">
        <v>30</v>
      </c>
      <c r="F102" s="23" t="n">
        <v>0.31</v>
      </c>
      <c r="G102" s="23">
        <f>E102*F102</f>
        <v/>
      </c>
      <c r="H102" s="14" t="n"/>
      <c r="I102" s="14" t="n"/>
      <c r="J102" s="49" t="n"/>
    </row>
    <row r="103" ht="15.75" customHeight="1" s="131">
      <c r="A103" s="56">
        <f>RIGHT(D103,4)</f>
        <v/>
      </c>
      <c r="B103" s="67" t="inlineStr">
        <is>
          <t>ЧЕСНОЧНАЯ ПМ п/к в/у 0.35кг 8шт_50с</t>
        </is>
      </c>
      <c r="C103" s="55" t="inlineStr">
        <is>
          <t>ШТ</t>
        </is>
      </c>
      <c r="D103" s="70" t="n">
        <v>1001302347177</v>
      </c>
      <c r="E103" s="24" t="n"/>
      <c r="F103" s="23" t="n">
        <v>0.35</v>
      </c>
      <c r="G103" s="23">
        <f>E103*F103</f>
        <v/>
      </c>
      <c r="H103" s="14" t="n">
        <v>2.8</v>
      </c>
      <c r="I103" s="14" t="n">
        <v>50</v>
      </c>
      <c r="J103" s="49" t="n"/>
    </row>
    <row r="104" ht="15.75" customHeight="1" s="131">
      <c r="A104" s="56">
        <f>RIGHT(D104,4)</f>
        <v/>
      </c>
      <c r="B104" s="67" t="inlineStr">
        <is>
          <t>БОЯРСКАЯ ПМ п/к в/у 0.28кг_СНГ</t>
        </is>
      </c>
      <c r="C104" s="55" t="inlineStr">
        <is>
          <t>ШТ</t>
        </is>
      </c>
      <c r="D104" s="70" t="n">
        <v>1001301777332</v>
      </c>
      <c r="E104" s="24" t="n">
        <v>8</v>
      </c>
      <c r="F104" s="23" t="n">
        <v>0.28</v>
      </c>
      <c r="G104" s="23">
        <f>E104*F104</f>
        <v/>
      </c>
      <c r="H104" s="14" t="n">
        <v>2.24</v>
      </c>
      <c r="I104" s="14" t="n">
        <v>50</v>
      </c>
      <c r="J104" s="49" t="n"/>
    </row>
    <row r="105" ht="15.75" customHeight="1" s="131">
      <c r="A105" s="56">
        <f>RIGHT(D105,4)</f>
        <v/>
      </c>
      <c r="B105" s="67" t="inlineStr">
        <is>
          <t>ВОСКРЕСЕНСКАЯ ВЯЛЕНАЯ в/к в/у срез 1/260</t>
        </is>
      </c>
      <c r="C105" s="55" t="inlineStr">
        <is>
          <t>ШТ</t>
        </is>
      </c>
      <c r="D105" s="70" t="n">
        <v>1001307077513</v>
      </c>
      <c r="E105" s="24" t="n">
        <v>30</v>
      </c>
      <c r="F105" s="23" t="n">
        <v>0.26</v>
      </c>
      <c r="G105" s="23">
        <f>E105*F105</f>
        <v/>
      </c>
      <c r="H105" s="14" t="n"/>
      <c r="I105" s="14" t="n"/>
      <c r="J105" s="49" t="n"/>
    </row>
    <row r="106" ht="15.75" customHeight="1" s="131">
      <c r="A106" s="56">
        <f>RIGHT(D106,4)</f>
        <v/>
      </c>
      <c r="B106" s="67" t="inlineStr">
        <is>
          <t>СЕРВЕЛАТ ОХОТНИЧИЙ ПМ в/к в/у 0.28кг_СНГ</t>
        </is>
      </c>
      <c r="C106" s="55" t="inlineStr">
        <is>
          <t>ШТ</t>
        </is>
      </c>
      <c r="D106" s="70" t="n">
        <v>1001303987333</v>
      </c>
      <c r="E106" s="24" t="n"/>
      <c r="F106" s="23" t="n">
        <v>0.28</v>
      </c>
      <c r="G106" s="23">
        <f>E106*F106</f>
        <v/>
      </c>
      <c r="H106" s="14" t="n">
        <v>2.24</v>
      </c>
      <c r="I106" s="14" t="n">
        <v>50</v>
      </c>
      <c r="J106" s="49" t="n"/>
    </row>
    <row r="107" ht="15.75" customHeight="1" s="131">
      <c r="A107" s="56">
        <f>RIGHT(D107,4)</f>
        <v/>
      </c>
      <c r="B107" s="67" t="inlineStr">
        <is>
          <t>СЕРВЕЛАТ ШВЕЙЦАРСК.в/к с/н в/у 1/100_Л11</t>
        </is>
      </c>
      <c r="C107" s="55" t="inlineStr">
        <is>
          <t>ШТ</t>
        </is>
      </c>
      <c r="D107" s="70" t="n">
        <v>1001304197608</v>
      </c>
      <c r="E107" s="24" t="n"/>
      <c r="F107" s="23" t="n">
        <v>0.1</v>
      </c>
      <c r="G107" s="23">
        <f>E107*F107</f>
        <v/>
      </c>
      <c r="H107" s="14" t="n">
        <v>1</v>
      </c>
      <c r="I107" s="14" t="n">
        <v>45</v>
      </c>
      <c r="J107" s="52" t="inlineStr">
        <is>
          <t>Ротация кода 6459</t>
        </is>
      </c>
    </row>
    <row r="108" ht="15.75" customHeight="1" s="131" thickBot="1">
      <c r="A108" s="56">
        <f>RIGHT(D108,4)</f>
        <v/>
      </c>
      <c r="B108" s="67" t="inlineStr">
        <is>
          <t>СЕРВЕЛАТ БАВАРСКИЙ в/к с/н в/у 1/100_Л11</t>
        </is>
      </c>
      <c r="C108" s="55" t="inlineStr">
        <is>
          <t>ШТ</t>
        </is>
      </c>
      <c r="D108" s="70" t="n">
        <v>1001306717610</v>
      </c>
      <c r="E108" s="24" t="n"/>
      <c r="F108" s="23" t="n">
        <v>0.1</v>
      </c>
      <c r="G108" s="23">
        <f>E108*F108</f>
        <v/>
      </c>
      <c r="H108" s="14" t="n">
        <v>1</v>
      </c>
      <c r="I108" s="14" t="n">
        <v>45</v>
      </c>
      <c r="J108" s="52" t="inlineStr">
        <is>
          <t>Ротация кода 7474</t>
        </is>
      </c>
    </row>
    <row r="109" ht="16.5" customHeight="1" s="131" thickBot="1" thickTop="1">
      <c r="A109" s="47" t="inlineStr"/>
      <c r="B109" s="42" t="inlineStr">
        <is>
          <t>Сырокопченые колбасы</t>
        </is>
      </c>
      <c r="C109" s="42" t="n"/>
      <c r="D109" s="42" t="n"/>
      <c r="E109" s="42" t="n"/>
      <c r="F109" s="41" t="n"/>
      <c r="G109" s="42" t="n"/>
      <c r="H109" s="42" t="n"/>
      <c r="I109" s="42" t="n"/>
      <c r="J109" s="43" t="n"/>
      <c r="K109" s="60" t="n"/>
    </row>
    <row r="110" ht="16.5" customHeight="1" s="131" thickTop="1">
      <c r="A110" s="56">
        <f>RIGHT(D110,4)</f>
        <v/>
      </c>
      <c r="B110" s="67" t="inlineStr">
        <is>
          <t>АРОМАТНАЯ с/к в/у_А</t>
        </is>
      </c>
      <c r="C110" s="55" t="inlineStr">
        <is>
          <t>КГ</t>
        </is>
      </c>
      <c r="D110" s="70" t="n">
        <v>1001061973582</v>
      </c>
      <c r="E110" s="24" t="n"/>
      <c r="F110" s="58" t="n">
        <v>0.488</v>
      </c>
      <c r="G110" s="23">
        <f>E110</f>
        <v/>
      </c>
      <c r="H110" s="117" t="n">
        <v>3.9</v>
      </c>
      <c r="I110" s="116" t="n">
        <v>120</v>
      </c>
      <c r="J110" s="59" t="n"/>
      <c r="K110" s="60" t="n"/>
    </row>
    <row r="111" ht="16.5" customHeight="1" s="131">
      <c r="A111" s="56">
        <f>RIGHT(D111,4)</f>
        <v/>
      </c>
      <c r="B111" s="67" t="inlineStr">
        <is>
          <t>АРОМАТНАЯ с/к в/у 1/250 8шт.</t>
        </is>
      </c>
      <c r="C111" s="55" t="inlineStr">
        <is>
          <t>ШТ</t>
        </is>
      </c>
      <c r="D111" s="70" t="n">
        <v>1001061973986</v>
      </c>
      <c r="E111" s="24" t="n">
        <v>321</v>
      </c>
      <c r="F111" s="58" t="n">
        <v>0.25</v>
      </c>
      <c r="G111" s="23">
        <f>E111*F111</f>
        <v/>
      </c>
      <c r="H111" s="117" t="n">
        <v>2</v>
      </c>
      <c r="I111" s="116" t="n">
        <v>120</v>
      </c>
      <c r="J111" s="59" t="n"/>
      <c r="K111" s="60" t="n"/>
    </row>
    <row r="112" ht="16.5" customHeight="1" s="131">
      <c r="A112" s="56">
        <f>RIGHT(D112,4)</f>
        <v/>
      </c>
      <c r="B112" s="67" t="inlineStr">
        <is>
          <t>ОХОТНИЧЬЯ Папа может с/к в/у 1/220 8шт.</t>
        </is>
      </c>
      <c r="C112" s="55" t="inlineStr">
        <is>
          <t>ШТ</t>
        </is>
      </c>
      <c r="D112" s="70" t="n">
        <v>1001060755931</v>
      </c>
      <c r="E112" s="24" t="n">
        <v>194</v>
      </c>
      <c r="F112" s="23" t="n">
        <v>0.22</v>
      </c>
      <c r="G112" s="23">
        <f>E112*F112</f>
        <v/>
      </c>
      <c r="H112" s="115" t="n">
        <v>1.76</v>
      </c>
      <c r="I112" s="14" t="n">
        <v>120</v>
      </c>
      <c r="J112" s="59" t="n"/>
    </row>
    <row r="113" ht="16.5" customHeight="1" s="131">
      <c r="A113" s="56">
        <f>RIGHT(D113,4)</f>
        <v/>
      </c>
      <c r="B113" s="67" t="inlineStr">
        <is>
          <t>ПОСОЛЬСКАЯ Папа может с/к в/у</t>
        </is>
      </c>
      <c r="C113" s="55" t="inlineStr">
        <is>
          <t>КГ</t>
        </is>
      </c>
      <c r="D113" s="70" t="n">
        <v>1001063145708</v>
      </c>
      <c r="E113" s="24" t="n"/>
      <c r="F113" s="23" t="n">
        <v>0.5</v>
      </c>
      <c r="G113" s="23">
        <f>E113</f>
        <v/>
      </c>
      <c r="H113" s="14" t="n">
        <v>4</v>
      </c>
      <c r="I113" s="14" t="n">
        <v>120</v>
      </c>
      <c r="J113" s="59" t="n"/>
    </row>
    <row r="114" ht="16.5" customHeight="1" s="131">
      <c r="A114" s="56">
        <f>RIGHT(D114,4)</f>
        <v/>
      </c>
      <c r="B114" s="67" t="inlineStr">
        <is>
          <t>САЛЯМИ ИТАЛЬЯНСКАЯ с/к в/у</t>
        </is>
      </c>
      <c r="C114" s="55" t="inlineStr">
        <is>
          <t>КГ</t>
        </is>
      </c>
      <c r="D114" s="70" t="n">
        <v>1001060763287</v>
      </c>
      <c r="E114" s="24" t="n">
        <v>41</v>
      </c>
      <c r="F114" s="23" t="n">
        <v>0.488</v>
      </c>
      <c r="G114" s="23">
        <f>E114</f>
        <v/>
      </c>
      <c r="H114" s="14" t="n">
        <v>3.9</v>
      </c>
      <c r="I114" s="14" t="n">
        <v>120</v>
      </c>
      <c r="J114" s="59" t="n"/>
    </row>
    <row r="115" ht="16.5" customHeight="1" s="131">
      <c r="A115" s="56">
        <f>RIGHT(D115,4)</f>
        <v/>
      </c>
      <c r="B115" s="67" t="inlineStr">
        <is>
          <t>САЛЯМИ ИТАЛЬЯНСКАЯ с/к в/у 1/250*8_120с</t>
        </is>
      </c>
      <c r="C115" s="55" t="inlineStr">
        <is>
          <t>ШТ</t>
        </is>
      </c>
      <c r="D115" s="70" t="n">
        <v>1001060764993</v>
      </c>
      <c r="E115" s="24" t="n">
        <v>111</v>
      </c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59" t="n"/>
    </row>
    <row r="116" ht="16.5" customHeight="1" s="131">
      <c r="A116" s="56">
        <f>RIGHT(D116,4)</f>
        <v/>
      </c>
      <c r="B116" s="67" t="inlineStr">
        <is>
          <t>ЭКСТРА Папа может с/к в/у 1/250 8шт.</t>
        </is>
      </c>
      <c r="C116" s="55" t="inlineStr">
        <is>
          <t>ШТ</t>
        </is>
      </c>
      <c r="D116" s="70" t="n">
        <v>1001062505483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59" t="n"/>
    </row>
    <row r="117" ht="16.5" customHeight="1" s="131">
      <c r="A117" s="56">
        <f>RIGHT(D117,4)</f>
        <v/>
      </c>
      <c r="B117" s="67" t="inlineStr">
        <is>
          <t>ЭКСТРА Папа может с/к в/у_Л</t>
        </is>
      </c>
      <c r="C117" s="55" t="inlineStr">
        <is>
          <t>КГ</t>
        </is>
      </c>
      <c r="D117" s="70" t="n">
        <v>1001062504117</v>
      </c>
      <c r="E117" s="24" t="n">
        <v>60</v>
      </c>
      <c r="F117" s="23" t="n">
        <v>0.494</v>
      </c>
      <c r="G117" s="23">
        <f>E117</f>
        <v/>
      </c>
      <c r="H117" s="14" t="n">
        <v>3.95</v>
      </c>
      <c r="I117" s="14" t="n">
        <v>120</v>
      </c>
      <c r="J117" s="59" t="n"/>
    </row>
    <row r="118" ht="16.5" customHeight="1" s="131">
      <c r="A118" s="56">
        <f>RIGHT(D118,4)</f>
        <v/>
      </c>
      <c r="B118" s="67" t="inlineStr">
        <is>
          <t>ПРАЗДНИЧНАЯ с/к в/с дек.спец.мгс</t>
        </is>
      </c>
      <c r="C118" s="55" t="inlineStr">
        <is>
          <t>КГ</t>
        </is>
      </c>
      <c r="D118" s="70" t="n">
        <v>1001060720614</v>
      </c>
      <c r="E118" s="24" t="n"/>
      <c r="F118" s="23" t="n">
        <v>0.52</v>
      </c>
      <c r="G118" s="23">
        <f>E118</f>
        <v/>
      </c>
      <c r="H118" s="14" t="n">
        <v>3.64</v>
      </c>
      <c r="I118" s="14" t="n">
        <v>120</v>
      </c>
      <c r="J118" s="59" t="n"/>
    </row>
    <row r="119" ht="16.5" customHeight="1" s="131">
      <c r="A119" s="56">
        <f>RIGHT(D119,4)</f>
        <v/>
      </c>
      <c r="B119" s="67" t="inlineStr">
        <is>
          <t>БУРГУНДИЯ Папа может с/к в/у 1/250 8шт.</t>
        </is>
      </c>
      <c r="C119" s="55" t="inlineStr">
        <is>
          <t>ШТ</t>
        </is>
      </c>
      <c r="D119" s="70" t="n">
        <v>1001063656967</v>
      </c>
      <c r="E119" s="24" t="n">
        <v>107</v>
      </c>
      <c r="F119" s="23" t="n">
        <v>0.25</v>
      </c>
      <c r="G119" s="23">
        <f>E119*F119</f>
        <v/>
      </c>
      <c r="H119" s="14" t="n">
        <v>2</v>
      </c>
      <c r="I119" s="14" t="n">
        <v>120</v>
      </c>
      <c r="J119" s="59" t="n"/>
    </row>
    <row r="120" ht="16.5" customHeight="1" s="131">
      <c r="A120" s="56">
        <f>RIGHT(D120,4)</f>
        <v/>
      </c>
      <c r="B120" s="67" t="inlineStr">
        <is>
          <t>САЛЯМИ Папа может с/к в/у 1/250 8шт.</t>
        </is>
      </c>
      <c r="C120" s="55" t="inlineStr">
        <is>
          <t>ШТ</t>
        </is>
      </c>
      <c r="D120" s="70" t="n">
        <v>1001063106937</v>
      </c>
      <c r="E120" s="24" t="n"/>
      <c r="F120" s="23" t="n">
        <v>0.25</v>
      </c>
      <c r="G120" s="23">
        <f>E120*F120</f>
        <v/>
      </c>
      <c r="H120" s="14" t="n">
        <v>2</v>
      </c>
      <c r="I120" s="14" t="n">
        <v>120</v>
      </c>
      <c r="J120" s="59" t="n"/>
    </row>
    <row r="121" ht="16.5" customHeight="1" s="131">
      <c r="A121" s="56">
        <f>RIGHT(D121,4)</f>
        <v/>
      </c>
      <c r="B121" s="67" t="inlineStr">
        <is>
          <t>БРАУНШВЕЙГСКАЯ ГОСТ с/к в/у 1/220 8шт.</t>
        </is>
      </c>
      <c r="C121" s="55" t="inlineStr">
        <is>
          <t>ШТ</t>
        </is>
      </c>
      <c r="D121" s="70" t="n">
        <v>1001060717143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120</v>
      </c>
      <c r="J121" s="59" t="n"/>
    </row>
    <row r="122" ht="16.5" customHeight="1" s="131">
      <c r="A122" s="56">
        <f>RIGHT(D122,4)</f>
        <v/>
      </c>
      <c r="B122" s="67" t="inlineStr">
        <is>
          <t>САЛЬЧИЧОН Останкино с/к в/у 1/220 8шт.</t>
        </is>
      </c>
      <c r="C122" s="55" t="inlineStr">
        <is>
          <t>ШТ</t>
        </is>
      </c>
      <c r="D122" s="70" t="n">
        <v>1001063237147</v>
      </c>
      <c r="E122" s="24" t="n"/>
      <c r="F122" s="23" t="n">
        <v>0.22</v>
      </c>
      <c r="G122" s="23">
        <f>E122*F122</f>
        <v/>
      </c>
      <c r="H122" s="14" t="n">
        <v>1.76</v>
      </c>
      <c r="I122" s="14" t="n">
        <v>120</v>
      </c>
      <c r="J122" s="59" t="n"/>
    </row>
    <row r="123" ht="16.5" customHeight="1" s="131">
      <c r="A123" s="56">
        <f>RIGHT(D123,4)</f>
        <v/>
      </c>
      <c r="B123" s="67" t="inlineStr">
        <is>
          <t>САЛЯМИ ФИНСКАЯ Папа может с/к в/у 1/150</t>
        </is>
      </c>
      <c r="C123" s="55" t="inlineStr">
        <is>
          <t>ШТ</t>
        </is>
      </c>
      <c r="D123" s="70" t="n">
        <v>1001063097456</v>
      </c>
      <c r="E123" s="24" t="n"/>
      <c r="F123" s="23" t="n">
        <v>0.15</v>
      </c>
      <c r="G123" s="23">
        <f>E123*F123</f>
        <v/>
      </c>
      <c r="H123" s="14" t="n">
        <v>1.8</v>
      </c>
      <c r="I123" s="14" t="n">
        <v>90</v>
      </c>
      <c r="J123" s="59" t="n"/>
    </row>
    <row r="124" ht="16.5" customHeight="1" s="131">
      <c r="A124" s="56">
        <f>RIGHT(D124,4)</f>
        <v/>
      </c>
      <c r="B124" s="67" t="inlineStr">
        <is>
          <t>ЧОРИЗО Останкино с/к в/у 1/220 8шт.</t>
        </is>
      </c>
      <c r="C124" s="55" t="inlineStr">
        <is>
          <t>ШТ</t>
        </is>
      </c>
      <c r="D124" s="70" t="n">
        <v>1001063217364</v>
      </c>
      <c r="E124" s="24" t="n"/>
      <c r="F124" s="23" t="n">
        <v>0.22</v>
      </c>
      <c r="G124" s="23">
        <f>E124*F124</f>
        <v/>
      </c>
      <c r="H124" s="14" t="n">
        <v>1.76</v>
      </c>
      <c r="I124" s="14" t="n">
        <v>90</v>
      </c>
      <c r="J124" s="59" t="n"/>
    </row>
    <row r="125" ht="16.5" customHeight="1" s="131">
      <c r="A125" s="56">
        <f>RIGHT(D125,4)</f>
        <v/>
      </c>
      <c r="B125" s="67" t="inlineStr">
        <is>
          <t>САН-РЕМО Останкино с/в в/у 1/220 8шт.</t>
        </is>
      </c>
      <c r="C125" s="55" t="inlineStr">
        <is>
          <t>ШТ</t>
        </is>
      </c>
      <c r="D125" s="70" t="n">
        <v>1001065467383</v>
      </c>
      <c r="E125" s="24" t="n"/>
      <c r="F125" s="23" t="n">
        <v>0.22</v>
      </c>
      <c r="G125" s="23">
        <f>E125*F125</f>
        <v/>
      </c>
      <c r="H125" s="14" t="n">
        <v>1.76</v>
      </c>
      <c r="I125" s="14" t="n">
        <v>90</v>
      </c>
      <c r="J125" s="59" t="n"/>
    </row>
    <row r="126" ht="16.5" customHeight="1" s="131">
      <c r="A126" s="56">
        <f>RIGHT(D126,4)</f>
        <v/>
      </c>
      <c r="B126" s="67" t="inlineStr">
        <is>
          <t>ПРЕСИЖН с/к дек.спец. мгс 0.54кг</t>
        </is>
      </c>
      <c r="C126" s="55" t="inlineStr">
        <is>
          <t>ШТ</t>
        </is>
      </c>
      <c r="D126" s="70" t="n">
        <v>1001066567317</v>
      </c>
      <c r="E126" s="24" t="n"/>
      <c r="F126" s="23" t="n">
        <v>0.54</v>
      </c>
      <c r="G126" s="23">
        <f>E126*F126</f>
        <v/>
      </c>
      <c r="H126" s="14" t="n">
        <v>3.78</v>
      </c>
      <c r="I126" s="14" t="n">
        <v>120</v>
      </c>
      <c r="J126" s="59" t="n"/>
    </row>
    <row r="127" ht="16.5" customHeight="1" s="131">
      <c r="A127" s="56">
        <f>RIGHT(D127,4)</f>
        <v/>
      </c>
      <c r="B127" s="67" t="inlineStr">
        <is>
          <t>ПРАЗДНИЧНАЯ с/к в/с дек.спец. мгс 1/270</t>
        </is>
      </c>
      <c r="C127" s="55" t="inlineStr">
        <is>
          <t>ШТ</t>
        </is>
      </c>
      <c r="D127" s="70" t="n">
        <v>1001060727318</v>
      </c>
      <c r="E127" s="24" t="n"/>
      <c r="F127" s="23" t="n">
        <v>0.27</v>
      </c>
      <c r="G127" s="23">
        <f>E127*F127</f>
        <v/>
      </c>
      <c r="H127" s="14" t="n">
        <v>2.16</v>
      </c>
      <c r="I127" s="14" t="n">
        <v>120</v>
      </c>
      <c r="J127" s="59" t="n"/>
    </row>
    <row r="128" ht="16.5" customHeight="1" s="131">
      <c r="A128" s="56">
        <f>RIGHT(D128,4)</f>
        <v/>
      </c>
      <c r="B128" s="67" t="inlineStr">
        <is>
          <t>ПРАЗДНИЧНАЯ с/к в/с дек.спец. мгс 0.54кг</t>
        </is>
      </c>
      <c r="C128" s="55" t="inlineStr">
        <is>
          <t>ШТ</t>
        </is>
      </c>
      <c r="D128" s="70" t="n">
        <v>1001060727316</v>
      </c>
      <c r="E128" s="24" t="n"/>
      <c r="F128" s="23" t="n">
        <v>0.54</v>
      </c>
      <c r="G128" s="23">
        <f>E128*F128</f>
        <v/>
      </c>
      <c r="H128" s="14" t="n">
        <v>3.78</v>
      </c>
      <c r="I128" s="14" t="n">
        <v>120</v>
      </c>
      <c r="J128" s="59" t="n"/>
    </row>
    <row r="129" ht="16.5" customHeight="1" s="131">
      <c r="A129" s="56">
        <f>RIGHT(D129,4)</f>
        <v/>
      </c>
      <c r="B129" s="67" t="inlineStr">
        <is>
          <t>АССОРТИ СЫРОКОПЧЕНЫХ КОЛБАС Коровино в/у</t>
        </is>
      </c>
      <c r="C129" s="55" t="inlineStr">
        <is>
          <t>КГ</t>
        </is>
      </c>
      <c r="D129" s="70" t="n">
        <v>1001065616832</v>
      </c>
      <c r="E129" s="24" t="n"/>
      <c r="F129" s="23" t="n">
        <v>0.215</v>
      </c>
      <c r="G129" s="23">
        <f>E129</f>
        <v/>
      </c>
      <c r="H129" s="14" t="n">
        <v>2.15</v>
      </c>
      <c r="I129" s="14" t="n">
        <v>30</v>
      </c>
      <c r="J129" s="59" t="n"/>
    </row>
    <row r="130" ht="16.5" customHeight="1" s="131">
      <c r="A130" s="56">
        <f>RIGHT(D130,4)</f>
        <v/>
      </c>
      <c r="B130" s="67" t="inlineStr">
        <is>
          <t>НАБОР ДЛЯ ПИЦЦЫ Папа Может с/к в/у</t>
        </is>
      </c>
      <c r="C130" s="55" t="inlineStr">
        <is>
          <t>КГ</t>
        </is>
      </c>
      <c r="D130" s="70" t="n">
        <v>1001060677299</v>
      </c>
      <c r="E130" s="24" t="n">
        <v>160</v>
      </c>
      <c r="F130" s="23" t="n">
        <v>0.215</v>
      </c>
      <c r="G130" s="23">
        <f>E130</f>
        <v/>
      </c>
      <c r="H130" s="14" t="n">
        <v>2.15</v>
      </c>
      <c r="I130" s="14" t="n">
        <v>30</v>
      </c>
      <c r="J130" s="59" t="n"/>
    </row>
    <row r="131" ht="16.5" customHeight="1" s="131">
      <c r="A131" s="56">
        <f>RIGHT(D131,4)</f>
        <v/>
      </c>
      <c r="B131" s="67" t="inlineStr">
        <is>
          <t>БАРСЕЛОНА ПМ с/к в/у 1/150</t>
        </is>
      </c>
      <c r="C131" s="55" t="inlineStr">
        <is>
          <t>ШТ</t>
        </is>
      </c>
      <c r="D131" s="70" t="n">
        <v>1001067017386</v>
      </c>
      <c r="E131" s="24" t="n"/>
      <c r="F131" s="23" t="n">
        <v>0.15</v>
      </c>
      <c r="G131" s="23">
        <f>E131*F131</f>
        <v/>
      </c>
      <c r="H131" s="14" t="n">
        <v>1.35</v>
      </c>
      <c r="I131" s="14" t="n">
        <v>90</v>
      </c>
      <c r="J131" s="59" t="n"/>
    </row>
    <row r="132" ht="16.5" customHeight="1" s="131">
      <c r="A132" s="56">
        <f>RIGHT(D132,4)</f>
        <v/>
      </c>
      <c r="B132" s="67" t="inlineStr">
        <is>
          <t>АРОМАТНАЯ с/к с/н в/у 1/100 10шт_Л10 (7613)</t>
        </is>
      </c>
      <c r="C132" s="55" t="inlineStr">
        <is>
          <t>ШТ</t>
        </is>
      </c>
      <c r="D132" s="70" t="n">
        <v>1001061977613</v>
      </c>
      <c r="E132" s="24" t="n"/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52" t="inlineStr">
        <is>
          <t>Ротация кода 6454</t>
        </is>
      </c>
    </row>
    <row r="133" ht="16.5" customHeight="1" s="131">
      <c r="A133" s="56">
        <f>RIGHT(D133,4)</f>
        <v/>
      </c>
      <c r="B133" s="134" t="inlineStr">
        <is>
          <t>ПОСОЛЬСКАЯ ПМ с/к с/н в/у 1/100 10шт.</t>
        </is>
      </c>
      <c r="C133" s="135" t="inlineStr">
        <is>
          <t>ШТ</t>
        </is>
      </c>
      <c r="D133" s="136" t="n">
        <v>1001203146834</v>
      </c>
      <c r="E133" s="137" t="n"/>
      <c r="F133" s="138" t="n">
        <v>0.1</v>
      </c>
      <c r="G133" s="138">
        <f>E133*F133</f>
        <v/>
      </c>
      <c r="H133" s="139" t="n">
        <v>1</v>
      </c>
      <c r="I133" s="139" t="n">
        <v>60</v>
      </c>
      <c r="J133" s="139" t="inlineStr">
        <is>
          <t>Заблокирован</t>
        </is>
      </c>
    </row>
    <row r="134" ht="16.5" customHeight="1" s="131">
      <c r="A134" s="56">
        <f>RIGHT(D134,4)</f>
        <v/>
      </c>
      <c r="B134" s="67" t="inlineStr">
        <is>
          <t>САЛЯМИ МЕЛКОЗЕРНЕНАЯ с/к в/у 1/120 8шт.</t>
        </is>
      </c>
      <c r="C134" s="55" t="inlineStr">
        <is>
          <t>ШТ</t>
        </is>
      </c>
      <c r="D134" s="70" t="n">
        <v>1001203117382</v>
      </c>
      <c r="E134" s="24" t="n"/>
      <c r="F134" s="23" t="n">
        <v>0.12</v>
      </c>
      <c r="G134" s="23">
        <f>E134*F134</f>
        <v/>
      </c>
      <c r="H134" s="14" t="n">
        <v>0.96</v>
      </c>
      <c r="I134" s="14" t="n">
        <v>60</v>
      </c>
      <c r="J134" s="59" t="n"/>
    </row>
    <row r="135" ht="16.5" customHeight="1" s="131">
      <c r="A135" s="56">
        <f>RIGHT(D135,4)</f>
        <v/>
      </c>
      <c r="B135" s="67" t="inlineStr">
        <is>
          <t>ЭКСТРА Папа может с/к с/н в/у 1/100_Л10</t>
        </is>
      </c>
      <c r="C135" s="55" t="inlineStr">
        <is>
          <t>ШТ</t>
        </is>
      </c>
      <c r="D135" s="70" t="n">
        <v>1001062507616</v>
      </c>
      <c r="E135" s="24" t="n">
        <v>81</v>
      </c>
      <c r="F135" s="23" t="n">
        <v>0.1</v>
      </c>
      <c r="G135" s="23">
        <f>E135*F135</f>
        <v/>
      </c>
      <c r="H135" s="14" t="n">
        <v>1.4</v>
      </c>
      <c r="I135" s="14" t="n">
        <v>60</v>
      </c>
      <c r="J135" s="52" t="inlineStr">
        <is>
          <t>Ротация кода 6453</t>
        </is>
      </c>
    </row>
    <row r="136" ht="16.5" customHeight="1" s="131">
      <c r="A136" s="56">
        <f>RIGHT(D136,4)</f>
        <v/>
      </c>
      <c r="B136" s="67" t="inlineStr">
        <is>
          <t>НЕАПОЛИТАНСКИЙ ДУЭТ с/к с/н мгс 1/90</t>
        </is>
      </c>
      <c r="C136" s="55" t="inlineStr">
        <is>
          <t>ШТ</t>
        </is>
      </c>
      <c r="D136" s="70" t="n">
        <v>1001205376221</v>
      </c>
      <c r="E136" s="24" t="n">
        <v>363</v>
      </c>
      <c r="F136" s="23" t="n">
        <v>0.09</v>
      </c>
      <c r="G136" s="23">
        <f>E136*F136</f>
        <v/>
      </c>
      <c r="H136" s="14" t="n">
        <v>0.9</v>
      </c>
      <c r="I136" s="14" t="n">
        <v>60</v>
      </c>
      <c r="J136" s="59" t="n"/>
    </row>
    <row r="137" ht="16.5" customHeight="1" s="131">
      <c r="A137" s="56">
        <f>RIGHT(D137,4)</f>
        <v/>
      </c>
      <c r="B137" s="67" t="inlineStr">
        <is>
          <t>ИТАЛЬЯНСКОЕ АССОРТИ с/в с/н мгс 1/90</t>
        </is>
      </c>
      <c r="C137" s="55" t="inlineStr">
        <is>
          <t>ШТ</t>
        </is>
      </c>
      <c r="D137" s="70" t="n">
        <v>1001205386222</v>
      </c>
      <c r="E137" s="24" t="n"/>
      <c r="F137" s="23" t="n">
        <v>0.09</v>
      </c>
      <c r="G137" s="23">
        <f>E137*F137</f>
        <v/>
      </c>
      <c r="H137" s="14" t="n">
        <v>0.9</v>
      </c>
      <c r="I137" s="14" t="n">
        <v>60</v>
      </c>
      <c r="J137" s="59" t="n"/>
    </row>
    <row r="138" ht="16.5" customHeight="1" s="131">
      <c r="A138" s="56">
        <f>RIGHT(D138,4)</f>
        <v/>
      </c>
      <c r="B138" s="67" t="inlineStr">
        <is>
          <t>САЛЬЧИЧОН ПРЕМИУМ с/к с/н мгс 1/70 14шт.</t>
        </is>
      </c>
      <c r="C138" s="55" t="inlineStr">
        <is>
          <t>ШТ</t>
        </is>
      </c>
      <c r="D138" s="70" t="n">
        <v>1001206356965</v>
      </c>
      <c r="E138" s="24" t="n"/>
      <c r="F138" s="23" t="n">
        <v>0.07000000000000001</v>
      </c>
      <c r="G138" s="23">
        <f>E138*F138</f>
        <v/>
      </c>
      <c r="H138" s="14" t="n">
        <v>0.98</v>
      </c>
      <c r="I138" s="14" t="n">
        <v>60</v>
      </c>
      <c r="J138" s="59" t="n"/>
    </row>
    <row r="139" ht="16.5" customHeight="1" s="131">
      <c r="A139" s="56">
        <f>RIGHT(D139,4)</f>
        <v/>
      </c>
      <c r="B139" s="67" t="inlineStr">
        <is>
          <t>ОХОТНИЧЬЯ ПМ с/к с/н в/у 1/100 10шт.</t>
        </is>
      </c>
      <c r="C139" s="55" t="inlineStr">
        <is>
          <t>ШТ</t>
        </is>
      </c>
      <c r="D139" s="70" t="n">
        <v>1001200756557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59" t="n"/>
    </row>
    <row r="140" ht="16.5" customHeight="1" s="131">
      <c r="A140" s="56">
        <f>RIGHT(D140,4)</f>
        <v/>
      </c>
      <c r="B140" s="67" t="inlineStr">
        <is>
          <t>САЛЯМИ ИТАЛЬЯНСКАЯ с/к в/у 1/150_60с</t>
        </is>
      </c>
      <c r="C140" s="55" t="inlineStr">
        <is>
          <t>ШТ</t>
        </is>
      </c>
      <c r="D140" s="70" t="n">
        <v>1001190765679</v>
      </c>
      <c r="E140" s="24" t="n"/>
      <c r="F140" s="23" t="n">
        <v>0.15</v>
      </c>
      <c r="G140" s="23">
        <f>E140*F140</f>
        <v/>
      </c>
      <c r="H140" s="14" t="n">
        <v>1.2</v>
      </c>
      <c r="I140" s="14" t="n">
        <v>60</v>
      </c>
      <c r="J140" s="59" t="n"/>
    </row>
    <row r="141" ht="16.5" customHeight="1" s="131" thickBot="1">
      <c r="A141" s="56">
        <f>RIGHT(D141,4)</f>
        <v/>
      </c>
      <c r="B141" s="67" t="inlineStr">
        <is>
          <t>БРАУНШВЕЙГСКАЯ с/к с/н мгс 1/100_Л10</t>
        </is>
      </c>
      <c r="C141" s="55" t="inlineStr">
        <is>
          <t>ШТ</t>
        </is>
      </c>
      <c r="D141" s="70" t="n">
        <v>1001066607626</v>
      </c>
      <c r="E141" s="24" t="n"/>
      <c r="F141" s="23" t="n">
        <v>0.1</v>
      </c>
      <c r="G141" s="23">
        <f>E141*F141</f>
        <v/>
      </c>
      <c r="H141" s="14" t="n">
        <v>1</v>
      </c>
      <c r="I141" s="14" t="n">
        <v>60</v>
      </c>
      <c r="J141" s="52" t="inlineStr">
        <is>
          <t>Ротация кода 5677</t>
        </is>
      </c>
    </row>
    <row r="142" ht="16.5" customHeight="1" s="131" thickBot="1" thickTop="1">
      <c r="A142" s="47" t="inlineStr"/>
      <c r="B142" s="42" t="inlineStr">
        <is>
          <t>Ветчины</t>
        </is>
      </c>
      <c r="C142" s="42" t="n"/>
      <c r="D142" s="42" t="n"/>
      <c r="E142" s="42" t="n"/>
      <c r="F142" s="41" t="n"/>
      <c r="G142" s="42" t="n"/>
      <c r="H142" s="42" t="n"/>
      <c r="I142" s="42" t="n"/>
      <c r="J142" s="43" t="n"/>
    </row>
    <row r="143" ht="16.15" customHeight="1" s="131" thickTop="1">
      <c r="A143" s="56">
        <f>RIGHT(D143,4)</f>
        <v/>
      </c>
      <c r="B143" s="122" t="inlineStr">
        <is>
          <t xml:space="preserve">ВЕТЧ.ИЗ ЛОПАТКИ Папа может п/о_HRC </t>
        </is>
      </c>
      <c r="C143" s="55" t="inlineStr">
        <is>
          <t>КГ</t>
        </is>
      </c>
      <c r="D143" s="120" t="n">
        <v>1001092674584</v>
      </c>
      <c r="E143" s="24" t="n"/>
      <c r="F143" s="23" t="n">
        <v>2.5</v>
      </c>
      <c r="G143" s="23">
        <f>E143</f>
        <v/>
      </c>
      <c r="H143" s="14" t="n">
        <v>7.5</v>
      </c>
      <c r="I143" s="14" t="n">
        <v>60</v>
      </c>
      <c r="J143" s="59" t="n"/>
    </row>
    <row r="144" ht="16.15" customHeight="1" s="131">
      <c r="A144" s="56">
        <f>RIGHT(D144,4)</f>
        <v/>
      </c>
      <c r="B144" s="122" t="inlineStr">
        <is>
          <t>ВЕТЧ.МРАМОРНАЯ в/у срез 0.3кг 6шт_45с</t>
        </is>
      </c>
      <c r="C144" s="55" t="inlineStr">
        <is>
          <t>ШТ</t>
        </is>
      </c>
      <c r="D144" s="70" t="n">
        <v>1001092436495</v>
      </c>
      <c r="E144" s="24" t="n"/>
      <c r="F144" s="58" t="n">
        <v>0.3</v>
      </c>
      <c r="G144" s="23">
        <f>E144*F144</f>
        <v/>
      </c>
      <c r="H144" s="59" t="n">
        <v>1.8</v>
      </c>
      <c r="I144" s="59" t="n">
        <v>45</v>
      </c>
      <c r="J144" s="59" t="n"/>
      <c r="K144" s="60" t="n"/>
    </row>
    <row r="145" ht="16.15" customHeight="1" s="131">
      <c r="A145" s="56">
        <f>RIGHT(D145,4)</f>
        <v/>
      </c>
      <c r="B145" s="118" t="inlineStr">
        <is>
          <t>ВЕТЧ.МРАМОРНАЯ в/у_45с</t>
        </is>
      </c>
      <c r="C145" s="55" t="inlineStr">
        <is>
          <t>КГ</t>
        </is>
      </c>
      <c r="D145" s="70" t="n">
        <v>1001092436470</v>
      </c>
      <c r="E145" s="24" t="n"/>
      <c r="F145" s="58" t="n">
        <v>1.2</v>
      </c>
      <c r="G145" s="23">
        <f>E145</f>
        <v/>
      </c>
      <c r="H145" s="59" t="n">
        <v>4.8</v>
      </c>
      <c r="I145" s="59" t="n">
        <v>45</v>
      </c>
      <c r="J145" s="59" t="n"/>
      <c r="K145" s="60" t="n"/>
    </row>
    <row r="146" ht="16.15" customHeight="1" s="131">
      <c r="A146" s="56">
        <f>RIGHT(D146,4)</f>
        <v/>
      </c>
      <c r="B146" s="118" t="inlineStr">
        <is>
          <t>ВЕТЧ.МЯСНАЯ Папа может п/о</t>
        </is>
      </c>
      <c r="C146" s="55" t="inlineStr">
        <is>
          <t>КГ</t>
        </is>
      </c>
      <c r="D146" s="70" t="n">
        <v>1001092485452</v>
      </c>
      <c r="E146" s="24" t="n">
        <v>8</v>
      </c>
      <c r="F146" s="58" t="n">
        <v>1.35</v>
      </c>
      <c r="G146" s="23">
        <f>E146</f>
        <v/>
      </c>
      <c r="H146" s="59" t="n">
        <v>4.05</v>
      </c>
      <c r="I146" s="59" t="n">
        <v>60</v>
      </c>
      <c r="J146" s="59" t="n"/>
      <c r="K146" s="60" t="n"/>
    </row>
    <row r="147" ht="16.15" customHeight="1" s="131">
      <c r="A147" s="56">
        <f>RIGHT(D147,4)</f>
        <v/>
      </c>
      <c r="B147" s="118" t="inlineStr">
        <is>
          <t>ВЕТЧ.МЯСНАЯ Папа может п/о 0.4кг 8шт.</t>
        </is>
      </c>
      <c r="C147" s="55" t="inlineStr">
        <is>
          <t>ШТ</t>
        </is>
      </c>
      <c r="D147" s="70" t="n">
        <v>1001094053215</v>
      </c>
      <c r="E147" s="24" t="n">
        <v>207</v>
      </c>
      <c r="F147" s="58" t="n">
        <v>0.4</v>
      </c>
      <c r="G147" s="23">
        <f>E147*F147</f>
        <v/>
      </c>
      <c r="H147" s="59" t="n">
        <v>3.2</v>
      </c>
      <c r="I147" s="59" t="n">
        <v>60</v>
      </c>
      <c r="J147" s="59" t="n"/>
      <c r="K147" s="60" t="n"/>
    </row>
    <row r="148" ht="16.15" customHeight="1" s="131">
      <c r="A148" s="56">
        <f>RIGHT(D148,4)</f>
        <v/>
      </c>
      <c r="B148" s="118" t="inlineStr">
        <is>
          <t>ВЕТЧ.НЕЖНАЯ Коровино п/о_Маяк</t>
        </is>
      </c>
      <c r="C148" s="55" t="inlineStr">
        <is>
          <t>КГ</t>
        </is>
      </c>
      <c r="D148" s="70" t="n">
        <v>1001095716866</v>
      </c>
      <c r="E148" s="24" t="n">
        <v>11</v>
      </c>
      <c r="F148" s="58" t="n">
        <v>1.5</v>
      </c>
      <c r="G148" s="23">
        <f>E148</f>
        <v/>
      </c>
      <c r="H148" s="59" t="n">
        <v>6</v>
      </c>
      <c r="I148" s="59" t="n">
        <v>60</v>
      </c>
      <c r="J148" s="59" t="n"/>
      <c r="K148" s="60" t="n"/>
    </row>
    <row r="149" ht="16.5" customHeight="1" s="131">
      <c r="A149" s="56">
        <f>RIGHT(D149,4)</f>
        <v/>
      </c>
      <c r="B149" s="67" t="inlineStr">
        <is>
          <t>ВЕТЧ.С ИНДЕЙКОЙ Папа может п/о 400*6</t>
        </is>
      </c>
      <c r="C149" s="55" t="inlineStr">
        <is>
          <t>ШТ</t>
        </is>
      </c>
      <c r="D149" s="119" t="n">
        <v>1001093345495</v>
      </c>
      <c r="E149" s="24" t="n">
        <v>146</v>
      </c>
      <c r="F149" s="58" t="n">
        <v>0.4</v>
      </c>
      <c r="G149" s="23">
        <f>E149*F149</f>
        <v/>
      </c>
      <c r="H149" s="59" t="n">
        <v>2.4</v>
      </c>
      <c r="I149" s="59" t="n">
        <v>60</v>
      </c>
      <c r="J149" s="59" t="n"/>
      <c r="K149" s="60" t="n"/>
    </row>
    <row r="150" ht="16.5" customHeight="1" s="131">
      <c r="A150" s="56">
        <f>RIGHT(D150,4)</f>
        <v/>
      </c>
      <c r="B150" s="67" t="inlineStr">
        <is>
          <t>ВЕТЧ.С ИНДЕЙКОЙ ПМ в/у срез 0.3кг 6шт.</t>
        </is>
      </c>
      <c r="C150" s="55" t="inlineStr">
        <is>
          <t>ШТ</t>
        </is>
      </c>
      <c r="D150" s="119" t="n">
        <v>1001095027377</v>
      </c>
      <c r="E150" s="24" t="n"/>
      <c r="F150" s="58" t="n">
        <v>0.3</v>
      </c>
      <c r="G150" s="23">
        <f>E150*F150</f>
        <v/>
      </c>
      <c r="H150" s="59" t="n">
        <v>1.8</v>
      </c>
      <c r="I150" s="59" t="n">
        <v>45</v>
      </c>
      <c r="J150" s="59" t="n"/>
      <c r="K150" s="60" t="n"/>
    </row>
    <row r="151" ht="16.5" customHeight="1" s="131">
      <c r="A151" s="56">
        <f>RIGHT(D151,4)</f>
        <v/>
      </c>
      <c r="B151" s="67" t="inlineStr">
        <is>
          <t>ВЕТЧ.РУБЛЕНАЯ ПМ в/у срез 0.3кг 6шт.</t>
        </is>
      </c>
      <c r="C151" s="55" t="inlineStr">
        <is>
          <t>ШТ</t>
        </is>
      </c>
      <c r="D151" s="119" t="n">
        <v>1001093316411</v>
      </c>
      <c r="E151" s="24" t="n"/>
      <c r="F151" s="58" t="n">
        <v>0.3</v>
      </c>
      <c r="G151" s="23">
        <f>E151*F151</f>
        <v/>
      </c>
      <c r="H151" s="59" t="n"/>
      <c r="I151" s="59" t="n"/>
      <c r="J151" s="59" t="n"/>
      <c r="K151" s="60" t="n"/>
    </row>
    <row r="152" ht="16.5" customHeight="1" s="131">
      <c r="A152" s="56">
        <f>RIGHT(D152,4)</f>
        <v/>
      </c>
      <c r="B152" s="67" t="inlineStr">
        <is>
          <t xml:space="preserve">ВЕТЧ.КЛАССИЧЕСКАЯ в/у 0.6кг 8шт. </t>
        </is>
      </c>
      <c r="C152" s="55" t="inlineStr">
        <is>
          <t>ШТ</t>
        </is>
      </c>
      <c r="D152" s="119" t="n">
        <v>1001095226925</v>
      </c>
      <c r="E152" s="24" t="n">
        <v>8</v>
      </c>
      <c r="F152" s="58" t="n">
        <v>0.6</v>
      </c>
      <c r="G152" s="23">
        <f>E152*F152</f>
        <v/>
      </c>
      <c r="H152" s="59" t="n">
        <v>4.8</v>
      </c>
      <c r="I152" s="59" t="n">
        <v>45</v>
      </c>
      <c r="J152" s="59" t="n"/>
      <c r="K152" s="60" t="n"/>
    </row>
    <row r="153" ht="15.75" customHeight="1" s="131">
      <c r="A153" s="56">
        <f>RIGHT(D153,4)</f>
        <v/>
      </c>
      <c r="B153" s="67" t="inlineStr">
        <is>
          <t>ВЕТЧ.ФИРМЕННАЯ С ИНДЕЙКОЙ п/о</t>
        </is>
      </c>
      <c r="C153" s="55" t="inlineStr">
        <is>
          <t>КГ</t>
        </is>
      </c>
      <c r="D153" s="119" t="n">
        <v>1001094966025</v>
      </c>
      <c r="E153" s="24" t="n"/>
      <c r="F153" s="58" t="n">
        <v>3</v>
      </c>
      <c r="G153" s="23">
        <f>E153</f>
        <v/>
      </c>
      <c r="H153" s="59" t="n">
        <v>6</v>
      </c>
      <c r="I153" s="59" t="n">
        <v>60</v>
      </c>
      <c r="J153" s="59" t="n"/>
      <c r="K153" s="60" t="n"/>
    </row>
    <row r="154" ht="15.75" customHeight="1" s="131">
      <c r="A154" s="56">
        <f>RIGHT(D154,4)</f>
        <v/>
      </c>
      <c r="B154" s="67" t="inlineStr">
        <is>
          <t>РИЕТ МЯСНОЙ С ГРИБАМИ ПМ п/о 1/150</t>
        </is>
      </c>
      <c r="C154" s="55" t="inlineStr">
        <is>
          <t>ШТ</t>
        </is>
      </c>
      <c r="D154" s="119" t="n">
        <v>1001107397485</v>
      </c>
      <c r="E154" s="24" t="n">
        <v>100</v>
      </c>
      <c r="F154" s="58" t="n">
        <v>0.15</v>
      </c>
      <c r="G154" s="23">
        <f>F154*E154</f>
        <v/>
      </c>
      <c r="H154" s="59" t="n"/>
      <c r="I154" s="59" t="n"/>
      <c r="J154" s="59" t="n"/>
      <c r="K154" s="60" t="n"/>
    </row>
    <row r="155" ht="15.75" customHeight="1" s="131">
      <c r="A155" s="56">
        <f>RIGHT(D155,4)</f>
        <v/>
      </c>
      <c r="B155" s="67" t="inlineStr">
        <is>
          <t>ХОЧУ ВЕТЧ. ИЗ СВИН.ОТРУБА с/н мгс 1/100</t>
        </is>
      </c>
      <c r="C155" s="55" t="inlineStr">
        <is>
          <t>ШТ</t>
        </is>
      </c>
      <c r="D155" s="119" t="n">
        <v>1001097747647</v>
      </c>
      <c r="E155" s="24" t="n"/>
      <c r="F155" s="58" t="n">
        <v>0.1</v>
      </c>
      <c r="G155" s="23">
        <f>E155*F155</f>
        <v/>
      </c>
      <c r="H155" s="59" t="n">
        <v>1</v>
      </c>
      <c r="I155" s="59" t="n">
        <v>30</v>
      </c>
      <c r="J155" s="132" t="inlineStr">
        <is>
          <t>Новинка</t>
        </is>
      </c>
      <c r="K155" s="60" t="n"/>
    </row>
    <row r="156" ht="15.75" customHeight="1" s="131" thickBot="1">
      <c r="A156" s="56">
        <f>RIGHT(D156,4)</f>
        <v/>
      </c>
      <c r="B156" s="67" t="inlineStr">
        <is>
          <t>ХОЧУ ВЕТЧ. МРАМОР. ПМ с/н мгс 1/100_Л11</t>
        </is>
      </c>
      <c r="C156" s="55" t="inlineStr">
        <is>
          <t>ШТ</t>
        </is>
      </c>
      <c r="D156" s="119" t="n">
        <v>1001097767651</v>
      </c>
      <c r="E156" s="24" t="n"/>
      <c r="F156" s="58" t="n">
        <v>0.1</v>
      </c>
      <c r="G156" s="23">
        <f>E156*F156</f>
        <v/>
      </c>
      <c r="H156" s="59" t="n">
        <v>1</v>
      </c>
      <c r="I156" s="59" t="n">
        <v>30</v>
      </c>
      <c r="J156" s="132" t="inlineStr">
        <is>
          <t>Новинка</t>
        </is>
      </c>
      <c r="K156" s="60" t="n"/>
    </row>
    <row r="157" ht="16.5" customHeight="1" s="131" thickBot="1" thickTop="1">
      <c r="A157" s="47" t="inlineStr"/>
      <c r="B157" s="42" t="inlineStr">
        <is>
          <t>Копчености варенокопченые</t>
        </is>
      </c>
      <c r="C157" s="42" t="n"/>
      <c r="D157" s="42" t="n"/>
      <c r="E157" s="42" t="n"/>
      <c r="F157" s="41" t="n"/>
      <c r="G157" s="42" t="n"/>
      <c r="H157" s="42" t="n"/>
      <c r="I157" s="42" t="n"/>
      <c r="J157" s="43" t="n"/>
    </row>
    <row r="158" ht="16.5" customHeight="1" s="131" thickTop="1">
      <c r="A158" s="56">
        <f>RIGHT(D158,4)</f>
        <v/>
      </c>
      <c r="B158" s="35" t="inlineStr">
        <is>
          <t>СВИНИНА ПО-ДОМ. к/в мл/к в/у 0.3кг_50с</t>
        </is>
      </c>
      <c r="C158" s="55" t="inlineStr">
        <is>
          <t>ШТ</t>
        </is>
      </c>
      <c r="D158" s="70" t="n">
        <v>1001084217090</v>
      </c>
      <c r="E158" s="24" t="n">
        <v>70</v>
      </c>
      <c r="F158" s="23" t="n">
        <v>0.3</v>
      </c>
      <c r="G158" s="23">
        <f>E158*F158</f>
        <v/>
      </c>
      <c r="H158" s="14" t="n">
        <v>1.8</v>
      </c>
      <c r="I158" s="14" t="n">
        <v>50</v>
      </c>
      <c r="J158" s="59" t="n"/>
    </row>
    <row r="159" ht="16.5" customHeight="1" s="131">
      <c r="A159" s="56">
        <f>RIGHT(D159,4)</f>
        <v/>
      </c>
      <c r="B159" s="35" t="inlineStr">
        <is>
          <t>ГРУДИНКА ПРЕМИУМ к/в мл/к в/у 0.3кг_50с</t>
        </is>
      </c>
      <c r="C159" s="55" t="inlineStr">
        <is>
          <t>ШТ</t>
        </is>
      </c>
      <c r="D159" s="70" t="n">
        <v>1001085637187</v>
      </c>
      <c r="E159" s="24" t="n">
        <v>132</v>
      </c>
      <c r="F159" s="23" t="n">
        <v>0.3</v>
      </c>
      <c r="G159" s="23">
        <f>E159*F159</f>
        <v/>
      </c>
      <c r="H159" s="14" t="n">
        <v>1.8</v>
      </c>
      <c r="I159" s="14" t="n">
        <v>50</v>
      </c>
      <c r="J159" s="59" t="n"/>
    </row>
    <row r="160" ht="16.5" customHeight="1" s="131">
      <c r="A160" s="56">
        <f>RIGHT(D160,4)</f>
        <v/>
      </c>
      <c r="B160" s="35" t="inlineStr">
        <is>
          <t>САЛО СОЛЕНОЕ С ЧЕРНЫМ ПЕРЦЕМ мл/к в/у</t>
        </is>
      </c>
      <c r="C160" s="55" t="inlineStr">
        <is>
          <t>КГ</t>
        </is>
      </c>
      <c r="D160" s="70" t="n">
        <v>1001084856008</v>
      </c>
      <c r="E160" s="24" t="n">
        <v>23</v>
      </c>
      <c r="F160" s="23" t="n">
        <v>0.3</v>
      </c>
      <c r="G160" s="23">
        <f>E160</f>
        <v/>
      </c>
      <c r="H160" s="14" t="n">
        <v>1.8</v>
      </c>
      <c r="I160" s="14" t="n">
        <v>40</v>
      </c>
      <c r="J160" s="132" t="inlineStr">
        <is>
          <t>Новинка</t>
        </is>
      </c>
    </row>
    <row r="161" ht="16.5" customHeight="1" s="131">
      <c r="A161" s="56">
        <f>RIGHT(D161,4)</f>
        <v/>
      </c>
      <c r="B161" s="35" t="inlineStr">
        <is>
          <t>РЕБРЫШКИ к/в в/у_30c</t>
        </is>
      </c>
      <c r="C161" s="55" t="inlineStr">
        <is>
          <t>КГ</t>
        </is>
      </c>
      <c r="D161" s="70" t="n">
        <v>1001081596620</v>
      </c>
      <c r="E161" s="24" t="n"/>
      <c r="F161" s="23" t="n">
        <v>1.05</v>
      </c>
      <c r="G161" s="23">
        <f>E161</f>
        <v/>
      </c>
      <c r="H161" s="14" t="n">
        <v>3.15</v>
      </c>
      <c r="I161" s="14" t="n">
        <v>30</v>
      </c>
      <c r="J161" s="59" t="n"/>
    </row>
    <row r="162" ht="16.5" customHeight="1" s="131">
      <c r="A162" s="56">
        <f>RIGHT(D162,4)</f>
        <v/>
      </c>
      <c r="B162" s="35" t="inlineStr">
        <is>
          <t>БЕКОН Останкино с/к с/н в/у 1/180_50с</t>
        </is>
      </c>
      <c r="C162" s="55" t="inlineStr">
        <is>
          <t>ШТ</t>
        </is>
      </c>
      <c r="D162" s="70" t="n">
        <v>1001223297103</v>
      </c>
      <c r="E162" s="24" t="n"/>
      <c r="F162" s="23" t="n">
        <v>0.18</v>
      </c>
      <c r="G162" s="23">
        <f>E162*F162</f>
        <v/>
      </c>
      <c r="H162" s="14" t="n">
        <v>1.8</v>
      </c>
      <c r="I162" s="14" t="n">
        <v>50</v>
      </c>
      <c r="J162" s="59" t="n"/>
    </row>
    <row r="163" ht="16.5" customHeight="1" s="131">
      <c r="A163" s="56">
        <f>RIGHT(D163,4)</f>
        <v/>
      </c>
      <c r="B163" s="35" t="inlineStr">
        <is>
          <t>БЕКОН Папа может с/к с/н в/у 1/140_50с</t>
        </is>
      </c>
      <c r="C163" s="55" t="inlineStr">
        <is>
          <t>ШТ</t>
        </is>
      </c>
      <c r="D163" s="70" t="n">
        <v>1001223297092</v>
      </c>
      <c r="E163" s="24" t="n"/>
      <c r="F163" s="23" t="n">
        <v>0.14</v>
      </c>
      <c r="G163" s="23">
        <f>E163*F163</f>
        <v/>
      </c>
      <c r="H163" s="14" t="n">
        <v>1.4</v>
      </c>
      <c r="I163" s="14" t="n">
        <v>50</v>
      </c>
      <c r="J163" s="59" t="n"/>
    </row>
    <row r="164" ht="16.5" customHeight="1" s="131">
      <c r="A164" s="56">
        <f>RIGHT(D164,4)</f>
        <v/>
      </c>
      <c r="B164" s="35" t="inlineStr">
        <is>
          <t>МЯСНОЕ АССОРТИ к/з с/н мгс 1/90 10шт.</t>
        </is>
      </c>
      <c r="C164" s="55" t="inlineStr">
        <is>
          <t>ШТ</t>
        </is>
      </c>
      <c r="D164" s="70" t="n">
        <v>1001225416228</v>
      </c>
      <c r="E164" s="24" t="n"/>
      <c r="F164" s="23" t="n">
        <v>0.09</v>
      </c>
      <c r="G164" s="23">
        <f>E164*F164</f>
        <v/>
      </c>
      <c r="H164" s="14" t="n">
        <v>0.9</v>
      </c>
      <c r="I164" s="14" t="n">
        <v>45</v>
      </c>
      <c r="J164" s="59" t="n"/>
    </row>
    <row r="165" ht="16.5" customHeight="1" s="131">
      <c r="A165" s="56">
        <f>RIGHT(D165,4)</f>
        <v/>
      </c>
      <c r="B165" s="35" t="inlineStr">
        <is>
          <t>СВИНИНА МАДЕРА с/к с/н в/у 1/100 10шт.</t>
        </is>
      </c>
      <c r="C165" s="55" t="inlineStr">
        <is>
          <t>ШТ</t>
        </is>
      </c>
      <c r="D165" s="70" t="n">
        <v>1001234146448</v>
      </c>
      <c r="E165" s="24" t="n"/>
      <c r="F165" s="23" t="n">
        <v>0.1</v>
      </c>
      <c r="G165" s="23">
        <f>E165*F165</f>
        <v/>
      </c>
      <c r="H165" s="14" t="n">
        <v>1</v>
      </c>
      <c r="I165" s="14" t="n">
        <v>45</v>
      </c>
      <c r="J165" s="59" t="n"/>
    </row>
    <row r="166" ht="16.5" customHeight="1" s="131">
      <c r="A166" s="56">
        <f>RIGHT(D166,4)</f>
        <v/>
      </c>
      <c r="B166" s="35" t="inlineStr">
        <is>
          <t>ДЫМОВИЦА ИЗ ЛОПАТКИ ПМ к/в с/н в/у 1/150</t>
        </is>
      </c>
      <c r="C166" s="55" t="inlineStr">
        <is>
          <t>ШТ</t>
        </is>
      </c>
      <c r="D166" s="70" t="n">
        <v>1001220226208</v>
      </c>
      <c r="E166" s="24" t="n"/>
      <c r="F166" s="23" t="n">
        <v>0.15</v>
      </c>
      <c r="G166" s="23">
        <f>E166*F166</f>
        <v/>
      </c>
      <c r="H166" s="14" t="n">
        <v>1.5</v>
      </c>
      <c r="I166" s="14" t="n">
        <v>45</v>
      </c>
      <c r="J166" s="59" t="n"/>
    </row>
    <row r="167" ht="16.5" customHeight="1" s="131">
      <c r="A167" s="56">
        <f>RIGHT(D167,4)</f>
        <v/>
      </c>
      <c r="B167" s="35" t="inlineStr">
        <is>
          <t>БАЛЫК И ШЕЙКА с/в с/н мгс 1/90 8шт.</t>
        </is>
      </c>
      <c r="C167" s="55" t="inlineStr">
        <is>
          <t>ШТ</t>
        </is>
      </c>
      <c r="D167" s="70" t="n">
        <v>1001225406754</v>
      </c>
      <c r="E167" s="24" t="n"/>
      <c r="F167" s="23" t="n">
        <v>0.09</v>
      </c>
      <c r="G167" s="23">
        <f>E167*F167</f>
        <v/>
      </c>
      <c r="H167" s="14" t="n">
        <v>0.72</v>
      </c>
      <c r="I167" s="14" t="n">
        <v>60</v>
      </c>
      <c r="J167" s="59" t="n"/>
    </row>
    <row r="168" ht="16.5" customHeight="1" s="131">
      <c r="A168" s="56">
        <f>RIGHT(D168,4)</f>
        <v/>
      </c>
      <c r="B168" s="35" t="inlineStr">
        <is>
          <t>КОРЕЙКА ПО-ОСТ.к/в в/с с/н в/у 1/150_45с</t>
        </is>
      </c>
      <c r="C168" s="55" t="inlineStr">
        <is>
          <t>ШТ</t>
        </is>
      </c>
      <c r="D168" s="70" t="n">
        <v>1001220286279</v>
      </c>
      <c r="E168" s="24" t="n">
        <v>60</v>
      </c>
      <c r="F168" s="23" t="n">
        <v>0.15</v>
      </c>
      <c r="G168" s="23">
        <f>E168*F168</f>
        <v/>
      </c>
      <c r="H168" s="14" t="n">
        <v>1.2</v>
      </c>
      <c r="I168" s="14" t="n">
        <v>45</v>
      </c>
      <c r="J168" s="59" t="n"/>
    </row>
    <row r="169" ht="16.5" customHeight="1" s="131" thickBot="1">
      <c r="A169" s="56">
        <f>RIGHT(D169,4)</f>
        <v/>
      </c>
      <c r="B169" s="35" t="inlineStr">
        <is>
          <t>БАЛЫК с/к с/н в/у 1/100 10шт_Л11</t>
        </is>
      </c>
      <c r="C169" s="55" t="inlineStr">
        <is>
          <t>ШТ</t>
        </is>
      </c>
      <c r="D169" s="70" t="n">
        <v>1001453907612</v>
      </c>
      <c r="E169" s="24" t="n"/>
      <c r="F169" s="23" t="n">
        <v>0.1</v>
      </c>
      <c r="G169" s="23">
        <f>E169*F169</f>
        <v/>
      </c>
      <c r="H169" s="14" t="n">
        <v>1</v>
      </c>
      <c r="I169" s="14" t="n">
        <v>60</v>
      </c>
      <c r="J169" s="52" t="inlineStr">
        <is>
          <t>Ротация кода 7288</t>
        </is>
      </c>
    </row>
    <row r="170" ht="16.5" customHeight="1" s="131" thickBot="1" thickTop="1">
      <c r="A170" s="48" t="n"/>
      <c r="B170" s="45" t="inlineStr">
        <is>
          <t>ВСЕГО:</t>
        </is>
      </c>
      <c r="C170" s="16" t="n"/>
      <c r="D170" s="36" t="n"/>
      <c r="E170" s="17">
        <f>SUM(E10:E169)</f>
        <v/>
      </c>
      <c r="F170" s="17" t="n"/>
      <c r="G170" s="17">
        <f>SUM(G11:G169)</f>
        <v/>
      </c>
      <c r="H170" s="17" t="n"/>
      <c r="I170" s="17" t="n"/>
      <c r="J170" s="17" t="n"/>
    </row>
    <row r="171" ht="15.75" customHeight="1" s="131" thickTop="1">
      <c r="B171" s="37" t="n"/>
      <c r="C171" s="62" t="n"/>
      <c r="D171" s="63" t="n"/>
      <c r="F171" s="65" t="n"/>
      <c r="G171" s="65" t="n"/>
      <c r="H171" s="71" t="n"/>
      <c r="I171" s="71" t="n"/>
      <c r="J171" s="21" t="n"/>
    </row>
    <row r="172">
      <c r="B172" s="37" t="n"/>
      <c r="C172" s="62" t="n"/>
      <c r="D172" s="63" t="n"/>
      <c r="F172" s="65" t="n"/>
      <c r="G172" s="65" t="n"/>
      <c r="H172" s="71" t="n"/>
      <c r="I172" s="71" t="n"/>
      <c r="J172" s="21" t="n"/>
    </row>
    <row r="173">
      <c r="B173" s="37" t="n"/>
      <c r="C173" s="62" t="n"/>
      <c r="D173" s="63" t="n"/>
      <c r="F173" s="65" t="n"/>
      <c r="G173" s="65" t="n"/>
      <c r="H173" s="71" t="n"/>
      <c r="I173" s="71" t="n"/>
      <c r="J173" s="21" t="n"/>
    </row>
    <row r="174">
      <c r="B174" s="37" t="n"/>
      <c r="C174" s="62" t="n"/>
      <c r="D174" s="63" t="n"/>
      <c r="F174" s="65" t="n"/>
      <c r="G174" s="65" t="n"/>
      <c r="H174" s="71" t="n"/>
      <c r="I174" s="71" t="n"/>
      <c r="J174" s="21" t="n"/>
    </row>
    <row r="175">
      <c r="B175" s="37" t="n"/>
      <c r="C175" s="62" t="n"/>
      <c r="D175" s="63" t="n"/>
      <c r="F175" s="65" t="n"/>
      <c r="G175" s="65" t="n"/>
      <c r="H175" s="71" t="n"/>
      <c r="I175" s="71" t="n"/>
      <c r="J175" s="21" t="n"/>
    </row>
    <row r="176">
      <c r="B176" s="37" t="n"/>
      <c r="C176" s="62" t="n"/>
      <c r="D176" s="63" t="n"/>
      <c r="F176" s="65" t="n"/>
      <c r="G176" s="65" t="n"/>
      <c r="H176" s="71" t="n"/>
      <c r="I176" s="71" t="n"/>
      <c r="J176" s="21" t="n"/>
    </row>
    <row r="177">
      <c r="B177" s="37" t="n"/>
      <c r="C177" s="62" t="n"/>
      <c r="D177" s="63" t="n"/>
      <c r="E177" s="64" t="n"/>
      <c r="F177" s="65" t="n"/>
      <c r="G177" s="65" t="n"/>
      <c r="H177" s="71" t="n"/>
      <c r="I177" s="71" t="n"/>
      <c r="J177" s="21" t="n"/>
    </row>
    <row r="178">
      <c r="B178" s="37" t="n"/>
      <c r="C178" s="62" t="n"/>
      <c r="D178" s="63" t="n"/>
      <c r="E178" s="64" t="n"/>
      <c r="F178" s="65" t="n"/>
      <c r="G178" s="65" t="n"/>
      <c r="H178" s="71" t="n"/>
      <c r="I178" s="71" t="n"/>
      <c r="J178" s="21" t="n"/>
    </row>
    <row r="179">
      <c r="B179" s="37" t="n"/>
      <c r="C179" s="62" t="n"/>
      <c r="D179" s="67" t="n"/>
      <c r="E179" s="68" t="n"/>
      <c r="F179" s="67" t="n"/>
      <c r="G179" s="69" t="n"/>
      <c r="H179" s="70" t="n"/>
      <c r="I179" s="71" t="n"/>
      <c r="J179" s="21" t="n"/>
    </row>
    <row r="180">
      <c r="B180" s="37" t="n"/>
      <c r="C180" s="62" t="n"/>
      <c r="D180" s="63" t="n"/>
      <c r="F180" s="65" t="n"/>
      <c r="G180" s="65" t="n"/>
      <c r="H180" s="71" t="n"/>
      <c r="I180" s="71" t="n"/>
      <c r="J180" s="21" t="n"/>
    </row>
    <row r="181">
      <c r="B181" s="37" t="n"/>
      <c r="C181" s="62" t="n"/>
      <c r="D181" s="63" t="n"/>
      <c r="F181" s="65" t="n"/>
      <c r="G181" s="65" t="n"/>
      <c r="H181" s="71" t="n"/>
      <c r="I181" s="71" t="n"/>
      <c r="J181" s="21" t="n"/>
    </row>
    <row r="182">
      <c r="B182" s="37" t="n"/>
      <c r="C182" s="62" t="n"/>
      <c r="D182" s="63" t="n"/>
      <c r="F182" s="65" t="n"/>
      <c r="G182" s="65" t="n"/>
      <c r="H182" s="71" t="n"/>
      <c r="I182" s="71" t="n"/>
      <c r="J182" s="21" t="n"/>
    </row>
    <row r="183">
      <c r="B183" s="37" t="n"/>
      <c r="C183" s="62" t="n"/>
      <c r="D183" s="63" t="n"/>
      <c r="F183" s="65" t="n"/>
      <c r="G183" s="65" t="n"/>
      <c r="H183" s="71" t="n"/>
      <c r="I183" s="71" t="n"/>
      <c r="J183" s="21" t="n"/>
    </row>
    <row r="184">
      <c r="B184" s="37" t="n"/>
      <c r="C184" s="62" t="n"/>
      <c r="D184" s="63" t="n"/>
      <c r="F184" s="65" t="n"/>
      <c r="G184" s="65" t="n"/>
      <c r="H184" s="71" t="n"/>
      <c r="I184" s="71" t="n"/>
      <c r="J184" s="21" t="n"/>
    </row>
    <row r="185">
      <c r="B185" s="37" t="n"/>
      <c r="C185" s="62" t="n"/>
      <c r="D185" s="63" t="n"/>
      <c r="F185" s="65" t="n"/>
      <c r="G185" s="65" t="n"/>
      <c r="H185" s="71" t="n"/>
      <c r="I185" s="71" t="n"/>
      <c r="J185" s="21" t="n"/>
    </row>
    <row r="186">
      <c r="B186" s="37" t="n"/>
      <c r="C186" s="62" t="n"/>
      <c r="D186" s="63" t="n"/>
      <c r="F186" s="65" t="n"/>
      <c r="G186" s="65" t="n"/>
      <c r="H186" s="71" t="n"/>
      <c r="I186" s="71" t="n"/>
      <c r="J186" s="21" t="n"/>
    </row>
    <row r="187">
      <c r="B187" s="37" t="n"/>
      <c r="C187" s="62" t="n"/>
      <c r="D187" s="63" t="n"/>
      <c r="F187" s="65" t="n"/>
      <c r="G187" s="65" t="n"/>
      <c r="H187" s="71" t="n"/>
      <c r="I187" s="71" t="n"/>
      <c r="J187" s="21" t="n"/>
    </row>
    <row r="188">
      <c r="B188" s="37" t="n"/>
      <c r="C188" s="62" t="n"/>
      <c r="D188" s="63" t="n"/>
      <c r="F188" s="65" t="n"/>
      <c r="G188" s="65" t="n"/>
      <c r="H188" s="71" t="n"/>
      <c r="I188" s="71" t="n"/>
      <c r="J188" s="21" t="n"/>
    </row>
    <row r="189">
      <c r="B189" s="37" t="n"/>
      <c r="C189" s="62" t="n"/>
      <c r="D189" s="63" t="n"/>
      <c r="F189" s="65" t="n"/>
      <c r="G189" s="65" t="n"/>
      <c r="H189" s="71" t="n"/>
      <c r="I189" s="71" t="n"/>
      <c r="J189" s="21" t="n"/>
    </row>
    <row r="190">
      <c r="B190" s="37" t="n"/>
      <c r="C190" s="62" t="n"/>
      <c r="D190" s="63" t="n"/>
      <c r="F190" s="65" t="n"/>
      <c r="G190" s="65" t="n"/>
      <c r="H190" s="71" t="n"/>
      <c r="I190" s="71" t="n"/>
      <c r="J190" s="21" t="n"/>
    </row>
    <row r="191">
      <c r="B191" s="37" t="n"/>
      <c r="C191" s="62" t="n"/>
      <c r="D191" s="63" t="n"/>
      <c r="F191" s="65" t="n"/>
      <c r="G191" s="65" t="n"/>
      <c r="H191" s="71" t="n"/>
      <c r="I191" s="71" t="n"/>
      <c r="J191" s="21" t="n"/>
    </row>
    <row r="192">
      <c r="B192" s="37" t="n"/>
      <c r="C192" s="62" t="n"/>
      <c r="D192" s="63" t="n"/>
      <c r="F192" s="65" t="n"/>
      <c r="G192" s="65" t="n"/>
      <c r="H192" s="71" t="n"/>
      <c r="I192" s="71" t="n"/>
      <c r="J192" s="21" t="n"/>
    </row>
    <row r="193">
      <c r="B193" s="37" t="n"/>
      <c r="C193" s="62" t="n"/>
      <c r="D193" s="63" t="n"/>
      <c r="F193" s="65" t="n"/>
      <c r="G193" s="65" t="n"/>
      <c r="H193" s="71" t="n"/>
      <c r="I193" s="71" t="n"/>
      <c r="J193" s="21" t="n"/>
    </row>
    <row r="194">
      <c r="B194" s="37" t="n"/>
      <c r="C194" s="62" t="n"/>
      <c r="D194" s="63" t="n"/>
      <c r="F194" s="65" t="n"/>
      <c r="G194" s="65" t="n"/>
      <c r="H194" s="71" t="n"/>
      <c r="I194" s="71" t="n"/>
      <c r="J194" s="21" t="n"/>
    </row>
    <row r="195">
      <c r="B195" s="37" t="n"/>
      <c r="C195" s="62" t="n"/>
      <c r="D195" s="63" t="n"/>
      <c r="F195" s="65" t="n"/>
      <c r="G195" s="65" t="n"/>
      <c r="H195" s="71" t="n"/>
      <c r="I195" s="71" t="n"/>
      <c r="J195" s="21" t="n"/>
    </row>
    <row r="196">
      <c r="B196" s="37" t="n"/>
      <c r="C196" s="62" t="n"/>
      <c r="D196" s="63" t="n"/>
      <c r="F196" s="65" t="n"/>
      <c r="G196" s="65" t="n"/>
      <c r="H196" s="71" t="n"/>
      <c r="I196" s="71" t="n"/>
      <c r="J196" s="21" t="n"/>
    </row>
    <row r="197">
      <c r="B197" s="37" t="n"/>
      <c r="C197" s="62" t="n"/>
      <c r="D197" s="63" t="n"/>
      <c r="F197" s="65" t="n"/>
      <c r="G197" s="65" t="n"/>
      <c r="H197" s="71" t="n"/>
      <c r="I197" s="71" t="n"/>
      <c r="J197" s="21" t="n"/>
    </row>
    <row r="198">
      <c r="B198" s="37" t="n"/>
      <c r="C198" s="62" t="n"/>
      <c r="D198" s="63" t="n"/>
      <c r="F198" s="65" t="n"/>
      <c r="G198" s="65" t="n"/>
      <c r="H198" s="71" t="n"/>
      <c r="I198" s="71" t="n"/>
      <c r="J198" s="21" t="n"/>
    </row>
    <row r="199">
      <c r="B199" s="37" t="n"/>
      <c r="C199" s="62" t="n"/>
      <c r="D199" s="63" t="n"/>
      <c r="F199" s="65" t="n"/>
      <c r="G199" s="65" t="n"/>
      <c r="H199" s="71" t="n"/>
      <c r="I199" s="71" t="n"/>
      <c r="J199" s="21" t="n"/>
    </row>
    <row r="200">
      <c r="B200" s="37" t="n"/>
      <c r="C200" s="62" t="n"/>
      <c r="D200" s="63" t="n"/>
      <c r="F200" s="65" t="n"/>
      <c r="G200" s="65" t="n"/>
      <c r="H200" s="71" t="n"/>
      <c r="I200" s="71" t="n"/>
      <c r="J200" s="21" t="n"/>
    </row>
    <row r="201">
      <c r="B201" s="37" t="n"/>
      <c r="C201" s="62" t="n"/>
      <c r="D201" s="63" t="n"/>
      <c r="F201" s="65" t="n"/>
      <c r="G201" s="65" t="n"/>
      <c r="H201" s="71" t="n"/>
      <c r="I201" s="71" t="n"/>
      <c r="J201" s="21" t="n"/>
    </row>
    <row r="202">
      <c r="B202" s="37" t="n"/>
      <c r="C202" s="62" t="n"/>
      <c r="D202" s="63" t="n"/>
      <c r="F202" s="65" t="n"/>
      <c r="G202" s="65" t="n"/>
      <c r="H202" s="71" t="n"/>
      <c r="I202" s="71" t="n"/>
      <c r="J202" s="21" t="n"/>
    </row>
    <row r="203">
      <c r="B203" s="37" t="n"/>
      <c r="C203" s="62" t="n"/>
      <c r="D203" s="63" t="n"/>
      <c r="F203" s="65" t="n"/>
      <c r="G203" s="65" t="n"/>
      <c r="H203" s="71" t="n"/>
      <c r="I203" s="71" t="n"/>
      <c r="J203" s="21" t="n"/>
    </row>
    <row r="204">
      <c r="B204" s="37" t="n"/>
      <c r="C204" s="62" t="n"/>
      <c r="D204" s="63" t="n"/>
      <c r="F204" s="65" t="n"/>
      <c r="G204" s="65" t="n"/>
      <c r="H204" s="71" t="n"/>
      <c r="I204" s="71" t="n"/>
      <c r="J204" s="21" t="n"/>
    </row>
    <row r="205">
      <c r="B205" s="37" t="n"/>
      <c r="C205" s="62" t="n"/>
      <c r="D205" s="63" t="n"/>
      <c r="F205" s="65" t="n"/>
      <c r="G205" s="65" t="n"/>
      <c r="H205" s="71" t="n"/>
      <c r="I205" s="71" t="n"/>
      <c r="J205" s="21" t="n"/>
    </row>
    <row r="206">
      <c r="B206" s="37" t="n"/>
      <c r="C206" s="62" t="n"/>
      <c r="D206" s="63" t="n"/>
      <c r="F206" s="65" t="n"/>
      <c r="G206" s="65" t="n"/>
      <c r="H206" s="71" t="n"/>
      <c r="I206" s="71" t="n"/>
      <c r="J206" s="21" t="n"/>
    </row>
    <row r="207">
      <c r="B207" s="37" t="n"/>
      <c r="C207" s="62" t="n"/>
      <c r="D207" s="63" t="n"/>
      <c r="F207" s="65" t="n"/>
      <c r="G207" s="65" t="n"/>
      <c r="H207" s="71" t="n"/>
      <c r="I207" s="71" t="n"/>
      <c r="J207" s="21" t="n"/>
    </row>
    <row r="208">
      <c r="B208" s="37" t="n"/>
      <c r="C208" s="62" t="n"/>
      <c r="D208" s="63" t="n"/>
      <c r="F208" s="65" t="n"/>
      <c r="G208" s="65" t="n"/>
      <c r="H208" s="71" t="n"/>
      <c r="I208" s="71" t="n"/>
      <c r="J208" s="21" t="n"/>
    </row>
    <row r="209">
      <c r="B209" s="37" t="n"/>
      <c r="C209" s="62" t="n"/>
      <c r="D209" s="63" t="n"/>
      <c r="F209" s="65" t="n"/>
      <c r="G209" s="65" t="n"/>
      <c r="H209" s="71" t="n"/>
      <c r="I209" s="71" t="n"/>
      <c r="J209" s="21" t="n"/>
    </row>
    <row r="210">
      <c r="B210" s="37" t="n"/>
      <c r="C210" s="62" t="n"/>
      <c r="D210" s="63" t="n"/>
      <c r="F210" s="65" t="n"/>
      <c r="G210" s="65" t="n"/>
      <c r="H210" s="71" t="n"/>
      <c r="I210" s="71" t="n"/>
      <c r="J210" s="21" t="n"/>
    </row>
    <row r="211">
      <c r="B211" s="37" t="n"/>
      <c r="C211" s="62" t="n"/>
      <c r="D211" s="63" t="n"/>
      <c r="F211" s="65" t="n"/>
      <c r="G211" s="65" t="n"/>
      <c r="H211" s="71" t="n"/>
      <c r="I211" s="71" t="n"/>
      <c r="J211" s="21" t="n"/>
    </row>
    <row r="212">
      <c r="B212" s="37" t="n"/>
      <c r="C212" s="62" t="n"/>
      <c r="D212" s="63" t="n"/>
      <c r="F212" s="65" t="n"/>
      <c r="G212" s="65" t="n"/>
      <c r="H212" s="71" t="n"/>
      <c r="I212" s="71" t="n"/>
      <c r="J212" s="21" t="n"/>
    </row>
    <row r="213">
      <c r="B213" s="37" t="n"/>
      <c r="C213" s="62" t="n"/>
      <c r="D213" s="63" t="n"/>
      <c r="F213" s="65" t="n"/>
      <c r="G213" s="65" t="n"/>
      <c r="H213" s="71" t="n"/>
      <c r="I213" s="71" t="n"/>
      <c r="J213" s="21" t="n"/>
    </row>
    <row r="214">
      <c r="B214" s="37" t="n"/>
      <c r="C214" s="62" t="n"/>
      <c r="D214" s="63" t="n"/>
      <c r="F214" s="65" t="n"/>
      <c r="G214" s="65" t="n"/>
      <c r="H214" s="71" t="n"/>
      <c r="I214" s="71" t="n"/>
      <c r="J214" s="21" t="n"/>
    </row>
    <row r="215">
      <c r="B215" s="37" t="n"/>
      <c r="C215" s="62" t="n"/>
      <c r="D215" s="63" t="n"/>
      <c r="F215" s="65" t="n"/>
      <c r="G215" s="65" t="n"/>
      <c r="H215" s="71" t="n"/>
      <c r="I215" s="71" t="n"/>
      <c r="J215" s="21" t="n"/>
    </row>
    <row r="216">
      <c r="B216" s="37" t="n"/>
      <c r="C216" s="62" t="n"/>
      <c r="D216" s="63" t="n"/>
      <c r="F216" s="65" t="n"/>
      <c r="G216" s="65" t="n"/>
      <c r="H216" s="71" t="n"/>
      <c r="I216" s="71" t="n"/>
      <c r="J216" s="21" t="n"/>
    </row>
    <row r="217">
      <c r="B217" s="37" t="n"/>
      <c r="C217" s="62" t="n"/>
      <c r="D217" s="63" t="n"/>
      <c r="F217" s="65" t="n"/>
      <c r="G217" s="65" t="n"/>
      <c r="H217" s="71" t="n"/>
      <c r="I217" s="71" t="n"/>
      <c r="J217" s="21" t="n"/>
    </row>
    <row r="218">
      <c r="B218" s="37" t="n"/>
      <c r="C218" s="62" t="n"/>
      <c r="D218" s="63" t="n"/>
      <c r="F218" s="65" t="n"/>
      <c r="G218" s="65" t="n"/>
      <c r="H218" s="71" t="n"/>
      <c r="I218" s="71" t="n"/>
      <c r="J218" s="21" t="n"/>
    </row>
    <row r="219">
      <c r="B219" s="37" t="n"/>
      <c r="C219" s="62" t="n"/>
      <c r="D219" s="63" t="n"/>
      <c r="F219" s="65" t="n"/>
      <c r="G219" s="65" t="n"/>
      <c r="H219" s="71" t="n"/>
      <c r="I219" s="71" t="n"/>
      <c r="J219" s="21" t="n"/>
    </row>
    <row r="220">
      <c r="B220" s="37" t="n"/>
      <c r="C220" s="62" t="n"/>
      <c r="D220" s="63" t="n"/>
      <c r="F220" s="65" t="n"/>
      <c r="G220" s="65" t="n"/>
      <c r="H220" s="71" t="n"/>
      <c r="I220" s="71" t="n"/>
      <c r="J220" s="21" t="n"/>
    </row>
    <row r="221">
      <c r="B221" s="37" t="n"/>
      <c r="C221" s="62" t="n"/>
      <c r="D221" s="63" t="n"/>
      <c r="F221" s="65" t="n"/>
      <c r="G221" s="65" t="n"/>
      <c r="H221" s="71" t="n"/>
      <c r="I221" s="71" t="n"/>
      <c r="J221" s="21" t="n"/>
    </row>
    <row r="222">
      <c r="B222" s="37" t="n"/>
      <c r="C222" s="62" t="n"/>
      <c r="D222" s="63" t="n"/>
      <c r="F222" s="65" t="n"/>
      <c r="G222" s="65" t="n"/>
      <c r="H222" s="71" t="n"/>
      <c r="I222" s="71" t="n"/>
      <c r="J222" s="21" t="n"/>
    </row>
    <row r="223">
      <c r="B223" s="37" t="n"/>
      <c r="C223" s="62" t="n"/>
      <c r="D223" s="63" t="n"/>
      <c r="F223" s="65" t="n"/>
      <c r="G223" s="65" t="n"/>
      <c r="H223" s="71" t="n"/>
      <c r="I223" s="71" t="n"/>
      <c r="J223" s="21" t="n"/>
    </row>
    <row r="224">
      <c r="B224" s="37" t="n"/>
      <c r="C224" s="62" t="n"/>
      <c r="D224" s="63" t="n"/>
      <c r="F224" s="65" t="n"/>
      <c r="G224" s="65" t="n"/>
      <c r="H224" s="71" t="n"/>
      <c r="I224" s="71" t="n"/>
      <c r="J224" s="21" t="n"/>
    </row>
    <row r="225">
      <c r="B225" s="37" t="n"/>
      <c r="C225" s="62" t="n"/>
      <c r="D225" s="63" t="n"/>
      <c r="F225" s="65" t="n"/>
      <c r="G225" s="65" t="n"/>
      <c r="H225" s="71" t="n"/>
      <c r="I225" s="71" t="n"/>
      <c r="J225" s="21" t="n"/>
    </row>
    <row r="226">
      <c r="B226" s="37" t="n"/>
      <c r="C226" s="62" t="n"/>
      <c r="D226" s="63" t="n"/>
      <c r="F226" s="65" t="n"/>
      <c r="G226" s="65" t="n"/>
      <c r="H226" s="71" t="n"/>
      <c r="I226" s="71" t="n"/>
      <c r="J226" s="21" t="n"/>
    </row>
    <row r="227">
      <c r="B227" s="37" t="n"/>
      <c r="C227" s="62" t="n"/>
      <c r="D227" s="63" t="n"/>
      <c r="F227" s="65" t="n"/>
      <c r="G227" s="65" t="n"/>
      <c r="H227" s="71" t="n"/>
      <c r="I227" s="71" t="n"/>
      <c r="J227" s="21" t="n"/>
    </row>
    <row r="228">
      <c r="B228" s="37" t="n"/>
      <c r="C228" s="62" t="n"/>
      <c r="D228" s="63" t="n"/>
      <c r="F228" s="65" t="n"/>
      <c r="G228" s="65" t="n"/>
      <c r="H228" s="71" t="n"/>
      <c r="I228" s="71" t="n"/>
      <c r="J228" s="21" t="n"/>
    </row>
    <row r="229">
      <c r="B229" s="37" t="n"/>
      <c r="C229" s="62" t="n"/>
      <c r="D229" s="63" t="n"/>
      <c r="F229" s="65" t="n"/>
      <c r="G229" s="65" t="n"/>
      <c r="H229" s="71" t="n"/>
      <c r="I229" s="71" t="n"/>
      <c r="J229" s="21" t="n"/>
    </row>
    <row r="230">
      <c r="B230" s="37" t="n"/>
      <c r="C230" s="62" t="n"/>
      <c r="D230" s="63" t="n"/>
      <c r="F230" s="65" t="n"/>
      <c r="G230" s="65" t="n"/>
      <c r="H230" s="71" t="n"/>
      <c r="I230" s="71" t="n"/>
      <c r="J230" s="21" t="n"/>
    </row>
    <row r="231">
      <c r="B231" s="37" t="n"/>
      <c r="C231" s="62" t="n"/>
      <c r="D231" s="63" t="n"/>
      <c r="F231" s="65" t="n"/>
      <c r="G231" s="65" t="n"/>
      <c r="H231" s="71" t="n"/>
      <c r="I231" s="71" t="n"/>
      <c r="J231" s="21" t="n"/>
    </row>
    <row r="232">
      <c r="B232" s="37" t="n"/>
      <c r="C232" s="62" t="n"/>
      <c r="D232" s="63" t="n"/>
      <c r="F232" s="65" t="n"/>
      <c r="G232" s="65" t="n"/>
      <c r="H232" s="71" t="n"/>
      <c r="I232" s="71" t="n"/>
      <c r="J232" s="21" t="n"/>
    </row>
    <row r="233">
      <c r="B233" s="37" t="n"/>
      <c r="C233" s="62" t="n"/>
      <c r="D233" s="63" t="n"/>
      <c r="F233" s="65" t="n"/>
      <c r="G233" s="65" t="n"/>
      <c r="H233" s="71" t="n"/>
      <c r="I233" s="71" t="n"/>
      <c r="J233" s="21" t="n"/>
    </row>
    <row r="234">
      <c r="B234" s="37" t="n"/>
      <c r="C234" s="62" t="n"/>
      <c r="D234" s="63" t="n"/>
      <c r="F234" s="65" t="n"/>
      <c r="G234" s="65" t="n"/>
      <c r="H234" s="71" t="n"/>
      <c r="I234" s="71" t="n"/>
      <c r="J234" s="21" t="n"/>
    </row>
    <row r="235">
      <c r="B235" s="37" t="n"/>
      <c r="C235" s="62" t="n"/>
      <c r="D235" s="63" t="n"/>
      <c r="F235" s="65" t="n"/>
      <c r="G235" s="65" t="n"/>
      <c r="H235" s="71" t="n"/>
      <c r="I235" s="71" t="n"/>
      <c r="J235" s="21" t="n"/>
    </row>
    <row r="236">
      <c r="B236" s="37" t="n"/>
      <c r="C236" s="62" t="n"/>
      <c r="D236" s="63" t="n"/>
      <c r="F236" s="65" t="n"/>
      <c r="G236" s="65" t="n"/>
      <c r="H236" s="71" t="n"/>
      <c r="I236" s="71" t="n"/>
      <c r="J236" s="21" t="n"/>
    </row>
    <row r="237">
      <c r="B237" s="37" t="n"/>
      <c r="C237" s="62" t="n"/>
      <c r="D237" s="63" t="n"/>
      <c r="F237" s="65" t="n"/>
      <c r="G237" s="65" t="n"/>
      <c r="H237" s="71" t="n"/>
      <c r="I237" s="71" t="n"/>
      <c r="J237" s="21" t="n"/>
    </row>
    <row r="238">
      <c r="B238" s="37" t="n"/>
      <c r="C238" s="62" t="n"/>
      <c r="D238" s="63" t="n"/>
      <c r="F238" s="65" t="n"/>
      <c r="G238" s="65" t="n"/>
      <c r="H238" s="71" t="n"/>
      <c r="I238" s="71" t="n"/>
      <c r="J238" s="21" t="n"/>
    </row>
    <row r="239">
      <c r="B239" s="37" t="n"/>
      <c r="C239" s="62" t="n"/>
      <c r="D239" s="63" t="n"/>
      <c r="F239" s="65" t="n"/>
      <c r="G239" s="65" t="n"/>
      <c r="H239" s="71" t="n"/>
      <c r="I239" s="71" t="n"/>
      <c r="J239" s="21" t="n"/>
    </row>
    <row r="240">
      <c r="B240" s="37" t="n"/>
      <c r="C240" s="62" t="n"/>
      <c r="D240" s="63" t="n"/>
      <c r="F240" s="65" t="n"/>
      <c r="G240" s="65" t="n"/>
      <c r="H240" s="71" t="n"/>
      <c r="I240" s="71" t="n"/>
      <c r="J240" s="21" t="n"/>
    </row>
    <row r="241">
      <c r="B241" s="37" t="n"/>
      <c r="C241" s="62" t="n"/>
      <c r="D241" s="63" t="n"/>
      <c r="F241" s="65" t="n"/>
      <c r="G241" s="65" t="n"/>
      <c r="H241" s="71" t="n"/>
      <c r="I241" s="71" t="n"/>
      <c r="J241" s="21" t="n"/>
    </row>
    <row r="242">
      <c r="B242" s="37" t="n"/>
      <c r="C242" s="62" t="n"/>
      <c r="D242" s="63" t="n"/>
      <c r="F242" s="65" t="n"/>
      <c r="G242" s="65" t="n"/>
      <c r="H242" s="71" t="n"/>
      <c r="I242" s="71" t="n"/>
      <c r="J242" s="21" t="n"/>
    </row>
    <row r="243">
      <c r="B243" s="37" t="n"/>
      <c r="C243" s="62" t="n"/>
      <c r="D243" s="63" t="n"/>
      <c r="F243" s="65" t="n"/>
      <c r="G243" s="65" t="n"/>
      <c r="H243" s="71" t="n"/>
      <c r="I243" s="71" t="n"/>
      <c r="J243" s="21" t="n"/>
    </row>
    <row r="244">
      <c r="B244" s="37" t="n"/>
      <c r="C244" s="62" t="n"/>
      <c r="D244" s="63" t="n"/>
      <c r="F244" s="65" t="n"/>
      <c r="G244" s="65" t="n"/>
      <c r="H244" s="71" t="n"/>
      <c r="I244" s="71" t="n"/>
      <c r="J244" s="21" t="n"/>
    </row>
    <row r="245">
      <c r="B245" s="37" t="n"/>
      <c r="C245" s="62" t="n"/>
      <c r="D245" s="63" t="n"/>
      <c r="F245" s="65" t="n"/>
      <c r="G245" s="65" t="n"/>
      <c r="H245" s="71" t="n"/>
      <c r="I245" s="71" t="n"/>
      <c r="J245" s="21" t="n"/>
    </row>
    <row r="246">
      <c r="B246" s="37" t="n"/>
      <c r="C246" s="62" t="n"/>
      <c r="D246" s="63" t="n"/>
      <c r="F246" s="65" t="n"/>
      <c r="G246" s="65" t="n"/>
      <c r="H246" s="71" t="n"/>
      <c r="I246" s="71" t="n"/>
      <c r="J246" s="21" t="n"/>
    </row>
    <row r="247">
      <c r="B247" s="37" t="n"/>
      <c r="C247" s="62" t="n"/>
      <c r="D247" s="63" t="n"/>
      <c r="F247" s="65" t="n"/>
      <c r="G247" s="65" t="n"/>
      <c r="H247" s="71" t="n"/>
      <c r="I247" s="71" t="n"/>
      <c r="J247" s="21" t="n"/>
    </row>
    <row r="248">
      <c r="B248" s="37" t="n"/>
      <c r="C248" s="62" t="n"/>
      <c r="D248" s="63" t="n"/>
      <c r="F248" s="65" t="n"/>
      <c r="G248" s="65" t="n"/>
      <c r="H248" s="71" t="n"/>
      <c r="I248" s="71" t="n"/>
      <c r="J248" s="21" t="n"/>
    </row>
    <row r="249">
      <c r="B249" s="37" t="n"/>
      <c r="C249" s="62" t="n"/>
      <c r="D249" s="63" t="n"/>
      <c r="F249" s="65" t="n"/>
      <c r="G249" s="65" t="n"/>
      <c r="H249" s="71" t="n"/>
      <c r="I249" s="71" t="n"/>
      <c r="J249" s="21" t="n"/>
    </row>
    <row r="250">
      <c r="B250" s="37" t="n"/>
      <c r="C250" s="62" t="n"/>
      <c r="D250" s="63" t="n"/>
      <c r="F250" s="65" t="n"/>
      <c r="G250" s="65" t="n"/>
      <c r="H250" s="71" t="n"/>
      <c r="I250" s="71" t="n"/>
      <c r="J250" s="21" t="n"/>
    </row>
    <row r="251">
      <c r="B251" s="37" t="n"/>
      <c r="C251" s="62" t="n"/>
      <c r="D251" s="63" t="n"/>
      <c r="F251" s="65" t="n"/>
      <c r="G251" s="65" t="n"/>
      <c r="H251" s="71" t="n"/>
      <c r="I251" s="71" t="n"/>
      <c r="J251" s="21" t="n"/>
    </row>
    <row r="252">
      <c r="B252" s="37" t="n"/>
      <c r="C252" s="62" t="n"/>
      <c r="D252" s="63" t="n"/>
      <c r="F252" s="65" t="n"/>
      <c r="G252" s="65" t="n"/>
      <c r="H252" s="71" t="n"/>
      <c r="I252" s="71" t="n"/>
      <c r="J252" s="21" t="n"/>
    </row>
    <row r="253">
      <c r="B253" s="37" t="n"/>
      <c r="C253" s="62" t="n"/>
      <c r="D253" s="63" t="n"/>
      <c r="F253" s="65" t="n"/>
      <c r="G253" s="65" t="n"/>
      <c r="H253" s="71" t="n"/>
      <c r="I253" s="71" t="n"/>
      <c r="J253" s="21" t="n"/>
    </row>
    <row r="254">
      <c r="B254" s="37" t="n"/>
      <c r="C254" s="62" t="n"/>
      <c r="D254" s="63" t="n"/>
      <c r="F254" s="65" t="n"/>
      <c r="G254" s="65" t="n"/>
      <c r="H254" s="71" t="n"/>
      <c r="I254" s="71" t="n"/>
      <c r="J254" s="21" t="n"/>
    </row>
    <row r="255">
      <c r="B255" s="37" t="n"/>
      <c r="C255" s="62" t="n"/>
      <c r="D255" s="63" t="n"/>
      <c r="F255" s="65" t="n"/>
      <c r="G255" s="65" t="n"/>
      <c r="H255" s="71" t="n"/>
      <c r="I255" s="71" t="n"/>
      <c r="J255" s="21" t="n"/>
    </row>
    <row r="256">
      <c r="B256" s="37" t="n"/>
      <c r="C256" s="62" t="n"/>
      <c r="D256" s="63" t="n"/>
      <c r="F256" s="65" t="n"/>
      <c r="G256" s="65" t="n"/>
      <c r="H256" s="71" t="n"/>
      <c r="I256" s="71" t="n"/>
      <c r="J256" s="21" t="n"/>
    </row>
    <row r="257">
      <c r="B257" s="37" t="n"/>
      <c r="C257" s="62" t="n"/>
      <c r="D257" s="63" t="n"/>
      <c r="F257" s="65" t="n"/>
      <c r="G257" s="65" t="n"/>
      <c r="H257" s="71" t="n"/>
      <c r="I257" s="71" t="n"/>
      <c r="J257" s="21" t="n"/>
    </row>
    <row r="258">
      <c r="B258" s="37" t="n"/>
      <c r="C258" s="62" t="n"/>
      <c r="D258" s="63" t="n"/>
      <c r="F258" s="65" t="n"/>
      <c r="G258" s="65" t="n"/>
      <c r="H258" s="71" t="n"/>
      <c r="I258" s="71" t="n"/>
      <c r="J258" s="21" t="n"/>
    </row>
    <row r="259">
      <c r="B259" s="37" t="n"/>
      <c r="C259" s="62" t="n"/>
      <c r="D259" s="63" t="n"/>
      <c r="F259" s="65" t="n"/>
      <c r="G259" s="65" t="n"/>
      <c r="H259" s="71" t="n"/>
      <c r="I259" s="71" t="n"/>
      <c r="J259" s="21" t="n"/>
    </row>
    <row r="260">
      <c r="B260" s="37" t="n"/>
      <c r="C260" s="62" t="n"/>
      <c r="D260" s="63" t="n"/>
      <c r="F260" s="65" t="n"/>
      <c r="G260" s="65" t="n"/>
      <c r="H260" s="71" t="n"/>
      <c r="I260" s="71" t="n"/>
      <c r="J260" s="21" t="n"/>
    </row>
    <row r="261">
      <c r="B261" s="37" t="n"/>
      <c r="C261" s="62" t="n"/>
      <c r="D261" s="63" t="n"/>
      <c r="F261" s="65" t="n"/>
      <c r="G261" s="65" t="n"/>
      <c r="H261" s="71" t="n"/>
      <c r="I261" s="71" t="n"/>
      <c r="J261" s="21" t="n"/>
    </row>
    <row r="262">
      <c r="B262" s="37" t="n"/>
      <c r="C262" s="62" t="n"/>
      <c r="D262" s="63" t="n"/>
      <c r="F262" s="65" t="n"/>
      <c r="G262" s="65" t="n"/>
      <c r="H262" s="71" t="n"/>
      <c r="I262" s="71" t="n"/>
      <c r="J262" s="21" t="n"/>
    </row>
    <row r="263">
      <c r="B263" s="37" t="n"/>
      <c r="C263" s="62" t="n"/>
      <c r="D263" s="63" t="n"/>
      <c r="F263" s="65" t="n"/>
      <c r="G263" s="65" t="n"/>
      <c r="H263" s="71" t="n"/>
      <c r="I263" s="71" t="n"/>
      <c r="J263" s="21" t="n"/>
    </row>
    <row r="264">
      <c r="B264" s="37" t="n"/>
      <c r="C264" s="62" t="n"/>
      <c r="D264" s="63" t="n"/>
      <c r="F264" s="65" t="n"/>
      <c r="G264" s="65" t="n"/>
      <c r="H264" s="71" t="n"/>
      <c r="I264" s="71" t="n"/>
      <c r="J264" s="21" t="n"/>
    </row>
    <row r="265">
      <c r="B265" s="37" t="n"/>
      <c r="C265" s="62" t="n"/>
      <c r="D265" s="63" t="n"/>
      <c r="F265" s="65" t="n"/>
      <c r="G265" s="65" t="n"/>
      <c r="H265" s="71" t="n"/>
      <c r="I265" s="71" t="n"/>
      <c r="J265" s="21" t="n"/>
    </row>
    <row r="266">
      <c r="B266" s="37" t="n"/>
      <c r="C266" s="62" t="n"/>
      <c r="D266" s="63" t="n"/>
      <c r="F266" s="65" t="n"/>
      <c r="G266" s="65" t="n"/>
      <c r="H266" s="71" t="n"/>
      <c r="I266" s="71" t="n"/>
      <c r="J266" s="21" t="n"/>
    </row>
    <row r="267">
      <c r="B267" s="37" t="n"/>
      <c r="C267" s="62" t="n"/>
      <c r="D267" s="63" t="n"/>
      <c r="F267" s="65" t="n"/>
      <c r="G267" s="65" t="n"/>
      <c r="H267" s="71" t="n"/>
      <c r="I267" s="71" t="n"/>
      <c r="J267" s="21" t="n"/>
    </row>
    <row r="268">
      <c r="B268" s="37" t="n"/>
      <c r="C268" s="62" t="n"/>
      <c r="D268" s="63" t="n"/>
      <c r="F268" s="65" t="n"/>
      <c r="G268" s="65" t="n"/>
      <c r="H268" s="71" t="n"/>
      <c r="I268" s="71" t="n"/>
      <c r="J268" s="21" t="n"/>
    </row>
    <row r="269">
      <c r="B269" s="37" t="n"/>
      <c r="C269" s="62" t="n"/>
      <c r="D269" s="63" t="n"/>
      <c r="F269" s="65" t="n"/>
      <c r="G269" s="65" t="n"/>
      <c r="H269" s="71" t="n"/>
      <c r="I269" s="71" t="n"/>
      <c r="J269" s="21" t="n"/>
    </row>
    <row r="270">
      <c r="B270" s="37" t="n"/>
      <c r="C270" s="62" t="n"/>
      <c r="D270" s="63" t="n"/>
      <c r="F270" s="65" t="n"/>
      <c r="G270" s="65" t="n"/>
      <c r="H270" s="71" t="n"/>
      <c r="I270" s="71" t="n"/>
      <c r="J270" s="21" t="n"/>
    </row>
    <row r="271">
      <c r="B271" s="37" t="n"/>
      <c r="C271" s="62" t="n"/>
      <c r="D271" s="63" t="n"/>
      <c r="F271" s="65" t="n"/>
      <c r="G271" s="65" t="n"/>
      <c r="H271" s="71" t="n"/>
      <c r="I271" s="71" t="n"/>
      <c r="J271" s="21" t="n"/>
    </row>
    <row r="272">
      <c r="B272" s="37" t="n"/>
      <c r="C272" s="62" t="n"/>
      <c r="D272" s="63" t="n"/>
      <c r="F272" s="65" t="n"/>
      <c r="G272" s="65" t="n"/>
      <c r="H272" s="71" t="n"/>
      <c r="I272" s="71" t="n"/>
      <c r="J272" s="21" t="n"/>
    </row>
    <row r="273">
      <c r="B273" s="37" t="n"/>
      <c r="C273" s="62" t="n"/>
      <c r="D273" s="63" t="n"/>
      <c r="F273" s="65" t="n"/>
      <c r="G273" s="65" t="n"/>
      <c r="H273" s="71" t="n"/>
      <c r="I273" s="71" t="n"/>
      <c r="J273" s="21" t="n"/>
    </row>
    <row r="274">
      <c r="B274" s="37" t="n"/>
      <c r="C274" s="62" t="n"/>
      <c r="D274" s="63" t="n"/>
      <c r="F274" s="65" t="n"/>
      <c r="G274" s="65" t="n"/>
      <c r="H274" s="71" t="n"/>
      <c r="I274" s="71" t="n"/>
      <c r="J274" s="21" t="n"/>
    </row>
    <row r="275">
      <c r="B275" s="37" t="n"/>
      <c r="C275" s="62" t="n"/>
      <c r="D275" s="63" t="n"/>
      <c r="F275" s="65" t="n"/>
      <c r="G275" s="65" t="n"/>
      <c r="H275" s="71" t="n"/>
      <c r="I275" s="71" t="n"/>
      <c r="J275" s="21" t="n"/>
    </row>
    <row r="276">
      <c r="B276" s="37" t="n"/>
      <c r="C276" s="62" t="n"/>
      <c r="D276" s="63" t="n"/>
      <c r="F276" s="65" t="n"/>
      <c r="G276" s="65" t="n"/>
      <c r="H276" s="71" t="n"/>
      <c r="I276" s="71" t="n"/>
      <c r="J276" s="21" t="n"/>
    </row>
    <row r="277">
      <c r="B277" s="37" t="n"/>
      <c r="C277" s="62" t="n"/>
      <c r="D277" s="63" t="n"/>
      <c r="F277" s="65" t="n"/>
      <c r="G277" s="65" t="n"/>
      <c r="H277" s="71" t="n"/>
      <c r="I277" s="71" t="n"/>
      <c r="J277" s="21" t="n"/>
    </row>
    <row r="278">
      <c r="B278" s="37" t="n"/>
      <c r="C278" s="62" t="n"/>
      <c r="D278" s="63" t="n"/>
      <c r="F278" s="65" t="n"/>
      <c r="G278" s="65" t="n"/>
      <c r="H278" s="71" t="n"/>
      <c r="I278" s="71" t="n"/>
      <c r="J278" s="21" t="n"/>
    </row>
    <row r="279">
      <c r="B279" s="37" t="n"/>
      <c r="C279" s="62" t="n"/>
      <c r="D279" s="63" t="n"/>
      <c r="F279" s="65" t="n"/>
      <c r="G279" s="65" t="n"/>
      <c r="H279" s="71" t="n"/>
      <c r="I279" s="71" t="n"/>
      <c r="J279" s="21" t="n"/>
    </row>
    <row r="280">
      <c r="B280" s="37" t="n"/>
      <c r="C280" s="62" t="n"/>
      <c r="D280" s="63" t="n"/>
      <c r="F280" s="65" t="n"/>
      <c r="G280" s="65" t="n"/>
      <c r="H280" s="71" t="n"/>
      <c r="I280" s="71" t="n"/>
      <c r="J280" s="21" t="n"/>
    </row>
    <row r="281">
      <c r="B281" s="37" t="n"/>
      <c r="C281" s="62" t="n"/>
      <c r="D281" s="63" t="n"/>
      <c r="F281" s="65" t="n"/>
      <c r="G281" s="65" t="n"/>
      <c r="H281" s="71" t="n"/>
      <c r="I281" s="71" t="n"/>
      <c r="J281" s="21" t="n"/>
    </row>
    <row r="282">
      <c r="B282" s="37" t="n"/>
      <c r="C282" s="62" t="n"/>
      <c r="D282" s="63" t="n"/>
      <c r="F282" s="65" t="n"/>
      <c r="G282" s="65" t="n"/>
      <c r="H282" s="71" t="n"/>
      <c r="I282" s="71" t="n"/>
      <c r="J282" s="21" t="n"/>
    </row>
    <row r="283">
      <c r="B283" s="37" t="n"/>
      <c r="C283" s="62" t="n"/>
      <c r="D283" s="63" t="n"/>
      <c r="F283" s="65" t="n"/>
      <c r="G283" s="65" t="n"/>
      <c r="H283" s="71" t="n"/>
      <c r="I283" s="71" t="n"/>
      <c r="J283" s="21" t="n"/>
    </row>
    <row r="284">
      <c r="B284" s="37" t="n"/>
      <c r="C284" s="62" t="n"/>
      <c r="D284" s="63" t="n"/>
      <c r="F284" s="65" t="n"/>
      <c r="G284" s="65" t="n"/>
      <c r="H284" s="71" t="n"/>
      <c r="I284" s="71" t="n"/>
      <c r="J284" s="21" t="n"/>
    </row>
    <row r="285">
      <c r="B285" s="37" t="n"/>
      <c r="C285" s="62" t="n"/>
      <c r="D285" s="63" t="n"/>
      <c r="F285" s="65" t="n"/>
      <c r="G285" s="65" t="n"/>
      <c r="H285" s="71" t="n"/>
      <c r="I285" s="71" t="n"/>
      <c r="J285" s="21" t="n"/>
    </row>
    <row r="286">
      <c r="B286" s="37" t="n"/>
      <c r="C286" s="62" t="n"/>
      <c r="D286" s="63" t="n"/>
      <c r="F286" s="65" t="n"/>
      <c r="G286" s="65" t="n"/>
      <c r="H286" s="71" t="n"/>
      <c r="I286" s="71" t="n"/>
      <c r="J286" s="21" t="n"/>
    </row>
    <row r="287">
      <c r="B287" s="37" t="n"/>
      <c r="C287" s="62" t="n"/>
      <c r="D287" s="63" t="n"/>
      <c r="F287" s="65" t="n"/>
      <c r="G287" s="65" t="n"/>
      <c r="H287" s="71" t="n"/>
      <c r="I287" s="71" t="n"/>
      <c r="J287" s="21" t="n"/>
    </row>
    <row r="288">
      <c r="B288" s="37" t="n"/>
      <c r="C288" s="62" t="n"/>
      <c r="D288" s="63" t="n"/>
      <c r="F288" s="65" t="n"/>
      <c r="G288" s="65" t="n"/>
      <c r="H288" s="71" t="n"/>
      <c r="I288" s="71" t="n"/>
      <c r="J288" s="21" t="n"/>
    </row>
    <row r="289">
      <c r="B289" s="37" t="n"/>
      <c r="C289" s="62" t="n"/>
      <c r="D289" s="63" t="n"/>
      <c r="F289" s="65" t="n"/>
      <c r="G289" s="65" t="n"/>
      <c r="H289" s="71" t="n"/>
      <c r="I289" s="71" t="n"/>
      <c r="J289" s="21" t="n"/>
    </row>
    <row r="290">
      <c r="B290" s="37" t="n"/>
      <c r="C290" s="62" t="n"/>
      <c r="D290" s="63" t="n"/>
      <c r="F290" s="65" t="n"/>
      <c r="G290" s="65" t="n"/>
      <c r="H290" s="71" t="n"/>
      <c r="I290" s="71" t="n"/>
      <c r="J290" s="21" t="n"/>
    </row>
    <row r="291">
      <c r="B291" s="37" t="n"/>
      <c r="C291" s="62" t="n"/>
      <c r="D291" s="63" t="n"/>
      <c r="F291" s="65" t="n"/>
      <c r="G291" s="65" t="n"/>
      <c r="H291" s="71" t="n"/>
      <c r="I291" s="71" t="n"/>
      <c r="J291" s="21" t="n"/>
    </row>
    <row r="292">
      <c r="B292" s="37" t="n"/>
      <c r="C292" s="62" t="n"/>
      <c r="D292" s="63" t="n"/>
      <c r="F292" s="65" t="n"/>
      <c r="G292" s="65" t="n"/>
      <c r="H292" s="71" t="n"/>
      <c r="I292" s="71" t="n"/>
      <c r="J292" s="21" t="n"/>
    </row>
    <row r="293">
      <c r="B293" s="37" t="n"/>
      <c r="C293" s="62" t="n"/>
      <c r="D293" s="63" t="n"/>
      <c r="F293" s="65" t="n"/>
      <c r="G293" s="65" t="n"/>
      <c r="H293" s="71" t="n"/>
      <c r="I293" s="71" t="n"/>
      <c r="J293" s="21" t="n"/>
    </row>
    <row r="294">
      <c r="B294" s="37" t="n"/>
      <c r="C294" s="62" t="n"/>
      <c r="D294" s="63" t="n"/>
      <c r="F294" s="65" t="n"/>
      <c r="G294" s="65" t="n"/>
      <c r="H294" s="71" t="n"/>
      <c r="I294" s="71" t="n"/>
      <c r="J294" s="21" t="n"/>
    </row>
    <row r="295">
      <c r="B295" s="37" t="n"/>
      <c r="C295" s="62" t="n"/>
      <c r="D295" s="63" t="n"/>
      <c r="F295" s="65" t="n"/>
      <c r="G295" s="65" t="n"/>
      <c r="H295" s="71" t="n"/>
      <c r="I295" s="71" t="n"/>
      <c r="J295" s="21" t="n"/>
    </row>
    <row r="296">
      <c r="B296" s="37" t="n"/>
      <c r="C296" s="62" t="n"/>
      <c r="D296" s="63" t="n"/>
      <c r="F296" s="65" t="n"/>
      <c r="G296" s="65" t="n"/>
      <c r="H296" s="71" t="n"/>
      <c r="I296" s="71" t="n"/>
      <c r="J296" s="21" t="n"/>
    </row>
    <row r="297">
      <c r="B297" s="37" t="n"/>
      <c r="C297" s="62" t="n"/>
      <c r="D297" s="63" t="n"/>
      <c r="F297" s="65" t="n"/>
      <c r="G297" s="65" t="n"/>
      <c r="H297" s="71" t="n"/>
      <c r="I297" s="71" t="n"/>
      <c r="J297" s="21" t="n"/>
    </row>
    <row r="298">
      <c r="B298" s="37" t="n"/>
      <c r="C298" s="62" t="n"/>
      <c r="D298" s="63" t="n"/>
      <c r="F298" s="65" t="n"/>
      <c r="G298" s="65" t="n"/>
      <c r="H298" s="71" t="n"/>
      <c r="I298" s="71" t="n"/>
      <c r="J298" s="21" t="n"/>
    </row>
    <row r="299">
      <c r="B299" s="37" t="n"/>
      <c r="C299" s="62" t="n"/>
      <c r="D299" s="63" t="n"/>
      <c r="F299" s="65" t="n"/>
      <c r="G299" s="65" t="n"/>
      <c r="H299" s="71" t="n"/>
      <c r="I299" s="71" t="n"/>
      <c r="J299" s="21" t="n"/>
    </row>
    <row r="300">
      <c r="B300" s="37" t="n"/>
      <c r="C300" s="62" t="n"/>
      <c r="D300" s="63" t="n"/>
      <c r="F300" s="65" t="n"/>
      <c r="G300" s="65" t="n"/>
      <c r="H300" s="71" t="n"/>
      <c r="I300" s="71" t="n"/>
      <c r="J300" s="21" t="n"/>
    </row>
    <row r="301">
      <c r="B301" s="37" t="n"/>
      <c r="C301" s="62" t="n"/>
      <c r="D301" s="63" t="n"/>
      <c r="F301" s="65" t="n"/>
      <c r="G301" s="65" t="n"/>
      <c r="H301" s="71" t="n"/>
      <c r="I301" s="71" t="n"/>
      <c r="J301" s="21" t="n"/>
    </row>
    <row r="302">
      <c r="B302" s="37" t="n"/>
      <c r="C302" s="62" t="n"/>
      <c r="D302" s="63" t="n"/>
      <c r="F302" s="65" t="n"/>
      <c r="G302" s="65" t="n"/>
      <c r="H302" s="71" t="n"/>
      <c r="I302" s="71" t="n"/>
      <c r="J302" s="21" t="n"/>
    </row>
    <row r="303">
      <c r="B303" s="37" t="n"/>
      <c r="C303" s="62" t="n"/>
      <c r="D303" s="63" t="n"/>
      <c r="F303" s="65" t="n"/>
      <c r="G303" s="65" t="n"/>
      <c r="H303" s="71" t="n"/>
      <c r="I303" s="71" t="n"/>
      <c r="J303" s="21" t="n"/>
    </row>
    <row r="304">
      <c r="B304" s="37" t="n"/>
      <c r="C304" s="62" t="n"/>
      <c r="D304" s="63" t="n"/>
      <c r="F304" s="65" t="n"/>
      <c r="G304" s="65" t="n"/>
      <c r="H304" s="71" t="n"/>
      <c r="I304" s="71" t="n"/>
      <c r="J304" s="21" t="n"/>
    </row>
    <row r="305">
      <c r="B305" s="37" t="n"/>
      <c r="C305" s="62" t="n"/>
      <c r="D305" s="63" t="n"/>
      <c r="F305" s="65" t="n"/>
      <c r="G305" s="65" t="n"/>
      <c r="H305" s="71" t="n"/>
      <c r="I305" s="71" t="n"/>
      <c r="J305" s="21" t="n"/>
    </row>
    <row r="306">
      <c r="B306" s="37" t="n"/>
      <c r="C306" s="62" t="n"/>
      <c r="D306" s="63" t="n"/>
      <c r="F306" s="65" t="n"/>
      <c r="G306" s="65" t="n"/>
      <c r="H306" s="71" t="n"/>
      <c r="I306" s="71" t="n"/>
      <c r="J306" s="21" t="n"/>
    </row>
    <row r="307">
      <c r="B307" s="37" t="n"/>
      <c r="C307" s="62" t="n"/>
      <c r="D307" s="63" t="n"/>
      <c r="F307" s="65" t="n"/>
      <c r="G307" s="65" t="n"/>
      <c r="H307" s="71" t="n"/>
      <c r="I307" s="71" t="n"/>
      <c r="J307" s="21" t="n"/>
    </row>
    <row r="308">
      <c r="B308" s="37" t="n"/>
      <c r="C308" s="62" t="n"/>
      <c r="D308" s="63" t="n"/>
      <c r="F308" s="65" t="n"/>
      <c r="G308" s="65" t="n"/>
      <c r="H308" s="71" t="n"/>
      <c r="I308" s="71" t="n"/>
      <c r="J308" s="21" t="n"/>
    </row>
    <row r="309">
      <c r="B309" s="37" t="n"/>
      <c r="C309" s="62" t="n"/>
      <c r="D309" s="63" t="n"/>
      <c r="F309" s="65" t="n"/>
      <c r="G309" s="65" t="n"/>
      <c r="H309" s="71" t="n"/>
      <c r="I309" s="71" t="n"/>
      <c r="J309" s="21" t="n"/>
    </row>
    <row r="310">
      <c r="B310" s="37" t="n"/>
      <c r="C310" s="62" t="n"/>
      <c r="D310" s="63" t="n"/>
      <c r="F310" s="65" t="n"/>
      <c r="G310" s="65" t="n"/>
      <c r="H310" s="71" t="n"/>
      <c r="I310" s="71" t="n"/>
      <c r="J310" s="21" t="n"/>
    </row>
    <row r="311">
      <c r="B311" s="37" t="n"/>
      <c r="C311" s="62" t="n"/>
      <c r="D311" s="63" t="n"/>
      <c r="F311" s="65" t="n"/>
      <c r="G311" s="65" t="n"/>
      <c r="H311" s="71" t="n"/>
      <c r="I311" s="71" t="n"/>
      <c r="J311" s="21" t="n"/>
    </row>
    <row r="312">
      <c r="B312" s="37" t="n"/>
      <c r="C312" s="62" t="n"/>
      <c r="D312" s="63" t="n"/>
      <c r="F312" s="65" t="n"/>
      <c r="G312" s="65" t="n"/>
      <c r="H312" s="71" t="n"/>
      <c r="I312" s="71" t="n"/>
      <c r="J312" s="21" t="n"/>
    </row>
    <row r="313">
      <c r="B313" s="37" t="n"/>
      <c r="C313" s="62" t="n"/>
      <c r="D313" s="63" t="n"/>
      <c r="F313" s="65" t="n"/>
      <c r="G313" s="65" t="n"/>
      <c r="H313" s="71" t="n"/>
      <c r="I313" s="71" t="n"/>
      <c r="J313" s="21" t="n"/>
    </row>
    <row r="314">
      <c r="B314" s="37" t="n"/>
      <c r="C314" s="62" t="n"/>
      <c r="D314" s="63" t="n"/>
      <c r="F314" s="65" t="n"/>
      <c r="G314" s="65" t="n"/>
      <c r="H314" s="71" t="n"/>
      <c r="I314" s="71" t="n"/>
      <c r="J314" s="21" t="n"/>
    </row>
    <row r="315">
      <c r="B315" s="37" t="n"/>
      <c r="C315" s="62" t="n"/>
      <c r="D315" s="63" t="n"/>
      <c r="F315" s="65" t="n"/>
      <c r="G315" s="65" t="n"/>
      <c r="H315" s="71" t="n"/>
      <c r="I315" s="71" t="n"/>
      <c r="J315" s="21" t="n"/>
    </row>
    <row r="316">
      <c r="B316" s="37" t="n"/>
      <c r="C316" s="62" t="n"/>
      <c r="D316" s="63" t="n"/>
      <c r="F316" s="65" t="n"/>
      <c r="G316" s="65" t="n"/>
      <c r="H316" s="71" t="n"/>
      <c r="I316" s="71" t="n"/>
      <c r="J316" s="21" t="n"/>
    </row>
    <row r="317">
      <c r="B317" s="37" t="n"/>
      <c r="C317" s="62" t="n"/>
      <c r="D317" s="63" t="n"/>
      <c r="F317" s="65" t="n"/>
      <c r="G317" s="65" t="n"/>
      <c r="H317" s="71" t="n"/>
      <c r="I317" s="71" t="n"/>
      <c r="J317" s="21" t="n"/>
    </row>
    <row r="318">
      <c r="B318" s="37" t="n"/>
      <c r="C318" s="62" t="n"/>
      <c r="D318" s="63" t="n"/>
      <c r="F318" s="65" t="n"/>
      <c r="G318" s="65" t="n"/>
      <c r="H318" s="71" t="n"/>
      <c r="I318" s="71" t="n"/>
      <c r="J318" s="21" t="n"/>
    </row>
    <row r="319">
      <c r="B319" s="37" t="n"/>
      <c r="C319" s="62" t="n"/>
      <c r="D319" s="63" t="n"/>
      <c r="F319" s="65" t="n"/>
      <c r="G319" s="65" t="n"/>
      <c r="H319" s="71" t="n"/>
      <c r="I319" s="71" t="n"/>
      <c r="J319" s="21" t="n"/>
    </row>
    <row r="320">
      <c r="B320" s="37" t="n"/>
      <c r="C320" s="62" t="n"/>
      <c r="D320" s="63" t="n"/>
      <c r="F320" s="65" t="n"/>
      <c r="G320" s="65" t="n"/>
      <c r="H320" s="71" t="n"/>
      <c r="I320" s="71" t="n"/>
      <c r="J320" s="21" t="n"/>
    </row>
    <row r="321">
      <c r="B321" s="37" t="n"/>
      <c r="C321" s="62" t="n"/>
      <c r="D321" s="63" t="n"/>
      <c r="F321" s="65" t="n"/>
      <c r="G321" s="65" t="n"/>
      <c r="H321" s="71" t="n"/>
      <c r="I321" s="71" t="n"/>
      <c r="J321" s="21" t="n"/>
    </row>
    <row r="322">
      <c r="B322" s="37" t="n"/>
      <c r="C322" s="62" t="n"/>
      <c r="D322" s="63" t="n"/>
      <c r="F322" s="65" t="n"/>
      <c r="G322" s="65" t="n"/>
      <c r="H322" s="71" t="n"/>
      <c r="I322" s="71" t="n"/>
      <c r="J322" s="21" t="n"/>
    </row>
    <row r="323">
      <c r="B323" s="37" t="n"/>
      <c r="C323" s="62" t="n"/>
      <c r="D323" s="63" t="n"/>
      <c r="F323" s="65" t="n"/>
      <c r="G323" s="65" t="n"/>
      <c r="H323" s="71" t="n"/>
      <c r="I323" s="71" t="n"/>
      <c r="J323" s="21" t="n"/>
    </row>
    <row r="324">
      <c r="B324" s="37" t="n"/>
      <c r="C324" s="62" t="n"/>
      <c r="D324" s="63" t="n"/>
      <c r="F324" s="65" t="n"/>
      <c r="G324" s="65" t="n"/>
      <c r="H324" s="71" t="n"/>
      <c r="I324" s="71" t="n"/>
      <c r="J324" s="21" t="n"/>
    </row>
    <row r="325">
      <c r="B325" s="37" t="n"/>
      <c r="C325" s="62" t="n"/>
      <c r="D325" s="63" t="n"/>
      <c r="F325" s="65" t="n"/>
      <c r="G325" s="65" t="n"/>
      <c r="H325" s="71" t="n"/>
      <c r="I325" s="71" t="n"/>
      <c r="J325" s="21" t="n"/>
    </row>
    <row r="326">
      <c r="B326" s="37" t="n"/>
      <c r="C326" s="62" t="n"/>
      <c r="D326" s="63" t="n"/>
      <c r="F326" s="65" t="n"/>
      <c r="G326" s="65" t="n"/>
      <c r="H326" s="71" t="n"/>
      <c r="I326" s="71" t="n"/>
      <c r="J326" s="21" t="n"/>
    </row>
    <row r="327">
      <c r="B327" s="37" t="n"/>
      <c r="C327" s="62" t="n"/>
      <c r="D327" s="63" t="n"/>
      <c r="F327" s="65" t="n"/>
      <c r="G327" s="65" t="n"/>
      <c r="H327" s="71" t="n"/>
      <c r="I327" s="71" t="n"/>
      <c r="J327" s="21" t="n"/>
    </row>
    <row r="328">
      <c r="B328" s="37" t="n"/>
      <c r="C328" s="62" t="n"/>
      <c r="D328" s="63" t="n"/>
      <c r="F328" s="65" t="n"/>
      <c r="G328" s="65" t="n"/>
      <c r="H328" s="71" t="n"/>
      <c r="I328" s="71" t="n"/>
      <c r="J328" s="21" t="n"/>
    </row>
    <row r="329">
      <c r="B329" s="37" t="n"/>
      <c r="C329" s="62" t="n"/>
      <c r="D329" s="63" t="n"/>
      <c r="F329" s="65" t="n"/>
      <c r="G329" s="65" t="n"/>
      <c r="H329" s="71" t="n"/>
      <c r="I329" s="71" t="n"/>
      <c r="J329" s="21" t="n"/>
    </row>
    <row r="330">
      <c r="B330" s="37" t="n"/>
      <c r="C330" s="62" t="n"/>
      <c r="D330" s="63" t="n"/>
      <c r="F330" s="65" t="n"/>
      <c r="G330" s="65" t="n"/>
      <c r="H330" s="71" t="n"/>
      <c r="I330" s="71" t="n"/>
      <c r="J330" s="21" t="n"/>
    </row>
    <row r="331">
      <c r="B331" s="37" t="n"/>
      <c r="C331" s="62" t="n"/>
      <c r="D331" s="63" t="n"/>
      <c r="F331" s="65" t="n"/>
      <c r="G331" s="65" t="n"/>
      <c r="H331" s="71" t="n"/>
      <c r="I331" s="71" t="n"/>
      <c r="J331" s="21" t="n"/>
    </row>
    <row r="332">
      <c r="B332" s="37" t="n"/>
      <c r="C332" s="62" t="n"/>
      <c r="D332" s="63" t="n"/>
      <c r="F332" s="65" t="n"/>
      <c r="G332" s="65" t="n"/>
      <c r="H332" s="71" t="n"/>
      <c r="I332" s="71" t="n"/>
      <c r="J332" s="21" t="n"/>
    </row>
    <row r="333">
      <c r="B333" s="37" t="n"/>
      <c r="C333" s="62" t="n"/>
      <c r="D333" s="63" t="n"/>
      <c r="F333" s="65" t="n"/>
      <c r="G333" s="65" t="n"/>
      <c r="H333" s="71" t="n"/>
      <c r="I333" s="71" t="n"/>
      <c r="J333" s="21" t="n"/>
    </row>
    <row r="334">
      <c r="B334" s="37" t="n"/>
      <c r="C334" s="62" t="n"/>
      <c r="D334" s="63" t="n"/>
      <c r="F334" s="65" t="n"/>
      <c r="G334" s="65" t="n"/>
      <c r="H334" s="71" t="n"/>
      <c r="I334" s="71" t="n"/>
      <c r="J334" s="21" t="n"/>
    </row>
    <row r="335">
      <c r="B335" s="37" t="n"/>
      <c r="C335" s="62" t="n"/>
      <c r="D335" s="63" t="n"/>
      <c r="F335" s="65" t="n"/>
      <c r="G335" s="65" t="n"/>
      <c r="H335" s="71" t="n"/>
      <c r="I335" s="71" t="n"/>
      <c r="J335" s="21" t="n"/>
    </row>
    <row r="336">
      <c r="B336" s="37" t="n"/>
      <c r="C336" s="62" t="n"/>
      <c r="D336" s="63" t="n"/>
      <c r="F336" s="65" t="n"/>
      <c r="G336" s="65" t="n"/>
      <c r="H336" s="71" t="n"/>
      <c r="I336" s="71" t="n"/>
      <c r="J336" s="21" t="n"/>
    </row>
    <row r="337">
      <c r="B337" s="37" t="n"/>
      <c r="C337" s="62" t="n"/>
      <c r="D337" s="63" t="n"/>
      <c r="F337" s="65" t="n"/>
      <c r="G337" s="65" t="n"/>
      <c r="H337" s="71" t="n"/>
      <c r="I337" s="71" t="n"/>
      <c r="J337" s="21" t="n"/>
    </row>
    <row r="338">
      <c r="B338" s="37" t="n"/>
      <c r="C338" s="62" t="n"/>
      <c r="D338" s="63" t="n"/>
      <c r="F338" s="65" t="n"/>
      <c r="G338" s="65" t="n"/>
      <c r="H338" s="71" t="n"/>
      <c r="I338" s="71" t="n"/>
      <c r="J338" s="21" t="n"/>
    </row>
    <row r="339">
      <c r="B339" s="37" t="n"/>
      <c r="C339" s="62" t="n"/>
      <c r="D339" s="63" t="n"/>
      <c r="F339" s="65" t="n"/>
      <c r="G339" s="65" t="n"/>
      <c r="H339" s="71" t="n"/>
      <c r="I339" s="71" t="n"/>
      <c r="J339" s="21" t="n"/>
    </row>
    <row r="340">
      <c r="B340" s="37" t="n"/>
      <c r="C340" s="62" t="n"/>
      <c r="D340" s="63" t="n"/>
      <c r="F340" s="65" t="n"/>
      <c r="G340" s="65" t="n"/>
      <c r="H340" s="71" t="n"/>
      <c r="I340" s="71" t="n"/>
      <c r="J340" s="21" t="n"/>
    </row>
    <row r="341">
      <c r="B341" s="37" t="n"/>
      <c r="C341" s="62" t="n"/>
      <c r="D341" s="63" t="n"/>
      <c r="F341" s="65" t="n"/>
      <c r="G341" s="65" t="n"/>
      <c r="H341" s="71" t="n"/>
      <c r="I341" s="71" t="n"/>
      <c r="J341" s="21" t="n"/>
    </row>
    <row r="342">
      <c r="B342" s="37" t="n"/>
      <c r="C342" s="62" t="n"/>
      <c r="D342" s="63" t="n"/>
      <c r="F342" s="65" t="n"/>
      <c r="G342" s="65" t="n"/>
      <c r="H342" s="71" t="n"/>
      <c r="I342" s="71" t="n"/>
      <c r="J342" s="21" t="n"/>
    </row>
    <row r="343">
      <c r="B343" s="37" t="n"/>
      <c r="C343" s="62" t="n"/>
      <c r="D343" s="63" t="n"/>
      <c r="F343" s="65" t="n"/>
      <c r="G343" s="65" t="n"/>
      <c r="H343" s="71" t="n"/>
      <c r="I343" s="71" t="n"/>
      <c r="J343" s="21" t="n"/>
    </row>
    <row r="344">
      <c r="B344" s="37" t="n"/>
      <c r="C344" s="62" t="n"/>
      <c r="D344" s="63" t="n"/>
      <c r="F344" s="65" t="n"/>
      <c r="G344" s="65" t="n"/>
      <c r="H344" s="71" t="n"/>
      <c r="I344" s="71" t="n"/>
      <c r="J344" s="21" t="n"/>
    </row>
    <row r="345">
      <c r="B345" s="37" t="n"/>
      <c r="C345" s="62" t="n"/>
      <c r="D345" s="63" t="n"/>
      <c r="F345" s="65" t="n"/>
      <c r="G345" s="65" t="n"/>
      <c r="H345" s="71" t="n"/>
      <c r="I345" s="71" t="n"/>
      <c r="J345" s="21" t="n"/>
    </row>
    <row r="346">
      <c r="B346" s="37" t="n"/>
      <c r="C346" s="62" t="n"/>
      <c r="D346" s="63" t="n"/>
      <c r="F346" s="65" t="n"/>
      <c r="G346" s="65" t="n"/>
      <c r="H346" s="71" t="n"/>
      <c r="I346" s="71" t="n"/>
      <c r="J346" s="21" t="n"/>
    </row>
    <row r="347">
      <c r="B347" s="37" t="n"/>
      <c r="C347" s="62" t="n"/>
      <c r="D347" s="63" t="n"/>
      <c r="F347" s="65" t="n"/>
      <c r="G347" s="65" t="n"/>
      <c r="H347" s="71" t="n"/>
      <c r="I347" s="71" t="n"/>
      <c r="J347" s="21" t="n"/>
    </row>
    <row r="348">
      <c r="B348" s="37" t="n"/>
      <c r="C348" s="62" t="n"/>
      <c r="D348" s="63" t="n"/>
      <c r="F348" s="65" t="n"/>
      <c r="G348" s="65" t="n"/>
      <c r="H348" s="71" t="n"/>
      <c r="I348" s="71" t="n"/>
      <c r="J348" s="21" t="n"/>
    </row>
    <row r="349">
      <c r="B349" s="37" t="n"/>
      <c r="C349" s="62" t="n"/>
      <c r="D349" s="63" t="n"/>
      <c r="F349" s="65" t="n"/>
      <c r="G349" s="65" t="n"/>
      <c r="H349" s="71" t="n"/>
      <c r="I349" s="71" t="n"/>
      <c r="J349" s="21" t="n"/>
    </row>
    <row r="350">
      <c r="B350" s="37" t="n"/>
      <c r="C350" s="62" t="n"/>
      <c r="D350" s="63" t="n"/>
      <c r="F350" s="65" t="n"/>
      <c r="G350" s="65" t="n"/>
      <c r="H350" s="71" t="n"/>
      <c r="I350" s="71" t="n"/>
      <c r="J350" s="21" t="n"/>
    </row>
    <row r="351">
      <c r="B351" s="37" t="n"/>
      <c r="C351" s="62" t="n"/>
      <c r="D351" s="63" t="n"/>
      <c r="F351" s="65" t="n"/>
      <c r="G351" s="65" t="n"/>
      <c r="H351" s="71" t="n"/>
      <c r="I351" s="71" t="n"/>
      <c r="J351" s="21" t="n"/>
    </row>
    <row r="352">
      <c r="B352" s="37" t="n"/>
      <c r="C352" s="62" t="n"/>
      <c r="D352" s="63" t="n"/>
      <c r="F352" s="65" t="n"/>
      <c r="G352" s="65" t="n"/>
      <c r="H352" s="71" t="n"/>
      <c r="I352" s="71" t="n"/>
      <c r="J352" s="21" t="n"/>
    </row>
    <row r="353">
      <c r="B353" s="37" t="n"/>
      <c r="C353" s="62" t="n"/>
      <c r="D353" s="63" t="n"/>
      <c r="F353" s="65" t="n"/>
      <c r="G353" s="65" t="n"/>
      <c r="H353" s="71" t="n"/>
      <c r="I353" s="71" t="n"/>
      <c r="J353" s="21" t="n"/>
    </row>
    <row r="354">
      <c r="B354" s="37" t="n"/>
      <c r="C354" s="62" t="n"/>
      <c r="D354" s="63" t="n"/>
      <c r="F354" s="65" t="n"/>
      <c r="G354" s="65" t="n"/>
      <c r="H354" s="71" t="n"/>
      <c r="I354" s="71" t="n"/>
      <c r="J354" s="21" t="n"/>
    </row>
    <row r="355">
      <c r="B355" s="37" t="n"/>
      <c r="C355" s="62" t="n"/>
      <c r="D355" s="63" t="n"/>
      <c r="F355" s="65" t="n"/>
      <c r="G355" s="65" t="n"/>
      <c r="H355" s="71" t="n"/>
      <c r="I355" s="71" t="n"/>
      <c r="J355" s="21" t="n"/>
    </row>
    <row r="356">
      <c r="B356" s="37" t="n"/>
      <c r="C356" s="62" t="n"/>
      <c r="D356" s="63" t="n"/>
      <c r="F356" s="65" t="n"/>
      <c r="G356" s="65" t="n"/>
      <c r="H356" s="71" t="n"/>
      <c r="I356" s="71" t="n"/>
      <c r="J356" s="21" t="n"/>
    </row>
    <row r="357">
      <c r="B357" s="37" t="n"/>
      <c r="C357" s="62" t="n"/>
      <c r="D357" s="63" t="n"/>
      <c r="F357" s="65" t="n"/>
      <c r="G357" s="65" t="n"/>
      <c r="H357" s="71" t="n"/>
      <c r="I357" s="71" t="n"/>
      <c r="J357" s="21" t="n"/>
    </row>
    <row r="358">
      <c r="B358" s="37" t="n"/>
      <c r="C358" s="62" t="n"/>
      <c r="D358" s="63" t="n"/>
      <c r="F358" s="65" t="n"/>
      <c r="G358" s="65" t="n"/>
      <c r="H358" s="71" t="n"/>
      <c r="I358" s="71" t="n"/>
      <c r="J358" s="21" t="n"/>
    </row>
    <row r="359">
      <c r="B359" s="37" t="n"/>
      <c r="C359" s="62" t="n"/>
      <c r="D359" s="63" t="n"/>
      <c r="F359" s="65" t="n"/>
      <c r="G359" s="65" t="n"/>
      <c r="H359" s="71" t="n"/>
      <c r="I359" s="71" t="n"/>
      <c r="J359" s="21" t="n"/>
    </row>
    <row r="360">
      <c r="B360" s="37" t="n"/>
      <c r="C360" s="62" t="n"/>
      <c r="D360" s="63" t="n"/>
      <c r="F360" s="65" t="n"/>
      <c r="G360" s="65" t="n"/>
      <c r="H360" s="71" t="n"/>
      <c r="I360" s="71" t="n"/>
      <c r="J360" s="21" t="n"/>
    </row>
    <row r="361">
      <c r="B361" s="37" t="n"/>
      <c r="C361" s="62" t="n"/>
      <c r="D361" s="63" t="n"/>
      <c r="F361" s="65" t="n"/>
      <c r="G361" s="65" t="n"/>
      <c r="H361" s="71" t="n"/>
      <c r="I361" s="71" t="n"/>
      <c r="J361" s="21" t="n"/>
    </row>
    <row r="362">
      <c r="B362" s="37" t="n"/>
      <c r="C362" s="62" t="n"/>
      <c r="D362" s="63" t="n"/>
      <c r="F362" s="65" t="n"/>
      <c r="G362" s="65" t="n"/>
      <c r="H362" s="71" t="n"/>
      <c r="I362" s="71" t="n"/>
      <c r="J362" s="21" t="n"/>
    </row>
    <row r="363">
      <c r="B363" s="37" t="n"/>
      <c r="C363" s="62" t="n"/>
      <c r="D363" s="63" t="n"/>
      <c r="F363" s="65" t="n"/>
      <c r="G363" s="65" t="n"/>
      <c r="H363" s="71" t="n"/>
      <c r="I363" s="71" t="n"/>
      <c r="J363" s="21" t="n"/>
    </row>
    <row r="364">
      <c r="B364" s="37" t="n"/>
      <c r="C364" s="62" t="n"/>
      <c r="D364" s="63" t="n"/>
      <c r="F364" s="65" t="n"/>
      <c r="G364" s="65" t="n"/>
      <c r="H364" s="71" t="n"/>
      <c r="I364" s="71" t="n"/>
      <c r="J364" s="21" t="n"/>
    </row>
    <row r="365">
      <c r="B365" s="37" t="n"/>
      <c r="C365" s="62" t="n"/>
      <c r="D365" s="63" t="n"/>
      <c r="F365" s="65" t="n"/>
      <c r="G365" s="65" t="n"/>
      <c r="H365" s="71" t="n"/>
      <c r="I365" s="71" t="n"/>
      <c r="J365" s="21" t="n"/>
    </row>
    <row r="366">
      <c r="B366" s="37" t="n"/>
      <c r="C366" s="62" t="n"/>
      <c r="D366" s="63" t="n"/>
      <c r="F366" s="65" t="n"/>
      <c r="G366" s="65" t="n"/>
      <c r="H366" s="71" t="n"/>
      <c r="I366" s="71" t="n"/>
      <c r="J366" s="21" t="n"/>
    </row>
    <row r="367">
      <c r="B367" s="37" t="n"/>
      <c r="C367" s="62" t="n"/>
      <c r="D367" s="63" t="n"/>
      <c r="F367" s="65" t="n"/>
      <c r="G367" s="65" t="n"/>
      <c r="H367" s="71" t="n"/>
      <c r="I367" s="71" t="n"/>
      <c r="J367" s="21" t="n"/>
    </row>
    <row r="368">
      <c r="B368" s="37" t="n"/>
      <c r="C368" s="62" t="n"/>
      <c r="D368" s="63" t="n"/>
      <c r="F368" s="65" t="n"/>
      <c r="G368" s="65" t="n"/>
      <c r="H368" s="71" t="n"/>
      <c r="I368" s="71" t="n"/>
      <c r="J368" s="21" t="n"/>
    </row>
    <row r="369">
      <c r="B369" s="37" t="n"/>
      <c r="C369" s="62" t="n"/>
      <c r="D369" s="63" t="n"/>
      <c r="F369" s="65" t="n"/>
      <c r="G369" s="65" t="n"/>
      <c r="H369" s="71" t="n"/>
      <c r="I369" s="71" t="n"/>
      <c r="J369" s="21" t="n"/>
    </row>
    <row r="370">
      <c r="B370" s="37" t="n"/>
      <c r="C370" s="62" t="n"/>
      <c r="D370" s="63" t="n"/>
      <c r="F370" s="65" t="n"/>
      <c r="G370" s="65" t="n"/>
      <c r="H370" s="71" t="n"/>
      <c r="I370" s="71" t="n"/>
      <c r="J370" s="21" t="n"/>
    </row>
    <row r="371">
      <c r="B371" s="37" t="n"/>
      <c r="C371" s="62" t="n"/>
      <c r="D371" s="63" t="n"/>
      <c r="F371" s="65" t="n"/>
      <c r="G371" s="65" t="n"/>
      <c r="H371" s="71" t="n"/>
      <c r="I371" s="71" t="n"/>
      <c r="J371" s="21" t="n"/>
    </row>
    <row r="372">
      <c r="B372" s="37" t="n"/>
      <c r="C372" s="62" t="n"/>
      <c r="D372" s="63" t="n"/>
      <c r="F372" s="65" t="n"/>
      <c r="G372" s="65" t="n"/>
      <c r="H372" s="71" t="n"/>
      <c r="I372" s="71" t="n"/>
      <c r="J372" s="21" t="n"/>
    </row>
    <row r="373">
      <c r="B373" s="37" t="n"/>
      <c r="C373" s="62" t="n"/>
      <c r="D373" s="63" t="n"/>
      <c r="F373" s="65" t="n"/>
      <c r="G373" s="65" t="n"/>
      <c r="H373" s="71" t="n"/>
      <c r="I373" s="71" t="n"/>
      <c r="J373" s="21" t="n"/>
    </row>
    <row r="374">
      <c r="B374" s="37" t="n"/>
      <c r="C374" s="62" t="n"/>
      <c r="D374" s="63" t="n"/>
      <c r="F374" s="65" t="n"/>
      <c r="G374" s="65" t="n"/>
      <c r="H374" s="71" t="n"/>
      <c r="I374" s="71" t="n"/>
      <c r="J374" s="21" t="n"/>
    </row>
    <row r="375">
      <c r="B375" s="37" t="n"/>
      <c r="C375" s="62" t="n"/>
      <c r="D375" s="63" t="n"/>
      <c r="F375" s="65" t="n"/>
      <c r="G375" s="65" t="n"/>
      <c r="H375" s="71" t="n"/>
      <c r="I375" s="71" t="n"/>
      <c r="J375" s="21" t="n"/>
    </row>
    <row r="376">
      <c r="B376" s="37" t="n"/>
      <c r="C376" s="62" t="n"/>
      <c r="D376" s="63" t="n"/>
      <c r="F376" s="65" t="n"/>
      <c r="G376" s="65" t="n"/>
      <c r="H376" s="71" t="n"/>
      <c r="I376" s="71" t="n"/>
      <c r="J376" s="21" t="n"/>
    </row>
    <row r="377">
      <c r="B377" s="37" t="n"/>
      <c r="C377" s="62" t="n"/>
      <c r="D377" s="63" t="n"/>
      <c r="F377" s="65" t="n"/>
      <c r="G377" s="65" t="n"/>
      <c r="H377" s="71" t="n"/>
      <c r="I377" s="71" t="n"/>
      <c r="J377" s="21" t="n"/>
    </row>
    <row r="378">
      <c r="B378" s="37" t="n"/>
      <c r="C378" s="62" t="n"/>
      <c r="D378" s="63" t="n"/>
      <c r="F378" s="65" t="n"/>
      <c r="G378" s="65" t="n"/>
      <c r="H378" s="71" t="n"/>
      <c r="I378" s="71" t="n"/>
      <c r="J378" s="21" t="n"/>
    </row>
    <row r="379">
      <c r="B379" s="37" t="n"/>
      <c r="C379" s="62" t="n"/>
      <c r="D379" s="63" t="n"/>
      <c r="F379" s="65" t="n"/>
      <c r="G379" s="65" t="n"/>
      <c r="H379" s="71" t="n"/>
      <c r="I379" s="71" t="n"/>
      <c r="J379" s="21" t="n"/>
    </row>
    <row r="380">
      <c r="B380" s="37" t="n"/>
      <c r="C380" s="62" t="n"/>
      <c r="D380" s="63" t="n"/>
      <c r="F380" s="65" t="n"/>
      <c r="G380" s="65" t="n"/>
      <c r="H380" s="71" t="n"/>
      <c r="I380" s="71" t="n"/>
      <c r="J380" s="21" t="n"/>
    </row>
    <row r="381">
      <c r="B381" s="37" t="n"/>
      <c r="C381" s="62" t="n"/>
      <c r="D381" s="63" t="n"/>
      <c r="F381" s="65" t="n"/>
      <c r="G381" s="65" t="n"/>
      <c r="H381" s="71" t="n"/>
      <c r="I381" s="71" t="n"/>
      <c r="J381" s="21" t="n"/>
    </row>
    <row r="382">
      <c r="B382" s="37" t="n"/>
      <c r="C382" s="62" t="n"/>
      <c r="D382" s="63" t="n"/>
      <c r="F382" s="65" t="n"/>
      <c r="G382" s="65" t="n"/>
      <c r="H382" s="71" t="n"/>
      <c r="I382" s="71" t="n"/>
      <c r="J382" s="21" t="n"/>
    </row>
    <row r="383">
      <c r="B383" s="37" t="n"/>
      <c r="C383" s="62" t="n"/>
      <c r="D383" s="63" t="n"/>
      <c r="F383" s="65" t="n"/>
      <c r="G383" s="65" t="n"/>
      <c r="H383" s="71" t="n"/>
      <c r="I383" s="71" t="n"/>
      <c r="J383" s="21" t="n"/>
    </row>
    <row r="384">
      <c r="B384" s="37" t="n"/>
      <c r="C384" s="62" t="n"/>
      <c r="D384" s="63" t="n"/>
      <c r="F384" s="65" t="n"/>
      <c r="G384" s="65" t="n"/>
      <c r="H384" s="71" t="n"/>
      <c r="I384" s="71" t="n"/>
      <c r="J384" s="21" t="n"/>
    </row>
    <row r="385">
      <c r="B385" s="37" t="n"/>
      <c r="C385" s="62" t="n"/>
      <c r="D385" s="63" t="n"/>
      <c r="F385" s="65" t="n"/>
      <c r="G385" s="65" t="n"/>
      <c r="H385" s="71" t="n"/>
      <c r="I385" s="71" t="n"/>
      <c r="J385" s="21" t="n"/>
    </row>
    <row r="386">
      <c r="B386" s="37" t="n"/>
      <c r="C386" s="62" t="n"/>
      <c r="D386" s="63" t="n"/>
      <c r="F386" s="65" t="n"/>
      <c r="G386" s="65" t="n"/>
      <c r="H386" s="71" t="n"/>
      <c r="I386" s="71" t="n"/>
      <c r="J386" s="21" t="n"/>
    </row>
    <row r="387">
      <c r="B387" s="37" t="n"/>
      <c r="C387" s="62" t="n"/>
      <c r="D387" s="63" t="n"/>
      <c r="F387" s="65" t="n"/>
      <c r="G387" s="65" t="n"/>
      <c r="H387" s="71" t="n"/>
      <c r="I387" s="71" t="n"/>
      <c r="J387" s="21" t="n"/>
    </row>
    <row r="388">
      <c r="B388" s="37" t="n"/>
      <c r="C388" s="62" t="n"/>
      <c r="D388" s="63" t="n"/>
      <c r="F388" s="65" t="n"/>
      <c r="G388" s="65" t="n"/>
      <c r="H388" s="71" t="n"/>
      <c r="I388" s="71" t="n"/>
      <c r="J388" s="21" t="n"/>
    </row>
    <row r="389">
      <c r="B389" s="37" t="n"/>
      <c r="C389" s="62" t="n"/>
      <c r="D389" s="63" t="n"/>
      <c r="F389" s="65" t="n"/>
      <c r="G389" s="65" t="n"/>
      <c r="H389" s="71" t="n"/>
      <c r="I389" s="71" t="n"/>
      <c r="J389" s="21" t="n"/>
    </row>
    <row r="390">
      <c r="B390" s="37" t="n"/>
      <c r="C390" s="62" t="n"/>
      <c r="D390" s="63" t="n"/>
      <c r="F390" s="65" t="n"/>
      <c r="G390" s="65" t="n"/>
      <c r="H390" s="71" t="n"/>
      <c r="I390" s="71" t="n"/>
      <c r="J390" s="21" t="n"/>
    </row>
    <row r="391">
      <c r="B391" s="37" t="n"/>
      <c r="C391" s="62" t="n"/>
      <c r="D391" s="63" t="n"/>
      <c r="F391" s="65" t="n"/>
      <c r="G391" s="65" t="n"/>
      <c r="H391" s="71" t="n"/>
      <c r="I391" s="71" t="n"/>
      <c r="J391" s="21" t="n"/>
    </row>
    <row r="392">
      <c r="B392" s="37" t="n"/>
      <c r="C392" s="62" t="n"/>
      <c r="D392" s="63" t="n"/>
      <c r="F392" s="65" t="n"/>
      <c r="G392" s="65" t="n"/>
      <c r="H392" s="71" t="n"/>
      <c r="I392" s="71" t="n"/>
      <c r="J392" s="21" t="n"/>
    </row>
    <row r="393">
      <c r="B393" s="37" t="n"/>
      <c r="C393" s="62" t="n"/>
      <c r="D393" s="63" t="n"/>
      <c r="F393" s="65" t="n"/>
      <c r="G393" s="65" t="n"/>
      <c r="H393" s="71" t="n"/>
      <c r="I393" s="71" t="n"/>
      <c r="J393" s="21" t="n"/>
    </row>
    <row r="394">
      <c r="B394" s="37" t="n"/>
      <c r="C394" s="62" t="n"/>
      <c r="D394" s="63" t="n"/>
      <c r="F394" s="65" t="n"/>
      <c r="G394" s="65" t="n"/>
      <c r="H394" s="71" t="n"/>
      <c r="I394" s="71" t="n"/>
      <c r="J394" s="21" t="n"/>
    </row>
    <row r="395">
      <c r="B395" s="37" t="n"/>
      <c r="C395" s="62" t="n"/>
      <c r="D395" s="63" t="n"/>
      <c r="F395" s="65" t="n"/>
      <c r="G395" s="65" t="n"/>
      <c r="H395" s="71" t="n"/>
      <c r="I395" s="71" t="n"/>
      <c r="J395" s="21" t="n"/>
    </row>
    <row r="396">
      <c r="B396" s="37" t="n"/>
      <c r="C396" s="62" t="n"/>
      <c r="D396" s="63" t="n"/>
      <c r="F396" s="65" t="n"/>
      <c r="G396" s="65" t="n"/>
      <c r="H396" s="71" t="n"/>
      <c r="I396" s="71" t="n"/>
      <c r="J396" s="21" t="n"/>
    </row>
    <row r="397">
      <c r="B397" s="37" t="n"/>
      <c r="C397" s="62" t="n"/>
      <c r="D397" s="63" t="n"/>
      <c r="F397" s="65" t="n"/>
      <c r="G397" s="65" t="n"/>
      <c r="H397" s="71" t="n"/>
      <c r="I397" s="71" t="n"/>
      <c r="J397" s="21" t="n"/>
    </row>
    <row r="398">
      <c r="B398" s="37" t="n"/>
      <c r="C398" s="62" t="n"/>
      <c r="D398" s="63" t="n"/>
      <c r="F398" s="65" t="n"/>
      <c r="G398" s="65" t="n"/>
      <c r="H398" s="71" t="n"/>
      <c r="I398" s="71" t="n"/>
      <c r="J398" s="21" t="n"/>
    </row>
    <row r="399">
      <c r="B399" s="37" t="n"/>
      <c r="C399" s="62" t="n"/>
      <c r="D399" s="63" t="n"/>
      <c r="F399" s="65" t="n"/>
      <c r="G399" s="65" t="n"/>
      <c r="H399" s="71" t="n"/>
      <c r="I399" s="71" t="n"/>
      <c r="J399" s="21" t="n"/>
    </row>
    <row r="400">
      <c r="B400" s="37" t="n"/>
      <c r="C400" s="62" t="n"/>
      <c r="D400" s="63" t="n"/>
      <c r="F400" s="65" t="n"/>
      <c r="G400" s="65" t="n"/>
      <c r="H400" s="71" t="n"/>
      <c r="I400" s="71" t="n"/>
      <c r="J400" s="21" t="n"/>
    </row>
    <row r="401">
      <c r="B401" s="37" t="n"/>
      <c r="C401" s="62" t="n"/>
      <c r="D401" s="63" t="n"/>
      <c r="F401" s="65" t="n"/>
      <c r="G401" s="65" t="n"/>
      <c r="H401" s="71" t="n"/>
      <c r="I401" s="71" t="n"/>
      <c r="J401" s="21" t="n"/>
    </row>
    <row r="402">
      <c r="B402" s="37" t="n"/>
      <c r="C402" s="62" t="n"/>
      <c r="D402" s="63" t="n"/>
      <c r="F402" s="65" t="n"/>
      <c r="G402" s="65" t="n"/>
      <c r="H402" s="71" t="n"/>
      <c r="I402" s="71" t="n"/>
      <c r="J402" s="21" t="n"/>
    </row>
    <row r="403">
      <c r="B403" s="37" t="n"/>
      <c r="C403" s="62" t="n"/>
      <c r="D403" s="63" t="n"/>
      <c r="F403" s="65" t="n"/>
      <c r="G403" s="65" t="n"/>
      <c r="H403" s="71" t="n"/>
      <c r="I403" s="71" t="n"/>
      <c r="J403" s="21" t="n"/>
    </row>
    <row r="404">
      <c r="B404" s="37" t="n"/>
      <c r="C404" s="62" t="n"/>
      <c r="D404" s="63" t="n"/>
      <c r="F404" s="65" t="n"/>
      <c r="G404" s="65" t="n"/>
      <c r="H404" s="71" t="n"/>
      <c r="I404" s="71" t="n"/>
      <c r="J404" s="21" t="n"/>
    </row>
    <row r="405">
      <c r="B405" s="37" t="n"/>
      <c r="C405" s="62" t="n"/>
      <c r="D405" s="63" t="n"/>
      <c r="F405" s="65" t="n"/>
      <c r="G405" s="65" t="n"/>
      <c r="H405" s="71" t="n"/>
      <c r="I405" s="71" t="n"/>
      <c r="J405" s="21" t="n"/>
    </row>
    <row r="406">
      <c r="B406" s="37" t="n"/>
      <c r="C406" s="62" t="n"/>
      <c r="D406" s="63" t="n"/>
      <c r="F406" s="65" t="n"/>
      <c r="G406" s="65" t="n"/>
      <c r="H406" s="71" t="n"/>
      <c r="I406" s="71" t="n"/>
      <c r="J406" s="21" t="n"/>
    </row>
    <row r="407">
      <c r="B407" s="37" t="n"/>
      <c r="C407" s="62" t="n"/>
      <c r="D407" s="63" t="n"/>
      <c r="F407" s="65" t="n"/>
      <c r="G407" s="65" t="n"/>
      <c r="H407" s="71" t="n"/>
      <c r="I407" s="71" t="n"/>
      <c r="J407" s="21" t="n"/>
    </row>
    <row r="408">
      <c r="B408" s="37" t="n"/>
      <c r="C408" s="62" t="n"/>
      <c r="D408" s="63" t="n"/>
      <c r="F408" s="65" t="n"/>
      <c r="G408" s="65" t="n"/>
      <c r="H408" s="71" t="n"/>
      <c r="I408" s="71" t="n"/>
      <c r="J408" s="21" t="n"/>
    </row>
    <row r="409">
      <c r="B409" s="37" t="n"/>
      <c r="C409" s="62" t="n"/>
      <c r="D409" s="63" t="n"/>
      <c r="F409" s="65" t="n"/>
      <c r="G409" s="65" t="n"/>
      <c r="H409" s="71" t="n"/>
      <c r="I409" s="71" t="n"/>
      <c r="J409" s="21" t="n"/>
    </row>
    <row r="410">
      <c r="B410" s="37" t="n"/>
      <c r="C410" s="62" t="n"/>
      <c r="D410" s="63" t="n"/>
      <c r="F410" s="65" t="n"/>
      <c r="G410" s="65" t="n"/>
      <c r="H410" s="71" t="n"/>
      <c r="I410" s="71" t="n"/>
      <c r="J410" s="21" t="n"/>
    </row>
    <row r="411">
      <c r="B411" s="37" t="n"/>
      <c r="C411" s="62" t="n"/>
      <c r="D411" s="63" t="n"/>
      <c r="F411" s="65" t="n"/>
      <c r="G411" s="65" t="n"/>
      <c r="H411" s="71" t="n"/>
      <c r="I411" s="71" t="n"/>
      <c r="J411" s="21" t="n"/>
    </row>
    <row r="412">
      <c r="B412" s="37" t="n"/>
      <c r="C412" s="62" t="n"/>
      <c r="D412" s="63" t="n"/>
      <c r="F412" s="65" t="n"/>
      <c r="G412" s="65" t="n"/>
      <c r="H412" s="71" t="n"/>
      <c r="I412" s="71" t="n"/>
      <c r="J412" s="21" t="n"/>
    </row>
    <row r="413">
      <c r="B413" s="37" t="n"/>
      <c r="C413" s="62" t="n"/>
      <c r="D413" s="63" t="n"/>
      <c r="F413" s="65" t="n"/>
      <c r="G413" s="65" t="n"/>
      <c r="H413" s="71" t="n"/>
      <c r="I413" s="71" t="n"/>
      <c r="J413" s="21" t="n"/>
    </row>
    <row r="414">
      <c r="B414" s="37" t="n"/>
      <c r="C414" s="62" t="n"/>
      <c r="D414" s="63" t="n"/>
      <c r="F414" s="65" t="n"/>
      <c r="G414" s="65" t="n"/>
      <c r="H414" s="71" t="n"/>
      <c r="I414" s="71" t="n"/>
      <c r="J414" s="21" t="n"/>
    </row>
    <row r="415">
      <c r="B415" s="37" t="n"/>
      <c r="C415" s="62" t="n"/>
      <c r="D415" s="63" t="n"/>
      <c r="F415" s="65" t="n"/>
      <c r="G415" s="65" t="n"/>
      <c r="H415" s="71" t="n"/>
      <c r="I415" s="71" t="n"/>
      <c r="J415" s="21" t="n"/>
    </row>
    <row r="416">
      <c r="B416" s="37" t="n"/>
      <c r="C416" s="62" t="n"/>
      <c r="D416" s="63" t="n"/>
      <c r="F416" s="65" t="n"/>
      <c r="G416" s="65" t="n"/>
      <c r="H416" s="71" t="n"/>
      <c r="I416" s="71" t="n"/>
      <c r="J416" s="21" t="n"/>
    </row>
    <row r="417">
      <c r="B417" s="37" t="n"/>
      <c r="C417" s="62" t="n"/>
      <c r="D417" s="63" t="n"/>
      <c r="F417" s="65" t="n"/>
      <c r="G417" s="65" t="n"/>
      <c r="H417" s="71" t="n"/>
      <c r="I417" s="71" t="n"/>
      <c r="J417" s="21" t="n"/>
    </row>
    <row r="418">
      <c r="B418" s="37" t="n"/>
      <c r="C418" s="62" t="n"/>
      <c r="D418" s="63" t="n"/>
      <c r="F418" s="65" t="n"/>
      <c r="G418" s="65" t="n"/>
      <c r="H418" s="71" t="n"/>
      <c r="I418" s="71" t="n"/>
      <c r="J418" s="21" t="n"/>
    </row>
    <row r="419">
      <c r="B419" s="37" t="n"/>
      <c r="C419" s="62" t="n"/>
      <c r="D419" s="63" t="n"/>
      <c r="F419" s="65" t="n"/>
      <c r="G419" s="65" t="n"/>
      <c r="H419" s="71" t="n"/>
      <c r="I419" s="71" t="n"/>
      <c r="J419" s="21" t="n"/>
    </row>
    <row r="420">
      <c r="B420" s="37" t="n"/>
      <c r="C420" s="62" t="n"/>
      <c r="D420" s="63" t="n"/>
      <c r="F420" s="65" t="n"/>
      <c r="G420" s="65" t="n"/>
      <c r="H420" s="71" t="n"/>
      <c r="I420" s="71" t="n"/>
      <c r="J420" s="21" t="n"/>
    </row>
    <row r="421">
      <c r="B421" s="37" t="n"/>
      <c r="C421" s="62" t="n"/>
      <c r="D421" s="63" t="n"/>
      <c r="F421" s="65" t="n"/>
      <c r="G421" s="65" t="n"/>
      <c r="H421" s="71" t="n"/>
      <c r="I421" s="71" t="n"/>
      <c r="J421" s="21" t="n"/>
    </row>
    <row r="422">
      <c r="B422" s="37" t="n"/>
      <c r="C422" s="62" t="n"/>
      <c r="D422" s="63" t="n"/>
      <c r="F422" s="65" t="n"/>
      <c r="G422" s="65" t="n"/>
      <c r="H422" s="71" t="n"/>
      <c r="I422" s="71" t="n"/>
      <c r="J422" s="21" t="n"/>
    </row>
    <row r="423">
      <c r="B423" s="37" t="n"/>
      <c r="C423" s="62" t="n"/>
      <c r="D423" s="63" t="n"/>
      <c r="F423" s="65" t="n"/>
      <c r="G423" s="65" t="n"/>
      <c r="H423" s="71" t="n"/>
      <c r="I423" s="71" t="n"/>
      <c r="J423" s="21" t="n"/>
    </row>
    <row r="424">
      <c r="B424" s="37" t="n"/>
      <c r="C424" s="62" t="n"/>
      <c r="D424" s="63" t="n"/>
      <c r="F424" s="65" t="n"/>
      <c r="G424" s="65" t="n"/>
      <c r="H424" s="71" t="n"/>
      <c r="I424" s="71" t="n"/>
      <c r="J424" s="21" t="n"/>
    </row>
    <row r="425">
      <c r="B425" s="37" t="n"/>
      <c r="C425" s="62" t="n"/>
      <c r="D425" s="63" t="n"/>
      <c r="F425" s="65" t="n"/>
      <c r="G425" s="65" t="n"/>
      <c r="H425" s="71" t="n"/>
      <c r="I425" s="71" t="n"/>
      <c r="J425" s="21" t="n"/>
    </row>
    <row r="426">
      <c r="B426" s="37" t="n"/>
      <c r="C426" s="62" t="n"/>
      <c r="D426" s="63" t="n"/>
      <c r="F426" s="65" t="n"/>
      <c r="G426" s="65" t="n"/>
      <c r="H426" s="71" t="n"/>
      <c r="I426" s="71" t="n"/>
      <c r="J426" s="21" t="n"/>
    </row>
    <row r="427">
      <c r="B427" s="37" t="n"/>
      <c r="C427" s="62" t="n"/>
      <c r="D427" s="63" t="n"/>
      <c r="F427" s="65" t="n"/>
      <c r="G427" s="65" t="n"/>
      <c r="H427" s="71" t="n"/>
      <c r="I427" s="71" t="n"/>
      <c r="J427" s="21" t="n"/>
    </row>
    <row r="428">
      <c r="B428" s="37" t="n"/>
      <c r="C428" s="62" t="n"/>
      <c r="D428" s="63" t="n"/>
      <c r="F428" s="65" t="n"/>
      <c r="G428" s="65" t="n"/>
      <c r="H428" s="71" t="n"/>
      <c r="I428" s="71" t="n"/>
      <c r="J428" s="21" t="n"/>
    </row>
    <row r="429">
      <c r="B429" s="37" t="n"/>
      <c r="C429" s="62" t="n"/>
      <c r="D429" s="63" t="n"/>
      <c r="F429" s="65" t="n"/>
      <c r="G429" s="65" t="n"/>
      <c r="H429" s="71" t="n"/>
      <c r="I429" s="71" t="n"/>
      <c r="J429" s="21" t="n"/>
    </row>
    <row r="430">
      <c r="B430" s="37" t="n"/>
      <c r="C430" s="62" t="n"/>
      <c r="D430" s="63" t="n"/>
      <c r="F430" s="65" t="n"/>
      <c r="G430" s="65" t="n"/>
      <c r="H430" s="71" t="n"/>
      <c r="I430" s="71" t="n"/>
      <c r="J430" s="21" t="n"/>
    </row>
    <row r="431">
      <c r="B431" s="37" t="n"/>
      <c r="C431" s="62" t="n"/>
      <c r="D431" s="63" t="n"/>
      <c r="F431" s="65" t="n"/>
      <c r="G431" s="65" t="n"/>
      <c r="H431" s="71" t="n"/>
      <c r="I431" s="71" t="n"/>
      <c r="J431" s="21" t="n"/>
    </row>
    <row r="432">
      <c r="B432" s="37" t="n"/>
      <c r="C432" s="62" t="n"/>
      <c r="D432" s="63" t="n"/>
      <c r="F432" s="65" t="n"/>
      <c r="G432" s="65" t="n"/>
      <c r="H432" s="71" t="n"/>
      <c r="I432" s="71" t="n"/>
      <c r="J432" s="21" t="n"/>
    </row>
    <row r="433">
      <c r="B433" s="37" t="n"/>
      <c r="C433" s="62" t="n"/>
      <c r="D433" s="63" t="n"/>
      <c r="F433" s="65" t="n"/>
      <c r="G433" s="65" t="n"/>
      <c r="H433" s="71" t="n"/>
      <c r="I433" s="71" t="n"/>
      <c r="J433" s="21" t="n"/>
    </row>
    <row r="434">
      <c r="B434" s="37" t="n"/>
      <c r="C434" s="62" t="n"/>
      <c r="D434" s="63" t="n"/>
      <c r="F434" s="65" t="n"/>
      <c r="G434" s="65" t="n"/>
      <c r="H434" s="71" t="n"/>
      <c r="I434" s="71" t="n"/>
      <c r="J434" s="21" t="n"/>
    </row>
    <row r="435">
      <c r="B435" s="37" t="n"/>
      <c r="C435" s="62" t="n"/>
      <c r="D435" s="63" t="n"/>
      <c r="F435" s="65" t="n"/>
      <c r="G435" s="65" t="n"/>
      <c r="H435" s="71" t="n"/>
      <c r="I435" s="71" t="n"/>
      <c r="J435" s="21" t="n"/>
    </row>
    <row r="436">
      <c r="B436" s="37" t="n"/>
      <c r="C436" s="62" t="n"/>
      <c r="D436" s="63" t="n"/>
      <c r="F436" s="65" t="n"/>
      <c r="G436" s="65" t="n"/>
      <c r="H436" s="71" t="n"/>
      <c r="I436" s="71" t="n"/>
      <c r="J436" s="21" t="n"/>
    </row>
    <row r="437">
      <c r="B437" s="37" t="n"/>
      <c r="C437" s="62" t="n"/>
      <c r="D437" s="63" t="n"/>
      <c r="F437" s="65" t="n"/>
      <c r="G437" s="65" t="n"/>
      <c r="H437" s="71" t="n"/>
      <c r="I437" s="71" t="n"/>
      <c r="J437" s="21" t="n"/>
    </row>
    <row r="438">
      <c r="B438" s="37" t="n"/>
      <c r="C438" s="62" t="n"/>
      <c r="D438" s="63" t="n"/>
      <c r="F438" s="65" t="n"/>
      <c r="G438" s="65" t="n"/>
      <c r="H438" s="71" t="n"/>
      <c r="I438" s="71" t="n"/>
      <c r="J438" s="21" t="n"/>
    </row>
    <row r="439">
      <c r="B439" s="37" t="n"/>
      <c r="C439" s="62" t="n"/>
      <c r="D439" s="63" t="n"/>
      <c r="F439" s="65" t="n"/>
      <c r="G439" s="65" t="n"/>
      <c r="H439" s="71" t="n"/>
      <c r="I439" s="71" t="n"/>
      <c r="J439" s="21" t="n"/>
    </row>
    <row r="440">
      <c r="B440" s="37" t="n"/>
      <c r="C440" s="62" t="n"/>
      <c r="D440" s="63" t="n"/>
      <c r="F440" s="65" t="n"/>
      <c r="G440" s="65" t="n"/>
      <c r="H440" s="71" t="n"/>
      <c r="I440" s="71" t="n"/>
      <c r="J440" s="21" t="n"/>
    </row>
    <row r="441">
      <c r="B441" s="37" t="n"/>
      <c r="C441" s="62" t="n"/>
      <c r="D441" s="63" t="n"/>
      <c r="F441" s="65" t="n"/>
      <c r="G441" s="65" t="n"/>
      <c r="H441" s="71" t="n"/>
      <c r="I441" s="71" t="n"/>
      <c r="J441" s="21" t="n"/>
    </row>
    <row r="442">
      <c r="B442" s="37" t="n"/>
      <c r="C442" s="62" t="n"/>
      <c r="D442" s="63" t="n"/>
      <c r="F442" s="65" t="n"/>
      <c r="G442" s="65" t="n"/>
      <c r="H442" s="71" t="n"/>
      <c r="I442" s="71" t="n"/>
      <c r="J442" s="21" t="n"/>
    </row>
    <row r="443">
      <c r="B443" s="37" t="n"/>
      <c r="C443" s="62" t="n"/>
      <c r="D443" s="63" t="n"/>
      <c r="F443" s="65" t="n"/>
      <c r="G443" s="65" t="n"/>
      <c r="H443" s="71" t="n"/>
      <c r="I443" s="71" t="n"/>
      <c r="J443" s="21" t="n"/>
    </row>
    <row r="444">
      <c r="B444" s="37" t="n"/>
      <c r="C444" s="62" t="n"/>
      <c r="D444" s="63" t="n"/>
      <c r="F444" s="65" t="n"/>
      <c r="G444" s="65" t="n"/>
      <c r="H444" s="71" t="n"/>
      <c r="I444" s="71" t="n"/>
      <c r="J444" s="21" t="n"/>
    </row>
    <row r="445">
      <c r="B445" s="37" t="n"/>
      <c r="C445" s="62" t="n"/>
      <c r="D445" s="63" t="n"/>
      <c r="F445" s="65" t="n"/>
      <c r="G445" s="65" t="n"/>
      <c r="H445" s="71" t="n"/>
      <c r="I445" s="71" t="n"/>
      <c r="J445" s="21" t="n"/>
    </row>
    <row r="446">
      <c r="B446" s="37" t="n"/>
      <c r="C446" s="62" t="n"/>
      <c r="D446" s="63" t="n"/>
      <c r="F446" s="65" t="n"/>
      <c r="G446" s="65" t="n"/>
      <c r="H446" s="71" t="n"/>
      <c r="I446" s="71" t="n"/>
      <c r="J446" s="21" t="n"/>
    </row>
    <row r="447">
      <c r="B447" s="37" t="n"/>
      <c r="C447" s="62" t="n"/>
      <c r="D447" s="63" t="n"/>
      <c r="F447" s="65" t="n"/>
      <c r="G447" s="65" t="n"/>
      <c r="H447" s="71" t="n"/>
      <c r="I447" s="71" t="n"/>
      <c r="J447" s="21" t="n"/>
    </row>
    <row r="448">
      <c r="B448" s="37" t="n"/>
      <c r="C448" s="62" t="n"/>
      <c r="D448" s="63" t="n"/>
      <c r="F448" s="65" t="n"/>
      <c r="G448" s="65" t="n"/>
      <c r="H448" s="71" t="n"/>
      <c r="I448" s="71" t="n"/>
      <c r="J448" s="21" t="n"/>
    </row>
    <row r="449">
      <c r="B449" s="37" t="n"/>
      <c r="C449" s="62" t="n"/>
      <c r="D449" s="63" t="n"/>
      <c r="F449" s="65" t="n"/>
      <c r="G449" s="65" t="n"/>
      <c r="H449" s="71" t="n"/>
      <c r="I449" s="71" t="n"/>
      <c r="J449" s="21" t="n"/>
    </row>
    <row r="450">
      <c r="B450" s="37" t="n"/>
      <c r="C450" s="62" t="n"/>
      <c r="D450" s="63" t="n"/>
      <c r="F450" s="65" t="n"/>
      <c r="G450" s="65" t="n"/>
      <c r="H450" s="71" t="n"/>
      <c r="I450" s="71" t="n"/>
      <c r="J450" s="21" t="n"/>
    </row>
    <row r="451">
      <c r="B451" s="37" t="n"/>
      <c r="C451" s="62" t="n"/>
      <c r="D451" s="63" t="n"/>
      <c r="F451" s="65" t="n"/>
      <c r="G451" s="65" t="n"/>
      <c r="H451" s="71" t="n"/>
      <c r="I451" s="71" t="n"/>
      <c r="J451" s="21" t="n"/>
    </row>
    <row r="452">
      <c r="B452" s="37" t="n"/>
      <c r="C452" s="62" t="n"/>
      <c r="D452" s="63" t="n"/>
      <c r="F452" s="65" t="n"/>
      <c r="G452" s="65" t="n"/>
      <c r="H452" s="71" t="n"/>
      <c r="I452" s="71" t="n"/>
      <c r="J452" s="21" t="n"/>
    </row>
    <row r="453">
      <c r="B453" s="37" t="n"/>
      <c r="C453" s="62" t="n"/>
      <c r="D453" s="63" t="n"/>
      <c r="F453" s="65" t="n"/>
      <c r="G453" s="65" t="n"/>
      <c r="H453" s="71" t="n"/>
      <c r="I453" s="71" t="n"/>
      <c r="J453" s="21" t="n"/>
    </row>
    <row r="454">
      <c r="B454" s="37" t="n"/>
      <c r="C454" s="62" t="n"/>
      <c r="D454" s="63" t="n"/>
      <c r="F454" s="65" t="n"/>
      <c r="G454" s="65" t="n"/>
      <c r="H454" s="71" t="n"/>
      <c r="I454" s="71" t="n"/>
      <c r="J454" s="21" t="n"/>
    </row>
    <row r="455">
      <c r="B455" s="37" t="n"/>
      <c r="C455" s="62" t="n"/>
      <c r="D455" s="63" t="n"/>
      <c r="F455" s="65" t="n"/>
      <c r="G455" s="65" t="n"/>
      <c r="H455" s="71" t="n"/>
      <c r="I455" s="71" t="n"/>
      <c r="J455" s="21" t="n"/>
    </row>
    <row r="456">
      <c r="B456" s="37" t="n"/>
      <c r="C456" s="62" t="n"/>
      <c r="D456" s="63" t="n"/>
      <c r="F456" s="65" t="n"/>
      <c r="G456" s="65" t="n"/>
      <c r="H456" s="71" t="n"/>
      <c r="I456" s="71" t="n"/>
      <c r="J456" s="21" t="n"/>
    </row>
    <row r="457">
      <c r="B457" s="37" t="n"/>
      <c r="C457" s="62" t="n"/>
      <c r="D457" s="63" t="n"/>
      <c r="F457" s="65" t="n"/>
      <c r="G457" s="65" t="n"/>
      <c r="H457" s="71" t="n"/>
      <c r="I457" s="71" t="n"/>
      <c r="J457" s="21" t="n"/>
    </row>
    <row r="458">
      <c r="B458" s="37" t="n"/>
      <c r="C458" s="62" t="n"/>
      <c r="D458" s="63" t="n"/>
      <c r="F458" s="65" t="n"/>
      <c r="G458" s="65" t="n"/>
      <c r="H458" s="71" t="n"/>
      <c r="I458" s="71" t="n"/>
      <c r="J458" s="21" t="n"/>
    </row>
    <row r="459">
      <c r="B459" s="37" t="n"/>
      <c r="C459" s="62" t="n"/>
      <c r="D459" s="63" t="n"/>
      <c r="F459" s="65" t="n"/>
      <c r="G459" s="65" t="n"/>
      <c r="H459" s="71" t="n"/>
      <c r="I459" s="71" t="n"/>
      <c r="J459" s="21" t="n"/>
    </row>
    <row r="460">
      <c r="B460" s="37" t="n"/>
      <c r="C460" s="62" t="n"/>
      <c r="D460" s="63" t="n"/>
      <c r="F460" s="65" t="n"/>
      <c r="G460" s="65" t="n"/>
      <c r="H460" s="71" t="n"/>
      <c r="I460" s="71" t="n"/>
      <c r="J460" s="21" t="n"/>
    </row>
    <row r="461">
      <c r="B461" s="37" t="n"/>
      <c r="C461" s="62" t="n"/>
      <c r="D461" s="63" t="n"/>
      <c r="F461" s="65" t="n"/>
      <c r="G461" s="65" t="n"/>
      <c r="H461" s="71" t="n"/>
      <c r="I461" s="71" t="n"/>
      <c r="J461" s="21" t="n"/>
    </row>
    <row r="462">
      <c r="B462" s="37" t="n"/>
      <c r="C462" s="62" t="n"/>
      <c r="D462" s="63" t="n"/>
      <c r="F462" s="65" t="n"/>
      <c r="G462" s="65" t="n"/>
      <c r="H462" s="71" t="n"/>
      <c r="I462" s="71" t="n"/>
      <c r="J462" s="21" t="n"/>
    </row>
    <row r="463">
      <c r="B463" s="37" t="n"/>
      <c r="C463" s="62" t="n"/>
      <c r="D463" s="63" t="n"/>
      <c r="F463" s="65" t="n"/>
      <c r="G463" s="65" t="n"/>
      <c r="H463" s="71" t="n"/>
      <c r="I463" s="71" t="n"/>
      <c r="J463" s="21" t="n"/>
    </row>
    <row r="464">
      <c r="B464" s="37" t="n"/>
      <c r="C464" s="62" t="n"/>
      <c r="D464" s="63" t="n"/>
      <c r="F464" s="65" t="n"/>
      <c r="G464" s="65" t="n"/>
      <c r="H464" s="71" t="n"/>
      <c r="I464" s="71" t="n"/>
      <c r="J464" s="21" t="n"/>
    </row>
    <row r="465">
      <c r="B465" s="37" t="n"/>
      <c r="C465" s="62" t="n"/>
      <c r="D465" s="63" t="n"/>
      <c r="F465" s="65" t="n"/>
      <c r="G465" s="65" t="n"/>
      <c r="H465" s="71" t="n"/>
      <c r="I465" s="71" t="n"/>
      <c r="J465" s="21" t="n"/>
    </row>
    <row r="466">
      <c r="B466" s="37" t="n"/>
      <c r="C466" s="62" t="n"/>
      <c r="D466" s="63" t="n"/>
      <c r="F466" s="65" t="n"/>
      <c r="G466" s="65" t="n"/>
      <c r="H466" s="71" t="n"/>
      <c r="I466" s="71" t="n"/>
      <c r="J466" s="21" t="n"/>
    </row>
    <row r="467">
      <c r="B467" s="37" t="n"/>
      <c r="C467" s="62" t="n"/>
      <c r="D467" s="63" t="n"/>
      <c r="F467" s="65" t="n"/>
      <c r="G467" s="65" t="n"/>
      <c r="H467" s="71" t="n"/>
      <c r="I467" s="71" t="n"/>
      <c r="J467" s="21" t="n"/>
    </row>
    <row r="468">
      <c r="B468" s="37" t="n"/>
      <c r="C468" s="62" t="n"/>
      <c r="D468" s="63" t="n"/>
      <c r="F468" s="65" t="n"/>
      <c r="G468" s="65" t="n"/>
      <c r="H468" s="71" t="n"/>
      <c r="I468" s="71" t="n"/>
      <c r="J468" s="21" t="n"/>
    </row>
    <row r="469">
      <c r="B469" s="37" t="n"/>
      <c r="C469" s="62" t="n"/>
      <c r="D469" s="63" t="n"/>
      <c r="F469" s="65" t="n"/>
      <c r="G469" s="65" t="n"/>
      <c r="H469" s="71" t="n"/>
      <c r="I469" s="71" t="n"/>
      <c r="J469" s="21" t="n"/>
    </row>
    <row r="470">
      <c r="B470" s="37" t="n"/>
      <c r="C470" s="62" t="n"/>
      <c r="D470" s="63" t="n"/>
      <c r="F470" s="65" t="n"/>
      <c r="G470" s="65" t="n"/>
      <c r="H470" s="71" t="n"/>
      <c r="I470" s="71" t="n"/>
      <c r="J470" s="21" t="n"/>
    </row>
    <row r="471">
      <c r="B471" s="37" t="n"/>
      <c r="C471" s="62" t="n"/>
      <c r="D471" s="63" t="n"/>
      <c r="F471" s="65" t="n"/>
      <c r="G471" s="65" t="n"/>
      <c r="H471" s="71" t="n"/>
      <c r="I471" s="71" t="n"/>
      <c r="J471" s="21" t="n"/>
    </row>
    <row r="472">
      <c r="B472" s="37" t="n"/>
      <c r="C472" s="62" t="n"/>
      <c r="D472" s="63" t="n"/>
      <c r="F472" s="65" t="n"/>
      <c r="G472" s="65" t="n"/>
      <c r="H472" s="71" t="n"/>
      <c r="I472" s="71" t="n"/>
      <c r="J472" s="21" t="n"/>
    </row>
    <row r="473">
      <c r="B473" s="37" t="n"/>
      <c r="C473" s="62" t="n"/>
      <c r="D473" s="63" t="n"/>
      <c r="F473" s="65" t="n"/>
      <c r="G473" s="65" t="n"/>
      <c r="H473" s="71" t="n"/>
      <c r="I473" s="71" t="n"/>
      <c r="J473" s="21" t="n"/>
    </row>
    <row r="474">
      <c r="B474" s="37" t="n"/>
      <c r="C474" s="62" t="n"/>
      <c r="D474" s="63" t="n"/>
      <c r="F474" s="65" t="n"/>
      <c r="G474" s="65" t="n"/>
      <c r="H474" s="71" t="n"/>
      <c r="I474" s="71" t="n"/>
      <c r="J474" s="21" t="n"/>
    </row>
    <row r="475">
      <c r="B475" s="37" t="n"/>
      <c r="C475" s="62" t="n"/>
      <c r="D475" s="63" t="n"/>
      <c r="F475" s="65" t="n"/>
      <c r="G475" s="65" t="n"/>
      <c r="H475" s="71" t="n"/>
      <c r="I475" s="71" t="n"/>
      <c r="J475" s="21" t="n"/>
    </row>
    <row r="476">
      <c r="B476" s="37" t="n"/>
      <c r="C476" s="62" t="n"/>
      <c r="D476" s="63" t="n"/>
      <c r="F476" s="65" t="n"/>
      <c r="G476" s="65" t="n"/>
      <c r="H476" s="71" t="n"/>
      <c r="I476" s="71" t="n"/>
      <c r="J476" s="21" t="n"/>
    </row>
    <row r="477">
      <c r="B477" s="37" t="n"/>
      <c r="C477" s="62" t="n"/>
      <c r="D477" s="63" t="n"/>
      <c r="F477" s="65" t="n"/>
      <c r="G477" s="65" t="n"/>
      <c r="H477" s="71" t="n"/>
      <c r="I477" s="71" t="n"/>
      <c r="J477" s="21" t="n"/>
    </row>
    <row r="478">
      <c r="B478" s="37" t="n"/>
      <c r="C478" s="62" t="n"/>
      <c r="D478" s="63" t="n"/>
      <c r="F478" s="65" t="n"/>
      <c r="G478" s="65" t="n"/>
      <c r="H478" s="71" t="n"/>
      <c r="I478" s="71" t="n"/>
      <c r="J478" s="21" t="n"/>
    </row>
    <row r="479">
      <c r="B479" s="37" t="n"/>
      <c r="C479" s="62" t="n"/>
      <c r="D479" s="63" t="n"/>
      <c r="F479" s="65" t="n"/>
      <c r="G479" s="65" t="n"/>
      <c r="H479" s="71" t="n"/>
      <c r="I479" s="71" t="n"/>
      <c r="J479" s="21" t="n"/>
    </row>
    <row r="480">
      <c r="B480" s="37" t="n"/>
      <c r="C480" s="62" t="n"/>
      <c r="D480" s="63" t="n"/>
      <c r="F480" s="65" t="n"/>
      <c r="G480" s="65" t="n"/>
      <c r="H480" s="71" t="n"/>
      <c r="I480" s="71" t="n"/>
      <c r="J480" s="21" t="n"/>
    </row>
    <row r="481">
      <c r="B481" s="37" t="n"/>
      <c r="C481" s="62" t="n"/>
      <c r="D481" s="63" t="n"/>
      <c r="F481" s="65" t="n"/>
      <c r="G481" s="65" t="n"/>
      <c r="H481" s="71" t="n"/>
      <c r="I481" s="71" t="n"/>
      <c r="J481" s="21" t="n"/>
    </row>
    <row r="482">
      <c r="B482" s="37" t="n"/>
      <c r="C482" s="62" t="n"/>
      <c r="D482" s="63" t="n"/>
      <c r="F482" s="65" t="n"/>
      <c r="G482" s="65" t="n"/>
      <c r="H482" s="71" t="n"/>
      <c r="I482" s="71" t="n"/>
      <c r="J482" s="21" t="n"/>
    </row>
    <row r="483">
      <c r="B483" s="37" t="n"/>
      <c r="C483" s="62" t="n"/>
      <c r="D483" s="63" t="n"/>
      <c r="F483" s="65" t="n"/>
      <c r="G483" s="65" t="n"/>
      <c r="H483" s="71" t="n"/>
      <c r="I483" s="71" t="n"/>
      <c r="J483" s="21" t="n"/>
    </row>
    <row r="484">
      <c r="B484" s="37" t="n"/>
      <c r="C484" s="62" t="n"/>
      <c r="D484" s="63" t="n"/>
      <c r="F484" s="65" t="n"/>
      <c r="G484" s="65" t="n"/>
      <c r="H484" s="71" t="n"/>
      <c r="I484" s="71" t="n"/>
      <c r="J484" s="21" t="n"/>
    </row>
    <row r="485">
      <c r="B485" s="37" t="n"/>
      <c r="C485" s="62" t="n"/>
      <c r="D485" s="63" t="n"/>
      <c r="F485" s="65" t="n"/>
      <c r="G485" s="65" t="n"/>
      <c r="H485" s="71" t="n"/>
      <c r="I485" s="71" t="n"/>
      <c r="J485" s="21" t="n"/>
    </row>
    <row r="486">
      <c r="B486" s="37" t="n"/>
      <c r="C486" s="62" t="n"/>
      <c r="D486" s="63" t="n"/>
      <c r="F486" s="65" t="n"/>
      <c r="G486" s="65" t="n"/>
      <c r="H486" s="71" t="n"/>
      <c r="I486" s="71" t="n"/>
      <c r="J486" s="21" t="n"/>
    </row>
    <row r="487">
      <c r="B487" s="37" t="n"/>
      <c r="C487" s="62" t="n"/>
      <c r="D487" s="63" t="n"/>
      <c r="F487" s="65" t="n"/>
      <c r="G487" s="65" t="n"/>
      <c r="H487" s="71" t="n"/>
      <c r="I487" s="71" t="n"/>
      <c r="J487" s="21" t="n"/>
    </row>
    <row r="488">
      <c r="B488" s="37" t="n"/>
      <c r="C488" s="62" t="n"/>
      <c r="D488" s="63" t="n"/>
      <c r="F488" s="65" t="n"/>
      <c r="G488" s="65" t="n"/>
      <c r="H488" s="71" t="n"/>
      <c r="I488" s="71" t="n"/>
      <c r="J488" s="21" t="n"/>
    </row>
    <row r="489">
      <c r="B489" s="37" t="n"/>
      <c r="C489" s="62" t="n"/>
      <c r="D489" s="63" t="n"/>
      <c r="F489" s="65" t="n"/>
      <c r="G489" s="65" t="n"/>
      <c r="H489" s="71" t="n"/>
      <c r="I489" s="71" t="n"/>
      <c r="J489" s="21" t="n"/>
    </row>
    <row r="490">
      <c r="B490" s="37" t="n"/>
      <c r="C490" s="62" t="n"/>
      <c r="D490" s="63" t="n"/>
      <c r="F490" s="65" t="n"/>
      <c r="G490" s="65" t="n"/>
      <c r="H490" s="71" t="n"/>
      <c r="I490" s="71" t="n"/>
      <c r="J490" s="21" t="n"/>
    </row>
    <row r="491">
      <c r="B491" s="37" t="n"/>
      <c r="C491" s="62" t="n"/>
      <c r="D491" s="63" t="n"/>
      <c r="F491" s="65" t="n"/>
      <c r="G491" s="65" t="n"/>
      <c r="H491" s="71" t="n"/>
      <c r="I491" s="71" t="n"/>
      <c r="J491" s="21" t="n"/>
    </row>
    <row r="492">
      <c r="B492" s="37" t="n"/>
      <c r="C492" s="62" t="n"/>
      <c r="D492" s="63" t="n"/>
      <c r="F492" s="65" t="n"/>
      <c r="G492" s="65" t="n"/>
      <c r="H492" s="71" t="n"/>
      <c r="I492" s="71" t="n"/>
      <c r="J492" s="21" t="n"/>
    </row>
    <row r="493">
      <c r="B493" s="37" t="n"/>
      <c r="C493" s="62" t="n"/>
      <c r="D493" s="63" t="n"/>
      <c r="F493" s="65" t="n"/>
      <c r="G493" s="65" t="n"/>
      <c r="H493" s="71" t="n"/>
      <c r="I493" s="71" t="n"/>
      <c r="J493" s="21" t="n"/>
    </row>
    <row r="494">
      <c r="B494" s="37" t="n"/>
      <c r="C494" s="62" t="n"/>
      <c r="D494" s="63" t="n"/>
      <c r="F494" s="65" t="n"/>
      <c r="G494" s="65" t="n"/>
      <c r="H494" s="71" t="n"/>
      <c r="I494" s="71" t="n"/>
      <c r="J494" s="21" t="n"/>
    </row>
    <row r="495">
      <c r="B495" s="37" t="n"/>
      <c r="C495" s="62" t="n"/>
      <c r="D495" s="63" t="n"/>
      <c r="F495" s="65" t="n"/>
      <c r="G495" s="65" t="n"/>
      <c r="H495" s="71" t="n"/>
      <c r="I495" s="71" t="n"/>
      <c r="J495" s="21" t="n"/>
    </row>
    <row r="496">
      <c r="B496" s="37" t="n"/>
      <c r="C496" s="62" t="n"/>
      <c r="D496" s="63" t="n"/>
      <c r="F496" s="65" t="n"/>
      <c r="G496" s="65" t="n"/>
      <c r="H496" s="71" t="n"/>
      <c r="I496" s="71" t="n"/>
      <c r="J496" s="21" t="n"/>
    </row>
    <row r="497">
      <c r="B497" s="37" t="n"/>
      <c r="C497" s="62" t="n"/>
      <c r="D497" s="63" t="n"/>
      <c r="F497" s="65" t="n"/>
      <c r="G497" s="65" t="n"/>
      <c r="H497" s="71" t="n"/>
      <c r="I497" s="71" t="n"/>
      <c r="J497" s="21" t="n"/>
    </row>
    <row r="498">
      <c r="B498" s="37" t="n"/>
      <c r="C498" s="62" t="n"/>
      <c r="D498" s="63" t="n"/>
      <c r="F498" s="65" t="n"/>
      <c r="G498" s="65" t="n"/>
      <c r="H498" s="71" t="n"/>
      <c r="I498" s="71" t="n"/>
      <c r="J498" s="21" t="n"/>
    </row>
    <row r="499">
      <c r="B499" s="37" t="n"/>
      <c r="C499" s="62" t="n"/>
      <c r="D499" s="63" t="n"/>
      <c r="F499" s="65" t="n"/>
      <c r="G499" s="65" t="n"/>
      <c r="H499" s="71" t="n"/>
      <c r="I499" s="71" t="n"/>
      <c r="J499" s="21" t="n"/>
    </row>
    <row r="500">
      <c r="B500" s="37" t="n"/>
      <c r="C500" s="62" t="n"/>
      <c r="D500" s="63" t="n"/>
      <c r="F500" s="65" t="n"/>
      <c r="G500" s="65" t="n"/>
      <c r="H500" s="71" t="n"/>
      <c r="I500" s="71" t="n"/>
      <c r="J500" s="21" t="n"/>
    </row>
    <row r="501">
      <c r="B501" s="37" t="n"/>
      <c r="C501" s="62" t="n"/>
      <c r="D501" s="63" t="n"/>
      <c r="F501" s="65" t="n"/>
      <c r="G501" s="65" t="n"/>
      <c r="H501" s="71" t="n"/>
      <c r="I501" s="71" t="n"/>
      <c r="J501" s="21" t="n"/>
    </row>
    <row r="502">
      <c r="B502" s="37" t="n"/>
      <c r="C502" s="62" t="n"/>
      <c r="D502" s="63" t="n"/>
      <c r="F502" s="65" t="n"/>
      <c r="G502" s="65" t="n"/>
      <c r="H502" s="71" t="n"/>
      <c r="I502" s="71" t="n"/>
      <c r="J502" s="21" t="n"/>
    </row>
    <row r="503">
      <c r="B503" s="37" t="n"/>
      <c r="C503" s="62" t="n"/>
      <c r="D503" s="63" t="n"/>
      <c r="F503" s="65" t="n"/>
      <c r="G503" s="65" t="n"/>
      <c r="H503" s="71" t="n"/>
      <c r="I503" s="71" t="n"/>
      <c r="J503" s="21" t="n"/>
    </row>
    <row r="504">
      <c r="B504" s="37" t="n"/>
      <c r="C504" s="62" t="n"/>
      <c r="D504" s="63" t="n"/>
      <c r="F504" s="65" t="n"/>
      <c r="G504" s="65" t="n"/>
      <c r="H504" s="71" t="n"/>
      <c r="I504" s="71" t="n"/>
      <c r="J504" s="21" t="n"/>
    </row>
    <row r="505">
      <c r="B505" s="37" t="n"/>
      <c r="C505" s="62" t="n"/>
      <c r="D505" s="63" t="n"/>
      <c r="F505" s="65" t="n"/>
      <c r="G505" s="65" t="n"/>
      <c r="H505" s="71" t="n"/>
      <c r="I505" s="71" t="n"/>
      <c r="J505" s="21" t="n"/>
    </row>
    <row r="506">
      <c r="B506" s="37" t="n"/>
      <c r="C506" s="62" t="n"/>
      <c r="D506" s="63" t="n"/>
      <c r="F506" s="65" t="n"/>
      <c r="G506" s="65" t="n"/>
      <c r="H506" s="71" t="n"/>
      <c r="I506" s="71" t="n"/>
      <c r="J506" s="21" t="n"/>
    </row>
    <row r="507">
      <c r="B507" s="37" t="n"/>
      <c r="C507" s="62" t="n"/>
      <c r="D507" s="63" t="n"/>
      <c r="F507" s="65" t="n"/>
      <c r="G507" s="65" t="n"/>
      <c r="H507" s="71" t="n"/>
      <c r="I507" s="71" t="n"/>
      <c r="J507" s="21" t="n"/>
    </row>
    <row r="508">
      <c r="B508" s="37" t="n"/>
      <c r="C508" s="62" t="n"/>
      <c r="D508" s="63" t="n"/>
      <c r="F508" s="65" t="n"/>
      <c r="G508" s="65" t="n"/>
      <c r="H508" s="71" t="n"/>
      <c r="I508" s="71" t="n"/>
      <c r="J508" s="21" t="n"/>
    </row>
    <row r="509">
      <c r="B509" s="37" t="n"/>
      <c r="C509" s="62" t="n"/>
      <c r="D509" s="63" t="n"/>
      <c r="F509" s="65" t="n"/>
      <c r="G509" s="65" t="n"/>
      <c r="H509" s="71" t="n"/>
      <c r="I509" s="71" t="n"/>
      <c r="J509" s="21" t="n"/>
    </row>
    <row r="510">
      <c r="B510" s="37" t="n"/>
      <c r="C510" s="62" t="n"/>
      <c r="D510" s="63" t="n"/>
      <c r="F510" s="65" t="n"/>
      <c r="G510" s="65" t="n"/>
      <c r="H510" s="71" t="n"/>
      <c r="I510" s="71" t="n"/>
      <c r="J510" s="21" t="n"/>
    </row>
    <row r="511">
      <c r="B511" s="37" t="n"/>
      <c r="C511" s="62" t="n"/>
      <c r="D511" s="63" t="n"/>
      <c r="F511" s="65" t="n"/>
      <c r="G511" s="65" t="n"/>
      <c r="H511" s="71" t="n"/>
      <c r="I511" s="71" t="n"/>
      <c r="J511" s="21" t="n"/>
    </row>
    <row r="512">
      <c r="B512" s="37" t="n"/>
      <c r="C512" s="62" t="n"/>
      <c r="D512" s="63" t="n"/>
      <c r="F512" s="65" t="n"/>
      <c r="G512" s="65" t="n"/>
      <c r="H512" s="71" t="n"/>
      <c r="I512" s="71" t="n"/>
      <c r="J512" s="21" t="n"/>
    </row>
    <row r="513">
      <c r="B513" s="37" t="n"/>
      <c r="C513" s="62" t="n"/>
      <c r="D513" s="63" t="n"/>
      <c r="F513" s="65" t="n"/>
      <c r="G513" s="65" t="n"/>
      <c r="H513" s="71" t="n"/>
      <c r="I513" s="71" t="n"/>
      <c r="J513" s="21" t="n"/>
    </row>
    <row r="514">
      <c r="B514" s="37" t="n"/>
      <c r="C514" s="62" t="n"/>
      <c r="D514" s="63" t="n"/>
      <c r="F514" s="65" t="n"/>
      <c r="G514" s="65" t="n"/>
      <c r="H514" s="71" t="n"/>
      <c r="I514" s="71" t="n"/>
      <c r="J514" s="21" t="n"/>
    </row>
    <row r="515">
      <c r="B515" s="37" t="n"/>
      <c r="C515" s="62" t="n"/>
      <c r="D515" s="63" t="n"/>
      <c r="F515" s="65" t="n"/>
      <c r="G515" s="65" t="n"/>
      <c r="H515" s="71" t="n"/>
      <c r="I515" s="71" t="n"/>
      <c r="J515" s="21" t="n"/>
    </row>
    <row r="516">
      <c r="B516" s="37" t="n"/>
      <c r="C516" s="62" t="n"/>
      <c r="D516" s="63" t="n"/>
      <c r="F516" s="65" t="n"/>
      <c r="G516" s="65" t="n"/>
      <c r="H516" s="71" t="n"/>
      <c r="I516" s="71" t="n"/>
      <c r="J516" s="21" t="n"/>
    </row>
    <row r="517">
      <c r="B517" s="37" t="n"/>
      <c r="C517" s="62" t="n"/>
      <c r="D517" s="63" t="n"/>
      <c r="F517" s="65" t="n"/>
      <c r="G517" s="65" t="n"/>
      <c r="H517" s="71" t="n"/>
      <c r="I517" s="71" t="n"/>
      <c r="J517" s="21" t="n"/>
    </row>
    <row r="518">
      <c r="B518" s="37" t="n"/>
      <c r="C518" s="62" t="n"/>
      <c r="D518" s="63" t="n"/>
      <c r="F518" s="65" t="n"/>
      <c r="G518" s="65" t="n"/>
      <c r="H518" s="71" t="n"/>
      <c r="I518" s="71" t="n"/>
      <c r="J518" s="21" t="n"/>
    </row>
    <row r="519">
      <c r="B519" s="37" t="n"/>
      <c r="C519" s="62" t="n"/>
      <c r="D519" s="63" t="n"/>
      <c r="F519" s="65" t="n"/>
      <c r="G519" s="65" t="n"/>
      <c r="H519" s="71" t="n"/>
      <c r="I519" s="71" t="n"/>
      <c r="J519" s="21" t="n"/>
    </row>
    <row r="520">
      <c r="B520" s="37" t="n"/>
      <c r="C520" s="62" t="n"/>
      <c r="D520" s="63" t="n"/>
      <c r="F520" s="65" t="n"/>
      <c r="G520" s="65" t="n"/>
      <c r="H520" s="71" t="n"/>
      <c r="I520" s="71" t="n"/>
      <c r="J520" s="21" t="n"/>
    </row>
    <row r="521">
      <c r="B521" s="37" t="n"/>
      <c r="C521" s="62" t="n"/>
      <c r="D521" s="63" t="n"/>
      <c r="F521" s="65" t="n"/>
      <c r="G521" s="65" t="n"/>
      <c r="H521" s="71" t="n"/>
      <c r="I521" s="71" t="n"/>
      <c r="J521" s="21" t="n"/>
    </row>
    <row r="522">
      <c r="B522" s="37" t="n"/>
      <c r="C522" s="62" t="n"/>
      <c r="D522" s="63" t="n"/>
      <c r="F522" s="65" t="n"/>
      <c r="G522" s="65" t="n"/>
      <c r="H522" s="71" t="n"/>
      <c r="I522" s="71" t="n"/>
      <c r="J522" s="21" t="n"/>
    </row>
    <row r="523">
      <c r="B523" s="37" t="n"/>
      <c r="C523" s="62" t="n"/>
      <c r="D523" s="63" t="n"/>
      <c r="F523" s="65" t="n"/>
      <c r="G523" s="65" t="n"/>
      <c r="H523" s="71" t="n"/>
      <c r="I523" s="71" t="n"/>
      <c r="J523" s="21" t="n"/>
    </row>
    <row r="524">
      <c r="B524" s="37" t="n"/>
      <c r="C524" s="62" t="n"/>
      <c r="D524" s="63" t="n"/>
      <c r="F524" s="65" t="n"/>
      <c r="G524" s="65" t="n"/>
      <c r="H524" s="71" t="n"/>
      <c r="I524" s="71" t="n"/>
      <c r="J524" s="21" t="n"/>
    </row>
    <row r="525">
      <c r="B525" s="37" t="n"/>
      <c r="C525" s="62" t="n"/>
      <c r="D525" s="63" t="n"/>
      <c r="F525" s="65" t="n"/>
      <c r="G525" s="65" t="n"/>
      <c r="H525" s="71" t="n"/>
      <c r="I525" s="71" t="n"/>
      <c r="J525" s="21" t="n"/>
    </row>
    <row r="526">
      <c r="B526" s="37" t="n"/>
      <c r="C526" s="62" t="n"/>
      <c r="D526" s="63" t="n"/>
      <c r="F526" s="65" t="n"/>
      <c r="G526" s="65" t="n"/>
      <c r="H526" s="71" t="n"/>
      <c r="I526" s="71" t="n"/>
      <c r="J526" s="21" t="n"/>
    </row>
    <row r="527">
      <c r="B527" s="37" t="n"/>
      <c r="C527" s="62" t="n"/>
      <c r="D527" s="63" t="n"/>
      <c r="F527" s="65" t="n"/>
      <c r="G527" s="65" t="n"/>
      <c r="H527" s="71" t="n"/>
      <c r="I527" s="71" t="n"/>
      <c r="J527" s="21" t="n"/>
    </row>
    <row r="528">
      <c r="B528" s="37" t="n"/>
      <c r="C528" s="62" t="n"/>
      <c r="D528" s="63" t="n"/>
      <c r="F528" s="65" t="n"/>
      <c r="G528" s="65" t="n"/>
      <c r="H528" s="71" t="n"/>
      <c r="I528" s="71" t="n"/>
      <c r="J528" s="21" t="n"/>
    </row>
    <row r="529">
      <c r="B529" s="37" t="n"/>
      <c r="C529" s="62" t="n"/>
      <c r="D529" s="63" t="n"/>
      <c r="F529" s="65" t="n"/>
      <c r="G529" s="65" t="n"/>
      <c r="H529" s="71" t="n"/>
      <c r="I529" s="71" t="n"/>
      <c r="J529" s="21" t="n"/>
    </row>
    <row r="530">
      <c r="B530" s="37" t="n"/>
      <c r="C530" s="62" t="n"/>
      <c r="D530" s="63" t="n"/>
      <c r="F530" s="65" t="n"/>
      <c r="G530" s="65" t="n"/>
      <c r="H530" s="71" t="n"/>
      <c r="I530" s="71" t="n"/>
      <c r="J530" s="21" t="n"/>
    </row>
    <row r="531">
      <c r="B531" s="37" t="n"/>
      <c r="C531" s="62" t="n"/>
      <c r="D531" s="63" t="n"/>
      <c r="F531" s="65" t="n"/>
      <c r="G531" s="65" t="n"/>
      <c r="H531" s="71" t="n"/>
      <c r="I531" s="71" t="n"/>
      <c r="J531" s="21" t="n"/>
    </row>
    <row r="532">
      <c r="B532" s="37" t="n"/>
      <c r="C532" s="62" t="n"/>
      <c r="D532" s="63" t="n"/>
      <c r="F532" s="65" t="n"/>
      <c r="G532" s="65" t="n"/>
      <c r="H532" s="71" t="n"/>
      <c r="I532" s="71" t="n"/>
      <c r="J532" s="21" t="n"/>
    </row>
    <row r="533">
      <c r="B533" s="37" t="n"/>
      <c r="C533" s="62" t="n"/>
      <c r="D533" s="63" t="n"/>
      <c r="F533" s="65" t="n"/>
      <c r="G533" s="65" t="n"/>
      <c r="H533" s="71" t="n"/>
      <c r="I533" s="71" t="n"/>
      <c r="J533" s="21" t="n"/>
    </row>
    <row r="534">
      <c r="B534" s="37" t="n"/>
      <c r="C534" s="62" t="n"/>
      <c r="D534" s="63" t="n"/>
      <c r="F534" s="65" t="n"/>
      <c r="G534" s="65" t="n"/>
      <c r="H534" s="71" t="n"/>
      <c r="I534" s="71" t="n"/>
      <c r="J534" s="21" t="n"/>
    </row>
    <row r="535">
      <c r="B535" s="37" t="n"/>
      <c r="C535" s="62" t="n"/>
      <c r="D535" s="63" t="n"/>
      <c r="F535" s="65" t="n"/>
      <c r="G535" s="65" t="n"/>
      <c r="H535" s="71" t="n"/>
      <c r="I535" s="71" t="n"/>
      <c r="J535" s="21" t="n"/>
    </row>
    <row r="536">
      <c r="B536" s="37" t="n"/>
      <c r="C536" s="62" t="n"/>
      <c r="D536" s="63" t="n"/>
      <c r="F536" s="65" t="n"/>
      <c r="G536" s="65" t="n"/>
      <c r="H536" s="71" t="n"/>
      <c r="I536" s="71" t="n"/>
      <c r="J536" s="21" t="n"/>
    </row>
    <row r="537">
      <c r="B537" s="37" t="n"/>
      <c r="C537" s="62" t="n"/>
      <c r="D537" s="63" t="n"/>
      <c r="F537" s="65" t="n"/>
      <c r="G537" s="65" t="n"/>
      <c r="H537" s="71" t="n"/>
      <c r="I537" s="71" t="n"/>
      <c r="J537" s="21" t="n"/>
    </row>
    <row r="538">
      <c r="B538" s="37" t="n"/>
      <c r="C538" s="62" t="n"/>
      <c r="D538" s="63" t="n"/>
      <c r="F538" s="65" t="n"/>
      <c r="G538" s="65" t="n"/>
      <c r="H538" s="71" t="n"/>
      <c r="I538" s="71" t="n"/>
      <c r="J538" s="21" t="n"/>
    </row>
    <row r="539">
      <c r="B539" s="37" t="n"/>
      <c r="C539" s="62" t="n"/>
      <c r="D539" s="63" t="n"/>
      <c r="F539" s="65" t="n"/>
      <c r="G539" s="65" t="n"/>
      <c r="H539" s="71" t="n"/>
      <c r="I539" s="71" t="n"/>
      <c r="J539" s="21" t="n"/>
    </row>
    <row r="540">
      <c r="B540" s="37" t="n"/>
      <c r="C540" s="62" t="n"/>
      <c r="D540" s="63" t="n"/>
      <c r="F540" s="65" t="n"/>
      <c r="G540" s="65" t="n"/>
      <c r="H540" s="71" t="n"/>
      <c r="I540" s="71" t="n"/>
      <c r="J540" s="21" t="n"/>
    </row>
    <row r="541">
      <c r="B541" s="37" t="n"/>
      <c r="C541" s="62" t="n"/>
      <c r="D541" s="63" t="n"/>
      <c r="F541" s="65" t="n"/>
      <c r="G541" s="65" t="n"/>
      <c r="H541" s="71" t="n"/>
      <c r="I541" s="71" t="n"/>
      <c r="J541" s="21" t="n"/>
    </row>
    <row r="542">
      <c r="B542" s="37" t="n"/>
      <c r="C542" s="62" t="n"/>
      <c r="D542" s="63" t="n"/>
      <c r="F542" s="65" t="n"/>
      <c r="G542" s="65" t="n"/>
      <c r="H542" s="71" t="n"/>
      <c r="I542" s="71" t="n"/>
      <c r="J542" s="21" t="n"/>
    </row>
    <row r="543">
      <c r="B543" s="37" t="n"/>
      <c r="C543" s="62" t="n"/>
      <c r="D543" s="63" t="n"/>
      <c r="F543" s="65" t="n"/>
      <c r="G543" s="65" t="n"/>
      <c r="H543" s="71" t="n"/>
      <c r="I543" s="71" t="n"/>
      <c r="J543" s="21" t="n"/>
    </row>
    <row r="544">
      <c r="B544" s="37" t="n"/>
      <c r="C544" s="62" t="n"/>
      <c r="D544" s="63" t="n"/>
      <c r="F544" s="65" t="n"/>
      <c r="G544" s="65" t="n"/>
      <c r="H544" s="71" t="n"/>
      <c r="I544" s="71" t="n"/>
      <c r="J544" s="21" t="n"/>
    </row>
    <row r="545">
      <c r="B545" s="37" t="n"/>
      <c r="C545" s="62" t="n"/>
      <c r="D545" s="63" t="n"/>
      <c r="F545" s="65" t="n"/>
      <c r="G545" s="65" t="n"/>
      <c r="H545" s="71" t="n"/>
      <c r="I545" s="71" t="n"/>
      <c r="J545" s="21" t="n"/>
    </row>
    <row r="546">
      <c r="B546" s="37" t="n"/>
      <c r="C546" s="62" t="n"/>
      <c r="D546" s="63" t="n"/>
      <c r="F546" s="65" t="n"/>
      <c r="G546" s="65" t="n"/>
      <c r="H546" s="71" t="n"/>
      <c r="I546" s="71" t="n"/>
      <c r="J546" s="21" t="n"/>
    </row>
    <row r="547">
      <c r="B547" s="37" t="n"/>
      <c r="C547" s="62" t="n"/>
      <c r="D547" s="63" t="n"/>
      <c r="F547" s="65" t="n"/>
      <c r="G547" s="65" t="n"/>
      <c r="H547" s="71" t="n"/>
      <c r="I547" s="71" t="n"/>
      <c r="J547" s="21" t="n"/>
    </row>
    <row r="548">
      <c r="B548" s="37" t="n"/>
      <c r="C548" s="62" t="n"/>
      <c r="D548" s="63" t="n"/>
      <c r="F548" s="65" t="n"/>
      <c r="G548" s="65" t="n"/>
      <c r="H548" s="71" t="n"/>
      <c r="I548" s="71" t="n"/>
      <c r="J548" s="21" t="n"/>
    </row>
    <row r="549">
      <c r="B549" s="37" t="n"/>
      <c r="C549" s="62" t="n"/>
      <c r="D549" s="63" t="n"/>
      <c r="F549" s="65" t="n"/>
      <c r="G549" s="65" t="n"/>
      <c r="H549" s="71" t="n"/>
      <c r="I549" s="71" t="n"/>
      <c r="J549" s="21" t="n"/>
    </row>
    <row r="550">
      <c r="B550" s="37" t="n"/>
      <c r="C550" s="62" t="n"/>
      <c r="D550" s="63" t="n"/>
      <c r="F550" s="65" t="n"/>
      <c r="G550" s="65" t="n"/>
      <c r="H550" s="71" t="n"/>
      <c r="I550" s="71" t="n"/>
      <c r="J550" s="21" t="n"/>
    </row>
    <row r="551">
      <c r="B551" s="37" t="n"/>
      <c r="C551" s="62" t="n"/>
      <c r="D551" s="63" t="n"/>
      <c r="F551" s="65" t="n"/>
      <c r="G551" s="65" t="n"/>
      <c r="H551" s="71" t="n"/>
      <c r="I551" s="71" t="n"/>
      <c r="J551" s="21" t="n"/>
    </row>
    <row r="552">
      <c r="B552" s="37" t="n"/>
      <c r="C552" s="62" t="n"/>
      <c r="D552" s="63" t="n"/>
      <c r="F552" s="65" t="n"/>
      <c r="G552" s="65" t="n"/>
      <c r="H552" s="71" t="n"/>
      <c r="I552" s="71" t="n"/>
      <c r="J552" s="21" t="n"/>
    </row>
    <row r="553">
      <c r="B553" s="37" t="n"/>
      <c r="C553" s="62" t="n"/>
      <c r="D553" s="63" t="n"/>
      <c r="F553" s="65" t="n"/>
      <c r="G553" s="65" t="n"/>
      <c r="H553" s="71" t="n"/>
      <c r="I553" s="71" t="n"/>
      <c r="J553" s="21" t="n"/>
    </row>
    <row r="554">
      <c r="B554" s="37" t="n"/>
      <c r="C554" s="62" t="n"/>
      <c r="D554" s="63" t="n"/>
      <c r="F554" s="65" t="n"/>
      <c r="G554" s="65" t="n"/>
      <c r="H554" s="71" t="n"/>
      <c r="I554" s="71" t="n"/>
      <c r="J554" s="21" t="n"/>
    </row>
    <row r="555">
      <c r="B555" s="37" t="n"/>
      <c r="C555" s="62" t="n"/>
      <c r="D555" s="63" t="n"/>
      <c r="F555" s="65" t="n"/>
      <c r="G555" s="65" t="n"/>
      <c r="H555" s="71" t="n"/>
      <c r="I555" s="71" t="n"/>
      <c r="J555" s="21" t="n"/>
    </row>
    <row r="556">
      <c r="B556" s="37" t="n"/>
      <c r="C556" s="62" t="n"/>
      <c r="D556" s="63" t="n"/>
      <c r="F556" s="65" t="n"/>
      <c r="G556" s="65" t="n"/>
      <c r="H556" s="71" t="n"/>
      <c r="I556" s="71" t="n"/>
      <c r="J556" s="21" t="n"/>
    </row>
    <row r="557">
      <c r="B557" s="37" t="n"/>
      <c r="C557" s="62" t="n"/>
      <c r="D557" s="63" t="n"/>
      <c r="F557" s="65" t="n"/>
      <c r="G557" s="65" t="n"/>
      <c r="H557" s="71" t="n"/>
      <c r="I557" s="71" t="n"/>
      <c r="J557" s="21" t="n"/>
    </row>
    <row r="558">
      <c r="B558" s="37" t="n"/>
      <c r="C558" s="62" t="n"/>
      <c r="D558" s="63" t="n"/>
      <c r="F558" s="65" t="n"/>
      <c r="G558" s="65" t="n"/>
      <c r="H558" s="71" t="n"/>
      <c r="I558" s="71" t="n"/>
      <c r="J558" s="21" t="n"/>
    </row>
    <row r="559">
      <c r="B559" s="37" t="n"/>
      <c r="C559" s="62" t="n"/>
      <c r="D559" s="63" t="n"/>
      <c r="F559" s="65" t="n"/>
      <c r="G559" s="65" t="n"/>
      <c r="H559" s="71" t="n"/>
      <c r="I559" s="71" t="n"/>
      <c r="J559" s="21" t="n"/>
    </row>
    <row r="560">
      <c r="B560" s="37" t="n"/>
      <c r="C560" s="62" t="n"/>
      <c r="D560" s="63" t="n"/>
      <c r="F560" s="65" t="n"/>
      <c r="G560" s="65" t="n"/>
      <c r="H560" s="71" t="n"/>
      <c r="I560" s="71" t="n"/>
      <c r="J560" s="21" t="n"/>
    </row>
    <row r="561">
      <c r="B561" s="37" t="n"/>
      <c r="C561" s="62" t="n"/>
      <c r="D561" s="63" t="n"/>
      <c r="F561" s="65" t="n"/>
      <c r="G561" s="65" t="n"/>
      <c r="H561" s="71" t="n"/>
      <c r="I561" s="71" t="n"/>
      <c r="J561" s="21" t="n"/>
    </row>
    <row r="562">
      <c r="B562" s="37" t="n"/>
      <c r="C562" s="62" t="n"/>
      <c r="D562" s="63" t="n"/>
      <c r="F562" s="65" t="n"/>
      <c r="G562" s="65" t="n"/>
      <c r="H562" s="71" t="n"/>
      <c r="I562" s="71" t="n"/>
      <c r="J562" s="21" t="n"/>
    </row>
    <row r="563">
      <c r="B563" s="37" t="n"/>
      <c r="C563" s="62" t="n"/>
      <c r="D563" s="63" t="n"/>
      <c r="F563" s="65" t="n"/>
      <c r="G563" s="65" t="n"/>
      <c r="H563" s="71" t="n"/>
      <c r="I563" s="71" t="n"/>
      <c r="J563" s="21" t="n"/>
    </row>
    <row r="564">
      <c r="B564" s="37" t="n"/>
      <c r="C564" s="62" t="n"/>
      <c r="D564" s="63" t="n"/>
      <c r="F564" s="65" t="n"/>
      <c r="G564" s="65" t="n"/>
      <c r="H564" s="71" t="n"/>
      <c r="I564" s="71" t="n"/>
      <c r="J564" s="21" t="n"/>
    </row>
    <row r="565">
      <c r="B565" s="37" t="n"/>
      <c r="C565" s="62" t="n"/>
      <c r="D565" s="63" t="n"/>
      <c r="F565" s="65" t="n"/>
      <c r="G565" s="65" t="n"/>
      <c r="H565" s="71" t="n"/>
      <c r="I565" s="71" t="n"/>
      <c r="J565" s="21" t="n"/>
    </row>
    <row r="566">
      <c r="B566" s="37" t="n"/>
      <c r="C566" s="62" t="n"/>
      <c r="D566" s="63" t="n"/>
      <c r="F566" s="65" t="n"/>
      <c r="G566" s="65" t="n"/>
      <c r="H566" s="71" t="n"/>
      <c r="I566" s="71" t="n"/>
      <c r="J566" s="21" t="n"/>
    </row>
    <row r="567">
      <c r="B567" s="37" t="n"/>
      <c r="C567" s="62" t="n"/>
      <c r="D567" s="63" t="n"/>
      <c r="F567" s="65" t="n"/>
      <c r="G567" s="65" t="n"/>
      <c r="H567" s="71" t="n"/>
      <c r="I567" s="71" t="n"/>
      <c r="J567" s="21" t="n"/>
    </row>
    <row r="568">
      <c r="B568" s="37" t="n"/>
      <c r="C568" s="62" t="n"/>
      <c r="D568" s="63" t="n"/>
      <c r="F568" s="65" t="n"/>
      <c r="G568" s="65" t="n"/>
      <c r="H568" s="71" t="n"/>
      <c r="I568" s="71" t="n"/>
      <c r="J568" s="21" t="n"/>
    </row>
    <row r="569">
      <c r="B569" s="37" t="n"/>
      <c r="C569" s="62" t="n"/>
      <c r="D569" s="63" t="n"/>
      <c r="F569" s="65" t="n"/>
      <c r="G569" s="65" t="n"/>
      <c r="H569" s="71" t="n"/>
      <c r="I569" s="71" t="n"/>
      <c r="J569" s="21" t="n"/>
    </row>
    <row r="570">
      <c r="B570" s="37" t="n"/>
      <c r="C570" s="62" t="n"/>
      <c r="D570" s="63" t="n"/>
      <c r="F570" s="65" t="n"/>
      <c r="G570" s="65" t="n"/>
      <c r="H570" s="71" t="n"/>
      <c r="I570" s="71" t="n"/>
      <c r="J570" s="21" t="n"/>
    </row>
    <row r="571">
      <c r="B571" s="37" t="n"/>
      <c r="C571" s="62" t="n"/>
      <c r="D571" s="63" t="n"/>
      <c r="F571" s="65" t="n"/>
      <c r="G571" s="65" t="n"/>
      <c r="H571" s="71" t="n"/>
      <c r="I571" s="71" t="n"/>
      <c r="J571" s="21" t="n"/>
    </row>
    <row r="572">
      <c r="B572" s="37" t="n"/>
      <c r="C572" s="62" t="n"/>
      <c r="D572" s="63" t="n"/>
      <c r="F572" s="65" t="n"/>
      <c r="G572" s="65" t="n"/>
      <c r="H572" s="71" t="n"/>
      <c r="I572" s="71" t="n"/>
      <c r="J572" s="21" t="n"/>
    </row>
    <row r="573">
      <c r="B573" s="37" t="n"/>
      <c r="C573" s="62" t="n"/>
      <c r="D573" s="63" t="n"/>
      <c r="F573" s="65" t="n"/>
      <c r="G573" s="65" t="n"/>
      <c r="H573" s="71" t="n"/>
      <c r="I573" s="71" t="n"/>
      <c r="J573" s="21" t="n"/>
    </row>
    <row r="574">
      <c r="B574" s="37" t="n"/>
      <c r="C574" s="62" t="n"/>
      <c r="D574" s="63" t="n"/>
      <c r="F574" s="65" t="n"/>
      <c r="G574" s="65" t="n"/>
      <c r="H574" s="71" t="n"/>
      <c r="I574" s="71" t="n"/>
      <c r="J574" s="21" t="n"/>
    </row>
    <row r="575">
      <c r="B575" s="37" t="n"/>
      <c r="C575" s="62" t="n"/>
      <c r="D575" s="63" t="n"/>
      <c r="F575" s="65" t="n"/>
      <c r="G575" s="65" t="n"/>
      <c r="H575" s="71" t="n"/>
      <c r="I575" s="71" t="n"/>
      <c r="J575" s="21" t="n"/>
    </row>
    <row r="576">
      <c r="B576" s="37" t="n"/>
      <c r="C576" s="62" t="n"/>
      <c r="D576" s="63" t="n"/>
      <c r="F576" s="65" t="n"/>
      <c r="G576" s="65" t="n"/>
      <c r="H576" s="71" t="n"/>
      <c r="I576" s="71" t="n"/>
      <c r="J576" s="21" t="n"/>
    </row>
    <row r="577">
      <c r="B577" s="37" t="n"/>
      <c r="C577" s="62" t="n"/>
      <c r="D577" s="63" t="n"/>
      <c r="F577" s="65" t="n"/>
      <c r="G577" s="65" t="n"/>
      <c r="H577" s="71" t="n"/>
      <c r="I577" s="71" t="n"/>
      <c r="J577" s="21" t="n"/>
    </row>
    <row r="578">
      <c r="B578" s="37" t="n"/>
      <c r="C578" s="62" t="n"/>
      <c r="D578" s="63" t="n"/>
      <c r="F578" s="65" t="n"/>
      <c r="G578" s="65" t="n"/>
      <c r="H578" s="71" t="n"/>
      <c r="I578" s="71" t="n"/>
      <c r="J578" s="21" t="n"/>
    </row>
    <row r="579">
      <c r="B579" s="37" t="n"/>
      <c r="C579" s="62" t="n"/>
      <c r="D579" s="63" t="n"/>
      <c r="F579" s="65" t="n"/>
      <c r="G579" s="65" t="n"/>
      <c r="H579" s="71" t="n"/>
      <c r="I579" s="71" t="n"/>
      <c r="J579" s="21" t="n"/>
    </row>
    <row r="580">
      <c r="B580" s="37" t="n"/>
      <c r="C580" s="62" t="n"/>
      <c r="D580" s="63" t="n"/>
      <c r="F580" s="65" t="n"/>
      <c r="G580" s="65" t="n"/>
      <c r="H580" s="71" t="n"/>
      <c r="I580" s="71" t="n"/>
      <c r="J580" s="21" t="n"/>
    </row>
    <row r="581">
      <c r="B581" s="37" t="n"/>
      <c r="C581" s="62" t="n"/>
      <c r="D581" s="63" t="n"/>
      <c r="F581" s="65" t="n"/>
      <c r="G581" s="65" t="n"/>
      <c r="H581" s="71" t="n"/>
      <c r="I581" s="71" t="n"/>
      <c r="J581" s="21" t="n"/>
    </row>
    <row r="582">
      <c r="B582" s="37" t="n"/>
      <c r="C582" s="62" t="n"/>
      <c r="D582" s="63" t="n"/>
      <c r="F582" s="65" t="n"/>
      <c r="G582" s="65" t="n"/>
      <c r="H582" s="71" t="n"/>
      <c r="I582" s="71" t="n"/>
      <c r="J582" s="21" t="n"/>
    </row>
    <row r="583">
      <c r="B583" s="37" t="n"/>
      <c r="C583" s="62" t="n"/>
      <c r="D583" s="63" t="n"/>
      <c r="F583" s="65" t="n"/>
      <c r="G583" s="65" t="n"/>
      <c r="H583" s="71" t="n"/>
      <c r="I583" s="71" t="n"/>
      <c r="J583" s="21" t="n"/>
    </row>
    <row r="584">
      <c r="B584" s="37" t="n"/>
      <c r="C584" s="62" t="n"/>
      <c r="D584" s="63" t="n"/>
      <c r="F584" s="65" t="n"/>
      <c r="G584" s="65" t="n"/>
      <c r="H584" s="71" t="n"/>
      <c r="I584" s="71" t="n"/>
      <c r="J584" s="21" t="n"/>
    </row>
    <row r="585">
      <c r="B585" s="37" t="n"/>
      <c r="C585" s="62" t="n"/>
      <c r="D585" s="63" t="n"/>
      <c r="F585" s="65" t="n"/>
      <c r="G585" s="65" t="n"/>
      <c r="H585" s="71" t="n"/>
      <c r="I585" s="71" t="n"/>
      <c r="J585" s="21" t="n"/>
    </row>
    <row r="586">
      <c r="B586" s="37" t="n"/>
      <c r="C586" s="62" t="n"/>
      <c r="D586" s="63" t="n"/>
      <c r="F586" s="65" t="n"/>
      <c r="G586" s="65" t="n"/>
      <c r="H586" s="71" t="n"/>
      <c r="I586" s="71" t="n"/>
      <c r="J586" s="21" t="n"/>
    </row>
    <row r="587">
      <c r="B587" s="37" t="n"/>
      <c r="C587" s="62" t="n"/>
      <c r="D587" s="63" t="n"/>
      <c r="F587" s="65" t="n"/>
      <c r="G587" s="65" t="n"/>
      <c r="H587" s="71" t="n"/>
      <c r="I587" s="71" t="n"/>
      <c r="J587" s="21" t="n"/>
    </row>
    <row r="588">
      <c r="B588" s="37" t="n"/>
      <c r="C588" s="62" t="n"/>
      <c r="D588" s="63" t="n"/>
      <c r="F588" s="65" t="n"/>
      <c r="G588" s="65" t="n"/>
      <c r="H588" s="71" t="n"/>
      <c r="I588" s="71" t="n"/>
      <c r="J588" s="21" t="n"/>
    </row>
    <row r="589">
      <c r="B589" s="37" t="n"/>
      <c r="C589" s="62" t="n"/>
      <c r="D589" s="63" t="n"/>
      <c r="F589" s="65" t="n"/>
      <c r="G589" s="65" t="n"/>
      <c r="H589" s="71" t="n"/>
      <c r="I589" s="71" t="n"/>
      <c r="J589" s="21" t="n"/>
    </row>
    <row r="590">
      <c r="B590" s="37" t="n"/>
      <c r="C590" s="62" t="n"/>
      <c r="D590" s="63" t="n"/>
      <c r="F590" s="65" t="n"/>
      <c r="G590" s="65" t="n"/>
      <c r="H590" s="71" t="n"/>
      <c r="I590" s="71" t="n"/>
      <c r="J590" s="21" t="n"/>
    </row>
    <row r="591">
      <c r="B591" s="37" t="n"/>
      <c r="C591" s="62" t="n"/>
      <c r="D591" s="63" t="n"/>
      <c r="F591" s="65" t="n"/>
      <c r="G591" s="65" t="n"/>
      <c r="H591" s="71" t="n"/>
      <c r="I591" s="71" t="n"/>
      <c r="J591" s="21" t="n"/>
    </row>
    <row r="592">
      <c r="B592" s="37" t="n"/>
      <c r="C592" s="62" t="n"/>
      <c r="D592" s="63" t="n"/>
      <c r="F592" s="65" t="n"/>
      <c r="G592" s="65" t="n"/>
      <c r="H592" s="71" t="n"/>
      <c r="I592" s="71" t="n"/>
      <c r="J592" s="21" t="n"/>
    </row>
    <row r="593">
      <c r="B593" s="37" t="n"/>
      <c r="C593" s="62" t="n"/>
      <c r="D593" s="63" t="n"/>
      <c r="F593" s="65" t="n"/>
      <c r="G593" s="65" t="n"/>
      <c r="H593" s="71" t="n"/>
      <c r="I593" s="71" t="n"/>
      <c r="J593" s="21" t="n"/>
    </row>
    <row r="594">
      <c r="B594" s="37" t="n"/>
      <c r="C594" s="62" t="n"/>
      <c r="D594" s="63" t="n"/>
      <c r="F594" s="65" t="n"/>
      <c r="G594" s="65" t="n"/>
      <c r="H594" s="71" t="n"/>
      <c r="I594" s="71" t="n"/>
      <c r="J594" s="21" t="n"/>
    </row>
    <row r="595">
      <c r="B595" s="37" t="n"/>
      <c r="C595" s="62" t="n"/>
      <c r="D595" s="63" t="n"/>
      <c r="F595" s="65" t="n"/>
      <c r="G595" s="65" t="n"/>
      <c r="H595" s="71" t="n"/>
      <c r="I595" s="71" t="n"/>
      <c r="J595" s="21" t="n"/>
    </row>
    <row r="596">
      <c r="B596" s="37" t="n"/>
      <c r="C596" s="62" t="n"/>
      <c r="D596" s="63" t="n"/>
      <c r="F596" s="65" t="n"/>
      <c r="G596" s="65" t="n"/>
      <c r="H596" s="71" t="n"/>
      <c r="I596" s="71" t="n"/>
      <c r="J596" s="21" t="n"/>
    </row>
    <row r="597">
      <c r="B597" s="37" t="n"/>
      <c r="C597" s="62" t="n"/>
      <c r="D597" s="63" t="n"/>
      <c r="F597" s="65" t="n"/>
      <c r="G597" s="65" t="n"/>
      <c r="H597" s="71" t="n"/>
      <c r="I597" s="71" t="n"/>
      <c r="J597" s="21" t="n"/>
    </row>
    <row r="598">
      <c r="B598" s="37" t="n"/>
      <c r="C598" s="62" t="n"/>
      <c r="D598" s="63" t="n"/>
      <c r="F598" s="65" t="n"/>
      <c r="G598" s="65" t="n"/>
      <c r="H598" s="71" t="n"/>
      <c r="I598" s="71" t="n"/>
      <c r="J598" s="21" t="n"/>
    </row>
    <row r="599">
      <c r="B599" s="37" t="n"/>
      <c r="C599" s="62" t="n"/>
      <c r="D599" s="63" t="n"/>
      <c r="F599" s="65" t="n"/>
      <c r="G599" s="65" t="n"/>
      <c r="H599" s="71" t="n"/>
      <c r="I599" s="71" t="n"/>
      <c r="J599" s="21" t="n"/>
    </row>
    <row r="600">
      <c r="B600" s="37" t="n"/>
      <c r="C600" s="62" t="n"/>
      <c r="D600" s="63" t="n"/>
      <c r="F600" s="65" t="n"/>
      <c r="G600" s="65" t="n"/>
      <c r="H600" s="71" t="n"/>
      <c r="I600" s="71" t="n"/>
      <c r="J600" s="21" t="n"/>
    </row>
    <row r="601">
      <c r="B601" s="37" t="n"/>
      <c r="C601" s="62" t="n"/>
      <c r="D601" s="63" t="n"/>
      <c r="F601" s="65" t="n"/>
      <c r="G601" s="65" t="n"/>
      <c r="H601" s="71" t="n"/>
      <c r="I601" s="71" t="n"/>
      <c r="J601" s="21" t="n"/>
    </row>
    <row r="602">
      <c r="B602" s="37" t="n"/>
      <c r="C602" s="62" t="n"/>
      <c r="D602" s="63" t="n"/>
      <c r="F602" s="65" t="n"/>
      <c r="G602" s="65" t="n"/>
      <c r="H602" s="71" t="n"/>
      <c r="I602" s="71" t="n"/>
      <c r="J602" s="21" t="n"/>
    </row>
    <row r="603">
      <c r="B603" s="37" t="n"/>
      <c r="C603" s="62" t="n"/>
      <c r="D603" s="63" t="n"/>
      <c r="F603" s="65" t="n"/>
      <c r="G603" s="65" t="n"/>
      <c r="H603" s="71" t="n"/>
      <c r="I603" s="71" t="n"/>
      <c r="J603" s="21" t="n"/>
    </row>
    <row r="604">
      <c r="B604" s="37" t="n"/>
      <c r="C604" s="62" t="n"/>
      <c r="D604" s="63" t="n"/>
      <c r="F604" s="65" t="n"/>
      <c r="G604" s="65" t="n"/>
      <c r="H604" s="71" t="n"/>
      <c r="I604" s="71" t="n"/>
      <c r="J604" s="21" t="n"/>
    </row>
    <row r="605">
      <c r="B605" s="37" t="n"/>
      <c r="C605" s="62" t="n"/>
      <c r="D605" s="63" t="n"/>
      <c r="F605" s="65" t="n"/>
      <c r="G605" s="65" t="n"/>
      <c r="H605" s="71" t="n"/>
      <c r="I605" s="71" t="n"/>
      <c r="J605" s="21" t="n"/>
    </row>
    <row r="606">
      <c r="B606" s="37" t="n"/>
      <c r="C606" s="62" t="n"/>
      <c r="D606" s="63" t="n"/>
      <c r="F606" s="65" t="n"/>
      <c r="G606" s="65" t="n"/>
      <c r="H606" s="71" t="n"/>
      <c r="I606" s="71" t="n"/>
      <c r="J606" s="21" t="n"/>
    </row>
    <row r="607">
      <c r="B607" s="37" t="n"/>
      <c r="C607" s="62" t="n"/>
      <c r="D607" s="63" t="n"/>
      <c r="F607" s="65" t="n"/>
      <c r="G607" s="65" t="n"/>
      <c r="H607" s="71" t="n"/>
      <c r="I607" s="71" t="n"/>
      <c r="J607" s="21" t="n"/>
    </row>
    <row r="608">
      <c r="B608" s="37" t="n"/>
      <c r="C608" s="62" t="n"/>
      <c r="D608" s="63" t="n"/>
      <c r="F608" s="65" t="n"/>
      <c r="G608" s="65" t="n"/>
      <c r="H608" s="71" t="n"/>
      <c r="I608" s="71" t="n"/>
      <c r="J608" s="21" t="n"/>
    </row>
    <row r="609">
      <c r="B609" s="37" t="n"/>
      <c r="C609" s="62" t="n"/>
      <c r="D609" s="63" t="n"/>
      <c r="F609" s="65" t="n"/>
      <c r="G609" s="65" t="n"/>
      <c r="H609" s="71" t="n"/>
      <c r="I609" s="71" t="n"/>
      <c r="J609" s="21" t="n"/>
    </row>
    <row r="610">
      <c r="B610" s="37" t="n"/>
      <c r="C610" s="62" t="n"/>
      <c r="D610" s="63" t="n"/>
      <c r="F610" s="65" t="n"/>
      <c r="G610" s="65" t="n"/>
      <c r="H610" s="71" t="n"/>
      <c r="I610" s="71" t="n"/>
      <c r="J610" s="21" t="n"/>
    </row>
    <row r="611">
      <c r="B611" s="37" t="n"/>
      <c r="C611" s="62" t="n"/>
      <c r="D611" s="63" t="n"/>
      <c r="F611" s="65" t="n"/>
      <c r="G611" s="65" t="n"/>
      <c r="H611" s="71" t="n"/>
      <c r="I611" s="71" t="n"/>
      <c r="J611" s="21" t="n"/>
    </row>
    <row r="612">
      <c r="B612" s="37" t="n"/>
      <c r="C612" s="62" t="n"/>
      <c r="D612" s="63" t="n"/>
      <c r="F612" s="65" t="n"/>
      <c r="G612" s="65" t="n"/>
      <c r="H612" s="71" t="n"/>
      <c r="I612" s="71" t="n"/>
      <c r="J612" s="21" t="n"/>
    </row>
    <row r="613">
      <c r="B613" s="37" t="n"/>
      <c r="C613" s="62" t="n"/>
      <c r="D613" s="63" t="n"/>
      <c r="F613" s="65" t="n"/>
      <c r="G613" s="65" t="n"/>
      <c r="H613" s="71" t="n"/>
      <c r="I613" s="71" t="n"/>
      <c r="J613" s="21" t="n"/>
    </row>
    <row r="614">
      <c r="B614" s="37" t="n"/>
      <c r="C614" s="62" t="n"/>
      <c r="D614" s="63" t="n"/>
      <c r="F614" s="65" t="n"/>
      <c r="G614" s="65" t="n"/>
      <c r="H614" s="71" t="n"/>
      <c r="I614" s="71" t="n"/>
      <c r="J614" s="21" t="n"/>
    </row>
    <row r="615">
      <c r="B615" s="37" t="n"/>
      <c r="C615" s="62" t="n"/>
      <c r="D615" s="63" t="n"/>
      <c r="F615" s="65" t="n"/>
      <c r="G615" s="65" t="n"/>
      <c r="H615" s="71" t="n"/>
      <c r="I615" s="71" t="n"/>
      <c r="J615" s="21" t="n"/>
    </row>
    <row r="616">
      <c r="B616" s="37" t="n"/>
      <c r="C616" s="62" t="n"/>
      <c r="D616" s="63" t="n"/>
      <c r="F616" s="65" t="n"/>
      <c r="G616" s="65" t="n"/>
      <c r="H616" s="71" t="n"/>
      <c r="I616" s="71" t="n"/>
      <c r="J616" s="21" t="n"/>
    </row>
    <row r="617">
      <c r="B617" s="37" t="n"/>
      <c r="C617" s="62" t="n"/>
      <c r="D617" s="63" t="n"/>
      <c r="F617" s="65" t="n"/>
      <c r="G617" s="65" t="n"/>
      <c r="H617" s="71" t="n"/>
      <c r="I617" s="71" t="n"/>
      <c r="J617" s="21" t="n"/>
    </row>
    <row r="618">
      <c r="B618" s="37" t="n"/>
      <c r="C618" s="62" t="n"/>
      <c r="D618" s="63" t="n"/>
      <c r="F618" s="65" t="n"/>
      <c r="G618" s="65" t="n"/>
      <c r="H618" s="71" t="n"/>
      <c r="I618" s="71" t="n"/>
      <c r="J618" s="21" t="n"/>
    </row>
    <row r="619">
      <c r="B619" s="37" t="n"/>
      <c r="C619" s="62" t="n"/>
      <c r="D619" s="63" t="n"/>
      <c r="F619" s="65" t="n"/>
      <c r="G619" s="65" t="n"/>
      <c r="H619" s="71" t="n"/>
      <c r="I619" s="71" t="n"/>
      <c r="J619" s="21" t="n"/>
    </row>
    <row r="620">
      <c r="B620" s="37" t="n"/>
      <c r="C620" s="62" t="n"/>
      <c r="D620" s="63" t="n"/>
      <c r="F620" s="65" t="n"/>
      <c r="G620" s="65" t="n"/>
      <c r="H620" s="71" t="n"/>
      <c r="I620" s="71" t="n"/>
      <c r="J620" s="21" t="n"/>
    </row>
    <row r="621">
      <c r="B621" s="37" t="n"/>
      <c r="C621" s="62" t="n"/>
      <c r="D621" s="63" t="n"/>
      <c r="F621" s="65" t="n"/>
      <c r="G621" s="65" t="n"/>
      <c r="H621" s="71" t="n"/>
      <c r="I621" s="71" t="n"/>
      <c r="J621" s="21" t="n"/>
    </row>
    <row r="622">
      <c r="B622" s="37" t="n"/>
      <c r="C622" s="62" t="n"/>
      <c r="D622" s="63" t="n"/>
      <c r="F622" s="65" t="n"/>
      <c r="G622" s="65" t="n"/>
      <c r="H622" s="71" t="n"/>
      <c r="I622" s="71" t="n"/>
      <c r="J622" s="21" t="n"/>
    </row>
    <row r="623">
      <c r="B623" s="37" t="n"/>
      <c r="C623" s="62" t="n"/>
      <c r="D623" s="63" t="n"/>
      <c r="F623" s="65" t="n"/>
      <c r="G623" s="65" t="n"/>
      <c r="H623" s="71" t="n"/>
      <c r="I623" s="71" t="n"/>
      <c r="J623" s="21" t="n"/>
    </row>
    <row r="624">
      <c r="B624" s="37" t="n"/>
      <c r="C624" s="62" t="n"/>
      <c r="D624" s="63" t="n"/>
      <c r="F624" s="65" t="n"/>
      <c r="G624" s="65" t="n"/>
      <c r="H624" s="71" t="n"/>
      <c r="I624" s="71" t="n"/>
      <c r="J624" s="21" t="n"/>
    </row>
    <row r="625">
      <c r="B625" s="37" t="n"/>
      <c r="C625" s="62" t="n"/>
      <c r="D625" s="63" t="n"/>
      <c r="F625" s="65" t="n"/>
      <c r="G625" s="65" t="n"/>
      <c r="H625" s="71" t="n"/>
      <c r="I625" s="71" t="n"/>
      <c r="J625" s="21" t="n"/>
    </row>
    <row r="626">
      <c r="B626" s="37" t="n"/>
      <c r="C626" s="62" t="n"/>
      <c r="D626" s="63" t="n"/>
      <c r="F626" s="65" t="n"/>
      <c r="G626" s="65" t="n"/>
      <c r="H626" s="71" t="n"/>
      <c r="I626" s="71" t="n"/>
      <c r="J626" s="21" t="n"/>
    </row>
    <row r="627">
      <c r="B627" s="37" t="n"/>
      <c r="C627" s="62" t="n"/>
      <c r="D627" s="63" t="n"/>
      <c r="F627" s="65" t="n"/>
      <c r="G627" s="65" t="n"/>
      <c r="H627" s="71" t="n"/>
      <c r="I627" s="71" t="n"/>
      <c r="J627" s="21" t="n"/>
    </row>
    <row r="628">
      <c r="B628" s="37" t="n"/>
      <c r="C628" s="62" t="n"/>
      <c r="D628" s="63" t="n"/>
      <c r="F628" s="65" t="n"/>
      <c r="G628" s="65" t="n"/>
      <c r="H628" s="71" t="n"/>
      <c r="I628" s="71" t="n"/>
      <c r="J628" s="21" t="n"/>
    </row>
    <row r="629">
      <c r="B629" s="37" t="n"/>
      <c r="C629" s="62" t="n"/>
      <c r="D629" s="63" t="n"/>
      <c r="F629" s="65" t="n"/>
      <c r="G629" s="65" t="n"/>
      <c r="H629" s="71" t="n"/>
      <c r="I629" s="71" t="n"/>
      <c r="J629" s="21" t="n"/>
    </row>
    <row r="630">
      <c r="B630" s="37" t="n"/>
      <c r="C630" s="62" t="n"/>
      <c r="D630" s="63" t="n"/>
      <c r="F630" s="65" t="n"/>
      <c r="G630" s="65" t="n"/>
      <c r="H630" s="71" t="n"/>
      <c r="I630" s="71" t="n"/>
      <c r="J630" s="21" t="n"/>
    </row>
    <row r="631">
      <c r="B631" s="37" t="n"/>
      <c r="C631" s="62" t="n"/>
      <c r="D631" s="63" t="n"/>
      <c r="F631" s="65" t="n"/>
      <c r="G631" s="65" t="n"/>
      <c r="H631" s="71" t="n"/>
      <c r="I631" s="71" t="n"/>
      <c r="J631" s="21" t="n"/>
    </row>
    <row r="632">
      <c r="B632" s="37" t="n"/>
      <c r="C632" s="62" t="n"/>
      <c r="D632" s="63" t="n"/>
      <c r="F632" s="65" t="n"/>
      <c r="G632" s="65" t="n"/>
      <c r="H632" s="71" t="n"/>
      <c r="I632" s="71" t="n"/>
      <c r="J632" s="21" t="n"/>
    </row>
    <row r="633">
      <c r="B633" s="37" t="n"/>
      <c r="C633" s="62" t="n"/>
      <c r="D633" s="63" t="n"/>
      <c r="F633" s="65" t="n"/>
      <c r="G633" s="65" t="n"/>
      <c r="H633" s="71" t="n"/>
      <c r="I633" s="71" t="n"/>
      <c r="J633" s="21" t="n"/>
    </row>
    <row r="634">
      <c r="B634" s="37" t="n"/>
      <c r="C634" s="62" t="n"/>
      <c r="D634" s="63" t="n"/>
      <c r="F634" s="65" t="n"/>
      <c r="G634" s="65" t="n"/>
      <c r="H634" s="71" t="n"/>
      <c r="I634" s="71" t="n"/>
      <c r="J634" s="21" t="n"/>
    </row>
    <row r="635">
      <c r="B635" s="37" t="n"/>
      <c r="C635" s="62" t="n"/>
      <c r="D635" s="63" t="n"/>
      <c r="F635" s="65" t="n"/>
      <c r="G635" s="65" t="n"/>
      <c r="H635" s="71" t="n"/>
      <c r="I635" s="71" t="n"/>
      <c r="J635" s="21" t="n"/>
    </row>
    <row r="636">
      <c r="B636" s="37" t="n"/>
      <c r="C636" s="62" t="n"/>
      <c r="D636" s="63" t="n"/>
      <c r="F636" s="65" t="n"/>
      <c r="G636" s="65" t="n"/>
      <c r="H636" s="71" t="n"/>
      <c r="I636" s="71" t="n"/>
      <c r="J636" s="21" t="n"/>
    </row>
    <row r="637">
      <c r="B637" s="37" t="n"/>
      <c r="C637" s="62" t="n"/>
      <c r="D637" s="63" t="n"/>
      <c r="F637" s="65" t="n"/>
      <c r="G637" s="65" t="n"/>
      <c r="H637" s="71" t="n"/>
      <c r="I637" s="71" t="n"/>
      <c r="J637" s="21" t="n"/>
    </row>
    <row r="638">
      <c r="B638" s="37" t="n"/>
      <c r="C638" s="62" t="n"/>
      <c r="D638" s="63" t="n"/>
      <c r="F638" s="65" t="n"/>
      <c r="G638" s="65" t="n"/>
      <c r="H638" s="71" t="n"/>
      <c r="I638" s="71" t="n"/>
      <c r="J638" s="21" t="n"/>
    </row>
    <row r="639">
      <c r="B639" s="37" t="n"/>
      <c r="C639" s="62" t="n"/>
      <c r="D639" s="63" t="n"/>
      <c r="F639" s="65" t="n"/>
      <c r="G639" s="65" t="n"/>
      <c r="H639" s="71" t="n"/>
      <c r="I639" s="71" t="n"/>
      <c r="J639" s="21" t="n"/>
    </row>
    <row r="640">
      <c r="B640" s="37" t="n"/>
      <c r="C640" s="62" t="n"/>
      <c r="D640" s="63" t="n"/>
      <c r="F640" s="65" t="n"/>
      <c r="G640" s="65" t="n"/>
      <c r="H640" s="71" t="n"/>
      <c r="I640" s="71" t="n"/>
      <c r="J640" s="21" t="n"/>
    </row>
    <row r="641">
      <c r="B641" s="37" t="n"/>
      <c r="C641" s="62" t="n"/>
      <c r="D641" s="63" t="n"/>
      <c r="F641" s="65" t="n"/>
      <c r="G641" s="65" t="n"/>
      <c r="H641" s="71" t="n"/>
      <c r="I641" s="71" t="n"/>
      <c r="J641" s="21" t="n"/>
    </row>
    <row r="642">
      <c r="B642" s="37" t="n"/>
      <c r="C642" s="62" t="n"/>
      <c r="D642" s="63" t="n"/>
      <c r="F642" s="65" t="n"/>
      <c r="G642" s="65" t="n"/>
      <c r="H642" s="71" t="n"/>
      <c r="I642" s="71" t="n"/>
      <c r="J642" s="21" t="n"/>
    </row>
    <row r="643">
      <c r="B643" s="37" t="n"/>
      <c r="C643" s="62" t="n"/>
      <c r="D643" s="63" t="n"/>
      <c r="F643" s="65" t="n"/>
      <c r="G643" s="65" t="n"/>
      <c r="H643" s="71" t="n"/>
      <c r="I643" s="71" t="n"/>
      <c r="J643" s="21" t="n"/>
    </row>
    <row r="644">
      <c r="B644" s="37" t="n"/>
      <c r="C644" s="62" t="n"/>
      <c r="D644" s="63" t="n"/>
      <c r="F644" s="65" t="n"/>
      <c r="G644" s="65" t="n"/>
      <c r="H644" s="71" t="n"/>
      <c r="I644" s="71" t="n"/>
      <c r="J644" s="21" t="n"/>
    </row>
    <row r="645">
      <c r="B645" s="37" t="n"/>
      <c r="C645" s="62" t="n"/>
      <c r="D645" s="63" t="n"/>
      <c r="F645" s="65" t="n"/>
      <c r="G645" s="65" t="n"/>
      <c r="H645" s="71" t="n"/>
      <c r="I645" s="71" t="n"/>
      <c r="J645" s="21" t="n"/>
    </row>
    <row r="646">
      <c r="B646" s="37" t="n"/>
      <c r="C646" s="62" t="n"/>
      <c r="D646" s="63" t="n"/>
      <c r="F646" s="65" t="n"/>
      <c r="G646" s="65" t="n"/>
      <c r="H646" s="71" t="n"/>
      <c r="I646" s="71" t="n"/>
      <c r="J646" s="21" t="n"/>
    </row>
    <row r="647">
      <c r="B647" s="37" t="n"/>
      <c r="C647" s="62" t="n"/>
      <c r="D647" s="63" t="n"/>
      <c r="F647" s="65" t="n"/>
      <c r="G647" s="65" t="n"/>
      <c r="H647" s="71" t="n"/>
      <c r="I647" s="71" t="n"/>
      <c r="J647" s="21" t="n"/>
    </row>
    <row r="648">
      <c r="B648" s="37" t="n"/>
      <c r="C648" s="62" t="n"/>
      <c r="D648" s="63" t="n"/>
      <c r="F648" s="65" t="n"/>
      <c r="G648" s="65" t="n"/>
      <c r="H648" s="71" t="n"/>
      <c r="I648" s="71" t="n"/>
      <c r="J648" s="21" t="n"/>
    </row>
    <row r="649">
      <c r="B649" s="37" t="n"/>
      <c r="C649" s="62" t="n"/>
      <c r="D649" s="63" t="n"/>
      <c r="F649" s="65" t="n"/>
      <c r="G649" s="65" t="n"/>
      <c r="H649" s="71" t="n"/>
      <c r="I649" s="71" t="n"/>
      <c r="J649" s="21" t="n"/>
    </row>
    <row r="650">
      <c r="B650" s="37" t="n"/>
      <c r="C650" s="62" t="n"/>
      <c r="D650" s="63" t="n"/>
      <c r="F650" s="65" t="n"/>
      <c r="G650" s="65" t="n"/>
      <c r="H650" s="71" t="n"/>
      <c r="I650" s="71" t="n"/>
      <c r="J650" s="21" t="n"/>
    </row>
    <row r="651">
      <c r="B651" s="37" t="n"/>
      <c r="C651" s="62" t="n"/>
      <c r="D651" s="63" t="n"/>
      <c r="F651" s="65" t="n"/>
      <c r="G651" s="65" t="n"/>
      <c r="H651" s="71" t="n"/>
      <c r="I651" s="71" t="n"/>
      <c r="J651" s="21" t="n"/>
    </row>
    <row r="652">
      <c r="B652" s="37" t="n"/>
      <c r="C652" s="62" t="n"/>
      <c r="D652" s="63" t="n"/>
      <c r="F652" s="65" t="n"/>
      <c r="G652" s="65" t="n"/>
      <c r="H652" s="71" t="n"/>
      <c r="I652" s="71" t="n"/>
      <c r="J652" s="21" t="n"/>
    </row>
    <row r="653">
      <c r="B653" s="37" t="n"/>
      <c r="C653" s="62" t="n"/>
      <c r="D653" s="63" t="n"/>
      <c r="F653" s="65" t="n"/>
      <c r="G653" s="65" t="n"/>
      <c r="H653" s="71" t="n"/>
      <c r="I653" s="71" t="n"/>
      <c r="J653" s="21" t="n"/>
    </row>
    <row r="654">
      <c r="B654" s="37" t="n"/>
      <c r="C654" s="62" t="n"/>
      <c r="D654" s="63" t="n"/>
      <c r="F654" s="65" t="n"/>
      <c r="G654" s="65" t="n"/>
      <c r="H654" s="71" t="n"/>
      <c r="I654" s="71" t="n"/>
      <c r="J654" s="21" t="n"/>
    </row>
    <row r="655">
      <c r="B655" s="37" t="n"/>
      <c r="C655" s="62" t="n"/>
      <c r="D655" s="63" t="n"/>
      <c r="F655" s="65" t="n"/>
      <c r="G655" s="65" t="n"/>
      <c r="H655" s="71" t="n"/>
      <c r="I655" s="71" t="n"/>
      <c r="J655" s="21" t="n"/>
    </row>
    <row r="656">
      <c r="B656" s="37" t="n"/>
      <c r="C656" s="62" t="n"/>
      <c r="D656" s="63" t="n"/>
      <c r="F656" s="65" t="n"/>
      <c r="G656" s="65" t="n"/>
      <c r="H656" s="71" t="n"/>
      <c r="I656" s="71" t="n"/>
      <c r="J656" s="21" t="n"/>
    </row>
    <row r="657">
      <c r="B657" s="37" t="n"/>
      <c r="C657" s="62" t="n"/>
      <c r="D657" s="63" t="n"/>
      <c r="F657" s="65" t="n"/>
      <c r="G657" s="65" t="n"/>
      <c r="H657" s="71" t="n"/>
      <c r="I657" s="71" t="n"/>
      <c r="J657" s="21" t="n"/>
    </row>
    <row r="658">
      <c r="B658" s="37" t="n"/>
      <c r="C658" s="62" t="n"/>
      <c r="D658" s="63" t="n"/>
      <c r="F658" s="65" t="n"/>
      <c r="G658" s="65" t="n"/>
      <c r="H658" s="71" t="n"/>
      <c r="I658" s="71" t="n"/>
      <c r="J658" s="21" t="n"/>
    </row>
    <row r="659">
      <c r="B659" s="37" t="n"/>
      <c r="C659" s="62" t="n"/>
      <c r="D659" s="63" t="n"/>
      <c r="F659" s="65" t="n"/>
      <c r="G659" s="65" t="n"/>
      <c r="H659" s="71" t="n"/>
      <c r="I659" s="71" t="n"/>
      <c r="J659" s="21" t="n"/>
    </row>
    <row r="660">
      <c r="B660" s="37" t="n"/>
      <c r="C660" s="62" t="n"/>
      <c r="D660" s="63" t="n"/>
      <c r="F660" s="65" t="n"/>
      <c r="G660" s="65" t="n"/>
      <c r="H660" s="71" t="n"/>
      <c r="I660" s="71" t="n"/>
      <c r="J660" s="21" t="n"/>
    </row>
    <row r="661">
      <c r="B661" s="37" t="n"/>
      <c r="C661" s="62" t="n"/>
      <c r="D661" s="63" t="n"/>
      <c r="F661" s="65" t="n"/>
      <c r="G661" s="65" t="n"/>
      <c r="H661" s="71" t="n"/>
      <c r="I661" s="71" t="n"/>
      <c r="J661" s="21" t="n"/>
    </row>
    <row r="662">
      <c r="B662" s="37" t="n"/>
      <c r="C662" s="62" t="n"/>
      <c r="D662" s="63" t="n"/>
      <c r="F662" s="65" t="n"/>
      <c r="G662" s="65" t="n"/>
      <c r="H662" s="71" t="n"/>
      <c r="I662" s="71" t="n"/>
      <c r="J662" s="21" t="n"/>
    </row>
    <row r="663">
      <c r="B663" s="37" t="n"/>
      <c r="C663" s="62" t="n"/>
      <c r="D663" s="63" t="n"/>
      <c r="F663" s="65" t="n"/>
      <c r="G663" s="65" t="n"/>
      <c r="H663" s="71" t="n"/>
      <c r="I663" s="71" t="n"/>
      <c r="J663" s="21" t="n"/>
    </row>
    <row r="664">
      <c r="B664" s="37" t="n"/>
      <c r="C664" s="62" t="n"/>
      <c r="D664" s="63" t="n"/>
      <c r="F664" s="65" t="n"/>
      <c r="G664" s="65" t="n"/>
      <c r="H664" s="71" t="n"/>
      <c r="I664" s="71" t="n"/>
      <c r="J664" s="21" t="n"/>
    </row>
    <row r="665">
      <c r="B665" s="37" t="n"/>
      <c r="C665" s="62" t="n"/>
      <c r="D665" s="63" t="n"/>
      <c r="F665" s="65" t="n"/>
      <c r="G665" s="65" t="n"/>
      <c r="H665" s="71" t="n"/>
      <c r="I665" s="71" t="n"/>
      <c r="J665" s="21" t="n"/>
    </row>
    <row r="666">
      <c r="B666" s="37" t="n"/>
      <c r="C666" s="62" t="n"/>
      <c r="D666" s="63" t="n"/>
      <c r="F666" s="65" t="n"/>
      <c r="G666" s="65" t="n"/>
      <c r="H666" s="71" t="n"/>
      <c r="I666" s="71" t="n"/>
      <c r="J666" s="21" t="n"/>
    </row>
    <row r="667">
      <c r="B667" s="37" t="n"/>
      <c r="C667" s="62" t="n"/>
      <c r="D667" s="63" t="n"/>
      <c r="F667" s="65" t="n"/>
      <c r="G667" s="65" t="n"/>
      <c r="H667" s="71" t="n"/>
      <c r="I667" s="71" t="n"/>
      <c r="J667" s="21" t="n"/>
    </row>
    <row r="668">
      <c r="B668" s="37" t="n"/>
      <c r="C668" s="62" t="n"/>
      <c r="D668" s="63" t="n"/>
      <c r="F668" s="65" t="n"/>
      <c r="G668" s="65" t="n"/>
      <c r="H668" s="71" t="n"/>
      <c r="I668" s="71" t="n"/>
      <c r="J668" s="21" t="n"/>
    </row>
    <row r="669">
      <c r="B669" s="37" t="n"/>
      <c r="C669" s="62" t="n"/>
      <c r="D669" s="63" t="n"/>
      <c r="F669" s="65" t="n"/>
      <c r="G669" s="65" t="n"/>
      <c r="H669" s="71" t="n"/>
      <c r="I669" s="71" t="n"/>
      <c r="J669" s="21" t="n"/>
    </row>
    <row r="670">
      <c r="B670" s="37" t="n"/>
      <c r="C670" s="62" t="n"/>
      <c r="D670" s="63" t="n"/>
      <c r="F670" s="65" t="n"/>
      <c r="G670" s="65" t="n"/>
      <c r="H670" s="71" t="n"/>
      <c r="I670" s="71" t="n"/>
      <c r="J670" s="21" t="n"/>
    </row>
    <row r="671">
      <c r="B671" s="37" t="n"/>
      <c r="C671" s="62" t="n"/>
      <c r="D671" s="63" t="n"/>
      <c r="F671" s="65" t="n"/>
      <c r="G671" s="65" t="n"/>
      <c r="H671" s="71" t="n"/>
      <c r="I671" s="71" t="n"/>
      <c r="J671" s="21" t="n"/>
    </row>
    <row r="672">
      <c r="B672" s="37" t="n"/>
      <c r="C672" s="62" t="n"/>
      <c r="D672" s="63" t="n"/>
      <c r="F672" s="65" t="n"/>
      <c r="G672" s="65" t="n"/>
      <c r="H672" s="71" t="n"/>
      <c r="I672" s="71" t="n"/>
      <c r="J672" s="21" t="n"/>
    </row>
    <row r="673">
      <c r="B673" s="37" t="n"/>
      <c r="C673" s="62" t="n"/>
      <c r="D673" s="63" t="n"/>
      <c r="F673" s="65" t="n"/>
      <c r="G673" s="65" t="n"/>
      <c r="H673" s="71" t="n"/>
      <c r="I673" s="71" t="n"/>
      <c r="J673" s="21" t="n"/>
    </row>
    <row r="674">
      <c r="B674" s="37" t="n"/>
      <c r="C674" s="62" t="n"/>
      <c r="D674" s="63" t="n"/>
      <c r="F674" s="65" t="n"/>
      <c r="G674" s="65" t="n"/>
      <c r="H674" s="71" t="n"/>
      <c r="I674" s="71" t="n"/>
      <c r="J674" s="21" t="n"/>
    </row>
    <row r="675">
      <c r="B675" s="37" t="n"/>
      <c r="C675" s="62" t="n"/>
      <c r="D675" s="63" t="n"/>
      <c r="F675" s="65" t="n"/>
      <c r="G675" s="65" t="n"/>
      <c r="H675" s="71" t="n"/>
      <c r="I675" s="71" t="n"/>
      <c r="J675" s="21" t="n"/>
    </row>
    <row r="676">
      <c r="B676" s="37" t="n"/>
      <c r="C676" s="62" t="n"/>
      <c r="D676" s="63" t="n"/>
      <c r="F676" s="65" t="n"/>
      <c r="G676" s="65" t="n"/>
      <c r="H676" s="71" t="n"/>
      <c r="I676" s="71" t="n"/>
      <c r="J676" s="21" t="n"/>
    </row>
    <row r="677">
      <c r="B677" s="37" t="n"/>
      <c r="C677" s="62" t="n"/>
      <c r="D677" s="63" t="n"/>
      <c r="F677" s="65" t="n"/>
      <c r="G677" s="65" t="n"/>
      <c r="H677" s="71" t="n"/>
      <c r="I677" s="71" t="n"/>
      <c r="J677" s="21" t="n"/>
    </row>
    <row r="678">
      <c r="B678" s="37" t="n"/>
      <c r="C678" s="62" t="n"/>
      <c r="D678" s="63" t="n"/>
      <c r="F678" s="65" t="n"/>
      <c r="G678" s="65" t="n"/>
      <c r="H678" s="71" t="n"/>
      <c r="I678" s="71" t="n"/>
      <c r="J678" s="21" t="n"/>
    </row>
    <row r="679">
      <c r="B679" s="37" t="n"/>
      <c r="C679" s="62" t="n"/>
      <c r="D679" s="63" t="n"/>
      <c r="F679" s="65" t="n"/>
      <c r="G679" s="65" t="n"/>
      <c r="H679" s="71" t="n"/>
      <c r="I679" s="71" t="n"/>
      <c r="J679" s="21" t="n"/>
    </row>
    <row r="680">
      <c r="B680" s="37" t="n"/>
      <c r="C680" s="62" t="n"/>
      <c r="D680" s="63" t="n"/>
      <c r="F680" s="65" t="n"/>
      <c r="G680" s="65" t="n"/>
      <c r="H680" s="71" t="n"/>
      <c r="I680" s="71" t="n"/>
      <c r="J680" s="21" t="n"/>
    </row>
    <row r="681">
      <c r="B681" s="37" t="n"/>
      <c r="C681" s="62" t="n"/>
      <c r="D681" s="63" t="n"/>
      <c r="F681" s="65" t="n"/>
      <c r="G681" s="65" t="n"/>
      <c r="H681" s="71" t="n"/>
      <c r="I681" s="71" t="n"/>
      <c r="J681" s="21" t="n"/>
    </row>
    <row r="682">
      <c r="B682" s="37" t="n"/>
      <c r="C682" s="62" t="n"/>
      <c r="D682" s="63" t="n"/>
      <c r="F682" s="65" t="n"/>
      <c r="G682" s="65" t="n"/>
      <c r="H682" s="71" t="n"/>
      <c r="I682" s="71" t="n"/>
      <c r="J682" s="21" t="n"/>
    </row>
    <row r="683">
      <c r="B683" s="37" t="n"/>
      <c r="C683" s="62" t="n"/>
      <c r="D683" s="63" t="n"/>
      <c r="F683" s="65" t="n"/>
      <c r="G683" s="65" t="n"/>
      <c r="H683" s="71" t="n"/>
      <c r="I683" s="71" t="n"/>
      <c r="J683" s="21" t="n"/>
    </row>
    <row r="684">
      <c r="B684" s="37" t="n"/>
      <c r="C684" s="62" t="n"/>
      <c r="D684" s="63" t="n"/>
      <c r="F684" s="65" t="n"/>
      <c r="G684" s="65" t="n"/>
      <c r="H684" s="71" t="n"/>
      <c r="I684" s="71" t="n"/>
      <c r="J684" s="21" t="n"/>
    </row>
    <row r="685">
      <c r="B685" s="37" t="n"/>
      <c r="C685" s="62" t="n"/>
      <c r="D685" s="63" t="n"/>
      <c r="F685" s="65" t="n"/>
      <c r="G685" s="65" t="n"/>
      <c r="H685" s="71" t="n"/>
      <c r="I685" s="71" t="n"/>
      <c r="J685" s="21" t="n"/>
    </row>
    <row r="686">
      <c r="B686" s="37" t="n"/>
      <c r="C686" s="62" t="n"/>
      <c r="D686" s="63" t="n"/>
      <c r="F686" s="65" t="n"/>
      <c r="G686" s="65" t="n"/>
      <c r="H686" s="71" t="n"/>
      <c r="I686" s="71" t="n"/>
      <c r="J686" s="21" t="n"/>
    </row>
    <row r="687">
      <c r="B687" s="37" t="n"/>
      <c r="C687" s="62" t="n"/>
      <c r="D687" s="63" t="n"/>
      <c r="F687" s="65" t="n"/>
      <c r="G687" s="65" t="n"/>
      <c r="H687" s="71" t="n"/>
      <c r="I687" s="71" t="n"/>
      <c r="J687" s="21" t="n"/>
    </row>
    <row r="688">
      <c r="B688" s="37" t="n"/>
      <c r="C688" s="62" t="n"/>
      <c r="D688" s="63" t="n"/>
      <c r="F688" s="65" t="n"/>
      <c r="G688" s="65" t="n"/>
      <c r="H688" s="71" t="n"/>
      <c r="I688" s="71" t="n"/>
      <c r="J688" s="21" t="n"/>
    </row>
    <row r="689">
      <c r="B689" s="37" t="n"/>
      <c r="C689" s="62" t="n"/>
      <c r="D689" s="63" t="n"/>
      <c r="F689" s="65" t="n"/>
      <c r="G689" s="65" t="n"/>
      <c r="H689" s="71" t="n"/>
      <c r="I689" s="71" t="n"/>
      <c r="J689" s="21" t="n"/>
    </row>
    <row r="690">
      <c r="B690" s="37" t="n"/>
      <c r="C690" s="62" t="n"/>
      <c r="D690" s="63" t="n"/>
      <c r="F690" s="65" t="n"/>
      <c r="G690" s="65" t="n"/>
      <c r="H690" s="71" t="n"/>
      <c r="I690" s="71" t="n"/>
      <c r="J690" s="21" t="n"/>
    </row>
    <row r="691">
      <c r="B691" s="37" t="n"/>
      <c r="C691" s="62" t="n"/>
      <c r="D691" s="63" t="n"/>
      <c r="F691" s="65" t="n"/>
      <c r="G691" s="65" t="n"/>
      <c r="H691" s="71" t="n"/>
      <c r="I691" s="71" t="n"/>
      <c r="J691" s="21" t="n"/>
    </row>
    <row r="692">
      <c r="B692" s="37" t="n"/>
      <c r="C692" s="62" t="n"/>
      <c r="D692" s="63" t="n"/>
      <c r="F692" s="65" t="n"/>
      <c r="G692" s="65" t="n"/>
      <c r="H692" s="71" t="n"/>
      <c r="I692" s="71" t="n"/>
      <c r="J692" s="21" t="n"/>
    </row>
    <row r="693">
      <c r="B693" s="37" t="n"/>
      <c r="C693" s="62" t="n"/>
      <c r="D693" s="63" t="n"/>
      <c r="F693" s="65" t="n"/>
      <c r="G693" s="65" t="n"/>
      <c r="H693" s="71" t="n"/>
      <c r="I693" s="71" t="n"/>
      <c r="J693" s="21" t="n"/>
    </row>
    <row r="694">
      <c r="B694" s="37" t="n"/>
      <c r="C694" s="62" t="n"/>
      <c r="D694" s="63" t="n"/>
      <c r="F694" s="65" t="n"/>
      <c r="G694" s="65" t="n"/>
      <c r="H694" s="71" t="n"/>
      <c r="I694" s="71" t="n"/>
      <c r="J694" s="21" t="n"/>
    </row>
    <row r="695">
      <c r="B695" s="37" t="n"/>
      <c r="C695" s="62" t="n"/>
      <c r="D695" s="63" t="n"/>
      <c r="F695" s="65" t="n"/>
      <c r="G695" s="65" t="n"/>
      <c r="H695" s="71" t="n"/>
      <c r="I695" s="71" t="n"/>
      <c r="J695" s="21" t="n"/>
    </row>
    <row r="696">
      <c r="B696" s="37" t="n"/>
      <c r="C696" s="62" t="n"/>
      <c r="D696" s="63" t="n"/>
      <c r="F696" s="65" t="n"/>
      <c r="G696" s="65" t="n"/>
      <c r="H696" s="71" t="n"/>
      <c r="I696" s="71" t="n"/>
      <c r="J696" s="21" t="n"/>
    </row>
    <row r="697">
      <c r="B697" s="37" t="n"/>
      <c r="C697" s="62" t="n"/>
      <c r="D697" s="63" t="n"/>
      <c r="F697" s="65" t="n"/>
      <c r="G697" s="65" t="n"/>
      <c r="H697" s="71" t="n"/>
      <c r="I697" s="71" t="n"/>
      <c r="J697" s="21" t="n"/>
    </row>
    <row r="698">
      <c r="B698" s="37" t="n"/>
      <c r="C698" s="62" t="n"/>
      <c r="D698" s="63" t="n"/>
      <c r="F698" s="65" t="n"/>
      <c r="G698" s="65" t="n"/>
      <c r="H698" s="71" t="n"/>
      <c r="I698" s="71" t="n"/>
      <c r="J698" s="21" t="n"/>
    </row>
    <row r="699">
      <c r="B699" s="37" t="n"/>
      <c r="C699" s="62" t="n"/>
      <c r="D699" s="63" t="n"/>
      <c r="F699" s="65" t="n"/>
      <c r="G699" s="65" t="n"/>
      <c r="H699" s="71" t="n"/>
      <c r="I699" s="71" t="n"/>
      <c r="J699" s="21" t="n"/>
    </row>
    <row r="700">
      <c r="B700" s="37" t="n"/>
      <c r="C700" s="62" t="n"/>
      <c r="D700" s="63" t="n"/>
      <c r="F700" s="65" t="n"/>
      <c r="G700" s="65" t="n"/>
      <c r="H700" s="71" t="n"/>
      <c r="I700" s="71" t="n"/>
      <c r="J700" s="21" t="n"/>
    </row>
    <row r="701">
      <c r="B701" s="37" t="n"/>
      <c r="C701" s="62" t="n"/>
      <c r="D701" s="63" t="n"/>
      <c r="F701" s="65" t="n"/>
      <c r="G701" s="65" t="n"/>
      <c r="H701" s="71" t="n"/>
      <c r="I701" s="71" t="n"/>
      <c r="J701" s="21" t="n"/>
    </row>
    <row r="702">
      <c r="B702" s="37" t="n"/>
      <c r="C702" s="62" t="n"/>
      <c r="D702" s="63" t="n"/>
      <c r="F702" s="65" t="n"/>
      <c r="G702" s="65" t="n"/>
      <c r="H702" s="71" t="n"/>
      <c r="I702" s="71" t="n"/>
      <c r="J702" s="21" t="n"/>
    </row>
    <row r="703">
      <c r="B703" s="37" t="n"/>
      <c r="C703" s="62" t="n"/>
      <c r="D703" s="63" t="n"/>
      <c r="F703" s="65" t="n"/>
      <c r="G703" s="65" t="n"/>
      <c r="H703" s="71" t="n"/>
      <c r="I703" s="71" t="n"/>
      <c r="J703" s="21" t="n"/>
    </row>
    <row r="704">
      <c r="B704" s="37" t="n"/>
      <c r="C704" s="62" t="n"/>
      <c r="D704" s="63" t="n"/>
      <c r="F704" s="65" t="n"/>
      <c r="G704" s="65" t="n"/>
      <c r="H704" s="71" t="n"/>
      <c r="I704" s="71" t="n"/>
      <c r="J704" s="21" t="n"/>
    </row>
    <row r="705">
      <c r="B705" s="37" t="n"/>
      <c r="C705" s="62" t="n"/>
      <c r="D705" s="63" t="n"/>
      <c r="F705" s="65" t="n"/>
      <c r="G705" s="65" t="n"/>
      <c r="H705" s="71" t="n"/>
      <c r="I705" s="71" t="n"/>
      <c r="J705" s="21" t="n"/>
    </row>
    <row r="706">
      <c r="B706" s="37" t="n"/>
      <c r="C706" s="62" t="n"/>
      <c r="D706" s="63" t="n"/>
      <c r="F706" s="65" t="n"/>
      <c r="G706" s="65" t="n"/>
      <c r="H706" s="71" t="n"/>
      <c r="I706" s="71" t="n"/>
      <c r="J706" s="21" t="n"/>
    </row>
    <row r="707">
      <c r="B707" s="37" t="n"/>
      <c r="C707" s="62" t="n"/>
      <c r="D707" s="63" t="n"/>
      <c r="F707" s="65" t="n"/>
      <c r="G707" s="65" t="n"/>
      <c r="H707" s="71" t="n"/>
      <c r="I707" s="71" t="n"/>
      <c r="J707" s="21" t="n"/>
    </row>
    <row r="708">
      <c r="B708" s="37" t="n"/>
      <c r="C708" s="62" t="n"/>
      <c r="D708" s="63" t="n"/>
      <c r="F708" s="65" t="n"/>
      <c r="G708" s="65" t="n"/>
      <c r="H708" s="71" t="n"/>
      <c r="I708" s="71" t="n"/>
      <c r="J708" s="21" t="n"/>
    </row>
    <row r="709">
      <c r="B709" s="37" t="n"/>
      <c r="C709" s="62" t="n"/>
      <c r="D709" s="63" t="n"/>
      <c r="F709" s="65" t="n"/>
      <c r="G709" s="65" t="n"/>
      <c r="H709" s="71" t="n"/>
      <c r="I709" s="71" t="n"/>
      <c r="J709" s="21" t="n"/>
    </row>
    <row r="710">
      <c r="B710" s="37" t="n"/>
      <c r="C710" s="62" t="n"/>
      <c r="D710" s="63" t="n"/>
      <c r="F710" s="65" t="n"/>
      <c r="G710" s="65" t="n"/>
      <c r="H710" s="71" t="n"/>
      <c r="I710" s="71" t="n"/>
      <c r="J710" s="21" t="n"/>
    </row>
    <row r="711">
      <c r="B711" s="37" t="n"/>
      <c r="C711" s="62" t="n"/>
      <c r="D711" s="63" t="n"/>
      <c r="F711" s="65" t="n"/>
      <c r="G711" s="65" t="n"/>
      <c r="H711" s="71" t="n"/>
      <c r="I711" s="71" t="n"/>
      <c r="J711" s="21" t="n"/>
    </row>
    <row r="712">
      <c r="B712" s="37" t="n"/>
      <c r="C712" s="62" t="n"/>
      <c r="D712" s="63" t="n"/>
      <c r="F712" s="65" t="n"/>
      <c r="G712" s="65" t="n"/>
      <c r="H712" s="71" t="n"/>
      <c r="I712" s="71" t="n"/>
      <c r="J712" s="21" t="n"/>
    </row>
    <row r="713">
      <c r="B713" s="37" t="n"/>
      <c r="C713" s="62" t="n"/>
      <c r="D713" s="63" t="n"/>
      <c r="F713" s="65" t="n"/>
      <c r="G713" s="65" t="n"/>
      <c r="H713" s="71" t="n"/>
      <c r="I713" s="71" t="n"/>
      <c r="J713" s="21" t="n"/>
    </row>
    <row r="714">
      <c r="B714" s="37" t="n"/>
      <c r="C714" s="62" t="n"/>
      <c r="D714" s="63" t="n"/>
      <c r="F714" s="65" t="n"/>
      <c r="G714" s="65" t="n"/>
      <c r="H714" s="71" t="n"/>
      <c r="I714" s="71" t="n"/>
      <c r="J714" s="21" t="n"/>
    </row>
    <row r="715">
      <c r="B715" s="37" t="n"/>
      <c r="C715" s="62" t="n"/>
      <c r="D715" s="63" t="n"/>
      <c r="F715" s="65" t="n"/>
      <c r="G715" s="65" t="n"/>
      <c r="H715" s="71" t="n"/>
      <c r="I715" s="71" t="n"/>
      <c r="J715" s="21" t="n"/>
    </row>
    <row r="716">
      <c r="B716" s="37" t="n"/>
      <c r="C716" s="62" t="n"/>
      <c r="D716" s="63" t="n"/>
      <c r="F716" s="65" t="n"/>
      <c r="G716" s="65" t="n"/>
      <c r="H716" s="71" t="n"/>
      <c r="I716" s="71" t="n"/>
      <c r="J716" s="21" t="n"/>
    </row>
    <row r="717">
      <c r="B717" s="37" t="n"/>
      <c r="C717" s="62" t="n"/>
      <c r="D717" s="63" t="n"/>
      <c r="F717" s="65" t="n"/>
      <c r="G717" s="65" t="n"/>
      <c r="H717" s="71" t="n"/>
      <c r="I717" s="71" t="n"/>
      <c r="J717" s="21" t="n"/>
    </row>
    <row r="718">
      <c r="B718" s="37" t="n"/>
      <c r="C718" s="62" t="n"/>
      <c r="D718" s="63" t="n"/>
      <c r="F718" s="65" t="n"/>
      <c r="G718" s="65" t="n"/>
      <c r="H718" s="71" t="n"/>
      <c r="I718" s="71" t="n"/>
      <c r="J718" s="21" t="n"/>
    </row>
    <row r="719">
      <c r="B719" s="37" t="n"/>
      <c r="C719" s="62" t="n"/>
      <c r="D719" s="63" t="n"/>
      <c r="F719" s="65" t="n"/>
      <c r="G719" s="65" t="n"/>
      <c r="H719" s="71" t="n"/>
      <c r="I719" s="71" t="n"/>
      <c r="J719" s="21" t="n"/>
    </row>
    <row r="720">
      <c r="B720" s="37" t="n"/>
      <c r="C720" s="62" t="n"/>
      <c r="D720" s="63" t="n"/>
      <c r="F720" s="65" t="n"/>
      <c r="G720" s="65" t="n"/>
      <c r="H720" s="71" t="n"/>
      <c r="I720" s="71" t="n"/>
      <c r="J720" s="21" t="n"/>
    </row>
    <row r="721">
      <c r="B721" s="37" t="n"/>
      <c r="C721" s="62" t="n"/>
      <c r="D721" s="63" t="n"/>
      <c r="F721" s="65" t="n"/>
      <c r="G721" s="65" t="n"/>
      <c r="H721" s="71" t="n"/>
      <c r="I721" s="71" t="n"/>
      <c r="J721" s="21" t="n"/>
    </row>
    <row r="722">
      <c r="B722" s="37" t="n"/>
      <c r="C722" s="62" t="n"/>
      <c r="D722" s="63" t="n"/>
      <c r="F722" s="65" t="n"/>
      <c r="G722" s="65" t="n"/>
      <c r="H722" s="71" t="n"/>
      <c r="I722" s="71" t="n"/>
      <c r="J722" s="21" t="n"/>
    </row>
    <row r="723">
      <c r="B723" s="37" t="n"/>
      <c r="C723" s="62" t="n"/>
      <c r="D723" s="63" t="n"/>
      <c r="F723" s="65" t="n"/>
      <c r="G723" s="65" t="n"/>
      <c r="H723" s="71" t="n"/>
      <c r="I723" s="71" t="n"/>
      <c r="J723" s="21" t="n"/>
    </row>
    <row r="724">
      <c r="B724" s="37" t="n"/>
      <c r="C724" s="62" t="n"/>
      <c r="D724" s="63" t="n"/>
      <c r="F724" s="65" t="n"/>
      <c r="G724" s="65" t="n"/>
      <c r="H724" s="71" t="n"/>
      <c r="I724" s="71" t="n"/>
      <c r="J724" s="21" t="n"/>
    </row>
    <row r="725">
      <c r="B725" s="37" t="n"/>
      <c r="C725" s="62" t="n"/>
      <c r="D725" s="63" t="n"/>
      <c r="F725" s="65" t="n"/>
      <c r="G725" s="65" t="n"/>
      <c r="H725" s="71" t="n"/>
      <c r="I725" s="71" t="n"/>
      <c r="J725" s="21" t="n"/>
    </row>
    <row r="726">
      <c r="B726" s="37" t="n"/>
      <c r="C726" s="62" t="n"/>
      <c r="D726" s="63" t="n"/>
      <c r="F726" s="65" t="n"/>
      <c r="G726" s="65" t="n"/>
      <c r="H726" s="71" t="n"/>
      <c r="I726" s="71" t="n"/>
      <c r="J726" s="21" t="n"/>
    </row>
    <row r="727">
      <c r="B727" s="37" t="n"/>
      <c r="C727" s="62" t="n"/>
      <c r="D727" s="63" t="n"/>
      <c r="F727" s="65" t="n"/>
      <c r="G727" s="65" t="n"/>
      <c r="H727" s="71" t="n"/>
      <c r="I727" s="71" t="n"/>
      <c r="J727" s="21" t="n"/>
    </row>
    <row r="728">
      <c r="B728" s="37" t="n"/>
      <c r="C728" s="62" t="n"/>
      <c r="D728" s="63" t="n"/>
      <c r="F728" s="65" t="n"/>
      <c r="G728" s="65" t="n"/>
      <c r="H728" s="71" t="n"/>
      <c r="I728" s="71" t="n"/>
      <c r="J728" s="21" t="n"/>
    </row>
    <row r="729">
      <c r="B729" s="37" t="n"/>
      <c r="C729" s="62" t="n"/>
      <c r="D729" s="63" t="n"/>
      <c r="F729" s="65" t="n"/>
      <c r="G729" s="65" t="n"/>
      <c r="H729" s="71" t="n"/>
      <c r="I729" s="71" t="n"/>
      <c r="J729" s="21" t="n"/>
    </row>
    <row r="730">
      <c r="B730" s="37" t="n"/>
      <c r="C730" s="62" t="n"/>
      <c r="D730" s="63" t="n"/>
      <c r="F730" s="65" t="n"/>
      <c r="G730" s="65" t="n"/>
      <c r="H730" s="71" t="n"/>
      <c r="I730" s="71" t="n"/>
      <c r="J730" s="21" t="n"/>
    </row>
    <row r="731">
      <c r="B731" s="37" t="n"/>
      <c r="C731" s="62" t="n"/>
      <c r="D731" s="63" t="n"/>
      <c r="F731" s="65" t="n"/>
      <c r="G731" s="65" t="n"/>
      <c r="H731" s="71" t="n"/>
      <c r="I731" s="71" t="n"/>
      <c r="J731" s="21" t="n"/>
    </row>
    <row r="732">
      <c r="B732" s="37" t="n"/>
      <c r="C732" s="62" t="n"/>
      <c r="D732" s="63" t="n"/>
      <c r="F732" s="65" t="n"/>
      <c r="G732" s="65" t="n"/>
      <c r="H732" s="71" t="n"/>
      <c r="I732" s="71" t="n"/>
      <c r="J732" s="21" t="n"/>
    </row>
    <row r="733">
      <c r="B733" s="37" t="n"/>
      <c r="C733" s="62" t="n"/>
      <c r="D733" s="63" t="n"/>
      <c r="F733" s="65" t="n"/>
      <c r="G733" s="65" t="n"/>
      <c r="H733" s="71" t="n"/>
      <c r="I733" s="71" t="n"/>
      <c r="J733" s="21" t="n"/>
    </row>
    <row r="734">
      <c r="B734" s="37" t="n"/>
      <c r="C734" s="62" t="n"/>
      <c r="D734" s="63" t="n"/>
      <c r="F734" s="65" t="n"/>
      <c r="G734" s="65" t="n"/>
      <c r="H734" s="71" t="n"/>
      <c r="I734" s="71" t="n"/>
      <c r="J734" s="21" t="n"/>
    </row>
    <row r="735">
      <c r="B735" s="37" t="n"/>
      <c r="C735" s="62" t="n"/>
      <c r="D735" s="63" t="n"/>
      <c r="F735" s="65" t="n"/>
      <c r="G735" s="65" t="n"/>
      <c r="H735" s="71" t="n"/>
      <c r="I735" s="71" t="n"/>
      <c r="J735" s="21" t="n"/>
    </row>
    <row r="736">
      <c r="B736" s="37" t="n"/>
      <c r="C736" s="62" t="n"/>
      <c r="D736" s="63" t="n"/>
      <c r="F736" s="65" t="n"/>
      <c r="G736" s="65" t="n"/>
      <c r="H736" s="71" t="n"/>
      <c r="I736" s="71" t="n"/>
      <c r="J736" s="21" t="n"/>
    </row>
    <row r="737">
      <c r="B737" s="37" t="n"/>
      <c r="C737" s="62" t="n"/>
      <c r="D737" s="63" t="n"/>
      <c r="F737" s="65" t="n"/>
      <c r="G737" s="65" t="n"/>
      <c r="H737" s="71" t="n"/>
      <c r="I737" s="71" t="n"/>
      <c r="J737" s="21" t="n"/>
    </row>
    <row r="738">
      <c r="B738" s="37" t="n"/>
      <c r="C738" s="62" t="n"/>
      <c r="D738" s="63" t="n"/>
      <c r="F738" s="65" t="n"/>
      <c r="G738" s="65" t="n"/>
      <c r="H738" s="71" t="n"/>
      <c r="I738" s="71" t="n"/>
      <c r="J738" s="21" t="n"/>
    </row>
    <row r="739">
      <c r="B739" s="37" t="n"/>
      <c r="C739" s="62" t="n"/>
      <c r="D739" s="63" t="n"/>
      <c r="F739" s="65" t="n"/>
      <c r="G739" s="65" t="n"/>
      <c r="H739" s="71" t="n"/>
      <c r="I739" s="71" t="n"/>
      <c r="J739" s="21" t="n"/>
    </row>
    <row r="740">
      <c r="B740" s="37" t="n"/>
      <c r="C740" s="62" t="n"/>
      <c r="D740" s="63" t="n"/>
      <c r="F740" s="65" t="n"/>
      <c r="G740" s="65" t="n"/>
      <c r="H740" s="71" t="n"/>
      <c r="I740" s="71" t="n"/>
      <c r="J740" s="21" t="n"/>
    </row>
    <row r="741">
      <c r="B741" s="37" t="n"/>
      <c r="C741" s="62" t="n"/>
      <c r="D741" s="63" t="n"/>
      <c r="F741" s="65" t="n"/>
      <c r="G741" s="65" t="n"/>
      <c r="H741" s="71" t="n"/>
      <c r="I741" s="71" t="n"/>
      <c r="J741" s="21" t="n"/>
    </row>
    <row r="742">
      <c r="B742" s="37" t="n"/>
      <c r="C742" s="62" t="n"/>
      <c r="D742" s="63" t="n"/>
      <c r="F742" s="65" t="n"/>
      <c r="G742" s="65" t="n"/>
      <c r="H742" s="71" t="n"/>
      <c r="I742" s="71" t="n"/>
      <c r="J742" s="21" t="n"/>
    </row>
    <row r="743">
      <c r="B743" s="37" t="n"/>
      <c r="C743" s="62" t="n"/>
      <c r="D743" s="63" t="n"/>
      <c r="F743" s="65" t="n"/>
      <c r="G743" s="65" t="n"/>
      <c r="H743" s="71" t="n"/>
      <c r="I743" s="71" t="n"/>
      <c r="J743" s="21" t="n"/>
    </row>
    <row r="744">
      <c r="B744" s="37" t="n"/>
      <c r="C744" s="62" t="n"/>
      <c r="D744" s="63" t="n"/>
      <c r="F744" s="65" t="n"/>
      <c r="G744" s="65" t="n"/>
      <c r="H744" s="71" t="n"/>
      <c r="I744" s="71" t="n"/>
      <c r="J744" s="21" t="n"/>
    </row>
    <row r="745">
      <c r="B745" s="37" t="n"/>
      <c r="C745" s="62" t="n"/>
      <c r="D745" s="63" t="n"/>
      <c r="F745" s="65" t="n"/>
      <c r="G745" s="65" t="n"/>
      <c r="H745" s="71" t="n"/>
      <c r="I745" s="71" t="n"/>
      <c r="J745" s="21" t="n"/>
    </row>
    <row r="746">
      <c r="B746" s="37" t="n"/>
      <c r="C746" s="62" t="n"/>
      <c r="D746" s="63" t="n"/>
      <c r="F746" s="65" t="n"/>
      <c r="G746" s="65" t="n"/>
      <c r="H746" s="71" t="n"/>
      <c r="I746" s="71" t="n"/>
      <c r="J746" s="21" t="n"/>
    </row>
    <row r="747">
      <c r="B747" s="37" t="n"/>
      <c r="C747" s="62" t="n"/>
      <c r="D747" s="63" t="n"/>
      <c r="F747" s="65" t="n"/>
      <c r="G747" s="65" t="n"/>
      <c r="H747" s="71" t="n"/>
      <c r="I747" s="71" t="n"/>
      <c r="J747" s="21" t="n"/>
    </row>
    <row r="748">
      <c r="B748" s="37" t="n"/>
      <c r="C748" s="62" t="n"/>
      <c r="D748" s="63" t="n"/>
      <c r="F748" s="65" t="n"/>
      <c r="G748" s="65" t="n"/>
      <c r="H748" s="71" t="n"/>
      <c r="I748" s="71" t="n"/>
      <c r="J748" s="21" t="n"/>
    </row>
    <row r="749">
      <c r="B749" s="37" t="n"/>
      <c r="C749" s="62" t="n"/>
      <c r="D749" s="63" t="n"/>
      <c r="F749" s="65" t="n"/>
      <c r="G749" s="65" t="n"/>
      <c r="H749" s="71" t="n"/>
      <c r="I749" s="71" t="n"/>
      <c r="J749" s="21" t="n"/>
    </row>
    <row r="750">
      <c r="B750" s="37" t="n"/>
      <c r="C750" s="62" t="n"/>
      <c r="D750" s="63" t="n"/>
      <c r="F750" s="65" t="n"/>
      <c r="G750" s="65" t="n"/>
      <c r="H750" s="71" t="n"/>
      <c r="I750" s="71" t="n"/>
      <c r="J750" s="21" t="n"/>
    </row>
    <row r="751">
      <c r="B751" s="37" t="n"/>
      <c r="C751" s="62" t="n"/>
      <c r="D751" s="63" t="n"/>
      <c r="F751" s="65" t="n"/>
      <c r="G751" s="65" t="n"/>
      <c r="H751" s="71" t="n"/>
      <c r="I751" s="71" t="n"/>
      <c r="J751" s="21" t="n"/>
    </row>
    <row r="752">
      <c r="B752" s="37" t="n"/>
      <c r="C752" s="62" t="n"/>
      <c r="D752" s="63" t="n"/>
      <c r="F752" s="65" t="n"/>
      <c r="G752" s="65" t="n"/>
      <c r="H752" s="71" t="n"/>
      <c r="I752" s="71" t="n"/>
      <c r="J752" s="21" t="n"/>
    </row>
    <row r="753">
      <c r="B753" s="37" t="n"/>
      <c r="C753" s="62" t="n"/>
      <c r="D753" s="63" t="n"/>
      <c r="F753" s="65" t="n"/>
      <c r="G753" s="65" t="n"/>
      <c r="H753" s="71" t="n"/>
      <c r="I753" s="71" t="n"/>
      <c r="J753" s="21" t="n"/>
    </row>
    <row r="754">
      <c r="B754" s="37" t="n"/>
      <c r="C754" s="62" t="n"/>
      <c r="D754" s="63" t="n"/>
      <c r="F754" s="65" t="n"/>
      <c r="G754" s="65" t="n"/>
      <c r="H754" s="71" t="n"/>
      <c r="I754" s="71" t="n"/>
      <c r="J754" s="21" t="n"/>
    </row>
    <row r="755">
      <c r="B755" s="37" t="n"/>
      <c r="C755" s="62" t="n"/>
      <c r="D755" s="63" t="n"/>
      <c r="F755" s="65" t="n"/>
      <c r="G755" s="65" t="n"/>
      <c r="H755" s="71" t="n"/>
      <c r="I755" s="71" t="n"/>
      <c r="J755" s="21" t="n"/>
    </row>
    <row r="756">
      <c r="B756" s="37" t="n"/>
      <c r="C756" s="62" t="n"/>
      <c r="D756" s="63" t="n"/>
      <c r="F756" s="65" t="n"/>
      <c r="G756" s="65" t="n"/>
      <c r="H756" s="71" t="n"/>
      <c r="I756" s="71" t="n"/>
      <c r="J756" s="21" t="n"/>
    </row>
    <row r="757">
      <c r="B757" s="37" t="n"/>
      <c r="C757" s="62" t="n"/>
      <c r="D757" s="63" t="n"/>
      <c r="F757" s="65" t="n"/>
      <c r="G757" s="65" t="n"/>
      <c r="H757" s="71" t="n"/>
      <c r="I757" s="71" t="n"/>
      <c r="J757" s="21" t="n"/>
    </row>
    <row r="758">
      <c r="B758" s="37" t="n"/>
      <c r="C758" s="62" t="n"/>
      <c r="D758" s="63" t="n"/>
      <c r="F758" s="65" t="n"/>
      <c r="G758" s="65" t="n"/>
      <c r="H758" s="71" t="n"/>
      <c r="I758" s="71" t="n"/>
      <c r="J758" s="21" t="n"/>
    </row>
    <row r="759">
      <c r="B759" s="37" t="n"/>
      <c r="C759" s="62" t="n"/>
      <c r="D759" s="63" t="n"/>
      <c r="F759" s="65" t="n"/>
      <c r="G759" s="65" t="n"/>
      <c r="H759" s="71" t="n"/>
      <c r="I759" s="71" t="n"/>
      <c r="J759" s="21" t="n"/>
    </row>
    <row r="760">
      <c r="B760" s="37" t="n"/>
      <c r="C760" s="62" t="n"/>
      <c r="D760" s="63" t="n"/>
      <c r="F760" s="65" t="n"/>
      <c r="G760" s="65" t="n"/>
      <c r="H760" s="71" t="n"/>
      <c r="I760" s="71" t="n"/>
      <c r="J760" s="21" t="n"/>
    </row>
    <row r="761">
      <c r="B761" s="37" t="n"/>
      <c r="C761" s="62" t="n"/>
      <c r="D761" s="63" t="n"/>
      <c r="F761" s="65" t="n"/>
      <c r="G761" s="65" t="n"/>
      <c r="H761" s="71" t="n"/>
      <c r="I761" s="71" t="n"/>
      <c r="J761" s="21" t="n"/>
    </row>
    <row r="762">
      <c r="B762" s="37" t="n"/>
      <c r="C762" s="62" t="n"/>
      <c r="D762" s="63" t="n"/>
      <c r="F762" s="65" t="n"/>
      <c r="G762" s="65" t="n"/>
      <c r="H762" s="71" t="n"/>
      <c r="I762" s="71" t="n"/>
      <c r="J762" s="21" t="n"/>
    </row>
    <row r="763">
      <c r="B763" s="37" t="n"/>
      <c r="C763" s="62" t="n"/>
      <c r="D763" s="63" t="n"/>
      <c r="F763" s="65" t="n"/>
      <c r="G763" s="65" t="n"/>
      <c r="H763" s="71" t="n"/>
      <c r="I763" s="71" t="n"/>
      <c r="J763" s="21" t="n"/>
    </row>
    <row r="764">
      <c r="B764" s="37" t="n"/>
      <c r="C764" s="62" t="n"/>
      <c r="D764" s="63" t="n"/>
      <c r="F764" s="65" t="n"/>
      <c r="G764" s="65" t="n"/>
      <c r="H764" s="71" t="n"/>
      <c r="I764" s="71" t="n"/>
      <c r="J764" s="21" t="n"/>
    </row>
    <row r="765">
      <c r="B765" s="37" t="n"/>
      <c r="C765" s="62" t="n"/>
      <c r="D765" s="63" t="n"/>
      <c r="F765" s="65" t="n"/>
      <c r="G765" s="65" t="n"/>
      <c r="H765" s="71" t="n"/>
      <c r="I765" s="71" t="n"/>
      <c r="J765" s="21" t="n"/>
    </row>
    <row r="766">
      <c r="B766" s="37" t="n"/>
      <c r="C766" s="62" t="n"/>
      <c r="D766" s="63" t="n"/>
      <c r="F766" s="65" t="n"/>
      <c r="G766" s="65" t="n"/>
      <c r="H766" s="71" t="n"/>
      <c r="I766" s="71" t="n"/>
      <c r="J766" s="21" t="n"/>
    </row>
    <row r="767">
      <c r="B767" s="37" t="n"/>
      <c r="C767" s="62" t="n"/>
      <c r="D767" s="63" t="n"/>
      <c r="F767" s="65" t="n"/>
      <c r="G767" s="65" t="n"/>
      <c r="H767" s="71" t="n"/>
      <c r="I767" s="71" t="n"/>
      <c r="J767" s="21" t="n"/>
    </row>
    <row r="768">
      <c r="B768" s="37" t="n"/>
      <c r="C768" s="62" t="n"/>
      <c r="D768" s="63" t="n"/>
      <c r="F768" s="65" t="n"/>
      <c r="G768" s="65" t="n"/>
      <c r="H768" s="71" t="n"/>
      <c r="I768" s="71" t="n"/>
      <c r="J768" s="21" t="n"/>
    </row>
    <row r="769">
      <c r="B769" s="37" t="n"/>
      <c r="C769" s="62" t="n"/>
      <c r="D769" s="63" t="n"/>
      <c r="F769" s="65" t="n"/>
      <c r="G769" s="65" t="n"/>
      <c r="H769" s="71" t="n"/>
      <c r="I769" s="71" t="n"/>
      <c r="J769" s="21" t="n"/>
    </row>
    <row r="770">
      <c r="B770" s="37" t="n"/>
      <c r="C770" s="62" t="n"/>
      <c r="D770" s="63" t="n"/>
      <c r="F770" s="65" t="n"/>
      <c r="G770" s="65" t="n"/>
      <c r="H770" s="71" t="n"/>
      <c r="I770" s="71" t="n"/>
      <c r="J770" s="21" t="n"/>
    </row>
    <row r="771">
      <c r="B771" s="37" t="n"/>
      <c r="C771" s="62" t="n"/>
      <c r="D771" s="63" t="n"/>
      <c r="F771" s="65" t="n"/>
      <c r="G771" s="65" t="n"/>
      <c r="H771" s="71" t="n"/>
      <c r="I771" s="71" t="n"/>
      <c r="J771" s="21" t="n"/>
    </row>
    <row r="772">
      <c r="B772" s="37" t="n"/>
      <c r="C772" s="62" t="n"/>
      <c r="D772" s="63" t="n"/>
      <c r="F772" s="65" t="n"/>
      <c r="G772" s="65" t="n"/>
      <c r="H772" s="71" t="n"/>
      <c r="I772" s="71" t="n"/>
      <c r="J772" s="21" t="n"/>
    </row>
    <row r="773">
      <c r="B773" s="37" t="n"/>
      <c r="C773" s="62" t="n"/>
      <c r="D773" s="63" t="n"/>
      <c r="F773" s="65" t="n"/>
      <c r="G773" s="65" t="n"/>
      <c r="H773" s="71" t="n"/>
      <c r="I773" s="71" t="n"/>
      <c r="J773" s="21" t="n"/>
    </row>
    <row r="774">
      <c r="B774" s="37" t="n"/>
      <c r="C774" s="62" t="n"/>
      <c r="D774" s="63" t="n"/>
      <c r="F774" s="65" t="n"/>
      <c r="G774" s="65" t="n"/>
      <c r="H774" s="71" t="n"/>
      <c r="I774" s="71" t="n"/>
      <c r="J774" s="21" t="n"/>
    </row>
    <row r="775">
      <c r="B775" s="37" t="n"/>
      <c r="C775" s="62" t="n"/>
      <c r="D775" s="63" t="n"/>
      <c r="F775" s="65" t="n"/>
      <c r="G775" s="65" t="n"/>
      <c r="H775" s="71" t="n"/>
      <c r="I775" s="71" t="n"/>
      <c r="J775" s="21" t="n"/>
    </row>
    <row r="776">
      <c r="B776" s="37" t="n"/>
      <c r="C776" s="62" t="n"/>
      <c r="D776" s="63" t="n"/>
      <c r="F776" s="65" t="n"/>
      <c r="G776" s="65" t="n"/>
      <c r="H776" s="71" t="n"/>
      <c r="I776" s="71" t="n"/>
      <c r="J776" s="21" t="n"/>
    </row>
    <row r="777">
      <c r="B777" s="37" t="n"/>
      <c r="C777" s="62" t="n"/>
      <c r="D777" s="63" t="n"/>
      <c r="F777" s="65" t="n"/>
      <c r="G777" s="65" t="n"/>
      <c r="H777" s="71" t="n"/>
      <c r="I777" s="71" t="n"/>
      <c r="J777" s="21" t="n"/>
    </row>
    <row r="778">
      <c r="B778" s="37" t="n"/>
      <c r="C778" s="62" t="n"/>
      <c r="D778" s="63" t="n"/>
      <c r="F778" s="65" t="n"/>
      <c r="G778" s="65" t="n"/>
      <c r="H778" s="71" t="n"/>
      <c r="I778" s="71" t="n"/>
      <c r="J778" s="21" t="n"/>
    </row>
    <row r="779">
      <c r="B779" s="37" t="n"/>
      <c r="C779" s="62" t="n"/>
      <c r="D779" s="63" t="n"/>
      <c r="F779" s="65" t="n"/>
      <c r="G779" s="65" t="n"/>
      <c r="H779" s="71" t="n"/>
      <c r="I779" s="71" t="n"/>
      <c r="J779" s="21" t="n"/>
    </row>
    <row r="780">
      <c r="B780" s="37" t="n"/>
      <c r="C780" s="62" t="n"/>
      <c r="D780" s="63" t="n"/>
      <c r="F780" s="65" t="n"/>
      <c r="G780" s="65" t="n"/>
      <c r="H780" s="71" t="n"/>
      <c r="I780" s="71" t="n"/>
      <c r="J780" s="21" t="n"/>
    </row>
    <row r="781">
      <c r="B781" s="37" t="n"/>
      <c r="C781" s="62" t="n"/>
      <c r="D781" s="63" t="n"/>
      <c r="F781" s="65" t="n"/>
      <c r="G781" s="65" t="n"/>
      <c r="H781" s="71" t="n"/>
      <c r="I781" s="71" t="n"/>
      <c r="J781" s="21" t="n"/>
    </row>
    <row r="782">
      <c r="B782" s="37" t="n"/>
      <c r="C782" s="62" t="n"/>
      <c r="D782" s="63" t="n"/>
      <c r="F782" s="65" t="n"/>
      <c r="G782" s="65" t="n"/>
      <c r="H782" s="71" t="n"/>
      <c r="I782" s="71" t="n"/>
      <c r="J782" s="21" t="n"/>
    </row>
    <row r="783">
      <c r="B783" s="37" t="n"/>
      <c r="C783" s="62" t="n"/>
      <c r="D783" s="63" t="n"/>
      <c r="F783" s="65" t="n"/>
      <c r="G783" s="65" t="n"/>
      <c r="H783" s="71" t="n"/>
      <c r="I783" s="71" t="n"/>
      <c r="J783" s="21" t="n"/>
    </row>
    <row r="784">
      <c r="B784" s="37" t="n"/>
      <c r="C784" s="62" t="n"/>
      <c r="D784" s="63" t="n"/>
      <c r="F784" s="65" t="n"/>
      <c r="G784" s="65" t="n"/>
      <c r="H784" s="71" t="n"/>
      <c r="I784" s="71" t="n"/>
      <c r="J784" s="21" t="n"/>
    </row>
    <row r="785">
      <c r="B785" s="37" t="n"/>
      <c r="C785" s="62" t="n"/>
      <c r="D785" s="63" t="n"/>
      <c r="F785" s="65" t="n"/>
      <c r="G785" s="65" t="n"/>
      <c r="H785" s="71" t="n"/>
      <c r="I785" s="71" t="n"/>
      <c r="J785" s="21" t="n"/>
    </row>
    <row r="786">
      <c r="B786" s="37" t="n"/>
      <c r="C786" s="62" t="n"/>
      <c r="D786" s="63" t="n"/>
      <c r="F786" s="65" t="n"/>
      <c r="G786" s="65" t="n"/>
      <c r="H786" s="71" t="n"/>
      <c r="I786" s="71" t="n"/>
      <c r="J786" s="21" t="n"/>
    </row>
    <row r="787">
      <c r="B787" s="37" t="n"/>
      <c r="C787" s="62" t="n"/>
      <c r="D787" s="63" t="n"/>
      <c r="F787" s="65" t="n"/>
      <c r="G787" s="65" t="n"/>
      <c r="H787" s="71" t="n"/>
      <c r="I787" s="71" t="n"/>
      <c r="J787" s="21" t="n"/>
    </row>
    <row r="788">
      <c r="B788" s="37" t="n"/>
      <c r="C788" s="62" t="n"/>
      <c r="D788" s="63" t="n"/>
      <c r="F788" s="65" t="n"/>
      <c r="G788" s="65" t="n"/>
      <c r="H788" s="71" t="n"/>
      <c r="I788" s="71" t="n"/>
      <c r="J788" s="21" t="n"/>
    </row>
    <row r="789">
      <c r="B789" s="37" t="n"/>
      <c r="C789" s="62" t="n"/>
      <c r="D789" s="63" t="n"/>
      <c r="F789" s="65" t="n"/>
      <c r="G789" s="65" t="n"/>
      <c r="H789" s="71" t="n"/>
      <c r="I789" s="71" t="n"/>
      <c r="J789" s="21" t="n"/>
    </row>
    <row r="790">
      <c r="B790" s="37" t="n"/>
      <c r="C790" s="62" t="n"/>
      <c r="D790" s="63" t="n"/>
      <c r="F790" s="65" t="n"/>
      <c r="G790" s="65" t="n"/>
      <c r="H790" s="71" t="n"/>
      <c r="I790" s="71" t="n"/>
      <c r="J790" s="21" t="n"/>
    </row>
    <row r="791">
      <c r="B791" s="37" t="n"/>
      <c r="C791" s="62" t="n"/>
      <c r="D791" s="63" t="n"/>
      <c r="F791" s="65" t="n"/>
      <c r="G791" s="65" t="n"/>
      <c r="H791" s="71" t="n"/>
      <c r="I791" s="71" t="n"/>
      <c r="J791" s="21" t="n"/>
    </row>
    <row r="792">
      <c r="B792" s="37" t="n"/>
      <c r="C792" s="62" t="n"/>
      <c r="D792" s="63" t="n"/>
      <c r="F792" s="65" t="n"/>
      <c r="G792" s="65" t="n"/>
      <c r="H792" s="71" t="n"/>
      <c r="I792" s="71" t="n"/>
      <c r="J792" s="21" t="n"/>
    </row>
    <row r="793">
      <c r="B793" s="37" t="n"/>
      <c r="C793" s="62" t="n"/>
      <c r="D793" s="63" t="n"/>
      <c r="F793" s="65" t="n"/>
      <c r="G793" s="65" t="n"/>
      <c r="H793" s="71" t="n"/>
      <c r="I793" s="71" t="n"/>
      <c r="J793" s="21" t="n"/>
    </row>
    <row r="794">
      <c r="B794" s="37" t="n"/>
      <c r="C794" s="62" t="n"/>
      <c r="D794" s="63" t="n"/>
      <c r="F794" s="65" t="n"/>
      <c r="G794" s="65" t="n"/>
      <c r="H794" s="71" t="n"/>
      <c r="I794" s="71" t="n"/>
      <c r="J794" s="21" t="n"/>
    </row>
    <row r="795">
      <c r="B795" s="37" t="n"/>
      <c r="C795" s="62" t="n"/>
      <c r="D795" s="63" t="n"/>
      <c r="F795" s="65" t="n"/>
      <c r="G795" s="65" t="n"/>
      <c r="H795" s="71" t="n"/>
      <c r="I795" s="71" t="n"/>
      <c r="J795" s="21" t="n"/>
    </row>
    <row r="796">
      <c r="B796" s="37" t="n"/>
      <c r="C796" s="62" t="n"/>
      <c r="D796" s="63" t="n"/>
      <c r="F796" s="65" t="n"/>
      <c r="G796" s="65" t="n"/>
      <c r="H796" s="71" t="n"/>
      <c r="I796" s="71" t="n"/>
      <c r="J796" s="21" t="n"/>
    </row>
    <row r="797">
      <c r="B797" s="37" t="n"/>
      <c r="C797" s="62" t="n"/>
      <c r="D797" s="63" t="n"/>
      <c r="F797" s="65" t="n"/>
      <c r="G797" s="65" t="n"/>
      <c r="H797" s="71" t="n"/>
      <c r="I797" s="71" t="n"/>
      <c r="J797" s="21" t="n"/>
    </row>
    <row r="798">
      <c r="B798" s="37" t="n"/>
      <c r="C798" s="62" t="n"/>
      <c r="D798" s="63" t="n"/>
      <c r="F798" s="65" t="n"/>
      <c r="G798" s="65" t="n"/>
      <c r="H798" s="71" t="n"/>
      <c r="I798" s="71" t="n"/>
      <c r="J798" s="21" t="n"/>
    </row>
    <row r="799">
      <c r="B799" s="37" t="n"/>
      <c r="C799" s="62" t="n"/>
      <c r="D799" s="63" t="n"/>
      <c r="F799" s="65" t="n"/>
      <c r="G799" s="65" t="n"/>
      <c r="H799" s="71" t="n"/>
      <c r="I799" s="71" t="n"/>
      <c r="J799" s="21" t="n"/>
    </row>
    <row r="800">
      <c r="B800" s="37" t="n"/>
      <c r="C800" s="62" t="n"/>
      <c r="D800" s="63" t="n"/>
      <c r="F800" s="65" t="n"/>
      <c r="G800" s="65" t="n"/>
      <c r="H800" s="71" t="n"/>
      <c r="I800" s="71" t="n"/>
      <c r="J800" s="21" t="n"/>
    </row>
    <row r="801">
      <c r="B801" s="37" t="n"/>
      <c r="C801" s="62" t="n"/>
      <c r="D801" s="63" t="n"/>
      <c r="F801" s="65" t="n"/>
      <c r="G801" s="65" t="n"/>
      <c r="H801" s="71" t="n"/>
      <c r="I801" s="71" t="n"/>
      <c r="J801" s="21" t="n"/>
    </row>
    <row r="802">
      <c r="B802" s="37" t="n"/>
      <c r="C802" s="62" t="n"/>
      <c r="D802" s="63" t="n"/>
      <c r="F802" s="65" t="n"/>
      <c r="G802" s="65" t="n"/>
      <c r="H802" s="71" t="n"/>
      <c r="I802" s="71" t="n"/>
      <c r="J802" s="21" t="n"/>
    </row>
    <row r="803">
      <c r="B803" s="37" t="n"/>
      <c r="C803" s="62" t="n"/>
      <c r="D803" s="63" t="n"/>
      <c r="F803" s="65" t="n"/>
      <c r="G803" s="65" t="n"/>
      <c r="H803" s="71" t="n"/>
      <c r="I803" s="71" t="n"/>
      <c r="J803" s="21" t="n"/>
    </row>
    <row r="804">
      <c r="B804" s="37" t="n"/>
      <c r="C804" s="62" t="n"/>
      <c r="D804" s="63" t="n"/>
      <c r="F804" s="65" t="n"/>
      <c r="G804" s="65" t="n"/>
      <c r="H804" s="71" t="n"/>
      <c r="I804" s="71" t="n"/>
      <c r="J804" s="21" t="n"/>
    </row>
    <row r="805">
      <c r="B805" s="37" t="n"/>
      <c r="C805" s="62" t="n"/>
      <c r="D805" s="63" t="n"/>
      <c r="F805" s="65" t="n"/>
      <c r="G805" s="65" t="n"/>
      <c r="H805" s="71" t="n"/>
      <c r="I805" s="71" t="n"/>
      <c r="J805" s="21" t="n"/>
    </row>
    <row r="806">
      <c r="B806" s="37" t="n"/>
      <c r="C806" s="62" t="n"/>
      <c r="D806" s="63" t="n"/>
      <c r="F806" s="65" t="n"/>
      <c r="G806" s="65" t="n"/>
      <c r="H806" s="71" t="n"/>
      <c r="I806" s="71" t="n"/>
      <c r="J806" s="21" t="n"/>
    </row>
    <row r="807">
      <c r="B807" s="37" t="n"/>
      <c r="C807" s="62" t="n"/>
      <c r="D807" s="63" t="n"/>
      <c r="F807" s="65" t="n"/>
      <c r="G807" s="65" t="n"/>
      <c r="H807" s="71" t="n"/>
      <c r="I807" s="71" t="n"/>
      <c r="J807" s="21" t="n"/>
    </row>
    <row r="808">
      <c r="B808" s="37" t="n"/>
      <c r="C808" s="62" t="n"/>
      <c r="D808" s="63" t="n"/>
      <c r="F808" s="65" t="n"/>
      <c r="G808" s="65" t="n"/>
      <c r="H808" s="71" t="n"/>
      <c r="I808" s="71" t="n"/>
      <c r="J808" s="21" t="n"/>
    </row>
    <row r="809">
      <c r="B809" s="37" t="n"/>
      <c r="C809" s="62" t="n"/>
      <c r="D809" s="63" t="n"/>
      <c r="F809" s="65" t="n"/>
      <c r="G809" s="65" t="n"/>
      <c r="H809" s="71" t="n"/>
      <c r="I809" s="71" t="n"/>
      <c r="J809" s="21" t="n"/>
    </row>
    <row r="810">
      <c r="B810" s="37" t="n"/>
      <c r="C810" s="62" t="n"/>
      <c r="D810" s="63" t="n"/>
      <c r="F810" s="65" t="n"/>
      <c r="G810" s="65" t="n"/>
      <c r="H810" s="71" t="n"/>
      <c r="I810" s="71" t="n"/>
      <c r="J810" s="21" t="n"/>
    </row>
    <row r="811">
      <c r="B811" s="37" t="n"/>
      <c r="C811" s="62" t="n"/>
      <c r="D811" s="63" t="n"/>
      <c r="F811" s="65" t="n"/>
      <c r="G811" s="65" t="n"/>
      <c r="H811" s="71" t="n"/>
      <c r="I811" s="71" t="n"/>
      <c r="J811" s="21" t="n"/>
    </row>
    <row r="812">
      <c r="B812" s="37" t="n"/>
      <c r="C812" s="62" t="n"/>
      <c r="D812" s="63" t="n"/>
      <c r="F812" s="65" t="n"/>
      <c r="G812" s="65" t="n"/>
      <c r="H812" s="71" t="n"/>
      <c r="I812" s="71" t="n"/>
      <c r="J812" s="21" t="n"/>
    </row>
    <row r="813">
      <c r="B813" s="37" t="n"/>
      <c r="C813" s="62" t="n"/>
      <c r="D813" s="63" t="n"/>
      <c r="F813" s="65" t="n"/>
      <c r="G813" s="65" t="n"/>
      <c r="H813" s="71" t="n"/>
      <c r="I813" s="71" t="n"/>
      <c r="J813" s="21" t="n"/>
    </row>
    <row r="814">
      <c r="B814" s="37" t="n"/>
      <c r="C814" s="62" t="n"/>
      <c r="D814" s="63" t="n"/>
      <c r="F814" s="65" t="n"/>
      <c r="G814" s="65" t="n"/>
      <c r="H814" s="71" t="n"/>
      <c r="I814" s="71" t="n"/>
      <c r="J814" s="21" t="n"/>
    </row>
    <row r="815">
      <c r="B815" s="37" t="n"/>
      <c r="C815" s="62" t="n"/>
      <c r="D815" s="63" t="n"/>
      <c r="F815" s="65" t="n"/>
      <c r="G815" s="65" t="n"/>
      <c r="H815" s="71" t="n"/>
      <c r="I815" s="71" t="n"/>
      <c r="J815" s="21" t="n"/>
    </row>
    <row r="816">
      <c r="B816" s="37" t="n"/>
      <c r="C816" s="62" t="n"/>
      <c r="D816" s="63" t="n"/>
      <c r="F816" s="65" t="n"/>
      <c r="G816" s="65" t="n"/>
      <c r="H816" s="71" t="n"/>
      <c r="I816" s="71" t="n"/>
      <c r="J816" s="21" t="n"/>
    </row>
    <row r="817">
      <c r="B817" s="37" t="n"/>
      <c r="C817" s="62" t="n"/>
      <c r="D817" s="63" t="n"/>
      <c r="F817" s="65" t="n"/>
      <c r="G817" s="65" t="n"/>
      <c r="H817" s="71" t="n"/>
      <c r="I817" s="71" t="n"/>
      <c r="J817" s="21" t="n"/>
    </row>
    <row r="818">
      <c r="B818" s="37" t="n"/>
      <c r="C818" s="62" t="n"/>
      <c r="D818" s="63" t="n"/>
      <c r="F818" s="65" t="n"/>
      <c r="G818" s="65" t="n"/>
      <c r="H818" s="71" t="n"/>
      <c r="I818" s="71" t="n"/>
      <c r="J818" s="21" t="n"/>
    </row>
    <row r="819">
      <c r="B819" s="37" t="n"/>
      <c r="C819" s="62" t="n"/>
      <c r="D819" s="63" t="n"/>
      <c r="F819" s="65" t="n"/>
      <c r="G819" s="65" t="n"/>
      <c r="H819" s="71" t="n"/>
      <c r="I819" s="71" t="n"/>
      <c r="J819" s="21" t="n"/>
    </row>
    <row r="820">
      <c r="B820" s="37" t="n"/>
      <c r="C820" s="62" t="n"/>
      <c r="D820" s="63" t="n"/>
      <c r="F820" s="65" t="n"/>
      <c r="G820" s="65" t="n"/>
      <c r="H820" s="71" t="n"/>
      <c r="I820" s="71" t="n"/>
      <c r="J820" s="21" t="n"/>
    </row>
    <row r="821">
      <c r="B821" s="37" t="n"/>
      <c r="C821" s="62" t="n"/>
      <c r="D821" s="63" t="n"/>
      <c r="F821" s="65" t="n"/>
      <c r="G821" s="65" t="n"/>
      <c r="H821" s="71" t="n"/>
      <c r="I821" s="71" t="n"/>
      <c r="J821" s="21" t="n"/>
    </row>
    <row r="822">
      <c r="B822" s="37" t="n"/>
      <c r="C822" s="62" t="n"/>
      <c r="D822" s="63" t="n"/>
      <c r="F822" s="65" t="n"/>
      <c r="G822" s="65" t="n"/>
      <c r="H822" s="71" t="n"/>
      <c r="I822" s="71" t="n"/>
      <c r="J822" s="21" t="n"/>
    </row>
    <row r="823">
      <c r="B823" s="37" t="n"/>
      <c r="C823" s="62" t="n"/>
      <c r="D823" s="63" t="n"/>
      <c r="F823" s="65" t="n"/>
      <c r="G823" s="65" t="n"/>
      <c r="H823" s="71" t="n"/>
      <c r="I823" s="71" t="n"/>
      <c r="J823" s="21" t="n"/>
    </row>
    <row r="824">
      <c r="B824" s="37" t="n"/>
      <c r="C824" s="62" t="n"/>
      <c r="D824" s="63" t="n"/>
      <c r="F824" s="65" t="n"/>
      <c r="G824" s="65" t="n"/>
      <c r="H824" s="71" t="n"/>
      <c r="I824" s="71" t="n"/>
      <c r="J824" s="21" t="n"/>
    </row>
    <row r="825">
      <c r="B825" s="37" t="n"/>
      <c r="C825" s="62" t="n"/>
      <c r="D825" s="63" t="n"/>
      <c r="F825" s="65" t="n"/>
      <c r="G825" s="65" t="n"/>
      <c r="H825" s="71" t="n"/>
      <c r="I825" s="71" t="n"/>
      <c r="J825" s="21" t="n"/>
    </row>
    <row r="826">
      <c r="B826" s="37" t="n"/>
      <c r="C826" s="62" t="n"/>
      <c r="D826" s="63" t="n"/>
      <c r="F826" s="65" t="n"/>
      <c r="G826" s="65" t="n"/>
      <c r="H826" s="71" t="n"/>
      <c r="I826" s="71" t="n"/>
      <c r="J826" s="21" t="n"/>
    </row>
    <row r="827">
      <c r="B827" s="37" t="n"/>
      <c r="C827" s="62" t="n"/>
      <c r="D827" s="63" t="n"/>
      <c r="F827" s="65" t="n"/>
      <c r="G827" s="65" t="n"/>
      <c r="H827" s="71" t="n"/>
      <c r="I827" s="71" t="n"/>
      <c r="J827" s="21" t="n"/>
    </row>
    <row r="828">
      <c r="B828" s="37" t="n"/>
      <c r="C828" s="62" t="n"/>
      <c r="D828" s="63" t="n"/>
      <c r="F828" s="65" t="n"/>
      <c r="G828" s="65" t="n"/>
      <c r="H828" s="71" t="n"/>
      <c r="I828" s="71" t="n"/>
      <c r="J828" s="21" t="n"/>
    </row>
    <row r="829">
      <c r="B829" s="37" t="n"/>
      <c r="C829" s="62" t="n"/>
      <c r="D829" s="63" t="n"/>
      <c r="F829" s="65" t="n"/>
      <c r="G829" s="65" t="n"/>
      <c r="H829" s="71" t="n"/>
      <c r="I829" s="71" t="n"/>
      <c r="J829" s="21" t="n"/>
    </row>
    <row r="830">
      <c r="B830" s="37" t="n"/>
      <c r="C830" s="62" t="n"/>
      <c r="D830" s="63" t="n"/>
      <c r="F830" s="65" t="n"/>
      <c r="G830" s="65" t="n"/>
      <c r="H830" s="71" t="n"/>
      <c r="I830" s="71" t="n"/>
      <c r="J830" s="21" t="n"/>
    </row>
    <row r="831">
      <c r="B831" s="37" t="n"/>
      <c r="C831" s="62" t="n"/>
      <c r="D831" s="63" t="n"/>
      <c r="F831" s="65" t="n"/>
      <c r="G831" s="65" t="n"/>
      <c r="H831" s="71" t="n"/>
      <c r="I831" s="71" t="n"/>
      <c r="J831" s="21" t="n"/>
    </row>
    <row r="832">
      <c r="B832" s="37" t="n"/>
      <c r="C832" s="62" t="n"/>
      <c r="D832" s="63" t="n"/>
      <c r="F832" s="65" t="n"/>
      <c r="G832" s="65" t="n"/>
      <c r="H832" s="71" t="n"/>
      <c r="I832" s="71" t="n"/>
      <c r="J832" s="21" t="n"/>
    </row>
    <row r="833">
      <c r="B833" s="37" t="n"/>
      <c r="C833" s="62" t="n"/>
      <c r="D833" s="63" t="n"/>
      <c r="F833" s="65" t="n"/>
      <c r="G833" s="65" t="n"/>
      <c r="H833" s="71" t="n"/>
      <c r="I833" s="71" t="n"/>
      <c r="J833" s="21" t="n"/>
    </row>
    <row r="834">
      <c r="B834" s="37" t="n"/>
      <c r="C834" s="62" t="n"/>
      <c r="D834" s="63" t="n"/>
      <c r="F834" s="65" t="n"/>
      <c r="G834" s="65" t="n"/>
      <c r="H834" s="71" t="n"/>
      <c r="I834" s="71" t="n"/>
      <c r="J834" s="21" t="n"/>
    </row>
    <row r="835">
      <c r="B835" s="37" t="n"/>
      <c r="C835" s="62" t="n"/>
      <c r="D835" s="63" t="n"/>
      <c r="F835" s="65" t="n"/>
      <c r="G835" s="65" t="n"/>
      <c r="H835" s="71" t="n"/>
      <c r="I835" s="71" t="n"/>
      <c r="J835" s="21" t="n"/>
    </row>
    <row r="836">
      <c r="B836" s="37" t="n"/>
      <c r="C836" s="62" t="n"/>
      <c r="D836" s="63" t="n"/>
      <c r="F836" s="65" t="n"/>
      <c r="G836" s="65" t="n"/>
      <c r="H836" s="71" t="n"/>
      <c r="I836" s="71" t="n"/>
      <c r="J836" s="21" t="n"/>
    </row>
    <row r="837">
      <c r="B837" s="37" t="n"/>
      <c r="C837" s="62" t="n"/>
      <c r="D837" s="63" t="n"/>
      <c r="F837" s="65" t="n"/>
      <c r="G837" s="65" t="n"/>
      <c r="H837" s="71" t="n"/>
      <c r="I837" s="71" t="n"/>
      <c r="J837" s="21" t="n"/>
    </row>
    <row r="838">
      <c r="B838" s="37" t="n"/>
      <c r="C838" s="62" t="n"/>
      <c r="D838" s="63" t="n"/>
      <c r="F838" s="65" t="n"/>
      <c r="G838" s="65" t="n"/>
      <c r="H838" s="71" t="n"/>
      <c r="I838" s="71" t="n"/>
      <c r="J838" s="21" t="n"/>
    </row>
    <row r="839">
      <c r="B839" s="37" t="n"/>
      <c r="C839" s="62" t="n"/>
      <c r="D839" s="63" t="n"/>
      <c r="F839" s="65" t="n"/>
      <c r="G839" s="65" t="n"/>
      <c r="H839" s="71" t="n"/>
      <c r="I839" s="71" t="n"/>
      <c r="J839" s="21" t="n"/>
    </row>
    <row r="840">
      <c r="B840" s="37" t="n"/>
      <c r="C840" s="62" t="n"/>
      <c r="D840" s="63" t="n"/>
      <c r="F840" s="65" t="n"/>
      <c r="G840" s="65" t="n"/>
      <c r="H840" s="71" t="n"/>
      <c r="I840" s="71" t="n"/>
      <c r="J840" s="21" t="n"/>
    </row>
    <row r="841">
      <c r="B841" s="37" t="n"/>
      <c r="C841" s="62" t="n"/>
      <c r="D841" s="63" t="n"/>
      <c r="F841" s="65" t="n"/>
      <c r="G841" s="65" t="n"/>
      <c r="H841" s="71" t="n"/>
      <c r="I841" s="71" t="n"/>
      <c r="J841" s="21" t="n"/>
    </row>
    <row r="842">
      <c r="B842" s="37" t="n"/>
      <c r="C842" s="62" t="n"/>
      <c r="D842" s="63" t="n"/>
      <c r="F842" s="65" t="n"/>
      <c r="G842" s="65" t="n"/>
      <c r="H842" s="71" t="n"/>
      <c r="I842" s="71" t="n"/>
      <c r="J842" s="21" t="n"/>
    </row>
    <row r="843">
      <c r="B843" s="37" t="n"/>
      <c r="C843" s="62" t="n"/>
      <c r="D843" s="63" t="n"/>
      <c r="F843" s="65" t="n"/>
      <c r="G843" s="65" t="n"/>
      <c r="H843" s="71" t="n"/>
      <c r="I843" s="71" t="n"/>
      <c r="J843" s="21" t="n"/>
    </row>
    <row r="844">
      <c r="B844" s="37" t="n"/>
      <c r="C844" s="62" t="n"/>
      <c r="D844" s="63" t="n"/>
      <c r="F844" s="65" t="n"/>
      <c r="G844" s="65" t="n"/>
      <c r="H844" s="71" t="n"/>
      <c r="I844" s="71" t="n"/>
      <c r="J844" s="21" t="n"/>
    </row>
    <row r="845">
      <c r="B845" s="37" t="n"/>
      <c r="C845" s="62" t="n"/>
      <c r="D845" s="63" t="n"/>
      <c r="F845" s="65" t="n"/>
      <c r="G845" s="65" t="n"/>
      <c r="H845" s="71" t="n"/>
      <c r="I845" s="71" t="n"/>
      <c r="J845" s="21" t="n"/>
    </row>
    <row r="846">
      <c r="B846" s="37" t="n"/>
      <c r="C846" s="62" t="n"/>
      <c r="D846" s="63" t="n"/>
      <c r="F846" s="65" t="n"/>
      <c r="G846" s="65" t="n"/>
      <c r="H846" s="71" t="n"/>
      <c r="I846" s="71" t="n"/>
      <c r="J846" s="21" t="n"/>
    </row>
    <row r="847">
      <c r="B847" s="37" t="n"/>
      <c r="C847" s="62" t="n"/>
      <c r="D847" s="63" t="n"/>
      <c r="F847" s="65" t="n"/>
      <c r="G847" s="65" t="n"/>
      <c r="H847" s="71" t="n"/>
      <c r="I847" s="71" t="n"/>
      <c r="J847" s="21" t="n"/>
    </row>
    <row r="848">
      <c r="B848" s="37" t="n"/>
      <c r="C848" s="62" t="n"/>
      <c r="D848" s="63" t="n"/>
      <c r="F848" s="65" t="n"/>
      <c r="G848" s="65" t="n"/>
      <c r="H848" s="71" t="n"/>
      <c r="I848" s="71" t="n"/>
      <c r="J848" s="21" t="n"/>
    </row>
    <row r="849">
      <c r="B849" s="37" t="n"/>
      <c r="C849" s="62" t="n"/>
      <c r="D849" s="63" t="n"/>
      <c r="F849" s="65" t="n"/>
      <c r="G849" s="65" t="n"/>
      <c r="H849" s="71" t="n"/>
      <c r="I849" s="71" t="n"/>
      <c r="J849" s="21" t="n"/>
    </row>
    <row r="850">
      <c r="B850" s="37" t="n"/>
      <c r="C850" s="62" t="n"/>
      <c r="D850" s="63" t="n"/>
      <c r="F850" s="65" t="n"/>
      <c r="G850" s="65" t="n"/>
      <c r="H850" s="71" t="n"/>
      <c r="I850" s="71" t="n"/>
      <c r="J850" s="21" t="n"/>
    </row>
    <row r="851">
      <c r="B851" s="37" t="n"/>
      <c r="C851" s="62" t="n"/>
      <c r="D851" s="63" t="n"/>
      <c r="F851" s="65" t="n"/>
      <c r="G851" s="65" t="n"/>
      <c r="H851" s="71" t="n"/>
      <c r="I851" s="71" t="n"/>
      <c r="J851" s="21" t="n"/>
    </row>
    <row r="852">
      <c r="B852" s="37" t="n"/>
      <c r="C852" s="62" t="n"/>
      <c r="D852" s="63" t="n"/>
      <c r="F852" s="65" t="n"/>
      <c r="G852" s="65" t="n"/>
      <c r="H852" s="71" t="n"/>
      <c r="I852" s="71" t="n"/>
      <c r="J852" s="21" t="n"/>
    </row>
    <row r="853">
      <c r="B853" s="37" t="n"/>
      <c r="C853" s="62" t="n"/>
      <c r="D853" s="63" t="n"/>
      <c r="F853" s="65" t="n"/>
      <c r="G853" s="65" t="n"/>
      <c r="H853" s="71" t="n"/>
      <c r="I853" s="71" t="n"/>
      <c r="J853" s="21" t="n"/>
    </row>
    <row r="854">
      <c r="B854" s="37" t="n"/>
      <c r="C854" s="62" t="n"/>
      <c r="D854" s="63" t="n"/>
      <c r="F854" s="65" t="n"/>
      <c r="G854" s="65" t="n"/>
      <c r="H854" s="71" t="n"/>
      <c r="I854" s="71" t="n"/>
      <c r="J854" s="21" t="n"/>
    </row>
    <row r="855">
      <c r="B855" s="37" t="n"/>
      <c r="C855" s="62" t="n"/>
      <c r="D855" s="63" t="n"/>
      <c r="F855" s="65" t="n"/>
      <c r="G855" s="65" t="n"/>
      <c r="H855" s="71" t="n"/>
      <c r="I855" s="71" t="n"/>
      <c r="J855" s="21" t="n"/>
    </row>
    <row r="856">
      <c r="B856" s="37" t="n"/>
      <c r="C856" s="62" t="n"/>
      <c r="D856" s="63" t="n"/>
      <c r="F856" s="65" t="n"/>
      <c r="G856" s="65" t="n"/>
      <c r="H856" s="71" t="n"/>
      <c r="I856" s="71" t="n"/>
      <c r="J856" s="21" t="n"/>
    </row>
    <row r="857">
      <c r="B857" s="37" t="n"/>
      <c r="C857" s="62" t="n"/>
      <c r="D857" s="63" t="n"/>
      <c r="F857" s="65" t="n"/>
      <c r="G857" s="65" t="n"/>
      <c r="H857" s="71" t="n"/>
      <c r="I857" s="71" t="n"/>
      <c r="J857" s="21" t="n"/>
    </row>
    <row r="858">
      <c r="B858" s="37" t="n"/>
      <c r="C858" s="62" t="n"/>
      <c r="D858" s="63" t="n"/>
      <c r="F858" s="65" t="n"/>
      <c r="G858" s="65" t="n"/>
      <c r="H858" s="71" t="n"/>
      <c r="I858" s="71" t="n"/>
      <c r="J858" s="21" t="n"/>
    </row>
    <row r="859">
      <c r="B859" s="37" t="n"/>
      <c r="C859" s="62" t="n"/>
      <c r="D859" s="63" t="n"/>
      <c r="F859" s="65" t="n"/>
      <c r="G859" s="65" t="n"/>
      <c r="H859" s="71" t="n"/>
      <c r="I859" s="71" t="n"/>
      <c r="J859" s="21" t="n"/>
    </row>
    <row r="860">
      <c r="B860" s="37" t="n"/>
      <c r="C860" s="62" t="n"/>
      <c r="D860" s="63" t="n"/>
      <c r="F860" s="65" t="n"/>
      <c r="G860" s="65" t="n"/>
      <c r="H860" s="71" t="n"/>
      <c r="I860" s="71" t="n"/>
      <c r="J860" s="21" t="n"/>
    </row>
    <row r="861">
      <c r="B861" s="37" t="n"/>
      <c r="C861" s="62" t="n"/>
      <c r="D861" s="63" t="n"/>
      <c r="F861" s="65" t="n"/>
      <c r="G861" s="65" t="n"/>
      <c r="H861" s="71" t="n"/>
      <c r="I861" s="71" t="n"/>
      <c r="J861" s="21" t="n"/>
    </row>
    <row r="862">
      <c r="B862" s="37" t="n"/>
      <c r="C862" s="62" t="n"/>
      <c r="D862" s="63" t="n"/>
      <c r="F862" s="65" t="n"/>
      <c r="G862" s="65" t="n"/>
      <c r="H862" s="71" t="n"/>
      <c r="I862" s="71" t="n"/>
      <c r="J862" s="21" t="n"/>
    </row>
    <row r="863">
      <c r="B863" s="37" t="n"/>
      <c r="C863" s="62" t="n"/>
      <c r="D863" s="63" t="n"/>
      <c r="F863" s="65" t="n"/>
      <c r="G863" s="65" t="n"/>
      <c r="H863" s="71" t="n"/>
      <c r="I863" s="71" t="n"/>
      <c r="J863" s="21" t="n"/>
    </row>
    <row r="864">
      <c r="B864" s="37" t="n"/>
      <c r="C864" s="62" t="n"/>
      <c r="D864" s="63" t="n"/>
      <c r="F864" s="65" t="n"/>
      <c r="G864" s="65" t="n"/>
      <c r="H864" s="71" t="n"/>
      <c r="I864" s="71" t="n"/>
      <c r="J864" s="21" t="n"/>
    </row>
    <row r="865">
      <c r="B865" s="37" t="n"/>
      <c r="C865" s="62" t="n"/>
      <c r="D865" s="63" t="n"/>
      <c r="F865" s="65" t="n"/>
      <c r="G865" s="65" t="n"/>
      <c r="H865" s="71" t="n"/>
      <c r="I865" s="71" t="n"/>
      <c r="J865" s="21" t="n"/>
    </row>
    <row r="866">
      <c r="B866" s="37" t="n"/>
      <c r="C866" s="62" t="n"/>
      <c r="D866" s="63" t="n"/>
      <c r="F866" s="65" t="n"/>
      <c r="G866" s="65" t="n"/>
      <c r="H866" s="71" t="n"/>
      <c r="I866" s="71" t="n"/>
      <c r="J866" s="21" t="n"/>
    </row>
    <row r="867">
      <c r="B867" s="37" t="n"/>
      <c r="C867" s="62" t="n"/>
      <c r="D867" s="63" t="n"/>
      <c r="F867" s="65" t="n"/>
      <c r="G867" s="65" t="n"/>
      <c r="H867" s="71" t="n"/>
      <c r="I867" s="71" t="n"/>
      <c r="J867" s="21" t="n"/>
    </row>
    <row r="868">
      <c r="B868" s="37" t="n"/>
      <c r="C868" s="62" t="n"/>
      <c r="D868" s="63" t="n"/>
      <c r="F868" s="65" t="n"/>
      <c r="G868" s="65" t="n"/>
      <c r="H868" s="71" t="n"/>
      <c r="I868" s="71" t="n"/>
      <c r="J868" s="21" t="n"/>
    </row>
    <row r="869">
      <c r="B869" s="37" t="n"/>
      <c r="C869" s="62" t="n"/>
      <c r="D869" s="63" t="n"/>
      <c r="F869" s="65" t="n"/>
      <c r="G869" s="65" t="n"/>
      <c r="H869" s="71" t="n"/>
      <c r="I869" s="71" t="n"/>
      <c r="J869" s="21" t="n"/>
    </row>
    <row r="870">
      <c r="B870" s="37" t="n"/>
      <c r="C870" s="62" t="n"/>
      <c r="D870" s="63" t="n"/>
      <c r="F870" s="65" t="n"/>
      <c r="G870" s="65" t="n"/>
      <c r="H870" s="71" t="n"/>
      <c r="I870" s="71" t="n"/>
      <c r="J870" s="21" t="n"/>
    </row>
    <row r="871">
      <c r="B871" s="37" t="n"/>
      <c r="C871" s="62" t="n"/>
      <c r="D871" s="63" t="n"/>
      <c r="F871" s="65" t="n"/>
      <c r="G871" s="65" t="n"/>
      <c r="H871" s="71" t="n"/>
      <c r="I871" s="71" t="n"/>
      <c r="J871" s="21" t="n"/>
    </row>
    <row r="872">
      <c r="B872" s="37" t="n"/>
      <c r="C872" s="62" t="n"/>
      <c r="D872" s="63" t="n"/>
      <c r="F872" s="65" t="n"/>
      <c r="G872" s="65" t="n"/>
      <c r="H872" s="71" t="n"/>
      <c r="I872" s="71" t="n"/>
      <c r="J872" s="21" t="n"/>
    </row>
    <row r="873">
      <c r="B873" s="37" t="n"/>
      <c r="C873" s="62" t="n"/>
      <c r="D873" s="63" t="n"/>
      <c r="F873" s="65" t="n"/>
      <c r="G873" s="65" t="n"/>
      <c r="H873" s="71" t="n"/>
      <c r="I873" s="71" t="n"/>
      <c r="J873" s="21" t="n"/>
    </row>
    <row r="874">
      <c r="B874" s="37" t="n"/>
      <c r="C874" s="62" t="n"/>
      <c r="D874" s="63" t="n"/>
      <c r="F874" s="65" t="n"/>
      <c r="G874" s="65" t="n"/>
      <c r="H874" s="71" t="n"/>
      <c r="I874" s="71" t="n"/>
      <c r="J874" s="21" t="n"/>
    </row>
    <row r="875">
      <c r="B875" s="37" t="n"/>
      <c r="C875" s="62" t="n"/>
      <c r="D875" s="63" t="n"/>
      <c r="F875" s="65" t="n"/>
      <c r="G875" s="65" t="n"/>
      <c r="H875" s="71" t="n"/>
      <c r="I875" s="71" t="n"/>
      <c r="J875" s="21" t="n"/>
    </row>
    <row r="876">
      <c r="B876" s="37" t="n"/>
      <c r="C876" s="62" t="n"/>
      <c r="D876" s="63" t="n"/>
      <c r="F876" s="65" t="n"/>
      <c r="G876" s="65" t="n"/>
      <c r="H876" s="71" t="n"/>
      <c r="I876" s="71" t="n"/>
      <c r="J876" s="21" t="n"/>
    </row>
    <row r="877">
      <c r="B877" s="37" t="n"/>
      <c r="C877" s="62" t="n"/>
      <c r="D877" s="63" t="n"/>
      <c r="F877" s="65" t="n"/>
      <c r="G877" s="65" t="n"/>
      <c r="H877" s="71" t="n"/>
      <c r="I877" s="71" t="n"/>
      <c r="J877" s="21" t="n"/>
    </row>
    <row r="878">
      <c r="B878" s="37" t="n"/>
      <c r="C878" s="62" t="n"/>
      <c r="D878" s="63" t="n"/>
      <c r="F878" s="65" t="n"/>
      <c r="G878" s="65" t="n"/>
      <c r="H878" s="71" t="n"/>
      <c r="I878" s="71" t="n"/>
      <c r="J878" s="21" t="n"/>
    </row>
    <row r="879">
      <c r="B879" s="37" t="n"/>
      <c r="C879" s="62" t="n"/>
      <c r="D879" s="63" t="n"/>
      <c r="F879" s="65" t="n"/>
      <c r="G879" s="65" t="n"/>
      <c r="H879" s="71" t="n"/>
      <c r="I879" s="71" t="n"/>
      <c r="J879" s="21" t="n"/>
    </row>
    <row r="880">
      <c r="B880" s="37" t="n"/>
      <c r="C880" s="62" t="n"/>
      <c r="D880" s="63" t="n"/>
      <c r="F880" s="65" t="n"/>
      <c r="G880" s="65" t="n"/>
      <c r="H880" s="71" t="n"/>
      <c r="I880" s="71" t="n"/>
      <c r="J880" s="21" t="n"/>
    </row>
    <row r="881">
      <c r="B881" s="37" t="n"/>
      <c r="C881" s="62" t="n"/>
      <c r="D881" s="63" t="n"/>
      <c r="F881" s="65" t="n"/>
      <c r="G881" s="65" t="n"/>
      <c r="H881" s="71" t="n"/>
      <c r="I881" s="71" t="n"/>
      <c r="J881" s="21" t="n"/>
    </row>
    <row r="882">
      <c r="B882" s="37" t="n"/>
      <c r="C882" s="62" t="n"/>
      <c r="D882" s="63" t="n"/>
      <c r="F882" s="65" t="n"/>
      <c r="G882" s="65" t="n"/>
      <c r="H882" s="71" t="n"/>
      <c r="I882" s="71" t="n"/>
      <c r="J882" s="21" t="n"/>
    </row>
    <row r="883">
      <c r="B883" s="37" t="n"/>
      <c r="C883" s="62" t="n"/>
      <c r="D883" s="63" t="n"/>
      <c r="F883" s="65" t="n"/>
      <c r="G883" s="65" t="n"/>
      <c r="H883" s="71" t="n"/>
      <c r="I883" s="71" t="n"/>
      <c r="J883" s="21" t="n"/>
    </row>
    <row r="884">
      <c r="B884" s="37" t="n"/>
      <c r="C884" s="62" t="n"/>
      <c r="D884" s="63" t="n"/>
      <c r="F884" s="65" t="n"/>
      <c r="G884" s="65" t="n"/>
      <c r="H884" s="71" t="n"/>
      <c r="I884" s="71" t="n"/>
      <c r="J884" s="21" t="n"/>
    </row>
    <row r="885">
      <c r="B885" s="37" t="n"/>
      <c r="C885" s="62" t="n"/>
      <c r="D885" s="63" t="n"/>
      <c r="F885" s="65" t="n"/>
      <c r="G885" s="65" t="n"/>
      <c r="H885" s="71" t="n"/>
      <c r="I885" s="71" t="n"/>
      <c r="J885" s="21" t="n"/>
    </row>
    <row r="886">
      <c r="B886" s="37" t="n"/>
      <c r="C886" s="62" t="n"/>
      <c r="D886" s="63" t="n"/>
      <c r="F886" s="65" t="n"/>
      <c r="G886" s="65" t="n"/>
      <c r="H886" s="71" t="n"/>
      <c r="I886" s="71" t="n"/>
      <c r="J886" s="21" t="n"/>
    </row>
    <row r="887">
      <c r="B887" s="37" t="n"/>
      <c r="C887" s="62" t="n"/>
      <c r="D887" s="63" t="n"/>
      <c r="F887" s="65" t="n"/>
      <c r="G887" s="65" t="n"/>
      <c r="H887" s="71" t="n"/>
      <c r="I887" s="71" t="n"/>
      <c r="J887" s="21" t="n"/>
    </row>
    <row r="888">
      <c r="B888" s="37" t="n"/>
      <c r="C888" s="62" t="n"/>
      <c r="D888" s="63" t="n"/>
      <c r="F888" s="65" t="n"/>
      <c r="G888" s="65" t="n"/>
      <c r="H888" s="71" t="n"/>
      <c r="I888" s="71" t="n"/>
      <c r="J888" s="21" t="n"/>
    </row>
    <row r="889">
      <c r="B889" s="37" t="n"/>
      <c r="C889" s="62" t="n"/>
      <c r="D889" s="63" t="n"/>
      <c r="F889" s="65" t="n"/>
      <c r="G889" s="65" t="n"/>
      <c r="H889" s="71" t="n"/>
      <c r="I889" s="71" t="n"/>
      <c r="J889" s="21" t="n"/>
    </row>
    <row r="890">
      <c r="B890" s="37" t="n"/>
      <c r="C890" s="62" t="n"/>
      <c r="D890" s="63" t="n"/>
      <c r="F890" s="65" t="n"/>
      <c r="G890" s="65" t="n"/>
      <c r="H890" s="71" t="n"/>
      <c r="I890" s="71" t="n"/>
      <c r="J890" s="21" t="n"/>
    </row>
    <row r="891">
      <c r="B891" s="37" t="n"/>
      <c r="C891" s="62" t="n"/>
      <c r="D891" s="63" t="n"/>
      <c r="F891" s="65" t="n"/>
      <c r="G891" s="65" t="n"/>
      <c r="H891" s="71" t="n"/>
      <c r="I891" s="71" t="n"/>
      <c r="J891" s="21" t="n"/>
    </row>
    <row r="892">
      <c r="B892" s="37" t="n"/>
      <c r="C892" s="62" t="n"/>
      <c r="D892" s="63" t="n"/>
      <c r="F892" s="65" t="n"/>
      <c r="G892" s="65" t="n"/>
      <c r="H892" s="71" t="n"/>
      <c r="I892" s="71" t="n"/>
      <c r="J892" s="21" t="n"/>
    </row>
    <row r="893">
      <c r="B893" s="37" t="n"/>
      <c r="C893" s="62" t="n"/>
      <c r="D893" s="63" t="n"/>
      <c r="F893" s="65" t="n"/>
      <c r="G893" s="65" t="n"/>
      <c r="H893" s="71" t="n"/>
      <c r="I893" s="71" t="n"/>
      <c r="J893" s="21" t="n"/>
    </row>
    <row r="894">
      <c r="B894" s="37" t="n"/>
      <c r="C894" s="62" t="n"/>
      <c r="D894" s="63" t="n"/>
      <c r="F894" s="65" t="n"/>
      <c r="G894" s="65" t="n"/>
      <c r="H894" s="71" t="n"/>
      <c r="I894" s="71" t="n"/>
      <c r="J894" s="21" t="n"/>
    </row>
    <row r="895">
      <c r="B895" s="37" t="n"/>
      <c r="C895" s="62" t="n"/>
      <c r="D895" s="63" t="n"/>
      <c r="F895" s="65" t="n"/>
      <c r="G895" s="65" t="n"/>
      <c r="H895" s="71" t="n"/>
      <c r="I895" s="71" t="n"/>
      <c r="J895" s="21" t="n"/>
    </row>
    <row r="896">
      <c r="B896" s="37" t="n"/>
      <c r="C896" s="62" t="n"/>
      <c r="D896" s="63" t="n"/>
      <c r="F896" s="65" t="n"/>
      <c r="G896" s="65" t="n"/>
      <c r="H896" s="71" t="n"/>
      <c r="I896" s="71" t="n"/>
      <c r="J896" s="21" t="n"/>
    </row>
    <row r="897">
      <c r="B897" s="37" t="n"/>
      <c r="C897" s="62" t="n"/>
      <c r="D897" s="63" t="n"/>
      <c r="F897" s="65" t="n"/>
      <c r="G897" s="65" t="n"/>
      <c r="H897" s="71" t="n"/>
      <c r="I897" s="71" t="n"/>
      <c r="J897" s="21" t="n"/>
    </row>
    <row r="898">
      <c r="B898" s="37" t="n"/>
      <c r="C898" s="62" t="n"/>
      <c r="D898" s="63" t="n"/>
      <c r="F898" s="65" t="n"/>
      <c r="G898" s="65" t="n"/>
      <c r="H898" s="71" t="n"/>
      <c r="I898" s="71" t="n"/>
      <c r="J898" s="21" t="n"/>
    </row>
    <row r="899">
      <c r="B899" s="37" t="n"/>
      <c r="C899" s="62" t="n"/>
      <c r="D899" s="63" t="n"/>
      <c r="F899" s="65" t="n"/>
      <c r="G899" s="65" t="n"/>
      <c r="H899" s="71" t="n"/>
      <c r="I899" s="71" t="n"/>
      <c r="J899" s="21" t="n"/>
    </row>
    <row r="900">
      <c r="B900" s="37" t="n"/>
      <c r="C900" s="62" t="n"/>
      <c r="D900" s="63" t="n"/>
      <c r="F900" s="65" t="n"/>
      <c r="G900" s="65" t="n"/>
      <c r="H900" s="71" t="n"/>
      <c r="I900" s="71" t="n"/>
      <c r="J900" s="21" t="n"/>
    </row>
    <row r="901">
      <c r="B901" s="37" t="n"/>
      <c r="C901" s="62" t="n"/>
      <c r="D901" s="63" t="n"/>
      <c r="F901" s="65" t="n"/>
      <c r="G901" s="65" t="n"/>
      <c r="H901" s="71" t="n"/>
      <c r="I901" s="71" t="n"/>
      <c r="J901" s="21" t="n"/>
    </row>
    <row r="902">
      <c r="B902" s="37" t="n"/>
      <c r="C902" s="62" t="n"/>
      <c r="D902" s="63" t="n"/>
      <c r="F902" s="65" t="n"/>
      <c r="G902" s="65" t="n"/>
      <c r="H902" s="71" t="n"/>
      <c r="I902" s="71" t="n"/>
      <c r="J902" s="21" t="n"/>
    </row>
    <row r="903">
      <c r="B903" s="37" t="n"/>
      <c r="C903" s="62" t="n"/>
      <c r="D903" s="63" t="n"/>
      <c r="F903" s="65" t="n"/>
      <c r="G903" s="65" t="n"/>
      <c r="H903" s="71" t="n"/>
      <c r="I903" s="71" t="n"/>
      <c r="J903" s="21" t="n"/>
    </row>
    <row r="904">
      <c r="B904" s="37" t="n"/>
      <c r="C904" s="62" t="n"/>
      <c r="D904" s="63" t="n"/>
      <c r="F904" s="65" t="n"/>
      <c r="G904" s="65" t="n"/>
      <c r="H904" s="71" t="n"/>
      <c r="I904" s="71" t="n"/>
      <c r="J904" s="21" t="n"/>
    </row>
    <row r="905">
      <c r="B905" s="37" t="n"/>
      <c r="C905" s="62" t="n"/>
      <c r="D905" s="63" t="n"/>
      <c r="F905" s="65" t="n"/>
      <c r="G905" s="65" t="n"/>
      <c r="H905" s="71" t="n"/>
      <c r="I905" s="71" t="n"/>
      <c r="J905" s="21" t="n"/>
    </row>
    <row r="906">
      <c r="B906" s="37" t="n"/>
      <c r="C906" s="62" t="n"/>
      <c r="D906" s="63" t="n"/>
      <c r="F906" s="65" t="n"/>
      <c r="G906" s="65" t="n"/>
      <c r="H906" s="71" t="n"/>
      <c r="I906" s="71" t="n"/>
      <c r="J906" s="21" t="n"/>
    </row>
    <row r="907">
      <c r="B907" s="37" t="n"/>
      <c r="C907" s="62" t="n"/>
      <c r="D907" s="63" t="n"/>
      <c r="F907" s="65" t="n"/>
      <c r="G907" s="65" t="n"/>
      <c r="H907" s="71" t="n"/>
      <c r="I907" s="71" t="n"/>
      <c r="J907" s="21" t="n"/>
    </row>
    <row r="908">
      <c r="B908" s="37" t="n"/>
      <c r="C908" s="62" t="n"/>
      <c r="D908" s="63" t="n"/>
      <c r="F908" s="65" t="n"/>
      <c r="G908" s="65" t="n"/>
      <c r="H908" s="71" t="n"/>
      <c r="I908" s="71" t="n"/>
      <c r="J908" s="21" t="n"/>
    </row>
    <row r="909">
      <c r="B909" s="37" t="n"/>
      <c r="C909" s="62" t="n"/>
      <c r="D909" s="63" t="n"/>
      <c r="F909" s="65" t="n"/>
      <c r="G909" s="65" t="n"/>
      <c r="H909" s="71" t="n"/>
      <c r="I909" s="71" t="n"/>
      <c r="J909" s="21" t="n"/>
    </row>
    <row r="910">
      <c r="B910" s="37" t="n"/>
      <c r="C910" s="62" t="n"/>
      <c r="D910" s="63" t="n"/>
      <c r="F910" s="65" t="n"/>
      <c r="G910" s="65" t="n"/>
      <c r="H910" s="71" t="n"/>
      <c r="I910" s="71" t="n"/>
      <c r="J910" s="21" t="n"/>
    </row>
    <row r="911">
      <c r="B911" s="37" t="n"/>
      <c r="C911" s="62" t="n"/>
      <c r="D911" s="63" t="n"/>
      <c r="F911" s="65" t="n"/>
      <c r="G911" s="65" t="n"/>
      <c r="H911" s="71" t="n"/>
      <c r="I911" s="71" t="n"/>
      <c r="J911" s="21" t="n"/>
    </row>
    <row r="912">
      <c r="B912" s="37" t="n"/>
      <c r="C912" s="62" t="n"/>
      <c r="D912" s="63" t="n"/>
      <c r="F912" s="65" t="n"/>
      <c r="G912" s="65" t="n"/>
      <c r="H912" s="71" t="n"/>
      <c r="I912" s="71" t="n"/>
      <c r="J912" s="21" t="n"/>
    </row>
    <row r="913">
      <c r="B913" s="37" t="n"/>
      <c r="C913" s="62" t="n"/>
      <c r="D913" s="63" t="n"/>
      <c r="F913" s="65" t="n"/>
      <c r="G913" s="65" t="n"/>
      <c r="H913" s="71" t="n"/>
      <c r="I913" s="71" t="n"/>
      <c r="J913" s="21" t="n"/>
    </row>
    <row r="914">
      <c r="B914" s="37" t="n"/>
      <c r="C914" s="62" t="n"/>
      <c r="D914" s="63" t="n"/>
      <c r="F914" s="65" t="n"/>
      <c r="G914" s="65" t="n"/>
      <c r="H914" s="71" t="n"/>
      <c r="I914" s="71" t="n"/>
      <c r="J914" s="21" t="n"/>
    </row>
    <row r="915">
      <c r="B915" s="37" t="n"/>
      <c r="C915" s="62" t="n"/>
      <c r="D915" s="63" t="n"/>
      <c r="F915" s="65" t="n"/>
      <c r="G915" s="65" t="n"/>
      <c r="H915" s="71" t="n"/>
      <c r="I915" s="71" t="n"/>
      <c r="J915" s="21" t="n"/>
    </row>
    <row r="916">
      <c r="B916" s="37" t="n"/>
      <c r="C916" s="62" t="n"/>
      <c r="D916" s="63" t="n"/>
      <c r="F916" s="65" t="n"/>
      <c r="G916" s="65" t="n"/>
      <c r="H916" s="71" t="n"/>
      <c r="I916" s="71" t="n"/>
      <c r="J916" s="21" t="n"/>
    </row>
    <row r="917">
      <c r="B917" s="37" t="n"/>
      <c r="C917" s="62" t="n"/>
      <c r="D917" s="63" t="n"/>
      <c r="F917" s="65" t="n"/>
      <c r="G917" s="65" t="n"/>
      <c r="H917" s="71" t="n"/>
      <c r="I917" s="71" t="n"/>
      <c r="J917" s="21" t="n"/>
    </row>
    <row r="918">
      <c r="B918" s="37" t="n"/>
      <c r="C918" s="62" t="n"/>
      <c r="D918" s="63" t="n"/>
      <c r="F918" s="65" t="n"/>
      <c r="G918" s="65" t="n"/>
      <c r="H918" s="71" t="n"/>
      <c r="I918" s="71" t="n"/>
      <c r="J918" s="21" t="n"/>
    </row>
    <row r="919">
      <c r="B919" s="37" t="n"/>
      <c r="C919" s="62" t="n"/>
      <c r="D919" s="63" t="n"/>
      <c r="F919" s="65" t="n"/>
      <c r="G919" s="65" t="n"/>
      <c r="H919" s="71" t="n"/>
      <c r="I919" s="71" t="n"/>
      <c r="J919" s="21" t="n"/>
    </row>
    <row r="920">
      <c r="B920" s="37" t="n"/>
      <c r="C920" s="62" t="n"/>
      <c r="D920" s="63" t="n"/>
      <c r="F920" s="65" t="n"/>
      <c r="G920" s="65" t="n"/>
      <c r="H920" s="71" t="n"/>
      <c r="I920" s="71" t="n"/>
      <c r="J920" s="21" t="n"/>
    </row>
    <row r="921">
      <c r="B921" s="37" t="n"/>
      <c r="C921" s="62" t="n"/>
      <c r="D921" s="63" t="n"/>
      <c r="F921" s="65" t="n"/>
      <c r="G921" s="65" t="n"/>
      <c r="H921" s="71" t="n"/>
      <c r="I921" s="71" t="n"/>
      <c r="J921" s="21" t="n"/>
    </row>
    <row r="922">
      <c r="B922" s="37" t="n"/>
      <c r="C922" s="62" t="n"/>
      <c r="D922" s="63" t="n"/>
      <c r="F922" s="65" t="n"/>
      <c r="G922" s="65" t="n"/>
      <c r="H922" s="71" t="n"/>
      <c r="I922" s="71" t="n"/>
      <c r="J922" s="21" t="n"/>
    </row>
    <row r="923">
      <c r="B923" s="37" t="n"/>
      <c r="C923" s="62" t="n"/>
      <c r="D923" s="63" t="n"/>
      <c r="F923" s="65" t="n"/>
      <c r="G923" s="65" t="n"/>
      <c r="H923" s="71" t="n"/>
      <c r="I923" s="71" t="n"/>
      <c r="J923" s="21" t="n"/>
    </row>
    <row r="924">
      <c r="B924" s="37" t="n"/>
      <c r="C924" s="62" t="n"/>
      <c r="D924" s="63" t="n"/>
      <c r="F924" s="65" t="n"/>
      <c r="G924" s="65" t="n"/>
      <c r="H924" s="71" t="n"/>
      <c r="I924" s="71" t="n"/>
      <c r="J924" s="21" t="n"/>
    </row>
    <row r="925">
      <c r="B925" s="37" t="n"/>
      <c r="C925" s="62" t="n"/>
      <c r="D925" s="63" t="n"/>
      <c r="F925" s="65" t="n"/>
      <c r="G925" s="65" t="n"/>
      <c r="H925" s="71" t="n"/>
      <c r="I925" s="71" t="n"/>
      <c r="J925" s="21" t="n"/>
    </row>
    <row r="926">
      <c r="B926" s="37" t="n"/>
      <c r="C926" s="62" t="n"/>
      <c r="D926" s="63" t="n"/>
      <c r="F926" s="65" t="n"/>
      <c r="G926" s="65" t="n"/>
      <c r="H926" s="71" t="n"/>
      <c r="I926" s="71" t="n"/>
      <c r="J926" s="21" t="n"/>
    </row>
    <row r="927">
      <c r="B927" s="37" t="n"/>
      <c r="C927" s="62" t="n"/>
      <c r="D927" s="63" t="n"/>
      <c r="F927" s="65" t="n"/>
      <c r="G927" s="65" t="n"/>
      <c r="H927" s="71" t="n"/>
      <c r="I927" s="71" t="n"/>
      <c r="J927" s="21" t="n"/>
    </row>
    <row r="928">
      <c r="B928" s="37" t="n"/>
      <c r="C928" s="62" t="n"/>
      <c r="D928" s="63" t="n"/>
      <c r="F928" s="65" t="n"/>
      <c r="G928" s="65" t="n"/>
      <c r="H928" s="71" t="n"/>
      <c r="I928" s="71" t="n"/>
      <c r="J928" s="21" t="n"/>
    </row>
    <row r="929">
      <c r="B929" s="37" t="n"/>
      <c r="C929" s="62" t="n"/>
      <c r="D929" s="63" t="n"/>
      <c r="F929" s="65" t="n"/>
      <c r="G929" s="65" t="n"/>
      <c r="H929" s="71" t="n"/>
      <c r="I929" s="71" t="n"/>
      <c r="J929" s="21" t="n"/>
    </row>
    <row r="930">
      <c r="B930" s="37" t="n"/>
      <c r="C930" s="62" t="n"/>
      <c r="D930" s="63" t="n"/>
      <c r="F930" s="65" t="n"/>
      <c r="G930" s="65" t="n"/>
      <c r="H930" s="71" t="n"/>
      <c r="I930" s="71" t="n"/>
      <c r="J930" s="21" t="n"/>
    </row>
    <row r="931">
      <c r="B931" s="37" t="n"/>
      <c r="C931" s="62" t="n"/>
      <c r="D931" s="63" t="n"/>
      <c r="F931" s="65" t="n"/>
      <c r="G931" s="65" t="n"/>
      <c r="H931" s="71" t="n"/>
      <c r="I931" s="71" t="n"/>
      <c r="J931" s="21" t="n"/>
    </row>
    <row r="932">
      <c r="B932" s="37" t="n"/>
      <c r="C932" s="62" t="n"/>
      <c r="D932" s="63" t="n"/>
      <c r="F932" s="65" t="n"/>
      <c r="G932" s="65" t="n"/>
      <c r="H932" s="71" t="n"/>
      <c r="I932" s="71" t="n"/>
      <c r="J932" s="21" t="n"/>
    </row>
    <row r="933">
      <c r="B933" s="37" t="n"/>
      <c r="C933" s="62" t="n"/>
      <c r="D933" s="63" t="n"/>
      <c r="F933" s="65" t="n"/>
      <c r="G933" s="65" t="n"/>
      <c r="H933" s="71" t="n"/>
      <c r="I933" s="71" t="n"/>
      <c r="J933" s="21" t="n"/>
    </row>
    <row r="934">
      <c r="B934" s="37" t="n"/>
      <c r="C934" s="62" t="n"/>
      <c r="D934" s="63" t="n"/>
      <c r="F934" s="65" t="n"/>
      <c r="G934" s="65" t="n"/>
      <c r="H934" s="71" t="n"/>
      <c r="I934" s="71" t="n"/>
      <c r="J934" s="21" t="n"/>
    </row>
    <row r="935">
      <c r="B935" s="37" t="n"/>
      <c r="C935" s="62" t="n"/>
      <c r="D935" s="63" t="n"/>
      <c r="F935" s="65" t="n"/>
      <c r="G935" s="65" t="n"/>
      <c r="H935" s="71" t="n"/>
      <c r="I935" s="71" t="n"/>
      <c r="J935" s="21" t="n"/>
    </row>
    <row r="936">
      <c r="B936" s="37" t="n"/>
      <c r="C936" s="62" t="n"/>
      <c r="D936" s="63" t="n"/>
      <c r="F936" s="65" t="n"/>
      <c r="G936" s="65" t="n"/>
      <c r="H936" s="71" t="n"/>
      <c r="I936" s="71" t="n"/>
      <c r="J936" s="21" t="n"/>
    </row>
    <row r="937">
      <c r="B937" s="37" t="n"/>
      <c r="C937" s="62" t="n"/>
      <c r="D937" s="63" t="n"/>
      <c r="F937" s="65" t="n"/>
      <c r="G937" s="65" t="n"/>
      <c r="H937" s="71" t="n"/>
      <c r="I937" s="71" t="n"/>
      <c r="J937" s="21" t="n"/>
    </row>
    <row r="938">
      <c r="B938" s="37" t="n"/>
      <c r="C938" s="62" t="n"/>
      <c r="D938" s="63" t="n"/>
      <c r="F938" s="65" t="n"/>
      <c r="G938" s="65" t="n"/>
      <c r="H938" s="71" t="n"/>
      <c r="I938" s="71" t="n"/>
      <c r="J938" s="21" t="n"/>
    </row>
    <row r="939">
      <c r="B939" s="37" t="n"/>
      <c r="C939" s="62" t="n"/>
      <c r="D939" s="63" t="n"/>
      <c r="F939" s="65" t="n"/>
      <c r="G939" s="65" t="n"/>
      <c r="H939" s="71" t="n"/>
      <c r="I939" s="71" t="n"/>
      <c r="J939" s="21" t="n"/>
    </row>
    <row r="940">
      <c r="B940" s="37" t="n"/>
      <c r="C940" s="62" t="n"/>
      <c r="D940" s="63" t="n"/>
      <c r="F940" s="65" t="n"/>
      <c r="G940" s="65" t="n"/>
      <c r="H940" s="71" t="n"/>
      <c r="I940" s="71" t="n"/>
      <c r="J940" s="21" t="n"/>
    </row>
    <row r="941">
      <c r="B941" s="37" t="n"/>
      <c r="C941" s="62" t="n"/>
      <c r="D941" s="63" t="n"/>
      <c r="F941" s="65" t="n"/>
      <c r="G941" s="65" t="n"/>
      <c r="H941" s="71" t="n"/>
      <c r="I941" s="71" t="n"/>
      <c r="J941" s="21" t="n"/>
    </row>
    <row r="942">
      <c r="B942" s="37" t="n"/>
      <c r="C942" s="62" t="n"/>
      <c r="D942" s="63" t="n"/>
      <c r="F942" s="65" t="n"/>
      <c r="G942" s="65" t="n"/>
      <c r="H942" s="71" t="n"/>
      <c r="I942" s="71" t="n"/>
      <c r="J942" s="21" t="n"/>
    </row>
    <row r="943">
      <c r="B943" s="37" t="n"/>
      <c r="C943" s="62" t="n"/>
      <c r="D943" s="63" t="n"/>
      <c r="F943" s="65" t="n"/>
      <c r="G943" s="65" t="n"/>
      <c r="H943" s="71" t="n"/>
      <c r="I943" s="71" t="n"/>
      <c r="J943" s="21" t="n"/>
    </row>
    <row r="944">
      <c r="B944" s="37" t="n"/>
      <c r="C944" s="62" t="n"/>
      <c r="D944" s="63" t="n"/>
      <c r="F944" s="65" t="n"/>
      <c r="G944" s="65" t="n"/>
      <c r="H944" s="71" t="n"/>
      <c r="I944" s="71" t="n"/>
      <c r="J944" s="21" t="n"/>
    </row>
    <row r="945">
      <c r="B945" s="37" t="n"/>
      <c r="C945" s="62" t="n"/>
      <c r="D945" s="63" t="n"/>
      <c r="F945" s="65" t="n"/>
      <c r="G945" s="65" t="n"/>
      <c r="H945" s="71" t="n"/>
      <c r="I945" s="71" t="n"/>
      <c r="J945" s="21" t="n"/>
    </row>
    <row r="946">
      <c r="B946" s="37" t="n"/>
      <c r="C946" s="62" t="n"/>
      <c r="D946" s="63" t="n"/>
      <c r="F946" s="65" t="n"/>
      <c r="G946" s="65" t="n"/>
      <c r="H946" s="71" t="n"/>
      <c r="I946" s="71" t="n"/>
      <c r="J946" s="21" t="n"/>
    </row>
    <row r="947">
      <c r="B947" s="37" t="n"/>
      <c r="C947" s="62" t="n"/>
      <c r="D947" s="63" t="n"/>
      <c r="F947" s="65" t="n"/>
      <c r="G947" s="65" t="n"/>
      <c r="H947" s="71" t="n"/>
      <c r="I947" s="71" t="n"/>
      <c r="J947" s="21" t="n"/>
    </row>
    <row r="948">
      <c r="B948" s="37" t="n"/>
      <c r="C948" s="62" t="n"/>
      <c r="D948" s="63" t="n"/>
      <c r="F948" s="65" t="n"/>
      <c r="G948" s="65" t="n"/>
      <c r="H948" s="71" t="n"/>
      <c r="I948" s="71" t="n"/>
      <c r="J948" s="21" t="n"/>
    </row>
    <row r="949">
      <c r="B949" s="37" t="n"/>
      <c r="C949" s="62" t="n"/>
      <c r="D949" s="63" t="n"/>
      <c r="F949" s="65" t="n"/>
      <c r="G949" s="65" t="n"/>
      <c r="H949" s="71" t="n"/>
      <c r="I949" s="71" t="n"/>
      <c r="J949" s="21" t="n"/>
    </row>
    <row r="950">
      <c r="B950" s="37" t="n"/>
      <c r="C950" s="62" t="n"/>
      <c r="D950" s="63" t="n"/>
      <c r="F950" s="65" t="n"/>
      <c r="G950" s="65" t="n"/>
      <c r="H950" s="71" t="n"/>
      <c r="I950" s="71" t="n"/>
      <c r="J950" s="21" t="n"/>
    </row>
    <row r="951">
      <c r="B951" s="37" t="n"/>
      <c r="C951" s="62" t="n"/>
      <c r="D951" s="63" t="n"/>
      <c r="F951" s="65" t="n"/>
      <c r="G951" s="65" t="n"/>
      <c r="H951" s="71" t="n"/>
      <c r="I951" s="71" t="n"/>
      <c r="J951" s="21" t="n"/>
    </row>
    <row r="952">
      <c r="B952" s="37" t="n"/>
      <c r="C952" s="62" t="n"/>
      <c r="D952" s="63" t="n"/>
      <c r="F952" s="65" t="n"/>
      <c r="G952" s="65" t="n"/>
      <c r="H952" s="71" t="n"/>
      <c r="I952" s="71" t="n"/>
      <c r="J952" s="21" t="n"/>
    </row>
    <row r="953">
      <c r="B953" s="37" t="n"/>
      <c r="C953" s="62" t="n"/>
      <c r="D953" s="63" t="n"/>
      <c r="F953" s="65" t="n"/>
      <c r="G953" s="65" t="n"/>
      <c r="H953" s="71" t="n"/>
      <c r="I953" s="71" t="n"/>
      <c r="J953" s="21" t="n"/>
    </row>
    <row r="954">
      <c r="B954" s="37" t="n"/>
      <c r="C954" s="62" t="n"/>
      <c r="D954" s="63" t="n"/>
      <c r="F954" s="65" t="n"/>
      <c r="G954" s="65" t="n"/>
      <c r="H954" s="71" t="n"/>
      <c r="I954" s="71" t="n"/>
      <c r="J954" s="21" t="n"/>
    </row>
    <row r="955">
      <c r="B955" s="37" t="n"/>
      <c r="C955" s="62" t="n"/>
      <c r="D955" s="63" t="n"/>
      <c r="F955" s="65" t="n"/>
      <c r="G955" s="65" t="n"/>
      <c r="H955" s="71" t="n"/>
      <c r="I955" s="71" t="n"/>
      <c r="J955" s="21" t="n"/>
    </row>
    <row r="956">
      <c r="B956" s="37" t="n"/>
      <c r="C956" s="62" t="n"/>
      <c r="D956" s="63" t="n"/>
      <c r="F956" s="65" t="n"/>
      <c r="G956" s="65" t="n"/>
      <c r="H956" s="71" t="n"/>
      <c r="I956" s="71" t="n"/>
      <c r="J956" s="21" t="n"/>
    </row>
    <row r="957">
      <c r="B957" s="37" t="n"/>
      <c r="C957" s="62" t="n"/>
      <c r="D957" s="63" t="n"/>
      <c r="F957" s="65" t="n"/>
      <c r="G957" s="65" t="n"/>
      <c r="H957" s="71" t="n"/>
      <c r="I957" s="71" t="n"/>
      <c r="J957" s="21" t="n"/>
    </row>
    <row r="958">
      <c r="B958" s="37" t="n"/>
      <c r="C958" s="62" t="n"/>
      <c r="D958" s="63" t="n"/>
      <c r="F958" s="65" t="n"/>
      <c r="G958" s="65" t="n"/>
      <c r="H958" s="71" t="n"/>
      <c r="I958" s="71" t="n"/>
      <c r="J958" s="21" t="n"/>
    </row>
    <row r="959">
      <c r="B959" s="37" t="n"/>
      <c r="C959" s="62" t="n"/>
      <c r="D959" s="63" t="n"/>
      <c r="F959" s="65" t="n"/>
      <c r="G959" s="65" t="n"/>
      <c r="H959" s="71" t="n"/>
      <c r="I959" s="71" t="n"/>
      <c r="J959" s="21" t="n"/>
    </row>
    <row r="960">
      <c r="B960" s="37" t="n"/>
      <c r="C960" s="62" t="n"/>
      <c r="D960" s="63" t="n"/>
      <c r="F960" s="65" t="n"/>
      <c r="G960" s="65" t="n"/>
      <c r="H960" s="71" t="n"/>
      <c r="I960" s="71" t="n"/>
      <c r="J960" s="21" t="n"/>
    </row>
    <row r="961">
      <c r="B961" s="37" t="n"/>
      <c r="C961" s="62" t="n"/>
      <c r="D961" s="63" t="n"/>
      <c r="F961" s="65" t="n"/>
      <c r="G961" s="65" t="n"/>
      <c r="H961" s="71" t="n"/>
      <c r="I961" s="71" t="n"/>
      <c r="J961" s="21" t="n"/>
    </row>
    <row r="962">
      <c r="B962" s="37" t="n"/>
      <c r="C962" s="62" t="n"/>
      <c r="D962" s="63" t="n"/>
      <c r="F962" s="65" t="n"/>
      <c r="G962" s="65" t="n"/>
      <c r="H962" s="71" t="n"/>
      <c r="I962" s="71" t="n"/>
      <c r="J962" s="21" t="n"/>
    </row>
    <row r="963">
      <c r="B963" s="37" t="n"/>
      <c r="C963" s="62" t="n"/>
      <c r="D963" s="63" t="n"/>
      <c r="F963" s="65" t="n"/>
      <c r="G963" s="65" t="n"/>
      <c r="H963" s="71" t="n"/>
      <c r="I963" s="71" t="n"/>
      <c r="J963" s="21" t="n"/>
    </row>
    <row r="964">
      <c r="B964" s="37" t="n"/>
      <c r="C964" s="62" t="n"/>
      <c r="D964" s="63" t="n"/>
      <c r="F964" s="65" t="n"/>
      <c r="G964" s="65" t="n"/>
      <c r="H964" s="71" t="n"/>
      <c r="I964" s="71" t="n"/>
      <c r="J964" s="21" t="n"/>
    </row>
    <row r="965">
      <c r="B965" s="37" t="n"/>
      <c r="C965" s="62" t="n"/>
      <c r="D965" s="63" t="n"/>
      <c r="F965" s="65" t="n"/>
      <c r="G965" s="65" t="n"/>
      <c r="H965" s="71" t="n"/>
      <c r="I965" s="71" t="n"/>
      <c r="J965" s="21" t="n"/>
    </row>
    <row r="966">
      <c r="B966" s="37" t="n"/>
      <c r="C966" s="62" t="n"/>
      <c r="D966" s="63" t="n"/>
      <c r="F966" s="65" t="n"/>
      <c r="G966" s="65" t="n"/>
      <c r="H966" s="71" t="n"/>
      <c r="I966" s="71" t="n"/>
      <c r="J966" s="21" t="n"/>
    </row>
    <row r="967">
      <c r="B967" s="37" t="n"/>
      <c r="C967" s="62" t="n"/>
      <c r="D967" s="63" t="n"/>
      <c r="F967" s="65" t="n"/>
      <c r="G967" s="65" t="n"/>
      <c r="H967" s="71" t="n"/>
      <c r="I967" s="71" t="n"/>
      <c r="J967" s="21" t="n"/>
    </row>
    <row r="968">
      <c r="B968" s="37" t="n"/>
      <c r="C968" s="62" t="n"/>
      <c r="D968" s="63" t="n"/>
      <c r="F968" s="65" t="n"/>
      <c r="G968" s="65" t="n"/>
      <c r="H968" s="71" t="n"/>
      <c r="I968" s="71" t="n"/>
      <c r="J968" s="21" t="n"/>
    </row>
    <row r="969">
      <c r="B969" s="37" t="n"/>
      <c r="C969" s="62" t="n"/>
      <c r="D969" s="63" t="n"/>
      <c r="F969" s="65" t="n"/>
      <c r="G969" s="65" t="n"/>
      <c r="H969" s="71" t="n"/>
      <c r="I969" s="71" t="n"/>
      <c r="J969" s="21" t="n"/>
    </row>
    <row r="970">
      <c r="B970" s="37" t="n"/>
      <c r="C970" s="62" t="n"/>
      <c r="D970" s="63" t="n"/>
      <c r="F970" s="65" t="n"/>
      <c r="G970" s="65" t="n"/>
      <c r="H970" s="71" t="n"/>
      <c r="I970" s="71" t="n"/>
      <c r="J970" s="21" t="n"/>
    </row>
    <row r="971">
      <c r="B971" s="37" t="n"/>
      <c r="C971" s="62" t="n"/>
      <c r="D971" s="63" t="n"/>
      <c r="F971" s="65" t="n"/>
      <c r="G971" s="65" t="n"/>
      <c r="H971" s="71" t="n"/>
      <c r="I971" s="71" t="n"/>
      <c r="J971" s="21" t="n"/>
    </row>
    <row r="972">
      <c r="B972" s="37" t="n"/>
      <c r="C972" s="62" t="n"/>
      <c r="D972" s="63" t="n"/>
      <c r="F972" s="65" t="n"/>
      <c r="G972" s="65" t="n"/>
      <c r="H972" s="71" t="n"/>
      <c r="I972" s="71" t="n"/>
      <c r="J972" s="21" t="n"/>
    </row>
    <row r="973">
      <c r="B973" s="37" t="n"/>
      <c r="C973" s="62" t="n"/>
      <c r="D973" s="63" t="n"/>
      <c r="F973" s="65" t="n"/>
      <c r="G973" s="65" t="n"/>
      <c r="H973" s="71" t="n"/>
      <c r="I973" s="71" t="n"/>
      <c r="J973" s="21" t="n"/>
    </row>
    <row r="974">
      <c r="B974" s="37" t="n"/>
      <c r="C974" s="62" t="n"/>
      <c r="D974" s="63" t="n"/>
      <c r="F974" s="65" t="n"/>
      <c r="G974" s="65" t="n"/>
      <c r="H974" s="71" t="n"/>
      <c r="I974" s="71" t="n"/>
      <c r="J974" s="21" t="n"/>
    </row>
    <row r="975">
      <c r="B975" s="37" t="n"/>
      <c r="C975" s="62" t="n"/>
      <c r="D975" s="63" t="n"/>
      <c r="F975" s="65" t="n"/>
      <c r="G975" s="65" t="n"/>
      <c r="H975" s="71" t="n"/>
      <c r="I975" s="71" t="n"/>
      <c r="J975" s="21" t="n"/>
    </row>
    <row r="976">
      <c r="B976" s="37" t="n"/>
      <c r="C976" s="62" t="n"/>
      <c r="D976" s="63" t="n"/>
      <c r="F976" s="65" t="n"/>
      <c r="G976" s="65" t="n"/>
      <c r="H976" s="71" t="n"/>
      <c r="I976" s="71" t="n"/>
      <c r="J976" s="21" t="n"/>
    </row>
    <row r="977">
      <c r="B977" s="37" t="n"/>
      <c r="C977" s="62" t="n"/>
      <c r="D977" s="63" t="n"/>
      <c r="F977" s="65" t="n"/>
      <c r="G977" s="65" t="n"/>
      <c r="H977" s="71" t="n"/>
      <c r="I977" s="71" t="n"/>
      <c r="J977" s="21" t="n"/>
    </row>
    <row r="978">
      <c r="B978" s="37" t="n"/>
      <c r="C978" s="62" t="n"/>
      <c r="D978" s="63" t="n"/>
      <c r="F978" s="65" t="n"/>
      <c r="G978" s="65" t="n"/>
      <c r="H978" s="71" t="n"/>
      <c r="I978" s="71" t="n"/>
      <c r="J978" s="21" t="n"/>
    </row>
    <row r="979">
      <c r="B979" s="37" t="n"/>
      <c r="C979" s="62" t="n"/>
      <c r="D979" s="63" t="n"/>
      <c r="F979" s="65" t="n"/>
      <c r="G979" s="65" t="n"/>
      <c r="H979" s="71" t="n"/>
      <c r="I979" s="71" t="n"/>
      <c r="J979" s="21" t="n"/>
    </row>
    <row r="980">
      <c r="B980" s="37" t="n"/>
      <c r="C980" s="62" t="n"/>
      <c r="D980" s="63" t="n"/>
      <c r="F980" s="65" t="n"/>
      <c r="G980" s="65" t="n"/>
      <c r="H980" s="71" t="n"/>
      <c r="I980" s="71" t="n"/>
      <c r="J980" s="21" t="n"/>
    </row>
    <row r="981">
      <c r="B981" s="37" t="n"/>
      <c r="C981" s="62" t="n"/>
      <c r="D981" s="63" t="n"/>
      <c r="F981" s="65" t="n"/>
      <c r="G981" s="65" t="n"/>
      <c r="H981" s="71" t="n"/>
      <c r="I981" s="71" t="n"/>
      <c r="J981" s="21" t="n"/>
    </row>
    <row r="982">
      <c r="B982" s="37" t="n"/>
      <c r="C982" s="62" t="n"/>
      <c r="D982" s="63" t="n"/>
      <c r="F982" s="65" t="n"/>
      <c r="G982" s="65" t="n"/>
      <c r="H982" s="71" t="n"/>
      <c r="I982" s="71" t="n"/>
      <c r="J982" s="21" t="n"/>
    </row>
    <row r="983">
      <c r="B983" s="37" t="n"/>
      <c r="C983" s="62" t="n"/>
      <c r="D983" s="63" t="n"/>
      <c r="F983" s="65" t="n"/>
      <c r="G983" s="65" t="n"/>
      <c r="H983" s="71" t="n"/>
      <c r="I983" s="71" t="n"/>
      <c r="J983" s="21" t="n"/>
    </row>
    <row r="984">
      <c r="B984" s="37" t="n"/>
      <c r="C984" s="62" t="n"/>
      <c r="D984" s="63" t="n"/>
      <c r="F984" s="65" t="n"/>
      <c r="G984" s="65" t="n"/>
      <c r="H984" s="71" t="n"/>
      <c r="I984" s="71" t="n"/>
      <c r="J984" s="21" t="n"/>
    </row>
    <row r="985">
      <c r="B985" s="37" t="n"/>
      <c r="C985" s="62" t="n"/>
      <c r="D985" s="63" t="n"/>
      <c r="F985" s="65" t="n"/>
      <c r="G985" s="65" t="n"/>
      <c r="H985" s="71" t="n"/>
      <c r="I985" s="71" t="n"/>
      <c r="J985" s="21" t="n"/>
    </row>
    <row r="986">
      <c r="B986" s="37" t="n"/>
      <c r="C986" s="62" t="n"/>
      <c r="D986" s="63" t="n"/>
      <c r="F986" s="65" t="n"/>
      <c r="G986" s="65" t="n"/>
      <c r="H986" s="71" t="n"/>
      <c r="I986" s="71" t="n"/>
      <c r="J986" s="21" t="n"/>
    </row>
    <row r="987">
      <c r="B987" s="37" t="n"/>
      <c r="C987" s="62" t="n"/>
      <c r="D987" s="63" t="n"/>
      <c r="F987" s="65" t="n"/>
      <c r="G987" s="65" t="n"/>
      <c r="H987" s="71" t="n"/>
      <c r="I987" s="71" t="n"/>
      <c r="J987" s="21" t="n"/>
    </row>
    <row r="988">
      <c r="B988" s="37" t="n"/>
      <c r="C988" s="62" t="n"/>
      <c r="D988" s="63" t="n"/>
      <c r="F988" s="65" t="n"/>
      <c r="G988" s="65" t="n"/>
      <c r="H988" s="71" t="n"/>
      <c r="I988" s="71" t="n"/>
      <c r="J988" s="21" t="n"/>
    </row>
    <row r="989">
      <c r="B989" s="37" t="n"/>
      <c r="C989" s="62" t="n"/>
      <c r="D989" s="63" t="n"/>
      <c r="F989" s="65" t="n"/>
      <c r="G989" s="65" t="n"/>
      <c r="H989" s="71" t="n"/>
      <c r="I989" s="71" t="n"/>
      <c r="J989" s="21" t="n"/>
    </row>
    <row r="990">
      <c r="B990" s="37" t="n"/>
      <c r="C990" s="62" t="n"/>
      <c r="D990" s="63" t="n"/>
      <c r="F990" s="65" t="n"/>
      <c r="G990" s="65" t="n"/>
      <c r="H990" s="71" t="n"/>
      <c r="I990" s="71" t="n"/>
      <c r="J990" s="21" t="n"/>
    </row>
    <row r="991">
      <c r="B991" s="37" t="n"/>
      <c r="C991" s="62" t="n"/>
      <c r="D991" s="63" t="n"/>
      <c r="F991" s="65" t="n"/>
      <c r="G991" s="65" t="n"/>
      <c r="H991" s="71" t="n"/>
      <c r="I991" s="71" t="n"/>
      <c r="J991" s="21" t="n"/>
    </row>
    <row r="992">
      <c r="B992" s="37" t="n"/>
      <c r="C992" s="62" t="n"/>
      <c r="D992" s="63" t="n"/>
      <c r="F992" s="65" t="n"/>
      <c r="G992" s="65" t="n"/>
      <c r="H992" s="71" t="n"/>
      <c r="I992" s="71" t="n"/>
      <c r="J992" s="21" t="n"/>
    </row>
    <row r="993">
      <c r="B993" s="37" t="n"/>
      <c r="C993" s="62" t="n"/>
      <c r="D993" s="63" t="n"/>
      <c r="F993" s="65" t="n"/>
      <c r="G993" s="65" t="n"/>
      <c r="H993" s="71" t="n"/>
      <c r="I993" s="71" t="n"/>
      <c r="J993" s="21" t="n"/>
    </row>
    <row r="994">
      <c r="B994" s="37" t="n"/>
      <c r="C994" s="62" t="n"/>
      <c r="D994" s="63" t="n"/>
      <c r="F994" s="65" t="n"/>
      <c r="G994" s="65" t="n"/>
      <c r="H994" s="71" t="n"/>
      <c r="I994" s="71" t="n"/>
      <c r="J994" s="21" t="n"/>
    </row>
    <row r="995">
      <c r="B995" s="37" t="n"/>
      <c r="C995" s="62" t="n"/>
      <c r="D995" s="63" t="n"/>
      <c r="F995" s="65" t="n"/>
      <c r="G995" s="65" t="n"/>
      <c r="H995" s="71" t="n"/>
      <c r="I995" s="71" t="n"/>
      <c r="J995" s="21" t="n"/>
    </row>
    <row r="996">
      <c r="B996" s="37" t="n"/>
      <c r="C996" s="62" t="n"/>
      <c r="D996" s="63" t="n"/>
      <c r="F996" s="65" t="n"/>
      <c r="G996" s="65" t="n"/>
      <c r="H996" s="71" t="n"/>
      <c r="I996" s="71" t="n"/>
      <c r="J996" s="21" t="n"/>
    </row>
    <row r="997">
      <c r="B997" s="37" t="n"/>
      <c r="C997" s="62" t="n"/>
      <c r="D997" s="63" t="n"/>
      <c r="F997" s="65" t="n"/>
      <c r="G997" s="65" t="n"/>
      <c r="H997" s="71" t="n"/>
      <c r="I997" s="71" t="n"/>
      <c r="J997" s="21" t="n"/>
    </row>
    <row r="998">
      <c r="B998" s="37" t="n"/>
      <c r="C998" s="62" t="n"/>
      <c r="D998" s="63" t="n"/>
      <c r="F998" s="65" t="n"/>
      <c r="G998" s="65" t="n"/>
      <c r="H998" s="71" t="n"/>
      <c r="I998" s="71" t="n"/>
      <c r="J998" s="21" t="n"/>
    </row>
    <row r="999">
      <c r="B999" s="37" t="n"/>
      <c r="C999" s="62" t="n"/>
      <c r="D999" s="63" t="n"/>
      <c r="F999" s="65" t="n"/>
      <c r="G999" s="65" t="n"/>
      <c r="H999" s="71" t="n"/>
      <c r="I999" s="71" t="n"/>
      <c r="J999" s="21" t="n"/>
    </row>
    <row r="1000">
      <c r="B1000" s="37" t="n"/>
      <c r="C1000" s="62" t="n"/>
      <c r="D1000" s="63" t="n"/>
      <c r="F1000" s="65" t="n"/>
      <c r="G1000" s="65" t="n"/>
      <c r="H1000" s="71" t="n"/>
      <c r="I1000" s="71" t="n"/>
      <c r="J1000" s="21" t="n"/>
    </row>
    <row r="1001">
      <c r="B1001" s="37" t="n"/>
      <c r="C1001" s="62" t="n"/>
      <c r="D1001" s="63" t="n"/>
      <c r="F1001" s="65" t="n"/>
      <c r="G1001" s="65" t="n"/>
      <c r="H1001" s="71" t="n"/>
      <c r="I1001" s="71" t="n"/>
      <c r="J1001" s="21" t="n"/>
    </row>
    <row r="1002">
      <c r="B1002" s="37" t="n"/>
      <c r="C1002" s="62" t="n"/>
      <c r="D1002" s="63" t="n"/>
      <c r="F1002" s="65" t="n"/>
      <c r="G1002" s="65" t="n"/>
      <c r="H1002" s="71" t="n"/>
      <c r="I1002" s="71" t="n"/>
      <c r="J1002" s="21" t="n"/>
    </row>
    <row r="1003">
      <c r="B1003" s="37" t="n"/>
      <c r="C1003" s="62" t="n"/>
      <c r="D1003" s="63" t="n"/>
      <c r="F1003" s="65" t="n"/>
      <c r="G1003" s="65" t="n"/>
      <c r="H1003" s="71" t="n"/>
      <c r="I1003" s="71" t="n"/>
      <c r="J1003" s="21" t="n"/>
    </row>
    <row r="1004">
      <c r="B1004" s="37" t="n"/>
      <c r="C1004" s="62" t="n"/>
      <c r="D1004" s="63" t="n"/>
      <c r="F1004" s="65" t="n"/>
      <c r="G1004" s="65" t="n"/>
      <c r="H1004" s="71" t="n"/>
      <c r="I1004" s="71" t="n"/>
      <c r="J1004" s="21" t="n"/>
    </row>
    <row r="1005">
      <c r="B1005" s="37" t="n"/>
      <c r="C1005" s="62" t="n"/>
      <c r="D1005" s="63" t="n"/>
      <c r="F1005" s="65" t="n"/>
      <c r="G1005" s="65" t="n"/>
      <c r="H1005" s="71" t="n"/>
      <c r="I1005" s="71" t="n"/>
      <c r="J1005" s="21" t="n"/>
    </row>
    <row r="1006">
      <c r="B1006" s="37" t="n"/>
      <c r="C1006" s="62" t="n"/>
      <c r="D1006" s="63" t="n"/>
      <c r="F1006" s="65" t="n"/>
      <c r="G1006" s="65" t="n"/>
      <c r="H1006" s="71" t="n"/>
      <c r="I1006" s="71" t="n"/>
      <c r="J1006" s="21" t="n"/>
    </row>
    <row r="1007">
      <c r="B1007" s="37" t="n"/>
      <c r="C1007" s="62" t="n"/>
      <c r="D1007" s="63" t="n"/>
      <c r="F1007" s="65" t="n"/>
      <c r="G1007" s="65" t="n"/>
      <c r="H1007" s="71" t="n"/>
      <c r="I1007" s="71" t="n"/>
      <c r="J1007" s="21" t="n"/>
    </row>
    <row r="1008">
      <c r="B1008" s="37" t="n"/>
      <c r="C1008" s="62" t="n"/>
      <c r="D1008" s="63" t="n"/>
      <c r="F1008" s="65" t="n"/>
      <c r="G1008" s="65" t="n"/>
      <c r="H1008" s="71" t="n"/>
      <c r="I1008" s="71" t="n"/>
      <c r="J1008" s="21" t="n"/>
    </row>
    <row r="1009">
      <c r="B1009" s="37" t="n"/>
      <c r="C1009" s="62" t="n"/>
      <c r="D1009" s="63" t="n"/>
      <c r="F1009" s="65" t="n"/>
      <c r="G1009" s="65" t="n"/>
      <c r="H1009" s="71" t="n"/>
      <c r="I1009" s="71" t="n"/>
      <c r="J1009" s="21" t="n"/>
    </row>
    <row r="1010">
      <c r="B1010" s="37" t="n"/>
      <c r="C1010" s="62" t="n"/>
      <c r="D1010" s="63" t="n"/>
      <c r="F1010" s="65" t="n"/>
      <c r="G1010" s="65" t="n"/>
      <c r="H1010" s="71" t="n"/>
      <c r="I1010" s="71" t="n"/>
      <c r="J1010" s="21" t="n"/>
    </row>
    <row r="1011">
      <c r="B1011" s="37" t="n"/>
      <c r="C1011" s="62" t="n"/>
      <c r="D1011" s="63" t="n"/>
      <c r="F1011" s="65" t="n"/>
      <c r="G1011" s="65" t="n"/>
      <c r="H1011" s="71" t="n"/>
      <c r="I1011" s="71" t="n"/>
      <c r="J1011" s="21" t="n"/>
    </row>
    <row r="1012">
      <c r="B1012" s="37" t="n"/>
      <c r="C1012" s="62" t="n"/>
      <c r="D1012" s="63" t="n"/>
      <c r="F1012" s="65" t="n"/>
      <c r="G1012" s="65" t="n"/>
      <c r="H1012" s="71" t="n"/>
      <c r="I1012" s="71" t="n"/>
      <c r="J1012" s="21" t="n"/>
    </row>
    <row r="1013">
      <c r="B1013" s="37" t="n"/>
      <c r="C1013" s="62" t="n"/>
      <c r="D1013" s="63" t="n"/>
      <c r="F1013" s="65" t="n"/>
      <c r="G1013" s="65" t="n"/>
      <c r="H1013" s="71" t="n"/>
      <c r="I1013" s="71" t="n"/>
      <c r="J1013" s="21" t="n"/>
    </row>
    <row r="1014">
      <c r="B1014" s="37" t="n"/>
      <c r="C1014" s="62" t="n"/>
      <c r="D1014" s="63" t="n"/>
      <c r="F1014" s="65" t="n"/>
      <c r="G1014" s="65" t="n"/>
      <c r="H1014" s="71" t="n"/>
      <c r="I1014" s="71" t="n"/>
      <c r="J1014" s="21" t="n"/>
    </row>
    <row r="1015">
      <c r="B1015" s="37" t="n"/>
      <c r="C1015" s="62" t="n"/>
      <c r="D1015" s="63" t="n"/>
      <c r="F1015" s="65" t="n"/>
      <c r="G1015" s="65" t="n"/>
      <c r="H1015" s="71" t="n"/>
      <c r="I1015" s="71" t="n"/>
      <c r="J1015" s="21" t="n"/>
    </row>
    <row r="1016">
      <c r="B1016" s="37" t="n"/>
      <c r="C1016" s="62" t="n"/>
      <c r="D1016" s="63" t="n"/>
      <c r="F1016" s="65" t="n"/>
      <c r="G1016" s="65" t="n"/>
      <c r="H1016" s="71" t="n"/>
      <c r="I1016" s="71" t="n"/>
      <c r="J1016" s="21" t="n"/>
    </row>
    <row r="1017">
      <c r="B1017" s="37" t="n"/>
      <c r="C1017" s="62" t="n"/>
      <c r="D1017" s="63" t="n"/>
      <c r="F1017" s="65" t="n"/>
      <c r="G1017" s="65" t="n"/>
      <c r="H1017" s="71" t="n"/>
      <c r="I1017" s="71" t="n"/>
      <c r="J1017" s="21" t="n"/>
    </row>
    <row r="1018">
      <c r="B1018" s="37" t="n"/>
      <c r="C1018" s="62" t="n"/>
      <c r="D1018" s="63" t="n"/>
      <c r="F1018" s="65" t="n"/>
      <c r="G1018" s="65" t="n"/>
      <c r="H1018" s="71" t="n"/>
      <c r="I1018" s="71" t="n"/>
      <c r="J1018" s="21" t="n"/>
    </row>
    <row r="1019">
      <c r="B1019" s="37" t="n"/>
      <c r="C1019" s="62" t="n"/>
      <c r="D1019" s="63" t="n"/>
      <c r="F1019" s="65" t="n"/>
      <c r="G1019" s="65" t="n"/>
      <c r="H1019" s="71" t="n"/>
      <c r="I1019" s="71" t="n"/>
      <c r="J1019" s="21" t="n"/>
    </row>
    <row r="1020">
      <c r="B1020" s="37" t="n"/>
      <c r="C1020" s="62" t="n"/>
      <c r="D1020" s="63" t="n"/>
      <c r="F1020" s="65" t="n"/>
      <c r="G1020" s="65" t="n"/>
      <c r="H1020" s="71" t="n"/>
      <c r="I1020" s="71" t="n"/>
      <c r="J1020" s="21" t="n"/>
    </row>
    <row r="1021">
      <c r="B1021" s="37" t="n"/>
      <c r="C1021" s="62" t="n"/>
      <c r="D1021" s="63" t="n"/>
      <c r="F1021" s="65" t="n"/>
      <c r="G1021" s="65" t="n"/>
      <c r="H1021" s="71" t="n"/>
      <c r="I1021" s="71" t="n"/>
      <c r="J1021" s="21" t="n"/>
    </row>
    <row r="1022">
      <c r="B1022" s="37" t="n"/>
      <c r="C1022" s="62" t="n"/>
      <c r="D1022" s="63" t="n"/>
      <c r="F1022" s="65" t="n"/>
      <c r="G1022" s="65" t="n"/>
      <c r="H1022" s="71" t="n"/>
      <c r="I1022" s="71" t="n"/>
      <c r="J1022" s="21" t="n"/>
    </row>
    <row r="1023">
      <c r="B1023" s="37" t="n"/>
      <c r="C1023" s="62" t="n"/>
      <c r="D1023" s="63" t="n"/>
      <c r="F1023" s="65" t="n"/>
      <c r="G1023" s="65" t="n"/>
      <c r="H1023" s="71" t="n"/>
      <c r="I1023" s="71" t="n"/>
      <c r="J1023" s="21" t="n"/>
    </row>
    <row r="1024">
      <c r="B1024" s="37" t="n"/>
      <c r="C1024" s="62" t="n"/>
      <c r="D1024" s="63" t="n"/>
      <c r="F1024" s="65" t="n"/>
      <c r="G1024" s="65" t="n"/>
      <c r="H1024" s="71" t="n"/>
      <c r="I1024" s="71" t="n"/>
      <c r="J1024" s="21" t="n"/>
    </row>
    <row r="1025">
      <c r="B1025" s="37" t="n"/>
      <c r="C1025" s="62" t="n"/>
      <c r="D1025" s="63" t="n"/>
      <c r="F1025" s="65" t="n"/>
      <c r="G1025" s="65" t="n"/>
      <c r="H1025" s="71" t="n"/>
      <c r="I1025" s="71" t="n"/>
      <c r="J1025" s="21" t="n"/>
    </row>
    <row r="1026">
      <c r="B1026" s="37" t="n"/>
      <c r="C1026" s="62" t="n"/>
      <c r="D1026" s="63" t="n"/>
      <c r="F1026" s="65" t="n"/>
      <c r="G1026" s="65" t="n"/>
      <c r="H1026" s="71" t="n"/>
      <c r="I1026" s="71" t="n"/>
      <c r="J1026" s="21" t="n"/>
    </row>
    <row r="1027">
      <c r="B1027" s="37" t="n"/>
      <c r="C1027" s="62" t="n"/>
      <c r="D1027" s="63" t="n"/>
      <c r="F1027" s="65" t="n"/>
      <c r="G1027" s="65" t="n"/>
      <c r="H1027" s="71" t="n"/>
      <c r="I1027" s="71" t="n"/>
      <c r="J1027" s="21" t="n"/>
    </row>
    <row r="1028">
      <c r="B1028" s="37" t="n"/>
      <c r="C1028" s="62" t="n"/>
      <c r="D1028" s="63" t="n"/>
      <c r="F1028" s="65" t="n"/>
      <c r="G1028" s="65" t="n"/>
      <c r="H1028" s="71" t="n"/>
      <c r="I1028" s="71" t="n"/>
      <c r="J1028" s="21" t="n"/>
    </row>
    <row r="1029">
      <c r="B1029" s="37" t="n"/>
      <c r="C1029" s="62" t="n"/>
      <c r="D1029" s="63" t="n"/>
      <c r="F1029" s="65" t="n"/>
      <c r="G1029" s="65" t="n"/>
      <c r="H1029" s="71" t="n"/>
      <c r="I1029" s="71" t="n"/>
      <c r="J1029" s="21" t="n"/>
    </row>
    <row r="1030">
      <c r="B1030" s="37" t="n"/>
      <c r="C1030" s="62" t="n"/>
      <c r="D1030" s="63" t="n"/>
      <c r="F1030" s="65" t="n"/>
      <c r="G1030" s="65" t="n"/>
      <c r="H1030" s="71" t="n"/>
      <c r="I1030" s="71" t="n"/>
      <c r="J1030" s="21" t="n"/>
    </row>
    <row r="1031">
      <c r="B1031" s="37" t="n"/>
      <c r="C1031" s="62" t="n"/>
      <c r="D1031" s="63" t="n"/>
      <c r="F1031" s="65" t="n"/>
      <c r="G1031" s="65" t="n"/>
      <c r="H1031" s="71" t="n"/>
      <c r="I1031" s="71" t="n"/>
      <c r="J1031" s="21" t="n"/>
    </row>
    <row r="1032">
      <c r="B1032" s="37" t="n"/>
      <c r="C1032" s="62" t="n"/>
      <c r="D1032" s="63" t="n"/>
      <c r="F1032" s="65" t="n"/>
      <c r="G1032" s="65" t="n"/>
      <c r="H1032" s="71" t="n"/>
      <c r="I1032" s="71" t="n"/>
      <c r="J1032" s="21" t="n"/>
    </row>
    <row r="1033">
      <c r="B1033" s="37" t="n"/>
      <c r="C1033" s="62" t="n"/>
      <c r="D1033" s="63" t="n"/>
      <c r="F1033" s="65" t="n"/>
      <c r="G1033" s="65" t="n"/>
      <c r="H1033" s="71" t="n"/>
      <c r="I1033" s="71" t="n"/>
      <c r="J1033" s="21" t="n"/>
    </row>
    <row r="1034">
      <c r="B1034" s="37" t="n"/>
      <c r="C1034" s="62" t="n"/>
      <c r="D1034" s="63" t="n"/>
      <c r="F1034" s="65" t="n"/>
      <c r="G1034" s="65" t="n"/>
      <c r="H1034" s="71" t="n"/>
      <c r="I1034" s="71" t="n"/>
      <c r="J1034" s="21" t="n"/>
    </row>
    <row r="1035">
      <c r="B1035" s="37" t="n"/>
      <c r="C1035" s="62" t="n"/>
      <c r="D1035" s="63" t="n"/>
      <c r="F1035" s="65" t="n"/>
      <c r="G1035" s="65" t="n"/>
      <c r="H1035" s="71" t="n"/>
      <c r="I1035" s="71" t="n"/>
      <c r="J1035" s="21" t="n"/>
    </row>
    <row r="1036">
      <c r="B1036" s="37" t="n"/>
      <c r="C1036" s="62" t="n"/>
      <c r="D1036" s="63" t="n"/>
      <c r="F1036" s="65" t="n"/>
      <c r="G1036" s="65" t="n"/>
      <c r="H1036" s="71" t="n"/>
      <c r="I1036" s="71" t="n"/>
      <c r="J1036" s="21" t="n"/>
    </row>
    <row r="1037">
      <c r="B1037" s="37" t="n"/>
      <c r="C1037" s="62" t="n"/>
      <c r="D1037" s="63" t="n"/>
      <c r="F1037" s="65" t="n"/>
      <c r="G1037" s="65" t="n"/>
      <c r="H1037" s="71" t="n"/>
      <c r="I1037" s="71" t="n"/>
      <c r="J1037" s="21" t="n"/>
    </row>
    <row r="1038">
      <c r="B1038" s="37" t="n"/>
      <c r="C1038" s="62" t="n"/>
      <c r="D1038" s="63" t="n"/>
      <c r="F1038" s="65" t="n"/>
      <c r="G1038" s="65" t="n"/>
      <c r="H1038" s="71" t="n"/>
      <c r="I1038" s="71" t="n"/>
      <c r="J1038" s="21" t="n"/>
    </row>
    <row r="1039">
      <c r="B1039" s="37" t="n"/>
      <c r="C1039" s="62" t="n"/>
      <c r="D1039" s="63" t="n"/>
      <c r="F1039" s="65" t="n"/>
      <c r="G1039" s="65" t="n"/>
      <c r="H1039" s="71" t="n"/>
      <c r="I1039" s="71" t="n"/>
      <c r="J1039" s="21" t="n"/>
    </row>
    <row r="1040">
      <c r="B1040" s="37" t="n"/>
      <c r="C1040" s="62" t="n"/>
      <c r="D1040" s="63" t="n"/>
      <c r="F1040" s="65" t="n"/>
      <c r="G1040" s="65" t="n"/>
      <c r="H1040" s="71" t="n"/>
      <c r="I1040" s="71" t="n"/>
      <c r="J1040" s="21" t="n"/>
    </row>
    <row r="1041">
      <c r="B1041" s="37" t="n"/>
      <c r="C1041" s="62" t="n"/>
      <c r="D1041" s="63" t="n"/>
      <c r="F1041" s="65" t="n"/>
      <c r="G1041" s="65" t="n"/>
      <c r="H1041" s="71" t="n"/>
      <c r="I1041" s="71" t="n"/>
      <c r="J1041" s="21" t="n"/>
    </row>
    <row r="1042">
      <c r="B1042" s="37" t="n"/>
      <c r="C1042" s="62" t="n"/>
      <c r="D1042" s="63" t="n"/>
      <c r="F1042" s="65" t="n"/>
      <c r="G1042" s="65" t="n"/>
      <c r="H1042" s="71" t="n"/>
      <c r="I1042" s="71" t="n"/>
      <c r="J1042" s="21" t="n"/>
    </row>
    <row r="1043">
      <c r="B1043" s="37" t="n"/>
      <c r="C1043" s="62" t="n"/>
      <c r="D1043" s="63" t="n"/>
      <c r="F1043" s="65" t="n"/>
      <c r="G1043" s="65" t="n"/>
      <c r="H1043" s="71" t="n"/>
      <c r="I1043" s="71" t="n"/>
      <c r="J1043" s="21" t="n"/>
    </row>
    <row r="1044">
      <c r="B1044" s="37" t="n"/>
      <c r="C1044" s="62" t="n"/>
      <c r="D1044" s="63" t="n"/>
      <c r="F1044" s="65" t="n"/>
      <c r="G1044" s="65" t="n"/>
      <c r="H1044" s="71" t="n"/>
      <c r="I1044" s="71" t="n"/>
      <c r="J1044" s="21" t="n"/>
    </row>
    <row r="1045">
      <c r="B1045" s="37" t="n"/>
      <c r="C1045" s="62" t="n"/>
      <c r="D1045" s="63" t="n"/>
      <c r="F1045" s="65" t="n"/>
      <c r="G1045" s="65" t="n"/>
      <c r="H1045" s="71" t="n"/>
      <c r="I1045" s="71" t="n"/>
      <c r="J1045" s="21" t="n"/>
    </row>
    <row r="1046">
      <c r="B1046" s="37" t="n"/>
      <c r="C1046" s="62" t="n"/>
      <c r="D1046" s="63" t="n"/>
      <c r="F1046" s="65" t="n"/>
      <c r="G1046" s="65" t="n"/>
      <c r="H1046" s="71" t="n"/>
      <c r="I1046" s="71" t="n"/>
      <c r="J1046" s="21" t="n"/>
    </row>
    <row r="1047">
      <c r="B1047" s="37" t="n"/>
      <c r="C1047" s="62" t="n"/>
      <c r="D1047" s="63" t="n"/>
      <c r="F1047" s="65" t="n"/>
      <c r="G1047" s="65" t="n"/>
      <c r="H1047" s="71" t="n"/>
      <c r="I1047" s="71" t="n"/>
      <c r="J1047" s="21" t="n"/>
    </row>
    <row r="1048">
      <c r="B1048" s="37" t="n"/>
      <c r="C1048" s="62" t="n"/>
      <c r="D1048" s="63" t="n"/>
      <c r="F1048" s="65" t="n"/>
      <c r="G1048" s="65" t="n"/>
      <c r="H1048" s="71" t="n"/>
      <c r="I1048" s="71" t="n"/>
      <c r="J1048" s="21" t="n"/>
    </row>
    <row r="1049">
      <c r="B1049" s="37" t="n"/>
      <c r="C1049" s="62" t="n"/>
      <c r="D1049" s="63" t="n"/>
      <c r="F1049" s="65" t="n"/>
      <c r="G1049" s="65" t="n"/>
      <c r="H1049" s="71" t="n"/>
      <c r="I1049" s="71" t="n"/>
      <c r="J1049" s="21" t="n"/>
    </row>
    <row r="1050">
      <c r="B1050" s="37" t="n"/>
      <c r="C1050" s="62" t="n"/>
      <c r="D1050" s="63" t="n"/>
      <c r="F1050" s="65" t="n"/>
      <c r="G1050" s="65" t="n"/>
      <c r="H1050" s="71" t="n"/>
      <c r="I1050" s="71" t="n"/>
      <c r="J1050" s="21" t="n"/>
    </row>
    <row r="1051">
      <c r="B1051" s="37" t="n"/>
      <c r="C1051" s="62" t="n"/>
      <c r="D1051" s="63" t="n"/>
      <c r="F1051" s="65" t="n"/>
      <c r="G1051" s="65" t="n"/>
      <c r="H1051" s="71" t="n"/>
      <c r="I1051" s="71" t="n"/>
      <c r="J1051" s="21" t="n"/>
    </row>
    <row r="1052">
      <c r="B1052" s="37" t="n"/>
      <c r="C1052" s="62" t="n"/>
      <c r="D1052" s="63" t="n"/>
      <c r="F1052" s="65" t="n"/>
      <c r="G1052" s="65" t="n"/>
      <c r="H1052" s="71" t="n"/>
      <c r="I1052" s="71" t="n"/>
      <c r="J1052" s="21" t="n"/>
    </row>
    <row r="1053">
      <c r="B1053" s="37" t="n"/>
      <c r="C1053" s="62" t="n"/>
      <c r="D1053" s="63" t="n"/>
      <c r="F1053" s="65" t="n"/>
      <c r="G1053" s="65" t="n"/>
      <c r="H1053" s="71" t="n"/>
      <c r="I1053" s="71" t="n"/>
      <c r="J1053" s="21" t="n"/>
    </row>
    <row r="1054">
      <c r="B1054" s="37" t="n"/>
      <c r="C1054" s="62" t="n"/>
      <c r="D1054" s="63" t="n"/>
      <c r="F1054" s="65" t="n"/>
      <c r="G1054" s="65" t="n"/>
      <c r="H1054" s="71" t="n"/>
      <c r="I1054" s="71" t="n"/>
      <c r="J1054" s="21" t="n"/>
    </row>
    <row r="1055">
      <c r="B1055" s="37" t="n"/>
      <c r="C1055" s="62" t="n"/>
      <c r="D1055" s="63" t="n"/>
      <c r="F1055" s="65" t="n"/>
      <c r="G1055" s="65" t="n"/>
      <c r="H1055" s="71" t="n"/>
      <c r="I1055" s="71" t="n"/>
      <c r="J1055" s="21" t="n"/>
    </row>
    <row r="1056">
      <c r="B1056" s="37" t="n"/>
      <c r="C1056" s="62" t="n"/>
      <c r="D1056" s="63" t="n"/>
      <c r="F1056" s="65" t="n"/>
      <c r="G1056" s="65" t="n"/>
      <c r="H1056" s="71" t="n"/>
      <c r="I1056" s="71" t="n"/>
      <c r="J1056" s="21" t="n"/>
    </row>
    <row r="1057">
      <c r="B1057" s="37" t="n"/>
      <c r="C1057" s="62" t="n"/>
      <c r="D1057" s="63" t="n"/>
      <c r="F1057" s="65" t="n"/>
      <c r="G1057" s="65" t="n"/>
      <c r="H1057" s="71" t="n"/>
      <c r="I1057" s="71" t="n"/>
      <c r="J1057" s="21" t="n"/>
    </row>
    <row r="1058">
      <c r="B1058" s="37" t="n"/>
      <c r="C1058" s="62" t="n"/>
      <c r="D1058" s="63" t="n"/>
      <c r="F1058" s="65" t="n"/>
      <c r="G1058" s="65" t="n"/>
      <c r="H1058" s="71" t="n"/>
      <c r="I1058" s="71" t="n"/>
      <c r="J1058" s="21" t="n"/>
    </row>
    <row r="1059">
      <c r="B1059" s="37" t="n"/>
      <c r="C1059" s="62" t="n"/>
      <c r="D1059" s="63" t="n"/>
      <c r="F1059" s="65" t="n"/>
      <c r="G1059" s="65" t="n"/>
      <c r="H1059" s="71" t="n"/>
      <c r="I1059" s="71" t="n"/>
      <c r="J1059" s="21" t="n"/>
    </row>
    <row r="1060">
      <c r="B1060" s="37" t="n"/>
      <c r="C1060" s="62" t="n"/>
      <c r="D1060" s="63" t="n"/>
      <c r="F1060" s="65" t="n"/>
      <c r="G1060" s="65" t="n"/>
      <c r="H1060" s="71" t="n"/>
      <c r="I1060" s="71" t="n"/>
      <c r="J1060" s="21" t="n"/>
    </row>
    <row r="1061">
      <c r="B1061" s="37" t="n"/>
      <c r="C1061" s="62" t="n"/>
      <c r="D1061" s="63" t="n"/>
      <c r="F1061" s="65" t="n"/>
      <c r="G1061" s="65" t="n"/>
      <c r="H1061" s="71" t="n"/>
      <c r="I1061" s="71" t="n"/>
      <c r="J1061" s="21" t="n"/>
    </row>
    <row r="1062">
      <c r="B1062" s="37" t="n"/>
      <c r="C1062" s="62" t="n"/>
      <c r="D1062" s="63" t="n"/>
      <c r="F1062" s="65" t="n"/>
      <c r="G1062" s="65" t="n"/>
      <c r="H1062" s="71" t="n"/>
      <c r="I1062" s="71" t="n"/>
      <c r="J1062" s="21" t="n"/>
    </row>
    <row r="1063">
      <c r="B1063" s="37" t="n"/>
      <c r="C1063" s="62" t="n"/>
      <c r="D1063" s="63" t="n"/>
      <c r="F1063" s="65" t="n"/>
      <c r="G1063" s="65" t="n"/>
      <c r="H1063" s="71" t="n"/>
      <c r="I1063" s="71" t="n"/>
      <c r="J1063" s="21" t="n"/>
    </row>
    <row r="1064">
      <c r="B1064" s="37" t="n"/>
      <c r="C1064" s="62" t="n"/>
      <c r="D1064" s="63" t="n"/>
      <c r="F1064" s="65" t="n"/>
      <c r="G1064" s="65" t="n"/>
      <c r="H1064" s="71" t="n"/>
      <c r="I1064" s="71" t="n"/>
      <c r="J1064" s="21" t="n"/>
    </row>
    <row r="1065">
      <c r="B1065" s="37" t="n"/>
      <c r="C1065" s="62" t="n"/>
      <c r="D1065" s="63" t="n"/>
      <c r="F1065" s="65" t="n"/>
      <c r="G1065" s="65" t="n"/>
      <c r="H1065" s="71" t="n"/>
      <c r="I1065" s="71" t="n"/>
      <c r="J1065" s="21" t="n"/>
    </row>
    <row r="1066">
      <c r="B1066" s="37" t="n"/>
      <c r="C1066" s="62" t="n"/>
      <c r="D1066" s="63" t="n"/>
      <c r="F1066" s="65" t="n"/>
      <c r="G1066" s="65" t="n"/>
      <c r="H1066" s="71" t="n"/>
      <c r="I1066" s="71" t="n"/>
      <c r="J1066" s="21" t="n"/>
    </row>
    <row r="1067">
      <c r="B1067" s="37" t="n"/>
      <c r="C1067" s="62" t="n"/>
      <c r="D1067" s="63" t="n"/>
      <c r="F1067" s="65" t="n"/>
      <c r="G1067" s="65" t="n"/>
      <c r="H1067" s="71" t="n"/>
      <c r="I1067" s="71" t="n"/>
      <c r="J1067" s="21" t="n"/>
    </row>
    <row r="1068">
      <c r="B1068" s="37" t="n"/>
      <c r="C1068" s="62" t="n"/>
      <c r="D1068" s="63" t="n"/>
      <c r="F1068" s="65" t="n"/>
      <c r="G1068" s="65" t="n"/>
      <c r="H1068" s="71" t="n"/>
      <c r="I1068" s="71" t="n"/>
      <c r="J1068" s="21" t="n"/>
    </row>
    <row r="1069">
      <c r="B1069" s="37" t="n"/>
      <c r="C1069" s="62" t="n"/>
      <c r="D1069" s="63" t="n"/>
      <c r="F1069" s="65" t="n"/>
      <c r="G1069" s="65" t="n"/>
      <c r="H1069" s="71" t="n"/>
      <c r="I1069" s="71" t="n"/>
      <c r="J1069" s="21" t="n"/>
    </row>
    <row r="1070">
      <c r="B1070" s="37" t="n"/>
      <c r="C1070" s="62" t="n"/>
      <c r="D1070" s="63" t="n"/>
      <c r="F1070" s="65" t="n"/>
      <c r="G1070" s="65" t="n"/>
      <c r="H1070" s="71" t="n"/>
      <c r="I1070" s="71" t="n"/>
      <c r="J1070" s="21" t="n"/>
    </row>
    <row r="1071">
      <c r="B1071" s="37" t="n"/>
      <c r="C1071" s="62" t="n"/>
      <c r="D1071" s="63" t="n"/>
      <c r="F1071" s="65" t="n"/>
      <c r="G1071" s="65" t="n"/>
      <c r="H1071" s="71" t="n"/>
      <c r="I1071" s="71" t="n"/>
      <c r="J1071" s="21" t="n"/>
    </row>
    <row r="1072">
      <c r="B1072" s="37" t="n"/>
      <c r="C1072" s="62" t="n"/>
      <c r="D1072" s="63" t="n"/>
      <c r="F1072" s="65" t="n"/>
      <c r="G1072" s="65" t="n"/>
      <c r="H1072" s="71" t="n"/>
      <c r="I1072" s="71" t="n"/>
      <c r="J1072" s="21" t="n"/>
    </row>
    <row r="1073">
      <c r="B1073" s="37" t="n"/>
      <c r="C1073" s="62" t="n"/>
      <c r="D1073" s="63" t="n"/>
      <c r="F1073" s="65" t="n"/>
      <c r="G1073" s="65" t="n"/>
      <c r="H1073" s="71" t="n"/>
      <c r="I1073" s="71" t="n"/>
      <c r="J1073" s="21" t="n"/>
    </row>
    <row r="1074">
      <c r="B1074" s="37" t="n"/>
      <c r="C1074" s="62" t="n"/>
      <c r="D1074" s="63" t="n"/>
      <c r="F1074" s="65" t="n"/>
      <c r="G1074" s="65" t="n"/>
      <c r="H1074" s="71" t="n"/>
      <c r="I1074" s="71" t="n"/>
      <c r="J1074" s="21" t="n"/>
    </row>
    <row r="1075">
      <c r="B1075" s="37" t="n"/>
      <c r="C1075" s="62" t="n"/>
      <c r="D1075" s="63" t="n"/>
      <c r="F1075" s="65" t="n"/>
      <c r="G1075" s="65" t="n"/>
      <c r="H1075" s="71" t="n"/>
      <c r="I1075" s="71" t="n"/>
      <c r="J1075" s="21" t="n"/>
    </row>
    <row r="1076">
      <c r="B1076" s="37" t="n"/>
      <c r="C1076" s="62" t="n"/>
      <c r="D1076" s="63" t="n"/>
      <c r="F1076" s="65" t="n"/>
      <c r="G1076" s="65" t="n"/>
      <c r="H1076" s="71" t="n"/>
      <c r="I1076" s="71" t="n"/>
      <c r="J1076" s="21" t="n"/>
    </row>
    <row r="1077">
      <c r="B1077" s="37" t="n"/>
      <c r="C1077" s="62" t="n"/>
      <c r="D1077" s="63" t="n"/>
      <c r="F1077" s="65" t="n"/>
      <c r="G1077" s="65" t="n"/>
      <c r="H1077" s="71" t="n"/>
      <c r="I1077" s="71" t="n"/>
      <c r="J1077" s="21" t="n"/>
    </row>
    <row r="1078">
      <c r="B1078" s="37" t="n"/>
      <c r="C1078" s="62" t="n"/>
      <c r="D1078" s="63" t="n"/>
      <c r="F1078" s="65" t="n"/>
      <c r="G1078" s="65" t="n"/>
      <c r="H1078" s="71" t="n"/>
      <c r="I1078" s="71" t="n"/>
      <c r="J1078" s="21" t="n"/>
    </row>
    <row r="1079">
      <c r="B1079" s="37" t="n"/>
      <c r="C1079" s="62" t="n"/>
      <c r="D1079" s="63" t="n"/>
      <c r="F1079" s="65" t="n"/>
      <c r="G1079" s="65" t="n"/>
      <c r="H1079" s="71" t="n"/>
      <c r="I1079" s="71" t="n"/>
      <c r="J1079" s="21" t="n"/>
    </row>
    <row r="1080">
      <c r="B1080" s="37" t="n"/>
      <c r="C1080" s="62" t="n"/>
      <c r="D1080" s="63" t="n"/>
      <c r="F1080" s="65" t="n"/>
      <c r="G1080" s="65" t="n"/>
      <c r="H1080" s="71" t="n"/>
      <c r="I1080" s="71" t="n"/>
      <c r="J1080" s="21" t="n"/>
    </row>
    <row r="1081">
      <c r="B1081" s="37" t="n"/>
      <c r="C1081" s="62" t="n"/>
      <c r="D1081" s="63" t="n"/>
      <c r="F1081" s="65" t="n"/>
      <c r="G1081" s="65" t="n"/>
      <c r="H1081" s="71" t="n"/>
      <c r="I1081" s="71" t="n"/>
      <c r="J1081" s="21" t="n"/>
    </row>
    <row r="1082">
      <c r="B1082" s="37" t="n"/>
      <c r="C1082" s="62" t="n"/>
      <c r="D1082" s="63" t="n"/>
      <c r="F1082" s="65" t="n"/>
      <c r="G1082" s="65" t="n"/>
      <c r="H1082" s="71" t="n"/>
      <c r="I1082" s="71" t="n"/>
      <c r="J1082" s="21" t="n"/>
    </row>
    <row r="1083">
      <c r="B1083" s="37" t="n"/>
      <c r="C1083" s="62" t="n"/>
      <c r="D1083" s="63" t="n"/>
      <c r="F1083" s="65" t="n"/>
      <c r="G1083" s="65" t="n"/>
      <c r="H1083" s="71" t="n"/>
      <c r="I1083" s="71" t="n"/>
      <c r="J1083" s="21" t="n"/>
    </row>
    <row r="1084">
      <c r="B1084" s="37" t="n"/>
      <c r="C1084" s="62" t="n"/>
      <c r="D1084" s="63" t="n"/>
      <c r="F1084" s="65" t="n"/>
      <c r="G1084" s="65" t="n"/>
      <c r="H1084" s="71" t="n"/>
      <c r="I1084" s="71" t="n"/>
      <c r="J1084" s="21" t="n"/>
    </row>
    <row r="1085">
      <c r="B1085" s="37" t="n"/>
      <c r="C1085" s="62" t="n"/>
      <c r="D1085" s="63" t="n"/>
      <c r="F1085" s="65" t="n"/>
      <c r="G1085" s="65" t="n"/>
      <c r="H1085" s="71" t="n"/>
      <c r="I1085" s="71" t="n"/>
      <c r="J1085" s="21" t="n"/>
    </row>
    <row r="1086">
      <c r="B1086" s="37" t="n"/>
      <c r="C1086" s="62" t="n"/>
      <c r="D1086" s="63" t="n"/>
      <c r="F1086" s="65" t="n"/>
      <c r="G1086" s="65" t="n"/>
      <c r="H1086" s="71" t="n"/>
      <c r="I1086" s="71" t="n"/>
      <c r="J1086" s="21" t="n"/>
    </row>
    <row r="1087">
      <c r="B1087" s="37" t="n"/>
      <c r="C1087" s="62" t="n"/>
      <c r="D1087" s="63" t="n"/>
      <c r="F1087" s="65" t="n"/>
      <c r="G1087" s="65" t="n"/>
      <c r="H1087" s="71" t="n"/>
      <c r="I1087" s="71" t="n"/>
      <c r="J1087" s="21" t="n"/>
    </row>
    <row r="1088">
      <c r="B1088" s="37" t="n"/>
      <c r="C1088" s="62" t="n"/>
      <c r="D1088" s="63" t="n"/>
      <c r="F1088" s="65" t="n"/>
      <c r="G1088" s="65" t="n"/>
      <c r="H1088" s="71" t="n"/>
      <c r="I1088" s="71" t="n"/>
      <c r="J1088" s="21" t="n"/>
    </row>
    <row r="1089">
      <c r="B1089" s="37" t="n"/>
      <c r="C1089" s="62" t="n"/>
      <c r="D1089" s="63" t="n"/>
      <c r="F1089" s="65" t="n"/>
      <c r="G1089" s="65" t="n"/>
      <c r="H1089" s="71" t="n"/>
      <c r="I1089" s="71" t="n"/>
      <c r="J1089" s="21" t="n"/>
    </row>
    <row r="1090">
      <c r="B1090" s="37" t="n"/>
      <c r="C1090" s="62" t="n"/>
      <c r="D1090" s="63" t="n"/>
      <c r="F1090" s="65" t="n"/>
      <c r="G1090" s="65" t="n"/>
      <c r="H1090" s="71" t="n"/>
      <c r="I1090" s="71" t="n"/>
      <c r="J1090" s="21" t="n"/>
    </row>
    <row r="1091">
      <c r="B1091" s="37" t="n"/>
      <c r="C1091" s="62" t="n"/>
      <c r="D1091" s="63" t="n"/>
      <c r="F1091" s="65" t="n"/>
      <c r="G1091" s="65" t="n"/>
      <c r="H1091" s="71" t="n"/>
      <c r="I1091" s="71" t="n"/>
      <c r="J1091" s="21" t="n"/>
    </row>
    <row r="1092">
      <c r="B1092" s="37" t="n"/>
      <c r="C1092" s="62" t="n"/>
      <c r="D1092" s="63" t="n"/>
      <c r="F1092" s="65" t="n"/>
      <c r="G1092" s="65" t="n"/>
      <c r="H1092" s="71" t="n"/>
      <c r="I1092" s="71" t="n"/>
      <c r="J1092" s="21" t="n"/>
    </row>
    <row r="1093">
      <c r="B1093" s="37" t="n"/>
      <c r="C1093" s="62" t="n"/>
      <c r="D1093" s="63" t="n"/>
      <c r="F1093" s="65" t="n"/>
      <c r="G1093" s="65" t="n"/>
      <c r="H1093" s="71" t="n"/>
      <c r="I1093" s="71" t="n"/>
      <c r="J1093" s="21" t="n"/>
    </row>
    <row r="1094">
      <c r="B1094" s="37" t="n"/>
      <c r="C1094" s="62" t="n"/>
      <c r="D1094" s="63" t="n"/>
      <c r="F1094" s="65" t="n"/>
      <c r="G1094" s="65" t="n"/>
      <c r="H1094" s="71" t="n"/>
      <c r="I1094" s="71" t="n"/>
      <c r="J1094" s="21" t="n"/>
    </row>
    <row r="1095">
      <c r="B1095" s="37" t="n"/>
      <c r="C1095" s="62" t="n"/>
      <c r="D1095" s="63" t="n"/>
      <c r="F1095" s="65" t="n"/>
      <c r="G1095" s="65" t="n"/>
      <c r="H1095" s="71" t="n"/>
      <c r="I1095" s="71" t="n"/>
      <c r="J1095" s="21" t="n"/>
    </row>
    <row r="1096">
      <c r="B1096" s="37" t="n"/>
      <c r="C1096" s="62" t="n"/>
      <c r="D1096" s="63" t="n"/>
      <c r="F1096" s="65" t="n"/>
      <c r="G1096" s="65" t="n"/>
      <c r="H1096" s="71" t="n"/>
      <c r="I1096" s="71" t="n"/>
      <c r="J1096" s="21" t="n"/>
    </row>
    <row r="1097">
      <c r="B1097" s="37" t="n"/>
      <c r="C1097" s="62" t="n"/>
      <c r="D1097" s="63" t="n"/>
      <c r="F1097" s="65" t="n"/>
      <c r="G1097" s="65" t="n"/>
      <c r="H1097" s="71" t="n"/>
      <c r="I1097" s="71" t="n"/>
      <c r="J1097" s="21" t="n"/>
    </row>
    <row r="1098">
      <c r="B1098" s="37" t="n"/>
      <c r="C1098" s="62" t="n"/>
      <c r="D1098" s="63" t="n"/>
      <c r="F1098" s="65" t="n"/>
      <c r="G1098" s="65" t="n"/>
      <c r="H1098" s="71" t="n"/>
      <c r="I1098" s="71" t="n"/>
      <c r="J1098" s="21" t="n"/>
    </row>
    <row r="1099">
      <c r="B1099" s="37" t="n"/>
      <c r="C1099" s="62" t="n"/>
      <c r="D1099" s="63" t="n"/>
      <c r="F1099" s="65" t="n"/>
      <c r="G1099" s="65" t="n"/>
      <c r="H1099" s="71" t="n"/>
      <c r="I1099" s="71" t="n"/>
      <c r="J1099" s="21" t="n"/>
    </row>
    <row r="1100">
      <c r="B1100" s="37" t="n"/>
      <c r="C1100" s="62" t="n"/>
      <c r="D1100" s="63" t="n"/>
      <c r="F1100" s="65" t="n"/>
      <c r="G1100" s="65" t="n"/>
      <c r="H1100" s="71" t="n"/>
      <c r="I1100" s="71" t="n"/>
      <c r="J1100" s="21" t="n"/>
    </row>
    <row r="1101">
      <c r="B1101" s="37" t="n"/>
      <c r="C1101" s="62" t="n"/>
      <c r="D1101" s="63" t="n"/>
      <c r="F1101" s="65" t="n"/>
      <c r="G1101" s="65" t="n"/>
      <c r="H1101" s="71" t="n"/>
      <c r="I1101" s="71" t="n"/>
      <c r="J1101" s="21" t="n"/>
    </row>
    <row r="1102">
      <c r="B1102" s="37" t="n"/>
      <c r="C1102" s="62" t="n"/>
      <c r="D1102" s="63" t="n"/>
      <c r="F1102" s="65" t="n"/>
      <c r="G1102" s="65" t="n"/>
      <c r="H1102" s="71" t="n"/>
      <c r="I1102" s="71" t="n"/>
      <c r="J1102" s="21" t="n"/>
    </row>
    <row r="1103">
      <c r="B1103" s="37" t="n"/>
      <c r="C1103" s="62" t="n"/>
      <c r="D1103" s="63" t="n"/>
      <c r="F1103" s="65" t="n"/>
      <c r="G1103" s="65" t="n"/>
      <c r="H1103" s="71" t="n"/>
      <c r="I1103" s="71" t="n"/>
      <c r="J1103" s="21" t="n"/>
    </row>
    <row r="1104">
      <c r="B1104" s="37" t="n"/>
      <c r="C1104" s="62" t="n"/>
      <c r="D1104" s="63" t="n"/>
      <c r="F1104" s="65" t="n"/>
      <c r="G1104" s="65" t="n"/>
      <c r="H1104" s="71" t="n"/>
      <c r="I1104" s="71" t="n"/>
      <c r="J1104" s="21" t="n"/>
    </row>
    <row r="1105">
      <c r="B1105" s="37" t="n"/>
      <c r="C1105" s="62" t="n"/>
      <c r="D1105" s="63" t="n"/>
      <c r="F1105" s="65" t="n"/>
      <c r="G1105" s="65" t="n"/>
      <c r="H1105" s="71" t="n"/>
      <c r="I1105" s="71" t="n"/>
      <c r="J1105" s="21" t="n"/>
    </row>
    <row r="1106">
      <c r="B1106" s="37" t="n"/>
      <c r="C1106" s="62" t="n"/>
      <c r="D1106" s="63" t="n"/>
      <c r="F1106" s="65" t="n"/>
      <c r="G1106" s="65" t="n"/>
      <c r="H1106" s="71" t="n"/>
      <c r="I1106" s="71" t="n"/>
      <c r="J1106" s="21" t="n"/>
    </row>
    <row r="1107">
      <c r="B1107" s="37" t="n"/>
      <c r="C1107" s="62" t="n"/>
      <c r="D1107" s="63" t="n"/>
      <c r="F1107" s="65" t="n"/>
      <c r="G1107" s="65" t="n"/>
      <c r="H1107" s="71" t="n"/>
      <c r="I1107" s="71" t="n"/>
      <c r="J1107" s="21" t="n"/>
    </row>
    <row r="1108">
      <c r="B1108" s="37" t="n"/>
      <c r="C1108" s="62" t="n"/>
      <c r="D1108" s="63" t="n"/>
      <c r="F1108" s="65" t="n"/>
      <c r="G1108" s="65" t="n"/>
      <c r="H1108" s="71" t="n"/>
      <c r="I1108" s="71" t="n"/>
      <c r="J1108" s="21" t="n"/>
    </row>
    <row r="1109">
      <c r="B1109" s="37" t="n"/>
      <c r="C1109" s="62" t="n"/>
      <c r="D1109" s="63" t="n"/>
      <c r="F1109" s="65" t="n"/>
      <c r="G1109" s="65" t="n"/>
      <c r="H1109" s="71" t="n"/>
      <c r="I1109" s="71" t="n"/>
      <c r="J1109" s="21" t="n"/>
    </row>
    <row r="1110">
      <c r="B1110" s="37" t="n"/>
      <c r="C1110" s="62" t="n"/>
      <c r="D1110" s="63" t="n"/>
      <c r="F1110" s="65" t="n"/>
      <c r="G1110" s="65" t="n"/>
      <c r="H1110" s="71" t="n"/>
      <c r="I1110" s="71" t="n"/>
      <c r="J1110" s="21" t="n"/>
    </row>
    <row r="1111">
      <c r="B1111" s="37" t="n"/>
      <c r="C1111" s="62" t="n"/>
      <c r="D1111" s="63" t="n"/>
      <c r="F1111" s="65" t="n"/>
      <c r="G1111" s="65" t="n"/>
      <c r="H1111" s="71" t="n"/>
      <c r="I1111" s="71" t="n"/>
      <c r="J1111" s="21" t="n"/>
    </row>
    <row r="1112">
      <c r="B1112" s="37" t="n"/>
      <c r="C1112" s="62" t="n"/>
      <c r="D1112" s="63" t="n"/>
      <c r="F1112" s="65" t="n"/>
      <c r="G1112" s="65" t="n"/>
      <c r="H1112" s="71" t="n"/>
      <c r="I1112" s="71" t="n"/>
      <c r="J1112" s="21" t="n"/>
    </row>
    <row r="1113">
      <c r="B1113" s="37" t="n"/>
      <c r="C1113" s="62" t="n"/>
      <c r="D1113" s="63" t="n"/>
      <c r="F1113" s="65" t="n"/>
      <c r="G1113" s="65" t="n"/>
      <c r="H1113" s="71" t="n"/>
      <c r="I1113" s="71" t="n"/>
      <c r="J1113" s="21" t="n"/>
    </row>
    <row r="1114">
      <c r="B1114" s="37" t="n"/>
      <c r="C1114" s="62" t="n"/>
      <c r="D1114" s="63" t="n"/>
      <c r="F1114" s="65" t="n"/>
      <c r="G1114" s="65" t="n"/>
      <c r="H1114" s="71" t="n"/>
      <c r="I1114" s="71" t="n"/>
      <c r="J1114" s="21" t="n"/>
    </row>
    <row r="1115">
      <c r="B1115" s="37" t="n"/>
      <c r="C1115" s="62" t="n"/>
      <c r="D1115" s="63" t="n"/>
      <c r="F1115" s="65" t="n"/>
      <c r="G1115" s="65" t="n"/>
      <c r="H1115" s="71" t="n"/>
      <c r="I1115" s="71" t="n"/>
      <c r="J1115" s="21" t="n"/>
    </row>
    <row r="1116">
      <c r="B1116" s="37" t="n"/>
      <c r="C1116" s="62" t="n"/>
      <c r="D1116" s="63" t="n"/>
      <c r="F1116" s="65" t="n"/>
      <c r="G1116" s="65" t="n"/>
      <c r="H1116" s="71" t="n"/>
      <c r="I1116" s="71" t="n"/>
      <c r="J1116" s="21" t="n"/>
    </row>
    <row r="1117">
      <c r="B1117" s="37" t="n"/>
      <c r="C1117" s="62" t="n"/>
      <c r="D1117" s="63" t="n"/>
      <c r="F1117" s="65" t="n"/>
      <c r="G1117" s="65" t="n"/>
      <c r="H1117" s="71" t="n"/>
      <c r="I1117" s="71" t="n"/>
      <c r="J1117" s="21" t="n"/>
    </row>
    <row r="1118">
      <c r="B1118" s="37" t="n"/>
      <c r="C1118" s="62" t="n"/>
      <c r="D1118" s="63" t="n"/>
      <c r="F1118" s="65" t="n"/>
      <c r="G1118" s="65" t="n"/>
      <c r="H1118" s="71" t="n"/>
      <c r="I1118" s="71" t="n"/>
      <c r="J1118" s="21" t="n"/>
    </row>
    <row r="1119">
      <c r="B1119" s="37" t="n"/>
      <c r="C1119" s="62" t="n"/>
      <c r="D1119" s="63" t="n"/>
      <c r="F1119" s="65" t="n"/>
      <c r="G1119" s="65" t="n"/>
      <c r="H1119" s="71" t="n"/>
      <c r="I1119" s="71" t="n"/>
      <c r="J1119" s="21" t="n"/>
    </row>
    <row r="1120">
      <c r="B1120" s="37" t="n"/>
      <c r="C1120" s="62" t="n"/>
      <c r="D1120" s="63" t="n"/>
      <c r="F1120" s="65" t="n"/>
      <c r="G1120" s="65" t="n"/>
      <c r="H1120" s="71" t="n"/>
      <c r="I1120" s="71" t="n"/>
      <c r="J1120" s="21" t="n"/>
    </row>
    <row r="1121">
      <c r="B1121" s="37" t="n"/>
      <c r="C1121" s="62" t="n"/>
      <c r="D1121" s="63" t="n"/>
      <c r="F1121" s="65" t="n"/>
      <c r="G1121" s="65" t="n"/>
      <c r="H1121" s="71" t="n"/>
      <c r="I1121" s="71" t="n"/>
      <c r="J1121" s="21" t="n"/>
    </row>
    <row r="1122">
      <c r="B1122" s="37" t="n"/>
      <c r="C1122" s="62" t="n"/>
      <c r="D1122" s="63" t="n"/>
      <c r="F1122" s="65" t="n"/>
      <c r="G1122" s="65" t="n"/>
      <c r="H1122" s="71" t="n"/>
      <c r="I1122" s="71" t="n"/>
      <c r="J1122" s="21" t="n"/>
    </row>
    <row r="1123">
      <c r="B1123" s="37" t="n"/>
      <c r="C1123" s="62" t="n"/>
      <c r="D1123" s="63" t="n"/>
      <c r="F1123" s="65" t="n"/>
      <c r="G1123" s="65" t="n"/>
      <c r="H1123" s="71" t="n"/>
      <c r="I1123" s="71" t="n"/>
      <c r="J1123" s="21" t="n"/>
    </row>
    <row r="1124">
      <c r="B1124" s="37" t="n"/>
      <c r="C1124" s="62" t="n"/>
      <c r="D1124" s="63" t="n"/>
      <c r="F1124" s="65" t="n"/>
      <c r="G1124" s="65" t="n"/>
      <c r="H1124" s="71" t="n"/>
      <c r="I1124" s="71" t="n"/>
      <c r="J1124" s="21" t="n"/>
    </row>
    <row r="1125">
      <c r="B1125" s="37" t="n"/>
      <c r="C1125" s="62" t="n"/>
      <c r="D1125" s="63" t="n"/>
      <c r="F1125" s="65" t="n"/>
      <c r="G1125" s="65" t="n"/>
      <c r="H1125" s="71" t="n"/>
      <c r="I1125" s="71" t="n"/>
      <c r="J1125" s="21" t="n"/>
    </row>
    <row r="1126">
      <c r="B1126" s="37" t="n"/>
      <c r="C1126" s="62" t="n"/>
      <c r="D1126" s="63" t="n"/>
      <c r="F1126" s="65" t="n"/>
      <c r="G1126" s="65" t="n"/>
      <c r="H1126" s="71" t="n"/>
      <c r="I1126" s="71" t="n"/>
      <c r="J1126" s="21" t="n"/>
    </row>
    <row r="1127">
      <c r="B1127" s="37" t="n"/>
      <c r="C1127" s="62" t="n"/>
      <c r="D1127" s="63" t="n"/>
      <c r="F1127" s="65" t="n"/>
      <c r="G1127" s="65" t="n"/>
      <c r="H1127" s="71" t="n"/>
      <c r="I1127" s="71" t="n"/>
      <c r="J1127" s="21" t="n"/>
    </row>
    <row r="1128">
      <c r="B1128" s="37" t="n"/>
      <c r="C1128" s="62" t="n"/>
      <c r="D1128" s="63" t="n"/>
      <c r="F1128" s="65" t="n"/>
      <c r="G1128" s="65" t="n"/>
      <c r="H1128" s="71" t="n"/>
      <c r="I1128" s="71" t="n"/>
      <c r="J1128" s="21" t="n"/>
    </row>
    <row r="1129">
      <c r="B1129" s="37" t="n"/>
      <c r="C1129" s="62" t="n"/>
      <c r="D1129" s="63" t="n"/>
      <c r="F1129" s="65" t="n"/>
      <c r="G1129" s="65" t="n"/>
      <c r="H1129" s="71" t="n"/>
      <c r="I1129" s="71" t="n"/>
      <c r="J1129" s="21" t="n"/>
    </row>
    <row r="1130">
      <c r="B1130" s="37" t="n"/>
      <c r="C1130" s="62" t="n"/>
      <c r="D1130" s="63" t="n"/>
      <c r="F1130" s="65" t="n"/>
      <c r="G1130" s="65" t="n"/>
      <c r="H1130" s="71" t="n"/>
      <c r="I1130" s="71" t="n"/>
      <c r="J1130" s="21" t="n"/>
    </row>
    <row r="1131">
      <c r="B1131" s="37" t="n"/>
      <c r="C1131" s="62" t="n"/>
      <c r="D1131" s="63" t="n"/>
      <c r="F1131" s="65" t="n"/>
      <c r="G1131" s="65" t="n"/>
      <c r="H1131" s="71" t="n"/>
      <c r="I1131" s="71" t="n"/>
      <c r="J1131" s="21" t="n"/>
    </row>
    <row r="1132">
      <c r="B1132" s="37" t="n"/>
      <c r="C1132" s="62" t="n"/>
      <c r="D1132" s="63" t="n"/>
      <c r="F1132" s="65" t="n"/>
      <c r="G1132" s="65" t="n"/>
      <c r="H1132" s="71" t="n"/>
      <c r="I1132" s="71" t="n"/>
      <c r="J1132" s="21" t="n"/>
    </row>
    <row r="1133">
      <c r="B1133" s="37" t="n"/>
      <c r="C1133" s="62" t="n"/>
      <c r="D1133" s="63" t="n"/>
      <c r="F1133" s="65" t="n"/>
      <c r="G1133" s="65" t="n"/>
      <c r="H1133" s="71" t="n"/>
      <c r="I1133" s="71" t="n"/>
      <c r="J1133" s="21" t="n"/>
    </row>
    <row r="1134">
      <c r="B1134" s="37" t="n"/>
      <c r="C1134" s="62" t="n"/>
      <c r="D1134" s="63" t="n"/>
      <c r="F1134" s="65" t="n"/>
      <c r="G1134" s="65" t="n"/>
      <c r="H1134" s="71" t="n"/>
      <c r="I1134" s="71" t="n"/>
      <c r="J1134" s="21" t="n"/>
    </row>
    <row r="1135">
      <c r="B1135" s="37" t="n"/>
      <c r="C1135" s="62" t="n"/>
      <c r="D1135" s="63" t="n"/>
      <c r="F1135" s="65" t="n"/>
      <c r="G1135" s="65" t="n"/>
      <c r="H1135" s="71" t="n"/>
      <c r="I1135" s="71" t="n"/>
      <c r="J1135" s="21" t="n"/>
    </row>
    <row r="1136">
      <c r="B1136" s="37" t="n"/>
      <c r="C1136" s="62" t="n"/>
      <c r="D1136" s="63" t="n"/>
      <c r="F1136" s="65" t="n"/>
      <c r="G1136" s="65" t="n"/>
      <c r="H1136" s="71" t="n"/>
      <c r="I1136" s="71" t="n"/>
      <c r="J1136" s="21" t="n"/>
    </row>
    <row r="1137">
      <c r="B1137" s="37" t="n"/>
      <c r="C1137" s="62" t="n"/>
      <c r="D1137" s="63" t="n"/>
      <c r="F1137" s="65" t="n"/>
      <c r="G1137" s="65" t="n"/>
      <c r="H1137" s="71" t="n"/>
      <c r="I1137" s="71" t="n"/>
      <c r="J1137" s="21" t="n"/>
    </row>
    <row r="1138">
      <c r="B1138" s="37" t="n"/>
      <c r="C1138" s="62" t="n"/>
      <c r="D1138" s="63" t="n"/>
      <c r="F1138" s="65" t="n"/>
      <c r="G1138" s="65" t="n"/>
      <c r="H1138" s="71" t="n"/>
      <c r="I1138" s="71" t="n"/>
      <c r="J1138" s="21" t="n"/>
    </row>
    <row r="1139">
      <c r="B1139" s="37" t="n"/>
      <c r="C1139" s="62" t="n"/>
      <c r="D1139" s="63" t="n"/>
      <c r="F1139" s="65" t="n"/>
      <c r="G1139" s="65" t="n"/>
      <c r="H1139" s="71" t="n"/>
      <c r="I1139" s="71" t="n"/>
      <c r="J1139" s="21" t="n"/>
    </row>
    <row r="1140">
      <c r="B1140" s="37" t="n"/>
      <c r="C1140" s="62" t="n"/>
      <c r="D1140" s="63" t="n"/>
      <c r="F1140" s="65" t="n"/>
      <c r="G1140" s="65" t="n"/>
      <c r="H1140" s="71" t="n"/>
      <c r="I1140" s="71" t="n"/>
      <c r="J1140" s="21" t="n"/>
    </row>
    <row r="1141">
      <c r="B1141" s="37" t="n"/>
      <c r="C1141" s="62" t="n"/>
      <c r="D1141" s="63" t="n"/>
      <c r="F1141" s="65" t="n"/>
      <c r="G1141" s="65" t="n"/>
      <c r="H1141" s="71" t="n"/>
      <c r="I1141" s="71" t="n"/>
      <c r="J1141" s="21" t="n"/>
    </row>
    <row r="1142">
      <c r="B1142" s="37" t="n"/>
      <c r="C1142" s="62" t="n"/>
      <c r="D1142" s="63" t="n"/>
      <c r="F1142" s="65" t="n"/>
      <c r="G1142" s="65" t="n"/>
      <c r="H1142" s="71" t="n"/>
      <c r="I1142" s="71" t="n"/>
      <c r="J1142" s="21" t="n"/>
    </row>
    <row r="1143">
      <c r="B1143" s="37" t="n"/>
      <c r="C1143" s="62" t="n"/>
      <c r="D1143" s="63" t="n"/>
      <c r="F1143" s="65" t="n"/>
      <c r="G1143" s="65" t="n"/>
      <c r="H1143" s="71" t="n"/>
      <c r="I1143" s="71" t="n"/>
      <c r="J1143" s="21" t="n"/>
    </row>
    <row r="1144">
      <c r="B1144" s="37" t="n"/>
      <c r="C1144" s="62" t="n"/>
      <c r="D1144" s="63" t="n"/>
      <c r="F1144" s="65" t="n"/>
      <c r="G1144" s="65" t="n"/>
      <c r="H1144" s="71" t="n"/>
      <c r="I1144" s="71" t="n"/>
      <c r="J1144" s="21" t="n"/>
    </row>
    <row r="1145">
      <c r="B1145" s="37" t="n"/>
      <c r="C1145" s="62" t="n"/>
      <c r="D1145" s="63" t="n"/>
      <c r="F1145" s="65" t="n"/>
      <c r="G1145" s="65" t="n"/>
      <c r="H1145" s="71" t="n"/>
      <c r="I1145" s="71" t="n"/>
      <c r="J1145" s="21" t="n"/>
    </row>
    <row r="1146">
      <c r="B1146" s="37" t="n"/>
      <c r="C1146" s="62" t="n"/>
      <c r="D1146" s="63" t="n"/>
      <c r="F1146" s="65" t="n"/>
      <c r="G1146" s="65" t="n"/>
      <c r="H1146" s="71" t="n"/>
      <c r="I1146" s="71" t="n"/>
      <c r="J1146" s="21" t="n"/>
    </row>
    <row r="1147">
      <c r="B1147" s="37" t="n"/>
      <c r="C1147" s="62" t="n"/>
      <c r="D1147" s="63" t="n"/>
      <c r="F1147" s="65" t="n"/>
      <c r="G1147" s="65" t="n"/>
      <c r="H1147" s="71" t="n"/>
      <c r="I1147" s="71" t="n"/>
      <c r="J1147" s="21" t="n"/>
    </row>
    <row r="1148">
      <c r="B1148" s="37" t="n"/>
      <c r="C1148" s="62" t="n"/>
      <c r="D1148" s="63" t="n"/>
      <c r="F1148" s="65" t="n"/>
      <c r="G1148" s="65" t="n"/>
      <c r="H1148" s="71" t="n"/>
      <c r="I1148" s="71" t="n"/>
      <c r="J1148" s="21" t="n"/>
    </row>
    <row r="1149">
      <c r="B1149" s="37" t="n"/>
      <c r="C1149" s="62" t="n"/>
      <c r="D1149" s="63" t="n"/>
      <c r="F1149" s="65" t="n"/>
      <c r="G1149" s="65" t="n"/>
      <c r="H1149" s="71" t="n"/>
      <c r="I1149" s="71" t="n"/>
      <c r="J1149" s="21" t="n"/>
    </row>
    <row r="1150">
      <c r="B1150" s="37" t="n"/>
      <c r="C1150" s="62" t="n"/>
      <c r="D1150" s="63" t="n"/>
      <c r="F1150" s="65" t="n"/>
      <c r="G1150" s="65" t="n"/>
      <c r="H1150" s="71" t="n"/>
      <c r="I1150" s="71" t="n"/>
      <c r="J1150" s="21" t="n"/>
    </row>
    <row r="1151">
      <c r="B1151" s="37" t="n"/>
      <c r="C1151" s="62" t="n"/>
      <c r="D1151" s="63" t="n"/>
      <c r="F1151" s="65" t="n"/>
      <c r="G1151" s="65" t="n"/>
      <c r="H1151" s="71" t="n"/>
      <c r="I1151" s="71" t="n"/>
      <c r="J1151" s="21" t="n"/>
    </row>
    <row r="1152">
      <c r="B1152" s="37" t="n"/>
      <c r="C1152" s="62" t="n"/>
      <c r="D1152" s="63" t="n"/>
      <c r="F1152" s="65" t="n"/>
      <c r="G1152" s="65" t="n"/>
      <c r="H1152" s="71" t="n"/>
      <c r="I1152" s="71" t="n"/>
      <c r="J1152" s="21" t="n"/>
    </row>
    <row r="1153">
      <c r="B1153" s="37" t="n"/>
      <c r="C1153" s="62" t="n"/>
      <c r="D1153" s="63" t="n"/>
      <c r="F1153" s="65" t="n"/>
      <c r="G1153" s="65" t="n"/>
      <c r="H1153" s="71" t="n"/>
      <c r="I1153" s="71" t="n"/>
      <c r="J1153" s="21" t="n"/>
    </row>
    <row r="1154">
      <c r="B1154" s="37" t="n"/>
      <c r="C1154" s="62" t="n"/>
      <c r="D1154" s="63" t="n"/>
      <c r="F1154" s="65" t="n"/>
      <c r="G1154" s="65" t="n"/>
      <c r="H1154" s="71" t="n"/>
      <c r="I1154" s="71" t="n"/>
      <c r="J1154" s="21" t="n"/>
    </row>
    <row r="1155">
      <c r="B1155" s="37" t="n"/>
      <c r="C1155" s="62" t="n"/>
      <c r="D1155" s="63" t="n"/>
      <c r="F1155" s="65" t="n"/>
      <c r="G1155" s="65" t="n"/>
      <c r="H1155" s="71" t="n"/>
      <c r="I1155" s="71" t="n"/>
      <c r="J1155" s="21" t="n"/>
    </row>
    <row r="1156">
      <c r="B1156" s="37" t="n"/>
      <c r="C1156" s="62" t="n"/>
      <c r="D1156" s="63" t="n"/>
      <c r="F1156" s="65" t="n"/>
      <c r="G1156" s="65" t="n"/>
      <c r="H1156" s="71" t="n"/>
      <c r="I1156" s="71" t="n"/>
      <c r="J1156" s="21" t="n"/>
    </row>
    <row r="1157">
      <c r="B1157" s="37" t="n"/>
      <c r="C1157" s="62" t="n"/>
      <c r="D1157" s="63" t="n"/>
      <c r="F1157" s="65" t="n"/>
      <c r="G1157" s="65" t="n"/>
      <c r="H1157" s="71" t="n"/>
      <c r="I1157" s="71" t="n"/>
      <c r="J1157" s="21" t="n"/>
    </row>
    <row r="1158">
      <c r="B1158" s="37" t="n"/>
      <c r="C1158" s="62" t="n"/>
      <c r="D1158" s="63" t="n"/>
      <c r="F1158" s="65" t="n"/>
      <c r="G1158" s="65" t="n"/>
      <c r="H1158" s="71" t="n"/>
      <c r="I1158" s="71" t="n"/>
      <c r="J1158" s="21" t="n"/>
    </row>
    <row r="1159">
      <c r="B1159" s="37" t="n"/>
      <c r="C1159" s="62" t="n"/>
      <c r="D1159" s="63" t="n"/>
      <c r="F1159" s="65" t="n"/>
      <c r="G1159" s="65" t="n"/>
      <c r="H1159" s="71" t="n"/>
      <c r="I1159" s="71" t="n"/>
      <c r="J1159" s="21" t="n"/>
    </row>
    <row r="1160">
      <c r="B1160" s="37" t="n"/>
      <c r="C1160" s="62" t="n"/>
      <c r="D1160" s="63" t="n"/>
      <c r="F1160" s="65" t="n"/>
      <c r="G1160" s="65" t="n"/>
      <c r="H1160" s="71" t="n"/>
      <c r="I1160" s="71" t="n"/>
      <c r="J1160" s="21" t="n"/>
    </row>
    <row r="1161">
      <c r="B1161" s="37" t="n"/>
      <c r="C1161" s="62" t="n"/>
      <c r="D1161" s="63" t="n"/>
      <c r="F1161" s="65" t="n"/>
      <c r="G1161" s="65" t="n"/>
      <c r="H1161" s="71" t="n"/>
      <c r="I1161" s="71" t="n"/>
      <c r="J1161" s="21" t="n"/>
    </row>
    <row r="1162">
      <c r="B1162" s="37" t="n"/>
      <c r="C1162" s="62" t="n"/>
      <c r="D1162" s="63" t="n"/>
      <c r="F1162" s="65" t="n"/>
      <c r="G1162" s="65" t="n"/>
      <c r="H1162" s="71" t="n"/>
      <c r="I1162" s="71" t="n"/>
      <c r="J1162" s="21" t="n"/>
    </row>
    <row r="1163">
      <c r="B1163" s="37" t="n"/>
      <c r="C1163" s="62" t="n"/>
      <c r="D1163" s="63" t="n"/>
      <c r="F1163" s="65" t="n"/>
      <c r="G1163" s="65" t="n"/>
      <c r="H1163" s="71" t="n"/>
      <c r="I1163" s="71" t="n"/>
      <c r="J1163" s="21" t="n"/>
    </row>
    <row r="1164">
      <c r="B1164" s="37" t="n"/>
      <c r="C1164" s="62" t="n"/>
      <c r="D1164" s="63" t="n"/>
      <c r="F1164" s="65" t="n"/>
      <c r="G1164" s="65" t="n"/>
      <c r="H1164" s="71" t="n"/>
      <c r="I1164" s="71" t="n"/>
      <c r="J1164" s="21" t="n"/>
    </row>
    <row r="1165">
      <c r="B1165" s="37" t="n"/>
      <c r="C1165" s="62" t="n"/>
      <c r="D1165" s="63" t="n"/>
      <c r="F1165" s="65" t="n"/>
      <c r="G1165" s="65" t="n"/>
      <c r="H1165" s="71" t="n"/>
      <c r="I1165" s="71" t="n"/>
      <c r="J1165" s="21" t="n"/>
    </row>
    <row r="1166">
      <c r="B1166" s="37" t="n"/>
      <c r="C1166" s="62" t="n"/>
      <c r="D1166" s="63" t="n"/>
      <c r="F1166" s="65" t="n"/>
      <c r="G1166" s="65" t="n"/>
      <c r="H1166" s="71" t="n"/>
      <c r="I1166" s="71" t="n"/>
      <c r="J1166" s="21" t="n"/>
    </row>
    <row r="1167">
      <c r="B1167" s="37" t="n"/>
      <c r="C1167" s="62" t="n"/>
      <c r="D1167" s="63" t="n"/>
      <c r="F1167" s="65" t="n"/>
      <c r="G1167" s="65" t="n"/>
      <c r="H1167" s="71" t="n"/>
      <c r="I1167" s="71" t="n"/>
      <c r="J1167" s="21" t="n"/>
    </row>
    <row r="1168">
      <c r="B1168" s="37" t="n"/>
      <c r="C1168" s="62" t="n"/>
      <c r="D1168" s="63" t="n"/>
      <c r="F1168" s="65" t="n"/>
      <c r="G1168" s="65" t="n"/>
      <c r="H1168" s="71" t="n"/>
      <c r="I1168" s="71" t="n"/>
      <c r="J1168" s="21" t="n"/>
    </row>
    <row r="1169">
      <c r="B1169" s="37" t="n"/>
      <c r="C1169" s="62" t="n"/>
      <c r="D1169" s="63" t="n"/>
      <c r="F1169" s="65" t="n"/>
      <c r="G1169" s="65" t="n"/>
      <c r="H1169" s="71" t="n"/>
      <c r="I1169" s="71" t="n"/>
      <c r="J1169" s="21" t="n"/>
    </row>
    <row r="1170">
      <c r="B1170" s="37" t="n"/>
      <c r="C1170" s="62" t="n"/>
      <c r="D1170" s="63" t="n"/>
      <c r="F1170" s="65" t="n"/>
      <c r="G1170" s="65" t="n"/>
      <c r="H1170" s="71" t="n"/>
      <c r="I1170" s="71" t="n"/>
      <c r="J1170" s="21" t="n"/>
    </row>
    <row r="1171">
      <c r="B1171" s="37" t="n"/>
      <c r="C1171" s="62" t="n"/>
      <c r="D1171" s="63" t="n"/>
      <c r="F1171" s="65" t="n"/>
      <c r="G1171" s="65" t="n"/>
      <c r="H1171" s="71" t="n"/>
      <c r="I1171" s="71" t="n"/>
      <c r="J1171" s="21" t="n"/>
    </row>
    <row r="1172">
      <c r="B1172" s="37" t="n"/>
      <c r="C1172" s="62" t="n"/>
      <c r="D1172" s="63" t="n"/>
      <c r="F1172" s="65" t="n"/>
      <c r="G1172" s="65" t="n"/>
      <c r="H1172" s="71" t="n"/>
      <c r="I1172" s="71" t="n"/>
      <c r="J1172" s="21" t="n"/>
    </row>
    <row r="1173">
      <c r="B1173" s="37" t="n"/>
      <c r="C1173" s="62" t="n"/>
      <c r="D1173" s="63" t="n"/>
      <c r="F1173" s="65" t="n"/>
      <c r="G1173" s="65" t="n"/>
      <c r="H1173" s="71" t="n"/>
      <c r="I1173" s="71" t="n"/>
      <c r="J1173" s="21" t="n"/>
    </row>
    <row r="1174">
      <c r="B1174" s="37" t="n"/>
      <c r="C1174" s="62" t="n"/>
      <c r="D1174" s="63" t="n"/>
      <c r="F1174" s="65" t="n"/>
      <c r="G1174" s="65" t="n"/>
      <c r="H1174" s="71" t="n"/>
      <c r="I1174" s="71" t="n"/>
      <c r="J1174" s="21" t="n"/>
    </row>
    <row r="1175">
      <c r="B1175" s="37" t="n"/>
      <c r="C1175" s="62" t="n"/>
      <c r="D1175" s="63" t="n"/>
      <c r="F1175" s="65" t="n"/>
      <c r="G1175" s="65" t="n"/>
      <c r="H1175" s="71" t="n"/>
      <c r="I1175" s="71" t="n"/>
      <c r="J1175" s="21" t="n"/>
    </row>
    <row r="1176">
      <c r="B1176" s="37" t="n"/>
      <c r="C1176" s="62" t="n"/>
      <c r="D1176" s="63" t="n"/>
      <c r="F1176" s="65" t="n"/>
      <c r="G1176" s="65" t="n"/>
      <c r="H1176" s="71" t="n"/>
      <c r="I1176" s="71" t="n"/>
      <c r="J1176" s="21" t="n"/>
    </row>
    <row r="1177">
      <c r="B1177" s="37" t="n"/>
      <c r="C1177" s="62" t="n"/>
      <c r="D1177" s="63" t="n"/>
      <c r="F1177" s="65" t="n"/>
      <c r="G1177" s="65" t="n"/>
      <c r="H1177" s="71" t="n"/>
      <c r="I1177" s="71" t="n"/>
      <c r="J1177" s="21" t="n"/>
    </row>
    <row r="1178">
      <c r="B1178" s="37" t="n"/>
      <c r="C1178" s="62" t="n"/>
      <c r="D1178" s="63" t="n"/>
      <c r="F1178" s="65" t="n"/>
      <c r="G1178" s="65" t="n"/>
      <c r="H1178" s="71" t="n"/>
      <c r="I1178" s="71" t="n"/>
      <c r="J1178" s="21" t="n"/>
    </row>
    <row r="1179">
      <c r="B1179" s="37" t="n"/>
      <c r="C1179" s="62" t="n"/>
      <c r="D1179" s="63" t="n"/>
      <c r="F1179" s="65" t="n"/>
      <c r="G1179" s="65" t="n"/>
      <c r="H1179" s="71" t="n"/>
      <c r="I1179" s="71" t="n"/>
      <c r="J1179" s="21" t="n"/>
    </row>
    <row r="1180">
      <c r="B1180" s="37" t="n"/>
      <c r="C1180" s="62" t="n"/>
      <c r="D1180" s="63" t="n"/>
      <c r="F1180" s="65" t="n"/>
      <c r="G1180" s="65" t="n"/>
      <c r="H1180" s="71" t="n"/>
      <c r="I1180" s="71" t="n"/>
      <c r="J1180" s="21" t="n"/>
    </row>
    <row r="1181">
      <c r="B1181" s="37" t="n"/>
      <c r="C1181" s="62" t="n"/>
      <c r="D1181" s="63" t="n"/>
      <c r="F1181" s="65" t="n"/>
      <c r="G1181" s="65" t="n"/>
      <c r="H1181" s="71" t="n"/>
      <c r="I1181" s="71" t="n"/>
      <c r="J1181" s="21" t="n"/>
    </row>
    <row r="1182">
      <c r="B1182" s="37" t="n"/>
      <c r="C1182" s="62" t="n"/>
      <c r="D1182" s="63" t="n"/>
      <c r="F1182" s="65" t="n"/>
      <c r="G1182" s="65" t="n"/>
      <c r="H1182" s="71" t="n"/>
      <c r="I1182" s="71" t="n"/>
      <c r="J1182" s="21" t="n"/>
    </row>
    <row r="1183">
      <c r="B1183" s="37" t="n"/>
      <c r="C1183" s="62" t="n"/>
      <c r="D1183" s="63" t="n"/>
      <c r="F1183" s="65" t="n"/>
      <c r="G1183" s="65" t="n"/>
      <c r="H1183" s="71" t="n"/>
      <c r="I1183" s="71" t="n"/>
      <c r="J1183" s="21" t="n"/>
    </row>
    <row r="1184">
      <c r="B1184" s="37" t="n"/>
      <c r="C1184" s="62" t="n"/>
      <c r="D1184" s="63" t="n"/>
      <c r="F1184" s="65" t="n"/>
      <c r="G1184" s="65" t="n"/>
      <c r="H1184" s="71" t="n"/>
      <c r="I1184" s="71" t="n"/>
      <c r="J1184" s="21" t="n"/>
    </row>
    <row r="1185">
      <c r="B1185" s="37" t="n"/>
      <c r="C1185" s="62" t="n"/>
      <c r="D1185" s="63" t="n"/>
      <c r="F1185" s="65" t="n"/>
      <c r="G1185" s="65" t="n"/>
      <c r="H1185" s="71" t="n"/>
      <c r="I1185" s="71" t="n"/>
      <c r="J1185" s="21" t="n"/>
    </row>
    <row r="1186">
      <c r="B1186" s="37" t="n"/>
      <c r="C1186" s="62" t="n"/>
      <c r="D1186" s="63" t="n"/>
      <c r="F1186" s="65" t="n"/>
      <c r="G1186" s="65" t="n"/>
      <c r="H1186" s="71" t="n"/>
      <c r="I1186" s="71" t="n"/>
      <c r="J1186" s="21" t="n"/>
    </row>
    <row r="1187">
      <c r="B1187" s="37" t="n"/>
      <c r="C1187" s="62" t="n"/>
      <c r="D1187" s="63" t="n"/>
      <c r="F1187" s="65" t="n"/>
      <c r="G1187" s="65" t="n"/>
      <c r="H1187" s="71" t="n"/>
      <c r="I1187" s="71" t="n"/>
      <c r="J1187" s="21" t="n"/>
    </row>
    <row r="1188">
      <c r="B1188" s="37" t="n"/>
      <c r="C1188" s="62" t="n"/>
      <c r="D1188" s="63" t="n"/>
      <c r="F1188" s="65" t="n"/>
      <c r="G1188" s="65" t="n"/>
      <c r="H1188" s="71" t="n"/>
      <c r="I1188" s="71" t="n"/>
      <c r="J1188" s="21" t="n"/>
    </row>
    <row r="1189">
      <c r="B1189" s="37" t="n"/>
      <c r="C1189" s="62" t="n"/>
      <c r="D1189" s="63" t="n"/>
      <c r="F1189" s="65" t="n"/>
      <c r="G1189" s="65" t="n"/>
      <c r="H1189" s="71" t="n"/>
      <c r="I1189" s="71" t="n"/>
      <c r="J1189" s="21" t="n"/>
    </row>
    <row r="1190">
      <c r="B1190" s="37" t="n"/>
      <c r="C1190" s="62" t="n"/>
      <c r="D1190" s="63" t="n"/>
      <c r="F1190" s="65" t="n"/>
      <c r="G1190" s="65" t="n"/>
      <c r="H1190" s="71" t="n"/>
      <c r="I1190" s="71" t="n"/>
      <c r="J1190" s="21" t="n"/>
    </row>
    <row r="1191">
      <c r="B1191" s="37" t="n"/>
      <c r="C1191" s="62" t="n"/>
      <c r="D1191" s="63" t="n"/>
      <c r="F1191" s="65" t="n"/>
      <c r="G1191" s="65" t="n"/>
      <c r="H1191" s="71" t="n"/>
      <c r="I1191" s="71" t="n"/>
      <c r="J1191" s="21" t="n"/>
    </row>
    <row r="1192">
      <c r="B1192" s="37" t="n"/>
      <c r="C1192" s="62" t="n"/>
      <c r="D1192" s="63" t="n"/>
      <c r="F1192" s="65" t="n"/>
      <c r="G1192" s="65" t="n"/>
      <c r="H1192" s="71" t="n"/>
      <c r="I1192" s="71" t="n"/>
      <c r="J1192" s="21" t="n"/>
    </row>
    <row r="1193">
      <c r="B1193" s="37" t="n"/>
      <c r="C1193" s="62" t="n"/>
      <c r="D1193" s="63" t="n"/>
      <c r="F1193" s="65" t="n"/>
      <c r="G1193" s="65" t="n"/>
      <c r="H1193" s="71" t="n"/>
      <c r="I1193" s="71" t="n"/>
      <c r="J1193" s="21" t="n"/>
    </row>
    <row r="1194">
      <c r="B1194" s="37" t="n"/>
      <c r="C1194" s="62" t="n"/>
      <c r="D1194" s="63" t="n"/>
      <c r="F1194" s="65" t="n"/>
      <c r="G1194" s="65" t="n"/>
      <c r="H1194" s="71" t="n"/>
      <c r="I1194" s="71" t="n"/>
      <c r="J1194" s="21" t="n"/>
    </row>
    <row r="1195">
      <c r="B1195" s="37" t="n"/>
      <c r="C1195" s="62" t="n"/>
      <c r="D1195" s="63" t="n"/>
      <c r="F1195" s="65" t="n"/>
      <c r="G1195" s="65" t="n"/>
      <c r="H1195" s="71" t="n"/>
      <c r="I1195" s="71" t="n"/>
      <c r="J1195" s="21" t="n"/>
    </row>
    <row r="1196">
      <c r="B1196" s="37" t="n"/>
      <c r="C1196" s="62" t="n"/>
      <c r="D1196" s="63" t="n"/>
      <c r="F1196" s="65" t="n"/>
      <c r="G1196" s="65" t="n"/>
      <c r="H1196" s="71" t="n"/>
      <c r="I1196" s="71" t="n"/>
      <c r="J1196" s="21" t="n"/>
    </row>
    <row r="1197">
      <c r="B1197" s="37" t="n"/>
      <c r="C1197" s="62" t="n"/>
      <c r="D1197" s="63" t="n"/>
      <c r="F1197" s="65" t="n"/>
      <c r="G1197" s="65" t="n"/>
      <c r="H1197" s="71" t="n"/>
      <c r="I1197" s="71" t="n"/>
      <c r="J1197" s="21" t="n"/>
    </row>
    <row r="1198">
      <c r="B1198" s="37" t="n"/>
      <c r="C1198" s="62" t="n"/>
      <c r="D1198" s="63" t="n"/>
      <c r="F1198" s="65" t="n"/>
      <c r="G1198" s="65" t="n"/>
      <c r="H1198" s="71" t="n"/>
      <c r="I1198" s="71" t="n"/>
      <c r="J1198" s="21" t="n"/>
    </row>
    <row r="1199">
      <c r="B1199" s="37" t="n"/>
      <c r="C1199" s="62" t="n"/>
      <c r="D1199" s="63" t="n"/>
      <c r="F1199" s="65" t="n"/>
      <c r="G1199" s="65" t="n"/>
      <c r="H1199" s="71" t="n"/>
      <c r="I1199" s="71" t="n"/>
      <c r="J1199" s="21" t="n"/>
    </row>
    <row r="1200">
      <c r="B1200" s="37" t="n"/>
      <c r="C1200" s="62" t="n"/>
      <c r="D1200" s="63" t="n"/>
      <c r="F1200" s="65" t="n"/>
      <c r="G1200" s="65" t="n"/>
      <c r="H1200" s="71" t="n"/>
      <c r="I1200" s="71" t="n"/>
      <c r="J1200" s="21" t="n"/>
    </row>
    <row r="1201">
      <c r="B1201" s="37" t="n"/>
      <c r="C1201" s="62" t="n"/>
      <c r="D1201" s="63" t="n"/>
      <c r="F1201" s="65" t="n"/>
      <c r="G1201" s="65" t="n"/>
      <c r="H1201" s="71" t="n"/>
      <c r="I1201" s="71" t="n"/>
      <c r="J1201" s="21" t="n"/>
    </row>
    <row r="1202">
      <c r="B1202" s="37" t="n"/>
      <c r="C1202" s="62" t="n"/>
      <c r="D1202" s="63" t="n"/>
      <c r="F1202" s="65" t="n"/>
      <c r="G1202" s="65" t="n"/>
      <c r="H1202" s="71" t="n"/>
      <c r="I1202" s="71" t="n"/>
      <c r="J1202" s="21" t="n"/>
    </row>
    <row r="1203">
      <c r="B1203" s="37" t="n"/>
      <c r="C1203" s="62" t="n"/>
      <c r="D1203" s="63" t="n"/>
      <c r="F1203" s="65" t="n"/>
      <c r="G1203" s="65" t="n"/>
      <c r="H1203" s="71" t="n"/>
      <c r="I1203" s="71" t="n"/>
      <c r="J1203" s="21" t="n"/>
    </row>
    <row r="1204">
      <c r="B1204" s="37" t="n"/>
      <c r="C1204" s="62" t="n"/>
      <c r="D1204" s="63" t="n"/>
      <c r="F1204" s="65" t="n"/>
      <c r="G1204" s="65" t="n"/>
      <c r="H1204" s="71" t="n"/>
      <c r="I1204" s="71" t="n"/>
      <c r="J1204" s="21" t="n"/>
    </row>
    <row r="1205">
      <c r="B1205" s="37" t="n"/>
      <c r="C1205" s="62" t="n"/>
      <c r="D1205" s="63" t="n"/>
      <c r="F1205" s="65" t="n"/>
      <c r="G1205" s="65" t="n"/>
      <c r="H1205" s="71" t="n"/>
      <c r="I1205" s="71" t="n"/>
      <c r="J1205" s="21" t="n"/>
    </row>
    <row r="1206">
      <c r="B1206" s="37" t="n"/>
      <c r="C1206" s="62" t="n"/>
      <c r="D1206" s="63" t="n"/>
      <c r="F1206" s="65" t="n"/>
      <c r="G1206" s="65" t="n"/>
      <c r="H1206" s="71" t="n"/>
      <c r="I1206" s="71" t="n"/>
      <c r="J1206" s="21" t="n"/>
    </row>
    <row r="1207">
      <c r="B1207" s="37" t="n"/>
      <c r="C1207" s="62" t="n"/>
      <c r="D1207" s="63" t="n"/>
      <c r="F1207" s="65" t="n"/>
      <c r="G1207" s="65" t="n"/>
      <c r="H1207" s="71" t="n"/>
      <c r="I1207" s="71" t="n"/>
      <c r="J1207" s="21" t="n"/>
    </row>
    <row r="1208">
      <c r="B1208" s="37" t="n"/>
      <c r="C1208" s="62" t="n"/>
      <c r="D1208" s="63" t="n"/>
      <c r="F1208" s="65" t="n"/>
      <c r="G1208" s="65" t="n"/>
      <c r="H1208" s="71" t="n"/>
      <c r="I1208" s="71" t="n"/>
      <c r="J1208" s="21" t="n"/>
    </row>
    <row r="1209">
      <c r="B1209" s="37" t="n"/>
      <c r="C1209" s="62" t="n"/>
      <c r="D1209" s="63" t="n"/>
      <c r="F1209" s="65" t="n"/>
      <c r="G1209" s="65" t="n"/>
      <c r="H1209" s="71" t="n"/>
      <c r="I1209" s="71" t="n"/>
      <c r="J1209" s="21" t="n"/>
    </row>
    <row r="1210">
      <c r="B1210" s="37" t="n"/>
      <c r="C1210" s="62" t="n"/>
      <c r="D1210" s="63" t="n"/>
      <c r="F1210" s="65" t="n"/>
      <c r="G1210" s="65" t="n"/>
      <c r="H1210" s="71" t="n"/>
      <c r="I1210" s="71" t="n"/>
      <c r="J1210" s="21" t="n"/>
    </row>
    <row r="1211">
      <c r="B1211" s="37" t="n"/>
      <c r="C1211" s="62" t="n"/>
      <c r="D1211" s="63" t="n"/>
      <c r="F1211" s="65" t="n"/>
      <c r="G1211" s="65" t="n"/>
      <c r="H1211" s="71" t="n"/>
      <c r="I1211" s="71" t="n"/>
      <c r="J1211" s="21" t="n"/>
    </row>
    <row r="1212">
      <c r="B1212" s="37" t="n"/>
      <c r="C1212" s="62" t="n"/>
      <c r="D1212" s="63" t="n"/>
      <c r="F1212" s="65" t="n"/>
      <c r="G1212" s="65" t="n"/>
      <c r="H1212" s="71" t="n"/>
      <c r="I1212" s="71" t="n"/>
      <c r="J1212" s="21" t="n"/>
    </row>
    <row r="1213">
      <c r="B1213" s="37" t="n"/>
      <c r="C1213" s="62" t="n"/>
      <c r="D1213" s="63" t="n"/>
      <c r="F1213" s="65" t="n"/>
      <c r="G1213" s="65" t="n"/>
      <c r="H1213" s="71" t="n"/>
      <c r="I1213" s="71" t="n"/>
      <c r="J1213" s="21" t="n"/>
    </row>
    <row r="1214">
      <c r="B1214" s="37" t="n"/>
      <c r="C1214" s="62" t="n"/>
      <c r="D1214" s="63" t="n"/>
      <c r="F1214" s="65" t="n"/>
      <c r="G1214" s="65" t="n"/>
      <c r="H1214" s="71" t="n"/>
      <c r="I1214" s="71" t="n"/>
      <c r="J1214" s="21" t="n"/>
    </row>
    <row r="1215">
      <c r="B1215" s="37" t="n"/>
      <c r="C1215" s="62" t="n"/>
      <c r="D1215" s="63" t="n"/>
      <c r="F1215" s="65" t="n"/>
      <c r="G1215" s="65" t="n"/>
      <c r="H1215" s="71" t="n"/>
      <c r="I1215" s="71" t="n"/>
      <c r="J1215" s="21" t="n"/>
    </row>
    <row r="1216">
      <c r="B1216" s="37" t="n"/>
      <c r="C1216" s="62" t="n"/>
      <c r="D1216" s="63" t="n"/>
      <c r="F1216" s="65" t="n"/>
      <c r="G1216" s="65" t="n"/>
      <c r="H1216" s="71" t="n"/>
      <c r="I1216" s="71" t="n"/>
      <c r="J1216" s="21" t="n"/>
    </row>
    <row r="1217">
      <c r="B1217" s="37" t="n"/>
      <c r="C1217" s="62" t="n"/>
      <c r="D1217" s="63" t="n"/>
      <c r="F1217" s="65" t="n"/>
      <c r="G1217" s="65" t="n"/>
      <c r="H1217" s="71" t="n"/>
      <c r="I1217" s="71" t="n"/>
      <c r="J1217" s="21" t="n"/>
    </row>
    <row r="1218">
      <c r="B1218" s="37" t="n"/>
      <c r="C1218" s="62" t="n"/>
      <c r="D1218" s="63" t="n"/>
      <c r="F1218" s="65" t="n"/>
      <c r="G1218" s="65" t="n"/>
      <c r="H1218" s="71" t="n"/>
      <c r="I1218" s="71" t="n"/>
      <c r="J1218" s="21" t="n"/>
    </row>
    <row r="1219">
      <c r="B1219" s="37" t="n"/>
      <c r="C1219" s="62" t="n"/>
      <c r="D1219" s="63" t="n"/>
      <c r="F1219" s="65" t="n"/>
      <c r="G1219" s="65" t="n"/>
      <c r="H1219" s="71" t="n"/>
      <c r="I1219" s="71" t="n"/>
      <c r="J1219" s="21" t="n"/>
    </row>
    <row r="1220">
      <c r="B1220" s="37" t="n"/>
      <c r="C1220" s="62" t="n"/>
      <c r="D1220" s="63" t="n"/>
      <c r="F1220" s="65" t="n"/>
      <c r="G1220" s="65" t="n"/>
      <c r="H1220" s="71" t="n"/>
      <c r="I1220" s="71" t="n"/>
      <c r="J1220" s="21" t="n"/>
    </row>
    <row r="1221">
      <c r="B1221" s="37" t="n"/>
      <c r="C1221" s="62" t="n"/>
      <c r="D1221" s="63" t="n"/>
      <c r="F1221" s="65" t="n"/>
      <c r="G1221" s="65" t="n"/>
      <c r="H1221" s="71" t="n"/>
      <c r="I1221" s="71" t="n"/>
      <c r="J1221" s="21" t="n"/>
    </row>
    <row r="1222">
      <c r="B1222" s="37" t="n"/>
      <c r="C1222" s="62" t="n"/>
      <c r="D1222" s="63" t="n"/>
      <c r="F1222" s="65" t="n"/>
      <c r="G1222" s="65" t="n"/>
      <c r="H1222" s="71" t="n"/>
      <c r="I1222" s="71" t="n"/>
      <c r="J1222" s="21" t="n"/>
    </row>
    <row r="1223">
      <c r="B1223" s="37" t="n"/>
      <c r="C1223" s="62" t="n"/>
      <c r="D1223" s="63" t="n"/>
      <c r="F1223" s="65" t="n"/>
      <c r="G1223" s="65" t="n"/>
      <c r="H1223" s="71" t="n"/>
      <c r="I1223" s="71" t="n"/>
      <c r="J1223" s="21" t="n"/>
    </row>
    <row r="1224">
      <c r="B1224" s="37" t="n"/>
      <c r="C1224" s="62" t="n"/>
      <c r="D1224" s="63" t="n"/>
      <c r="F1224" s="65" t="n"/>
      <c r="G1224" s="65" t="n"/>
      <c r="H1224" s="71" t="n"/>
      <c r="I1224" s="71" t="n"/>
      <c r="J1224" s="21" t="n"/>
    </row>
    <row r="1225">
      <c r="B1225" s="37" t="n"/>
      <c r="C1225" s="62" t="n"/>
      <c r="D1225" s="63" t="n"/>
      <c r="F1225" s="65" t="n"/>
      <c r="G1225" s="65" t="n"/>
      <c r="H1225" s="71" t="n"/>
      <c r="I1225" s="71" t="n"/>
      <c r="J1225" s="21" t="n"/>
    </row>
    <row r="1226">
      <c r="B1226" s="37" t="n"/>
      <c r="C1226" s="62" t="n"/>
      <c r="D1226" s="63" t="n"/>
      <c r="F1226" s="65" t="n"/>
      <c r="G1226" s="65" t="n"/>
      <c r="H1226" s="71" t="n"/>
      <c r="I1226" s="71" t="n"/>
      <c r="J1226" s="21" t="n"/>
    </row>
    <row r="1227">
      <c r="B1227" s="37" t="n"/>
      <c r="C1227" s="62" t="n"/>
      <c r="D1227" s="63" t="n"/>
      <c r="F1227" s="65" t="n"/>
      <c r="G1227" s="65" t="n"/>
      <c r="H1227" s="71" t="n"/>
      <c r="I1227" s="71" t="n"/>
      <c r="J1227" s="21" t="n"/>
    </row>
    <row r="1228">
      <c r="B1228" s="37" t="n"/>
      <c r="C1228" s="62" t="n"/>
      <c r="D1228" s="63" t="n"/>
      <c r="F1228" s="65" t="n"/>
      <c r="G1228" s="65" t="n"/>
      <c r="H1228" s="71" t="n"/>
      <c r="I1228" s="71" t="n"/>
      <c r="J1228" s="21" t="n"/>
    </row>
    <row r="1229">
      <c r="B1229" s="37" t="n"/>
      <c r="C1229" s="62" t="n"/>
      <c r="D1229" s="63" t="n"/>
      <c r="F1229" s="65" t="n"/>
      <c r="G1229" s="65" t="n"/>
      <c r="H1229" s="71" t="n"/>
      <c r="I1229" s="71" t="n"/>
      <c r="J1229" s="21" t="n"/>
    </row>
    <row r="1230">
      <c r="B1230" s="37" t="n"/>
      <c r="C1230" s="62" t="n"/>
      <c r="D1230" s="63" t="n"/>
      <c r="F1230" s="65" t="n"/>
      <c r="G1230" s="65" t="n"/>
      <c r="H1230" s="71" t="n"/>
      <c r="I1230" s="71" t="n"/>
      <c r="J1230" s="21" t="n"/>
    </row>
    <row r="1231">
      <c r="B1231" s="37" t="n"/>
      <c r="C1231" s="62" t="n"/>
      <c r="D1231" s="63" t="n"/>
      <c r="F1231" s="65" t="n"/>
      <c r="G1231" s="65" t="n"/>
      <c r="H1231" s="71" t="n"/>
      <c r="I1231" s="71" t="n"/>
      <c r="J1231" s="21" t="n"/>
    </row>
    <row r="1232">
      <c r="B1232" s="37" t="n"/>
      <c r="C1232" s="62" t="n"/>
      <c r="D1232" s="63" t="n"/>
      <c r="F1232" s="65" t="n"/>
      <c r="G1232" s="65" t="n"/>
      <c r="H1232" s="71" t="n"/>
      <c r="I1232" s="71" t="n"/>
      <c r="J1232" s="21" t="n"/>
    </row>
    <row r="1233">
      <c r="B1233" s="37" t="n"/>
      <c r="C1233" s="62" t="n"/>
      <c r="D1233" s="63" t="n"/>
      <c r="F1233" s="65" t="n"/>
      <c r="G1233" s="65" t="n"/>
      <c r="H1233" s="71" t="n"/>
      <c r="I1233" s="71" t="n"/>
      <c r="J1233" s="21" t="n"/>
    </row>
    <row r="1234">
      <c r="B1234" s="37" t="n"/>
      <c r="C1234" s="62" t="n"/>
      <c r="D1234" s="63" t="n"/>
      <c r="F1234" s="65" t="n"/>
      <c r="G1234" s="65" t="n"/>
      <c r="H1234" s="71" t="n"/>
      <c r="I1234" s="71" t="n"/>
      <c r="J1234" s="21" t="n"/>
    </row>
    <row r="1235">
      <c r="B1235" s="37" t="n"/>
      <c r="C1235" s="62" t="n"/>
      <c r="D1235" s="63" t="n"/>
      <c r="F1235" s="65" t="n"/>
      <c r="G1235" s="65" t="n"/>
      <c r="H1235" s="71" t="n"/>
      <c r="I1235" s="71" t="n"/>
      <c r="J1235" s="21" t="n"/>
    </row>
    <row r="1236">
      <c r="B1236" s="37" t="n"/>
      <c r="C1236" s="62" t="n"/>
      <c r="D1236" s="63" t="n"/>
      <c r="F1236" s="65" t="n"/>
      <c r="G1236" s="65" t="n"/>
      <c r="H1236" s="71" t="n"/>
      <c r="I1236" s="71" t="n"/>
      <c r="J1236" s="21" t="n"/>
    </row>
    <row r="1237">
      <c r="B1237" s="37" t="n"/>
      <c r="C1237" s="62" t="n"/>
      <c r="D1237" s="63" t="n"/>
      <c r="F1237" s="65" t="n"/>
      <c r="G1237" s="65" t="n"/>
      <c r="H1237" s="71" t="n"/>
      <c r="I1237" s="71" t="n"/>
      <c r="J1237" s="21" t="n"/>
    </row>
    <row r="1238">
      <c r="B1238" s="37" t="n"/>
      <c r="C1238" s="62" t="n"/>
      <c r="D1238" s="63" t="n"/>
      <c r="F1238" s="65" t="n"/>
      <c r="G1238" s="65" t="n"/>
      <c r="H1238" s="71" t="n"/>
      <c r="I1238" s="71" t="n"/>
      <c r="J1238" s="21" t="n"/>
    </row>
    <row r="1239">
      <c r="B1239" s="37" t="n"/>
      <c r="C1239" s="62" t="n"/>
      <c r="D1239" s="63" t="n"/>
      <c r="F1239" s="65" t="n"/>
      <c r="G1239" s="65" t="n"/>
      <c r="H1239" s="71" t="n"/>
      <c r="I1239" s="71" t="n"/>
      <c r="J1239" s="21" t="n"/>
    </row>
    <row r="1240">
      <c r="B1240" s="37" t="n"/>
      <c r="C1240" s="62" t="n"/>
      <c r="D1240" s="63" t="n"/>
      <c r="F1240" s="65" t="n"/>
      <c r="G1240" s="65" t="n"/>
      <c r="H1240" s="71" t="n"/>
      <c r="I1240" s="71" t="n"/>
      <c r="J1240" s="21" t="n"/>
    </row>
    <row r="1241">
      <c r="B1241" s="37" t="n"/>
      <c r="C1241" s="62" t="n"/>
      <c r="D1241" s="63" t="n"/>
      <c r="F1241" s="65" t="n"/>
      <c r="G1241" s="65" t="n"/>
      <c r="H1241" s="71" t="n"/>
      <c r="I1241" s="71" t="n"/>
      <c r="J1241" s="21" t="n"/>
    </row>
    <row r="1242">
      <c r="B1242" s="37" t="n"/>
      <c r="C1242" s="62" t="n"/>
      <c r="D1242" s="63" t="n"/>
      <c r="F1242" s="65" t="n"/>
      <c r="G1242" s="65" t="n"/>
      <c r="H1242" s="71" t="n"/>
      <c r="I1242" s="71" t="n"/>
      <c r="J1242" s="21" t="n"/>
    </row>
    <row r="1243">
      <c r="B1243" s="37" t="n"/>
      <c r="C1243" s="62" t="n"/>
      <c r="D1243" s="63" t="n"/>
      <c r="F1243" s="65" t="n"/>
      <c r="G1243" s="65" t="n"/>
      <c r="H1243" s="71" t="n"/>
      <c r="I1243" s="71" t="n"/>
      <c r="J1243" s="21" t="n"/>
    </row>
    <row r="1244">
      <c r="B1244" s="37" t="n"/>
      <c r="C1244" s="62" t="n"/>
      <c r="D1244" s="63" t="n"/>
      <c r="F1244" s="65" t="n"/>
      <c r="G1244" s="65" t="n"/>
      <c r="H1244" s="71" t="n"/>
      <c r="I1244" s="71" t="n"/>
      <c r="J1244" s="21" t="n"/>
    </row>
    <row r="1245">
      <c r="B1245" s="37" t="n"/>
      <c r="C1245" s="62" t="n"/>
      <c r="D1245" s="63" t="n"/>
      <c r="F1245" s="65" t="n"/>
      <c r="G1245" s="65" t="n"/>
      <c r="H1245" s="71" t="n"/>
      <c r="I1245" s="71" t="n"/>
      <c r="J1245" s="21" t="n"/>
    </row>
    <row r="1246">
      <c r="B1246" s="37" t="n"/>
      <c r="C1246" s="62" t="n"/>
      <c r="D1246" s="63" t="n"/>
      <c r="F1246" s="65" t="n"/>
      <c r="G1246" s="65" t="n"/>
      <c r="H1246" s="71" t="n"/>
      <c r="I1246" s="71" t="n"/>
      <c r="J1246" s="21" t="n"/>
    </row>
    <row r="1247">
      <c r="B1247" s="37" t="n"/>
      <c r="C1247" s="62" t="n"/>
      <c r="D1247" s="63" t="n"/>
      <c r="F1247" s="65" t="n"/>
      <c r="G1247" s="65" t="n"/>
      <c r="H1247" s="71" t="n"/>
      <c r="I1247" s="71" t="n"/>
      <c r="J1247" s="21" t="n"/>
    </row>
    <row r="1248">
      <c r="B1248" s="37" t="n"/>
      <c r="C1248" s="62" t="n"/>
      <c r="D1248" s="63" t="n"/>
      <c r="F1248" s="65" t="n"/>
      <c r="G1248" s="65" t="n"/>
      <c r="H1248" s="71" t="n"/>
      <c r="I1248" s="71" t="n"/>
      <c r="J1248" s="21" t="n"/>
    </row>
    <row r="1249">
      <c r="B1249" s="37" t="n"/>
      <c r="C1249" s="62" t="n"/>
      <c r="D1249" s="63" t="n"/>
      <c r="F1249" s="65" t="n"/>
      <c r="G1249" s="65" t="n"/>
      <c r="H1249" s="71" t="n"/>
      <c r="I1249" s="71" t="n"/>
      <c r="J1249" s="21" t="n"/>
    </row>
    <row r="1250">
      <c r="B1250" s="37" t="n"/>
      <c r="C1250" s="62" t="n"/>
      <c r="D1250" s="63" t="n"/>
      <c r="F1250" s="65" t="n"/>
      <c r="G1250" s="65" t="n"/>
      <c r="H1250" s="71" t="n"/>
      <c r="I1250" s="71" t="n"/>
      <c r="J1250" s="21" t="n"/>
    </row>
    <row r="1251">
      <c r="B1251" s="37" t="n"/>
      <c r="C1251" s="62" t="n"/>
      <c r="D1251" s="63" t="n"/>
      <c r="F1251" s="65" t="n"/>
      <c r="G1251" s="65" t="n"/>
      <c r="H1251" s="71" t="n"/>
      <c r="I1251" s="71" t="n"/>
      <c r="J1251" s="21" t="n"/>
    </row>
    <row r="1252">
      <c r="B1252" s="37" t="n"/>
      <c r="C1252" s="62" t="n"/>
      <c r="D1252" s="63" t="n"/>
      <c r="F1252" s="65" t="n"/>
      <c r="G1252" s="65" t="n"/>
      <c r="H1252" s="71" t="n"/>
      <c r="I1252" s="71" t="n"/>
      <c r="J1252" s="21" t="n"/>
    </row>
    <row r="1253">
      <c r="B1253" s="37" t="n"/>
      <c r="C1253" s="62" t="n"/>
      <c r="D1253" s="63" t="n"/>
      <c r="F1253" s="65" t="n"/>
      <c r="G1253" s="65" t="n"/>
      <c r="H1253" s="71" t="n"/>
      <c r="I1253" s="71" t="n"/>
      <c r="J1253" s="21" t="n"/>
    </row>
    <row r="1254">
      <c r="B1254" s="37" t="n"/>
      <c r="C1254" s="62" t="n"/>
      <c r="D1254" s="63" t="n"/>
      <c r="F1254" s="65" t="n"/>
      <c r="G1254" s="65" t="n"/>
      <c r="H1254" s="71" t="n"/>
      <c r="I1254" s="71" t="n"/>
      <c r="J1254" s="21" t="n"/>
    </row>
    <row r="1255">
      <c r="B1255" s="37" t="n"/>
      <c r="C1255" s="62" t="n"/>
      <c r="D1255" s="63" t="n"/>
      <c r="F1255" s="65" t="n"/>
      <c r="G1255" s="65" t="n"/>
      <c r="H1255" s="71" t="n"/>
      <c r="I1255" s="71" t="n"/>
      <c r="J1255" s="21" t="n"/>
    </row>
    <row r="1256">
      <c r="B1256" s="37" t="n"/>
      <c r="C1256" s="62" t="n"/>
      <c r="D1256" s="63" t="n"/>
      <c r="F1256" s="65" t="n"/>
      <c r="G1256" s="65" t="n"/>
      <c r="H1256" s="71" t="n"/>
      <c r="I1256" s="71" t="n"/>
      <c r="J1256" s="21" t="n"/>
    </row>
    <row r="1257">
      <c r="B1257" s="37" t="n"/>
      <c r="C1257" s="62" t="n"/>
      <c r="D1257" s="63" t="n"/>
      <c r="F1257" s="65" t="n"/>
      <c r="G1257" s="65" t="n"/>
      <c r="H1257" s="71" t="n"/>
      <c r="I1257" s="71" t="n"/>
      <c r="J1257" s="21" t="n"/>
    </row>
    <row r="1258">
      <c r="B1258" s="37" t="n"/>
      <c r="C1258" s="62" t="n"/>
      <c r="D1258" s="63" t="n"/>
      <c r="F1258" s="65" t="n"/>
      <c r="G1258" s="65" t="n"/>
      <c r="H1258" s="71" t="n"/>
      <c r="I1258" s="71" t="n"/>
      <c r="J1258" s="21" t="n"/>
    </row>
    <row r="1259">
      <c r="B1259" s="37" t="n"/>
      <c r="C1259" s="62" t="n"/>
      <c r="D1259" s="63" t="n"/>
      <c r="F1259" s="65" t="n"/>
      <c r="G1259" s="65" t="n"/>
      <c r="H1259" s="71" t="n"/>
      <c r="I1259" s="71" t="n"/>
      <c r="J1259" s="21" t="n"/>
    </row>
    <row r="1260">
      <c r="B1260" s="37" t="n"/>
      <c r="C1260" s="62" t="n"/>
      <c r="D1260" s="63" t="n"/>
      <c r="F1260" s="65" t="n"/>
      <c r="G1260" s="65" t="n"/>
      <c r="H1260" s="71" t="n"/>
      <c r="I1260" s="71" t="n"/>
      <c r="J1260" s="21" t="n"/>
    </row>
    <row r="1261">
      <c r="B1261" s="37" t="n"/>
      <c r="C1261" s="62" t="n"/>
      <c r="D1261" s="63" t="n"/>
      <c r="F1261" s="65" t="n"/>
      <c r="G1261" s="65" t="n"/>
      <c r="H1261" s="71" t="n"/>
      <c r="I1261" s="71" t="n"/>
      <c r="J1261" s="21" t="n"/>
    </row>
    <row r="1262">
      <c r="B1262" s="37" t="n"/>
      <c r="C1262" s="62" t="n"/>
      <c r="D1262" s="63" t="n"/>
      <c r="F1262" s="65" t="n"/>
      <c r="G1262" s="65" t="n"/>
      <c r="H1262" s="71" t="n"/>
      <c r="I1262" s="71" t="n"/>
      <c r="J1262" s="21" t="n"/>
    </row>
    <row r="1263">
      <c r="B1263" s="37" t="n"/>
      <c r="C1263" s="62" t="n"/>
      <c r="D1263" s="63" t="n"/>
      <c r="F1263" s="65" t="n"/>
      <c r="G1263" s="65" t="n"/>
      <c r="H1263" s="71" t="n"/>
      <c r="I1263" s="71" t="n"/>
      <c r="J1263" s="21" t="n"/>
    </row>
    <row r="1264">
      <c r="B1264" s="37" t="n"/>
      <c r="C1264" s="62" t="n"/>
      <c r="D1264" s="63" t="n"/>
      <c r="F1264" s="65" t="n"/>
      <c r="G1264" s="65" t="n"/>
      <c r="H1264" s="71" t="n"/>
      <c r="I1264" s="71" t="n"/>
      <c r="J1264" s="21" t="n"/>
    </row>
    <row r="1265">
      <c r="B1265" s="37" t="n"/>
      <c r="C1265" s="62" t="n"/>
      <c r="D1265" s="63" t="n"/>
      <c r="F1265" s="65" t="n"/>
      <c r="G1265" s="65" t="n"/>
      <c r="H1265" s="71" t="n"/>
      <c r="I1265" s="71" t="n"/>
      <c r="J1265" s="21" t="n"/>
    </row>
    <row r="1266">
      <c r="B1266" s="37" t="n"/>
      <c r="C1266" s="62" t="n"/>
      <c r="D1266" s="63" t="n"/>
      <c r="F1266" s="65" t="n"/>
      <c r="G1266" s="65" t="n"/>
      <c r="H1266" s="71" t="n"/>
      <c r="I1266" s="71" t="n"/>
      <c r="J1266" s="21" t="n"/>
    </row>
    <row r="1267">
      <c r="B1267" s="37" t="n"/>
      <c r="C1267" s="62" t="n"/>
      <c r="D1267" s="63" t="n"/>
      <c r="F1267" s="65" t="n"/>
      <c r="G1267" s="65" t="n"/>
      <c r="H1267" s="71" t="n"/>
      <c r="I1267" s="71" t="n"/>
      <c r="J1267" s="21" t="n"/>
    </row>
    <row r="1268">
      <c r="B1268" s="37" t="n"/>
      <c r="C1268" s="62" t="n"/>
      <c r="D1268" s="63" t="n"/>
      <c r="F1268" s="65" t="n"/>
      <c r="G1268" s="65" t="n"/>
      <c r="H1268" s="71" t="n"/>
      <c r="I1268" s="71" t="n"/>
      <c r="J1268" s="21" t="n"/>
    </row>
    <row r="1269">
      <c r="B1269" s="37" t="n"/>
      <c r="C1269" s="62" t="n"/>
      <c r="D1269" s="63" t="n"/>
      <c r="F1269" s="65" t="n"/>
      <c r="G1269" s="65" t="n"/>
      <c r="H1269" s="71" t="n"/>
      <c r="I1269" s="71" t="n"/>
      <c r="J1269" s="21" t="n"/>
    </row>
    <row r="1270">
      <c r="B1270" s="37" t="n"/>
      <c r="C1270" s="62" t="n"/>
      <c r="D1270" s="63" t="n"/>
      <c r="F1270" s="65" t="n"/>
      <c r="G1270" s="65" t="n"/>
      <c r="H1270" s="71" t="n"/>
      <c r="I1270" s="71" t="n"/>
      <c r="J1270" s="21" t="n"/>
    </row>
    <row r="1271">
      <c r="B1271" s="37" t="n"/>
      <c r="C1271" s="62" t="n"/>
      <c r="D1271" s="63" t="n"/>
      <c r="F1271" s="65" t="n"/>
      <c r="G1271" s="65" t="n"/>
      <c r="H1271" s="71" t="n"/>
      <c r="I1271" s="71" t="n"/>
      <c r="J1271" s="21" t="n"/>
    </row>
    <row r="1272">
      <c r="B1272" s="37" t="n"/>
      <c r="C1272" s="62" t="n"/>
      <c r="D1272" s="63" t="n"/>
      <c r="F1272" s="65" t="n"/>
      <c r="G1272" s="65" t="n"/>
      <c r="H1272" s="71" t="n"/>
      <c r="I1272" s="71" t="n"/>
      <c r="J1272" s="21" t="n"/>
    </row>
    <row r="1273">
      <c r="B1273" s="37" t="n"/>
      <c r="C1273" s="62" t="n"/>
      <c r="D1273" s="63" t="n"/>
      <c r="F1273" s="65" t="n"/>
      <c r="G1273" s="65" t="n"/>
      <c r="H1273" s="71" t="n"/>
      <c r="I1273" s="71" t="n"/>
      <c r="J1273" s="21" t="n"/>
    </row>
    <row r="1274">
      <c r="B1274" s="37" t="n"/>
      <c r="C1274" s="62" t="n"/>
      <c r="D1274" s="63" t="n"/>
      <c r="F1274" s="65" t="n"/>
      <c r="G1274" s="65" t="n"/>
      <c r="H1274" s="71" t="n"/>
      <c r="I1274" s="71" t="n"/>
      <c r="J1274" s="21" t="n"/>
    </row>
    <row r="1275">
      <c r="B1275" s="37" t="n"/>
      <c r="C1275" s="62" t="n"/>
      <c r="D1275" s="63" t="n"/>
      <c r="F1275" s="65" t="n"/>
      <c r="G1275" s="65" t="n"/>
      <c r="H1275" s="71" t="n"/>
      <c r="I1275" s="71" t="n"/>
      <c r="J1275" s="21" t="n"/>
    </row>
    <row r="1276">
      <c r="B1276" s="37" t="n"/>
      <c r="C1276" s="62" t="n"/>
      <c r="D1276" s="63" t="n"/>
      <c r="F1276" s="65" t="n"/>
      <c r="G1276" s="65" t="n"/>
      <c r="H1276" s="71" t="n"/>
      <c r="I1276" s="71" t="n"/>
      <c r="J1276" s="21" t="n"/>
    </row>
    <row r="1277">
      <c r="B1277" s="37" t="n"/>
      <c r="C1277" s="62" t="n"/>
      <c r="D1277" s="63" t="n"/>
      <c r="F1277" s="65" t="n"/>
      <c r="G1277" s="65" t="n"/>
      <c r="H1277" s="71" t="n"/>
      <c r="I1277" s="71" t="n"/>
      <c r="J1277" s="21" t="n"/>
    </row>
    <row r="1278">
      <c r="B1278" s="37" t="n"/>
      <c r="C1278" s="62" t="n"/>
      <c r="D1278" s="63" t="n"/>
      <c r="F1278" s="65" t="n"/>
      <c r="G1278" s="65" t="n"/>
      <c r="H1278" s="71" t="n"/>
      <c r="I1278" s="71" t="n"/>
      <c r="J1278" s="21" t="n"/>
    </row>
    <row r="1279">
      <c r="B1279" s="37" t="n"/>
      <c r="C1279" s="62" t="n"/>
      <c r="D1279" s="63" t="n"/>
      <c r="F1279" s="65" t="n"/>
      <c r="G1279" s="65" t="n"/>
      <c r="H1279" s="71" t="n"/>
      <c r="I1279" s="71" t="n"/>
      <c r="J1279" s="21" t="n"/>
    </row>
    <row r="1280">
      <c r="B1280" s="37" t="n"/>
      <c r="C1280" s="62" t="n"/>
      <c r="D1280" s="63" t="n"/>
      <c r="F1280" s="65" t="n"/>
      <c r="G1280" s="65" t="n"/>
      <c r="H1280" s="71" t="n"/>
      <c r="I1280" s="71" t="n"/>
      <c r="J1280" s="21" t="n"/>
    </row>
    <row r="1281">
      <c r="B1281" s="37" t="n"/>
      <c r="C1281" s="62" t="n"/>
      <c r="D1281" s="63" t="n"/>
      <c r="F1281" s="65" t="n"/>
      <c r="G1281" s="65" t="n"/>
      <c r="H1281" s="71" t="n"/>
      <c r="I1281" s="71" t="n"/>
      <c r="J1281" s="21" t="n"/>
    </row>
    <row r="1282">
      <c r="B1282" s="37" t="n"/>
      <c r="C1282" s="62" t="n"/>
      <c r="D1282" s="63" t="n"/>
      <c r="F1282" s="65" t="n"/>
      <c r="G1282" s="65" t="n"/>
      <c r="H1282" s="71" t="n"/>
      <c r="I1282" s="71" t="n"/>
      <c r="J1282" s="21" t="n"/>
    </row>
    <row r="1283">
      <c r="B1283" s="37" t="n"/>
      <c r="C1283" s="62" t="n"/>
      <c r="D1283" s="63" t="n"/>
      <c r="F1283" s="65" t="n"/>
      <c r="G1283" s="65" t="n"/>
      <c r="H1283" s="71" t="n"/>
      <c r="I1283" s="71" t="n"/>
      <c r="J1283" s="21" t="n"/>
    </row>
    <row r="1284">
      <c r="B1284" s="37" t="n"/>
      <c r="C1284" s="62" t="n"/>
      <c r="D1284" s="63" t="n"/>
      <c r="F1284" s="65" t="n"/>
      <c r="G1284" s="65" t="n"/>
      <c r="H1284" s="71" t="n"/>
      <c r="I1284" s="71" t="n"/>
      <c r="J1284" s="21" t="n"/>
    </row>
    <row r="1285">
      <c r="B1285" s="37" t="n"/>
      <c r="C1285" s="62" t="n"/>
      <c r="D1285" s="63" t="n"/>
      <c r="F1285" s="65" t="n"/>
      <c r="G1285" s="65" t="n"/>
      <c r="H1285" s="71" t="n"/>
      <c r="I1285" s="71" t="n"/>
      <c r="J1285" s="21" t="n"/>
    </row>
    <row r="1286">
      <c r="B1286" s="37" t="n"/>
      <c r="C1286" s="62" t="n"/>
      <c r="D1286" s="63" t="n"/>
      <c r="F1286" s="65" t="n"/>
      <c r="G1286" s="65" t="n"/>
      <c r="H1286" s="71" t="n"/>
      <c r="I1286" s="71" t="n"/>
      <c r="J1286" s="21" t="n"/>
    </row>
    <row r="1287">
      <c r="B1287" s="37" t="n"/>
      <c r="C1287" s="62" t="n"/>
      <c r="D1287" s="63" t="n"/>
      <c r="F1287" s="65" t="n"/>
      <c r="G1287" s="65" t="n"/>
      <c r="H1287" s="71" t="n"/>
      <c r="I1287" s="71" t="n"/>
      <c r="J1287" s="21" t="n"/>
    </row>
    <row r="1288">
      <c r="B1288" s="37" t="n"/>
      <c r="C1288" s="62" t="n"/>
      <c r="D1288" s="63" t="n"/>
      <c r="F1288" s="65" t="n"/>
      <c r="G1288" s="65" t="n"/>
      <c r="H1288" s="71" t="n"/>
      <c r="I1288" s="71" t="n"/>
      <c r="J1288" s="21" t="n"/>
    </row>
    <row r="1289">
      <c r="B1289" s="37" t="n"/>
      <c r="C1289" s="62" t="n"/>
      <c r="D1289" s="63" t="n"/>
      <c r="F1289" s="65" t="n"/>
      <c r="G1289" s="65" t="n"/>
      <c r="H1289" s="71" t="n"/>
      <c r="I1289" s="71" t="n"/>
      <c r="J1289" s="21" t="n"/>
    </row>
    <row r="1290">
      <c r="B1290" s="37" t="n"/>
      <c r="C1290" s="62" t="n"/>
      <c r="D1290" s="63" t="n"/>
      <c r="F1290" s="65" t="n"/>
      <c r="G1290" s="65" t="n"/>
      <c r="H1290" s="71" t="n"/>
      <c r="I1290" s="71" t="n"/>
      <c r="J1290" s="21" t="n"/>
    </row>
    <row r="1291">
      <c r="B1291" s="37" t="n"/>
      <c r="C1291" s="62" t="n"/>
      <c r="D1291" s="63" t="n"/>
      <c r="F1291" s="65" t="n"/>
      <c r="G1291" s="65" t="n"/>
      <c r="H1291" s="71" t="n"/>
      <c r="I1291" s="71" t="n"/>
      <c r="J1291" s="21" t="n"/>
    </row>
    <row r="1292">
      <c r="B1292" s="37" t="n"/>
      <c r="C1292" s="62" t="n"/>
      <c r="D1292" s="63" t="n"/>
      <c r="F1292" s="65" t="n"/>
      <c r="G1292" s="65" t="n"/>
      <c r="H1292" s="71" t="n"/>
      <c r="I1292" s="71" t="n"/>
      <c r="J1292" s="21" t="n"/>
    </row>
    <row r="1293">
      <c r="B1293" s="37" t="n"/>
      <c r="C1293" s="62" t="n"/>
      <c r="D1293" s="63" t="n"/>
      <c r="F1293" s="65" t="n"/>
      <c r="G1293" s="65" t="n"/>
      <c r="H1293" s="71" t="n"/>
      <c r="I1293" s="71" t="n"/>
      <c r="J1293" s="21" t="n"/>
    </row>
    <row r="1294">
      <c r="B1294" s="37" t="n"/>
      <c r="C1294" s="62" t="n"/>
      <c r="D1294" s="63" t="n"/>
      <c r="F1294" s="65" t="n"/>
      <c r="G1294" s="65" t="n"/>
      <c r="H1294" s="71" t="n"/>
      <c r="I1294" s="71" t="n"/>
      <c r="J1294" s="21" t="n"/>
    </row>
    <row r="1295">
      <c r="B1295" s="37" t="n"/>
      <c r="C1295" s="62" t="n"/>
      <c r="D1295" s="63" t="n"/>
      <c r="F1295" s="65" t="n"/>
      <c r="G1295" s="65" t="n"/>
      <c r="H1295" s="71" t="n"/>
      <c r="I1295" s="71" t="n"/>
      <c r="J1295" s="21" t="n"/>
    </row>
    <row r="1296">
      <c r="B1296" s="37" t="n"/>
      <c r="C1296" s="62" t="n"/>
      <c r="D1296" s="63" t="n"/>
      <c r="F1296" s="65" t="n"/>
      <c r="G1296" s="65" t="n"/>
      <c r="H1296" s="71" t="n"/>
      <c r="I1296" s="71" t="n"/>
      <c r="J1296" s="21" t="n"/>
    </row>
    <row r="1297">
      <c r="B1297" s="37" t="n"/>
      <c r="C1297" s="62" t="n"/>
      <c r="D1297" s="63" t="n"/>
      <c r="F1297" s="65" t="n"/>
      <c r="G1297" s="65" t="n"/>
      <c r="H1297" s="71" t="n"/>
      <c r="I1297" s="71" t="n"/>
      <c r="J1297" s="21" t="n"/>
    </row>
    <row r="1298">
      <c r="B1298" s="37" t="n"/>
      <c r="C1298" s="62" t="n"/>
      <c r="D1298" s="63" t="n"/>
      <c r="F1298" s="65" t="n"/>
      <c r="G1298" s="65" t="n"/>
      <c r="H1298" s="71" t="n"/>
      <c r="I1298" s="71" t="n"/>
      <c r="J1298" s="21" t="n"/>
    </row>
    <row r="1299">
      <c r="B1299" s="37" t="n"/>
      <c r="C1299" s="62" t="n"/>
      <c r="D1299" s="63" t="n"/>
      <c r="F1299" s="65" t="n"/>
      <c r="G1299" s="65" t="n"/>
      <c r="H1299" s="71" t="n"/>
      <c r="I1299" s="71" t="n"/>
      <c r="J1299" s="21" t="n"/>
    </row>
    <row r="1300">
      <c r="B1300" s="37" t="n"/>
      <c r="C1300" s="62" t="n"/>
      <c r="D1300" s="63" t="n"/>
      <c r="F1300" s="65" t="n"/>
      <c r="G1300" s="65" t="n"/>
      <c r="H1300" s="71" t="n"/>
      <c r="I1300" s="71" t="n"/>
      <c r="J1300" s="21" t="n"/>
    </row>
    <row r="1301">
      <c r="B1301" s="37" t="n"/>
      <c r="C1301" s="62" t="n"/>
      <c r="D1301" s="63" t="n"/>
      <c r="F1301" s="65" t="n"/>
      <c r="G1301" s="65" t="n"/>
      <c r="H1301" s="71" t="n"/>
      <c r="I1301" s="71" t="n"/>
      <c r="J1301" s="21" t="n"/>
    </row>
    <row r="1302">
      <c r="B1302" s="37" t="n"/>
      <c r="C1302" s="62" t="n"/>
      <c r="D1302" s="63" t="n"/>
      <c r="F1302" s="65" t="n"/>
      <c r="G1302" s="65" t="n"/>
      <c r="H1302" s="71" t="n"/>
      <c r="I1302" s="71" t="n"/>
      <c r="J1302" s="21" t="n"/>
    </row>
    <row r="1303">
      <c r="B1303" s="37" t="n"/>
      <c r="C1303" s="62" t="n"/>
      <c r="D1303" s="63" t="n"/>
      <c r="F1303" s="65" t="n"/>
      <c r="G1303" s="65" t="n"/>
      <c r="H1303" s="71" t="n"/>
      <c r="I1303" s="71" t="n"/>
      <c r="J1303" s="21" t="n"/>
    </row>
    <row r="1304">
      <c r="B1304" s="37" t="n"/>
      <c r="C1304" s="62" t="n"/>
      <c r="D1304" s="63" t="n"/>
      <c r="F1304" s="65" t="n"/>
      <c r="G1304" s="65" t="n"/>
      <c r="H1304" s="71" t="n"/>
      <c r="I1304" s="71" t="n"/>
      <c r="J1304" s="21" t="n"/>
    </row>
    <row r="1305">
      <c r="B1305" s="37" t="n"/>
      <c r="C1305" s="62" t="n"/>
      <c r="D1305" s="63" t="n"/>
      <c r="F1305" s="65" t="n"/>
      <c r="G1305" s="65" t="n"/>
      <c r="H1305" s="71" t="n"/>
      <c r="I1305" s="71" t="n"/>
      <c r="J1305" s="21" t="n"/>
    </row>
    <row r="1306">
      <c r="B1306" s="37" t="n"/>
      <c r="C1306" s="62" t="n"/>
      <c r="D1306" s="63" t="n"/>
      <c r="F1306" s="65" t="n"/>
      <c r="G1306" s="65" t="n"/>
      <c r="H1306" s="71" t="n"/>
      <c r="I1306" s="71" t="n"/>
      <c r="J1306" s="21" t="n"/>
    </row>
    <row r="1307">
      <c r="B1307" s="37" t="n"/>
      <c r="C1307" s="62" t="n"/>
      <c r="D1307" s="63" t="n"/>
      <c r="F1307" s="65" t="n"/>
      <c r="G1307" s="65" t="n"/>
      <c r="H1307" s="71" t="n"/>
      <c r="I1307" s="71" t="n"/>
      <c r="J1307" s="21" t="n"/>
    </row>
    <row r="1308">
      <c r="B1308" s="37" t="n"/>
      <c r="C1308" s="62" t="n"/>
      <c r="D1308" s="63" t="n"/>
      <c r="F1308" s="65" t="n"/>
      <c r="G1308" s="65" t="n"/>
      <c r="H1308" s="71" t="n"/>
      <c r="I1308" s="71" t="n"/>
      <c r="J1308" s="21" t="n"/>
    </row>
    <row r="1309">
      <c r="B1309" s="37" t="n"/>
      <c r="C1309" s="62" t="n"/>
      <c r="D1309" s="63" t="n"/>
      <c r="F1309" s="65" t="n"/>
      <c r="G1309" s="65" t="n"/>
      <c r="H1309" s="71" t="n"/>
      <c r="I1309" s="71" t="n"/>
      <c r="J1309" s="21" t="n"/>
    </row>
    <row r="1310">
      <c r="B1310" s="37" t="n"/>
      <c r="C1310" s="62" t="n"/>
      <c r="D1310" s="63" t="n"/>
      <c r="F1310" s="65" t="n"/>
      <c r="G1310" s="65" t="n"/>
      <c r="H1310" s="71" t="n"/>
      <c r="I1310" s="71" t="n"/>
      <c r="J1310" s="21" t="n"/>
    </row>
    <row r="1311">
      <c r="B1311" s="37" t="n"/>
      <c r="C1311" s="62" t="n"/>
      <c r="D1311" s="63" t="n"/>
      <c r="F1311" s="65" t="n"/>
      <c r="G1311" s="65" t="n"/>
      <c r="H1311" s="71" t="n"/>
      <c r="I1311" s="71" t="n"/>
      <c r="J1311" s="21" t="n"/>
    </row>
    <row r="1312">
      <c r="B1312" s="37" t="n"/>
      <c r="C1312" s="62" t="n"/>
      <c r="D1312" s="63" t="n"/>
      <c r="F1312" s="65" t="n"/>
      <c r="G1312" s="65" t="n"/>
      <c r="H1312" s="71" t="n"/>
      <c r="I1312" s="71" t="n"/>
      <c r="J1312" s="21" t="n"/>
    </row>
    <row r="1313">
      <c r="B1313" s="37" t="n"/>
      <c r="C1313" s="62" t="n"/>
      <c r="D1313" s="63" t="n"/>
      <c r="F1313" s="65" t="n"/>
      <c r="G1313" s="65" t="n"/>
      <c r="H1313" s="71" t="n"/>
      <c r="I1313" s="71" t="n"/>
      <c r="J1313" s="21" t="n"/>
    </row>
    <row r="1314">
      <c r="B1314" s="37" t="n"/>
      <c r="C1314" s="62" t="n"/>
      <c r="D1314" s="63" t="n"/>
      <c r="F1314" s="65" t="n"/>
      <c r="G1314" s="65" t="n"/>
      <c r="H1314" s="71" t="n"/>
      <c r="I1314" s="71" t="n"/>
      <c r="J1314" s="21" t="n"/>
    </row>
    <row r="1315">
      <c r="B1315" s="37" t="n"/>
      <c r="C1315" s="62" t="n"/>
      <c r="D1315" s="63" t="n"/>
      <c r="F1315" s="65" t="n"/>
      <c r="G1315" s="65" t="n"/>
      <c r="H1315" s="71" t="n"/>
      <c r="I1315" s="71" t="n"/>
      <c r="J1315" s="21" t="n"/>
    </row>
    <row r="1316">
      <c r="B1316" s="37" t="n"/>
      <c r="C1316" s="62" t="n"/>
      <c r="D1316" s="63" t="n"/>
      <c r="F1316" s="65" t="n"/>
      <c r="G1316" s="65" t="n"/>
      <c r="H1316" s="71" t="n"/>
      <c r="I1316" s="71" t="n"/>
      <c r="J1316" s="21" t="n"/>
    </row>
    <row r="1317">
      <c r="B1317" s="37" t="n"/>
      <c r="C1317" s="62" t="n"/>
      <c r="D1317" s="63" t="n"/>
      <c r="F1317" s="65" t="n"/>
      <c r="G1317" s="65" t="n"/>
      <c r="H1317" s="71" t="n"/>
      <c r="I1317" s="71" t="n"/>
      <c r="J1317" s="21" t="n"/>
    </row>
    <row r="1318">
      <c r="B1318" s="37" t="n"/>
      <c r="C1318" s="62" t="n"/>
      <c r="D1318" s="63" t="n"/>
      <c r="F1318" s="65" t="n"/>
      <c r="G1318" s="65" t="n"/>
      <c r="H1318" s="71" t="n"/>
      <c r="I1318" s="71" t="n"/>
      <c r="J1318" s="21" t="n"/>
    </row>
    <row r="1319">
      <c r="B1319" s="37" t="n"/>
      <c r="C1319" s="62" t="n"/>
      <c r="D1319" s="63" t="n"/>
      <c r="F1319" s="65" t="n"/>
      <c r="G1319" s="65" t="n"/>
      <c r="H1319" s="71" t="n"/>
      <c r="I1319" s="71" t="n"/>
      <c r="J1319" s="21" t="n"/>
    </row>
    <row r="1320">
      <c r="B1320" s="37" t="n"/>
      <c r="C1320" s="62" t="n"/>
      <c r="D1320" s="63" t="n"/>
      <c r="F1320" s="65" t="n"/>
      <c r="G1320" s="65" t="n"/>
      <c r="H1320" s="71" t="n"/>
      <c r="I1320" s="71" t="n"/>
      <c r="J1320" s="21" t="n"/>
    </row>
    <row r="1321">
      <c r="B1321" s="37" t="n"/>
      <c r="C1321" s="62" t="n"/>
      <c r="D1321" s="63" t="n"/>
      <c r="F1321" s="65" t="n"/>
      <c r="G1321" s="65" t="n"/>
      <c r="H1321" s="71" t="n"/>
      <c r="I1321" s="71" t="n"/>
      <c r="J1321" s="21" t="n"/>
    </row>
    <row r="1322">
      <c r="B1322" s="37" t="n"/>
      <c r="C1322" s="62" t="n"/>
      <c r="D1322" s="63" t="n"/>
      <c r="F1322" s="65" t="n"/>
      <c r="G1322" s="65" t="n"/>
      <c r="H1322" s="71" t="n"/>
      <c r="I1322" s="71" t="n"/>
      <c r="J1322" s="21" t="n"/>
    </row>
    <row r="1323">
      <c r="B1323" s="37" t="n"/>
      <c r="C1323" s="62" t="n"/>
      <c r="D1323" s="63" t="n"/>
      <c r="F1323" s="65" t="n"/>
      <c r="G1323" s="65" t="n"/>
      <c r="H1323" s="71" t="n"/>
      <c r="I1323" s="71" t="n"/>
      <c r="J1323" s="21" t="n"/>
    </row>
    <row r="1324">
      <c r="B1324" s="37" t="n"/>
      <c r="C1324" s="62" t="n"/>
      <c r="D1324" s="63" t="n"/>
      <c r="F1324" s="65" t="n"/>
      <c r="G1324" s="65" t="n"/>
      <c r="H1324" s="71" t="n"/>
      <c r="I1324" s="71" t="n"/>
      <c r="J1324" s="21" t="n"/>
    </row>
    <row r="1325">
      <c r="B1325" s="37" t="n"/>
      <c r="C1325" s="62" t="n"/>
      <c r="D1325" s="63" t="n"/>
      <c r="F1325" s="65" t="n"/>
      <c r="G1325" s="65" t="n"/>
      <c r="H1325" s="71" t="n"/>
      <c r="I1325" s="71" t="n"/>
      <c r="J1325" s="21" t="n"/>
    </row>
    <row r="1326">
      <c r="B1326" s="37" t="n"/>
      <c r="C1326" s="62" t="n"/>
      <c r="D1326" s="63" t="n"/>
      <c r="F1326" s="65" t="n"/>
      <c r="G1326" s="65" t="n"/>
      <c r="H1326" s="71" t="n"/>
      <c r="I1326" s="71" t="n"/>
      <c r="J1326" s="21" t="n"/>
    </row>
    <row r="1327">
      <c r="B1327" s="37" t="n"/>
      <c r="C1327" s="62" t="n"/>
      <c r="D1327" s="63" t="n"/>
      <c r="F1327" s="65" t="n"/>
      <c r="G1327" s="65" t="n"/>
      <c r="H1327" s="71" t="n"/>
      <c r="I1327" s="71" t="n"/>
      <c r="J1327" s="21" t="n"/>
    </row>
    <row r="1328">
      <c r="B1328" s="37" t="n"/>
      <c r="C1328" s="62" t="n"/>
      <c r="D1328" s="63" t="n"/>
      <c r="F1328" s="65" t="n"/>
      <c r="G1328" s="65" t="n"/>
      <c r="H1328" s="71" t="n"/>
      <c r="I1328" s="71" t="n"/>
      <c r="J1328" s="21" t="n"/>
    </row>
    <row r="1329">
      <c r="B1329" s="37" t="n"/>
      <c r="C1329" s="62" t="n"/>
      <c r="D1329" s="63" t="n"/>
      <c r="F1329" s="65" t="n"/>
      <c r="G1329" s="65" t="n"/>
      <c r="H1329" s="71" t="n"/>
      <c r="I1329" s="71" t="n"/>
      <c r="J1329" s="21" t="n"/>
    </row>
    <row r="1330">
      <c r="B1330" s="37" t="n"/>
      <c r="C1330" s="62" t="n"/>
      <c r="D1330" s="63" t="n"/>
      <c r="F1330" s="65" t="n"/>
      <c r="G1330" s="65" t="n"/>
      <c r="H1330" s="71" t="n"/>
      <c r="I1330" s="71" t="n"/>
      <c r="J1330" s="21" t="n"/>
    </row>
    <row r="1331">
      <c r="B1331" s="37" t="n"/>
      <c r="C1331" s="62" t="n"/>
      <c r="D1331" s="63" t="n"/>
      <c r="F1331" s="65" t="n"/>
      <c r="G1331" s="65" t="n"/>
      <c r="H1331" s="71" t="n"/>
      <c r="I1331" s="71" t="n"/>
      <c r="J1331" s="21" t="n"/>
    </row>
    <row r="1332">
      <c r="B1332" s="37" t="n"/>
      <c r="C1332" s="62" t="n"/>
      <c r="D1332" s="63" t="n"/>
      <c r="F1332" s="65" t="n"/>
      <c r="G1332" s="65" t="n"/>
      <c r="H1332" s="71" t="n"/>
      <c r="I1332" s="71" t="n"/>
      <c r="J1332" s="21" t="n"/>
    </row>
    <row r="1333">
      <c r="B1333" s="37" t="n"/>
      <c r="C1333" s="62" t="n"/>
      <c r="D1333" s="63" t="n"/>
      <c r="F1333" s="65" t="n"/>
      <c r="G1333" s="65" t="n"/>
      <c r="H1333" s="71" t="n"/>
      <c r="I1333" s="71" t="n"/>
      <c r="J1333" s="21" t="n"/>
    </row>
    <row r="1334">
      <c r="B1334" s="37" t="n"/>
      <c r="C1334" s="62" t="n"/>
      <c r="D1334" s="63" t="n"/>
      <c r="F1334" s="65" t="n"/>
      <c r="G1334" s="65" t="n"/>
      <c r="H1334" s="71" t="n"/>
      <c r="I1334" s="71" t="n"/>
      <c r="J1334" s="21" t="n"/>
    </row>
    <row r="1335">
      <c r="B1335" s="37" t="n"/>
      <c r="C1335" s="62" t="n"/>
      <c r="D1335" s="63" t="n"/>
      <c r="F1335" s="65" t="n"/>
      <c r="G1335" s="65" t="n"/>
      <c r="H1335" s="71" t="n"/>
      <c r="I1335" s="71" t="n"/>
      <c r="J1335" s="21" t="n"/>
    </row>
    <row r="1336">
      <c r="B1336" s="37" t="n"/>
      <c r="C1336" s="62" t="n"/>
      <c r="D1336" s="63" t="n"/>
      <c r="F1336" s="65" t="n"/>
      <c r="G1336" s="65" t="n"/>
      <c r="H1336" s="71" t="n"/>
      <c r="I1336" s="71" t="n"/>
      <c r="J1336" s="21" t="n"/>
    </row>
    <row r="1337">
      <c r="B1337" s="37" t="n"/>
      <c r="C1337" s="62" t="n"/>
      <c r="D1337" s="63" t="n"/>
      <c r="F1337" s="65" t="n"/>
      <c r="G1337" s="65" t="n"/>
      <c r="H1337" s="71" t="n"/>
      <c r="I1337" s="71" t="n"/>
      <c r="J1337" s="21" t="n"/>
    </row>
    <row r="1338">
      <c r="B1338" s="37" t="n"/>
      <c r="C1338" s="62" t="n"/>
      <c r="D1338" s="63" t="n"/>
      <c r="F1338" s="65" t="n"/>
      <c r="G1338" s="65" t="n"/>
      <c r="H1338" s="71" t="n"/>
      <c r="I1338" s="71" t="n"/>
      <c r="J1338" s="21" t="n"/>
    </row>
    <row r="1339">
      <c r="B1339" s="37" t="n"/>
      <c r="C1339" s="62" t="n"/>
      <c r="D1339" s="63" t="n"/>
      <c r="F1339" s="65" t="n"/>
      <c r="G1339" s="65" t="n"/>
      <c r="H1339" s="71" t="n"/>
      <c r="I1339" s="71" t="n"/>
      <c r="J1339" s="21" t="n"/>
    </row>
    <row r="1340">
      <c r="B1340" s="37" t="n"/>
      <c r="C1340" s="62" t="n"/>
      <c r="D1340" s="63" t="n"/>
      <c r="F1340" s="65" t="n"/>
      <c r="G1340" s="65" t="n"/>
      <c r="H1340" s="71" t="n"/>
      <c r="I1340" s="71" t="n"/>
      <c r="J1340" s="21" t="n"/>
    </row>
    <row r="1341">
      <c r="B1341" s="37" t="n"/>
      <c r="C1341" s="62" t="n"/>
      <c r="D1341" s="63" t="n"/>
      <c r="F1341" s="65" t="n"/>
      <c r="G1341" s="65" t="n"/>
      <c r="H1341" s="71" t="n"/>
      <c r="I1341" s="71" t="n"/>
      <c r="J1341" s="21" t="n"/>
    </row>
    <row r="1342">
      <c r="B1342" s="37" t="n"/>
      <c r="C1342" s="62" t="n"/>
      <c r="D1342" s="63" t="n"/>
      <c r="F1342" s="65" t="n"/>
      <c r="G1342" s="65" t="n"/>
      <c r="H1342" s="71" t="n"/>
      <c r="I1342" s="71" t="n"/>
      <c r="J1342" s="21" t="n"/>
    </row>
    <row r="1343">
      <c r="B1343" s="37" t="n"/>
      <c r="C1343" s="62" t="n"/>
      <c r="D1343" s="63" t="n"/>
      <c r="F1343" s="65" t="n"/>
      <c r="G1343" s="65" t="n"/>
      <c r="H1343" s="71" t="n"/>
      <c r="I1343" s="71" t="n"/>
      <c r="J1343" s="21" t="n"/>
    </row>
    <row r="1344">
      <c r="B1344" s="37" t="n"/>
      <c r="C1344" s="62" t="n"/>
      <c r="D1344" s="63" t="n"/>
      <c r="F1344" s="65" t="n"/>
      <c r="G1344" s="65" t="n"/>
      <c r="H1344" s="71" t="n"/>
      <c r="I1344" s="71" t="n"/>
      <c r="J1344" s="21" t="n"/>
    </row>
    <row r="1345">
      <c r="B1345" s="37" t="n"/>
      <c r="C1345" s="62" t="n"/>
      <c r="D1345" s="63" t="n"/>
      <c r="F1345" s="65" t="n"/>
      <c r="G1345" s="65" t="n"/>
      <c r="H1345" s="71" t="n"/>
      <c r="I1345" s="71" t="n"/>
      <c r="J1345" s="21" t="n"/>
    </row>
    <row r="1346">
      <c r="B1346" s="37" t="n"/>
      <c r="C1346" s="62" t="n"/>
      <c r="D1346" s="63" t="n"/>
      <c r="F1346" s="65" t="n"/>
      <c r="G1346" s="65" t="n"/>
      <c r="H1346" s="71" t="n"/>
      <c r="I1346" s="71" t="n"/>
      <c r="J1346" s="21" t="n"/>
    </row>
    <row r="1347">
      <c r="B1347" s="37" t="n"/>
      <c r="C1347" s="62" t="n"/>
      <c r="D1347" s="63" t="n"/>
      <c r="F1347" s="65" t="n"/>
      <c r="G1347" s="65" t="n"/>
      <c r="H1347" s="71" t="n"/>
      <c r="I1347" s="71" t="n"/>
      <c r="J1347" s="21" t="n"/>
    </row>
    <row r="1348">
      <c r="B1348" s="37" t="n"/>
      <c r="C1348" s="62" t="n"/>
      <c r="D1348" s="63" t="n"/>
      <c r="F1348" s="65" t="n"/>
      <c r="G1348" s="65" t="n"/>
      <c r="H1348" s="71" t="n"/>
      <c r="I1348" s="71" t="n"/>
      <c r="J1348" s="21" t="n"/>
    </row>
    <row r="1349">
      <c r="B1349" s="37" t="n"/>
      <c r="C1349" s="62" t="n"/>
      <c r="D1349" s="63" t="n"/>
      <c r="F1349" s="65" t="n"/>
      <c r="G1349" s="65" t="n"/>
      <c r="H1349" s="71" t="n"/>
      <c r="I1349" s="71" t="n"/>
      <c r="J1349" s="21" t="n"/>
    </row>
    <row r="1350">
      <c r="B1350" s="37" t="n"/>
      <c r="C1350" s="62" t="n"/>
      <c r="D1350" s="63" t="n"/>
      <c r="F1350" s="65" t="n"/>
      <c r="G1350" s="65" t="n"/>
      <c r="H1350" s="71" t="n"/>
      <c r="I1350" s="71" t="n"/>
      <c r="J1350" s="21" t="n"/>
    </row>
    <row r="1351">
      <c r="B1351" s="37" t="n"/>
      <c r="C1351" s="62" t="n"/>
      <c r="D1351" s="63" t="n"/>
      <c r="F1351" s="65" t="n"/>
      <c r="G1351" s="65" t="n"/>
      <c r="H1351" s="71" t="n"/>
      <c r="I1351" s="71" t="n"/>
      <c r="J1351" s="21" t="n"/>
    </row>
    <row r="1352">
      <c r="B1352" s="37" t="n"/>
      <c r="C1352" s="62" t="n"/>
      <c r="D1352" s="63" t="n"/>
      <c r="F1352" s="65" t="n"/>
      <c r="G1352" s="65" t="n"/>
      <c r="H1352" s="71" t="n"/>
      <c r="I1352" s="71" t="n"/>
      <c r="J1352" s="21" t="n"/>
    </row>
    <row r="1353">
      <c r="B1353" s="37" t="n"/>
      <c r="C1353" s="62" t="n"/>
      <c r="D1353" s="63" t="n"/>
      <c r="F1353" s="65" t="n"/>
      <c r="G1353" s="65" t="n"/>
      <c r="H1353" s="71" t="n"/>
      <c r="I1353" s="71" t="n"/>
      <c r="J1353" s="21" t="n"/>
    </row>
    <row r="1354">
      <c r="B1354" s="37" t="n"/>
      <c r="C1354" s="62" t="n"/>
      <c r="D1354" s="63" t="n"/>
      <c r="F1354" s="65" t="n"/>
      <c r="G1354" s="65" t="n"/>
      <c r="H1354" s="71" t="n"/>
      <c r="I1354" s="71" t="n"/>
      <c r="J1354" s="21" t="n"/>
    </row>
    <row r="1355">
      <c r="B1355" s="37" t="n"/>
      <c r="C1355" s="62" t="n"/>
      <c r="D1355" s="63" t="n"/>
      <c r="F1355" s="65" t="n"/>
      <c r="G1355" s="65" t="n"/>
      <c r="H1355" s="71" t="n"/>
      <c r="I1355" s="71" t="n"/>
      <c r="J1355" s="21" t="n"/>
    </row>
    <row r="1356">
      <c r="B1356" s="37" t="n"/>
      <c r="C1356" s="62" t="n"/>
      <c r="D1356" s="63" t="n"/>
      <c r="F1356" s="65" t="n"/>
      <c r="G1356" s="65" t="n"/>
      <c r="H1356" s="71" t="n"/>
      <c r="I1356" s="71" t="n"/>
      <c r="J1356" s="21" t="n"/>
    </row>
    <row r="1357">
      <c r="B1357" s="37" t="n"/>
      <c r="C1357" s="62" t="n"/>
      <c r="D1357" s="63" t="n"/>
      <c r="F1357" s="65" t="n"/>
      <c r="G1357" s="65" t="n"/>
      <c r="H1357" s="71" t="n"/>
      <c r="I1357" s="71" t="n"/>
      <c r="J1357" s="21" t="n"/>
    </row>
    <row r="1358">
      <c r="B1358" s="37" t="n"/>
      <c r="C1358" s="62" t="n"/>
      <c r="D1358" s="63" t="n"/>
      <c r="F1358" s="65" t="n"/>
      <c r="G1358" s="65" t="n"/>
      <c r="H1358" s="71" t="n"/>
      <c r="I1358" s="71" t="n"/>
      <c r="J1358" s="21" t="n"/>
    </row>
    <row r="1359">
      <c r="B1359" s="37" t="n"/>
      <c r="C1359" s="62" t="n"/>
      <c r="D1359" s="63" t="n"/>
      <c r="F1359" s="65" t="n"/>
      <c r="G1359" s="65" t="n"/>
      <c r="H1359" s="71" t="n"/>
      <c r="I1359" s="71" t="n"/>
      <c r="J1359" s="21" t="n"/>
    </row>
    <row r="1360">
      <c r="B1360" s="37" t="n"/>
      <c r="C1360" s="62" t="n"/>
      <c r="D1360" s="63" t="n"/>
      <c r="F1360" s="65" t="n"/>
      <c r="G1360" s="65" t="n"/>
      <c r="H1360" s="71" t="n"/>
      <c r="I1360" s="71" t="n"/>
      <c r="J1360" s="21" t="n"/>
    </row>
    <row r="1361">
      <c r="B1361" s="37" t="n"/>
      <c r="C1361" s="62" t="n"/>
      <c r="D1361" s="63" t="n"/>
      <c r="F1361" s="65" t="n"/>
      <c r="G1361" s="65" t="n"/>
      <c r="H1361" s="71" t="n"/>
      <c r="I1361" s="71" t="n"/>
      <c r="J1361" s="21" t="n"/>
    </row>
    <row r="1362">
      <c r="B1362" s="37" t="n"/>
      <c r="C1362" s="62" t="n"/>
      <c r="D1362" s="63" t="n"/>
      <c r="F1362" s="65" t="n"/>
      <c r="G1362" s="65" t="n"/>
      <c r="H1362" s="71" t="n"/>
      <c r="I1362" s="71" t="n"/>
      <c r="J1362" s="21" t="n"/>
    </row>
    <row r="1363">
      <c r="B1363" s="37" t="n"/>
      <c r="C1363" s="62" t="n"/>
      <c r="D1363" s="63" t="n"/>
      <c r="F1363" s="65" t="n"/>
      <c r="G1363" s="65" t="n"/>
      <c r="H1363" s="71" t="n"/>
      <c r="I1363" s="71" t="n"/>
      <c r="J1363" s="21" t="n"/>
    </row>
    <row r="1364">
      <c r="B1364" s="37" t="n"/>
      <c r="C1364" s="62" t="n"/>
      <c r="D1364" s="63" t="n"/>
      <c r="F1364" s="65" t="n"/>
      <c r="G1364" s="65" t="n"/>
      <c r="H1364" s="71" t="n"/>
      <c r="I1364" s="71" t="n"/>
      <c r="J1364" s="21" t="n"/>
    </row>
    <row r="1365">
      <c r="B1365" s="37" t="n"/>
      <c r="C1365" s="62" t="n"/>
      <c r="D1365" s="63" t="n"/>
      <c r="F1365" s="65" t="n"/>
      <c r="G1365" s="65" t="n"/>
      <c r="H1365" s="71" t="n"/>
      <c r="I1365" s="71" t="n"/>
      <c r="J1365" s="21" t="n"/>
    </row>
    <row r="1366">
      <c r="B1366" s="37" t="n"/>
      <c r="C1366" s="62" t="n"/>
      <c r="D1366" s="63" t="n"/>
      <c r="F1366" s="65" t="n"/>
      <c r="G1366" s="65" t="n"/>
      <c r="H1366" s="71" t="n"/>
      <c r="I1366" s="71" t="n"/>
      <c r="J1366" s="21" t="n"/>
    </row>
    <row r="1367">
      <c r="B1367" s="37" t="n"/>
      <c r="C1367" s="62" t="n"/>
      <c r="D1367" s="63" t="n"/>
      <c r="F1367" s="65" t="n"/>
      <c r="G1367" s="65" t="n"/>
      <c r="H1367" s="71" t="n"/>
      <c r="I1367" s="71" t="n"/>
      <c r="J1367" s="21" t="n"/>
    </row>
    <row r="1368">
      <c r="B1368" s="37" t="n"/>
      <c r="C1368" s="62" t="n"/>
      <c r="D1368" s="63" t="n"/>
      <c r="F1368" s="65" t="n"/>
      <c r="G1368" s="65" t="n"/>
      <c r="H1368" s="71" t="n"/>
      <c r="I1368" s="71" t="n"/>
      <c r="J1368" s="21" t="n"/>
    </row>
    <row r="1369">
      <c r="B1369" s="37" t="n"/>
      <c r="C1369" s="62" t="n"/>
      <c r="D1369" s="63" t="n"/>
      <c r="F1369" s="65" t="n"/>
      <c r="G1369" s="65" t="n"/>
      <c r="H1369" s="71" t="n"/>
      <c r="I1369" s="71" t="n"/>
      <c r="J1369" s="21" t="n"/>
    </row>
    <row r="1370">
      <c r="B1370" s="37" t="n"/>
      <c r="C1370" s="62" t="n"/>
      <c r="D1370" s="63" t="n"/>
      <c r="F1370" s="65" t="n"/>
      <c r="G1370" s="65" t="n"/>
      <c r="H1370" s="71" t="n"/>
      <c r="I1370" s="71" t="n"/>
      <c r="J1370" s="21" t="n"/>
    </row>
    <row r="1371">
      <c r="B1371" s="37" t="n"/>
      <c r="C1371" s="62" t="n"/>
      <c r="D1371" s="63" t="n"/>
      <c r="F1371" s="65" t="n"/>
      <c r="G1371" s="65" t="n"/>
      <c r="H1371" s="71" t="n"/>
      <c r="I1371" s="71" t="n"/>
      <c r="J1371" s="21" t="n"/>
    </row>
    <row r="1372">
      <c r="B1372" s="37" t="n"/>
      <c r="C1372" s="62" t="n"/>
      <c r="D1372" s="63" t="n"/>
      <c r="F1372" s="65" t="n"/>
      <c r="G1372" s="65" t="n"/>
      <c r="H1372" s="71" t="n"/>
      <c r="I1372" s="71" t="n"/>
      <c r="J1372" s="21" t="n"/>
    </row>
    <row r="1373">
      <c r="B1373" s="37" t="n"/>
      <c r="C1373" s="62" t="n"/>
      <c r="D1373" s="63" t="n"/>
      <c r="F1373" s="65" t="n"/>
      <c r="G1373" s="65" t="n"/>
      <c r="H1373" s="71" t="n"/>
      <c r="I1373" s="71" t="n"/>
      <c r="J1373" s="21" t="n"/>
    </row>
    <row r="1374">
      <c r="B1374" s="37" t="n"/>
      <c r="C1374" s="62" t="n"/>
      <c r="D1374" s="63" t="n"/>
      <c r="F1374" s="65" t="n"/>
      <c r="G1374" s="65" t="n"/>
      <c r="H1374" s="71" t="n"/>
      <c r="I1374" s="71" t="n"/>
      <c r="J1374" s="21" t="n"/>
    </row>
    <row r="1375">
      <c r="B1375" s="37" t="n"/>
      <c r="C1375" s="62" t="n"/>
      <c r="D1375" s="63" t="n"/>
      <c r="F1375" s="65" t="n"/>
      <c r="G1375" s="65" t="n"/>
      <c r="H1375" s="71" t="n"/>
      <c r="I1375" s="71" t="n"/>
      <c r="J1375" s="21" t="n"/>
    </row>
    <row r="1376">
      <c r="B1376" s="37" t="n"/>
      <c r="C1376" s="62" t="n"/>
      <c r="D1376" s="63" t="n"/>
      <c r="F1376" s="65" t="n"/>
      <c r="G1376" s="65" t="n"/>
      <c r="H1376" s="71" t="n"/>
      <c r="I1376" s="71" t="n"/>
      <c r="J1376" s="21" t="n"/>
    </row>
    <row r="1377">
      <c r="B1377" s="37" t="n"/>
      <c r="C1377" s="62" t="n"/>
      <c r="D1377" s="63" t="n"/>
      <c r="F1377" s="65" t="n"/>
      <c r="G1377" s="65" t="n"/>
      <c r="H1377" s="71" t="n"/>
      <c r="I1377" s="71" t="n"/>
      <c r="J1377" s="21" t="n"/>
    </row>
    <row r="1378">
      <c r="B1378" s="37" t="n"/>
      <c r="C1378" s="62" t="n"/>
      <c r="D1378" s="63" t="n"/>
      <c r="F1378" s="65" t="n"/>
      <c r="G1378" s="65" t="n"/>
      <c r="H1378" s="71" t="n"/>
      <c r="I1378" s="71" t="n"/>
      <c r="J1378" s="21" t="n"/>
    </row>
    <row r="1379">
      <c r="B1379" s="37" t="n"/>
      <c r="C1379" s="62" t="n"/>
      <c r="D1379" s="63" t="n"/>
      <c r="F1379" s="65" t="n"/>
      <c r="G1379" s="65" t="n"/>
      <c r="H1379" s="71" t="n"/>
      <c r="I1379" s="71" t="n"/>
      <c r="J1379" s="21" t="n"/>
    </row>
    <row r="1380">
      <c r="B1380" s="37" t="n"/>
      <c r="C1380" s="62" t="n"/>
      <c r="D1380" s="63" t="n"/>
      <c r="F1380" s="65" t="n"/>
      <c r="G1380" s="65" t="n"/>
      <c r="H1380" s="71" t="n"/>
      <c r="I1380" s="71" t="n"/>
      <c r="J1380" s="21" t="n"/>
    </row>
    <row r="1381">
      <c r="B1381" s="37" t="n"/>
      <c r="C1381" s="62" t="n"/>
      <c r="D1381" s="63" t="n"/>
      <c r="F1381" s="65" t="n"/>
      <c r="G1381" s="65" t="n"/>
      <c r="H1381" s="71" t="n"/>
      <c r="I1381" s="71" t="n"/>
      <c r="J1381" s="21" t="n"/>
    </row>
    <row r="1382">
      <c r="B1382" s="37" t="n"/>
      <c r="C1382" s="62" t="n"/>
      <c r="D1382" s="63" t="n"/>
      <c r="F1382" s="65" t="n"/>
      <c r="G1382" s="65" t="n"/>
      <c r="H1382" s="71" t="n"/>
      <c r="I1382" s="71" t="n"/>
      <c r="J1382" s="21" t="n"/>
    </row>
    <row r="1383">
      <c r="B1383" s="37" t="n"/>
      <c r="C1383" s="62" t="n"/>
      <c r="D1383" s="63" t="n"/>
      <c r="F1383" s="65" t="n"/>
      <c r="G1383" s="65" t="n"/>
      <c r="H1383" s="71" t="n"/>
      <c r="I1383" s="71" t="n"/>
      <c r="J1383" s="21" t="n"/>
    </row>
    <row r="1384">
      <c r="B1384" s="37" t="n"/>
      <c r="C1384" s="62" t="n"/>
      <c r="D1384" s="63" t="n"/>
      <c r="F1384" s="65" t="n"/>
      <c r="G1384" s="65" t="n"/>
      <c r="H1384" s="71" t="n"/>
      <c r="I1384" s="71" t="n"/>
      <c r="J1384" s="21" t="n"/>
    </row>
    <row r="1385">
      <c r="B1385" s="37" t="n"/>
      <c r="C1385" s="62" t="n"/>
      <c r="D1385" s="63" t="n"/>
      <c r="F1385" s="65" t="n"/>
      <c r="G1385" s="65" t="n"/>
      <c r="H1385" s="71" t="n"/>
      <c r="I1385" s="71" t="n"/>
      <c r="J1385" s="21" t="n"/>
    </row>
    <row r="1386">
      <c r="B1386" s="37" t="n"/>
      <c r="C1386" s="62" t="n"/>
      <c r="D1386" s="63" t="n"/>
      <c r="F1386" s="65" t="n"/>
      <c r="G1386" s="65" t="n"/>
      <c r="H1386" s="71" t="n"/>
      <c r="I1386" s="71" t="n"/>
      <c r="J1386" s="21" t="n"/>
    </row>
    <row r="1387">
      <c r="B1387" s="37" t="n"/>
      <c r="C1387" s="62" t="n"/>
      <c r="D1387" s="63" t="n"/>
      <c r="F1387" s="65" t="n"/>
      <c r="G1387" s="65" t="n"/>
      <c r="H1387" s="71" t="n"/>
      <c r="I1387" s="71" t="n"/>
      <c r="J1387" s="21" t="n"/>
    </row>
    <row r="1388">
      <c r="B1388" s="37" t="n"/>
      <c r="C1388" s="62" t="n"/>
      <c r="D1388" s="63" t="n"/>
      <c r="F1388" s="65" t="n"/>
      <c r="G1388" s="65" t="n"/>
      <c r="H1388" s="71" t="n"/>
      <c r="I1388" s="71" t="n"/>
      <c r="J1388" s="21" t="n"/>
    </row>
    <row r="1389">
      <c r="B1389" s="37" t="n"/>
      <c r="C1389" s="62" t="n"/>
      <c r="D1389" s="63" t="n"/>
      <c r="F1389" s="65" t="n"/>
      <c r="G1389" s="65" t="n"/>
      <c r="H1389" s="71" t="n"/>
      <c r="I1389" s="71" t="n"/>
      <c r="J1389" s="21" t="n"/>
    </row>
    <row r="1390">
      <c r="B1390" s="37" t="n"/>
      <c r="C1390" s="62" t="n"/>
      <c r="D1390" s="63" t="n"/>
      <c r="F1390" s="65" t="n"/>
      <c r="G1390" s="65" t="n"/>
      <c r="H1390" s="71" t="n"/>
      <c r="I1390" s="71" t="n"/>
      <c r="J1390" s="21" t="n"/>
    </row>
    <row r="1391">
      <c r="B1391" s="37" t="n"/>
      <c r="C1391" s="62" t="n"/>
      <c r="D1391" s="63" t="n"/>
      <c r="F1391" s="65" t="n"/>
      <c r="G1391" s="65" t="n"/>
      <c r="H1391" s="71" t="n"/>
      <c r="I1391" s="71" t="n"/>
      <c r="J1391" s="21" t="n"/>
    </row>
    <row r="1392">
      <c r="B1392" s="37" t="n"/>
      <c r="C1392" s="62" t="n"/>
      <c r="D1392" s="63" t="n"/>
      <c r="F1392" s="65" t="n"/>
      <c r="G1392" s="65" t="n"/>
      <c r="H1392" s="71" t="n"/>
      <c r="I1392" s="71" t="n"/>
      <c r="J1392" s="21" t="n"/>
    </row>
    <row r="1393">
      <c r="B1393" s="37" t="n"/>
      <c r="C1393" s="62" t="n"/>
      <c r="D1393" s="63" t="n"/>
      <c r="F1393" s="65" t="n"/>
      <c r="G1393" s="65" t="n"/>
      <c r="H1393" s="71" t="n"/>
      <c r="I1393" s="71" t="n"/>
      <c r="J1393" s="21" t="n"/>
    </row>
    <row r="1394">
      <c r="B1394" s="37" t="n"/>
      <c r="C1394" s="62" t="n"/>
      <c r="D1394" s="63" t="n"/>
      <c r="F1394" s="65" t="n"/>
      <c r="G1394" s="65" t="n"/>
      <c r="H1394" s="71" t="n"/>
      <c r="I1394" s="71" t="n"/>
      <c r="J1394" s="21" t="n"/>
    </row>
    <row r="1395">
      <c r="B1395" s="37" t="n"/>
      <c r="C1395" s="62" t="n"/>
      <c r="D1395" s="63" t="n"/>
      <c r="F1395" s="65" t="n"/>
      <c r="G1395" s="65" t="n"/>
      <c r="H1395" s="71" t="n"/>
      <c r="I1395" s="71" t="n"/>
      <c r="J1395" s="21" t="n"/>
    </row>
    <row r="1396">
      <c r="B1396" s="37" t="n"/>
      <c r="C1396" s="62" t="n"/>
      <c r="D1396" s="63" t="n"/>
      <c r="F1396" s="65" t="n"/>
      <c r="G1396" s="65" t="n"/>
      <c r="H1396" s="71" t="n"/>
      <c r="I1396" s="71" t="n"/>
      <c r="J1396" s="21" t="n"/>
    </row>
    <row r="1397">
      <c r="B1397" s="37" t="n"/>
      <c r="C1397" s="62" t="n"/>
      <c r="D1397" s="63" t="n"/>
      <c r="F1397" s="65" t="n"/>
      <c r="G1397" s="65" t="n"/>
      <c r="H1397" s="71" t="n"/>
      <c r="I1397" s="71" t="n"/>
      <c r="J1397" s="21" t="n"/>
    </row>
    <row r="1398">
      <c r="B1398" s="37" t="n"/>
      <c r="C1398" s="62" t="n"/>
      <c r="D1398" s="63" t="n"/>
      <c r="F1398" s="65" t="n"/>
      <c r="G1398" s="65" t="n"/>
      <c r="H1398" s="71" t="n"/>
      <c r="I1398" s="71" t="n"/>
      <c r="J1398" s="21" t="n"/>
    </row>
    <row r="1399">
      <c r="B1399" s="37" t="n"/>
      <c r="C1399" s="62" t="n"/>
      <c r="D1399" s="63" t="n"/>
      <c r="F1399" s="65" t="n"/>
      <c r="G1399" s="65" t="n"/>
      <c r="H1399" s="71" t="n"/>
      <c r="I1399" s="71" t="n"/>
      <c r="J1399" s="21" t="n"/>
    </row>
    <row r="1400">
      <c r="B1400" s="37" t="n"/>
      <c r="C1400" s="62" t="n"/>
      <c r="D1400" s="63" t="n"/>
      <c r="F1400" s="65" t="n"/>
      <c r="G1400" s="65" t="n"/>
      <c r="H1400" s="71" t="n"/>
      <c r="I1400" s="71" t="n"/>
      <c r="J1400" s="21" t="n"/>
    </row>
    <row r="1401">
      <c r="B1401" s="37" t="n"/>
      <c r="C1401" s="62" t="n"/>
      <c r="D1401" s="63" t="n"/>
      <c r="F1401" s="65" t="n"/>
      <c r="G1401" s="65" t="n"/>
      <c r="H1401" s="71" t="n"/>
      <c r="I1401" s="71" t="n"/>
      <c r="J1401" s="21" t="n"/>
    </row>
    <row r="1402">
      <c r="B1402" s="37" t="n"/>
      <c r="C1402" s="62" t="n"/>
      <c r="D1402" s="63" t="n"/>
      <c r="F1402" s="65" t="n"/>
      <c r="G1402" s="65" t="n"/>
      <c r="H1402" s="71" t="n"/>
      <c r="I1402" s="71" t="n"/>
      <c r="J1402" s="21" t="n"/>
    </row>
    <row r="1403">
      <c r="B1403" s="37" t="n"/>
      <c r="C1403" s="62" t="n"/>
      <c r="D1403" s="63" t="n"/>
      <c r="F1403" s="65" t="n"/>
      <c r="G1403" s="65" t="n"/>
      <c r="H1403" s="71" t="n"/>
      <c r="I1403" s="71" t="n"/>
      <c r="J1403" s="21" t="n"/>
    </row>
    <row r="1404">
      <c r="B1404" s="37" t="n"/>
      <c r="C1404" s="62" t="n"/>
      <c r="D1404" s="63" t="n"/>
      <c r="F1404" s="65" t="n"/>
      <c r="G1404" s="65" t="n"/>
      <c r="H1404" s="71" t="n"/>
      <c r="I1404" s="71" t="n"/>
      <c r="J1404" s="21" t="n"/>
    </row>
    <row r="1405">
      <c r="B1405" s="37" t="n"/>
      <c r="C1405" s="62" t="n"/>
      <c r="D1405" s="63" t="n"/>
      <c r="F1405" s="65" t="n"/>
      <c r="G1405" s="65" t="n"/>
      <c r="H1405" s="71" t="n"/>
      <c r="I1405" s="71" t="n"/>
      <c r="J1405" s="21" t="n"/>
    </row>
    <row r="1406">
      <c r="B1406" s="37" t="n"/>
      <c r="C1406" s="62" t="n"/>
      <c r="D1406" s="63" t="n"/>
      <c r="F1406" s="65" t="n"/>
      <c r="G1406" s="65" t="n"/>
      <c r="H1406" s="71" t="n"/>
      <c r="I1406" s="71" t="n"/>
      <c r="J1406" s="21" t="n"/>
    </row>
    <row r="1407">
      <c r="B1407" s="37" t="n"/>
      <c r="C1407" s="62" t="n"/>
      <c r="D1407" s="63" t="n"/>
      <c r="F1407" s="65" t="n"/>
      <c r="G1407" s="65" t="n"/>
      <c r="H1407" s="71" t="n"/>
      <c r="I1407" s="71" t="n"/>
      <c r="J1407" s="21" t="n"/>
    </row>
    <row r="1408">
      <c r="B1408" s="37" t="n"/>
      <c r="C1408" s="62" t="n"/>
      <c r="D1408" s="63" t="n"/>
      <c r="F1408" s="65" t="n"/>
      <c r="G1408" s="65" t="n"/>
      <c r="H1408" s="71" t="n"/>
      <c r="I1408" s="71" t="n"/>
      <c r="J1408" s="21" t="n"/>
    </row>
    <row r="1409">
      <c r="B1409" s="37" t="n"/>
      <c r="C1409" s="62" t="n"/>
      <c r="D1409" s="63" t="n"/>
      <c r="F1409" s="65" t="n"/>
      <c r="G1409" s="65" t="n"/>
      <c r="H1409" s="71" t="n"/>
      <c r="I1409" s="71" t="n"/>
      <c r="J1409" s="21" t="n"/>
    </row>
    <row r="1410">
      <c r="B1410" s="37" t="n"/>
      <c r="C1410" s="62" t="n"/>
      <c r="D1410" s="63" t="n"/>
      <c r="F1410" s="65" t="n"/>
      <c r="G1410" s="65" t="n"/>
      <c r="H1410" s="71" t="n"/>
      <c r="I1410" s="71" t="n"/>
      <c r="J1410" s="21" t="n"/>
    </row>
    <row r="1411">
      <c r="B1411" s="37" t="n"/>
      <c r="C1411" s="62" t="n"/>
      <c r="D1411" s="63" t="n"/>
      <c r="F1411" s="65" t="n"/>
      <c r="G1411" s="65" t="n"/>
      <c r="H1411" s="71" t="n"/>
      <c r="I1411" s="71" t="n"/>
      <c r="J1411" s="21" t="n"/>
    </row>
    <row r="1412">
      <c r="B1412" s="37" t="n"/>
      <c r="C1412" s="62" t="n"/>
      <c r="D1412" s="63" t="n"/>
      <c r="F1412" s="65" t="n"/>
      <c r="G1412" s="65" t="n"/>
      <c r="H1412" s="71" t="n"/>
      <c r="I1412" s="71" t="n"/>
      <c r="J1412" s="21" t="n"/>
    </row>
    <row r="1413">
      <c r="B1413" s="37" t="n"/>
      <c r="C1413" s="62" t="n"/>
      <c r="D1413" s="63" t="n"/>
      <c r="F1413" s="65" t="n"/>
      <c r="G1413" s="65" t="n"/>
      <c r="H1413" s="71" t="n"/>
      <c r="I1413" s="71" t="n"/>
      <c r="J1413" s="21" t="n"/>
    </row>
    <row r="1414">
      <c r="B1414" s="37" t="n"/>
      <c r="C1414" s="62" t="n"/>
      <c r="D1414" s="63" t="n"/>
      <c r="F1414" s="65" t="n"/>
      <c r="G1414" s="65" t="n"/>
      <c r="H1414" s="71" t="n"/>
      <c r="I1414" s="71" t="n"/>
      <c r="J1414" s="21" t="n"/>
    </row>
    <row r="1415">
      <c r="B1415" s="37" t="n"/>
      <c r="C1415" s="62" t="n"/>
      <c r="D1415" s="63" t="n"/>
      <c r="F1415" s="65" t="n"/>
      <c r="G1415" s="65" t="n"/>
      <c r="H1415" s="71" t="n"/>
      <c r="I1415" s="71" t="n"/>
      <c r="J1415" s="21" t="n"/>
    </row>
    <row r="1416">
      <c r="B1416" s="37" t="n"/>
      <c r="C1416" s="62" t="n"/>
      <c r="D1416" s="63" t="n"/>
      <c r="F1416" s="65" t="n"/>
      <c r="G1416" s="65" t="n"/>
      <c r="H1416" s="71" t="n"/>
      <c r="I1416" s="71" t="n"/>
      <c r="J1416" s="21" t="n"/>
    </row>
    <row r="1417">
      <c r="B1417" s="37" t="n"/>
      <c r="C1417" s="62" t="n"/>
      <c r="D1417" s="63" t="n"/>
      <c r="F1417" s="65" t="n"/>
      <c r="G1417" s="65" t="n"/>
      <c r="H1417" s="71" t="n"/>
      <c r="I1417" s="71" t="n"/>
      <c r="J1417" s="21" t="n"/>
    </row>
    <row r="1418">
      <c r="B1418" s="37" t="n"/>
      <c r="C1418" s="62" t="n"/>
      <c r="D1418" s="63" t="n"/>
      <c r="F1418" s="65" t="n"/>
      <c r="G1418" s="65" t="n"/>
      <c r="H1418" s="71" t="n"/>
      <c r="I1418" s="71" t="n"/>
      <c r="J1418" s="21" t="n"/>
    </row>
    <row r="1419">
      <c r="B1419" s="37" t="n"/>
      <c r="C1419" s="62" t="n"/>
      <c r="D1419" s="63" t="n"/>
      <c r="F1419" s="65" t="n"/>
      <c r="G1419" s="65" t="n"/>
      <c r="H1419" s="71" t="n"/>
      <c r="I1419" s="71" t="n"/>
      <c r="J1419" s="21" t="n"/>
    </row>
    <row r="1420">
      <c r="B1420" s="37" t="n"/>
      <c r="C1420" s="62" t="n"/>
      <c r="D1420" s="63" t="n"/>
      <c r="F1420" s="65" t="n"/>
      <c r="G1420" s="65" t="n"/>
      <c r="H1420" s="71" t="n"/>
      <c r="I1420" s="71" t="n"/>
      <c r="J1420" s="21" t="n"/>
    </row>
    <row r="1421">
      <c r="B1421" s="37" t="n"/>
      <c r="C1421" s="62" t="n"/>
      <c r="D1421" s="63" t="n"/>
      <c r="F1421" s="65" t="n"/>
      <c r="G1421" s="65" t="n"/>
      <c r="H1421" s="71" t="n"/>
      <c r="I1421" s="71" t="n"/>
      <c r="J1421" s="21" t="n"/>
    </row>
    <row r="1422">
      <c r="B1422" s="37" t="n"/>
      <c r="C1422" s="62" t="n"/>
      <c r="D1422" s="63" t="n"/>
      <c r="F1422" s="65" t="n"/>
      <c r="G1422" s="65" t="n"/>
      <c r="H1422" s="71" t="n"/>
      <c r="I1422" s="71" t="n"/>
      <c r="J1422" s="21" t="n"/>
    </row>
    <row r="1423">
      <c r="B1423" s="37" t="n"/>
      <c r="C1423" s="62" t="n"/>
      <c r="D1423" s="63" t="n"/>
      <c r="F1423" s="65" t="n"/>
      <c r="G1423" s="65" t="n"/>
      <c r="H1423" s="71" t="n"/>
      <c r="I1423" s="71" t="n"/>
      <c r="J1423" s="21" t="n"/>
    </row>
    <row r="1424">
      <c r="B1424" s="37" t="n"/>
      <c r="C1424" s="62" t="n"/>
      <c r="D1424" s="63" t="n"/>
      <c r="F1424" s="65" t="n"/>
      <c r="G1424" s="65" t="n"/>
      <c r="H1424" s="71" t="n"/>
      <c r="I1424" s="71" t="n"/>
      <c r="J1424" s="21" t="n"/>
    </row>
    <row r="1425">
      <c r="B1425" s="37" t="n"/>
      <c r="C1425" s="62" t="n"/>
      <c r="D1425" s="63" t="n"/>
      <c r="F1425" s="65" t="n"/>
      <c r="G1425" s="65" t="n"/>
      <c r="H1425" s="71" t="n"/>
      <c r="I1425" s="71" t="n"/>
      <c r="J1425" s="21" t="n"/>
    </row>
    <row r="1426">
      <c r="B1426" s="37" t="n"/>
      <c r="C1426" s="62" t="n"/>
      <c r="D1426" s="63" t="n"/>
      <c r="F1426" s="65" t="n"/>
      <c r="G1426" s="65" t="n"/>
      <c r="H1426" s="71" t="n"/>
      <c r="I1426" s="71" t="n"/>
      <c r="J1426" s="21" t="n"/>
    </row>
    <row r="1427">
      <c r="B1427" s="37" t="n"/>
      <c r="C1427" s="62" t="n"/>
      <c r="D1427" s="63" t="n"/>
      <c r="F1427" s="65" t="n"/>
      <c r="G1427" s="65" t="n"/>
      <c r="H1427" s="71" t="n"/>
      <c r="I1427" s="71" t="n"/>
      <c r="J1427" s="21" t="n"/>
    </row>
    <row r="1428">
      <c r="B1428" s="37" t="n"/>
      <c r="C1428" s="62" t="n"/>
      <c r="D1428" s="63" t="n"/>
      <c r="F1428" s="65" t="n"/>
      <c r="G1428" s="65" t="n"/>
      <c r="H1428" s="71" t="n"/>
      <c r="I1428" s="71" t="n"/>
      <c r="J1428" s="21" t="n"/>
    </row>
    <row r="1429">
      <c r="B1429" s="37" t="n"/>
      <c r="C1429" s="62" t="n"/>
      <c r="D1429" s="63" t="n"/>
      <c r="F1429" s="65" t="n"/>
      <c r="G1429" s="65" t="n"/>
      <c r="H1429" s="71" t="n"/>
      <c r="I1429" s="71" t="n"/>
      <c r="J1429" s="21" t="n"/>
    </row>
    <row r="1430">
      <c r="B1430" s="37" t="n"/>
      <c r="C1430" s="62" t="n"/>
      <c r="D1430" s="63" t="n"/>
      <c r="F1430" s="65" t="n"/>
      <c r="G1430" s="65" t="n"/>
      <c r="H1430" s="71" t="n"/>
      <c r="I1430" s="71" t="n"/>
      <c r="J1430" s="21" t="n"/>
    </row>
    <row r="1431">
      <c r="B1431" s="37" t="n"/>
      <c r="C1431" s="62" t="n"/>
      <c r="D1431" s="63" t="n"/>
      <c r="F1431" s="65" t="n"/>
      <c r="G1431" s="65" t="n"/>
      <c r="H1431" s="71" t="n"/>
      <c r="I1431" s="71" t="n"/>
      <c r="J1431" s="21" t="n"/>
    </row>
    <row r="1432">
      <c r="B1432" s="37" t="n"/>
      <c r="C1432" s="62" t="n"/>
      <c r="D1432" s="63" t="n"/>
      <c r="F1432" s="65" t="n"/>
      <c r="G1432" s="65" t="n"/>
      <c r="H1432" s="71" t="n"/>
      <c r="I1432" s="71" t="n"/>
      <c r="J1432" s="21" t="n"/>
    </row>
    <row r="1433">
      <c r="B1433" s="37" t="n"/>
      <c r="C1433" s="62" t="n"/>
      <c r="D1433" s="63" t="n"/>
      <c r="F1433" s="65" t="n"/>
      <c r="G1433" s="65" t="n"/>
      <c r="H1433" s="71" t="n"/>
      <c r="I1433" s="71" t="n"/>
      <c r="J1433" s="21" t="n"/>
    </row>
    <row r="1434">
      <c r="B1434" s="37" t="n"/>
      <c r="C1434" s="62" t="n"/>
      <c r="D1434" s="63" t="n"/>
      <c r="F1434" s="65" t="n"/>
      <c r="G1434" s="65" t="n"/>
      <c r="H1434" s="71" t="n"/>
      <c r="I1434" s="71" t="n"/>
      <c r="J1434" s="21" t="n"/>
    </row>
    <row r="1435">
      <c r="B1435" s="37" t="n"/>
      <c r="C1435" s="62" t="n"/>
      <c r="D1435" s="63" t="n"/>
      <c r="F1435" s="65" t="n"/>
      <c r="G1435" s="65" t="n"/>
      <c r="H1435" s="71" t="n"/>
      <c r="I1435" s="71" t="n"/>
      <c r="J1435" s="21" t="n"/>
    </row>
    <row r="1436">
      <c r="B1436" s="37" t="n"/>
      <c r="C1436" s="62" t="n"/>
      <c r="D1436" s="63" t="n"/>
      <c r="F1436" s="65" t="n"/>
      <c r="G1436" s="65" t="n"/>
      <c r="H1436" s="71" t="n"/>
      <c r="I1436" s="71" t="n"/>
      <c r="J1436" s="21" t="n"/>
    </row>
    <row r="1437">
      <c r="B1437" s="37" t="n"/>
      <c r="C1437" s="62" t="n"/>
      <c r="D1437" s="63" t="n"/>
      <c r="F1437" s="65" t="n"/>
      <c r="G1437" s="65" t="n"/>
      <c r="H1437" s="71" t="n"/>
      <c r="I1437" s="71" t="n"/>
      <c r="J1437" s="21" t="n"/>
    </row>
    <row r="1438">
      <c r="B1438" s="37" t="n"/>
      <c r="C1438" s="62" t="n"/>
      <c r="D1438" s="63" t="n"/>
      <c r="F1438" s="65" t="n"/>
      <c r="G1438" s="65" t="n"/>
      <c r="H1438" s="71" t="n"/>
      <c r="I1438" s="71" t="n"/>
      <c r="J1438" s="21" t="n"/>
    </row>
    <row r="1439">
      <c r="B1439" s="37" t="n"/>
      <c r="C1439" s="62" t="n"/>
      <c r="D1439" s="63" t="n"/>
      <c r="F1439" s="65" t="n"/>
      <c r="G1439" s="65" t="n"/>
      <c r="H1439" s="71" t="n"/>
      <c r="I1439" s="71" t="n"/>
      <c r="J1439" s="21" t="n"/>
    </row>
    <row r="1440">
      <c r="B1440" s="37" t="n"/>
      <c r="C1440" s="62" t="n"/>
      <c r="D1440" s="63" t="n"/>
      <c r="F1440" s="65" t="n"/>
      <c r="G1440" s="65" t="n"/>
      <c r="H1440" s="71" t="n"/>
      <c r="I1440" s="71" t="n"/>
      <c r="J1440" s="21" t="n"/>
    </row>
    <row r="1441">
      <c r="B1441" s="37" t="n"/>
      <c r="C1441" s="62" t="n"/>
      <c r="D1441" s="63" t="n"/>
      <c r="F1441" s="65" t="n"/>
      <c r="G1441" s="65" t="n"/>
      <c r="H1441" s="71" t="n"/>
      <c r="I1441" s="71" t="n"/>
      <c r="J1441" s="21" t="n"/>
    </row>
    <row r="1442">
      <c r="B1442" s="37" t="n"/>
      <c r="C1442" s="62" t="n"/>
      <c r="D1442" s="63" t="n"/>
      <c r="F1442" s="65" t="n"/>
      <c r="G1442" s="65" t="n"/>
      <c r="H1442" s="71" t="n"/>
      <c r="I1442" s="71" t="n"/>
      <c r="J1442" s="21" t="n"/>
    </row>
    <row r="1443">
      <c r="B1443" s="37" t="n"/>
      <c r="C1443" s="62" t="n"/>
      <c r="D1443" s="63" t="n"/>
      <c r="F1443" s="65" t="n"/>
      <c r="G1443" s="65" t="n"/>
      <c r="H1443" s="71" t="n"/>
      <c r="I1443" s="71" t="n"/>
      <c r="J1443" s="21" t="n"/>
    </row>
    <row r="1444">
      <c r="B1444" s="37" t="n"/>
      <c r="C1444" s="62" t="n"/>
      <c r="D1444" s="63" t="n"/>
      <c r="F1444" s="65" t="n"/>
      <c r="G1444" s="65" t="n"/>
      <c r="H1444" s="71" t="n"/>
      <c r="I1444" s="71" t="n"/>
      <c r="J1444" s="21" t="n"/>
    </row>
    <row r="1445">
      <c r="B1445" s="37" t="n"/>
      <c r="C1445" s="62" t="n"/>
      <c r="D1445" s="63" t="n"/>
      <c r="F1445" s="65" t="n"/>
      <c r="G1445" s="65" t="n"/>
      <c r="H1445" s="71" t="n"/>
      <c r="I1445" s="71" t="n"/>
      <c r="J1445" s="21" t="n"/>
    </row>
    <row r="1446">
      <c r="B1446" s="37" t="n"/>
      <c r="C1446" s="62" t="n"/>
      <c r="D1446" s="63" t="n"/>
      <c r="F1446" s="65" t="n"/>
      <c r="G1446" s="65" t="n"/>
      <c r="H1446" s="71" t="n"/>
      <c r="I1446" s="71" t="n"/>
      <c r="J1446" s="21" t="n"/>
    </row>
    <row r="1447">
      <c r="B1447" s="37" t="n"/>
      <c r="C1447" s="62" t="n"/>
      <c r="D1447" s="63" t="n"/>
      <c r="F1447" s="65" t="n"/>
      <c r="G1447" s="65" t="n"/>
      <c r="H1447" s="71" t="n"/>
      <c r="I1447" s="71" t="n"/>
      <c r="J1447" s="21" t="n"/>
    </row>
    <row r="1448">
      <c r="B1448" s="37" t="n"/>
      <c r="C1448" s="62" t="n"/>
      <c r="D1448" s="63" t="n"/>
      <c r="F1448" s="65" t="n"/>
      <c r="G1448" s="65" t="n"/>
      <c r="H1448" s="71" t="n"/>
      <c r="I1448" s="71" t="n"/>
      <c r="J1448" s="21" t="n"/>
    </row>
    <row r="1449">
      <c r="B1449" s="37" t="n"/>
      <c r="C1449" s="62" t="n"/>
      <c r="D1449" s="63" t="n"/>
      <c r="F1449" s="65" t="n"/>
      <c r="G1449" s="65" t="n"/>
      <c r="H1449" s="71" t="n"/>
      <c r="I1449" s="71" t="n"/>
      <c r="J1449" s="21" t="n"/>
    </row>
    <row r="1450">
      <c r="B1450" s="37" t="n"/>
      <c r="C1450" s="62" t="n"/>
      <c r="D1450" s="63" t="n"/>
      <c r="F1450" s="65" t="n"/>
      <c r="G1450" s="65" t="n"/>
      <c r="H1450" s="71" t="n"/>
      <c r="I1450" s="71" t="n"/>
      <c r="J1450" s="21" t="n"/>
    </row>
    <row r="1451">
      <c r="B1451" s="37" t="n"/>
      <c r="C1451" s="62" t="n"/>
      <c r="D1451" s="63" t="n"/>
      <c r="F1451" s="65" t="n"/>
      <c r="G1451" s="65" t="n"/>
      <c r="H1451" s="71" t="n"/>
      <c r="I1451" s="71" t="n"/>
      <c r="J1451" s="21" t="n"/>
    </row>
    <row r="1452">
      <c r="B1452" s="37" t="n"/>
      <c r="C1452" s="62" t="n"/>
      <c r="D1452" s="63" t="n"/>
      <c r="F1452" s="65" t="n"/>
      <c r="G1452" s="65" t="n"/>
      <c r="H1452" s="71" t="n"/>
      <c r="I1452" s="71" t="n"/>
      <c r="J1452" s="21" t="n"/>
    </row>
    <row r="1453">
      <c r="B1453" s="37" t="n"/>
      <c r="C1453" s="62" t="n"/>
      <c r="D1453" s="63" t="n"/>
      <c r="F1453" s="65" t="n"/>
      <c r="G1453" s="65" t="n"/>
      <c r="H1453" s="71" t="n"/>
      <c r="I1453" s="71" t="n"/>
      <c r="J1453" s="21" t="n"/>
    </row>
    <row r="1454">
      <c r="B1454" s="37" t="n"/>
      <c r="C1454" s="62" t="n"/>
      <c r="D1454" s="63" t="n"/>
      <c r="F1454" s="65" t="n"/>
      <c r="G1454" s="65" t="n"/>
      <c r="H1454" s="71" t="n"/>
      <c r="I1454" s="71" t="n"/>
      <c r="J1454" s="21" t="n"/>
    </row>
    <row r="1455">
      <c r="B1455" s="37" t="n"/>
      <c r="C1455" s="62" t="n"/>
      <c r="D1455" s="63" t="n"/>
      <c r="F1455" s="65" t="n"/>
      <c r="G1455" s="65" t="n"/>
      <c r="H1455" s="71" t="n"/>
      <c r="I1455" s="71" t="n"/>
      <c r="J1455" s="21" t="n"/>
    </row>
    <row r="1456">
      <c r="B1456" s="37" t="n"/>
      <c r="C1456" s="62" t="n"/>
      <c r="D1456" s="63" t="n"/>
      <c r="F1456" s="65" t="n"/>
      <c r="G1456" s="65" t="n"/>
      <c r="H1456" s="71" t="n"/>
      <c r="I1456" s="71" t="n"/>
      <c r="J1456" s="21" t="n"/>
    </row>
    <row r="1457">
      <c r="B1457" s="37" t="n"/>
      <c r="C1457" s="62" t="n"/>
      <c r="D1457" s="63" t="n"/>
      <c r="F1457" s="65" t="n"/>
      <c r="G1457" s="65" t="n"/>
      <c r="H1457" s="71" t="n"/>
      <c r="I1457" s="71" t="n"/>
      <c r="J1457" s="21" t="n"/>
    </row>
    <row r="1458">
      <c r="B1458" s="37" t="n"/>
      <c r="C1458" s="62" t="n"/>
      <c r="D1458" s="63" t="n"/>
      <c r="F1458" s="65" t="n"/>
      <c r="G1458" s="65" t="n"/>
      <c r="H1458" s="71" t="n"/>
      <c r="I1458" s="71" t="n"/>
      <c r="J1458" s="21" t="n"/>
    </row>
    <row r="1459">
      <c r="B1459" s="37" t="n"/>
      <c r="C1459" s="62" t="n"/>
      <c r="D1459" s="63" t="n"/>
      <c r="F1459" s="65" t="n"/>
      <c r="G1459" s="65" t="n"/>
      <c r="H1459" s="71" t="n"/>
      <c r="I1459" s="71" t="n"/>
      <c r="J1459" s="21" t="n"/>
    </row>
    <row r="1460">
      <c r="B1460" s="37" t="n"/>
      <c r="C1460" s="62" t="n"/>
      <c r="D1460" s="63" t="n"/>
      <c r="F1460" s="65" t="n"/>
      <c r="G1460" s="65" t="n"/>
      <c r="H1460" s="71" t="n"/>
      <c r="I1460" s="71" t="n"/>
      <c r="J1460" s="21" t="n"/>
    </row>
    <row r="1461">
      <c r="B1461" s="37" t="n"/>
      <c r="C1461" s="62" t="n"/>
      <c r="D1461" s="63" t="n"/>
      <c r="F1461" s="65" t="n"/>
      <c r="G1461" s="65" t="n"/>
      <c r="H1461" s="71" t="n"/>
      <c r="I1461" s="71" t="n"/>
      <c r="J1461" s="21" t="n"/>
    </row>
    <row r="1462">
      <c r="B1462" s="37" t="n"/>
      <c r="C1462" s="62" t="n"/>
      <c r="D1462" s="63" t="n"/>
      <c r="F1462" s="65" t="n"/>
      <c r="G1462" s="65" t="n"/>
      <c r="H1462" s="71" t="n"/>
      <c r="I1462" s="71" t="n"/>
      <c r="J1462" s="21" t="n"/>
    </row>
    <row r="1463">
      <c r="B1463" s="37" t="n"/>
      <c r="C1463" s="62" t="n"/>
      <c r="D1463" s="63" t="n"/>
      <c r="F1463" s="65" t="n"/>
      <c r="G1463" s="65" t="n"/>
      <c r="H1463" s="71" t="n"/>
      <c r="I1463" s="71" t="n"/>
      <c r="J1463" s="21" t="n"/>
    </row>
    <row r="1464">
      <c r="B1464" s="37" t="n"/>
      <c r="C1464" s="62" t="n"/>
      <c r="D1464" s="63" t="n"/>
      <c r="F1464" s="65" t="n"/>
      <c r="G1464" s="65" t="n"/>
      <c r="H1464" s="71" t="n"/>
      <c r="I1464" s="71" t="n"/>
      <c r="J1464" s="21" t="n"/>
    </row>
    <row r="1465">
      <c r="B1465" s="37" t="n"/>
      <c r="C1465" s="62" t="n"/>
      <c r="D1465" s="63" t="n"/>
      <c r="F1465" s="65" t="n"/>
      <c r="G1465" s="65" t="n"/>
      <c r="H1465" s="71" t="n"/>
      <c r="I1465" s="71" t="n"/>
      <c r="J1465" s="21" t="n"/>
    </row>
    <row r="1466">
      <c r="B1466" s="37" t="n"/>
      <c r="C1466" s="62" t="n"/>
      <c r="D1466" s="63" t="n"/>
      <c r="F1466" s="65" t="n"/>
      <c r="G1466" s="65" t="n"/>
      <c r="H1466" s="71" t="n"/>
      <c r="I1466" s="71" t="n"/>
      <c r="J1466" s="21" t="n"/>
    </row>
    <row r="1467">
      <c r="B1467" s="37" t="n"/>
      <c r="C1467" s="62" t="n"/>
      <c r="D1467" s="63" t="n"/>
      <c r="F1467" s="65" t="n"/>
      <c r="G1467" s="65" t="n"/>
      <c r="H1467" s="71" t="n"/>
      <c r="I1467" s="71" t="n"/>
      <c r="J1467" s="21" t="n"/>
    </row>
    <row r="1468">
      <c r="B1468" s="37" t="n"/>
      <c r="C1468" s="62" t="n"/>
      <c r="D1468" s="63" t="n"/>
      <c r="F1468" s="65" t="n"/>
      <c r="G1468" s="65" t="n"/>
      <c r="H1468" s="71" t="n"/>
      <c r="I1468" s="71" t="n"/>
      <c r="J1468" s="21" t="n"/>
    </row>
    <row r="1469">
      <c r="B1469" s="37" t="n"/>
      <c r="C1469" s="62" t="n"/>
      <c r="D1469" s="63" t="n"/>
      <c r="F1469" s="65" t="n"/>
      <c r="G1469" s="65" t="n"/>
      <c r="H1469" s="71" t="n"/>
      <c r="I1469" s="71" t="n"/>
      <c r="J1469" s="21" t="n"/>
    </row>
    <row r="1470">
      <c r="B1470" s="37" t="n"/>
      <c r="C1470" s="62" t="n"/>
      <c r="D1470" s="63" t="n"/>
      <c r="F1470" s="65" t="n"/>
      <c r="G1470" s="65" t="n"/>
      <c r="H1470" s="71" t="n"/>
      <c r="I1470" s="71" t="n"/>
      <c r="J1470" s="21" t="n"/>
    </row>
    <row r="1471">
      <c r="B1471" s="37" t="n"/>
      <c r="C1471" s="62" t="n"/>
      <c r="D1471" s="63" t="n"/>
      <c r="F1471" s="65" t="n"/>
      <c r="G1471" s="65" t="n"/>
      <c r="H1471" s="71" t="n"/>
      <c r="I1471" s="71" t="n"/>
      <c r="J1471" s="21" t="n"/>
    </row>
    <row r="1472">
      <c r="B1472" s="37" t="n"/>
      <c r="C1472" s="62" t="n"/>
      <c r="D1472" s="63" t="n"/>
      <c r="F1472" s="65" t="n"/>
      <c r="G1472" s="65" t="n"/>
      <c r="H1472" s="71" t="n"/>
      <c r="I1472" s="71" t="n"/>
      <c r="J1472" s="21" t="n"/>
    </row>
    <row r="1473">
      <c r="B1473" s="37" t="n"/>
      <c r="C1473" s="62" t="n"/>
      <c r="D1473" s="63" t="n"/>
      <c r="F1473" s="65" t="n"/>
      <c r="G1473" s="65" t="n"/>
      <c r="H1473" s="71" t="n"/>
      <c r="I1473" s="71" t="n"/>
      <c r="J1473" s="21" t="n"/>
    </row>
    <row r="1474">
      <c r="B1474" s="37" t="n"/>
      <c r="C1474" s="62" t="n"/>
      <c r="D1474" s="63" t="n"/>
      <c r="F1474" s="65" t="n"/>
      <c r="G1474" s="65" t="n"/>
      <c r="H1474" s="71" t="n"/>
      <c r="I1474" s="71" t="n"/>
      <c r="J1474" s="21" t="n"/>
    </row>
    <row r="1475">
      <c r="B1475" s="37" t="n"/>
      <c r="C1475" s="62" t="n"/>
      <c r="D1475" s="63" t="n"/>
      <c r="F1475" s="65" t="n"/>
      <c r="G1475" s="65" t="n"/>
      <c r="H1475" s="71" t="n"/>
      <c r="I1475" s="71" t="n"/>
      <c r="J1475" s="21" t="n"/>
    </row>
    <row r="1476">
      <c r="B1476" s="37" t="n"/>
      <c r="C1476" s="62" t="n"/>
      <c r="D1476" s="63" t="n"/>
      <c r="F1476" s="65" t="n"/>
      <c r="G1476" s="65" t="n"/>
      <c r="H1476" s="71" t="n"/>
      <c r="I1476" s="71" t="n"/>
      <c r="J1476" s="21" t="n"/>
    </row>
    <row r="1477">
      <c r="B1477" s="37" t="n"/>
      <c r="C1477" s="62" t="n"/>
      <c r="D1477" s="63" t="n"/>
      <c r="F1477" s="65" t="n"/>
      <c r="G1477" s="65" t="n"/>
      <c r="H1477" s="71" t="n"/>
      <c r="I1477" s="71" t="n"/>
      <c r="J1477" s="21" t="n"/>
    </row>
    <row r="1478">
      <c r="B1478" s="37" t="n"/>
      <c r="C1478" s="62" t="n"/>
      <c r="D1478" s="63" t="n"/>
      <c r="F1478" s="65" t="n"/>
      <c r="G1478" s="65" t="n"/>
      <c r="H1478" s="71" t="n"/>
      <c r="I1478" s="71" t="n"/>
      <c r="J1478" s="21" t="n"/>
    </row>
    <row r="1479">
      <c r="B1479" s="37" t="n"/>
      <c r="C1479" s="62" t="n"/>
      <c r="D1479" s="63" t="n"/>
      <c r="F1479" s="65" t="n"/>
      <c r="G1479" s="65" t="n"/>
      <c r="H1479" s="71" t="n"/>
      <c r="I1479" s="71" t="n"/>
      <c r="J1479" s="21" t="n"/>
    </row>
    <row r="1480">
      <c r="B1480" s="37" t="n"/>
      <c r="C1480" s="62" t="n"/>
      <c r="D1480" s="63" t="n"/>
      <c r="F1480" s="65" t="n"/>
      <c r="G1480" s="65" t="n"/>
      <c r="H1480" s="71" t="n"/>
      <c r="I1480" s="71" t="n"/>
      <c r="J1480" s="21" t="n"/>
    </row>
    <row r="1481">
      <c r="B1481" s="37" t="n"/>
      <c r="C1481" s="62" t="n"/>
      <c r="D1481" s="63" t="n"/>
      <c r="F1481" s="65" t="n"/>
      <c r="G1481" s="65" t="n"/>
      <c r="H1481" s="71" t="n"/>
      <c r="I1481" s="71" t="n"/>
      <c r="J1481" s="21" t="n"/>
    </row>
    <row r="1482">
      <c r="B1482" s="37" t="n"/>
      <c r="C1482" s="62" t="n"/>
      <c r="D1482" s="63" t="n"/>
      <c r="F1482" s="65" t="n"/>
      <c r="G1482" s="65" t="n"/>
      <c r="H1482" s="71" t="n"/>
      <c r="I1482" s="71" t="n"/>
      <c r="J1482" s="21" t="n"/>
    </row>
    <row r="1483">
      <c r="B1483" s="37" t="n"/>
      <c r="C1483" s="62" t="n"/>
      <c r="D1483" s="63" t="n"/>
      <c r="F1483" s="65" t="n"/>
      <c r="G1483" s="65" t="n"/>
      <c r="H1483" s="71" t="n"/>
      <c r="I1483" s="71" t="n"/>
      <c r="J1483" s="21" t="n"/>
    </row>
    <row r="1484">
      <c r="B1484" s="37" t="n"/>
      <c r="C1484" s="62" t="n"/>
      <c r="D1484" s="63" t="n"/>
      <c r="F1484" s="65" t="n"/>
      <c r="G1484" s="65" t="n"/>
      <c r="H1484" s="71" t="n"/>
      <c r="I1484" s="71" t="n"/>
      <c r="J1484" s="21" t="n"/>
    </row>
    <row r="1485">
      <c r="B1485" s="37" t="n"/>
      <c r="C1485" s="62" t="n"/>
      <c r="D1485" s="63" t="n"/>
      <c r="F1485" s="65" t="n"/>
      <c r="G1485" s="65" t="n"/>
      <c r="H1485" s="71" t="n"/>
      <c r="I1485" s="71" t="n"/>
      <c r="J1485" s="21" t="n"/>
    </row>
    <row r="1486">
      <c r="B1486" s="37" t="n"/>
      <c r="C1486" s="62" t="n"/>
      <c r="D1486" s="63" t="n"/>
      <c r="F1486" s="65" t="n"/>
      <c r="G1486" s="65" t="n"/>
      <c r="H1486" s="71" t="n"/>
      <c r="I1486" s="71" t="n"/>
      <c r="J1486" s="21" t="n"/>
    </row>
    <row r="1487">
      <c r="B1487" s="37" t="n"/>
      <c r="C1487" s="62" t="n"/>
      <c r="D1487" s="63" t="n"/>
      <c r="F1487" s="65" t="n"/>
      <c r="G1487" s="65" t="n"/>
      <c r="H1487" s="71" t="n"/>
      <c r="I1487" s="71" t="n"/>
      <c r="J1487" s="21" t="n"/>
    </row>
    <row r="1488">
      <c r="B1488" s="37" t="n"/>
      <c r="C1488" s="62" t="n"/>
      <c r="D1488" s="63" t="n"/>
      <c r="F1488" s="65" t="n"/>
      <c r="G1488" s="65" t="n"/>
      <c r="H1488" s="71" t="n"/>
      <c r="I1488" s="71" t="n"/>
      <c r="J1488" s="21" t="n"/>
    </row>
    <row r="1489">
      <c r="B1489" s="37" t="n"/>
      <c r="C1489" s="62" t="n"/>
      <c r="D1489" s="63" t="n"/>
      <c r="F1489" s="65" t="n"/>
      <c r="G1489" s="65" t="n"/>
      <c r="H1489" s="71" t="n"/>
      <c r="I1489" s="71" t="n"/>
      <c r="J1489" s="21" t="n"/>
    </row>
    <row r="1490">
      <c r="B1490" s="37" t="n"/>
      <c r="C1490" s="62" t="n"/>
      <c r="D1490" s="63" t="n"/>
      <c r="F1490" s="65" t="n"/>
      <c r="G1490" s="65" t="n"/>
      <c r="H1490" s="71" t="n"/>
      <c r="I1490" s="71" t="n"/>
      <c r="J1490" s="21" t="n"/>
    </row>
    <row r="1491">
      <c r="B1491" s="37" t="n"/>
      <c r="C1491" s="62" t="n"/>
      <c r="D1491" s="63" t="n"/>
      <c r="F1491" s="65" t="n"/>
      <c r="G1491" s="65" t="n"/>
      <c r="H1491" s="71" t="n"/>
      <c r="I1491" s="71" t="n"/>
      <c r="J1491" s="21" t="n"/>
    </row>
    <row r="1492">
      <c r="B1492" s="37" t="n"/>
      <c r="C1492" s="62" t="n"/>
      <c r="D1492" s="63" t="n"/>
      <c r="F1492" s="65" t="n"/>
      <c r="G1492" s="65" t="n"/>
      <c r="H1492" s="71" t="n"/>
      <c r="I1492" s="71" t="n"/>
      <c r="J1492" s="21" t="n"/>
    </row>
    <row r="1493">
      <c r="B1493" s="37" t="n"/>
      <c r="C1493" s="62" t="n"/>
      <c r="D1493" s="63" t="n"/>
      <c r="F1493" s="65" t="n"/>
      <c r="G1493" s="65" t="n"/>
      <c r="H1493" s="71" t="n"/>
      <c r="I1493" s="71" t="n"/>
      <c r="J1493" s="21" t="n"/>
    </row>
    <row r="1494">
      <c r="B1494" s="37" t="n"/>
      <c r="C1494" s="62" t="n"/>
      <c r="D1494" s="63" t="n"/>
      <c r="F1494" s="65" t="n"/>
      <c r="G1494" s="65" t="n"/>
      <c r="H1494" s="71" t="n"/>
      <c r="I1494" s="71" t="n"/>
      <c r="J1494" s="21" t="n"/>
    </row>
    <row r="1495">
      <c r="B1495" s="37" t="n"/>
      <c r="C1495" s="62" t="n"/>
      <c r="D1495" s="63" t="n"/>
      <c r="F1495" s="65" t="n"/>
      <c r="G1495" s="65" t="n"/>
      <c r="H1495" s="71" t="n"/>
      <c r="I1495" s="71" t="n"/>
      <c r="J1495" s="21" t="n"/>
    </row>
    <row r="1496">
      <c r="B1496" s="37" t="n"/>
      <c r="C1496" s="62" t="n"/>
      <c r="D1496" s="63" t="n"/>
      <c r="F1496" s="65" t="n"/>
      <c r="G1496" s="65" t="n"/>
      <c r="H1496" s="71" t="n"/>
      <c r="I1496" s="71" t="n"/>
      <c r="J1496" s="21" t="n"/>
    </row>
    <row r="1497">
      <c r="B1497" s="37" t="n"/>
      <c r="C1497" s="62" t="n"/>
      <c r="D1497" s="63" t="n"/>
      <c r="F1497" s="65" t="n"/>
      <c r="G1497" s="65" t="n"/>
      <c r="H1497" s="71" t="n"/>
      <c r="I1497" s="71" t="n"/>
      <c r="J1497" s="21" t="n"/>
    </row>
    <row r="1498">
      <c r="B1498" s="37" t="n"/>
      <c r="C1498" s="62" t="n"/>
      <c r="D1498" s="63" t="n"/>
      <c r="F1498" s="65" t="n"/>
      <c r="G1498" s="65" t="n"/>
      <c r="H1498" s="71" t="n"/>
      <c r="I1498" s="71" t="n"/>
      <c r="J1498" s="21" t="n"/>
    </row>
    <row r="1499">
      <c r="B1499" s="37" t="n"/>
      <c r="C1499" s="62" t="n"/>
      <c r="D1499" s="63" t="n"/>
      <c r="F1499" s="65" t="n"/>
      <c r="G1499" s="65" t="n"/>
      <c r="H1499" s="71" t="n"/>
      <c r="I1499" s="71" t="n"/>
      <c r="J1499" s="21" t="n"/>
    </row>
    <row r="1500">
      <c r="B1500" s="37" t="n"/>
      <c r="C1500" s="62" t="n"/>
      <c r="D1500" s="63" t="n"/>
      <c r="F1500" s="65" t="n"/>
      <c r="G1500" s="65" t="n"/>
      <c r="H1500" s="71" t="n"/>
      <c r="I1500" s="71" t="n"/>
      <c r="J1500" s="21" t="n"/>
    </row>
    <row r="1501">
      <c r="B1501" s="37" t="n"/>
      <c r="C1501" s="62" t="n"/>
      <c r="D1501" s="63" t="n"/>
      <c r="F1501" s="65" t="n"/>
      <c r="G1501" s="65" t="n"/>
      <c r="H1501" s="71" t="n"/>
      <c r="I1501" s="71" t="n"/>
      <c r="J1501" s="21" t="n"/>
    </row>
    <row r="1502">
      <c r="B1502" s="37" t="n"/>
      <c r="C1502" s="62" t="n"/>
      <c r="D1502" s="63" t="n"/>
      <c r="F1502" s="65" t="n"/>
      <c r="G1502" s="65" t="n"/>
      <c r="H1502" s="71" t="n"/>
      <c r="I1502" s="71" t="n"/>
      <c r="J1502" s="21" t="n"/>
    </row>
    <row r="1503">
      <c r="B1503" s="37" t="n"/>
      <c r="C1503" s="62" t="n"/>
      <c r="D1503" s="63" t="n"/>
      <c r="F1503" s="65" t="n"/>
      <c r="G1503" s="65" t="n"/>
      <c r="H1503" s="71" t="n"/>
      <c r="I1503" s="71" t="n"/>
      <c r="J1503" s="21" t="n"/>
    </row>
    <row r="1504">
      <c r="B1504" s="37" t="n"/>
      <c r="C1504" s="62" t="n"/>
      <c r="D1504" s="63" t="n"/>
      <c r="F1504" s="65" t="n"/>
      <c r="G1504" s="65" t="n"/>
      <c r="H1504" s="71" t="n"/>
      <c r="I1504" s="71" t="n"/>
      <c r="J1504" s="21" t="n"/>
    </row>
    <row r="1505">
      <c r="B1505" s="37" t="n"/>
      <c r="C1505" s="62" t="n"/>
      <c r="D1505" s="63" t="n"/>
      <c r="F1505" s="65" t="n"/>
      <c r="G1505" s="65" t="n"/>
      <c r="H1505" s="71" t="n"/>
      <c r="I1505" s="71" t="n"/>
      <c r="J1505" s="21" t="n"/>
    </row>
    <row r="1506">
      <c r="B1506" s="37" t="n"/>
      <c r="C1506" s="62" t="n"/>
      <c r="D1506" s="63" t="n"/>
      <c r="F1506" s="65" t="n"/>
      <c r="G1506" s="65" t="n"/>
      <c r="H1506" s="71" t="n"/>
      <c r="I1506" s="71" t="n"/>
      <c r="J1506" s="21" t="n"/>
    </row>
    <row r="1507">
      <c r="B1507" s="37" t="n"/>
      <c r="C1507" s="62" t="n"/>
      <c r="D1507" s="63" t="n"/>
      <c r="F1507" s="65" t="n"/>
      <c r="G1507" s="65" t="n"/>
      <c r="H1507" s="71" t="n"/>
      <c r="I1507" s="71" t="n"/>
      <c r="J1507" s="21" t="n"/>
    </row>
    <row r="1508">
      <c r="B1508" s="37" t="n"/>
      <c r="C1508" s="62" t="n"/>
      <c r="D1508" s="63" t="n"/>
      <c r="F1508" s="65" t="n"/>
      <c r="G1508" s="65" t="n"/>
      <c r="H1508" s="71" t="n"/>
      <c r="I1508" s="71" t="n"/>
      <c r="J1508" s="21" t="n"/>
    </row>
    <row r="1509">
      <c r="B1509" s="37" t="n"/>
      <c r="C1509" s="62" t="n"/>
      <c r="D1509" s="63" t="n"/>
      <c r="F1509" s="65" t="n"/>
      <c r="G1509" s="65" t="n"/>
      <c r="H1509" s="71" t="n"/>
      <c r="I1509" s="71" t="n"/>
      <c r="J1509" s="21" t="n"/>
    </row>
    <row r="1510">
      <c r="B1510" s="37" t="n"/>
      <c r="C1510" s="62" t="n"/>
      <c r="D1510" s="63" t="n"/>
      <c r="F1510" s="65" t="n"/>
      <c r="G1510" s="65" t="n"/>
      <c r="H1510" s="71" t="n"/>
      <c r="I1510" s="71" t="n"/>
      <c r="J1510" s="21" t="n"/>
    </row>
    <row r="1511">
      <c r="B1511" s="37" t="n"/>
      <c r="C1511" s="62" t="n"/>
      <c r="D1511" s="63" t="n"/>
      <c r="F1511" s="65" t="n"/>
      <c r="G1511" s="65" t="n"/>
      <c r="H1511" s="71" t="n"/>
      <c r="I1511" s="71" t="n"/>
      <c r="J1511" s="21" t="n"/>
    </row>
    <row r="1512">
      <c r="B1512" s="37" t="n"/>
      <c r="C1512" s="62" t="n"/>
      <c r="D1512" s="63" t="n"/>
      <c r="F1512" s="65" t="n"/>
      <c r="G1512" s="65" t="n"/>
      <c r="H1512" s="71" t="n"/>
      <c r="I1512" s="71" t="n"/>
      <c r="J1512" s="21" t="n"/>
    </row>
    <row r="1513">
      <c r="B1513" s="37" t="n"/>
      <c r="C1513" s="62" t="n"/>
      <c r="D1513" s="63" t="n"/>
      <c r="F1513" s="65" t="n"/>
      <c r="G1513" s="65" t="n"/>
      <c r="H1513" s="71" t="n"/>
      <c r="I1513" s="71" t="n"/>
      <c r="J1513" s="21" t="n"/>
    </row>
    <row r="1514">
      <c r="B1514" s="37" t="n"/>
      <c r="C1514" s="62" t="n"/>
      <c r="D1514" s="63" t="n"/>
      <c r="F1514" s="65" t="n"/>
      <c r="G1514" s="65" t="n"/>
      <c r="H1514" s="71" t="n"/>
      <c r="I1514" s="71" t="n"/>
      <c r="J1514" s="21" t="n"/>
    </row>
    <row r="1515">
      <c r="B1515" s="37" t="n"/>
      <c r="C1515" s="62" t="n"/>
      <c r="D1515" s="63" t="n"/>
      <c r="F1515" s="65" t="n"/>
      <c r="G1515" s="65" t="n"/>
      <c r="H1515" s="71" t="n"/>
      <c r="I1515" s="71" t="n"/>
      <c r="J1515" s="21" t="n"/>
    </row>
    <row r="1516">
      <c r="B1516" s="37" t="n"/>
      <c r="C1516" s="62" t="n"/>
      <c r="D1516" s="63" t="n"/>
      <c r="F1516" s="65" t="n"/>
      <c r="G1516" s="65" t="n"/>
      <c r="H1516" s="71" t="n"/>
      <c r="I1516" s="71" t="n"/>
      <c r="J1516" s="21" t="n"/>
    </row>
    <row r="1517">
      <c r="B1517" s="37" t="n"/>
      <c r="C1517" s="62" t="n"/>
      <c r="D1517" s="63" t="n"/>
      <c r="F1517" s="65" t="n"/>
      <c r="G1517" s="65" t="n"/>
      <c r="H1517" s="71" t="n"/>
      <c r="I1517" s="71" t="n"/>
      <c r="J1517" s="21" t="n"/>
    </row>
    <row r="1518">
      <c r="B1518" s="37" t="n"/>
      <c r="C1518" s="62" t="n"/>
      <c r="D1518" s="63" t="n"/>
      <c r="F1518" s="65" t="n"/>
      <c r="G1518" s="65" t="n"/>
      <c r="H1518" s="71" t="n"/>
      <c r="I1518" s="71" t="n"/>
      <c r="J1518" s="21" t="n"/>
    </row>
    <row r="1519">
      <c r="B1519" s="37" t="n"/>
      <c r="C1519" s="62" t="n"/>
      <c r="D1519" s="63" t="n"/>
      <c r="F1519" s="65" t="n"/>
      <c r="G1519" s="65" t="n"/>
      <c r="H1519" s="71" t="n"/>
      <c r="I1519" s="71" t="n"/>
      <c r="J1519" s="21" t="n"/>
    </row>
    <row r="1520">
      <c r="B1520" s="37" t="n"/>
      <c r="C1520" s="62" t="n"/>
      <c r="D1520" s="63" t="n"/>
      <c r="F1520" s="65" t="n"/>
      <c r="G1520" s="65" t="n"/>
      <c r="H1520" s="71" t="n"/>
      <c r="I1520" s="71" t="n"/>
      <c r="J1520" s="21" t="n"/>
    </row>
    <row r="1521">
      <c r="B1521" s="37" t="n"/>
      <c r="C1521" s="62" t="n"/>
      <c r="D1521" s="63" t="n"/>
      <c r="F1521" s="65" t="n"/>
      <c r="G1521" s="65" t="n"/>
      <c r="H1521" s="71" t="n"/>
      <c r="I1521" s="71" t="n"/>
      <c r="J1521" s="21" t="n"/>
    </row>
    <row r="1522">
      <c r="B1522" s="37" t="n"/>
      <c r="C1522" s="62" t="n"/>
      <c r="D1522" s="63" t="n"/>
      <c r="F1522" s="65" t="n"/>
      <c r="G1522" s="65" t="n"/>
      <c r="H1522" s="71" t="n"/>
      <c r="I1522" s="71" t="n"/>
      <c r="J1522" s="21" t="n"/>
    </row>
    <row r="1523">
      <c r="B1523" s="37" t="n"/>
      <c r="C1523" s="62" t="n"/>
      <c r="D1523" s="63" t="n"/>
      <c r="F1523" s="65" t="n"/>
      <c r="G1523" s="65" t="n"/>
      <c r="H1523" s="71" t="n"/>
      <c r="I1523" s="71" t="n"/>
      <c r="J1523" s="21" t="n"/>
    </row>
    <row r="1524">
      <c r="B1524" s="37" t="n"/>
      <c r="C1524" s="62" t="n"/>
      <c r="D1524" s="63" t="n"/>
      <c r="F1524" s="65" t="n"/>
      <c r="G1524" s="65" t="n"/>
      <c r="H1524" s="71" t="n"/>
      <c r="I1524" s="71" t="n"/>
      <c r="J1524" s="21" t="n"/>
    </row>
    <row r="1525">
      <c r="B1525" s="37" t="n"/>
      <c r="C1525" s="62" t="n"/>
      <c r="D1525" s="63" t="n"/>
      <c r="F1525" s="65" t="n"/>
      <c r="G1525" s="65" t="n"/>
      <c r="H1525" s="71" t="n"/>
      <c r="I1525" s="71" t="n"/>
      <c r="J1525" s="21" t="n"/>
    </row>
    <row r="1526">
      <c r="B1526" s="37" t="n"/>
      <c r="C1526" s="62" t="n"/>
      <c r="D1526" s="63" t="n"/>
      <c r="F1526" s="65" t="n"/>
      <c r="G1526" s="65" t="n"/>
      <c r="H1526" s="71" t="n"/>
      <c r="I1526" s="71" t="n"/>
      <c r="J1526" s="21" t="n"/>
    </row>
    <row r="1527">
      <c r="B1527" s="37" t="n"/>
      <c r="C1527" s="62" t="n"/>
      <c r="D1527" s="63" t="n"/>
      <c r="F1527" s="65" t="n"/>
      <c r="G1527" s="65" t="n"/>
      <c r="H1527" s="71" t="n"/>
      <c r="I1527" s="71" t="n"/>
      <c r="J1527" s="21" t="n"/>
    </row>
    <row r="1528">
      <c r="B1528" s="37" t="n"/>
      <c r="C1528" s="62" t="n"/>
      <c r="D1528" s="63" t="n"/>
      <c r="F1528" s="65" t="n"/>
      <c r="G1528" s="65" t="n"/>
      <c r="H1528" s="71" t="n"/>
      <c r="I1528" s="71" t="n"/>
      <c r="J1528" s="21" t="n"/>
    </row>
    <row r="1529">
      <c r="B1529" s="37" t="n"/>
      <c r="C1529" s="62" t="n"/>
      <c r="D1529" s="63" t="n"/>
      <c r="F1529" s="65" t="n"/>
      <c r="G1529" s="65" t="n"/>
      <c r="H1529" s="71" t="n"/>
      <c r="I1529" s="71" t="n"/>
      <c r="J1529" s="21" t="n"/>
    </row>
    <row r="1530">
      <c r="B1530" s="37" t="n"/>
      <c r="C1530" s="62" t="n"/>
      <c r="D1530" s="63" t="n"/>
      <c r="F1530" s="65" t="n"/>
      <c r="G1530" s="65" t="n"/>
      <c r="H1530" s="71" t="n"/>
      <c r="I1530" s="71" t="n"/>
      <c r="J1530" s="21" t="n"/>
    </row>
    <row r="1531">
      <c r="B1531" s="37" t="n"/>
      <c r="C1531" s="62" t="n"/>
      <c r="D1531" s="63" t="n"/>
      <c r="F1531" s="65" t="n"/>
      <c r="G1531" s="65" t="n"/>
      <c r="H1531" s="71" t="n"/>
      <c r="I1531" s="71" t="n"/>
      <c r="J1531" s="21" t="n"/>
    </row>
    <row r="1532">
      <c r="B1532" s="37" t="n"/>
      <c r="C1532" s="62" t="n"/>
      <c r="D1532" s="63" t="n"/>
      <c r="F1532" s="65" t="n"/>
      <c r="G1532" s="65" t="n"/>
      <c r="H1532" s="71" t="n"/>
      <c r="I1532" s="71" t="n"/>
      <c r="J1532" s="21" t="n"/>
    </row>
    <row r="1533">
      <c r="B1533" s="37" t="n"/>
      <c r="C1533" s="62" t="n"/>
      <c r="D1533" s="63" t="n"/>
      <c r="F1533" s="65" t="n"/>
      <c r="G1533" s="65" t="n"/>
      <c r="H1533" s="71" t="n"/>
      <c r="I1533" s="71" t="n"/>
      <c r="J1533" s="21" t="n"/>
    </row>
    <row r="1534">
      <c r="B1534" s="37" t="n"/>
      <c r="C1534" s="62" t="n"/>
      <c r="D1534" s="63" t="n"/>
      <c r="F1534" s="65" t="n"/>
      <c r="G1534" s="65" t="n"/>
      <c r="H1534" s="71" t="n"/>
      <c r="I1534" s="71" t="n"/>
      <c r="J1534" s="21" t="n"/>
    </row>
    <row r="1535">
      <c r="B1535" s="37" t="n"/>
      <c r="C1535" s="62" t="n"/>
      <c r="D1535" s="63" t="n"/>
      <c r="F1535" s="65" t="n"/>
      <c r="G1535" s="65" t="n"/>
      <c r="H1535" s="71" t="n"/>
      <c r="I1535" s="71" t="n"/>
      <c r="J1535" s="21" t="n"/>
    </row>
    <row r="1536">
      <c r="B1536" s="37" t="n"/>
      <c r="C1536" s="62" t="n"/>
      <c r="D1536" s="63" t="n"/>
      <c r="F1536" s="65" t="n"/>
      <c r="G1536" s="65" t="n"/>
      <c r="H1536" s="71" t="n"/>
      <c r="I1536" s="71" t="n"/>
      <c r="J1536" s="21" t="n"/>
    </row>
    <row r="1537">
      <c r="B1537" s="37" t="n"/>
      <c r="C1537" s="62" t="n"/>
      <c r="D1537" s="63" t="n"/>
      <c r="F1537" s="65" t="n"/>
      <c r="G1537" s="65" t="n"/>
      <c r="H1537" s="71" t="n"/>
      <c r="I1537" s="71" t="n"/>
      <c r="J1537" s="21" t="n"/>
    </row>
    <row r="1538">
      <c r="B1538" s="37" t="n"/>
      <c r="C1538" s="62" t="n"/>
      <c r="D1538" s="63" t="n"/>
      <c r="F1538" s="65" t="n"/>
      <c r="G1538" s="65" t="n"/>
      <c r="H1538" s="71" t="n"/>
      <c r="I1538" s="71" t="n"/>
      <c r="J1538" s="21" t="n"/>
    </row>
    <row r="1539">
      <c r="B1539" s="37" t="n"/>
      <c r="C1539" s="62" t="n"/>
      <c r="D1539" s="63" t="n"/>
      <c r="F1539" s="65" t="n"/>
      <c r="G1539" s="65" t="n"/>
      <c r="H1539" s="71" t="n"/>
      <c r="I1539" s="71" t="n"/>
      <c r="J1539" s="21" t="n"/>
    </row>
    <row r="1540">
      <c r="B1540" s="37" t="n"/>
      <c r="C1540" s="62" t="n"/>
      <c r="D1540" s="63" t="n"/>
      <c r="F1540" s="65" t="n"/>
      <c r="G1540" s="65" t="n"/>
      <c r="H1540" s="71" t="n"/>
      <c r="I1540" s="71" t="n"/>
      <c r="J1540" s="21" t="n"/>
    </row>
    <row r="1541">
      <c r="B1541" s="37" t="n"/>
      <c r="C1541" s="62" t="n"/>
      <c r="D1541" s="63" t="n"/>
      <c r="F1541" s="65" t="n"/>
      <c r="G1541" s="65" t="n"/>
      <c r="H1541" s="71" t="n"/>
      <c r="I1541" s="71" t="n"/>
      <c r="J1541" s="21" t="n"/>
    </row>
    <row r="1542">
      <c r="B1542" s="37" t="n"/>
      <c r="C1542" s="62" t="n"/>
      <c r="D1542" s="63" t="n"/>
      <c r="F1542" s="65" t="n"/>
      <c r="G1542" s="65" t="n"/>
      <c r="H1542" s="71" t="n"/>
      <c r="I1542" s="71" t="n"/>
      <c r="J1542" s="21" t="n"/>
    </row>
    <row r="1543">
      <c r="B1543" s="37" t="n"/>
      <c r="C1543" s="62" t="n"/>
      <c r="D1543" s="63" t="n"/>
      <c r="F1543" s="65" t="n"/>
      <c r="G1543" s="65" t="n"/>
      <c r="H1543" s="71" t="n"/>
      <c r="I1543" s="71" t="n"/>
      <c r="J1543" s="21" t="n"/>
    </row>
    <row r="1544">
      <c r="B1544" s="37" t="n"/>
      <c r="C1544" s="62" t="n"/>
      <c r="D1544" s="63" t="n"/>
      <c r="F1544" s="65" t="n"/>
      <c r="G1544" s="65" t="n"/>
      <c r="H1544" s="71" t="n"/>
      <c r="I1544" s="71" t="n"/>
      <c r="J1544" s="21" t="n"/>
    </row>
    <row r="1545">
      <c r="B1545" s="37" t="n"/>
      <c r="C1545" s="62" t="n"/>
      <c r="D1545" s="63" t="n"/>
      <c r="F1545" s="65" t="n"/>
      <c r="G1545" s="65" t="n"/>
      <c r="H1545" s="71" t="n"/>
      <c r="I1545" s="71" t="n"/>
      <c r="J1545" s="21" t="n"/>
    </row>
    <row r="1546">
      <c r="B1546" s="37" t="n"/>
      <c r="C1546" s="62" t="n"/>
      <c r="D1546" s="63" t="n"/>
      <c r="F1546" s="65" t="n"/>
      <c r="G1546" s="65" t="n"/>
      <c r="H1546" s="71" t="n"/>
      <c r="I1546" s="71" t="n"/>
      <c r="J1546" s="21" t="n"/>
    </row>
    <row r="1547">
      <c r="B1547" s="37" t="n"/>
      <c r="C1547" s="62" t="n"/>
      <c r="D1547" s="63" t="n"/>
      <c r="F1547" s="65" t="n"/>
      <c r="G1547" s="65" t="n"/>
      <c r="H1547" s="71" t="n"/>
      <c r="I1547" s="71" t="n"/>
      <c r="J1547" s="21" t="n"/>
    </row>
    <row r="1548">
      <c r="B1548" s="37" t="n"/>
      <c r="C1548" s="62" t="n"/>
      <c r="D1548" s="63" t="n"/>
      <c r="F1548" s="65" t="n"/>
      <c r="G1548" s="65" t="n"/>
      <c r="H1548" s="71" t="n"/>
      <c r="I1548" s="71" t="n"/>
      <c r="J1548" s="21" t="n"/>
    </row>
    <row r="1549">
      <c r="B1549" s="37" t="n"/>
      <c r="C1549" s="62" t="n"/>
      <c r="D1549" s="63" t="n"/>
      <c r="F1549" s="65" t="n"/>
      <c r="G1549" s="65" t="n"/>
      <c r="H1549" s="71" t="n"/>
      <c r="I1549" s="71" t="n"/>
      <c r="J1549" s="21" t="n"/>
    </row>
    <row r="1550">
      <c r="B1550" s="37" t="n"/>
      <c r="C1550" s="62" t="n"/>
      <c r="D1550" s="63" t="n"/>
      <c r="F1550" s="65" t="n"/>
      <c r="G1550" s="65" t="n"/>
      <c r="H1550" s="71" t="n"/>
      <c r="I1550" s="71" t="n"/>
      <c r="J1550" s="21" t="n"/>
    </row>
    <row r="1551">
      <c r="B1551" s="37" t="n"/>
      <c r="C1551" s="62" t="n"/>
      <c r="D1551" s="63" t="n"/>
      <c r="F1551" s="65" t="n"/>
      <c r="G1551" s="65" t="n"/>
      <c r="H1551" s="71" t="n"/>
      <c r="I1551" s="71" t="n"/>
      <c r="J1551" s="21" t="n"/>
    </row>
    <row r="1552">
      <c r="B1552" s="37" t="n"/>
      <c r="C1552" s="62" t="n"/>
      <c r="D1552" s="63" t="n"/>
      <c r="F1552" s="65" t="n"/>
      <c r="G1552" s="65" t="n"/>
      <c r="H1552" s="71" t="n"/>
      <c r="I1552" s="71" t="n"/>
      <c r="J1552" s="21" t="n"/>
    </row>
    <row r="1553">
      <c r="B1553" s="37" t="n"/>
      <c r="C1553" s="62" t="n"/>
      <c r="D1553" s="63" t="n"/>
      <c r="F1553" s="65" t="n"/>
      <c r="G1553" s="65" t="n"/>
      <c r="H1553" s="71" t="n"/>
      <c r="I1553" s="71" t="n"/>
      <c r="J1553" s="21" t="n"/>
    </row>
    <row r="1554">
      <c r="B1554" s="37" t="n"/>
      <c r="C1554" s="62" t="n"/>
      <c r="D1554" s="63" t="n"/>
      <c r="F1554" s="65" t="n"/>
      <c r="G1554" s="65" t="n"/>
      <c r="H1554" s="71" t="n"/>
      <c r="I1554" s="71" t="n"/>
      <c r="J1554" s="21" t="n"/>
    </row>
    <row r="1555">
      <c r="B1555" s="37" t="n"/>
      <c r="C1555" s="62" t="n"/>
      <c r="D1555" s="63" t="n"/>
      <c r="F1555" s="65" t="n"/>
      <c r="G1555" s="65" t="n"/>
      <c r="H1555" s="71" t="n"/>
      <c r="I1555" s="71" t="n"/>
      <c r="J1555" s="21" t="n"/>
    </row>
    <row r="1556">
      <c r="B1556" s="37" t="n"/>
      <c r="C1556" s="62" t="n"/>
      <c r="D1556" s="63" t="n"/>
      <c r="F1556" s="65" t="n"/>
      <c r="G1556" s="65" t="n"/>
      <c r="H1556" s="71" t="n"/>
      <c r="I1556" s="71" t="n"/>
      <c r="J1556" s="21" t="n"/>
    </row>
    <row r="1557">
      <c r="B1557" s="37" t="n"/>
      <c r="C1557" s="62" t="n"/>
      <c r="D1557" s="63" t="n"/>
      <c r="F1557" s="65" t="n"/>
      <c r="G1557" s="65" t="n"/>
      <c r="H1557" s="71" t="n"/>
      <c r="I1557" s="71" t="n"/>
      <c r="J1557" s="21" t="n"/>
    </row>
    <row r="1558">
      <c r="B1558" s="37" t="n"/>
      <c r="C1558" s="62" t="n"/>
      <c r="D1558" s="63" t="n"/>
      <c r="F1558" s="65" t="n"/>
      <c r="G1558" s="65" t="n"/>
      <c r="H1558" s="71" t="n"/>
      <c r="I1558" s="71" t="n"/>
      <c r="J1558" s="21" t="n"/>
    </row>
    <row r="1559">
      <c r="B1559" s="37" t="n"/>
      <c r="C1559" s="62" t="n"/>
      <c r="D1559" s="63" t="n"/>
      <c r="F1559" s="65" t="n"/>
      <c r="G1559" s="65" t="n"/>
      <c r="H1559" s="71" t="n"/>
      <c r="I1559" s="71" t="n"/>
      <c r="J1559" s="21" t="n"/>
    </row>
    <row r="1560">
      <c r="B1560" s="37" t="n"/>
      <c r="C1560" s="62" t="n"/>
      <c r="D1560" s="63" t="n"/>
      <c r="F1560" s="65" t="n"/>
      <c r="G1560" s="65" t="n"/>
      <c r="H1560" s="71" t="n"/>
      <c r="I1560" s="71" t="n"/>
      <c r="J1560" s="21" t="n"/>
    </row>
    <row r="1561">
      <c r="B1561" s="37" t="n"/>
      <c r="C1561" s="62" t="n"/>
      <c r="D1561" s="63" t="n"/>
      <c r="F1561" s="65" t="n"/>
      <c r="G1561" s="65" t="n"/>
      <c r="H1561" s="71" t="n"/>
      <c r="I1561" s="71" t="n"/>
      <c r="J1561" s="21" t="n"/>
    </row>
    <row r="1562">
      <c r="B1562" s="37" t="n"/>
      <c r="C1562" s="62" t="n"/>
      <c r="D1562" s="63" t="n"/>
      <c r="F1562" s="65" t="n"/>
      <c r="G1562" s="65" t="n"/>
      <c r="H1562" s="71" t="n"/>
      <c r="I1562" s="71" t="n"/>
      <c r="J1562" s="21" t="n"/>
    </row>
    <row r="1563">
      <c r="B1563" s="37" t="n"/>
      <c r="C1563" s="62" t="n"/>
      <c r="D1563" s="63" t="n"/>
      <c r="F1563" s="65" t="n"/>
      <c r="G1563" s="65" t="n"/>
      <c r="H1563" s="71" t="n"/>
      <c r="I1563" s="71" t="n"/>
      <c r="J1563" s="21" t="n"/>
    </row>
    <row r="1564">
      <c r="B1564" s="37" t="n"/>
      <c r="C1564" s="62" t="n"/>
      <c r="D1564" s="63" t="n"/>
      <c r="F1564" s="65" t="n"/>
      <c r="G1564" s="65" t="n"/>
      <c r="H1564" s="71" t="n"/>
      <c r="I1564" s="71" t="n"/>
      <c r="J1564" s="21" t="n"/>
    </row>
    <row r="1565">
      <c r="B1565" s="37" t="n"/>
      <c r="C1565" s="62" t="n"/>
      <c r="D1565" s="63" t="n"/>
      <c r="F1565" s="65" t="n"/>
      <c r="G1565" s="65" t="n"/>
      <c r="H1565" s="71" t="n"/>
      <c r="I1565" s="71" t="n"/>
      <c r="J1565" s="21" t="n"/>
    </row>
    <row r="1566">
      <c r="B1566" s="37" t="n"/>
      <c r="C1566" s="62" t="n"/>
      <c r="D1566" s="63" t="n"/>
      <c r="F1566" s="65" t="n"/>
      <c r="G1566" s="65" t="n"/>
      <c r="H1566" s="71" t="n"/>
      <c r="I1566" s="71" t="n"/>
      <c r="J1566" s="21" t="n"/>
    </row>
    <row r="1567">
      <c r="B1567" s="37" t="n"/>
      <c r="C1567" s="62" t="n"/>
      <c r="D1567" s="63" t="n"/>
      <c r="F1567" s="65" t="n"/>
      <c r="G1567" s="65" t="n"/>
      <c r="H1567" s="71" t="n"/>
      <c r="I1567" s="71" t="n"/>
      <c r="J1567" s="21" t="n"/>
    </row>
    <row r="1568">
      <c r="B1568" s="37" t="n"/>
      <c r="C1568" s="62" t="n"/>
      <c r="D1568" s="63" t="n"/>
      <c r="F1568" s="65" t="n"/>
      <c r="G1568" s="65" t="n"/>
      <c r="H1568" s="71" t="n"/>
      <c r="I1568" s="71" t="n"/>
      <c r="J1568" s="21" t="n"/>
    </row>
    <row r="1569">
      <c r="B1569" s="37" t="n"/>
      <c r="C1569" s="62" t="n"/>
      <c r="D1569" s="63" t="n"/>
      <c r="F1569" s="65" t="n"/>
      <c r="G1569" s="65" t="n"/>
      <c r="H1569" s="71" t="n"/>
      <c r="I1569" s="71" t="n"/>
      <c r="J1569" s="21" t="n"/>
    </row>
    <row r="1570">
      <c r="B1570" s="37" t="n"/>
      <c r="C1570" s="62" t="n"/>
      <c r="D1570" s="63" t="n"/>
      <c r="F1570" s="65" t="n"/>
      <c r="G1570" s="65" t="n"/>
      <c r="H1570" s="71" t="n"/>
      <c r="I1570" s="71" t="n"/>
      <c r="J1570" s="21" t="n"/>
    </row>
    <row r="1571">
      <c r="B1571" s="37" t="n"/>
      <c r="C1571" s="62" t="n"/>
      <c r="D1571" s="63" t="n"/>
      <c r="F1571" s="65" t="n"/>
      <c r="G1571" s="65" t="n"/>
      <c r="H1571" s="71" t="n"/>
      <c r="I1571" s="71" t="n"/>
      <c r="J1571" s="21" t="n"/>
    </row>
    <row r="1572">
      <c r="B1572" s="37" t="n"/>
      <c r="C1572" s="62" t="n"/>
      <c r="D1572" s="63" t="n"/>
      <c r="F1572" s="65" t="n"/>
      <c r="G1572" s="65" t="n"/>
      <c r="H1572" s="71" t="n"/>
      <c r="I1572" s="71" t="n"/>
      <c r="J1572" s="21" t="n"/>
    </row>
    <row r="1573">
      <c r="B1573" s="37" t="n"/>
      <c r="C1573" s="62" t="n"/>
      <c r="D1573" s="63" t="n"/>
      <c r="F1573" s="65" t="n"/>
      <c r="G1573" s="65" t="n"/>
      <c r="H1573" s="71" t="n"/>
      <c r="I1573" s="71" t="n"/>
      <c r="J1573" s="21" t="n"/>
    </row>
    <row r="1574">
      <c r="B1574" s="37" t="n"/>
      <c r="C1574" s="62" t="n"/>
      <c r="D1574" s="63" t="n"/>
      <c r="F1574" s="65" t="n"/>
      <c r="G1574" s="65" t="n"/>
      <c r="H1574" s="71" t="n"/>
      <c r="I1574" s="71" t="n"/>
      <c r="J1574" s="21" t="n"/>
    </row>
    <row r="1575">
      <c r="B1575" s="37" t="n"/>
      <c r="C1575" s="62" t="n"/>
      <c r="D1575" s="63" t="n"/>
      <c r="F1575" s="65" t="n"/>
      <c r="G1575" s="65" t="n"/>
      <c r="H1575" s="71" t="n"/>
      <c r="I1575" s="71" t="n"/>
      <c r="J1575" s="21" t="n"/>
    </row>
    <row r="1576">
      <c r="B1576" s="37" t="n"/>
      <c r="C1576" s="62" t="n"/>
      <c r="D1576" s="63" t="n"/>
      <c r="F1576" s="65" t="n"/>
      <c r="G1576" s="65" t="n"/>
      <c r="H1576" s="71" t="n"/>
      <c r="I1576" s="71" t="n"/>
      <c r="J1576" s="21" t="n"/>
    </row>
    <row r="1577">
      <c r="B1577" s="37" t="n"/>
      <c r="C1577" s="62" t="n"/>
      <c r="D1577" s="63" t="n"/>
      <c r="F1577" s="65" t="n"/>
      <c r="G1577" s="65" t="n"/>
      <c r="H1577" s="71" t="n"/>
      <c r="I1577" s="71" t="n"/>
      <c r="J1577" s="21" t="n"/>
    </row>
    <row r="1578">
      <c r="B1578" s="37" t="n"/>
      <c r="C1578" s="62" t="n"/>
      <c r="D1578" s="63" t="n"/>
      <c r="F1578" s="65" t="n"/>
      <c r="G1578" s="65" t="n"/>
      <c r="H1578" s="71" t="n"/>
      <c r="I1578" s="71" t="n"/>
      <c r="J1578" s="21" t="n"/>
    </row>
    <row r="1579">
      <c r="B1579" s="37" t="n"/>
      <c r="C1579" s="62" t="n"/>
      <c r="D1579" s="63" t="n"/>
      <c r="F1579" s="65" t="n"/>
      <c r="G1579" s="65" t="n"/>
      <c r="H1579" s="71" t="n"/>
      <c r="I1579" s="71" t="n"/>
      <c r="J1579" s="21" t="n"/>
    </row>
    <row r="1580">
      <c r="B1580" s="37" t="n"/>
      <c r="C1580" s="62" t="n"/>
      <c r="D1580" s="63" t="n"/>
      <c r="F1580" s="65" t="n"/>
      <c r="G1580" s="65" t="n"/>
      <c r="H1580" s="71" t="n"/>
      <c r="I1580" s="71" t="n"/>
      <c r="J1580" s="21" t="n"/>
    </row>
    <row r="1581">
      <c r="B1581" s="37" t="n"/>
      <c r="C1581" s="62" t="n"/>
      <c r="D1581" s="63" t="n"/>
      <c r="F1581" s="65" t="n"/>
      <c r="G1581" s="65" t="n"/>
      <c r="H1581" s="71" t="n"/>
      <c r="I1581" s="71" t="n"/>
      <c r="J1581" s="21" t="n"/>
    </row>
    <row r="1582">
      <c r="B1582" s="37" t="n"/>
      <c r="C1582" s="62" t="n"/>
      <c r="D1582" s="63" t="n"/>
      <c r="F1582" s="65" t="n"/>
      <c r="G1582" s="65" t="n"/>
      <c r="H1582" s="71" t="n"/>
      <c r="I1582" s="71" t="n"/>
      <c r="J1582" s="21" t="n"/>
    </row>
    <row r="1583">
      <c r="B1583" s="37" t="n"/>
      <c r="C1583" s="62" t="n"/>
      <c r="D1583" s="63" t="n"/>
      <c r="F1583" s="65" t="n"/>
      <c r="G1583" s="65" t="n"/>
      <c r="H1583" s="71" t="n"/>
      <c r="I1583" s="71" t="n"/>
      <c r="J1583" s="21" t="n"/>
    </row>
    <row r="1584">
      <c r="B1584" s="37" t="n"/>
      <c r="C1584" s="62" t="n"/>
      <c r="D1584" s="63" t="n"/>
      <c r="F1584" s="65" t="n"/>
      <c r="G1584" s="65" t="n"/>
      <c r="H1584" s="71" t="n"/>
      <c r="I1584" s="71" t="n"/>
      <c r="J1584" s="21" t="n"/>
    </row>
    <row r="1585">
      <c r="B1585" s="37" t="n"/>
      <c r="C1585" s="62" t="n"/>
      <c r="D1585" s="63" t="n"/>
      <c r="F1585" s="65" t="n"/>
      <c r="G1585" s="65" t="n"/>
      <c r="H1585" s="71" t="n"/>
      <c r="I1585" s="71" t="n"/>
      <c r="J1585" s="21" t="n"/>
    </row>
    <row r="1586">
      <c r="B1586" s="37" t="n"/>
      <c r="C1586" s="62" t="n"/>
      <c r="D1586" s="63" t="n"/>
      <c r="F1586" s="65" t="n"/>
      <c r="G1586" s="65" t="n"/>
      <c r="H1586" s="71" t="n"/>
      <c r="I1586" s="71" t="n"/>
      <c r="J1586" s="21" t="n"/>
    </row>
    <row r="1587">
      <c r="B1587" s="37" t="n"/>
      <c r="C1587" s="62" t="n"/>
      <c r="D1587" s="63" t="n"/>
      <c r="F1587" s="65" t="n"/>
      <c r="G1587" s="65" t="n"/>
      <c r="H1587" s="71" t="n"/>
      <c r="I1587" s="71" t="n"/>
      <c r="J1587" s="21" t="n"/>
    </row>
    <row r="1588">
      <c r="B1588" s="37" t="n"/>
      <c r="C1588" s="62" t="n"/>
      <c r="D1588" s="63" t="n"/>
      <c r="F1588" s="65" t="n"/>
      <c r="G1588" s="65" t="n"/>
      <c r="H1588" s="71" t="n"/>
      <c r="I1588" s="71" t="n"/>
      <c r="J1588" s="21" t="n"/>
    </row>
    <row r="1589">
      <c r="B1589" s="37" t="n"/>
      <c r="C1589" s="62" t="n"/>
      <c r="D1589" s="63" t="n"/>
      <c r="F1589" s="65" t="n"/>
      <c r="G1589" s="65" t="n"/>
      <c r="H1589" s="71" t="n"/>
      <c r="I1589" s="71" t="n"/>
      <c r="J1589" s="21" t="n"/>
    </row>
    <row r="1590">
      <c r="B1590" s="37" t="n"/>
      <c r="C1590" s="62" t="n"/>
      <c r="D1590" s="63" t="n"/>
      <c r="F1590" s="65" t="n"/>
      <c r="G1590" s="65" t="n"/>
      <c r="H1590" s="71" t="n"/>
      <c r="I1590" s="71" t="n"/>
      <c r="J1590" s="21" t="n"/>
    </row>
    <row r="1591">
      <c r="B1591" s="37" t="n"/>
      <c r="C1591" s="62" t="n"/>
      <c r="D1591" s="63" t="n"/>
      <c r="F1591" s="65" t="n"/>
      <c r="G1591" s="65" t="n"/>
      <c r="H1591" s="71" t="n"/>
      <c r="I1591" s="71" t="n"/>
      <c r="J1591" s="21" t="n"/>
    </row>
    <row r="1592">
      <c r="B1592" s="37" t="n"/>
      <c r="C1592" s="62" t="n"/>
      <c r="D1592" s="63" t="n"/>
      <c r="F1592" s="65" t="n"/>
      <c r="G1592" s="65" t="n"/>
      <c r="H1592" s="71" t="n"/>
      <c r="I1592" s="71" t="n"/>
      <c r="J1592" s="21" t="n"/>
    </row>
    <row r="1593">
      <c r="B1593" s="37" t="n"/>
      <c r="C1593" s="62" t="n"/>
      <c r="D1593" s="63" t="n"/>
      <c r="F1593" s="65" t="n"/>
      <c r="G1593" s="65" t="n"/>
      <c r="H1593" s="71" t="n"/>
      <c r="I1593" s="71" t="n"/>
      <c r="J1593" s="21" t="n"/>
    </row>
    <row r="1594">
      <c r="B1594" s="37" t="n"/>
      <c r="C1594" s="62" t="n"/>
      <c r="D1594" s="63" t="n"/>
      <c r="F1594" s="65" t="n"/>
      <c r="G1594" s="65" t="n"/>
      <c r="H1594" s="71" t="n"/>
      <c r="I1594" s="71" t="n"/>
      <c r="J1594" s="21" t="n"/>
    </row>
    <row r="1595">
      <c r="B1595" s="37" t="n"/>
      <c r="C1595" s="62" t="n"/>
      <c r="D1595" s="63" t="n"/>
      <c r="F1595" s="65" t="n"/>
      <c r="G1595" s="65" t="n"/>
      <c r="H1595" s="71" t="n"/>
      <c r="I1595" s="71" t="n"/>
      <c r="J1595" s="21" t="n"/>
    </row>
    <row r="1596">
      <c r="B1596" s="37" t="n"/>
      <c r="C1596" s="62" t="n"/>
      <c r="D1596" s="63" t="n"/>
      <c r="F1596" s="65" t="n"/>
      <c r="G1596" s="65" t="n"/>
      <c r="H1596" s="71" t="n"/>
      <c r="I1596" s="71" t="n"/>
      <c r="J1596" s="21" t="n"/>
    </row>
    <row r="1597">
      <c r="B1597" s="37" t="n"/>
      <c r="C1597" s="62" t="n"/>
      <c r="D1597" s="63" t="n"/>
      <c r="F1597" s="65" t="n"/>
      <c r="G1597" s="65" t="n"/>
      <c r="H1597" s="71" t="n"/>
      <c r="I1597" s="71" t="n"/>
      <c r="J1597" s="21" t="n"/>
    </row>
    <row r="1598">
      <c r="B1598" s="37" t="n"/>
      <c r="C1598" s="62" t="n"/>
      <c r="D1598" s="63" t="n"/>
      <c r="F1598" s="65" t="n"/>
      <c r="G1598" s="65" t="n"/>
      <c r="H1598" s="71" t="n"/>
      <c r="I1598" s="71" t="n"/>
      <c r="J1598" s="21" t="n"/>
    </row>
    <row r="1599">
      <c r="B1599" s="37" t="n"/>
      <c r="C1599" s="62" t="n"/>
      <c r="D1599" s="63" t="n"/>
      <c r="F1599" s="65" t="n"/>
      <c r="G1599" s="65" t="n"/>
      <c r="H1599" s="71" t="n"/>
      <c r="I1599" s="71" t="n"/>
      <c r="J1599" s="21" t="n"/>
    </row>
    <row r="1600">
      <c r="B1600" s="37" t="n"/>
      <c r="C1600" s="62" t="n"/>
      <c r="D1600" s="63" t="n"/>
      <c r="F1600" s="65" t="n"/>
      <c r="G1600" s="65" t="n"/>
      <c r="H1600" s="71" t="n"/>
      <c r="I1600" s="71" t="n"/>
      <c r="J1600" s="21" t="n"/>
    </row>
    <row r="1601">
      <c r="B1601" s="37" t="n"/>
      <c r="C1601" s="62" t="n"/>
      <c r="D1601" s="63" t="n"/>
      <c r="F1601" s="65" t="n"/>
      <c r="G1601" s="65" t="n"/>
      <c r="H1601" s="71" t="n"/>
      <c r="I1601" s="71" t="n"/>
      <c r="J1601" s="21" t="n"/>
    </row>
    <row r="1602">
      <c r="B1602" s="37" t="n"/>
      <c r="C1602" s="62" t="n"/>
      <c r="D1602" s="63" t="n"/>
      <c r="F1602" s="65" t="n"/>
      <c r="G1602" s="65" t="n"/>
      <c r="H1602" s="71" t="n"/>
      <c r="I1602" s="71" t="n"/>
      <c r="J1602" s="21" t="n"/>
    </row>
    <row r="1603">
      <c r="B1603" s="37" t="n"/>
      <c r="C1603" s="62" t="n"/>
      <c r="D1603" s="63" t="n"/>
      <c r="F1603" s="65" t="n"/>
      <c r="G1603" s="65" t="n"/>
      <c r="H1603" s="71" t="n"/>
      <c r="I1603" s="71" t="n"/>
      <c r="J1603" s="21" t="n"/>
    </row>
    <row r="1604">
      <c r="B1604" s="37" t="n"/>
      <c r="C1604" s="62" t="n"/>
      <c r="D1604" s="63" t="n"/>
      <c r="F1604" s="65" t="n"/>
      <c r="G1604" s="65" t="n"/>
      <c r="H1604" s="71" t="n"/>
      <c r="I1604" s="71" t="n"/>
      <c r="J1604" s="21" t="n"/>
    </row>
    <row r="1605">
      <c r="B1605" s="37" t="n"/>
      <c r="C1605" s="62" t="n"/>
      <c r="D1605" s="63" t="n"/>
      <c r="F1605" s="65" t="n"/>
      <c r="G1605" s="65" t="n"/>
      <c r="H1605" s="71" t="n"/>
      <c r="I1605" s="71" t="n"/>
      <c r="J1605" s="21" t="n"/>
    </row>
    <row r="1606">
      <c r="B1606" s="37" t="n"/>
      <c r="C1606" s="62" t="n"/>
      <c r="D1606" s="63" t="n"/>
      <c r="F1606" s="65" t="n"/>
      <c r="G1606" s="65" t="n"/>
      <c r="H1606" s="71" t="n"/>
      <c r="I1606" s="71" t="n"/>
      <c r="J1606" s="21" t="n"/>
    </row>
    <row r="1607">
      <c r="B1607" s="37" t="n"/>
      <c r="C1607" s="62" t="n"/>
      <c r="D1607" s="63" t="n"/>
      <c r="F1607" s="65" t="n"/>
      <c r="G1607" s="65" t="n"/>
      <c r="H1607" s="71" t="n"/>
      <c r="I1607" s="71" t="n"/>
      <c r="J1607" s="21" t="n"/>
    </row>
    <row r="1608">
      <c r="B1608" s="37" t="n"/>
      <c r="C1608" s="62" t="n"/>
      <c r="D1608" s="63" t="n"/>
      <c r="F1608" s="65" t="n"/>
      <c r="G1608" s="65" t="n"/>
      <c r="H1608" s="71" t="n"/>
      <c r="I1608" s="71" t="n"/>
      <c r="J1608" s="21" t="n"/>
    </row>
    <row r="1609">
      <c r="B1609" s="37" t="n"/>
      <c r="C1609" s="62" t="n"/>
      <c r="D1609" s="63" t="n"/>
      <c r="F1609" s="65" t="n"/>
      <c r="G1609" s="65" t="n"/>
      <c r="H1609" s="71" t="n"/>
      <c r="I1609" s="71" t="n"/>
      <c r="J1609" s="21" t="n"/>
    </row>
    <row r="1610">
      <c r="B1610" s="37" t="n"/>
      <c r="C1610" s="62" t="n"/>
      <c r="D1610" s="63" t="n"/>
      <c r="F1610" s="65" t="n"/>
      <c r="G1610" s="65" t="n"/>
      <c r="H1610" s="71" t="n"/>
      <c r="I1610" s="71" t="n"/>
      <c r="J1610" s="21" t="n"/>
    </row>
    <row r="1611">
      <c r="B1611" s="37" t="n"/>
      <c r="C1611" s="62" t="n"/>
      <c r="D1611" s="63" t="n"/>
      <c r="F1611" s="65" t="n"/>
      <c r="G1611" s="65" t="n"/>
      <c r="H1611" s="71" t="n"/>
      <c r="I1611" s="71" t="n"/>
      <c r="J1611" s="21" t="n"/>
    </row>
    <row r="1612">
      <c r="B1612" s="37" t="n"/>
      <c r="C1612" s="62" t="n"/>
      <c r="D1612" s="63" t="n"/>
      <c r="F1612" s="65" t="n"/>
      <c r="G1612" s="65" t="n"/>
      <c r="H1612" s="71" t="n"/>
      <c r="I1612" s="71" t="n"/>
      <c r="J1612" s="21" t="n"/>
    </row>
    <row r="1613">
      <c r="B1613" s="37" t="n"/>
      <c r="C1613" s="62" t="n"/>
      <c r="D1613" s="63" t="n"/>
      <c r="F1613" s="65" t="n"/>
      <c r="G1613" s="65" t="n"/>
      <c r="H1613" s="71" t="n"/>
      <c r="I1613" s="71" t="n"/>
      <c r="J1613" s="21" t="n"/>
    </row>
    <row r="1614">
      <c r="B1614" s="37" t="n"/>
      <c r="C1614" s="62" t="n"/>
      <c r="D1614" s="63" t="n"/>
      <c r="F1614" s="65" t="n"/>
      <c r="G1614" s="65" t="n"/>
      <c r="H1614" s="71" t="n"/>
      <c r="I1614" s="71" t="n"/>
      <c r="J1614" s="21" t="n"/>
    </row>
    <row r="1615">
      <c r="B1615" s="37" t="n"/>
      <c r="C1615" s="62" t="n"/>
      <c r="D1615" s="63" t="n"/>
      <c r="F1615" s="65" t="n"/>
      <c r="G1615" s="65" t="n"/>
      <c r="H1615" s="71" t="n"/>
      <c r="I1615" s="71" t="n"/>
      <c r="J1615" s="21" t="n"/>
    </row>
    <row r="1616">
      <c r="B1616" s="37" t="n"/>
      <c r="C1616" s="62" t="n"/>
      <c r="D1616" s="63" t="n"/>
      <c r="F1616" s="65" t="n"/>
      <c r="G1616" s="65" t="n"/>
      <c r="H1616" s="71" t="n"/>
      <c r="I1616" s="71" t="n"/>
      <c r="J1616" s="21" t="n"/>
    </row>
    <row r="1617">
      <c r="B1617" s="37" t="n"/>
      <c r="C1617" s="62" t="n"/>
      <c r="D1617" s="63" t="n"/>
      <c r="F1617" s="65" t="n"/>
      <c r="G1617" s="65" t="n"/>
      <c r="H1617" s="71" t="n"/>
      <c r="I1617" s="71" t="n"/>
      <c r="J1617" s="21" t="n"/>
    </row>
    <row r="1618">
      <c r="B1618" s="37" t="n"/>
      <c r="C1618" s="62" t="n"/>
      <c r="D1618" s="63" t="n"/>
      <c r="F1618" s="65" t="n"/>
      <c r="G1618" s="65" t="n"/>
      <c r="H1618" s="71" t="n"/>
      <c r="I1618" s="71" t="n"/>
      <c r="J1618" s="21" t="n"/>
    </row>
    <row r="1619">
      <c r="B1619" s="37" t="n"/>
      <c r="C1619" s="62" t="n"/>
      <c r="D1619" s="63" t="n"/>
      <c r="F1619" s="65" t="n"/>
      <c r="G1619" s="65" t="n"/>
      <c r="H1619" s="71" t="n"/>
      <c r="I1619" s="71" t="n"/>
      <c r="J1619" s="21" t="n"/>
    </row>
    <row r="1620">
      <c r="B1620" s="37" t="n"/>
      <c r="C1620" s="62" t="n"/>
      <c r="D1620" s="63" t="n"/>
      <c r="F1620" s="65" t="n"/>
      <c r="G1620" s="65" t="n"/>
      <c r="H1620" s="71" t="n"/>
      <c r="I1620" s="71" t="n"/>
      <c r="J1620" s="21" t="n"/>
    </row>
    <row r="1621">
      <c r="B1621" s="37" t="n"/>
      <c r="C1621" s="62" t="n"/>
      <c r="D1621" s="63" t="n"/>
      <c r="F1621" s="65" t="n"/>
      <c r="G1621" s="65" t="n"/>
      <c r="H1621" s="71" t="n"/>
      <c r="I1621" s="71" t="n"/>
      <c r="J1621" s="21" t="n"/>
    </row>
    <row r="1622">
      <c r="B1622" s="37" t="n"/>
      <c r="C1622" s="62" t="n"/>
      <c r="D1622" s="63" t="n"/>
      <c r="F1622" s="65" t="n"/>
      <c r="G1622" s="65" t="n"/>
      <c r="H1622" s="71" t="n"/>
      <c r="I1622" s="71" t="n"/>
      <c r="J1622" s="21" t="n"/>
    </row>
    <row r="1623">
      <c r="B1623" s="37" t="n"/>
      <c r="C1623" s="62" t="n"/>
      <c r="D1623" s="63" t="n"/>
      <c r="F1623" s="65" t="n"/>
      <c r="G1623" s="65" t="n"/>
      <c r="H1623" s="71" t="n"/>
      <c r="I1623" s="71" t="n"/>
      <c r="J1623" s="21" t="n"/>
    </row>
    <row r="1624">
      <c r="B1624" s="37" t="n"/>
      <c r="C1624" s="62" t="n"/>
      <c r="D1624" s="63" t="n"/>
      <c r="F1624" s="65" t="n"/>
      <c r="G1624" s="65" t="n"/>
      <c r="H1624" s="71" t="n"/>
      <c r="I1624" s="71" t="n"/>
      <c r="J1624" s="21" t="n"/>
    </row>
    <row r="1625">
      <c r="B1625" s="37" t="n"/>
      <c r="C1625" s="62" t="n"/>
      <c r="D1625" s="63" t="n"/>
      <c r="F1625" s="65" t="n"/>
      <c r="G1625" s="65" t="n"/>
      <c r="H1625" s="71" t="n"/>
      <c r="I1625" s="71" t="n"/>
      <c r="J1625" s="21" t="n"/>
    </row>
    <row r="1626">
      <c r="B1626" s="37" t="n"/>
      <c r="C1626" s="62" t="n"/>
      <c r="D1626" s="63" t="n"/>
      <c r="F1626" s="65" t="n"/>
      <c r="G1626" s="65" t="n"/>
      <c r="H1626" s="71" t="n"/>
      <c r="I1626" s="71" t="n"/>
      <c r="J1626" s="21" t="n"/>
    </row>
    <row r="1627">
      <c r="B1627" s="37" t="n"/>
      <c r="C1627" s="62" t="n"/>
      <c r="D1627" s="63" t="n"/>
      <c r="F1627" s="65" t="n"/>
      <c r="G1627" s="65" t="n"/>
      <c r="H1627" s="71" t="n"/>
      <c r="I1627" s="71" t="n"/>
      <c r="J1627" s="21" t="n"/>
    </row>
    <row r="1628">
      <c r="B1628" s="37" t="n"/>
      <c r="C1628" s="62" t="n"/>
      <c r="D1628" s="63" t="n"/>
      <c r="F1628" s="65" t="n"/>
      <c r="G1628" s="65" t="n"/>
      <c r="H1628" s="71" t="n"/>
      <c r="I1628" s="71" t="n"/>
      <c r="J1628" s="21" t="n"/>
    </row>
    <row r="1629">
      <c r="B1629" s="37" t="n"/>
      <c r="C1629" s="62" t="n"/>
      <c r="D1629" s="63" t="n"/>
      <c r="F1629" s="65" t="n"/>
      <c r="G1629" s="65" t="n"/>
      <c r="H1629" s="71" t="n"/>
      <c r="I1629" s="71" t="n"/>
      <c r="J1629" s="21" t="n"/>
    </row>
    <row r="1630">
      <c r="B1630" s="37" t="n"/>
      <c r="C1630" s="62" t="n"/>
      <c r="D1630" s="63" t="n"/>
      <c r="F1630" s="65" t="n"/>
      <c r="G1630" s="65" t="n"/>
      <c r="H1630" s="71" t="n"/>
      <c r="I1630" s="71" t="n"/>
      <c r="J1630" s="21" t="n"/>
    </row>
    <row r="1631">
      <c r="B1631" s="37" t="n"/>
      <c r="C1631" s="62" t="n"/>
      <c r="D1631" s="63" t="n"/>
      <c r="F1631" s="65" t="n"/>
      <c r="G1631" s="65" t="n"/>
      <c r="H1631" s="71" t="n"/>
      <c r="I1631" s="71" t="n"/>
      <c r="J1631" s="21" t="n"/>
    </row>
    <row r="1632">
      <c r="B1632" s="37" t="n"/>
      <c r="C1632" s="62" t="n"/>
      <c r="D1632" s="63" t="n"/>
      <c r="F1632" s="65" t="n"/>
      <c r="G1632" s="65" t="n"/>
      <c r="H1632" s="71" t="n"/>
      <c r="I1632" s="71" t="n"/>
      <c r="J1632" s="21" t="n"/>
    </row>
    <row r="1633">
      <c r="B1633" s="37" t="n"/>
      <c r="C1633" s="62" t="n"/>
      <c r="D1633" s="63" t="n"/>
      <c r="F1633" s="65" t="n"/>
      <c r="G1633" s="65" t="n"/>
      <c r="H1633" s="71" t="n"/>
      <c r="I1633" s="71" t="n"/>
      <c r="J1633" s="21" t="n"/>
    </row>
    <row r="1634">
      <c r="B1634" s="37" t="n"/>
      <c r="C1634" s="62" t="n"/>
      <c r="D1634" s="63" t="n"/>
      <c r="F1634" s="65" t="n"/>
      <c r="G1634" s="65" t="n"/>
      <c r="H1634" s="71" t="n"/>
      <c r="I1634" s="71" t="n"/>
      <c r="J1634" s="21" t="n"/>
    </row>
    <row r="1635">
      <c r="B1635" s="37" t="n"/>
      <c r="C1635" s="62" t="n"/>
      <c r="D1635" s="63" t="n"/>
      <c r="F1635" s="65" t="n"/>
      <c r="G1635" s="65" t="n"/>
      <c r="H1635" s="71" t="n"/>
      <c r="I1635" s="71" t="n"/>
      <c r="J1635" s="21" t="n"/>
    </row>
    <row r="1636">
      <c r="B1636" s="37" t="n"/>
      <c r="C1636" s="62" t="n"/>
      <c r="D1636" s="63" t="n"/>
      <c r="F1636" s="65" t="n"/>
      <c r="G1636" s="65" t="n"/>
      <c r="H1636" s="71" t="n"/>
      <c r="I1636" s="71" t="n"/>
      <c r="J1636" s="21" t="n"/>
    </row>
    <row r="1637">
      <c r="B1637" s="37" t="n"/>
      <c r="C1637" s="62" t="n"/>
      <c r="D1637" s="63" t="n"/>
      <c r="F1637" s="65" t="n"/>
      <c r="G1637" s="65" t="n"/>
      <c r="H1637" s="71" t="n"/>
      <c r="I1637" s="71" t="n"/>
      <c r="J1637" s="21" t="n"/>
    </row>
    <row r="1638">
      <c r="B1638" s="37" t="n"/>
      <c r="C1638" s="62" t="n"/>
      <c r="D1638" s="63" t="n"/>
      <c r="F1638" s="65" t="n"/>
      <c r="G1638" s="65" t="n"/>
      <c r="H1638" s="71" t="n"/>
      <c r="I1638" s="71" t="n"/>
      <c r="J1638" s="21" t="n"/>
    </row>
    <row r="1639">
      <c r="B1639" s="37" t="n"/>
      <c r="C1639" s="62" t="n"/>
      <c r="D1639" s="63" t="n"/>
      <c r="F1639" s="65" t="n"/>
      <c r="G1639" s="65" t="n"/>
      <c r="H1639" s="71" t="n"/>
      <c r="I1639" s="71" t="n"/>
      <c r="J1639" s="21" t="n"/>
    </row>
    <row r="1640">
      <c r="B1640" s="37" t="n"/>
      <c r="C1640" s="62" t="n"/>
      <c r="D1640" s="63" t="n"/>
      <c r="F1640" s="65" t="n"/>
      <c r="G1640" s="65" t="n"/>
      <c r="H1640" s="71" t="n"/>
      <c r="I1640" s="71" t="n"/>
      <c r="J1640" s="21" t="n"/>
    </row>
    <row r="1641">
      <c r="B1641" s="37" t="n"/>
      <c r="C1641" s="62" t="n"/>
      <c r="D1641" s="63" t="n"/>
      <c r="F1641" s="65" t="n"/>
      <c r="G1641" s="65" t="n"/>
      <c r="H1641" s="71" t="n"/>
      <c r="I1641" s="71" t="n"/>
      <c r="J1641" s="21" t="n"/>
    </row>
    <row r="1642">
      <c r="B1642" s="37" t="n"/>
      <c r="C1642" s="62" t="n"/>
      <c r="D1642" s="63" t="n"/>
      <c r="F1642" s="65" t="n"/>
      <c r="G1642" s="65" t="n"/>
      <c r="H1642" s="71" t="n"/>
      <c r="I1642" s="71" t="n"/>
      <c r="J1642" s="21" t="n"/>
    </row>
    <row r="1643">
      <c r="B1643" s="37" t="n"/>
      <c r="C1643" s="62" t="n"/>
      <c r="D1643" s="63" t="n"/>
      <c r="F1643" s="65" t="n"/>
      <c r="G1643" s="65" t="n"/>
      <c r="H1643" s="71" t="n"/>
      <c r="I1643" s="71" t="n"/>
      <c r="J1643" s="21" t="n"/>
    </row>
    <row r="1644">
      <c r="B1644" s="37" t="n"/>
      <c r="C1644" s="62" t="n"/>
      <c r="D1644" s="63" t="n"/>
      <c r="F1644" s="65" t="n"/>
      <c r="G1644" s="65" t="n"/>
      <c r="H1644" s="71" t="n"/>
      <c r="I1644" s="71" t="n"/>
      <c r="J1644" s="21" t="n"/>
    </row>
    <row r="1645">
      <c r="B1645" s="37" t="n"/>
      <c r="C1645" s="62" t="n"/>
      <c r="D1645" s="63" t="n"/>
      <c r="F1645" s="65" t="n"/>
      <c r="G1645" s="65" t="n"/>
      <c r="H1645" s="71" t="n"/>
      <c r="I1645" s="71" t="n"/>
      <c r="J1645" s="21" t="n"/>
    </row>
    <row r="1646">
      <c r="B1646" s="37" t="n"/>
      <c r="C1646" s="62" t="n"/>
      <c r="D1646" s="63" t="n"/>
      <c r="F1646" s="65" t="n"/>
      <c r="G1646" s="65" t="n"/>
      <c r="H1646" s="71" t="n"/>
      <c r="I1646" s="71" t="n"/>
      <c r="J1646" s="21" t="n"/>
    </row>
    <row r="1647">
      <c r="B1647" s="37" t="n"/>
      <c r="C1647" s="62" t="n"/>
      <c r="D1647" s="63" t="n"/>
      <c r="F1647" s="65" t="n"/>
      <c r="G1647" s="65" t="n"/>
      <c r="H1647" s="71" t="n"/>
      <c r="I1647" s="71" t="n"/>
      <c r="J1647" s="21" t="n"/>
    </row>
    <row r="1648">
      <c r="B1648" s="37" t="n"/>
      <c r="C1648" s="62" t="n"/>
      <c r="D1648" s="63" t="n"/>
      <c r="F1648" s="65" t="n"/>
      <c r="G1648" s="65" t="n"/>
      <c r="H1648" s="71" t="n"/>
      <c r="I1648" s="71" t="n"/>
      <c r="J1648" s="21" t="n"/>
    </row>
    <row r="1649">
      <c r="B1649" s="37" t="n"/>
      <c r="C1649" s="62" t="n"/>
      <c r="D1649" s="63" t="n"/>
      <c r="F1649" s="65" t="n"/>
      <c r="G1649" s="65" t="n"/>
      <c r="H1649" s="71" t="n"/>
      <c r="I1649" s="71" t="n"/>
      <c r="J1649" s="21" t="n"/>
    </row>
    <row r="1650">
      <c r="B1650" s="37" t="n"/>
      <c r="C1650" s="62" t="n"/>
      <c r="D1650" s="63" t="n"/>
      <c r="F1650" s="65" t="n"/>
      <c r="G1650" s="65" t="n"/>
      <c r="H1650" s="71" t="n"/>
      <c r="I1650" s="71" t="n"/>
      <c r="J1650" s="21" t="n"/>
    </row>
    <row r="1651">
      <c r="B1651" s="37" t="n"/>
      <c r="C1651" s="62" t="n"/>
      <c r="D1651" s="63" t="n"/>
      <c r="F1651" s="65" t="n"/>
      <c r="G1651" s="65" t="n"/>
      <c r="H1651" s="71" t="n"/>
      <c r="I1651" s="71" t="n"/>
      <c r="J1651" s="21" t="n"/>
    </row>
    <row r="1652">
      <c r="B1652" s="37" t="n"/>
      <c r="C1652" s="62" t="n"/>
      <c r="D1652" s="63" t="n"/>
      <c r="F1652" s="65" t="n"/>
      <c r="G1652" s="65" t="n"/>
      <c r="H1652" s="71" t="n"/>
      <c r="I1652" s="71" t="n"/>
      <c r="J1652" s="21" t="n"/>
    </row>
    <row r="1653">
      <c r="B1653" s="37" t="n"/>
      <c r="C1653" s="62" t="n"/>
      <c r="D1653" s="63" t="n"/>
      <c r="F1653" s="65" t="n"/>
      <c r="G1653" s="65" t="n"/>
      <c r="H1653" s="71" t="n"/>
      <c r="I1653" s="71" t="n"/>
      <c r="J1653" s="21" t="n"/>
    </row>
    <row r="1654">
      <c r="B1654" s="37" t="n"/>
      <c r="C1654" s="62" t="n"/>
      <c r="D1654" s="63" t="n"/>
      <c r="F1654" s="65" t="n"/>
      <c r="G1654" s="65" t="n"/>
      <c r="H1654" s="71" t="n"/>
      <c r="I1654" s="71" t="n"/>
      <c r="J1654" s="21" t="n"/>
    </row>
    <row r="1655">
      <c r="B1655" s="37" t="n"/>
      <c r="C1655" s="62" t="n"/>
      <c r="D1655" s="63" t="n"/>
      <c r="F1655" s="65" t="n"/>
      <c r="G1655" s="65" t="n"/>
      <c r="H1655" s="71" t="n"/>
      <c r="I1655" s="71" t="n"/>
      <c r="J1655" s="21" t="n"/>
    </row>
    <row r="1656">
      <c r="B1656" s="37" t="n"/>
      <c r="C1656" s="62" t="n"/>
      <c r="D1656" s="63" t="n"/>
      <c r="F1656" s="65" t="n"/>
      <c r="G1656" s="65" t="n"/>
      <c r="H1656" s="71" t="n"/>
      <c r="I1656" s="71" t="n"/>
      <c r="J1656" s="21" t="n"/>
    </row>
    <row r="1657">
      <c r="B1657" s="37" t="n"/>
      <c r="C1657" s="62" t="n"/>
      <c r="D1657" s="63" t="n"/>
      <c r="F1657" s="65" t="n"/>
      <c r="G1657" s="65" t="n"/>
      <c r="H1657" s="71" t="n"/>
      <c r="I1657" s="71" t="n"/>
      <c r="J1657" s="21" t="n"/>
    </row>
    <row r="1658">
      <c r="B1658" s="37" t="n"/>
      <c r="C1658" s="62" t="n"/>
      <c r="D1658" s="63" t="n"/>
      <c r="F1658" s="65" t="n"/>
      <c r="G1658" s="65" t="n"/>
      <c r="H1658" s="71" t="n"/>
      <c r="I1658" s="71" t="n"/>
      <c r="J1658" s="21" t="n"/>
    </row>
    <row r="1659">
      <c r="B1659" s="37" t="n"/>
      <c r="C1659" s="62" t="n"/>
      <c r="D1659" s="63" t="n"/>
      <c r="F1659" s="65" t="n"/>
      <c r="G1659" s="65" t="n"/>
      <c r="H1659" s="71" t="n"/>
      <c r="I1659" s="71" t="n"/>
      <c r="J1659" s="21" t="n"/>
    </row>
    <row r="1660">
      <c r="B1660" s="37" t="n"/>
      <c r="C1660" s="62" t="n"/>
      <c r="D1660" s="63" t="n"/>
      <c r="F1660" s="65" t="n"/>
      <c r="G1660" s="65" t="n"/>
      <c r="H1660" s="71" t="n"/>
      <c r="I1660" s="71" t="n"/>
      <c r="J1660" s="21" t="n"/>
    </row>
    <row r="1661">
      <c r="B1661" s="37" t="n"/>
      <c r="C1661" s="62" t="n"/>
      <c r="D1661" s="63" t="n"/>
      <c r="F1661" s="65" t="n"/>
      <c r="G1661" s="65" t="n"/>
      <c r="H1661" s="71" t="n"/>
      <c r="I1661" s="71" t="n"/>
      <c r="J1661" s="21" t="n"/>
    </row>
    <row r="1662">
      <c r="B1662" s="37" t="n"/>
      <c r="C1662" s="62" t="n"/>
      <c r="D1662" s="63" t="n"/>
      <c r="F1662" s="65" t="n"/>
      <c r="G1662" s="65" t="n"/>
      <c r="H1662" s="71" t="n"/>
      <c r="I1662" s="71" t="n"/>
      <c r="J1662" s="21" t="n"/>
    </row>
    <row r="1663">
      <c r="B1663" s="37" t="n"/>
      <c r="C1663" s="62" t="n"/>
      <c r="D1663" s="63" t="n"/>
      <c r="F1663" s="65" t="n"/>
      <c r="G1663" s="65" t="n"/>
      <c r="H1663" s="71" t="n"/>
      <c r="I1663" s="71" t="n"/>
      <c r="J1663" s="21" t="n"/>
    </row>
    <row r="1664">
      <c r="B1664" s="37" t="n"/>
      <c r="C1664" s="62" t="n"/>
      <c r="D1664" s="63" t="n"/>
      <c r="F1664" s="65" t="n"/>
      <c r="G1664" s="65" t="n"/>
      <c r="H1664" s="71" t="n"/>
      <c r="I1664" s="71" t="n"/>
      <c r="J1664" s="21" t="n"/>
    </row>
    <row r="1665">
      <c r="B1665" s="37" t="n"/>
      <c r="C1665" s="62" t="n"/>
      <c r="D1665" s="63" t="n"/>
      <c r="F1665" s="65" t="n"/>
      <c r="G1665" s="65" t="n"/>
      <c r="H1665" s="71" t="n"/>
      <c r="I1665" s="71" t="n"/>
      <c r="J1665" s="21" t="n"/>
    </row>
    <row r="1666">
      <c r="B1666" s="37" t="n"/>
      <c r="C1666" s="62" t="n"/>
      <c r="D1666" s="63" t="n"/>
      <c r="F1666" s="65" t="n"/>
      <c r="G1666" s="65" t="n"/>
      <c r="H1666" s="71" t="n"/>
      <c r="I1666" s="71" t="n"/>
      <c r="J1666" s="21" t="n"/>
    </row>
    <row r="1667">
      <c r="B1667" s="37" t="n"/>
      <c r="C1667" s="62" t="n"/>
      <c r="D1667" s="63" t="n"/>
      <c r="F1667" s="65" t="n"/>
      <c r="G1667" s="65" t="n"/>
      <c r="H1667" s="71" t="n"/>
      <c r="I1667" s="71" t="n"/>
      <c r="J1667" s="21" t="n"/>
    </row>
    <row r="1668">
      <c r="B1668" s="37" t="n"/>
      <c r="C1668" s="62" t="n"/>
      <c r="D1668" s="63" t="n"/>
      <c r="F1668" s="65" t="n"/>
      <c r="G1668" s="65" t="n"/>
      <c r="H1668" s="71" t="n"/>
      <c r="I1668" s="71" t="n"/>
      <c r="J1668" s="21" t="n"/>
    </row>
    <row r="1669">
      <c r="B1669" s="37" t="n"/>
      <c r="C1669" s="62" t="n"/>
      <c r="D1669" s="63" t="n"/>
      <c r="F1669" s="65" t="n"/>
      <c r="G1669" s="65" t="n"/>
      <c r="H1669" s="71" t="n"/>
      <c r="I1669" s="71" t="n"/>
      <c r="J1669" s="21" t="n"/>
    </row>
    <row r="1670">
      <c r="B1670" s="37" t="n"/>
      <c r="C1670" s="62" t="n"/>
      <c r="D1670" s="63" t="n"/>
      <c r="F1670" s="65" t="n"/>
      <c r="G1670" s="65" t="n"/>
      <c r="H1670" s="71" t="n"/>
      <c r="I1670" s="71" t="n"/>
      <c r="J1670" s="21" t="n"/>
    </row>
    <row r="1671">
      <c r="B1671" s="37" t="n"/>
      <c r="C1671" s="62" t="n"/>
      <c r="D1671" s="63" t="n"/>
      <c r="F1671" s="65" t="n"/>
      <c r="G1671" s="65" t="n"/>
      <c r="H1671" s="71" t="n"/>
      <c r="I1671" s="71" t="n"/>
      <c r="J1671" s="21" t="n"/>
    </row>
    <row r="1672">
      <c r="B1672" s="37" t="n"/>
      <c r="C1672" s="62" t="n"/>
      <c r="D1672" s="63" t="n"/>
      <c r="F1672" s="65" t="n"/>
      <c r="G1672" s="65" t="n"/>
      <c r="H1672" s="71" t="n"/>
      <c r="I1672" s="71" t="n"/>
      <c r="J1672" s="21" t="n"/>
    </row>
    <row r="1673">
      <c r="B1673" s="37" t="n"/>
      <c r="C1673" s="62" t="n"/>
      <c r="D1673" s="63" t="n"/>
      <c r="F1673" s="65" t="n"/>
      <c r="G1673" s="65" t="n"/>
      <c r="H1673" s="71" t="n"/>
      <c r="I1673" s="71" t="n"/>
      <c r="J1673" s="21" t="n"/>
    </row>
    <row r="1674">
      <c r="B1674" s="37" t="n"/>
      <c r="C1674" s="62" t="n"/>
      <c r="D1674" s="63" t="n"/>
      <c r="F1674" s="65" t="n"/>
      <c r="G1674" s="65" t="n"/>
      <c r="H1674" s="71" t="n"/>
      <c r="I1674" s="71" t="n"/>
      <c r="J1674" s="21" t="n"/>
    </row>
    <row r="1675">
      <c r="B1675" s="37" t="n"/>
      <c r="C1675" s="62" t="n"/>
      <c r="D1675" s="63" t="n"/>
      <c r="F1675" s="65" t="n"/>
      <c r="G1675" s="65" t="n"/>
      <c r="H1675" s="71" t="n"/>
      <c r="I1675" s="71" t="n"/>
      <c r="J1675" s="21" t="n"/>
    </row>
    <row r="1676">
      <c r="B1676" s="37" t="n"/>
      <c r="C1676" s="62" t="n"/>
      <c r="D1676" s="63" t="n"/>
      <c r="F1676" s="65" t="n"/>
      <c r="G1676" s="65" t="n"/>
      <c r="H1676" s="71" t="n"/>
      <c r="I1676" s="71" t="n"/>
      <c r="J1676" s="21" t="n"/>
    </row>
    <row r="1677">
      <c r="B1677" s="37" t="n"/>
      <c r="C1677" s="62" t="n"/>
      <c r="D1677" s="63" t="n"/>
      <c r="F1677" s="65" t="n"/>
      <c r="G1677" s="65" t="n"/>
      <c r="H1677" s="71" t="n"/>
      <c r="I1677" s="71" t="n"/>
      <c r="J1677" s="21" t="n"/>
    </row>
    <row r="1678">
      <c r="B1678" s="37" t="n"/>
      <c r="C1678" s="62" t="n"/>
      <c r="D1678" s="63" t="n"/>
      <c r="F1678" s="65" t="n"/>
      <c r="G1678" s="65" t="n"/>
      <c r="H1678" s="71" t="n"/>
      <c r="I1678" s="71" t="n"/>
      <c r="J1678" s="21" t="n"/>
    </row>
    <row r="1679">
      <c r="B1679" s="37" t="n"/>
      <c r="C1679" s="62" t="n"/>
      <c r="D1679" s="63" t="n"/>
      <c r="F1679" s="65" t="n"/>
      <c r="G1679" s="65" t="n"/>
      <c r="H1679" s="71" t="n"/>
      <c r="I1679" s="71" t="n"/>
      <c r="J1679" s="21" t="n"/>
    </row>
    <row r="1680">
      <c r="B1680" s="37" t="n"/>
      <c r="C1680" s="62" t="n"/>
      <c r="D1680" s="63" t="n"/>
      <c r="F1680" s="65" t="n"/>
      <c r="G1680" s="65" t="n"/>
      <c r="H1680" s="71" t="n"/>
      <c r="I1680" s="71" t="n"/>
      <c r="J1680" s="21" t="n"/>
    </row>
    <row r="1681">
      <c r="B1681" s="37" t="n"/>
      <c r="C1681" s="62" t="n"/>
      <c r="D1681" s="63" t="n"/>
      <c r="F1681" s="65" t="n"/>
      <c r="G1681" s="65" t="n"/>
      <c r="H1681" s="71" t="n"/>
      <c r="I1681" s="71" t="n"/>
      <c r="J1681" s="21" t="n"/>
    </row>
    <row r="1682">
      <c r="B1682" s="37" t="n"/>
      <c r="C1682" s="62" t="n"/>
      <c r="D1682" s="63" t="n"/>
      <c r="F1682" s="65" t="n"/>
      <c r="G1682" s="65" t="n"/>
      <c r="H1682" s="71" t="n"/>
      <c r="I1682" s="71" t="n"/>
      <c r="J1682" s="21" t="n"/>
    </row>
    <row r="1683">
      <c r="B1683" s="37" t="n"/>
      <c r="C1683" s="62" t="n"/>
      <c r="D1683" s="63" t="n"/>
      <c r="F1683" s="65" t="n"/>
      <c r="G1683" s="65" t="n"/>
      <c r="H1683" s="71" t="n"/>
      <c r="I1683" s="71" t="n"/>
      <c r="J1683" s="21" t="n"/>
    </row>
    <row r="1684">
      <c r="B1684" s="37" t="n"/>
      <c r="C1684" s="62" t="n"/>
      <c r="D1684" s="63" t="n"/>
      <c r="F1684" s="65" t="n"/>
      <c r="G1684" s="65" t="n"/>
      <c r="H1684" s="71" t="n"/>
      <c r="I1684" s="71" t="n"/>
      <c r="J1684" s="21" t="n"/>
    </row>
    <row r="1685">
      <c r="B1685" s="37" t="n"/>
      <c r="C1685" s="62" t="n"/>
      <c r="D1685" s="63" t="n"/>
      <c r="F1685" s="65" t="n"/>
      <c r="G1685" s="65" t="n"/>
      <c r="H1685" s="71" t="n"/>
      <c r="I1685" s="71" t="n"/>
      <c r="J1685" s="21" t="n"/>
    </row>
    <row r="1686">
      <c r="B1686" s="37" t="n"/>
      <c r="C1686" s="62" t="n"/>
      <c r="D1686" s="63" t="n"/>
      <c r="F1686" s="65" t="n"/>
      <c r="G1686" s="65" t="n"/>
      <c r="H1686" s="71" t="n"/>
      <c r="I1686" s="71" t="n"/>
      <c r="J1686" s="21" t="n"/>
    </row>
    <row r="1687">
      <c r="B1687" s="37" t="n"/>
      <c r="C1687" s="62" t="n"/>
      <c r="D1687" s="63" t="n"/>
      <c r="F1687" s="65" t="n"/>
      <c r="G1687" s="65" t="n"/>
      <c r="H1687" s="71" t="n"/>
      <c r="I1687" s="71" t="n"/>
      <c r="J1687" s="21" t="n"/>
    </row>
    <row r="1688">
      <c r="B1688" s="37" t="n"/>
      <c r="C1688" s="62" t="n"/>
      <c r="D1688" s="63" t="n"/>
      <c r="F1688" s="65" t="n"/>
      <c r="G1688" s="65" t="n"/>
      <c r="H1688" s="71" t="n"/>
      <c r="I1688" s="71" t="n"/>
      <c r="J1688" s="21" t="n"/>
    </row>
    <row r="1689">
      <c r="B1689" s="37" t="n"/>
      <c r="C1689" s="62" t="n"/>
      <c r="D1689" s="63" t="n"/>
      <c r="F1689" s="65" t="n"/>
      <c r="G1689" s="65" t="n"/>
      <c r="H1689" s="71" t="n"/>
      <c r="I1689" s="71" t="n"/>
      <c r="J1689" s="21" t="n"/>
    </row>
    <row r="1690">
      <c r="B1690" s="37" t="n"/>
      <c r="C1690" s="62" t="n"/>
      <c r="D1690" s="63" t="n"/>
      <c r="F1690" s="65" t="n"/>
      <c r="G1690" s="65" t="n"/>
      <c r="H1690" s="71" t="n"/>
      <c r="I1690" s="71" t="n"/>
      <c r="J1690" s="21" t="n"/>
    </row>
    <row r="1691">
      <c r="B1691" s="37" t="n"/>
      <c r="C1691" s="62" t="n"/>
      <c r="D1691" s="63" t="n"/>
      <c r="F1691" s="65" t="n"/>
      <c r="G1691" s="65" t="n"/>
      <c r="H1691" s="71" t="n"/>
      <c r="I1691" s="71" t="n"/>
      <c r="J1691" s="21" t="n"/>
    </row>
    <row r="1692">
      <c r="B1692" s="37" t="n"/>
      <c r="C1692" s="62" t="n"/>
      <c r="D1692" s="63" t="n"/>
      <c r="F1692" s="65" t="n"/>
      <c r="G1692" s="65" t="n"/>
      <c r="H1692" s="71" t="n"/>
      <c r="I1692" s="71" t="n"/>
      <c r="J1692" s="21" t="n"/>
    </row>
    <row r="1693">
      <c r="B1693" s="37" t="n"/>
      <c r="C1693" s="62" t="n"/>
      <c r="D1693" s="63" t="n"/>
      <c r="F1693" s="65" t="n"/>
      <c r="G1693" s="65" t="n"/>
      <c r="H1693" s="71" t="n"/>
      <c r="I1693" s="71" t="n"/>
      <c r="J1693" s="21" t="n"/>
    </row>
    <row r="1694">
      <c r="B1694" s="37" t="n"/>
      <c r="C1694" s="62" t="n"/>
      <c r="D1694" s="63" t="n"/>
      <c r="F1694" s="65" t="n"/>
      <c r="G1694" s="65" t="n"/>
      <c r="H1694" s="71" t="n"/>
      <c r="I1694" s="71" t="n"/>
      <c r="J1694" s="21" t="n"/>
    </row>
  </sheetData>
  <autoFilter ref="A9:J170"/>
  <mergeCells count="2">
    <mergeCell ref="E1:J1"/>
    <mergeCell ref="G3:J3"/>
  </mergeCells>
  <conditionalFormatting sqref="D179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1" min="3" max="3"/>
    <col width="68.42578125" bestFit="1" customWidth="1" style="131" min="4" max="4"/>
    <col width="43.5703125" bestFit="1" customWidth="1" style="131" min="5" max="5"/>
  </cols>
  <sheetData>
    <row r="2" ht="21" customHeight="1" s="131">
      <c r="B2" s="92" t="n">
        <v>7523</v>
      </c>
      <c r="C2" s="75" t="n">
        <v>1001012427523</v>
      </c>
      <c r="D2" s="76" t="inlineStr">
        <is>
          <t>ГОВЯЖЬЯ Папа может вар п/о 0.4кг 6шт.</t>
        </is>
      </c>
      <c r="E2" s="91" t="inlineStr">
        <is>
          <t>Новинка, ротация</t>
        </is>
      </c>
      <c r="F2" s="89" t="inlineStr">
        <is>
          <t>ШТ</t>
        </is>
      </c>
      <c r="G2" s="90" t="n">
        <v>0.4</v>
      </c>
    </row>
    <row r="3" ht="21" customHeight="1" s="131">
      <c r="B3" s="92" t="n">
        <v>6220</v>
      </c>
      <c r="C3" s="77" t="n">
        <v>1001012426220</v>
      </c>
      <c r="D3" s="78" t="inlineStr">
        <is>
          <t>ГОВЯЖЬЯ Папа может вар п/о</t>
        </is>
      </c>
      <c r="E3" s="78" t="n"/>
      <c r="F3" s="89" t="inlineStr">
        <is>
          <t>КГ</t>
        </is>
      </c>
      <c r="G3" s="90" t="n">
        <v>1</v>
      </c>
    </row>
    <row r="4" ht="21" customHeight="1" s="131">
      <c r="B4" s="92" t="n">
        <v>7539</v>
      </c>
      <c r="C4" s="81" t="n">
        <v>1001010017539</v>
      </c>
      <c r="D4" s="76" t="inlineStr">
        <is>
          <t>ДОКТОРСКАЯ ГОСТ Останкино вар п/о 0.35кг</t>
        </is>
      </c>
      <c r="E4" s="91" t="inlineStr">
        <is>
          <t>Новинка, ротация</t>
        </is>
      </c>
      <c r="F4" s="92" t="inlineStr">
        <is>
          <t>ШТ</t>
        </is>
      </c>
      <c r="G4" s="93" t="n">
        <v>0.35</v>
      </c>
    </row>
    <row r="5" ht="21" customHeight="1" s="131">
      <c r="B5" s="92" t="n">
        <v>7536</v>
      </c>
      <c r="C5" s="84" t="n">
        <v>1001010017536</v>
      </c>
      <c r="D5" s="85" t="inlineStr">
        <is>
          <t>ДОКТОРСКАЯ ГОСТ Останкино вар п/о</t>
        </is>
      </c>
      <c r="E5" s="91" t="inlineStr">
        <is>
          <t>Новинка, ротация</t>
        </is>
      </c>
      <c r="F5" s="92" t="inlineStr">
        <is>
          <t>КГ</t>
        </is>
      </c>
      <c r="G5" s="93" t="n">
        <v>1</v>
      </c>
    </row>
    <row r="6" ht="21" customHeight="1" s="131">
      <c r="B6" s="92" t="n">
        <v>6340</v>
      </c>
      <c r="C6" s="86" t="n">
        <v>1001012816340</v>
      </c>
      <c r="D6" s="78" t="inlineStr">
        <is>
          <t>ДОМАШНИЙ РЕЦЕПТ Коровино 0.5кг 8шт.</t>
        </is>
      </c>
      <c r="E6" s="78" t="n"/>
      <c r="F6" s="92" t="inlineStr">
        <is>
          <t>ШТ</t>
        </is>
      </c>
      <c r="G6" s="93" t="n">
        <v>0.5</v>
      </c>
    </row>
    <row r="7" ht="21" customHeight="1" s="131">
      <c r="B7" s="92" t="n">
        <v>6861</v>
      </c>
      <c r="C7" s="86" t="n">
        <v>1001015646861</v>
      </c>
      <c r="D7" s="78" t="inlineStr">
        <is>
          <t>ДОМАШНИЙ РЕЦЕПТ Коровино вар п/о</t>
        </is>
      </c>
      <c r="E7" s="78" t="n"/>
      <c r="F7" s="92" t="inlineStr">
        <is>
          <t>КГ</t>
        </is>
      </c>
      <c r="G7" s="93" t="n">
        <v>1</v>
      </c>
    </row>
    <row r="8" ht="21" customHeight="1" s="131">
      <c r="B8" s="92" t="n">
        <v>6862</v>
      </c>
      <c r="C8" s="86" t="n">
        <v>1001015706862</v>
      </c>
      <c r="D8" s="78" t="inlineStr">
        <is>
          <t>ДОМАШНИЙ РЕЦЕПТ СО ШПИК.Коровино вар п/о</t>
        </is>
      </c>
      <c r="E8" s="78" t="n"/>
      <c r="F8" s="92" t="inlineStr">
        <is>
          <t>КГ</t>
        </is>
      </c>
      <c r="G8" s="93" t="n">
        <v>1</v>
      </c>
    </row>
    <row r="9" ht="21" customHeight="1" s="131">
      <c r="B9" s="92" t="n">
        <v>6341</v>
      </c>
      <c r="C9" s="86" t="n">
        <v>1001012816341</v>
      </c>
      <c r="D9" s="78" t="inlineStr">
        <is>
          <t>ДОМАШНИЙ РЕЦЕПТ СО ШПИКОМ Коровино 0.5кг</t>
        </is>
      </c>
      <c r="E9" s="78" t="n"/>
      <c r="F9" s="92" t="inlineStr">
        <is>
          <t>ШТ</t>
        </is>
      </c>
      <c r="G9" s="93" t="n">
        <v>0.5</v>
      </c>
    </row>
    <row r="10" ht="21" customHeight="1" s="131">
      <c r="B10" s="92" t="n">
        <v>6498</v>
      </c>
      <c r="C10" s="86" t="n">
        <v>1001012456498</v>
      </c>
      <c r="D10" s="78" t="inlineStr">
        <is>
          <t>МОЛОЧНАЯ Папа может вар п/о</t>
        </is>
      </c>
      <c r="E10" s="78" t="n"/>
      <c r="F10" s="92" t="inlineStr">
        <is>
          <t>КГ</t>
        </is>
      </c>
      <c r="G10" s="93" t="n">
        <v>1</v>
      </c>
    </row>
    <row r="11" ht="21" customHeight="1" s="131">
      <c r="B11" s="92" t="n">
        <v>4063</v>
      </c>
      <c r="C11" s="86" t="n">
        <v>1001012484063</v>
      </c>
      <c r="D11" s="78" t="inlineStr">
        <is>
          <t>МЯСНАЯ Папа может вар п/о</t>
        </is>
      </c>
      <c r="E11" s="78" t="n"/>
      <c r="F11" s="92" t="inlineStr">
        <is>
          <t>КГ</t>
        </is>
      </c>
      <c r="G11" s="93" t="n">
        <v>1</v>
      </c>
    </row>
    <row r="12" ht="21" customHeight="1" s="131">
      <c r="B12" s="92" t="n">
        <v>6333</v>
      </c>
      <c r="C12" s="86" t="n">
        <v>1001012486333</v>
      </c>
      <c r="D12" s="78" t="inlineStr">
        <is>
          <t>МЯСНАЯ Папа может вар п/о 0.4кг 8шт.</t>
        </is>
      </c>
      <c r="E12" s="78" t="n"/>
      <c r="F12" s="92" t="inlineStr">
        <is>
          <t>ШТ</t>
        </is>
      </c>
      <c r="G12" s="93" t="n">
        <v>0.4</v>
      </c>
    </row>
    <row r="13" ht="21" customHeight="1" s="131">
      <c r="B13" s="92" t="n">
        <v>4574</v>
      </c>
      <c r="C13" s="86" t="n">
        <v>1001012634574</v>
      </c>
      <c r="D13" s="78" t="inlineStr">
        <is>
          <t>МЯСНАЯ СО ШПИКОМ Папа может вар п/о</t>
        </is>
      </c>
      <c r="E13" s="78" t="n"/>
      <c r="F13" s="92" t="inlineStr">
        <is>
          <t>КГ</t>
        </is>
      </c>
      <c r="G13" s="93" t="n">
        <v>1</v>
      </c>
    </row>
    <row r="14" ht="21" customHeight="1" s="131">
      <c r="B14" s="92" t="n">
        <v>7334</v>
      </c>
      <c r="C14" s="86" t="n">
        <v>1001012637334</v>
      </c>
      <c r="D14" s="78" t="inlineStr">
        <is>
          <t>МЯСНАЯ СО ШПИКОМ ПМ вар п/о 0.4кг 8шт.</t>
        </is>
      </c>
      <c r="E14" s="78" t="n"/>
      <c r="F14" s="92" t="inlineStr">
        <is>
          <t>ШТ</t>
        </is>
      </c>
      <c r="G14" s="93" t="n">
        <v>0.4</v>
      </c>
    </row>
    <row r="15" ht="21" customHeight="1" s="131">
      <c r="B15" s="92" t="n">
        <v>4813</v>
      </c>
      <c r="C15" s="86" t="n">
        <v>1001012564813</v>
      </c>
      <c r="D15" s="78" t="inlineStr">
        <is>
          <t>ФИЛЕЙНАЯ Папа может вар п/о</t>
        </is>
      </c>
      <c r="E15" s="78" t="n"/>
      <c r="F15" s="92" t="inlineStr">
        <is>
          <t>КГ</t>
        </is>
      </c>
      <c r="G15" s="93" t="n">
        <v>1</v>
      </c>
    </row>
    <row r="16" ht="21" customHeight="1" s="131">
      <c r="B16" s="92" t="n">
        <v>6392</v>
      </c>
      <c r="C16" s="86" t="n">
        <v>1001012566392</v>
      </c>
      <c r="D16" s="78" t="inlineStr">
        <is>
          <t>ФИЛЕЙНАЯ Папа может вар п/о 0.4кг</t>
        </is>
      </c>
      <c r="E16" s="78" t="n"/>
      <c r="F16" s="92" t="inlineStr">
        <is>
          <t>ШТ</t>
        </is>
      </c>
      <c r="G16" s="93" t="n">
        <v>0.4</v>
      </c>
    </row>
    <row r="17" ht="21" customHeight="1" s="131">
      <c r="B17" s="92" t="n">
        <v>5851</v>
      </c>
      <c r="C17" s="86" t="n">
        <v>1001012505851</v>
      </c>
      <c r="D17" s="78" t="inlineStr">
        <is>
          <t>ЭКСТРА Папа может вар п/о</t>
        </is>
      </c>
      <c r="E17" s="78" t="n"/>
      <c r="F17" s="92" t="inlineStr">
        <is>
          <t>КГ</t>
        </is>
      </c>
      <c r="G17" s="93" t="n">
        <v>1</v>
      </c>
    </row>
    <row r="18" ht="21" customHeight="1" s="131">
      <c r="B18" s="92" t="n">
        <v>6353</v>
      </c>
      <c r="C18" s="86" t="n">
        <v>1001012506353</v>
      </c>
      <c r="D18" s="78" t="inlineStr">
        <is>
          <t>ЭКСТРА Папа может вар п/о 0.4кг 8шт.</t>
        </is>
      </c>
      <c r="E18" s="88" t="inlineStr">
        <is>
          <t>Ротация на код 7632</t>
        </is>
      </c>
      <c r="F18" s="92" t="inlineStr">
        <is>
          <t>ШТ</t>
        </is>
      </c>
      <c r="G18" s="93" t="n">
        <v>0.4</v>
      </c>
    </row>
    <row r="19" ht="21" customHeight="1" s="131">
      <c r="B19" s="92" t="n">
        <v>4561</v>
      </c>
      <c r="C19" s="86" t="n">
        <v>1001010014561</v>
      </c>
      <c r="D19" s="78" t="inlineStr">
        <is>
          <t>ДОКТОРСКАЯ ГОСТ Папа может вар п/о</t>
        </is>
      </c>
      <c r="E19" s="78" t="n"/>
      <c r="F19" s="92" t="inlineStr">
        <is>
          <t>КГ</t>
        </is>
      </c>
      <c r="G19" s="93" t="n">
        <v>1</v>
      </c>
    </row>
    <row r="20" ht="21" customHeight="1" s="131">
      <c r="B20" s="92" t="n">
        <v>7555</v>
      </c>
      <c r="C20" s="81" t="n">
        <v>1001012497555</v>
      </c>
      <c r="D20" s="76" t="inlineStr">
        <is>
          <t>ДОКТОРСКАЯ ПО-ОСТАНКИНСКИ вар б/о в/у</t>
        </is>
      </c>
      <c r="E20" s="91" t="inlineStr">
        <is>
          <t>Новинка, ротация</t>
        </is>
      </c>
      <c r="F20" s="92" t="inlineStr">
        <is>
          <t>КГ</t>
        </is>
      </c>
      <c r="G20" s="93" t="n">
        <v>1</v>
      </c>
    </row>
    <row r="21" ht="21" customHeight="1" s="131">
      <c r="B21" s="92" t="n">
        <v>6325</v>
      </c>
      <c r="C21" s="86" t="n">
        <v>1001010106325</v>
      </c>
      <c r="D21" s="78" t="inlineStr">
        <is>
          <t>ДОКТОРСКАЯ ПРЕМИУМ вар п/о 0.4кг 8шт.</t>
        </is>
      </c>
      <c r="E21" s="78" t="n"/>
      <c r="F21" s="92" t="inlineStr">
        <is>
          <t>ШТ</t>
        </is>
      </c>
      <c r="G21" s="93" t="n">
        <v>0.4</v>
      </c>
    </row>
    <row r="22" ht="21" customHeight="1" s="131">
      <c r="B22" s="92" t="n">
        <v>7556</v>
      </c>
      <c r="C22" s="81" t="n">
        <v>1001017597556</v>
      </c>
      <c r="D22" s="76" t="inlineStr">
        <is>
          <t>РУССКАЯ ПО-ОСТАНКИНСКИ вар б/о в/у</t>
        </is>
      </c>
      <c r="E22" s="91" t="inlineStr">
        <is>
          <t>Новинка, ротация</t>
        </is>
      </c>
      <c r="F22" s="92" t="inlineStr">
        <is>
          <t>КГ</t>
        </is>
      </c>
      <c r="G22" s="93" t="n">
        <v>1</v>
      </c>
    </row>
    <row r="23" ht="21" customHeight="1" s="131">
      <c r="B23" s="92" t="n">
        <v>7303</v>
      </c>
      <c r="C23" s="86" t="n">
        <v>1001010857303</v>
      </c>
      <c r="D23" s="78" t="inlineStr">
        <is>
          <t>РУССКАЯ ПРЕМИУМ ПМ вар п/о</t>
        </is>
      </c>
      <c r="E23" s="78" t="n"/>
      <c r="F23" s="92" t="inlineStr">
        <is>
          <t>КГ</t>
        </is>
      </c>
      <c r="G23" s="93" t="n">
        <v>1</v>
      </c>
    </row>
    <row r="24" ht="21" customHeight="1" s="131">
      <c r="B24" s="92" t="n">
        <v>8014</v>
      </c>
      <c r="C24" s="86" t="n">
        <v>1001010108014</v>
      </c>
      <c r="D24" s="78" t="inlineStr">
        <is>
          <t>ДОКТОРСКАЯ ПРЕМИУМ вар п/о(п)</t>
        </is>
      </c>
      <c r="E24" s="78" t="n"/>
      <c r="F24" s="92" t="inlineStr">
        <is>
          <t>КГ</t>
        </is>
      </c>
      <c r="G24" s="93" t="n">
        <v>1</v>
      </c>
    </row>
    <row r="25" ht="21" customHeight="1" s="131">
      <c r="B25" s="92" t="n">
        <v>7343</v>
      </c>
      <c r="C25" s="86" t="n">
        <v>1001016747343</v>
      </c>
      <c r="D25" s="78" t="inlineStr">
        <is>
          <t>СЕЙЧАС СЕЗОН ПМ вар п/о 0.4кг</t>
        </is>
      </c>
      <c r="E25" s="78" t="n"/>
      <c r="F25" s="92" t="inlineStr">
        <is>
          <t>ШТ</t>
        </is>
      </c>
      <c r="G25" s="93" t="n">
        <v>0.4</v>
      </c>
    </row>
    <row r="26" ht="21" customHeight="1" s="131">
      <c r="B26" s="92" t="n">
        <v>6797</v>
      </c>
      <c r="C26" s="86" t="n">
        <v>1001015026797</v>
      </c>
      <c r="D26" s="78" t="inlineStr">
        <is>
          <t>С ИНДЕЙКОЙ Папа может вар п/о 0.4кг 8шт.</t>
        </is>
      </c>
      <c r="E26" s="78" t="n"/>
      <c r="F26" s="92" t="inlineStr">
        <is>
          <t>ШТ</t>
        </is>
      </c>
      <c r="G26" s="93" t="n">
        <v>0.4</v>
      </c>
    </row>
    <row r="27" ht="21" customHeight="1" s="131">
      <c r="B27" s="92" t="n">
        <v>7231</v>
      </c>
      <c r="C27" s="86" t="n">
        <v>1001013957231</v>
      </c>
      <c r="D27" s="78" t="inlineStr">
        <is>
          <t>КЛАССИЧЕСКАЯ ПМ вар п/о 0.3кг 8шт_209к</t>
        </is>
      </c>
      <c r="E27" s="78" t="n"/>
      <c r="F27" s="92" t="inlineStr">
        <is>
          <t>ШТ</t>
        </is>
      </c>
      <c r="G27" s="93" t="n">
        <v>0.3</v>
      </c>
    </row>
    <row r="28" ht="23.25" customHeight="1" s="131">
      <c r="B28" s="94" t="n"/>
      <c r="C28" s="94" t="n"/>
      <c r="D28" s="95" t="inlineStr">
        <is>
          <t>Ветчины</t>
        </is>
      </c>
      <c r="E28" s="95" t="n"/>
      <c r="F28" s="96" t="n"/>
      <c r="G28" s="97" t="n"/>
    </row>
    <row r="29" ht="21" customHeight="1" s="131">
      <c r="B29" s="86" t="n">
        <v>4584</v>
      </c>
      <c r="C29" s="86" t="n">
        <v>1001092674584</v>
      </c>
      <c r="D29" s="100" t="inlineStr">
        <is>
          <t xml:space="preserve">ВЕТЧ.ИЗ ЛОПАТКИ Папа может п/о_HRC </t>
        </is>
      </c>
      <c r="E29" s="100" t="n"/>
      <c r="F29" s="92" t="inlineStr">
        <is>
          <t>КГ</t>
        </is>
      </c>
      <c r="G29" s="93" t="n">
        <v>1</v>
      </c>
    </row>
    <row r="30" ht="21" customHeight="1" s="131">
      <c r="B30" s="92" t="n">
        <v>6495</v>
      </c>
      <c r="C30" s="86" t="n">
        <v>1001092436495</v>
      </c>
      <c r="D30" s="100" t="inlineStr">
        <is>
          <t>ВЕТЧ.МРАМОРНАЯ в/у срез 0.3кг 6шт_45с</t>
        </is>
      </c>
      <c r="E30" s="100" t="n"/>
      <c r="F30" s="92" t="inlineStr">
        <is>
          <t>ШТ</t>
        </is>
      </c>
      <c r="G30" s="93" t="n">
        <v>0.3</v>
      </c>
    </row>
    <row r="31" ht="21" customHeight="1" s="131">
      <c r="B31" s="99" t="n">
        <v>6470</v>
      </c>
      <c r="C31" s="102" t="n">
        <v>1001092436470</v>
      </c>
      <c r="D31" s="103" t="inlineStr">
        <is>
          <t>ВЕТЧ.МРАМОРНАЯ в/у_45с</t>
        </is>
      </c>
      <c r="E31" s="103" t="n"/>
      <c r="F31" s="92" t="inlineStr">
        <is>
          <t>КГ</t>
        </is>
      </c>
      <c r="G31" s="93" t="n">
        <v>1</v>
      </c>
    </row>
    <row r="32" ht="21" customHeight="1" s="131">
      <c r="B32" s="92" t="n">
        <v>5452</v>
      </c>
      <c r="C32" s="86" t="n">
        <v>1001092485452</v>
      </c>
      <c r="D32" s="100" t="inlineStr">
        <is>
          <t>ВЕТЧ.МЯСНАЯ Папа может п/о</t>
        </is>
      </c>
      <c r="E32" s="100" t="n"/>
      <c r="F32" s="92" t="inlineStr">
        <is>
          <t>КГ</t>
        </is>
      </c>
      <c r="G32" s="93" t="n">
        <v>1</v>
      </c>
    </row>
    <row r="33" ht="21" customHeight="1" s="131">
      <c r="B33" s="92" t="n">
        <v>3215</v>
      </c>
      <c r="C33" s="86" t="n">
        <v>1001094053215</v>
      </c>
      <c r="D33" s="100" t="inlineStr">
        <is>
          <t>ВЕТЧ.МЯСНАЯ Папа может п/о 0.4кг 8шт.</t>
        </is>
      </c>
      <c r="E33" s="100" t="n"/>
      <c r="F33" s="92" t="inlineStr">
        <is>
          <t>ШТ</t>
        </is>
      </c>
      <c r="G33" s="93" t="n">
        <v>0.4</v>
      </c>
    </row>
    <row r="34" ht="21" customHeight="1" s="131">
      <c r="B34" s="86" t="n">
        <v>6866</v>
      </c>
      <c r="C34" s="86" t="n">
        <v>1001095716866</v>
      </c>
      <c r="D34" s="100" t="inlineStr">
        <is>
          <t>ВЕТЧ.НЕЖНАЯ Коровино п/о_Маяк</t>
        </is>
      </c>
      <c r="E34" s="100" t="n"/>
      <c r="F34" s="92" t="inlineStr">
        <is>
          <t>КГ</t>
        </is>
      </c>
      <c r="G34" s="93" t="n">
        <v>1</v>
      </c>
    </row>
    <row r="35" ht="21" customHeight="1" s="131">
      <c r="B35" s="92" t="n">
        <v>5495</v>
      </c>
      <c r="C35" s="86" t="n">
        <v>1001093345495</v>
      </c>
      <c r="D35" s="100" t="inlineStr">
        <is>
          <t>ВЕТЧ.С ИНДЕЙКОЙ Папа может п/о 400*6</t>
        </is>
      </c>
      <c r="E35" s="100" t="n"/>
      <c r="F35" s="92" t="inlineStr">
        <is>
          <t>ШТ</t>
        </is>
      </c>
      <c r="G35" s="93" t="n">
        <v>0.4</v>
      </c>
    </row>
    <row r="36" ht="21" customHeight="1" s="131">
      <c r="B36" s="92" t="n">
        <v>7377</v>
      </c>
      <c r="C36" s="86" t="n">
        <v>1001095027377</v>
      </c>
      <c r="D36" s="100" t="inlineStr">
        <is>
          <t>ВЕТЧ.С ИНДЕЙКОЙ ПМ в/у срез 0.3кг 6шт.</t>
        </is>
      </c>
      <c r="E36" s="78" t="n"/>
      <c r="F36" s="92" t="inlineStr">
        <is>
          <t>ШТ</t>
        </is>
      </c>
      <c r="G36" s="93" t="n">
        <v>0.3</v>
      </c>
    </row>
    <row r="37" ht="21" customHeight="1" s="131">
      <c r="B37" s="92" t="n">
        <v>6925</v>
      </c>
      <c r="C37" s="86" t="n">
        <v>1001095226925</v>
      </c>
      <c r="D37" s="78" t="inlineStr">
        <is>
          <t xml:space="preserve">ВЕТЧ.КЛАССИЧЕСКАЯ в/у 0.6кг 8шт. </t>
        </is>
      </c>
      <c r="E37" s="101" t="n"/>
      <c r="F37" s="92" t="inlineStr">
        <is>
          <t>ШТ</t>
        </is>
      </c>
      <c r="G37" s="93" t="n">
        <v>0.6</v>
      </c>
    </row>
    <row r="38" ht="21" customHeight="1" s="131">
      <c r="B38" s="92" t="n">
        <v>6025</v>
      </c>
      <c r="C38" s="86" t="n">
        <v>1001094966025</v>
      </c>
      <c r="D38" s="100" t="inlineStr">
        <is>
          <t>ВЕТЧ.ФИРМЕННАЯ С ИНДЕЙКОЙ п/о</t>
        </is>
      </c>
      <c r="E38" s="100" t="n"/>
      <c r="F38" s="92" t="inlineStr">
        <is>
          <t>КГ</t>
        </is>
      </c>
      <c r="G38" s="93" t="n">
        <v>1</v>
      </c>
    </row>
    <row r="39" ht="23.25" customHeight="1" s="131">
      <c r="B39" s="94" t="n"/>
      <c r="C39" s="94" t="n"/>
      <c r="D39" s="95" t="inlineStr">
        <is>
          <t>Копчености в/к</t>
        </is>
      </c>
      <c r="E39" s="95" t="n"/>
      <c r="F39" s="96" t="n"/>
      <c r="G39" s="97" t="n"/>
    </row>
    <row r="40" ht="21" customHeight="1" s="131">
      <c r="B40" s="99" t="n">
        <v>7090</v>
      </c>
      <c r="C40" s="102" t="n">
        <v>1001084217090</v>
      </c>
      <c r="D40" s="103" t="inlineStr">
        <is>
          <t>СВИНИНА ПО-ДОМ. к/в мл/к в/у 0.3кг_50с</t>
        </is>
      </c>
      <c r="E40" s="103" t="n"/>
      <c r="F40" s="89" t="inlineStr">
        <is>
          <t>ШТ</t>
        </is>
      </c>
      <c r="G40" s="90" t="n">
        <v>0.3</v>
      </c>
    </row>
    <row r="41" ht="21" customHeight="1" s="131">
      <c r="B41" s="92" t="n">
        <v>7187</v>
      </c>
      <c r="C41" s="77" t="n">
        <v>1001085637187</v>
      </c>
      <c r="D41" s="78" t="inlineStr">
        <is>
          <t>ГРУДИНКА ПРЕМИУМ к/в мл/к в/у 0.3кг_50с</t>
        </is>
      </c>
      <c r="E41" s="78" t="n"/>
      <c r="F41" s="89" t="inlineStr">
        <is>
          <t>ШТ</t>
        </is>
      </c>
      <c r="G41" s="90" t="n">
        <v>0.3</v>
      </c>
    </row>
    <row r="42" ht="21" customHeight="1" s="131">
      <c r="B42" s="92" t="n">
        <v>6620</v>
      </c>
      <c r="C42" s="77" t="n">
        <v>1001081596620</v>
      </c>
      <c r="D42" s="78" t="inlineStr">
        <is>
          <t>РЕБРЫШКИ к/в в/у_30c</t>
        </is>
      </c>
      <c r="E42" s="78" t="n"/>
      <c r="F42" s="89" t="inlineStr">
        <is>
          <t>КГ</t>
        </is>
      </c>
      <c r="G42" s="90" t="n">
        <v>1</v>
      </c>
    </row>
    <row r="43" ht="23.25" customHeight="1" s="131">
      <c r="B43" s="104" t="n"/>
      <c r="C43" s="94" t="n"/>
      <c r="D43" s="95" t="inlineStr">
        <is>
          <t>Копченые колбасы</t>
        </is>
      </c>
      <c r="E43" s="95" t="n"/>
      <c r="F43" s="96" t="n"/>
      <c r="G43" s="97" t="n"/>
    </row>
    <row r="44" ht="21" customHeight="1" s="131">
      <c r="B44" s="92" t="n">
        <v>7564</v>
      </c>
      <c r="C44" s="86" t="n">
        <v>1001303637564</v>
      </c>
      <c r="D44" s="78" t="inlineStr">
        <is>
          <t>БАЛЫКОВАЯ Останкино в/к в/у</t>
        </is>
      </c>
      <c r="E44" s="91" t="inlineStr">
        <is>
          <t>Новинка, ротация</t>
        </is>
      </c>
      <c r="F44" s="92" t="inlineStr">
        <is>
          <t>КГ</t>
        </is>
      </c>
      <c r="G44" s="93" t="n">
        <v>1</v>
      </c>
    </row>
    <row r="45" ht="21" customHeight="1" s="131">
      <c r="B45" s="92" t="n">
        <v>7603</v>
      </c>
      <c r="C45" s="86" t="n">
        <v>1001303637603</v>
      </c>
      <c r="D45" s="78" t="inlineStr">
        <is>
          <t>БАЛЫКОВАЯ Останкино в/к в/у 0.33кг 8шт.</t>
        </is>
      </c>
      <c r="E45" s="91" t="inlineStr">
        <is>
          <t>Новинка, ротация</t>
        </is>
      </c>
      <c r="F45" s="92" t="inlineStr">
        <is>
          <t>ШТ</t>
        </is>
      </c>
      <c r="G45" s="93" t="n">
        <v>0.33</v>
      </c>
    </row>
    <row r="46" ht="21" customHeight="1" s="131">
      <c r="B46" s="92" t="n">
        <v>7149</v>
      </c>
      <c r="C46" s="77" t="n">
        <v>1001303637149</v>
      </c>
      <c r="D46" s="78" t="inlineStr">
        <is>
          <t>БАЛЫКОВАЯ Коровино п/к в/у 0.84кг_50с</t>
        </is>
      </c>
      <c r="E46" s="78" t="n"/>
      <c r="F46" s="92" t="inlineStr">
        <is>
          <t>ШТ</t>
        </is>
      </c>
      <c r="G46" s="93" t="n">
        <v>0.84</v>
      </c>
    </row>
    <row r="47" ht="21" customHeight="1" s="131">
      <c r="B47" s="99" t="n">
        <v>7233</v>
      </c>
      <c r="C47" s="102" t="n">
        <v>1001303637233</v>
      </c>
      <c r="D47" s="103" t="inlineStr">
        <is>
          <t>БАЛЫКОВАЯ ПМ п/к в/у 0.31кг 8шт_209к</t>
        </is>
      </c>
      <c r="E47" s="103" t="n"/>
      <c r="F47" s="92" t="inlineStr">
        <is>
          <t>ШТ</t>
        </is>
      </c>
      <c r="G47" s="93" t="n">
        <v>0.31</v>
      </c>
    </row>
    <row r="48" ht="21" customHeight="1" s="131">
      <c r="B48" s="99" t="n">
        <v>7232</v>
      </c>
      <c r="C48" s="102" t="n">
        <v>1001302277232</v>
      </c>
      <c r="D48" s="103" t="inlineStr">
        <is>
          <t>БОЯNСКАЯ ПМ п/к в/у 0.28кг 8шт_209к</t>
        </is>
      </c>
      <c r="E48" s="103" t="n"/>
      <c r="F48" s="92" t="inlineStr">
        <is>
          <t>ШТ</t>
        </is>
      </c>
      <c r="G48" s="93" t="n">
        <v>0.28</v>
      </c>
    </row>
    <row r="49" ht="21" customHeight="1" s="131">
      <c r="B49" s="99" t="n">
        <v>7241</v>
      </c>
      <c r="C49" s="102" t="n">
        <v>1001303107241</v>
      </c>
      <c r="D49" s="103" t="inlineStr">
        <is>
          <t>САЛЯМИ Папа может п/к в/у 0.28кг_209к</t>
        </is>
      </c>
      <c r="E49" s="103" t="n"/>
      <c r="F49" s="92" t="inlineStr">
        <is>
          <t>ШТ</t>
        </is>
      </c>
      <c r="G49" s="93" t="n">
        <v>0.28</v>
      </c>
    </row>
    <row r="50" ht="21" customHeight="1" s="131">
      <c r="B50" s="92" t="n">
        <v>7133</v>
      </c>
      <c r="C50" s="86" t="n">
        <v>1001300367133</v>
      </c>
      <c r="D50" s="78" t="inlineStr">
        <is>
          <t>СЕРВЕЛАТ ЕВРОПЕЙСКИЙ в/к в/у 0.84кг</t>
        </is>
      </c>
      <c r="E50" s="78" t="n"/>
      <c r="F50" s="92" t="inlineStr">
        <is>
          <t>КГ</t>
        </is>
      </c>
      <c r="G50" s="93" t="n">
        <v>1</v>
      </c>
    </row>
    <row r="51" ht="21" customHeight="1" s="131">
      <c r="B51" s="92" t="n">
        <v>6807</v>
      </c>
      <c r="C51" s="86" t="n">
        <v>1001300366807</v>
      </c>
      <c r="D51" s="78" t="inlineStr">
        <is>
          <t>СЕРВЕЛАТ ЕВРОПЕЙСКИЙ в/к в/у 0.33кг 8шт.</t>
        </is>
      </c>
      <c r="E51" s="78" t="n"/>
      <c r="F51" s="92" t="inlineStr">
        <is>
          <t>ШТ</t>
        </is>
      </c>
      <c r="G51" s="93" t="n">
        <v>0.33</v>
      </c>
    </row>
    <row r="52" ht="21" customHeight="1" s="131">
      <c r="B52" s="92" t="n">
        <v>7154</v>
      </c>
      <c r="C52" s="86" t="n">
        <v>1001300387154</v>
      </c>
      <c r="D52" s="78" t="inlineStr">
        <is>
          <t>СЕРВЕЛАТ ЗЕРНИСТЫЙ ПМ в/к в/у 0.35кг_50с</t>
        </is>
      </c>
      <c r="E52" s="78" t="n"/>
      <c r="F52" s="92" t="inlineStr">
        <is>
          <t>ШТ</t>
        </is>
      </c>
      <c r="G52" s="93" t="n">
        <v>0.35</v>
      </c>
    </row>
    <row r="53" ht="21" customHeight="1" s="131">
      <c r="B53" s="92" t="n">
        <v>7157</v>
      </c>
      <c r="C53" s="86" t="n">
        <v>1001300387157</v>
      </c>
      <c r="D53" s="78" t="inlineStr">
        <is>
          <t>СЕРВЕЛАТ ЗЕРНИСТЫЙ ПМ в/к в/у_50с</t>
        </is>
      </c>
      <c r="E53" s="78" t="n"/>
      <c r="F53" s="92" t="inlineStr">
        <is>
          <t>КГ</t>
        </is>
      </c>
      <c r="G53" s="93" t="n">
        <v>1</v>
      </c>
    </row>
    <row r="54" ht="21" customHeight="1" s="131">
      <c r="B54" s="99" t="n">
        <v>7236</v>
      </c>
      <c r="C54" s="102" t="n">
        <v>1001304507236</v>
      </c>
      <c r="D54" s="103" t="inlineStr">
        <is>
          <t>СЕРВЕЛАТ КАРЕЛЬСКИЙ в/к в/у 0.28кг_209к</t>
        </is>
      </c>
      <c r="E54" s="103" t="n"/>
      <c r="F54" s="92" t="inlineStr">
        <is>
          <t>ШТ</t>
        </is>
      </c>
      <c r="G54" s="93" t="n">
        <v>0.28</v>
      </c>
    </row>
    <row r="55" ht="21" customHeight="1" s="131">
      <c r="B55" s="92" t="n">
        <v>6787</v>
      </c>
      <c r="C55" s="86" t="n">
        <v>1001300456787</v>
      </c>
      <c r="D55" s="78" t="inlineStr">
        <is>
          <t>СЕРВЕЛАТ КРЕМЛЕВСКИЙ в/к в/у 0.33кг 8шт.</t>
        </is>
      </c>
      <c r="E55" s="78" t="n"/>
      <c r="F55" s="92" t="inlineStr">
        <is>
          <t>ШТ</t>
        </is>
      </c>
      <c r="G55" s="93" t="n">
        <v>0.33</v>
      </c>
    </row>
    <row r="56" ht="21" customHeight="1" s="131">
      <c r="B56" s="92" t="n">
        <v>7166</v>
      </c>
      <c r="C56" s="86" t="n">
        <v>1001303987166</v>
      </c>
      <c r="D56" s="78" t="inlineStr">
        <is>
          <t>СЕРВЕЛАТ ОХОТНИЧИЙ ПМ в/к в/у_50с</t>
        </is>
      </c>
      <c r="E56" s="78" t="n"/>
      <c r="F56" s="92" t="inlineStr">
        <is>
          <t>КГ</t>
        </is>
      </c>
      <c r="G56" s="93" t="n">
        <v>1</v>
      </c>
    </row>
    <row r="57" ht="21" customHeight="1" s="131">
      <c r="B57" s="92" t="n">
        <v>7169</v>
      </c>
      <c r="C57" s="77" t="n">
        <v>1001303987169</v>
      </c>
      <c r="D57" s="78" t="inlineStr">
        <is>
          <t>СЕРВЕЛАТ ОХОТНИЧИЙ ПМ в/к в/у 0.35кг_50с</t>
        </is>
      </c>
      <c r="E57" s="78" t="n"/>
      <c r="F57" s="92" t="inlineStr">
        <is>
          <t>ШТ</t>
        </is>
      </c>
      <c r="G57" s="93" t="n">
        <v>0.35</v>
      </c>
    </row>
    <row r="58" ht="21" customHeight="1" s="131">
      <c r="B58" s="92" t="n">
        <v>5544</v>
      </c>
      <c r="C58" s="86" t="n">
        <v>1001051875544</v>
      </c>
      <c r="D58" s="78" t="inlineStr">
        <is>
          <t>СЕРВЕЛАТ ФИНСКИЙ в/к в/у_45с</t>
        </is>
      </c>
      <c r="E58" s="78" t="n"/>
      <c r="F58" s="92" t="inlineStr">
        <is>
          <t>КГ</t>
        </is>
      </c>
      <c r="G58" s="93" t="n">
        <v>1</v>
      </c>
    </row>
    <row r="59" ht="21" customHeight="1" s="131">
      <c r="B59" s="92" t="n">
        <v>6697</v>
      </c>
      <c r="C59" s="86" t="n">
        <v>1001301876697</v>
      </c>
      <c r="D59" s="78" t="inlineStr">
        <is>
          <t>СЕРВЕЛАТ ФИНСКИЙ ПМ в/к в/у 0.35кг 8шт.</t>
        </is>
      </c>
      <c r="E59" s="78" t="n"/>
      <c r="F59" s="92" t="inlineStr">
        <is>
          <t>ШТ</t>
        </is>
      </c>
      <c r="G59" s="93" t="n">
        <v>0.35</v>
      </c>
    </row>
    <row r="60" ht="21" customHeight="1" s="131">
      <c r="B60" s="92" t="n">
        <v>7237</v>
      </c>
      <c r="C60" s="86" t="n">
        <v>1001304497237</v>
      </c>
      <c r="D60" s="78" t="inlineStr">
        <is>
          <t>СЕРВЕЛАТ ШВАРЦЕР ПМ в/к в/у 0.28кг_209к</t>
        </is>
      </c>
      <c r="E60" s="78" t="n"/>
      <c r="F60" s="92" t="inlineStr">
        <is>
          <t>ШТ</t>
        </is>
      </c>
      <c r="G60" s="93" t="n">
        <v>0.28</v>
      </c>
    </row>
    <row r="61" ht="21" customHeight="1" s="131">
      <c r="B61" s="92" t="n">
        <v>7238</v>
      </c>
      <c r="C61" s="86" t="n">
        <v>1001305197238</v>
      </c>
      <c r="D61" s="78" t="inlineStr">
        <is>
          <t>СЕРВЕЛАТ ОРЕХОВЫЙ в/к в/у 0.31кг_209к</t>
        </is>
      </c>
      <c r="E61" s="78" t="n"/>
      <c r="F61" s="92" t="inlineStr">
        <is>
          <t>ШТ</t>
        </is>
      </c>
      <c r="G61" s="93" t="n">
        <v>0.31</v>
      </c>
    </row>
    <row r="62" ht="21" customHeight="1" s="131">
      <c r="B62" s="92" t="n">
        <v>7177</v>
      </c>
      <c r="C62" s="86" t="n">
        <v>1001302347177</v>
      </c>
      <c r="D62" s="78" t="inlineStr">
        <is>
          <t>ЧЕСНОЧНАЯ ПМ п/к в/у 0.35кг 8шт_50с</t>
        </is>
      </c>
      <c r="E62" s="78" t="n"/>
      <c r="F62" s="92" t="inlineStr">
        <is>
          <t>ШТ</t>
        </is>
      </c>
      <c r="G62" s="93" t="n">
        <v>0.35</v>
      </c>
    </row>
    <row r="63" ht="21" customHeight="1" s="131">
      <c r="B63" s="99" t="n">
        <v>7332</v>
      </c>
      <c r="C63" s="102" t="n">
        <v>1001301777332</v>
      </c>
      <c r="D63" s="103" t="inlineStr">
        <is>
          <t>БОЯРСКАЯ ПМ п/к в/у 0.28кг_СНГ</t>
        </is>
      </c>
      <c r="E63" s="105" t="n"/>
      <c r="F63" s="89" t="inlineStr">
        <is>
          <t>ШТ</t>
        </is>
      </c>
      <c r="G63" s="90" t="n">
        <v>0.28</v>
      </c>
    </row>
    <row r="64" ht="21" customHeight="1" s="131">
      <c r="B64" s="99" t="n">
        <v>7333</v>
      </c>
      <c r="C64" s="102" t="n">
        <v>1001303987333</v>
      </c>
      <c r="D64" s="103" t="inlineStr">
        <is>
          <t>СЕРВЕЛАТ ОХОТНИЧИЙ ПМ в/к в/у 0.28кг_СНГ</t>
        </is>
      </c>
      <c r="E64" s="105" t="n"/>
      <c r="F64" s="89" t="inlineStr">
        <is>
          <t>ШТ</t>
        </is>
      </c>
      <c r="G64" s="90" t="n">
        <v>0.28</v>
      </c>
    </row>
    <row r="65" ht="23.25" customHeight="1" s="131">
      <c r="B65" s="104" t="n"/>
      <c r="C65" s="94" t="n"/>
      <c r="D65" s="95" t="inlineStr">
        <is>
          <t>Нарезка в/к колбас</t>
        </is>
      </c>
      <c r="E65" s="95" t="n"/>
      <c r="F65" s="96" t="n"/>
      <c r="G65" s="97" t="n"/>
    </row>
    <row r="66" ht="21" customHeight="1" s="131">
      <c r="B66" s="92" t="n">
        <v>6459</v>
      </c>
      <c r="C66" s="86" t="n">
        <v>1001214196459</v>
      </c>
      <c r="D66" s="78" t="inlineStr">
        <is>
          <t>СЕРВЕЛАТ ШВЕЙЦАРСК. в/к с/н в/у 1/100*10</t>
        </is>
      </c>
      <c r="E66" s="88" t="inlineStr">
        <is>
          <t>Ротация на код 7608</t>
        </is>
      </c>
      <c r="F66" s="92" t="inlineStr">
        <is>
          <t>ШТ</t>
        </is>
      </c>
      <c r="G66" s="93" t="n">
        <v>0.1</v>
      </c>
    </row>
    <row r="67" ht="21" customHeight="1" s="131">
      <c r="B67" s="92" t="n">
        <v>7474</v>
      </c>
      <c r="C67" s="86" t="n">
        <v>1001216717474</v>
      </c>
      <c r="D67" s="78" t="inlineStr">
        <is>
          <t>СЕРВЕЛАТ БАВАРСКИЙ в/к с/н в/у 1/100*10</t>
        </is>
      </c>
      <c r="E67" s="88" t="inlineStr">
        <is>
          <t>Ротация на код 7610</t>
        </is>
      </c>
      <c r="F67" s="92" t="inlineStr">
        <is>
          <t>ШТ</t>
        </is>
      </c>
      <c r="G67" s="93" t="n">
        <v>0.1</v>
      </c>
    </row>
    <row r="68" ht="23.25" customHeight="1" s="131">
      <c r="B68" s="104" t="n"/>
      <c r="C68" s="94" t="n"/>
      <c r="D68" s="95" t="inlineStr">
        <is>
          <t>Нарезка копченостей</t>
        </is>
      </c>
      <c r="E68" s="95" t="n"/>
      <c r="F68" s="96" t="n"/>
      <c r="G68" s="97" t="n"/>
    </row>
    <row r="69" ht="21" customHeight="1" s="131">
      <c r="B69" s="92" t="n">
        <v>7103</v>
      </c>
      <c r="C69" s="86" t="n">
        <v>1001223297103</v>
      </c>
      <c r="D69" s="78" t="inlineStr">
        <is>
          <t>БЕКОН Останкино с/к с/н в/у 1/180_50с</t>
        </is>
      </c>
      <c r="E69" s="78" t="n"/>
      <c r="F69" s="92" t="inlineStr">
        <is>
          <t>ШТ</t>
        </is>
      </c>
      <c r="G69" s="93" t="n">
        <v>0.18</v>
      </c>
    </row>
    <row r="70" ht="21" customHeight="1" s="131">
      <c r="B70" s="92" t="n">
        <v>7092</v>
      </c>
      <c r="C70" s="86" t="n">
        <v>1001223297092</v>
      </c>
      <c r="D70" s="78" t="inlineStr">
        <is>
          <t>БЕКОН Папа может с/к с/н в/у 1/140_50с</t>
        </is>
      </c>
      <c r="E70" s="78" t="n"/>
      <c r="F70" s="92" t="inlineStr">
        <is>
          <t>ШТ</t>
        </is>
      </c>
      <c r="G70" s="93" t="n">
        <v>0.14</v>
      </c>
    </row>
    <row r="71" ht="21" customHeight="1" s="131">
      <c r="B71" s="92" t="n">
        <v>6228</v>
      </c>
      <c r="C71" s="86" t="n">
        <v>1001225416228</v>
      </c>
      <c r="D71" s="78" t="inlineStr">
        <is>
          <t>МЯСНОЕ АССОРТИ к/з с/н мгс 1/90 10шт.</t>
        </is>
      </c>
      <c r="E71" s="78" t="n"/>
      <c r="F71" s="92" t="inlineStr">
        <is>
          <t>ШТ</t>
        </is>
      </c>
      <c r="G71" s="93" t="n">
        <v>0.09</v>
      </c>
    </row>
    <row r="72" ht="21" customHeight="1" s="131">
      <c r="B72" s="92" t="n">
        <v>6448</v>
      </c>
      <c r="C72" s="86" t="n">
        <v>1001234146448</v>
      </c>
      <c r="D72" s="78" t="inlineStr">
        <is>
          <t>СВИНИНА МАДЕРА с/к с/н в/у 1/100 10шт.</t>
        </is>
      </c>
      <c r="E72" s="78" t="n"/>
      <c r="F72" s="92" t="inlineStr">
        <is>
          <t>ШТ</t>
        </is>
      </c>
      <c r="G72" s="93" t="n">
        <v>0.1</v>
      </c>
    </row>
    <row r="73" ht="21" customHeight="1" s="131">
      <c r="B73" s="92" t="n">
        <v>6208</v>
      </c>
      <c r="C73" s="86" t="n">
        <v>1001220226208</v>
      </c>
      <c r="D73" s="78" t="inlineStr">
        <is>
          <t>ДЫМОВИЦА ИЗ ЛОПАТКИ ПМ к/в с/н в/у 1/150</t>
        </is>
      </c>
      <c r="E73" s="78" t="n"/>
      <c r="F73" s="92" t="inlineStr">
        <is>
          <t>ШТ</t>
        </is>
      </c>
      <c r="G73" s="93" t="n">
        <v>0.15</v>
      </c>
    </row>
    <row r="74" ht="21" customHeight="1" s="131">
      <c r="B74" s="92" t="n">
        <v>6754</v>
      </c>
      <c r="C74" s="86" t="n">
        <v>1001225406754</v>
      </c>
      <c r="D74" s="78" t="inlineStr">
        <is>
          <t>БАЛЫК И ШЕЙКА с/в с/н мгс 1/90 8шт.</t>
        </is>
      </c>
      <c r="E74" s="78" t="n"/>
      <c r="F74" s="92" t="inlineStr">
        <is>
          <t>ШТ</t>
        </is>
      </c>
      <c r="G74" s="93" t="n">
        <v>0.09</v>
      </c>
    </row>
    <row r="75" ht="21" customHeight="1" s="131">
      <c r="B75" s="92" t="n">
        <v>6279</v>
      </c>
      <c r="C75" s="77" t="n">
        <v>1001220286279</v>
      </c>
      <c r="D75" s="78" t="inlineStr">
        <is>
          <t>КОРЕЙКА ПО-ОСТ.к/в в/с с/н в/у 1/150_45с</t>
        </is>
      </c>
      <c r="E75" s="78" t="n"/>
      <c r="F75" s="89" t="inlineStr">
        <is>
          <t>ШТ</t>
        </is>
      </c>
      <c r="G75" s="90" t="n">
        <v>0.15</v>
      </c>
    </row>
    <row r="76" ht="21" customHeight="1" s="131">
      <c r="B76" s="92" t="n">
        <v>7288</v>
      </c>
      <c r="C76" s="86" t="n">
        <v>1001223907288</v>
      </c>
      <c r="D76" s="78" t="inlineStr">
        <is>
          <t>БАЛЫК с/к с/н в/у 1/100 10шт. (7288)</t>
        </is>
      </c>
      <c r="E76" s="88" t="inlineStr">
        <is>
          <t>Ротация на код 7612</t>
        </is>
      </c>
      <c r="F76" s="92" t="inlineStr">
        <is>
          <t>ШТ</t>
        </is>
      </c>
      <c r="G76" s="93" t="n">
        <v>0.1</v>
      </c>
    </row>
    <row r="77" ht="21" customHeight="1" s="131">
      <c r="B77" s="92" t="n">
        <v>7612</v>
      </c>
      <c r="C77" s="86" t="n">
        <v>1001453907612</v>
      </c>
      <c r="D77" s="87" t="inlineStr">
        <is>
          <t>БАЛЫК с/к с/н в/у 1/100 10шт_Л11</t>
        </is>
      </c>
      <c r="E77" s="87" t="inlineStr">
        <is>
          <t>260654543581 (с 03.06 по 30.06)</t>
        </is>
      </c>
      <c r="F77" s="92" t="inlineStr">
        <is>
          <t>ШТ</t>
        </is>
      </c>
      <c r="G77" s="93" t="n">
        <v>0.1</v>
      </c>
    </row>
    <row r="78" ht="23.25" customHeight="1" s="131">
      <c r="B78" s="104" t="n"/>
      <c r="C78" s="94" t="n"/>
      <c r="D78" s="95" t="inlineStr">
        <is>
          <t>Нарезка с/к колбас</t>
        </is>
      </c>
      <c r="E78" s="95" t="n"/>
      <c r="F78" s="96" t="n"/>
      <c r="G78" s="97" t="n"/>
    </row>
    <row r="79" ht="21" customHeight="1" s="131">
      <c r="B79" s="92" t="n">
        <v>6454</v>
      </c>
      <c r="C79" s="86" t="n">
        <v>1001201976454</v>
      </c>
      <c r="D79" s="78" t="inlineStr">
        <is>
          <t>АРОМАТНАЯ с/к с/н в/у 1/100 10шт.</t>
        </is>
      </c>
      <c r="E79" s="88" t="inlineStr">
        <is>
          <t>Ротация на код 7613</t>
        </is>
      </c>
      <c r="F79" s="92" t="inlineStr">
        <is>
          <t>ШТ</t>
        </is>
      </c>
      <c r="G79" s="93" t="n">
        <v>0.1</v>
      </c>
    </row>
    <row r="80" ht="21" customHeight="1" s="131">
      <c r="B80" s="92" t="n">
        <v>6834</v>
      </c>
      <c r="C80" s="86" t="n">
        <v>1001203146834</v>
      </c>
      <c r="D80" s="78" t="inlineStr">
        <is>
          <t>ПОСОЛЬСКАЯ ПМ с/к с/н в/у 1/100 10шт.</t>
        </is>
      </c>
      <c r="E80" s="78" t="n"/>
      <c r="F80" s="92" t="inlineStr">
        <is>
          <t>ШТ</t>
        </is>
      </c>
      <c r="G80" s="93" t="n">
        <v>0.1</v>
      </c>
    </row>
    <row r="81" ht="21" customHeight="1" s="131">
      <c r="B81" s="92" t="n">
        <v>7382</v>
      </c>
      <c r="C81" s="86" t="n">
        <v>1001203117382</v>
      </c>
      <c r="D81" s="78" t="inlineStr">
        <is>
          <t>САЛЯМИ МЕЛКОЗЕРНЕНАЯ с/к в/у 1/120 8шт.</t>
        </is>
      </c>
      <c r="E81" s="88" t="inlineStr">
        <is>
          <t>Ротация на код 7607</t>
        </is>
      </c>
      <c r="F81" s="92" t="inlineStr">
        <is>
          <t>ШТ</t>
        </is>
      </c>
      <c r="G81" s="93" t="n">
        <v>0.12</v>
      </c>
    </row>
    <row r="82" ht="21" customHeight="1" s="131">
      <c r="B82" s="92" t="n">
        <v>6453</v>
      </c>
      <c r="C82" s="86" t="n">
        <v>1001202506453</v>
      </c>
      <c r="D82" s="78" t="inlineStr">
        <is>
          <t>ЭКСТРА Папа может с/к с/н в/у 1/100 14шт</t>
        </is>
      </c>
      <c r="E82" s="88" t="inlineStr">
        <is>
          <t>Ротация на код 7616</t>
        </is>
      </c>
      <c r="F82" s="92" t="inlineStr">
        <is>
          <t>ШТ</t>
        </is>
      </c>
      <c r="G82" s="93" t="n">
        <v>0.1</v>
      </c>
    </row>
    <row r="83" ht="21" customHeight="1" s="131">
      <c r="B83" s="92" t="n">
        <v>6221</v>
      </c>
      <c r="C83" s="86" t="n">
        <v>1001205376221</v>
      </c>
      <c r="D83" s="78" t="inlineStr">
        <is>
          <t>НЕАПОЛИТАНСКИЙ ДУЭТ с/к с/н мгс 1/90</t>
        </is>
      </c>
      <c r="E83" s="78" t="n"/>
      <c r="F83" s="92" t="inlineStr">
        <is>
          <t>ШТ</t>
        </is>
      </c>
      <c r="G83" s="93" t="n">
        <v>0.09</v>
      </c>
    </row>
    <row r="84" ht="21" customHeight="1" s="131">
      <c r="B84" s="92" t="n">
        <v>6222</v>
      </c>
      <c r="C84" s="86" t="n">
        <v>1001205386222</v>
      </c>
      <c r="D84" s="78" t="inlineStr">
        <is>
          <t>ИТАЛЬЯНСКОЕ АССОРТИ с/в с/н мгс 1/90</t>
        </is>
      </c>
      <c r="E84" s="78" t="n"/>
      <c r="F84" s="92" t="inlineStr">
        <is>
          <t>ШТ</t>
        </is>
      </c>
      <c r="G84" s="93" t="n">
        <v>0.09</v>
      </c>
    </row>
    <row r="85" ht="21" customHeight="1" s="131">
      <c r="B85" s="99" t="n">
        <v>6965</v>
      </c>
      <c r="C85" s="102" t="n">
        <v>1001206356965</v>
      </c>
      <c r="D85" s="103" t="inlineStr">
        <is>
          <t>САЛЬЧИЧОН ПРЕМИУМ с/к с/н мгс 1/70 14шт.</t>
        </is>
      </c>
      <c r="E85" s="103" t="n"/>
      <c r="F85" s="92" t="inlineStr">
        <is>
          <t>ШТ</t>
        </is>
      </c>
      <c r="G85" s="93" t="n">
        <v>0.07000000000000001</v>
      </c>
    </row>
    <row r="86" ht="21" customHeight="1" s="131">
      <c r="B86" s="92" t="n">
        <v>6557</v>
      </c>
      <c r="C86" s="86" t="n">
        <v>1001200756557</v>
      </c>
      <c r="D86" s="78" t="inlineStr">
        <is>
          <t>ОХОТНИЧЬЯ ПМ с/к с/н в/у 1/100 10шт.</t>
        </is>
      </c>
      <c r="E86" s="78" t="n"/>
      <c r="F86" s="92" t="inlineStr">
        <is>
          <t>ШТ</t>
        </is>
      </c>
      <c r="G86" s="93" t="n">
        <v>0.1</v>
      </c>
    </row>
    <row r="87" ht="21" customHeight="1" s="131">
      <c r="B87" s="92" t="n">
        <v>5679</v>
      </c>
      <c r="C87" s="86" t="n">
        <v>1001190765679</v>
      </c>
      <c r="D87" s="78" t="inlineStr">
        <is>
          <t>САЛЯМИ ИТАЛЬЯНСКАЯ с/к в/у 1/150_60с</t>
        </is>
      </c>
      <c r="E87" s="78" t="n"/>
      <c r="F87" s="92" t="inlineStr">
        <is>
          <t>ШТ</t>
        </is>
      </c>
      <c r="G87" s="93" t="n">
        <v>0.15</v>
      </c>
    </row>
    <row r="88" ht="21" customHeight="1" s="131">
      <c r="B88" s="92" t="n">
        <v>5677</v>
      </c>
      <c r="C88" s="86" t="n">
        <v>1001190715677</v>
      </c>
      <c r="D88" s="78" t="inlineStr">
        <is>
          <t>БРАУНШВЕЙГСКАЯ полусухая с/к в/у 1/100</t>
        </is>
      </c>
      <c r="E88" s="88" t="inlineStr">
        <is>
          <t>Ротация на код 7626</t>
        </is>
      </c>
      <c r="F88" s="92" t="inlineStr">
        <is>
          <t>ШТ</t>
        </is>
      </c>
      <c r="G88" s="93" t="n">
        <v>0.1</v>
      </c>
    </row>
    <row r="89" ht="21" customHeight="1" s="131">
      <c r="B89" s="92" t="n">
        <v>7414</v>
      </c>
      <c r="C89" s="86" t="n">
        <v>1001204447414</v>
      </c>
      <c r="D89" s="78" t="inlineStr">
        <is>
          <t>ПЕППЕРОНИ с/к с/н мгс 1*8_HRC</t>
        </is>
      </c>
      <c r="E89" s="101" t="n"/>
      <c r="F89" s="92" t="inlineStr">
        <is>
          <t>КГ</t>
        </is>
      </c>
      <c r="G89" s="93" t="n">
        <v>1</v>
      </c>
    </row>
    <row r="90" ht="23.25" customHeight="1" s="131">
      <c r="B90" s="104" t="n"/>
      <c r="C90" s="94" t="n"/>
      <c r="D90" s="95" t="inlineStr">
        <is>
          <t>С/к колбасы</t>
        </is>
      </c>
      <c r="E90" s="95" t="n"/>
      <c r="F90" s="96" t="n"/>
      <c r="G90" s="97" t="n"/>
    </row>
    <row r="91" ht="21" customHeight="1" s="131">
      <c r="B91" s="92" t="n">
        <v>3582</v>
      </c>
      <c r="C91" s="86" t="n">
        <v>1001061973582</v>
      </c>
      <c r="D91" s="78" t="inlineStr">
        <is>
          <t>АРОМАТНАЯ с/к в/у_А</t>
        </is>
      </c>
      <c r="E91" s="78" t="n"/>
      <c r="F91" s="92" t="inlineStr">
        <is>
          <t>КГ</t>
        </is>
      </c>
      <c r="G91" s="93" t="n">
        <v>1</v>
      </c>
    </row>
    <row r="92" ht="21" customHeight="1" s="131">
      <c r="B92" s="92" t="n">
        <v>3986</v>
      </c>
      <c r="C92" s="86" t="n">
        <v>1001061973986</v>
      </c>
      <c r="D92" s="78" t="inlineStr">
        <is>
          <t>АРОМАТНАЯ с/к в/у 1/250 8шт.</t>
        </is>
      </c>
      <c r="E92" s="78" t="n"/>
      <c r="F92" s="92" t="inlineStr">
        <is>
          <t>ШТ</t>
        </is>
      </c>
      <c r="G92" s="93" t="n">
        <v>0.25</v>
      </c>
    </row>
    <row r="93" ht="21" customHeight="1" s="131">
      <c r="B93" s="92" t="n">
        <v>5931</v>
      </c>
      <c r="C93" s="86" t="n">
        <v>1001060755931</v>
      </c>
      <c r="D93" s="78" t="inlineStr">
        <is>
          <t>ОХОТНИЧЬЯ Папа может с/к в/у 1/220 8шт.</t>
        </is>
      </c>
      <c r="E93" s="78" t="n"/>
      <c r="F93" s="92" t="inlineStr">
        <is>
          <t>ШТ</t>
        </is>
      </c>
      <c r="G93" s="93" t="n">
        <v>0.22</v>
      </c>
    </row>
    <row r="94" ht="21" customHeight="1" s="131">
      <c r="B94" s="92" t="n">
        <v>5708</v>
      </c>
      <c r="C94" s="86" t="n">
        <v>1001063145708</v>
      </c>
      <c r="D94" s="78" t="inlineStr">
        <is>
          <t>ПОСОЛЬСКАЯ Папа может с/к в/у</t>
        </is>
      </c>
      <c r="E94" s="78" t="n"/>
      <c r="F94" s="92" t="inlineStr">
        <is>
          <t>КГ</t>
        </is>
      </c>
      <c r="G94" s="93" t="n">
        <v>1</v>
      </c>
    </row>
    <row r="95" ht="21" customHeight="1" s="131">
      <c r="B95" s="92" t="n">
        <v>3287</v>
      </c>
      <c r="C95" s="86" t="n">
        <v>1001060763287</v>
      </c>
      <c r="D95" s="78" t="inlineStr">
        <is>
          <t>САЛЯМИ ИТАЛЬЯНСКАЯ с/к в/у</t>
        </is>
      </c>
      <c r="E95" s="78" t="n"/>
      <c r="F95" s="92" t="inlineStr">
        <is>
          <t>КГ</t>
        </is>
      </c>
      <c r="G95" s="93" t="n">
        <v>1</v>
      </c>
    </row>
    <row r="96" ht="21" customHeight="1" s="131">
      <c r="B96" s="92" t="n">
        <v>4993</v>
      </c>
      <c r="C96" s="86" t="n">
        <v>1001060764993</v>
      </c>
      <c r="D96" s="78" t="inlineStr">
        <is>
          <t>САЛЯМИ ИТАЛЬЯНСКАЯ с/к в/у 1/250*8_120с</t>
        </is>
      </c>
      <c r="E96" s="78" t="n"/>
      <c r="F96" s="92" t="inlineStr">
        <is>
          <t>ШТ</t>
        </is>
      </c>
      <c r="G96" s="93" t="n">
        <v>0.25</v>
      </c>
    </row>
    <row r="97" ht="21" customHeight="1" s="131">
      <c r="B97" s="92" t="n">
        <v>5483</v>
      </c>
      <c r="C97" s="86" t="n">
        <v>1001062505483</v>
      </c>
      <c r="D97" s="78" t="inlineStr">
        <is>
          <t>ЭКСТРА Папа может с/к в/у 1/250 8шт.</t>
        </is>
      </c>
      <c r="E97" s="78" t="n"/>
      <c r="F97" s="92" t="inlineStr">
        <is>
          <t>ШТ</t>
        </is>
      </c>
      <c r="G97" s="93" t="n">
        <v>0.25</v>
      </c>
    </row>
    <row r="98" ht="21" customHeight="1" s="131">
      <c r="B98" s="92" t="n">
        <v>4117</v>
      </c>
      <c r="C98" s="86" t="n">
        <v>1001062504117</v>
      </c>
      <c r="D98" s="78" t="inlineStr">
        <is>
          <t>ЭКСТРА Папа может с/к в/у_Л</t>
        </is>
      </c>
      <c r="E98" s="78" t="n"/>
      <c r="F98" s="92" t="inlineStr">
        <is>
          <t>КГ</t>
        </is>
      </c>
      <c r="G98" s="93" t="n">
        <v>1</v>
      </c>
    </row>
    <row r="99" ht="21" customHeight="1" s="131">
      <c r="B99" s="92" t="n">
        <v>614</v>
      </c>
      <c r="C99" s="86" t="n">
        <v>1001060720614</v>
      </c>
      <c r="D99" s="78" t="inlineStr">
        <is>
          <t>ПРАЗДНИЧНАЯ с/к в/с дек.спец.мгс</t>
        </is>
      </c>
      <c r="E99" s="78" t="n"/>
      <c r="F99" s="92" t="inlineStr">
        <is>
          <t>КГ</t>
        </is>
      </c>
      <c r="G99" s="93" t="n">
        <v>1</v>
      </c>
    </row>
    <row r="100" ht="21" customHeight="1" s="131">
      <c r="B100" s="92" t="n">
        <v>6967</v>
      </c>
      <c r="C100" s="86" t="n">
        <v>1001063656967</v>
      </c>
      <c r="D100" s="78" t="inlineStr">
        <is>
          <t>БУРГУНДИЯ Папа может с/к в/у 1/250 8шт.</t>
        </is>
      </c>
      <c r="E100" s="78" t="n"/>
      <c r="F100" s="92" t="inlineStr">
        <is>
          <t>ШТ</t>
        </is>
      </c>
      <c r="G100" s="93" t="n">
        <v>0.25</v>
      </c>
    </row>
    <row r="101" ht="21" customHeight="1" s="131">
      <c r="B101" s="92" t="n">
        <v>6937</v>
      </c>
      <c r="C101" s="86" t="n">
        <v>1001063106937</v>
      </c>
      <c r="D101" s="78" t="inlineStr">
        <is>
          <t>САЛЯМИ Папа может с/к в/у 1/250 8шт.</t>
        </is>
      </c>
      <c r="E101" s="78" t="n"/>
      <c r="F101" s="92" t="inlineStr">
        <is>
          <t>ШТ</t>
        </is>
      </c>
      <c r="G101" s="93" t="n">
        <v>0.25</v>
      </c>
    </row>
    <row r="102" ht="21" customHeight="1" s="131">
      <c r="B102" s="92" t="n">
        <v>7143</v>
      </c>
      <c r="C102" s="86" t="n">
        <v>1001060717143</v>
      </c>
      <c r="D102" s="78" t="inlineStr">
        <is>
          <t>БРАУНШВЕЙГСКАЯ ГОСТ с/к в/у 1/220 8шт.</t>
        </is>
      </c>
      <c r="E102" s="78" t="n"/>
      <c r="F102" s="92" t="inlineStr">
        <is>
          <t>ШТ</t>
        </is>
      </c>
      <c r="G102" s="93" t="n">
        <v>0.22</v>
      </c>
    </row>
    <row r="103" ht="21" customHeight="1" s="131">
      <c r="B103" s="92" t="n">
        <v>7147</v>
      </c>
      <c r="C103" s="86" t="n">
        <v>1001063237147</v>
      </c>
      <c r="D103" s="78" t="inlineStr">
        <is>
          <t>САЛЬЧИЧОН Останкино с/к в/у 1/220 8шт.</t>
        </is>
      </c>
      <c r="E103" s="78" t="n"/>
      <c r="F103" s="92" t="inlineStr">
        <is>
          <t>ШТ</t>
        </is>
      </c>
      <c r="G103" s="93" t="n">
        <v>0.22</v>
      </c>
    </row>
    <row r="104" ht="21" customHeight="1" s="131">
      <c r="B104" s="92" t="n">
        <v>7456</v>
      </c>
      <c r="C104" s="86" t="n">
        <v>1001063097456</v>
      </c>
      <c r="D104" s="78" t="inlineStr">
        <is>
          <t>САЛЯМИ ФИНСКАЯ Папа может с/к в/у 1/150</t>
        </is>
      </c>
      <c r="E104" s="78" t="n"/>
      <c r="F104" s="92" t="inlineStr">
        <is>
          <t>ШТ</t>
        </is>
      </c>
      <c r="G104" s="93" t="n">
        <v>0.15</v>
      </c>
    </row>
    <row r="105" ht="21" customHeight="1" s="131">
      <c r="B105" s="92" t="n">
        <v>7364</v>
      </c>
      <c r="C105" s="86" t="n">
        <v>1001063217364</v>
      </c>
      <c r="D105" s="78" t="inlineStr">
        <is>
          <t>ЧОРИЗО Останкино с/к в/у 1/220 8шт.</t>
        </is>
      </c>
      <c r="E105" s="101" t="n"/>
      <c r="F105" s="92" t="inlineStr">
        <is>
          <t>ШТ</t>
        </is>
      </c>
      <c r="G105" s="93" t="n">
        <v>0.22</v>
      </c>
    </row>
    <row r="106" ht="21" customHeight="1" s="131">
      <c r="B106" s="92" t="n">
        <v>7383</v>
      </c>
      <c r="C106" s="86" t="n">
        <v>1001065467383</v>
      </c>
      <c r="D106" s="78" t="inlineStr">
        <is>
          <t>САН-РЕМО Останкино с/в в/у 1/220 8шт.</t>
        </is>
      </c>
      <c r="E106" s="101" t="n"/>
      <c r="F106" s="92" t="inlineStr">
        <is>
          <t>ШТ</t>
        </is>
      </c>
      <c r="G106" s="93" t="n">
        <v>0.22</v>
      </c>
    </row>
    <row r="107" ht="21" customHeight="1" s="131">
      <c r="B107" s="92" t="n">
        <v>7317</v>
      </c>
      <c r="C107" s="86" t="n">
        <v>1001066567317</v>
      </c>
      <c r="D107" s="78" t="inlineStr">
        <is>
          <t>ПРЕСИЖН с/к дек.спец. мгс 0.54кг</t>
        </is>
      </c>
      <c r="E107" s="78" t="n"/>
      <c r="F107" s="92" t="inlineStr">
        <is>
          <t>ШТ</t>
        </is>
      </c>
      <c r="G107" s="93" t="n">
        <v>0.54</v>
      </c>
    </row>
    <row r="108" ht="21" customHeight="1" s="131">
      <c r="B108" s="92" t="n">
        <v>7318</v>
      </c>
      <c r="C108" s="86" t="n">
        <v>1001060727318</v>
      </c>
      <c r="D108" s="78" t="inlineStr">
        <is>
          <t>ПРАЗДНИЧНАЯ с/к в/с дек.спец. мгс 1/270</t>
        </is>
      </c>
      <c r="E108" s="78" t="n"/>
      <c r="F108" s="92" t="inlineStr">
        <is>
          <t>ШТ</t>
        </is>
      </c>
      <c r="G108" s="93" t="n">
        <v>0.27</v>
      </c>
    </row>
    <row r="109" ht="21" customHeight="1" s="131">
      <c r="B109" s="92" t="n">
        <v>7316</v>
      </c>
      <c r="C109" s="86" t="n">
        <v>1001060727316</v>
      </c>
      <c r="D109" s="78" t="inlineStr">
        <is>
          <t>ПРАЗДНИЧНАЯ с/к в/с дек.спец. мгс 0.54кг</t>
        </is>
      </c>
      <c r="E109" s="78" t="n"/>
      <c r="F109" s="92" t="inlineStr">
        <is>
          <t>ШТ</t>
        </is>
      </c>
      <c r="G109" s="93" t="n">
        <v>0.54</v>
      </c>
    </row>
    <row r="110" ht="21" customHeight="1" s="131">
      <c r="B110" s="92" t="n">
        <v>7417</v>
      </c>
      <c r="C110" s="86" t="n">
        <v>1001307147417</v>
      </c>
      <c r="D110" s="78" t="inlineStr">
        <is>
          <t>АССОРТИ САЛЬЧИЧОН И ЧОРИЗО с/к в/у 1/440</t>
        </is>
      </c>
      <c r="E110" s="101" t="n"/>
      <c r="F110" s="92" t="inlineStr">
        <is>
          <t>ШТ</t>
        </is>
      </c>
      <c r="G110" s="93" t="n">
        <v>0.44</v>
      </c>
    </row>
    <row r="111" ht="21" customHeight="1" s="131">
      <c r="B111" s="92" t="n">
        <v>6832</v>
      </c>
      <c r="C111" s="86" t="n">
        <v>1001065616832</v>
      </c>
      <c r="D111" s="78" t="inlineStr">
        <is>
          <t>АССОРТИ СЫРОКОПЧЕНЫХ КОЛБАС Коровино в/у</t>
        </is>
      </c>
      <c r="E111" s="78" t="n"/>
      <c r="F111" s="92" t="inlineStr">
        <is>
          <t>КГ</t>
        </is>
      </c>
      <c r="G111" s="93" t="n">
        <v>1</v>
      </c>
    </row>
    <row r="112" ht="21" customHeight="1" s="131">
      <c r="B112" s="92" t="n">
        <v>7299</v>
      </c>
      <c r="C112" s="86" t="n">
        <v>1001060677299</v>
      </c>
      <c r="D112" s="78" t="inlineStr">
        <is>
          <t>НАБОР ДЛЯ ПИЦЦЫ Папа Может с/к в/у</t>
        </is>
      </c>
      <c r="E112" s="78" t="n"/>
      <c r="F112" s="92" t="inlineStr">
        <is>
          <t>КГ</t>
        </is>
      </c>
      <c r="G112" s="93" t="n">
        <v>1</v>
      </c>
    </row>
    <row r="113" ht="21" customHeight="1" s="131">
      <c r="B113" s="92" t="n">
        <v>7386</v>
      </c>
      <c r="C113" s="86" t="n">
        <v>1001067017386</v>
      </c>
      <c r="D113" s="78" t="inlineStr">
        <is>
          <t>БАРСЕЛОНА ПМ с/к в/у 1/150</t>
        </is>
      </c>
      <c r="E113" s="106" t="n"/>
      <c r="F113" s="92" t="inlineStr">
        <is>
          <t>ШТ</t>
        </is>
      </c>
      <c r="G113" s="93" t="n">
        <v>0.15</v>
      </c>
    </row>
    <row r="114" ht="23.25" customHeight="1" s="131">
      <c r="B114" s="104" t="n"/>
      <c r="C114" s="94" t="n"/>
      <c r="D114" s="95" t="inlineStr">
        <is>
          <t>Сардельки</t>
        </is>
      </c>
      <c r="E114" s="95" t="n"/>
      <c r="F114" s="96" t="n"/>
      <c r="G114" s="97" t="n"/>
    </row>
    <row r="115" ht="21" customHeight="1" s="131">
      <c r="B115" s="92" t="n">
        <v>6550</v>
      </c>
      <c r="C115" s="86" t="n">
        <v>1001032736550</v>
      </c>
      <c r="D115" s="78" t="inlineStr">
        <is>
          <t>МЯСНЫЕ Папа может сар б/о мгс 1*3_О_45с</t>
        </is>
      </c>
      <c r="E115" s="78" t="n"/>
      <c r="F115" s="92" t="inlineStr">
        <is>
          <t>КГ</t>
        </is>
      </c>
      <c r="G115" s="93" t="n">
        <v>1</v>
      </c>
    </row>
    <row r="116" ht="21" customHeight="1" s="131">
      <c r="B116" s="92" t="n">
        <v>6608</v>
      </c>
      <c r="C116" s="86" t="n">
        <v>1001033856608</v>
      </c>
      <c r="D116" s="78" t="inlineStr">
        <is>
          <t>С ГОВЯДИНОЙ ОРИГИН. сар б/о мгс 1*3_45с</t>
        </is>
      </c>
      <c r="E116" s="78" t="n"/>
      <c r="F116" s="92" t="inlineStr">
        <is>
          <t>КГ</t>
        </is>
      </c>
      <c r="G116" s="93" t="n">
        <v>1</v>
      </c>
    </row>
    <row r="117" ht="21" customHeight="1" s="131">
      <c r="B117" s="92" t="n">
        <v>7001</v>
      </c>
      <c r="C117" s="77" t="n">
        <v>1001035937001</v>
      </c>
      <c r="D117" s="78" t="inlineStr">
        <is>
          <t>КЛАССИЧЕСКИЕ Папа может сар б/о мгс 1*3</t>
        </is>
      </c>
      <c r="E117" s="78" t="n"/>
      <c r="F117" s="92" t="inlineStr">
        <is>
          <t>КГ</t>
        </is>
      </c>
      <c r="G117" s="93" t="n">
        <v>1</v>
      </c>
    </row>
    <row r="118" ht="21" customHeight="1" s="131">
      <c r="B118" s="92" t="n">
        <v>6527</v>
      </c>
      <c r="C118" s="109" t="n">
        <v>1001031076527</v>
      </c>
      <c r="D118" s="108" t="inlineStr">
        <is>
          <t>ШПИКАЧКИ СОЧНЫЕ ПМ сар б/о мгс 1*3_45с</t>
        </is>
      </c>
      <c r="E118" s="108" t="n"/>
      <c r="F118" s="92" t="inlineStr">
        <is>
          <t>КГ</t>
        </is>
      </c>
      <c r="G118" s="93" t="n">
        <v>1</v>
      </c>
    </row>
    <row r="119" ht="21" customHeight="1" s="131">
      <c r="B119" s="92" t="n">
        <v>6609</v>
      </c>
      <c r="C119" s="86" t="n">
        <v>1001033856609</v>
      </c>
      <c r="D119" s="78" t="inlineStr">
        <is>
          <t>С ГОВЯДИНОЙ ПМ сар б/о мгс 0.4кг_45с</t>
        </is>
      </c>
      <c r="E119" s="78" t="n"/>
      <c r="F119" s="92" t="inlineStr">
        <is>
          <t>ШТ</t>
        </is>
      </c>
      <c r="G119" s="93" t="n">
        <v>0.4</v>
      </c>
    </row>
    <row r="120" ht="21" customHeight="1" s="131">
      <c r="B120" s="92" t="n">
        <v>7059</v>
      </c>
      <c r="C120" s="109" t="n">
        <v>1001035277059</v>
      </c>
      <c r="D120" s="78" t="inlineStr">
        <is>
          <t>ШПИКАЧКИ СОЧНЫЕ С БЕК. п/о мгс 0.3кг_60с</t>
        </is>
      </c>
      <c r="E120" s="106" t="n"/>
      <c r="F120" s="92" t="inlineStr">
        <is>
          <t>ШТ</t>
        </is>
      </c>
      <c r="G120" s="93" t="n">
        <v>0.3</v>
      </c>
    </row>
    <row r="121" ht="21" customHeight="1" s="131">
      <c r="B121" s="92" t="n">
        <v>6528</v>
      </c>
      <c r="C121" s="86" t="n">
        <v>1001031076528</v>
      </c>
      <c r="D121" s="78" t="inlineStr">
        <is>
          <t>ШПИКАЧКИ СОЧНЫЕ ПМ сар б/о мгс 0.4кг_45с</t>
        </is>
      </c>
      <c r="E121" s="106" t="n"/>
      <c r="F121" s="92" t="inlineStr">
        <is>
          <t>ШТ</t>
        </is>
      </c>
      <c r="G121" s="93" t="n">
        <v>0.4</v>
      </c>
    </row>
    <row r="122" ht="23.25" customHeight="1" s="131">
      <c r="B122" s="104" t="n"/>
      <c r="C122" s="94" t="n"/>
      <c r="D122" s="95" t="inlineStr">
        <is>
          <t>Сосиски</t>
        </is>
      </c>
      <c r="E122" s="95" t="n"/>
      <c r="F122" s="96" t="n"/>
      <c r="G122" s="97" t="n"/>
    </row>
    <row r="123" ht="21" customHeight="1" s="131">
      <c r="B123" s="92" t="n">
        <v>6602</v>
      </c>
      <c r="C123" s="86" t="n">
        <v>1001021966602</v>
      </c>
      <c r="D123" s="78" t="inlineStr">
        <is>
          <t>БАВАРСКИЕ ПМ сос ц/о мгс 0.35кг 8шт.</t>
        </is>
      </c>
      <c r="E123" s="78" t="n"/>
      <c r="F123" s="92" t="inlineStr">
        <is>
          <t>ШТ</t>
        </is>
      </c>
      <c r="G123" s="93" t="n">
        <v>0.35</v>
      </c>
    </row>
    <row r="124" ht="21" customHeight="1" s="131">
      <c r="B124" s="92" t="n">
        <v>7284</v>
      </c>
      <c r="C124" s="86" t="n">
        <v>1001025767284</v>
      </c>
      <c r="D124" s="78" t="inlineStr">
        <is>
          <t>ДЛЯ ДЕТЕЙ сос п/о мгс 0.33кг 6шт.</t>
        </is>
      </c>
      <c r="E124" s="78" t="n"/>
      <c r="F124" s="92" t="inlineStr">
        <is>
          <t>ШТ</t>
        </is>
      </c>
      <c r="G124" s="93" t="n">
        <v>0.33</v>
      </c>
    </row>
    <row r="125" ht="21" customHeight="1" s="131">
      <c r="B125" s="92" t="n">
        <v>7601</v>
      </c>
      <c r="C125" s="86" t="n">
        <v>1001025767601</v>
      </c>
      <c r="D125" s="78" t="inlineStr">
        <is>
          <t>ДЛЯ ДЕТЕЙ Папа может сос п/о мгс 0.264кг</t>
        </is>
      </c>
      <c r="E125" s="106" t="n"/>
      <c r="F125" s="92" t="inlineStr">
        <is>
          <t>ШТ</t>
        </is>
      </c>
      <c r="G125" s="93" t="n">
        <v>0.26</v>
      </c>
    </row>
    <row r="126" ht="21" customHeight="1" s="131">
      <c r="B126" s="92" t="n">
        <v>7461</v>
      </c>
      <c r="C126" s="86" t="n">
        <v>1001025767461</v>
      </c>
      <c r="D126" s="78" t="inlineStr">
        <is>
          <t xml:space="preserve">ДЛЯ ДЕТЕЙ Папа может сос п/о мгс 0.33кг </t>
        </is>
      </c>
      <c r="E126" s="101" t="n"/>
      <c r="F126" s="92" t="inlineStr">
        <is>
          <t>ШТ</t>
        </is>
      </c>
      <c r="G126" s="93" t="n">
        <v>0.33</v>
      </c>
    </row>
    <row r="127" ht="21" customHeight="1" s="131">
      <c r="B127" s="92" t="n">
        <v>7371</v>
      </c>
      <c r="C127" s="86" t="n">
        <v>1001026947371</v>
      </c>
      <c r="D127" s="78" t="inlineStr">
        <is>
          <t>БРЕСТСКИЕ сос п/о в/у 0.3кг 8шт.</t>
        </is>
      </c>
      <c r="E127" s="101" t="n"/>
      <c r="F127" s="92" t="inlineStr">
        <is>
          <t>ШТ</t>
        </is>
      </c>
      <c r="G127" s="93" t="n">
        <v>0.3</v>
      </c>
    </row>
    <row r="128" ht="21" customHeight="1" s="131">
      <c r="B128" s="92" t="n">
        <v>6759</v>
      </c>
      <c r="C128" s="86" t="n">
        <v>1001020836759</v>
      </c>
      <c r="D128" s="78" t="inlineStr">
        <is>
          <t>МОЛОЧНЫЕ ГОСТ сос ц/о мгс 0.4кг 7шт.</t>
        </is>
      </c>
      <c r="E128" s="78" t="n"/>
      <c r="F128" s="92" t="inlineStr">
        <is>
          <t>ШТ</t>
        </is>
      </c>
      <c r="G128" s="93" t="n">
        <v>0.4</v>
      </c>
    </row>
    <row r="129" ht="21" customHeight="1" s="131">
      <c r="B129" s="92" t="n">
        <v>6761</v>
      </c>
      <c r="C129" s="86" t="n">
        <v>1001020836761</v>
      </c>
      <c r="D129" s="78" t="inlineStr">
        <is>
          <t>МОЛОЧНЫЕ ГОСТ сос ц/о мгс 1*4</t>
        </is>
      </c>
      <c r="E129" s="78" t="n"/>
      <c r="F129" s="92" t="inlineStr">
        <is>
          <t>КГ</t>
        </is>
      </c>
      <c r="G129" s="93" t="n">
        <v>1</v>
      </c>
    </row>
    <row r="130" ht="21" customHeight="1" s="131">
      <c r="B130" s="92" t="n">
        <v>6829</v>
      </c>
      <c r="C130" s="86" t="n">
        <v>1001024976829</v>
      </c>
      <c r="D130" s="78" t="inlineStr">
        <is>
          <t>МОЛОЧНЫЕ КЛАССИЧЕСКИЕ сос п/о мгс 2*4_С</t>
        </is>
      </c>
      <c r="E130" s="78" t="n"/>
      <c r="F130" s="92" t="inlineStr">
        <is>
          <t>КГ</t>
        </is>
      </c>
      <c r="G130" s="93" t="n">
        <v>1</v>
      </c>
    </row>
    <row r="131" ht="21" customHeight="1" s="131">
      <c r="B131" s="92" t="n">
        <v>6616</v>
      </c>
      <c r="C131" s="86" t="n">
        <v>1001024976616</v>
      </c>
      <c r="D131" s="78" t="inlineStr">
        <is>
          <t>МОЛОЧНЫЕ КЛАССИЧЕСКИЕ сос п/о в/у 0.3кг</t>
        </is>
      </c>
      <c r="E131" s="78" t="n"/>
      <c r="F131" s="92" t="inlineStr">
        <is>
          <t>ШТ</t>
        </is>
      </c>
      <c r="G131" s="93" t="n">
        <v>0.3</v>
      </c>
    </row>
    <row r="132" ht="21" customHeight="1" s="131">
      <c r="B132" s="92" t="n">
        <v>7075</v>
      </c>
      <c r="C132" s="86" t="n">
        <v>1001022657075</v>
      </c>
      <c r="D132" s="78" t="inlineStr">
        <is>
          <t>МОЛОЧ.ПРЕМИУМ ПМ сос п/о мгс 1.5*4_О_50с</t>
        </is>
      </c>
      <c r="E132" s="78" t="n"/>
      <c r="F132" s="92" t="inlineStr">
        <is>
          <t>КГ</t>
        </is>
      </c>
      <c r="G132" s="93" t="n">
        <v>1</v>
      </c>
    </row>
    <row r="133" ht="21" customHeight="1" s="131">
      <c r="B133" s="92" t="n">
        <v>7074</v>
      </c>
      <c r="C133" s="86" t="n">
        <v>1001022657074</v>
      </c>
      <c r="D133" s="78" t="inlineStr">
        <is>
          <t>МОЛОЧ.ПРЕМИУМ ПМ сос п/о мгс 0.6кг_50с</t>
        </is>
      </c>
      <c r="E133" s="78" t="n"/>
      <c r="F133" s="92" t="inlineStr">
        <is>
          <t>ШТ</t>
        </is>
      </c>
      <c r="G133" s="93" t="n">
        <v>0.6</v>
      </c>
    </row>
    <row r="134" ht="21" customHeight="1" s="131">
      <c r="B134" s="92" t="n">
        <v>7073</v>
      </c>
      <c r="C134" s="86" t="n">
        <v>1001022657073</v>
      </c>
      <c r="D134" s="78" t="inlineStr">
        <is>
          <t>МОЛОЧ.ПРЕМИУМ ПМ сос п/о в/у 1/350_50с</t>
        </is>
      </c>
      <c r="E134" s="78" t="n"/>
      <c r="F134" s="92" t="inlineStr">
        <is>
          <t>ШТ</t>
        </is>
      </c>
      <c r="G134" s="93" t="n">
        <v>0.35</v>
      </c>
    </row>
    <row r="135" ht="21" customHeight="1" s="131">
      <c r="B135" s="92" t="n">
        <v>6724</v>
      </c>
      <c r="C135" s="86" t="n">
        <v>1001020836724</v>
      </c>
      <c r="D135" s="78" t="inlineStr">
        <is>
          <t>МОЛОЧНЫЕ ПМ сос п/о мгс 0.41кг 10шт.</t>
        </is>
      </c>
      <c r="E135" s="78" t="n"/>
      <c r="F135" s="92" t="inlineStr">
        <is>
          <t>ШТ</t>
        </is>
      </c>
      <c r="G135" s="93" t="n">
        <v>0.41</v>
      </c>
    </row>
    <row r="136" ht="21" customHeight="1" s="131">
      <c r="B136" s="92" t="n">
        <v>5819</v>
      </c>
      <c r="C136" s="86" t="n">
        <v>1001022725819</v>
      </c>
      <c r="D136" s="78" t="inlineStr">
        <is>
          <t>МЯСНЫЕ Папа может сос п/о в/у 0.4кг_45с</t>
        </is>
      </c>
      <c r="E136" s="78" t="n"/>
      <c r="F136" s="92" t="inlineStr">
        <is>
          <t>ШТ</t>
        </is>
      </c>
      <c r="G136" s="93" t="n">
        <v>0.4</v>
      </c>
    </row>
    <row r="137" ht="21" customHeight="1" s="131">
      <c r="B137" s="92" t="n">
        <v>6303</v>
      </c>
      <c r="C137" s="86" t="n">
        <v>1001022726303</v>
      </c>
      <c r="D137" s="78" t="inlineStr">
        <is>
          <t>МЯСНЫЕ Папа может сос п/о мгс 1.5*3</t>
        </is>
      </c>
      <c r="E137" s="78" t="n"/>
      <c r="F137" s="92" t="inlineStr">
        <is>
          <t>КГ</t>
        </is>
      </c>
      <c r="G137" s="93" t="n">
        <v>1</v>
      </c>
    </row>
    <row r="138" ht="21" customHeight="1" s="131">
      <c r="B138" s="92" t="n">
        <v>7255</v>
      </c>
      <c r="C138" s="86" t="n">
        <v>1001025507255</v>
      </c>
      <c r="D138" s="78" t="inlineStr">
        <is>
          <t>МЯСНЫЕ С ГОВЯД.ПМ сос п/о мгс 0.4кг 6шт.</t>
        </is>
      </c>
      <c r="E138" s="78" t="n"/>
      <c r="F138" s="92" t="inlineStr">
        <is>
          <t>ШТ</t>
        </is>
      </c>
      <c r="G138" s="93" t="n">
        <v>0.4</v>
      </c>
    </row>
    <row r="139" ht="21" customHeight="1" s="131">
      <c r="B139" s="92" t="n">
        <v>7271</v>
      </c>
      <c r="C139" s="86" t="n">
        <v>1001025507271</v>
      </c>
      <c r="D139" s="78" t="inlineStr">
        <is>
          <t>МЯСНЫЕ С ГОВЯДИНОЙ ПМ сос п/о мгс 1.5*4</t>
        </is>
      </c>
      <c r="E139" s="78" t="n"/>
      <c r="F139" s="92" t="inlineStr">
        <is>
          <t>КГ</t>
        </is>
      </c>
      <c r="G139" s="93" t="n">
        <v>1</v>
      </c>
    </row>
    <row r="140" ht="21" customHeight="1" s="131">
      <c r="B140" s="92" t="n">
        <v>6765</v>
      </c>
      <c r="C140" s="86" t="n">
        <v>1001023696765</v>
      </c>
      <c r="D140" s="78" t="inlineStr">
        <is>
          <t>РУБЛЕНЫЕ сос ц/о мгс 0.36кг 6шт.</t>
        </is>
      </c>
      <c r="E140" s="78" t="n"/>
      <c r="F140" s="92" t="inlineStr">
        <is>
          <t>ШТ</t>
        </is>
      </c>
      <c r="G140" s="93" t="n">
        <v>0.36</v>
      </c>
    </row>
    <row r="141" ht="21" customHeight="1" s="131">
      <c r="B141" s="92" t="n">
        <v>6767</v>
      </c>
      <c r="C141" s="86" t="n">
        <v>1001023696767</v>
      </c>
      <c r="D141" s="78" t="inlineStr">
        <is>
          <t>РУБЛЕНЫЕ сос ц/о мгс 1*4</t>
        </is>
      </c>
      <c r="E141" s="78" t="n"/>
      <c r="F141" s="92" t="inlineStr">
        <is>
          <t>КГ</t>
        </is>
      </c>
      <c r="G141" s="93" t="n">
        <v>1</v>
      </c>
    </row>
    <row r="142" ht="21" customHeight="1" s="131">
      <c r="B142" s="92" t="n">
        <v>6475</v>
      </c>
      <c r="C142" s="86" t="n">
        <v>1001025176475</v>
      </c>
      <c r="D142" s="78" t="inlineStr">
        <is>
          <t>С СЫРОМ Папа может сос ц/о мгс 0.4кг 6шт</t>
        </is>
      </c>
      <c r="E142" s="78" t="n"/>
      <c r="F142" s="92" t="inlineStr">
        <is>
          <t>ШТ</t>
        </is>
      </c>
      <c r="G142" s="93" t="n">
        <v>0.4</v>
      </c>
    </row>
    <row r="143" ht="21" customHeight="1" s="131">
      <c r="B143" s="92" t="n">
        <v>7083</v>
      </c>
      <c r="C143" s="86" t="n">
        <v>1001022467083</v>
      </c>
      <c r="D143" s="78" t="inlineStr">
        <is>
          <t>СЛИВОЧНЫЕ ПМ сос п/о мгс 1.5*4_А_50с</t>
        </is>
      </c>
      <c r="E143" s="78" t="n"/>
      <c r="F143" s="92" t="inlineStr">
        <is>
          <t>КГ</t>
        </is>
      </c>
      <c r="G143" s="93" t="n">
        <v>1</v>
      </c>
    </row>
    <row r="144" ht="21" customHeight="1" s="131">
      <c r="B144" s="92" t="n">
        <v>7080</v>
      </c>
      <c r="C144" s="86" t="n">
        <v>1001022467080</v>
      </c>
      <c r="D144" s="101" t="inlineStr">
        <is>
          <t>СЛИВОЧНЫЕ ПМ сос п/о мгс 0.41кг 10шт_50с</t>
        </is>
      </c>
      <c r="E144" s="101" t="n"/>
      <c r="F144" s="92" t="inlineStr">
        <is>
          <t>ШТ</t>
        </is>
      </c>
      <c r="G144" s="93" t="n">
        <v>0.41</v>
      </c>
    </row>
    <row r="145" ht="21" customHeight="1" s="131">
      <c r="B145" s="92" t="n">
        <v>7276</v>
      </c>
      <c r="C145" s="86" t="n">
        <v>1001022467276</v>
      </c>
      <c r="D145" s="101" t="inlineStr">
        <is>
          <t>СЛИВОЧНЫЕ ПМ сос п/о мгс 0.3кг 7шт.</t>
        </is>
      </c>
      <c r="E145" s="101" t="n"/>
      <c r="F145" s="92" t="inlineStr">
        <is>
          <t>ШТ</t>
        </is>
      </c>
      <c r="G145" s="93" t="n">
        <v>0.3</v>
      </c>
    </row>
    <row r="146" ht="21" customHeight="1" s="131">
      <c r="B146" s="92" t="n">
        <v>6762</v>
      </c>
      <c r="C146" s="86" t="n">
        <v>1001020846762</v>
      </c>
      <c r="D146" s="78" t="inlineStr">
        <is>
          <t>СЛИВОЧНЫЕ сос ц/о мгс 0.41кг 8шт.</t>
        </is>
      </c>
      <c r="E146" s="78" t="n"/>
      <c r="F146" s="92" t="inlineStr">
        <is>
          <t>ШТ</t>
        </is>
      </c>
      <c r="G146" s="93" t="n">
        <v>0.41</v>
      </c>
    </row>
    <row r="147" ht="21" customHeight="1" s="131">
      <c r="B147" s="92" t="n">
        <v>6764</v>
      </c>
      <c r="C147" s="86" t="n">
        <v>1001020846764</v>
      </c>
      <c r="D147" s="78" t="inlineStr">
        <is>
          <t>СЛИВОЧНЫЕ сос ц/о мгс 1*4</t>
        </is>
      </c>
      <c r="E147" s="78" t="n"/>
      <c r="F147" s="92" t="inlineStr">
        <is>
          <t>КГ</t>
        </is>
      </c>
      <c r="G147" s="93" t="n">
        <v>1</v>
      </c>
    </row>
    <row r="148" ht="21" customHeight="1" s="131">
      <c r="B148" s="92" t="n">
        <v>7066</v>
      </c>
      <c r="C148" s="86" t="n">
        <v>1001022377066</v>
      </c>
      <c r="D148" s="78" t="inlineStr">
        <is>
          <t>СОЧНЫЕ ПМ сос п/о мгс 0.41кг 10шт_50с</t>
        </is>
      </c>
      <c r="E148" s="78" t="n"/>
      <c r="F148" s="92" t="inlineStr">
        <is>
          <t>ШТ</t>
        </is>
      </c>
      <c r="G148" s="93" t="n">
        <v>0.41</v>
      </c>
    </row>
    <row r="149" ht="21" customHeight="1" s="131">
      <c r="B149" s="92" t="n">
        <v>7070</v>
      </c>
      <c r="C149" s="86" t="n">
        <v>1001022377070</v>
      </c>
      <c r="D149" s="78" t="inlineStr">
        <is>
          <t>СОЧНЫЕ ПМ сос п/о мгс 1.5*4_А_50с</t>
        </is>
      </c>
      <c r="E149" s="78" t="n"/>
      <c r="F149" s="92" t="inlineStr">
        <is>
          <t>КГ</t>
        </is>
      </c>
      <c r="G149" s="93" t="n">
        <v>1</v>
      </c>
    </row>
    <row r="150" ht="21" customHeight="1" s="131">
      <c r="B150" s="92" t="n">
        <v>6713</v>
      </c>
      <c r="C150" s="86" t="n">
        <v>1001022246713</v>
      </c>
      <c r="D150" s="78" t="inlineStr">
        <is>
          <t>СОЧНЫЙ ГРИЛЬ ПМ сос п/о мгс 0.41кг 8шт.</t>
        </is>
      </c>
      <c r="E150" s="78" t="n"/>
      <c r="F150" s="92" t="inlineStr">
        <is>
          <t>ШТ</t>
        </is>
      </c>
      <c r="G150" s="93" t="n">
        <v>0.41</v>
      </c>
    </row>
    <row r="151" ht="21" customHeight="1" s="131">
      <c r="B151" s="92" t="n">
        <v>6661</v>
      </c>
      <c r="C151" s="86" t="n">
        <v>1001022246661</v>
      </c>
      <c r="D151" s="78" t="inlineStr">
        <is>
          <t>СОЧНЫЙ ГРИЛЬ ПМ сос п/о мгс 1.5*4_Маяк</t>
        </is>
      </c>
      <c r="E151" s="78" t="n"/>
      <c r="F151" s="92" t="inlineStr">
        <is>
          <t>КГ</t>
        </is>
      </c>
      <c r="G151" s="93" t="n">
        <v>1</v>
      </c>
    </row>
    <row r="152" ht="21" customHeight="1" s="131">
      <c r="B152" s="99" t="n">
        <v>6254</v>
      </c>
      <c r="C152" s="102" t="n">
        <v>1001022556254</v>
      </c>
      <c r="D152" s="103" t="inlineStr">
        <is>
          <t>ФИЛЕЙНЫЕ Папа может сос ц/о мгс 1.5*2</t>
        </is>
      </c>
      <c r="E152" s="78" t="n"/>
      <c r="F152" s="89" t="inlineStr">
        <is>
          <t>КГ</t>
        </is>
      </c>
      <c r="G152" s="90" t="n">
        <v>1</v>
      </c>
    </row>
    <row r="153" ht="21" customHeight="1" s="131">
      <c r="B153" s="92" t="n">
        <v>6837</v>
      </c>
      <c r="C153" s="86" t="n">
        <v>1001022556837</v>
      </c>
      <c r="D153" s="78" t="inlineStr">
        <is>
          <t>ФИЛЕЙНЫЕ Папа Может сос ц/о мгс 0.4кг</t>
        </is>
      </c>
      <c r="E153" s="78" t="n"/>
      <c r="F153" s="92" t="inlineStr">
        <is>
          <t>ШТ</t>
        </is>
      </c>
      <c r="G153" s="93" t="n">
        <v>0.4</v>
      </c>
    </row>
    <row r="154" ht="21" customHeight="1" s="131">
      <c r="B154" s="92" t="n">
        <v>7385</v>
      </c>
      <c r="C154" s="86" t="n">
        <v>1001027067385</v>
      </c>
      <c r="D154" s="101" t="inlineStr">
        <is>
          <t>ЧИКЕН КАРРИ Папа может сос п/о мгс 1/330</t>
        </is>
      </c>
      <c r="E154" s="78" t="n"/>
      <c r="F154" s="92" t="inlineStr">
        <is>
          <t>ШТ</t>
        </is>
      </c>
      <c r="G154" s="93" t="n">
        <v>0.33</v>
      </c>
    </row>
    <row r="155" ht="21" customHeight="1" s="131">
      <c r="B155" s="110" t="n">
        <v>7044</v>
      </c>
      <c r="C155" s="111" t="n">
        <v>1001025167044</v>
      </c>
      <c r="D155" s="112" t="inlineStr">
        <is>
          <t>ХОТ-ДОГ Папа может сос б/о в/у 1/320 8шт</t>
        </is>
      </c>
      <c r="E155" s="106" t="n"/>
      <c r="F155" s="92" t="inlineStr">
        <is>
          <t>ШТ</t>
        </is>
      </c>
      <c r="G155" s="113" t="n">
        <v>0.32</v>
      </c>
    </row>
    <row r="156" ht="21" customHeight="1" s="131">
      <c r="B156" s="110" t="n">
        <v>7460</v>
      </c>
      <c r="C156" s="111" t="n">
        <v>1001027247460</v>
      </c>
      <c r="D156" s="112" t="inlineStr">
        <is>
          <t>СО ВКУС.ПИЦЦА БАРБЕКЮ сос п/о мгс 0.33кг</t>
        </is>
      </c>
      <c r="E156" s="106" t="n"/>
      <c r="F156" s="92" t="inlineStr">
        <is>
          <t>ШТ</t>
        </is>
      </c>
      <c r="G156" s="113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2026-07-29T11:26:48Z</dcterms:modified>
  <cp:lastModifiedBy>Uaer4</cp:lastModifiedBy>
  <cp:lastPrinted>2015-01-13T07:32:10Z</cp:lastPrinted>
</cp:coreProperties>
</file>