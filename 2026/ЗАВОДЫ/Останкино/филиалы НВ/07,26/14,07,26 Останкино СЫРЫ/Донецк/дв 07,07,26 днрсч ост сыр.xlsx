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65FBF68D-7689-4632-8C55-5A7517761F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Sheet!$A$3:$AC$44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7" i="1" l="1"/>
  <c r="S18" i="1"/>
  <c r="S23" i="1"/>
  <c r="S31" i="1"/>
  <c r="S32" i="1"/>
  <c r="S37" i="1"/>
  <c r="S38" i="1"/>
  <c r="S41" i="1"/>
  <c r="S43" i="1"/>
  <c r="S5" i="1"/>
  <c r="Q7" i="1" l="1"/>
  <c r="T7" i="1" s="1"/>
  <c r="Q8" i="1"/>
  <c r="Q9" i="1"/>
  <c r="T9" i="1" s="1"/>
  <c r="Q10" i="1"/>
  <c r="Q11" i="1"/>
  <c r="T11" i="1" s="1"/>
  <c r="Q12" i="1"/>
  <c r="Q13" i="1"/>
  <c r="T13" i="1" s="1"/>
  <c r="Q14" i="1"/>
  <c r="Q15" i="1"/>
  <c r="T15" i="1" s="1"/>
  <c r="Q16" i="1"/>
  <c r="Q17" i="1"/>
  <c r="R17" i="1" s="1"/>
  <c r="T17" i="1" s="1"/>
  <c r="Q18" i="1"/>
  <c r="Q19" i="1"/>
  <c r="T19" i="1" s="1"/>
  <c r="Q20" i="1"/>
  <c r="Q21" i="1"/>
  <c r="T21" i="1" s="1"/>
  <c r="Q22" i="1"/>
  <c r="Q23" i="1"/>
  <c r="R23" i="1" s="1"/>
  <c r="T23" i="1" s="1"/>
  <c r="Q24" i="1"/>
  <c r="Q25" i="1"/>
  <c r="T25" i="1" s="1"/>
  <c r="Q26" i="1"/>
  <c r="Q27" i="1"/>
  <c r="T27" i="1" s="1"/>
  <c r="Q28" i="1"/>
  <c r="Q29" i="1"/>
  <c r="T29" i="1" s="1"/>
  <c r="Q30" i="1"/>
  <c r="Q31" i="1"/>
  <c r="R31" i="1" s="1"/>
  <c r="T31" i="1" s="1"/>
  <c r="Q32" i="1"/>
  <c r="Q33" i="1"/>
  <c r="T33" i="1" s="1"/>
  <c r="Q34" i="1"/>
  <c r="Q35" i="1"/>
  <c r="T35" i="1" s="1"/>
  <c r="Q36" i="1"/>
  <c r="Q37" i="1"/>
  <c r="Q38" i="1"/>
  <c r="Q39" i="1"/>
  <c r="T39" i="1" s="1"/>
  <c r="Q40" i="1"/>
  <c r="Q41" i="1"/>
  <c r="R41" i="1" s="1"/>
  <c r="T41" i="1" s="1"/>
  <c r="Q42" i="1"/>
  <c r="Q43" i="1"/>
  <c r="R43" i="1" s="1"/>
  <c r="T43" i="1" s="1"/>
  <c r="Q44" i="1"/>
  <c r="Q6" i="1"/>
  <c r="T6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V5" i="1"/>
  <c r="P5" i="1"/>
  <c r="O5" i="1"/>
  <c r="N5" i="1"/>
  <c r="M5" i="1"/>
  <c r="K5" i="1"/>
  <c r="F5" i="1"/>
  <c r="E5" i="1"/>
  <c r="R37" i="1" l="1"/>
  <c r="T37" i="1" s="1"/>
  <c r="L5" i="1"/>
  <c r="U6" i="1"/>
  <c r="AC6" i="1"/>
  <c r="AC7" i="1"/>
  <c r="AC9" i="1"/>
  <c r="AC11" i="1"/>
  <c r="AC13" i="1"/>
  <c r="AC15" i="1"/>
  <c r="AC17" i="1"/>
  <c r="AC19" i="1"/>
  <c r="AC21" i="1"/>
  <c r="AC23" i="1"/>
  <c r="AC25" i="1"/>
  <c r="AC27" i="1"/>
  <c r="AC29" i="1"/>
  <c r="AC31" i="1"/>
  <c r="AC33" i="1"/>
  <c r="AC35" i="1"/>
  <c r="AC39" i="1"/>
  <c r="AC41" i="1"/>
  <c r="AC43" i="1"/>
  <c r="U44" i="1"/>
  <c r="U42" i="1"/>
  <c r="U40" i="1"/>
  <c r="U38" i="1"/>
  <c r="R38" i="1"/>
  <c r="U36" i="1"/>
  <c r="U34" i="1"/>
  <c r="U32" i="1"/>
  <c r="R32" i="1"/>
  <c r="U30" i="1"/>
  <c r="U28" i="1"/>
  <c r="U26" i="1"/>
  <c r="U24" i="1"/>
  <c r="U22" i="1"/>
  <c r="U20" i="1"/>
  <c r="U18" i="1"/>
  <c r="R18" i="1"/>
  <c r="U16" i="1"/>
  <c r="U14" i="1"/>
  <c r="U12" i="1"/>
  <c r="U10" i="1"/>
  <c r="U8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Q5" i="1"/>
  <c r="R5" i="1" l="1"/>
  <c r="AC37" i="1"/>
  <c r="T8" i="1"/>
  <c r="AC8" i="1"/>
  <c r="T10" i="1"/>
  <c r="AC10" i="1"/>
  <c r="T12" i="1"/>
  <c r="AC12" i="1"/>
  <c r="T14" i="1"/>
  <c r="AC14" i="1"/>
  <c r="AC16" i="1"/>
  <c r="T16" i="1"/>
  <c r="AC18" i="1"/>
  <c r="T18" i="1"/>
  <c r="AC20" i="1"/>
  <c r="T20" i="1"/>
  <c r="AC22" i="1"/>
  <c r="T22" i="1"/>
  <c r="AC24" i="1"/>
  <c r="T24" i="1"/>
  <c r="AC26" i="1"/>
  <c r="T26" i="1"/>
  <c r="AC28" i="1"/>
  <c r="T28" i="1"/>
  <c r="AC30" i="1"/>
  <c r="T30" i="1"/>
  <c r="AC32" i="1"/>
  <c r="T32" i="1"/>
  <c r="AC34" i="1"/>
  <c r="T34" i="1"/>
  <c r="AC36" i="1"/>
  <c r="T36" i="1"/>
  <c r="AC38" i="1"/>
  <c r="T38" i="1"/>
  <c r="AC40" i="1"/>
  <c r="T40" i="1"/>
  <c r="AC42" i="1"/>
  <c r="T42" i="1"/>
  <c r="AC44" i="1"/>
  <c r="T44" i="1"/>
  <c r="AC5" i="1" l="1"/>
</calcChain>
</file>

<file path=xl/sharedStrings.xml><?xml version="1.0" encoding="utf-8"?>
<sst xmlns="http://schemas.openxmlformats.org/spreadsheetml/2006/main" count="148" uniqueCount="75">
  <si>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</si>
  <si>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</si>
  <si>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</si>
  <si>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</si>
  <si>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</si>
  <si>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</si>
  <si>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</si>
  <si>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</si>
  <si>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</si>
  <si>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</si>
  <si>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</si>
  <si>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</si>
  <si>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</si>
  <si>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</si>
  <si>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</si>
  <si>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</si>
  <si>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</si>
  <si>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</si>
  <si>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</si>
  <si>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</si>
  <si>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</si>
  <si>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06,07,(роз)</t>
  </si>
  <si>
    <t>06,07,(сети)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</si>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</sst>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9" sqref="AM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2851562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7" width="6" customWidth="1"/>
    <col min="28" max="28" width="42.5703125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72</v>
      </c>
      <c r="S3" s="3" t="s">
        <v>73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/>
      <c r="S4" s="1" t="s">
        <v>74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2267.9660000000003</v>
      </c>
      <c r="F5" s="4">
        <f>SUM(F6:F499)</f>
        <v>10912.108000000002</v>
      </c>
      <c r="G5" s="7"/>
      <c r="H5" s="1"/>
      <c r="I5" s="1"/>
      <c r="J5" s="1"/>
      <c r="K5" s="4">
        <f t="shared" ref="K5:S5" si="0">SUM(K6:K499)</f>
        <v>2617.9839999999999</v>
      </c>
      <c r="L5" s="4">
        <f t="shared" si="0"/>
        <v>-350.01799999999997</v>
      </c>
      <c r="M5" s="4">
        <f t="shared" si="0"/>
        <v>0</v>
      </c>
      <c r="N5" s="4">
        <f t="shared" si="0"/>
        <v>0</v>
      </c>
      <c r="O5" s="4">
        <f t="shared" si="0"/>
        <v>1047</v>
      </c>
      <c r="P5" s="4">
        <f t="shared" si="0"/>
        <v>870</v>
      </c>
      <c r="Q5" s="4">
        <f t="shared" si="0"/>
        <v>453.59320000000014</v>
      </c>
      <c r="R5" s="4">
        <f t="shared" si="0"/>
        <v>1731.8000000000002</v>
      </c>
      <c r="S5" s="4">
        <f t="shared" si="0"/>
        <v>1736</v>
      </c>
      <c r="T5" s="1"/>
      <c r="U5" s="1"/>
      <c r="V5" s="4">
        <f t="shared" ref="V5:AA5" si="1">SUM(V6:V499)</f>
        <v>562.35560000000009</v>
      </c>
      <c r="W5" s="4">
        <f t="shared" si="1"/>
        <v>611.33759999999995</v>
      </c>
      <c r="X5" s="4">
        <f t="shared" si="1"/>
        <v>375.51</v>
      </c>
      <c r="Y5" s="4">
        <f t="shared" si="1"/>
        <v>391.67239999999998</v>
      </c>
      <c r="Z5" s="4">
        <f t="shared" si="1"/>
        <v>516.0128000000002</v>
      </c>
      <c r="AA5" s="4">
        <f t="shared" si="1"/>
        <v>429.01400000000007</v>
      </c>
      <c r="AB5" s="1"/>
      <c r="AC5" s="4">
        <f>SUM(AC6:AC499)</f>
        <v>261.88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272.108</v>
      </c>
      <c r="D6" s="1">
        <v>1.3080000000000001</v>
      </c>
      <c r="E6" s="1">
        <v>32.451999999999998</v>
      </c>
      <c r="F6" s="1">
        <v>240.964</v>
      </c>
      <c r="G6" s="7">
        <v>1</v>
      </c>
      <c r="H6" s="1"/>
      <c r="I6" s="1"/>
      <c r="J6" s="1"/>
      <c r="K6" s="1">
        <v>33.914000000000001</v>
      </c>
      <c r="L6" s="1">
        <f t="shared" ref="L6:L44" si="2">E6-K6</f>
        <v>-1.4620000000000033</v>
      </c>
      <c r="M6" s="1"/>
      <c r="N6" s="1"/>
      <c r="O6" s="1"/>
      <c r="P6" s="1"/>
      <c r="Q6" s="1">
        <f>E6/5</f>
        <v>6.4903999999999993</v>
      </c>
      <c r="R6" s="5"/>
      <c r="S6" s="5"/>
      <c r="T6" s="1">
        <f>(F6+O6+P6+R6)/Q6</f>
        <v>37.126217182300017</v>
      </c>
      <c r="U6" s="1">
        <f>(F6+O6+P6)/Q6</f>
        <v>37.126217182300017</v>
      </c>
      <c r="V6" s="1">
        <v>13.103199999999999</v>
      </c>
      <c r="W6" s="1">
        <v>10.0276</v>
      </c>
      <c r="X6" s="1">
        <v>4.4912000000000001</v>
      </c>
      <c r="Y6" s="1">
        <v>5.9976000000000003</v>
      </c>
      <c r="Z6" s="1">
        <v>6.2723999999999993</v>
      </c>
      <c r="AA6" s="1">
        <v>4.0884</v>
      </c>
      <c r="AB6" s="9" t="s">
        <v>34</v>
      </c>
      <c r="AC6" s="1">
        <f t="shared" ref="AC6:AC44" si="3">G6*R6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87</v>
      </c>
      <c r="D7" s="1"/>
      <c r="E7" s="1">
        <v>3</v>
      </c>
      <c r="F7" s="1">
        <v>84</v>
      </c>
      <c r="G7" s="7">
        <v>0.18</v>
      </c>
      <c r="H7" s="1"/>
      <c r="I7" s="1"/>
      <c r="J7" s="1"/>
      <c r="K7" s="1">
        <v>3</v>
      </c>
      <c r="L7" s="1">
        <f t="shared" si="2"/>
        <v>0</v>
      </c>
      <c r="M7" s="1"/>
      <c r="N7" s="1"/>
      <c r="O7" s="1"/>
      <c r="P7" s="1"/>
      <c r="Q7" s="1">
        <f t="shared" ref="Q7:Q44" si="4">E7/5</f>
        <v>0.6</v>
      </c>
      <c r="R7" s="5"/>
      <c r="S7" s="5"/>
      <c r="T7" s="1">
        <f t="shared" ref="T7:T44" si="5">(F7+O7+P7+R7)/Q7</f>
        <v>140</v>
      </c>
      <c r="U7" s="1">
        <f t="shared" ref="U7:U44" si="6">(F7+O7+P7)/Q7</f>
        <v>140</v>
      </c>
      <c r="V7" s="1">
        <v>1.8</v>
      </c>
      <c r="W7" s="1">
        <v>0.4</v>
      </c>
      <c r="X7" s="1">
        <v>0.6</v>
      </c>
      <c r="Y7" s="1">
        <v>2.6</v>
      </c>
      <c r="Z7" s="1">
        <v>4.2</v>
      </c>
      <c r="AA7" s="1">
        <v>2.4</v>
      </c>
      <c r="AB7" s="9" t="s">
        <v>34</v>
      </c>
      <c r="AC7" s="1">
        <f t="shared" si="3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35</v>
      </c>
      <c r="B8" s="1" t="s">
        <v>33</v>
      </c>
      <c r="C8" s="1">
        <v>57</v>
      </c>
      <c r="D8" s="1"/>
      <c r="E8" s="1"/>
      <c r="F8" s="1">
        <v>57</v>
      </c>
      <c r="G8" s="7">
        <v>0.18</v>
      </c>
      <c r="H8" s="1"/>
      <c r="I8" s="1"/>
      <c r="J8" s="1"/>
      <c r="K8" s="1"/>
      <c r="L8" s="1">
        <f t="shared" si="2"/>
        <v>0</v>
      </c>
      <c r="M8" s="1"/>
      <c r="N8" s="1"/>
      <c r="O8" s="1"/>
      <c r="P8" s="1"/>
      <c r="Q8" s="1">
        <f t="shared" si="4"/>
        <v>0</v>
      </c>
      <c r="R8" s="5"/>
      <c r="S8" s="5"/>
      <c r="T8" s="1" t="e">
        <f t="shared" si="5"/>
        <v>#DIV/0!</v>
      </c>
      <c r="U8" s="1" t="e">
        <f t="shared" si="6"/>
        <v>#DIV/0!</v>
      </c>
      <c r="V8" s="1">
        <v>2</v>
      </c>
      <c r="W8" s="1">
        <v>0.4</v>
      </c>
      <c r="X8" s="1">
        <v>0.6</v>
      </c>
      <c r="Y8" s="1">
        <v>2.6</v>
      </c>
      <c r="Z8" s="1">
        <v>3.6</v>
      </c>
      <c r="AA8" s="1">
        <v>1.4</v>
      </c>
      <c r="AB8" s="9" t="s">
        <v>34</v>
      </c>
      <c r="AC8" s="1">
        <f t="shared" si="3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36</v>
      </c>
      <c r="B9" s="1" t="s">
        <v>31</v>
      </c>
      <c r="C9" s="1">
        <v>142.892</v>
      </c>
      <c r="D9" s="1"/>
      <c r="E9" s="1">
        <v>6.6020000000000003</v>
      </c>
      <c r="F9" s="1">
        <v>136.29</v>
      </c>
      <c r="G9" s="7">
        <v>1</v>
      </c>
      <c r="H9" s="1"/>
      <c r="I9" s="1"/>
      <c r="J9" s="1"/>
      <c r="K9" s="1">
        <v>6.97</v>
      </c>
      <c r="L9" s="1">
        <f t="shared" si="2"/>
        <v>-0.36799999999999944</v>
      </c>
      <c r="M9" s="1"/>
      <c r="N9" s="1"/>
      <c r="O9" s="1"/>
      <c r="P9" s="1"/>
      <c r="Q9" s="1">
        <f t="shared" si="4"/>
        <v>1.3204</v>
      </c>
      <c r="R9" s="5"/>
      <c r="S9" s="5"/>
      <c r="T9" s="1">
        <f t="shared" si="5"/>
        <v>103.21872159951529</v>
      </c>
      <c r="U9" s="1">
        <f t="shared" si="6"/>
        <v>103.21872159951529</v>
      </c>
      <c r="V9" s="1">
        <v>5.8715999999999999</v>
      </c>
      <c r="W9" s="1">
        <v>3.3479999999999999</v>
      </c>
      <c r="X9" s="1">
        <v>2.6175999999999999</v>
      </c>
      <c r="Y9" s="1">
        <v>0</v>
      </c>
      <c r="Z9" s="1">
        <v>0</v>
      </c>
      <c r="AA9" s="1">
        <v>0</v>
      </c>
      <c r="AB9" s="9" t="s">
        <v>34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37</v>
      </c>
      <c r="B10" s="1" t="s">
        <v>33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/>
      <c r="Q10" s="1">
        <f t="shared" si="4"/>
        <v>0</v>
      </c>
      <c r="R10" s="5"/>
      <c r="S10" s="5"/>
      <c r="T10" s="1" t="e">
        <f t="shared" si="5"/>
        <v>#DIV/0!</v>
      </c>
      <c r="U10" s="1" t="e">
        <f t="shared" si="6"/>
        <v>#DIV/0!</v>
      </c>
      <c r="V10" s="1">
        <v>0</v>
      </c>
      <c r="W10" s="1">
        <v>0.6</v>
      </c>
      <c r="X10" s="1">
        <v>0.2</v>
      </c>
      <c r="Y10" s="1">
        <v>1</v>
      </c>
      <c r="Z10" s="1">
        <v>0.4</v>
      </c>
      <c r="AA10" s="1">
        <v>0</v>
      </c>
      <c r="AB10" s="9" t="s">
        <v>34</v>
      </c>
      <c r="AC10" s="1">
        <f t="shared" si="3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38</v>
      </c>
      <c r="B11" s="1" t="s">
        <v>33</v>
      </c>
      <c r="C11" s="1">
        <v>420</v>
      </c>
      <c r="D11" s="1"/>
      <c r="E11" s="1">
        <v>13</v>
      </c>
      <c r="F11" s="1">
        <v>407</v>
      </c>
      <c r="G11" s="7">
        <v>0.372</v>
      </c>
      <c r="H11" s="1">
        <v>180</v>
      </c>
      <c r="I11" s="1"/>
      <c r="J11" s="1"/>
      <c r="K11" s="1">
        <v>13</v>
      </c>
      <c r="L11" s="1">
        <f t="shared" si="2"/>
        <v>0</v>
      </c>
      <c r="M11" s="1"/>
      <c r="N11" s="1"/>
      <c r="O11" s="1">
        <v>60</v>
      </c>
      <c r="P11" s="1">
        <v>96</v>
      </c>
      <c r="Q11" s="1">
        <f t="shared" si="4"/>
        <v>2.6</v>
      </c>
      <c r="R11" s="5"/>
      <c r="S11" s="5"/>
      <c r="T11" s="1">
        <f t="shared" si="5"/>
        <v>216.53846153846152</v>
      </c>
      <c r="U11" s="1">
        <f t="shared" si="6"/>
        <v>216.53846153846152</v>
      </c>
      <c r="V11" s="1">
        <v>29.8</v>
      </c>
      <c r="W11" s="1">
        <v>4.4000000000000004</v>
      </c>
      <c r="X11" s="1">
        <v>10.4</v>
      </c>
      <c r="Y11" s="1">
        <v>10.6</v>
      </c>
      <c r="Z11" s="1">
        <v>10</v>
      </c>
      <c r="AA11" s="1">
        <v>19.600000000000001</v>
      </c>
      <c r="AB11" s="9" t="s">
        <v>34</v>
      </c>
      <c r="AC11" s="1">
        <f t="shared" si="3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39</v>
      </c>
      <c r="B12" s="1" t="s">
        <v>33</v>
      </c>
      <c r="C12" s="1">
        <v>436</v>
      </c>
      <c r="D12" s="1"/>
      <c r="E12" s="1">
        <v>12</v>
      </c>
      <c r="F12" s="1">
        <v>423</v>
      </c>
      <c r="G12" s="7">
        <v>0.74399999999999999</v>
      </c>
      <c r="H12" s="1">
        <v>180</v>
      </c>
      <c r="I12" s="1"/>
      <c r="J12" s="1"/>
      <c r="K12" s="1">
        <v>13</v>
      </c>
      <c r="L12" s="1">
        <f t="shared" si="2"/>
        <v>-1</v>
      </c>
      <c r="M12" s="1"/>
      <c r="N12" s="1"/>
      <c r="O12" s="1"/>
      <c r="P12" s="1"/>
      <c r="Q12" s="1">
        <f t="shared" si="4"/>
        <v>2.4</v>
      </c>
      <c r="R12" s="5"/>
      <c r="S12" s="5"/>
      <c r="T12" s="1">
        <f t="shared" si="5"/>
        <v>176.25</v>
      </c>
      <c r="U12" s="1">
        <f t="shared" si="6"/>
        <v>176.25</v>
      </c>
      <c r="V12" s="1">
        <v>8.4</v>
      </c>
      <c r="W12" s="1">
        <v>3.2</v>
      </c>
      <c r="X12" s="1">
        <v>2.4</v>
      </c>
      <c r="Y12" s="1">
        <v>4.2</v>
      </c>
      <c r="Z12" s="1">
        <v>4</v>
      </c>
      <c r="AA12" s="1">
        <v>5</v>
      </c>
      <c r="AB12" s="9" t="s">
        <v>34</v>
      </c>
      <c r="AC12" s="1">
        <f t="shared" si="3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40</v>
      </c>
      <c r="B13" s="1" t="s">
        <v>33</v>
      </c>
      <c r="C13" s="1">
        <v>920</v>
      </c>
      <c r="D13" s="1"/>
      <c r="E13" s="1">
        <v>44</v>
      </c>
      <c r="F13" s="1">
        <v>875</v>
      </c>
      <c r="G13" s="7">
        <v>0.372</v>
      </c>
      <c r="H13" s="1">
        <v>180</v>
      </c>
      <c r="I13" s="1"/>
      <c r="J13" s="1"/>
      <c r="K13" s="1">
        <v>45</v>
      </c>
      <c r="L13" s="1">
        <f t="shared" si="2"/>
        <v>-1</v>
      </c>
      <c r="M13" s="1"/>
      <c r="N13" s="1"/>
      <c r="O13" s="1"/>
      <c r="P13" s="1"/>
      <c r="Q13" s="1">
        <f t="shared" si="4"/>
        <v>8.8000000000000007</v>
      </c>
      <c r="R13" s="5"/>
      <c r="S13" s="5"/>
      <c r="T13" s="1">
        <f t="shared" si="5"/>
        <v>99.431818181818173</v>
      </c>
      <c r="U13" s="1">
        <f t="shared" si="6"/>
        <v>99.431818181818173</v>
      </c>
      <c r="V13" s="1">
        <v>42.8</v>
      </c>
      <c r="W13" s="1">
        <v>12</v>
      </c>
      <c r="X13" s="1">
        <v>17</v>
      </c>
      <c r="Y13" s="1">
        <v>16.399999999999999</v>
      </c>
      <c r="Z13" s="1">
        <v>21.4</v>
      </c>
      <c r="AA13" s="1">
        <v>60.6</v>
      </c>
      <c r="AB13" s="9" t="s">
        <v>34</v>
      </c>
      <c r="AC13" s="1">
        <f t="shared" si="3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41</v>
      </c>
      <c r="B14" s="1" t="s">
        <v>33</v>
      </c>
      <c r="C14" s="1">
        <v>263</v>
      </c>
      <c r="D14" s="1"/>
      <c r="E14" s="1">
        <v>35</v>
      </c>
      <c r="F14" s="1">
        <v>224</v>
      </c>
      <c r="G14" s="7">
        <v>0.74399999999999999</v>
      </c>
      <c r="H14" s="1">
        <v>180</v>
      </c>
      <c r="I14" s="1"/>
      <c r="J14" s="1"/>
      <c r="K14" s="1">
        <v>38</v>
      </c>
      <c r="L14" s="1">
        <f t="shared" si="2"/>
        <v>-3</v>
      </c>
      <c r="M14" s="1"/>
      <c r="N14" s="1"/>
      <c r="O14" s="1">
        <v>48</v>
      </c>
      <c r="P14" s="1"/>
      <c r="Q14" s="1">
        <f t="shared" si="4"/>
        <v>7</v>
      </c>
      <c r="R14" s="5"/>
      <c r="S14" s="5"/>
      <c r="T14" s="1">
        <f t="shared" si="5"/>
        <v>38.857142857142854</v>
      </c>
      <c r="U14" s="1">
        <f t="shared" si="6"/>
        <v>38.857142857142854</v>
      </c>
      <c r="V14" s="1">
        <v>15.8</v>
      </c>
      <c r="W14" s="1">
        <v>7.2</v>
      </c>
      <c r="X14" s="1">
        <v>9.6</v>
      </c>
      <c r="Y14" s="1">
        <v>4.4000000000000004</v>
      </c>
      <c r="Z14" s="1">
        <v>3.6</v>
      </c>
      <c r="AA14" s="1">
        <v>13.2</v>
      </c>
      <c r="AB14" s="9" t="s">
        <v>34</v>
      </c>
      <c r="AC14" s="1">
        <f t="shared" si="3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42</v>
      </c>
      <c r="B15" s="1" t="s">
        <v>33</v>
      </c>
      <c r="C15" s="1">
        <v>46</v>
      </c>
      <c r="D15" s="1">
        <v>2</v>
      </c>
      <c r="E15" s="1">
        <v>31</v>
      </c>
      <c r="F15" s="1">
        <v>15</v>
      </c>
      <c r="G15" s="7">
        <v>0.18</v>
      </c>
      <c r="H15" s="1">
        <v>270</v>
      </c>
      <c r="I15" s="1"/>
      <c r="J15" s="1"/>
      <c r="K15" s="1">
        <v>35</v>
      </c>
      <c r="L15" s="1">
        <f t="shared" si="2"/>
        <v>-4</v>
      </c>
      <c r="M15" s="1"/>
      <c r="N15" s="1"/>
      <c r="O15" s="1">
        <v>128</v>
      </c>
      <c r="P15" s="1"/>
      <c r="Q15" s="1">
        <f t="shared" si="4"/>
        <v>6.2</v>
      </c>
      <c r="R15" s="5"/>
      <c r="S15" s="5"/>
      <c r="T15" s="1">
        <f t="shared" si="5"/>
        <v>23.064516129032256</v>
      </c>
      <c r="U15" s="1">
        <f t="shared" si="6"/>
        <v>23.064516129032256</v>
      </c>
      <c r="V15" s="1">
        <v>9.1999999999999993</v>
      </c>
      <c r="W15" s="1">
        <v>7</v>
      </c>
      <c r="X15" s="1">
        <v>6.4</v>
      </c>
      <c r="Y15" s="1">
        <v>9.1999999999999993</v>
      </c>
      <c r="Z15" s="1">
        <v>5.8</v>
      </c>
      <c r="AA15" s="1">
        <v>7.2</v>
      </c>
      <c r="AB15" s="1"/>
      <c r="AC15" s="1">
        <f t="shared" si="3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33</v>
      </c>
      <c r="C16" s="1">
        <v>75</v>
      </c>
      <c r="D16" s="1">
        <v>2</v>
      </c>
      <c r="E16" s="1">
        <v>33</v>
      </c>
      <c r="F16" s="1">
        <v>42</v>
      </c>
      <c r="G16" s="7">
        <v>0.18</v>
      </c>
      <c r="H16" s="1">
        <v>270</v>
      </c>
      <c r="I16" s="1"/>
      <c r="J16" s="1"/>
      <c r="K16" s="1">
        <v>36</v>
      </c>
      <c r="L16" s="1">
        <f t="shared" si="2"/>
        <v>-3</v>
      </c>
      <c r="M16" s="1"/>
      <c r="N16" s="1"/>
      <c r="O16" s="1">
        <v>112</v>
      </c>
      <c r="P16" s="1"/>
      <c r="Q16" s="1">
        <f t="shared" si="4"/>
        <v>6.6</v>
      </c>
      <c r="R16" s="5"/>
      <c r="S16" s="5"/>
      <c r="T16" s="1">
        <f t="shared" si="5"/>
        <v>23.333333333333336</v>
      </c>
      <c r="U16" s="1">
        <f t="shared" si="6"/>
        <v>23.333333333333336</v>
      </c>
      <c r="V16" s="1">
        <v>9.6</v>
      </c>
      <c r="W16" s="1">
        <v>9</v>
      </c>
      <c r="X16" s="1">
        <v>5.8</v>
      </c>
      <c r="Y16" s="1">
        <v>7.8</v>
      </c>
      <c r="Z16" s="1">
        <v>6.8</v>
      </c>
      <c r="AA16" s="1">
        <v>7.6</v>
      </c>
      <c r="AB16" s="1"/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44</v>
      </c>
      <c r="B17" s="1" t="s">
        <v>33</v>
      </c>
      <c r="C17" s="1">
        <v>389</v>
      </c>
      <c r="D17" s="1">
        <v>447</v>
      </c>
      <c r="E17" s="1">
        <v>315</v>
      </c>
      <c r="F17" s="1">
        <v>518</v>
      </c>
      <c r="G17" s="7">
        <v>0.18</v>
      </c>
      <c r="H17" s="1">
        <v>120</v>
      </c>
      <c r="I17" s="1"/>
      <c r="J17" s="1"/>
      <c r="K17" s="1">
        <v>325</v>
      </c>
      <c r="L17" s="1">
        <f t="shared" si="2"/>
        <v>-10</v>
      </c>
      <c r="M17" s="1"/>
      <c r="N17" s="1"/>
      <c r="O17" s="1">
        <v>60</v>
      </c>
      <c r="P17" s="1">
        <v>200</v>
      </c>
      <c r="Q17" s="1">
        <f t="shared" si="4"/>
        <v>63</v>
      </c>
      <c r="R17" s="5">
        <f t="shared" ref="R17:R43" si="7">20*Q17-P17-O17-F17</f>
        <v>482</v>
      </c>
      <c r="S17" s="5">
        <f>VLOOKUP(A17,заказ!A:B,2,0)</f>
        <v>480</v>
      </c>
      <c r="T17" s="1">
        <f t="shared" si="5"/>
        <v>20</v>
      </c>
      <c r="U17" s="1">
        <f t="shared" si="6"/>
        <v>12.34920634920635</v>
      </c>
      <c r="V17" s="1">
        <v>56.6</v>
      </c>
      <c r="W17" s="1">
        <v>59</v>
      </c>
      <c r="X17" s="1">
        <v>34.6</v>
      </c>
      <c r="Y17" s="1">
        <v>34.799999999999997</v>
      </c>
      <c r="Z17" s="1">
        <v>64.8</v>
      </c>
      <c r="AA17" s="1">
        <v>33.200000000000003</v>
      </c>
      <c r="AB17" s="1"/>
      <c r="AC17" s="1">
        <f t="shared" si="3"/>
        <v>86.759999999999991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45</v>
      </c>
      <c r="B18" s="1" t="s">
        <v>33</v>
      </c>
      <c r="C18" s="1">
        <v>323</v>
      </c>
      <c r="D18" s="1"/>
      <c r="E18" s="1">
        <v>142</v>
      </c>
      <c r="F18" s="1">
        <v>180</v>
      </c>
      <c r="G18" s="7">
        <v>0.18</v>
      </c>
      <c r="H18" s="1">
        <v>120</v>
      </c>
      <c r="I18" s="1"/>
      <c r="J18" s="1"/>
      <c r="K18" s="1">
        <v>147</v>
      </c>
      <c r="L18" s="1">
        <f t="shared" si="2"/>
        <v>-5</v>
      </c>
      <c r="M18" s="1"/>
      <c r="N18" s="1"/>
      <c r="O18" s="1">
        <v>30</v>
      </c>
      <c r="P18" s="1"/>
      <c r="Q18" s="1">
        <f t="shared" si="4"/>
        <v>28.4</v>
      </c>
      <c r="R18" s="5">
        <f t="shared" si="7"/>
        <v>358</v>
      </c>
      <c r="S18" s="5">
        <f>VLOOKUP(A18,заказ!A:B,2,0)</f>
        <v>360</v>
      </c>
      <c r="T18" s="1">
        <f t="shared" si="5"/>
        <v>20</v>
      </c>
      <c r="U18" s="1">
        <f t="shared" si="6"/>
        <v>7.394366197183099</v>
      </c>
      <c r="V18" s="1">
        <v>18.8</v>
      </c>
      <c r="W18" s="1">
        <v>28.6</v>
      </c>
      <c r="X18" s="1">
        <v>11.4</v>
      </c>
      <c r="Y18" s="1">
        <v>10.4</v>
      </c>
      <c r="Z18" s="1">
        <v>37</v>
      </c>
      <c r="AA18" s="1">
        <v>28.8</v>
      </c>
      <c r="AB18" s="1"/>
      <c r="AC18" s="1">
        <f t="shared" si="3"/>
        <v>64.44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46</v>
      </c>
      <c r="B19" s="1" t="s">
        <v>33</v>
      </c>
      <c r="C19" s="1">
        <v>43</v>
      </c>
      <c r="D19" s="1"/>
      <c r="E19" s="1">
        <v>2</v>
      </c>
      <c r="F19" s="1">
        <v>41</v>
      </c>
      <c r="G19" s="7">
        <v>0.4</v>
      </c>
      <c r="H19" s="1">
        <v>270</v>
      </c>
      <c r="I19" s="1"/>
      <c r="J19" s="1"/>
      <c r="K19" s="1">
        <v>5</v>
      </c>
      <c r="L19" s="1">
        <f t="shared" si="2"/>
        <v>-3</v>
      </c>
      <c r="M19" s="1"/>
      <c r="N19" s="1"/>
      <c r="O19" s="1"/>
      <c r="P19" s="1"/>
      <c r="Q19" s="1">
        <f t="shared" si="4"/>
        <v>0.4</v>
      </c>
      <c r="R19" s="5"/>
      <c r="S19" s="5"/>
      <c r="T19" s="1">
        <f t="shared" si="5"/>
        <v>102.5</v>
      </c>
      <c r="U19" s="1">
        <f t="shared" si="6"/>
        <v>102.5</v>
      </c>
      <c r="V19" s="1">
        <v>0.8</v>
      </c>
      <c r="W19" s="1">
        <v>0.2</v>
      </c>
      <c r="X19" s="1">
        <v>1.6</v>
      </c>
      <c r="Y19" s="1">
        <v>2</v>
      </c>
      <c r="Z19" s="1">
        <v>0.8</v>
      </c>
      <c r="AA19" s="1">
        <v>3.2</v>
      </c>
      <c r="AB19" s="9" t="s">
        <v>34</v>
      </c>
      <c r="AC19" s="1">
        <f t="shared" si="3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47</v>
      </c>
      <c r="B20" s="1" t="s">
        <v>33</v>
      </c>
      <c r="C20" s="1">
        <v>61</v>
      </c>
      <c r="D20" s="1"/>
      <c r="E20" s="1">
        <v>4</v>
      </c>
      <c r="F20" s="1">
        <v>57</v>
      </c>
      <c r="G20" s="7">
        <v>0.4</v>
      </c>
      <c r="H20" s="1">
        <v>270</v>
      </c>
      <c r="I20" s="1"/>
      <c r="J20" s="1"/>
      <c r="K20" s="1">
        <v>4</v>
      </c>
      <c r="L20" s="1">
        <f t="shared" si="2"/>
        <v>0</v>
      </c>
      <c r="M20" s="1"/>
      <c r="N20" s="1"/>
      <c r="O20" s="1"/>
      <c r="P20" s="1"/>
      <c r="Q20" s="1">
        <f t="shared" si="4"/>
        <v>0.8</v>
      </c>
      <c r="R20" s="5"/>
      <c r="S20" s="5"/>
      <c r="T20" s="1">
        <f t="shared" si="5"/>
        <v>71.25</v>
      </c>
      <c r="U20" s="1">
        <f t="shared" si="6"/>
        <v>71.25</v>
      </c>
      <c r="V20" s="1">
        <v>1</v>
      </c>
      <c r="W20" s="1">
        <v>1.6</v>
      </c>
      <c r="X20" s="1">
        <v>1</v>
      </c>
      <c r="Y20" s="1">
        <v>0.2</v>
      </c>
      <c r="Z20" s="1">
        <v>2.2000000000000002</v>
      </c>
      <c r="AA20" s="1">
        <v>0.6</v>
      </c>
      <c r="AB20" s="9" t="s">
        <v>34</v>
      </c>
      <c r="AC20" s="1">
        <f t="shared" si="3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48</v>
      </c>
      <c r="B21" s="1" t="s">
        <v>33</v>
      </c>
      <c r="C21" s="1">
        <v>170</v>
      </c>
      <c r="D21" s="1">
        <v>202</v>
      </c>
      <c r="E21" s="1">
        <v>44</v>
      </c>
      <c r="F21" s="1">
        <v>327</v>
      </c>
      <c r="G21" s="7">
        <v>0.18</v>
      </c>
      <c r="H21" s="1">
        <v>150</v>
      </c>
      <c r="I21" s="1"/>
      <c r="J21" s="1"/>
      <c r="K21" s="1">
        <v>66</v>
      </c>
      <c r="L21" s="1">
        <f t="shared" si="2"/>
        <v>-22</v>
      </c>
      <c r="M21" s="1"/>
      <c r="N21" s="1"/>
      <c r="O21" s="1"/>
      <c r="P21" s="1">
        <v>78</v>
      </c>
      <c r="Q21" s="1">
        <f t="shared" si="4"/>
        <v>8.8000000000000007</v>
      </c>
      <c r="R21" s="5"/>
      <c r="S21" s="5"/>
      <c r="T21" s="1">
        <f t="shared" si="5"/>
        <v>46.022727272727266</v>
      </c>
      <c r="U21" s="1">
        <f t="shared" si="6"/>
        <v>46.022727272727266</v>
      </c>
      <c r="V21" s="1">
        <v>5.8</v>
      </c>
      <c r="W21" s="1">
        <v>5.4</v>
      </c>
      <c r="X21" s="1">
        <v>8.4</v>
      </c>
      <c r="Y21" s="1">
        <v>13.8</v>
      </c>
      <c r="Z21" s="1">
        <v>5.4</v>
      </c>
      <c r="AA21" s="1">
        <v>3.8</v>
      </c>
      <c r="AB21" s="9" t="s">
        <v>34</v>
      </c>
      <c r="AC21" s="1">
        <f t="shared" si="3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49</v>
      </c>
      <c r="B22" s="1" t="s">
        <v>33</v>
      </c>
      <c r="C22" s="1">
        <v>102</v>
      </c>
      <c r="D22" s="1">
        <v>96</v>
      </c>
      <c r="E22" s="1">
        <v>70</v>
      </c>
      <c r="F22" s="1">
        <v>128</v>
      </c>
      <c r="G22" s="7">
        <v>0.1</v>
      </c>
      <c r="H22" s="1">
        <v>90</v>
      </c>
      <c r="I22" s="1"/>
      <c r="J22" s="1"/>
      <c r="K22" s="1">
        <v>76</v>
      </c>
      <c r="L22" s="1">
        <f t="shared" si="2"/>
        <v>-6</v>
      </c>
      <c r="M22" s="1"/>
      <c r="N22" s="1"/>
      <c r="O22" s="1">
        <v>48</v>
      </c>
      <c r="P22" s="1">
        <v>152</v>
      </c>
      <c r="Q22" s="1">
        <f t="shared" si="4"/>
        <v>14</v>
      </c>
      <c r="R22" s="5"/>
      <c r="S22" s="5"/>
      <c r="T22" s="1">
        <f t="shared" si="5"/>
        <v>23.428571428571427</v>
      </c>
      <c r="U22" s="1">
        <f t="shared" si="6"/>
        <v>23.428571428571427</v>
      </c>
      <c r="V22" s="1">
        <v>21.4</v>
      </c>
      <c r="W22" s="1">
        <v>19.600000000000001</v>
      </c>
      <c r="X22" s="1">
        <v>23.2</v>
      </c>
      <c r="Y22" s="1">
        <v>20</v>
      </c>
      <c r="Z22" s="1">
        <v>20.399999999999999</v>
      </c>
      <c r="AA22" s="1">
        <v>7.4</v>
      </c>
      <c r="AB22" s="1"/>
      <c r="AC22" s="1">
        <f t="shared" si="3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50</v>
      </c>
      <c r="B23" s="1" t="s">
        <v>33</v>
      </c>
      <c r="C23" s="1"/>
      <c r="D23" s="1">
        <v>128</v>
      </c>
      <c r="E23" s="1">
        <v>40</v>
      </c>
      <c r="F23" s="1">
        <v>88</v>
      </c>
      <c r="G23" s="7">
        <v>0.1</v>
      </c>
      <c r="H23" s="1"/>
      <c r="I23" s="1"/>
      <c r="J23" s="1"/>
      <c r="K23" s="1">
        <v>50</v>
      </c>
      <c r="L23" s="1">
        <f t="shared" si="2"/>
        <v>-10</v>
      </c>
      <c r="M23" s="1"/>
      <c r="N23" s="1"/>
      <c r="O23" s="1">
        <v>32</v>
      </c>
      <c r="P23" s="1"/>
      <c r="Q23" s="1">
        <f t="shared" si="4"/>
        <v>8</v>
      </c>
      <c r="R23" s="5">
        <f t="shared" si="7"/>
        <v>40</v>
      </c>
      <c r="S23" s="5">
        <f>VLOOKUP(A23,заказ!A:B,2,0)</f>
        <v>40</v>
      </c>
      <c r="T23" s="1">
        <f t="shared" si="5"/>
        <v>20</v>
      </c>
      <c r="U23" s="1">
        <f t="shared" si="6"/>
        <v>15</v>
      </c>
      <c r="V23" s="1">
        <v>5.2</v>
      </c>
      <c r="W23" s="1">
        <v>22</v>
      </c>
      <c r="X23" s="1">
        <v>12</v>
      </c>
      <c r="Y23" s="1">
        <v>10.8</v>
      </c>
      <c r="Z23" s="1">
        <v>12.8</v>
      </c>
      <c r="AA23" s="1">
        <v>7.8</v>
      </c>
      <c r="AB23" s="1"/>
      <c r="AC23" s="1">
        <f t="shared" si="3"/>
        <v>4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51</v>
      </c>
      <c r="B24" s="1" t="s">
        <v>33</v>
      </c>
      <c r="C24" s="1">
        <v>13</v>
      </c>
      <c r="D24" s="1">
        <v>256</v>
      </c>
      <c r="E24" s="1">
        <v>50</v>
      </c>
      <c r="F24" s="1">
        <v>217</v>
      </c>
      <c r="G24" s="7">
        <v>0.1</v>
      </c>
      <c r="H24" s="1"/>
      <c r="I24" s="1"/>
      <c r="J24" s="1"/>
      <c r="K24" s="1">
        <v>59</v>
      </c>
      <c r="L24" s="1">
        <f t="shared" si="2"/>
        <v>-9</v>
      </c>
      <c r="M24" s="1"/>
      <c r="N24" s="1"/>
      <c r="O24" s="1">
        <v>72</v>
      </c>
      <c r="P24" s="1"/>
      <c r="Q24" s="1">
        <f t="shared" si="4"/>
        <v>10</v>
      </c>
      <c r="R24" s="5"/>
      <c r="S24" s="5"/>
      <c r="T24" s="1">
        <f t="shared" si="5"/>
        <v>28.9</v>
      </c>
      <c r="U24" s="1">
        <f t="shared" si="6"/>
        <v>28.9</v>
      </c>
      <c r="V24" s="1">
        <v>18.2</v>
      </c>
      <c r="W24" s="1">
        <v>19</v>
      </c>
      <c r="X24" s="1">
        <v>12.8</v>
      </c>
      <c r="Y24" s="1">
        <v>10</v>
      </c>
      <c r="Z24" s="1">
        <v>9.8000000000000007</v>
      </c>
      <c r="AA24" s="1">
        <v>15.4</v>
      </c>
      <c r="AB24" s="1"/>
      <c r="AC24" s="1">
        <f t="shared" si="3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52</v>
      </c>
      <c r="B25" s="1" t="s">
        <v>33</v>
      </c>
      <c r="C25" s="1">
        <v>150</v>
      </c>
      <c r="D25" s="1">
        <v>502</v>
      </c>
      <c r="E25" s="1">
        <v>89</v>
      </c>
      <c r="F25" s="1">
        <v>560</v>
      </c>
      <c r="G25" s="7">
        <v>0.18</v>
      </c>
      <c r="H25" s="1">
        <v>150</v>
      </c>
      <c r="I25" s="1"/>
      <c r="J25" s="1"/>
      <c r="K25" s="1">
        <v>92</v>
      </c>
      <c r="L25" s="1">
        <f t="shared" si="2"/>
        <v>-3</v>
      </c>
      <c r="M25" s="1"/>
      <c r="N25" s="1"/>
      <c r="O25" s="1"/>
      <c r="P25" s="1">
        <v>40</v>
      </c>
      <c r="Q25" s="1">
        <f t="shared" si="4"/>
        <v>17.8</v>
      </c>
      <c r="R25" s="5"/>
      <c r="S25" s="5"/>
      <c r="T25" s="1">
        <f t="shared" si="5"/>
        <v>33.707865168539321</v>
      </c>
      <c r="U25" s="1">
        <f t="shared" si="6"/>
        <v>33.707865168539321</v>
      </c>
      <c r="V25" s="1">
        <v>14.6</v>
      </c>
      <c r="W25" s="1">
        <v>19</v>
      </c>
      <c r="X25" s="1">
        <v>12.2</v>
      </c>
      <c r="Y25" s="1">
        <v>11.8</v>
      </c>
      <c r="Z25" s="1">
        <v>15.8</v>
      </c>
      <c r="AA25" s="1">
        <v>11.6</v>
      </c>
      <c r="AB25" s="9" t="s">
        <v>34</v>
      </c>
      <c r="AC25" s="1">
        <f t="shared" si="3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53</v>
      </c>
      <c r="B26" s="1" t="s">
        <v>33</v>
      </c>
      <c r="C26" s="1">
        <v>52</v>
      </c>
      <c r="D26" s="1">
        <v>1360</v>
      </c>
      <c r="E26" s="1">
        <v>185</v>
      </c>
      <c r="F26" s="1">
        <v>1217</v>
      </c>
      <c r="G26" s="7">
        <v>0.18</v>
      </c>
      <c r="H26" s="1">
        <v>150</v>
      </c>
      <c r="I26" s="1"/>
      <c r="J26" s="1"/>
      <c r="K26" s="1">
        <v>355</v>
      </c>
      <c r="L26" s="1">
        <f t="shared" si="2"/>
        <v>-170</v>
      </c>
      <c r="M26" s="1"/>
      <c r="N26" s="1"/>
      <c r="O26" s="1"/>
      <c r="P26" s="1">
        <v>50</v>
      </c>
      <c r="Q26" s="1">
        <f t="shared" si="4"/>
        <v>37</v>
      </c>
      <c r="R26" s="5"/>
      <c r="S26" s="5"/>
      <c r="T26" s="1">
        <f t="shared" si="5"/>
        <v>34.243243243243242</v>
      </c>
      <c r="U26" s="1">
        <f t="shared" si="6"/>
        <v>34.243243243243242</v>
      </c>
      <c r="V26" s="1">
        <v>51.2</v>
      </c>
      <c r="W26" s="1">
        <v>64.599999999999994</v>
      </c>
      <c r="X26" s="1">
        <v>25.4</v>
      </c>
      <c r="Y26" s="1">
        <v>37.799999999999997</v>
      </c>
      <c r="Z26" s="1">
        <v>32.200000000000003</v>
      </c>
      <c r="AA26" s="1">
        <v>15.6</v>
      </c>
      <c r="AB26" s="1"/>
      <c r="AC26" s="1">
        <f t="shared" si="3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54</v>
      </c>
      <c r="B27" s="1" t="s">
        <v>33</v>
      </c>
      <c r="C27" s="1">
        <v>474</v>
      </c>
      <c r="D27" s="1">
        <v>140</v>
      </c>
      <c r="E27" s="1">
        <v>14</v>
      </c>
      <c r="F27" s="1">
        <v>600</v>
      </c>
      <c r="G27" s="7">
        <v>0.18</v>
      </c>
      <c r="H27" s="1">
        <v>150</v>
      </c>
      <c r="I27" s="1"/>
      <c r="J27" s="1"/>
      <c r="K27" s="1">
        <v>14</v>
      </c>
      <c r="L27" s="1">
        <f t="shared" si="2"/>
        <v>0</v>
      </c>
      <c r="M27" s="1"/>
      <c r="N27" s="1"/>
      <c r="O27" s="1"/>
      <c r="P27" s="1"/>
      <c r="Q27" s="1">
        <f t="shared" si="4"/>
        <v>2.8</v>
      </c>
      <c r="R27" s="5"/>
      <c r="S27" s="5"/>
      <c r="T27" s="1">
        <f t="shared" si="5"/>
        <v>214.28571428571431</v>
      </c>
      <c r="U27" s="1">
        <f t="shared" si="6"/>
        <v>214.28571428571431</v>
      </c>
      <c r="V27" s="1">
        <v>6.2</v>
      </c>
      <c r="W27" s="1">
        <v>3.4</v>
      </c>
      <c r="X27" s="1">
        <v>0.2</v>
      </c>
      <c r="Y27" s="1">
        <v>0.2</v>
      </c>
      <c r="Z27" s="1">
        <v>11.2</v>
      </c>
      <c r="AA27" s="1">
        <v>6</v>
      </c>
      <c r="AB27" s="9" t="s">
        <v>34</v>
      </c>
      <c r="AC27" s="1">
        <f t="shared" si="3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55</v>
      </c>
      <c r="B28" s="1" t="s">
        <v>33</v>
      </c>
      <c r="C28" s="1">
        <v>109</v>
      </c>
      <c r="D28" s="1">
        <v>150</v>
      </c>
      <c r="E28" s="1">
        <v>4</v>
      </c>
      <c r="F28" s="1">
        <v>254</v>
      </c>
      <c r="G28" s="7">
        <v>0.18</v>
      </c>
      <c r="H28" s="1">
        <v>120</v>
      </c>
      <c r="I28" s="1"/>
      <c r="J28" s="1"/>
      <c r="K28" s="1">
        <v>5</v>
      </c>
      <c r="L28" s="1">
        <f t="shared" si="2"/>
        <v>-1</v>
      </c>
      <c r="M28" s="1"/>
      <c r="N28" s="1"/>
      <c r="O28" s="1"/>
      <c r="P28" s="1">
        <v>30</v>
      </c>
      <c r="Q28" s="1">
        <f t="shared" si="4"/>
        <v>0.8</v>
      </c>
      <c r="R28" s="5"/>
      <c r="S28" s="5"/>
      <c r="T28" s="1">
        <f t="shared" si="5"/>
        <v>355</v>
      </c>
      <c r="U28" s="1">
        <f t="shared" si="6"/>
        <v>355</v>
      </c>
      <c r="V28" s="1">
        <v>3.6</v>
      </c>
      <c r="W28" s="1">
        <v>1.4</v>
      </c>
      <c r="X28" s="1">
        <v>1.8</v>
      </c>
      <c r="Y28" s="1">
        <v>5.4</v>
      </c>
      <c r="Z28" s="1">
        <v>4</v>
      </c>
      <c r="AA28" s="1">
        <v>4.4000000000000004</v>
      </c>
      <c r="AB28" s="9" t="s">
        <v>34</v>
      </c>
      <c r="AC28" s="1">
        <f t="shared" si="3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56</v>
      </c>
      <c r="B29" s="1" t="s">
        <v>33</v>
      </c>
      <c r="C29" s="1">
        <v>493</v>
      </c>
      <c r="D29" s="1">
        <v>1825</v>
      </c>
      <c r="E29" s="1">
        <v>322</v>
      </c>
      <c r="F29" s="1">
        <v>1779</v>
      </c>
      <c r="G29" s="7">
        <v>0.18</v>
      </c>
      <c r="H29" s="1">
        <v>150</v>
      </c>
      <c r="I29" s="1"/>
      <c r="J29" s="1"/>
      <c r="K29" s="1">
        <v>343</v>
      </c>
      <c r="L29" s="1">
        <f t="shared" si="2"/>
        <v>-21</v>
      </c>
      <c r="M29" s="1"/>
      <c r="N29" s="1"/>
      <c r="O29" s="1"/>
      <c r="P29" s="1"/>
      <c r="Q29" s="1">
        <f t="shared" si="4"/>
        <v>64.400000000000006</v>
      </c>
      <c r="R29" s="5"/>
      <c r="S29" s="5"/>
      <c r="T29" s="1">
        <f t="shared" si="5"/>
        <v>27.62422360248447</v>
      </c>
      <c r="U29" s="1">
        <f t="shared" si="6"/>
        <v>27.62422360248447</v>
      </c>
      <c r="V29" s="1">
        <v>50.2</v>
      </c>
      <c r="W29" s="1">
        <v>126.4</v>
      </c>
      <c r="X29" s="1">
        <v>47.6</v>
      </c>
      <c r="Y29" s="1">
        <v>15</v>
      </c>
      <c r="Z29" s="1">
        <v>69.8</v>
      </c>
      <c r="AA29" s="1">
        <v>19.2</v>
      </c>
      <c r="AB29" s="9" t="s">
        <v>34</v>
      </c>
      <c r="AC29" s="1">
        <f t="shared" si="3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57</v>
      </c>
      <c r="B30" s="1" t="s">
        <v>33</v>
      </c>
      <c r="C30" s="1">
        <v>418</v>
      </c>
      <c r="D30" s="1">
        <v>450</v>
      </c>
      <c r="E30" s="1">
        <v>138</v>
      </c>
      <c r="F30" s="1">
        <v>730</v>
      </c>
      <c r="G30" s="7">
        <v>0.18</v>
      </c>
      <c r="H30" s="1">
        <v>120</v>
      </c>
      <c r="I30" s="1"/>
      <c r="J30" s="1"/>
      <c r="K30" s="1">
        <v>138</v>
      </c>
      <c r="L30" s="1">
        <f t="shared" si="2"/>
        <v>0</v>
      </c>
      <c r="M30" s="1"/>
      <c r="N30" s="1"/>
      <c r="O30" s="1"/>
      <c r="P30" s="1"/>
      <c r="Q30" s="1">
        <f t="shared" si="4"/>
        <v>27.6</v>
      </c>
      <c r="R30" s="5"/>
      <c r="S30" s="5"/>
      <c r="T30" s="1">
        <f t="shared" si="5"/>
        <v>26.44927536231884</v>
      </c>
      <c r="U30" s="1">
        <f t="shared" si="6"/>
        <v>26.44927536231884</v>
      </c>
      <c r="V30" s="1">
        <v>9</v>
      </c>
      <c r="W30" s="1">
        <v>26.2</v>
      </c>
      <c r="X30" s="1">
        <v>6.6</v>
      </c>
      <c r="Y30" s="1">
        <v>13.4</v>
      </c>
      <c r="Z30" s="1">
        <v>18.2</v>
      </c>
      <c r="AA30" s="1">
        <v>9.8000000000000007</v>
      </c>
      <c r="AB30" s="9" t="s">
        <v>34</v>
      </c>
      <c r="AC30" s="1">
        <f t="shared" si="3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58</v>
      </c>
      <c r="B31" s="1" t="s">
        <v>33</v>
      </c>
      <c r="C31" s="1">
        <v>57</v>
      </c>
      <c r="D31" s="1">
        <v>66</v>
      </c>
      <c r="E31" s="1">
        <v>43</v>
      </c>
      <c r="F31" s="1">
        <v>78</v>
      </c>
      <c r="G31" s="7">
        <v>0.14000000000000001</v>
      </c>
      <c r="H31" s="1">
        <v>180</v>
      </c>
      <c r="I31" s="1"/>
      <c r="J31" s="1"/>
      <c r="K31" s="1">
        <v>45</v>
      </c>
      <c r="L31" s="1">
        <f t="shared" si="2"/>
        <v>-2</v>
      </c>
      <c r="M31" s="1"/>
      <c r="N31" s="1"/>
      <c r="O31" s="1">
        <v>48</v>
      </c>
      <c r="P31" s="1"/>
      <c r="Q31" s="1">
        <f t="shared" si="4"/>
        <v>8.6</v>
      </c>
      <c r="R31" s="5">
        <f t="shared" si="7"/>
        <v>46</v>
      </c>
      <c r="S31" s="5">
        <f>VLOOKUP(A31,заказ!A:B,2,0)</f>
        <v>48</v>
      </c>
      <c r="T31" s="1">
        <f t="shared" si="5"/>
        <v>20</v>
      </c>
      <c r="U31" s="1">
        <f t="shared" si="6"/>
        <v>14.651162790697676</v>
      </c>
      <c r="V31" s="1">
        <v>9</v>
      </c>
      <c r="W31" s="1">
        <v>8.8000000000000007</v>
      </c>
      <c r="X31" s="1">
        <v>3</v>
      </c>
      <c r="Y31" s="1">
        <v>5</v>
      </c>
      <c r="Z31" s="1">
        <v>4.8</v>
      </c>
      <c r="AA31" s="1">
        <v>6.6</v>
      </c>
      <c r="AB31" s="1"/>
      <c r="AC31" s="1">
        <f t="shared" si="3"/>
        <v>6.44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59</v>
      </c>
      <c r="B32" s="1" t="s">
        <v>33</v>
      </c>
      <c r="C32" s="1">
        <v>136</v>
      </c>
      <c r="D32" s="1">
        <v>2</v>
      </c>
      <c r="E32" s="1">
        <v>44</v>
      </c>
      <c r="F32" s="1">
        <v>92</v>
      </c>
      <c r="G32" s="7">
        <v>0.18</v>
      </c>
      <c r="H32" s="1">
        <v>270</v>
      </c>
      <c r="I32" s="1"/>
      <c r="J32" s="1"/>
      <c r="K32" s="1">
        <v>49</v>
      </c>
      <c r="L32" s="1">
        <f t="shared" si="2"/>
        <v>-5</v>
      </c>
      <c r="M32" s="1"/>
      <c r="N32" s="1"/>
      <c r="O32" s="1">
        <v>32</v>
      </c>
      <c r="P32" s="1"/>
      <c r="Q32" s="1">
        <f t="shared" si="4"/>
        <v>8.8000000000000007</v>
      </c>
      <c r="R32" s="5">
        <f t="shared" si="7"/>
        <v>52</v>
      </c>
      <c r="S32" s="5">
        <f>VLOOKUP(A32,заказ!A:B,2,0)</f>
        <v>48</v>
      </c>
      <c r="T32" s="1">
        <f t="shared" si="5"/>
        <v>20</v>
      </c>
      <c r="U32" s="1">
        <f t="shared" si="6"/>
        <v>14.09090909090909</v>
      </c>
      <c r="V32" s="1">
        <v>9</v>
      </c>
      <c r="W32" s="1">
        <v>9.4</v>
      </c>
      <c r="X32" s="1">
        <v>5.8</v>
      </c>
      <c r="Y32" s="1">
        <v>9.8000000000000007</v>
      </c>
      <c r="Z32" s="1">
        <v>12.6</v>
      </c>
      <c r="AA32" s="1">
        <v>9.1999999999999993</v>
      </c>
      <c r="AB32" s="1"/>
      <c r="AC32" s="1">
        <f t="shared" si="3"/>
        <v>9.36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60</v>
      </c>
      <c r="B33" s="1" t="s">
        <v>31</v>
      </c>
      <c r="C33" s="1">
        <v>139.89400000000001</v>
      </c>
      <c r="D33" s="1"/>
      <c r="E33" s="1">
        <v>3.3860000000000001</v>
      </c>
      <c r="F33" s="1">
        <v>136.50800000000001</v>
      </c>
      <c r="G33" s="7">
        <v>1</v>
      </c>
      <c r="H33" s="1"/>
      <c r="I33" s="1"/>
      <c r="J33" s="1"/>
      <c r="K33" s="1">
        <v>3.5</v>
      </c>
      <c r="L33" s="1">
        <f t="shared" si="2"/>
        <v>-0.11399999999999988</v>
      </c>
      <c r="M33" s="1"/>
      <c r="N33" s="1"/>
      <c r="O33" s="1"/>
      <c r="P33" s="1"/>
      <c r="Q33" s="1">
        <f t="shared" si="4"/>
        <v>0.67720000000000002</v>
      </c>
      <c r="R33" s="5"/>
      <c r="S33" s="5"/>
      <c r="T33" s="1">
        <f t="shared" si="5"/>
        <v>201.57708210277613</v>
      </c>
      <c r="U33" s="1">
        <f t="shared" si="6"/>
        <v>201.57708210277613</v>
      </c>
      <c r="V33" s="1">
        <v>0.67120000000000002</v>
      </c>
      <c r="W33" s="1">
        <v>2.7471999999999999</v>
      </c>
      <c r="X33" s="1">
        <v>1.3408</v>
      </c>
      <c r="Y33" s="1">
        <v>3.39</v>
      </c>
      <c r="Z33" s="1">
        <v>8.0055999999999994</v>
      </c>
      <c r="AA33" s="1">
        <v>4.3655999999999997</v>
      </c>
      <c r="AB33" s="9" t="s">
        <v>34</v>
      </c>
      <c r="AC33" s="1">
        <f t="shared" si="3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61</v>
      </c>
      <c r="B34" s="1" t="s">
        <v>31</v>
      </c>
      <c r="C34" s="1">
        <v>58.366</v>
      </c>
      <c r="D34" s="1"/>
      <c r="E34" s="1"/>
      <c r="F34" s="1">
        <v>58.366</v>
      </c>
      <c r="G34" s="7">
        <v>1</v>
      </c>
      <c r="H34" s="1"/>
      <c r="I34" s="1"/>
      <c r="J34" s="1"/>
      <c r="K34" s="1"/>
      <c r="L34" s="1">
        <f t="shared" si="2"/>
        <v>0</v>
      </c>
      <c r="M34" s="1"/>
      <c r="N34" s="1"/>
      <c r="O34" s="1"/>
      <c r="P34" s="1"/>
      <c r="Q34" s="1">
        <f t="shared" si="4"/>
        <v>0</v>
      </c>
      <c r="R34" s="5"/>
      <c r="S34" s="5"/>
      <c r="T34" s="1" t="e">
        <f t="shared" si="5"/>
        <v>#DIV/0!</v>
      </c>
      <c r="U34" s="1" t="e">
        <f t="shared" si="6"/>
        <v>#DIV/0!</v>
      </c>
      <c r="V34" s="1">
        <v>3.8391999999999999</v>
      </c>
      <c r="W34" s="1">
        <v>0</v>
      </c>
      <c r="X34" s="1">
        <v>0.61119999999999997</v>
      </c>
      <c r="Y34" s="1">
        <v>0.67199999999999993</v>
      </c>
      <c r="Z34" s="1">
        <v>0</v>
      </c>
      <c r="AA34" s="1">
        <v>0</v>
      </c>
      <c r="AB34" s="9" t="s">
        <v>34</v>
      </c>
      <c r="AC34" s="1">
        <f t="shared" si="3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62</v>
      </c>
      <c r="B35" s="1" t="s">
        <v>31</v>
      </c>
      <c r="C35" s="1">
        <v>31.417999999999999</v>
      </c>
      <c r="D35" s="1"/>
      <c r="E35" s="1">
        <v>16.058</v>
      </c>
      <c r="F35" s="1">
        <v>15.36</v>
      </c>
      <c r="G35" s="7">
        <v>1</v>
      </c>
      <c r="H35" s="1">
        <v>120</v>
      </c>
      <c r="I35" s="1"/>
      <c r="J35" s="1"/>
      <c r="K35" s="1">
        <v>14.5</v>
      </c>
      <c r="L35" s="1">
        <f t="shared" si="2"/>
        <v>1.5579999999999998</v>
      </c>
      <c r="M35" s="1"/>
      <c r="N35" s="1"/>
      <c r="O35" s="1">
        <v>50</v>
      </c>
      <c r="P35" s="1">
        <v>99</v>
      </c>
      <c r="Q35" s="1">
        <f t="shared" si="4"/>
        <v>3.2115999999999998</v>
      </c>
      <c r="R35" s="5"/>
      <c r="S35" s="5"/>
      <c r="T35" s="1">
        <f t="shared" si="5"/>
        <v>51.176983435047958</v>
      </c>
      <c r="U35" s="1">
        <f t="shared" si="6"/>
        <v>51.176983435047958</v>
      </c>
      <c r="V35" s="1">
        <v>9.9192</v>
      </c>
      <c r="W35" s="1">
        <v>6.0739999999999998</v>
      </c>
      <c r="X35" s="1">
        <v>2.6676000000000002</v>
      </c>
      <c r="Y35" s="1">
        <v>7.4495999999999993</v>
      </c>
      <c r="Z35" s="1">
        <v>8.7568000000000001</v>
      </c>
      <c r="AA35" s="1">
        <v>1.8355999999999999</v>
      </c>
      <c r="AB35" s="9" t="s">
        <v>34</v>
      </c>
      <c r="AC35" s="1">
        <f t="shared" si="3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63</v>
      </c>
      <c r="B36" s="1" t="s">
        <v>31</v>
      </c>
      <c r="C36" s="1">
        <v>156.768</v>
      </c>
      <c r="D36" s="1"/>
      <c r="E36" s="1">
        <v>3.0960000000000001</v>
      </c>
      <c r="F36" s="1">
        <v>153.672</v>
      </c>
      <c r="G36" s="7">
        <v>1</v>
      </c>
      <c r="H36" s="1"/>
      <c r="I36" s="1"/>
      <c r="J36" s="1"/>
      <c r="K36" s="1">
        <v>3.5</v>
      </c>
      <c r="L36" s="1">
        <f t="shared" si="2"/>
        <v>-0.40399999999999991</v>
      </c>
      <c r="M36" s="1"/>
      <c r="N36" s="1"/>
      <c r="O36" s="1"/>
      <c r="P36" s="1"/>
      <c r="Q36" s="1">
        <f t="shared" si="4"/>
        <v>0.61919999999999997</v>
      </c>
      <c r="R36" s="5"/>
      <c r="S36" s="5"/>
      <c r="T36" s="1">
        <f t="shared" si="5"/>
        <v>248.17829457364343</v>
      </c>
      <c r="U36" s="1">
        <f t="shared" si="6"/>
        <v>248.17829457364343</v>
      </c>
      <c r="V36" s="1">
        <v>4.4596</v>
      </c>
      <c r="W36" s="1">
        <v>0.64160000000000006</v>
      </c>
      <c r="X36" s="1">
        <v>0</v>
      </c>
      <c r="Y36" s="1">
        <v>3.8592</v>
      </c>
      <c r="Z36" s="1">
        <v>3.2023999999999999</v>
      </c>
      <c r="AA36" s="1">
        <v>0.48559999999999998</v>
      </c>
      <c r="AB36" s="9" t="s">
        <v>34</v>
      </c>
      <c r="AC36" s="1">
        <f t="shared" si="3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64</v>
      </c>
      <c r="B37" s="1" t="s">
        <v>33</v>
      </c>
      <c r="C37" s="1">
        <v>329</v>
      </c>
      <c r="D37" s="1">
        <v>16</v>
      </c>
      <c r="E37" s="1">
        <v>193</v>
      </c>
      <c r="F37" s="1">
        <v>141</v>
      </c>
      <c r="G37" s="7">
        <v>0.1</v>
      </c>
      <c r="H37" s="1">
        <v>60</v>
      </c>
      <c r="I37" s="1"/>
      <c r="J37" s="1"/>
      <c r="K37" s="1">
        <v>218</v>
      </c>
      <c r="L37" s="1">
        <f t="shared" si="2"/>
        <v>-25</v>
      </c>
      <c r="M37" s="1"/>
      <c r="N37" s="1"/>
      <c r="O37" s="1"/>
      <c r="P37" s="1"/>
      <c r="Q37" s="1">
        <f t="shared" si="4"/>
        <v>38.6</v>
      </c>
      <c r="R37" s="5">
        <f>18*Q37-P37-O37-F37</f>
        <v>553.80000000000007</v>
      </c>
      <c r="S37" s="5">
        <f>VLOOKUP(A37,заказ!A:B,2,0)</f>
        <v>552</v>
      </c>
      <c r="T37" s="1">
        <f t="shared" si="5"/>
        <v>18</v>
      </c>
      <c r="U37" s="1">
        <f t="shared" si="6"/>
        <v>3.6528497409326421</v>
      </c>
      <c r="V37" s="1">
        <v>41.4</v>
      </c>
      <c r="W37" s="1">
        <v>48.2</v>
      </c>
      <c r="X37" s="1">
        <v>20</v>
      </c>
      <c r="Y37" s="1">
        <v>24.8</v>
      </c>
      <c r="Z37" s="1">
        <v>45.6</v>
      </c>
      <c r="AA37" s="1">
        <v>38.6</v>
      </c>
      <c r="AB37" s="1"/>
      <c r="AC37" s="1">
        <f t="shared" si="3"/>
        <v>55.38000000000001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65</v>
      </c>
      <c r="B38" s="1" t="s">
        <v>33</v>
      </c>
      <c r="C38" s="1">
        <v>439</v>
      </c>
      <c r="D38" s="1">
        <v>244</v>
      </c>
      <c r="E38" s="1">
        <v>158</v>
      </c>
      <c r="F38" s="1">
        <v>515</v>
      </c>
      <c r="G38" s="7">
        <v>0.1</v>
      </c>
      <c r="H38" s="1">
        <v>90</v>
      </c>
      <c r="I38" s="1"/>
      <c r="J38" s="1"/>
      <c r="K38" s="1">
        <v>180</v>
      </c>
      <c r="L38" s="1">
        <f t="shared" si="2"/>
        <v>-22</v>
      </c>
      <c r="M38" s="1"/>
      <c r="N38" s="1"/>
      <c r="O38" s="1">
        <v>72</v>
      </c>
      <c r="P38" s="1"/>
      <c r="Q38" s="1">
        <f t="shared" si="4"/>
        <v>31.6</v>
      </c>
      <c r="R38" s="5">
        <f t="shared" si="7"/>
        <v>45</v>
      </c>
      <c r="S38" s="5">
        <f>VLOOKUP(A38,заказ!A:B,2,0)</f>
        <v>48</v>
      </c>
      <c r="T38" s="1">
        <f t="shared" si="5"/>
        <v>20</v>
      </c>
      <c r="U38" s="1">
        <f t="shared" si="6"/>
        <v>18.575949367088608</v>
      </c>
      <c r="V38" s="1">
        <v>38.200000000000003</v>
      </c>
      <c r="W38" s="1">
        <v>44.8</v>
      </c>
      <c r="X38" s="1">
        <v>44.2</v>
      </c>
      <c r="Y38" s="1">
        <v>47</v>
      </c>
      <c r="Z38" s="1">
        <v>39.6</v>
      </c>
      <c r="AA38" s="1">
        <v>39.6</v>
      </c>
      <c r="AB38" s="1"/>
      <c r="AC38" s="1">
        <f t="shared" si="3"/>
        <v>4.5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66</v>
      </c>
      <c r="B39" s="1" t="s">
        <v>31</v>
      </c>
      <c r="C39" s="1">
        <v>34.707000000000001</v>
      </c>
      <c r="D39" s="1"/>
      <c r="E39" s="1"/>
      <c r="F39" s="1">
        <v>34.707000000000001</v>
      </c>
      <c r="G39" s="7">
        <v>1</v>
      </c>
      <c r="H39" s="1"/>
      <c r="I39" s="1"/>
      <c r="J39" s="1"/>
      <c r="K39" s="1"/>
      <c r="L39" s="1">
        <f t="shared" si="2"/>
        <v>0</v>
      </c>
      <c r="M39" s="1"/>
      <c r="N39" s="1"/>
      <c r="O39" s="1"/>
      <c r="P39" s="1"/>
      <c r="Q39" s="1">
        <f t="shared" si="4"/>
        <v>0</v>
      </c>
      <c r="R39" s="5"/>
      <c r="S39" s="5"/>
      <c r="T39" s="1" t="e">
        <f t="shared" si="5"/>
        <v>#DIV/0!</v>
      </c>
      <c r="U39" s="1" t="e">
        <f t="shared" si="6"/>
        <v>#DIV/0!</v>
      </c>
      <c r="V39" s="1">
        <v>1.3344</v>
      </c>
      <c r="W39" s="1">
        <v>0.9012</v>
      </c>
      <c r="X39" s="1">
        <v>0</v>
      </c>
      <c r="Y39" s="1">
        <v>0</v>
      </c>
      <c r="Z39" s="1">
        <v>1.0096000000000001</v>
      </c>
      <c r="AA39" s="1">
        <v>0.48</v>
      </c>
      <c r="AB39" s="9" t="s">
        <v>34</v>
      </c>
      <c r="AC39" s="1">
        <f t="shared" si="3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67</v>
      </c>
      <c r="B40" s="1" t="s">
        <v>33</v>
      </c>
      <c r="C40" s="1">
        <v>17</v>
      </c>
      <c r="D40" s="1">
        <v>114</v>
      </c>
      <c r="E40" s="1">
        <v>46</v>
      </c>
      <c r="F40" s="1">
        <v>83</v>
      </c>
      <c r="G40" s="7">
        <v>0.14000000000000001</v>
      </c>
      <c r="H40" s="1">
        <v>180</v>
      </c>
      <c r="I40" s="1"/>
      <c r="J40" s="1"/>
      <c r="K40" s="1">
        <v>48</v>
      </c>
      <c r="L40" s="1">
        <f t="shared" si="2"/>
        <v>-2</v>
      </c>
      <c r="M40" s="1"/>
      <c r="N40" s="1"/>
      <c r="O40" s="1">
        <v>160</v>
      </c>
      <c r="P40" s="1"/>
      <c r="Q40" s="1">
        <f t="shared" si="4"/>
        <v>9.1999999999999993</v>
      </c>
      <c r="R40" s="5"/>
      <c r="S40" s="5"/>
      <c r="T40" s="1">
        <f t="shared" si="5"/>
        <v>26.413043478260871</v>
      </c>
      <c r="U40" s="1">
        <f t="shared" si="6"/>
        <v>26.413043478260871</v>
      </c>
      <c r="V40" s="1">
        <v>16</v>
      </c>
      <c r="W40" s="1">
        <v>11.6</v>
      </c>
      <c r="X40" s="1">
        <v>9.1999999999999993</v>
      </c>
      <c r="Y40" s="1">
        <v>7.4</v>
      </c>
      <c r="Z40" s="1">
        <v>7.2</v>
      </c>
      <c r="AA40" s="1">
        <v>7.2</v>
      </c>
      <c r="AB40" s="1"/>
      <c r="AC40" s="1">
        <f t="shared" si="3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68</v>
      </c>
      <c r="B41" s="1" t="s">
        <v>33</v>
      </c>
      <c r="C41" s="1">
        <v>77</v>
      </c>
      <c r="D41" s="1"/>
      <c r="E41" s="1">
        <v>49</v>
      </c>
      <c r="F41" s="1">
        <v>28</v>
      </c>
      <c r="G41" s="7">
        <v>0.2</v>
      </c>
      <c r="H41" s="1"/>
      <c r="I41" s="1"/>
      <c r="J41" s="1"/>
      <c r="K41" s="1">
        <v>49</v>
      </c>
      <c r="L41" s="1">
        <f t="shared" si="2"/>
        <v>0</v>
      </c>
      <c r="M41" s="1"/>
      <c r="N41" s="1"/>
      <c r="O41" s="1">
        <v>50</v>
      </c>
      <c r="P41" s="1">
        <v>80</v>
      </c>
      <c r="Q41" s="1">
        <f t="shared" si="4"/>
        <v>9.8000000000000007</v>
      </c>
      <c r="R41" s="5">
        <f t="shared" si="7"/>
        <v>38</v>
      </c>
      <c r="S41" s="5">
        <f>VLOOKUP(A41,заказ!A:B,2,0)</f>
        <v>40</v>
      </c>
      <c r="T41" s="1">
        <f t="shared" si="5"/>
        <v>20</v>
      </c>
      <c r="U41" s="1">
        <f t="shared" si="6"/>
        <v>16.122448979591837</v>
      </c>
      <c r="V41" s="1">
        <v>11.2</v>
      </c>
      <c r="W41" s="1">
        <v>10</v>
      </c>
      <c r="X41" s="1">
        <v>9.1999999999999993</v>
      </c>
      <c r="Y41" s="1">
        <v>5.6</v>
      </c>
      <c r="Z41" s="1">
        <v>3.8</v>
      </c>
      <c r="AA41" s="1">
        <v>15.2</v>
      </c>
      <c r="AB41" s="1"/>
      <c r="AC41" s="1">
        <f t="shared" si="3"/>
        <v>7.6000000000000005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69</v>
      </c>
      <c r="B42" s="1" t="s">
        <v>31</v>
      </c>
      <c r="C42" s="1">
        <v>19.059999999999999</v>
      </c>
      <c r="D42" s="1">
        <v>2.9119999999999999</v>
      </c>
      <c r="E42" s="1">
        <v>12.784000000000001</v>
      </c>
      <c r="F42" s="1">
        <v>6.2759999999999998</v>
      </c>
      <c r="G42" s="7">
        <v>1</v>
      </c>
      <c r="H42" s="1"/>
      <c r="I42" s="1"/>
      <c r="J42" s="1"/>
      <c r="K42" s="1">
        <v>30.1</v>
      </c>
      <c r="L42" s="1">
        <f t="shared" si="2"/>
        <v>-17.316000000000003</v>
      </c>
      <c r="M42" s="1"/>
      <c r="N42" s="1"/>
      <c r="O42" s="1">
        <v>45</v>
      </c>
      <c r="P42" s="1">
        <v>45</v>
      </c>
      <c r="Q42" s="1">
        <f t="shared" si="4"/>
        <v>2.5568</v>
      </c>
      <c r="R42" s="5"/>
      <c r="S42" s="5"/>
      <c r="T42" s="1">
        <f t="shared" si="5"/>
        <v>37.654881101376724</v>
      </c>
      <c r="U42" s="1">
        <f t="shared" si="6"/>
        <v>37.654881101376724</v>
      </c>
      <c r="V42" s="1">
        <v>5.3572000000000006</v>
      </c>
      <c r="W42" s="1">
        <v>0.70960000000000001</v>
      </c>
      <c r="X42" s="1">
        <v>0</v>
      </c>
      <c r="Y42" s="1">
        <v>1.8264</v>
      </c>
      <c r="Z42" s="1">
        <v>0</v>
      </c>
      <c r="AA42" s="1">
        <v>1.8675999999999999</v>
      </c>
      <c r="AB42" s="1"/>
      <c r="AC42" s="1">
        <f t="shared" si="3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70</v>
      </c>
      <c r="B43" s="1" t="s">
        <v>33</v>
      </c>
      <c r="C43" s="1">
        <v>93</v>
      </c>
      <c r="D43" s="1">
        <v>96</v>
      </c>
      <c r="E43" s="1">
        <v>60</v>
      </c>
      <c r="F43" s="1">
        <v>123</v>
      </c>
      <c r="G43" s="7">
        <v>0.2</v>
      </c>
      <c r="H43" s="1"/>
      <c r="I43" s="1"/>
      <c r="J43" s="1"/>
      <c r="K43" s="1">
        <v>66</v>
      </c>
      <c r="L43" s="1">
        <f t="shared" si="2"/>
        <v>-6</v>
      </c>
      <c r="M43" s="1"/>
      <c r="N43" s="1"/>
      <c r="O43" s="1"/>
      <c r="P43" s="1"/>
      <c r="Q43" s="1">
        <f t="shared" si="4"/>
        <v>12</v>
      </c>
      <c r="R43" s="5">
        <f t="shared" si="7"/>
        <v>117</v>
      </c>
      <c r="S43" s="5">
        <f>VLOOKUP(A43,заказ!A:B,2,0)</f>
        <v>120</v>
      </c>
      <c r="T43" s="1">
        <f t="shared" si="5"/>
        <v>20</v>
      </c>
      <c r="U43" s="1">
        <f t="shared" si="6"/>
        <v>10.25</v>
      </c>
      <c r="V43" s="1">
        <v>11</v>
      </c>
      <c r="W43" s="1">
        <v>12.8</v>
      </c>
      <c r="X43" s="1">
        <v>12.8</v>
      </c>
      <c r="Y43" s="1">
        <v>14.6</v>
      </c>
      <c r="Z43" s="1">
        <v>7.4</v>
      </c>
      <c r="AA43" s="1">
        <v>10.8</v>
      </c>
      <c r="AB43" s="1"/>
      <c r="AC43" s="1">
        <f t="shared" si="3"/>
        <v>23.400000000000002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71</v>
      </c>
      <c r="B44" s="1" t="s">
        <v>31</v>
      </c>
      <c r="C44" s="1"/>
      <c r="D44" s="1">
        <v>112.553</v>
      </c>
      <c r="E44" s="1">
        <v>10.587999999999999</v>
      </c>
      <c r="F44" s="1">
        <v>101.965</v>
      </c>
      <c r="G44" s="7">
        <v>1</v>
      </c>
      <c r="H44" s="1"/>
      <c r="I44" s="1"/>
      <c r="J44" s="1"/>
      <c r="K44" s="1">
        <v>8.5</v>
      </c>
      <c r="L44" s="1">
        <f t="shared" si="2"/>
        <v>2.0879999999999992</v>
      </c>
      <c r="M44" s="1"/>
      <c r="N44" s="1"/>
      <c r="O44" s="1"/>
      <c r="P44" s="1"/>
      <c r="Q44" s="1">
        <f t="shared" si="4"/>
        <v>2.1175999999999999</v>
      </c>
      <c r="R44" s="5"/>
      <c r="S44" s="5"/>
      <c r="T44" s="1">
        <f t="shared" si="5"/>
        <v>48.151208915753685</v>
      </c>
      <c r="U44" s="1">
        <f t="shared" si="6"/>
        <v>48.151208915753685</v>
      </c>
      <c r="V44" s="1">
        <v>0</v>
      </c>
      <c r="W44" s="1">
        <v>0.68840000000000001</v>
      </c>
      <c r="X44" s="1">
        <v>7.7816000000000001</v>
      </c>
      <c r="Y44" s="1">
        <v>9.8775999999999993</v>
      </c>
      <c r="Z44" s="1">
        <v>3.5659999999999998</v>
      </c>
      <c r="AA44" s="1">
        <v>4.8912000000000004</v>
      </c>
      <c r="AB44" s="1"/>
      <c r="AC44" s="1">
        <f t="shared" si="3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C44" xr:uid="{9782E081-0B81-4995-8F61-A8579BE61E2A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0B14-64F3-4E2A-894B-6D681593B2D9}">
  <dimension ref="A1:B9"/>
  <sheetViews>
    <sheetView workbookViewId="0">
      <selection activeCell="L12" sqref="L12"/>
    </sheetView>
  </sheetViews>
  <sheetFormatPr defaultRowHeight="15" x14ac:dyDescent="0.25"/>
  <sheetData>
    <row r="1" spans="1:2" x14ac:dyDescent="0.25">
      <c r="A1" t="s">
        <v>44</v>
      </c>
      <c r="B1">
        <v>480</v>
      </c>
    </row>
    <row r="2" spans="1:2" x14ac:dyDescent="0.25">
      <c r="A2" t="s">
        <v>45</v>
      </c>
      <c r="B2">
        <v>360</v>
      </c>
    </row>
    <row r="3" spans="1:2" x14ac:dyDescent="0.25">
      <c r="A3" t="s">
        <v>50</v>
      </c>
      <c r="B3">
        <v>40</v>
      </c>
    </row>
    <row r="4" spans="1:2" x14ac:dyDescent="0.25">
      <c r="A4" t="s">
        <v>58</v>
      </c>
      <c r="B4">
        <v>48</v>
      </c>
    </row>
    <row r="5" spans="1:2" x14ac:dyDescent="0.25">
      <c r="A5" t="s">
        <v>59</v>
      </c>
      <c r="B5">
        <v>48</v>
      </c>
    </row>
    <row r="6" spans="1:2" x14ac:dyDescent="0.25">
      <c r="A6" t="s">
        <v>64</v>
      </c>
      <c r="B6">
        <v>552</v>
      </c>
    </row>
    <row r="7" spans="1:2" x14ac:dyDescent="0.25">
      <c r="A7" t="s">
        <v>65</v>
      </c>
      <c r="B7">
        <v>48</v>
      </c>
    </row>
    <row r="8" spans="1:2" x14ac:dyDescent="0.25">
      <c r="A8" t="s">
        <v>68</v>
      </c>
      <c r="B8">
        <v>40</v>
      </c>
    </row>
    <row r="9" spans="1:2" x14ac:dyDescent="0.25">
      <c r="A9" t="s">
        <v>70</v>
      </c>
      <c r="B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2026-07-07T07:33:04Z</dcterms:created>
  <dcterms:modified xsi:type="dcterms:W3CDTF">2026-07-08T13:52:49Z</dcterms:modified>
</cp:coreProperties>
</file>