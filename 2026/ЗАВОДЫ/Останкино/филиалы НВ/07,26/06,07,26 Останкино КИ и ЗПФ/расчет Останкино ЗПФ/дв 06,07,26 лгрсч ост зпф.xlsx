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расчет Останкино ЗПФ\"/>
    </mc:Choice>
  </mc:AlternateContent>
  <xr:revisionPtr revIDLastSave="0" documentId="13_ncr:1_{007CA684-E77E-4589-B907-EC4FFFBBB5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3" i="1" l="1"/>
  <c r="R11" i="1"/>
  <c r="R13" i="1"/>
  <c r="R7" i="1"/>
  <c r="R9" i="1"/>
  <c r="S11" i="1"/>
  <c r="S13" i="1"/>
  <c r="S15" i="1"/>
  <c r="R6" i="1"/>
  <c r="P7" i="1"/>
  <c r="S7" i="1" s="1"/>
  <c r="P8" i="1"/>
  <c r="S8" i="1" s="1"/>
  <c r="P9" i="1"/>
  <c r="S9" i="1" s="1"/>
  <c r="P10" i="1"/>
  <c r="P11" i="1"/>
  <c r="P12" i="1"/>
  <c r="P13" i="1"/>
  <c r="P14" i="1"/>
  <c r="R14" i="1" s="1"/>
  <c r="P15" i="1"/>
  <c r="R15" i="1" s="1"/>
  <c r="P16" i="1"/>
  <c r="P6" i="1"/>
  <c r="S6" i="1" s="1"/>
  <c r="L16" i="1"/>
  <c r="V15" i="1"/>
  <c r="L15" i="1"/>
  <c r="V14" i="1"/>
  <c r="L14" i="1"/>
  <c r="L13" i="1"/>
  <c r="L12" i="1"/>
  <c r="L11" i="1"/>
  <c r="L10" i="1"/>
  <c r="V9" i="1"/>
  <c r="L9" i="1"/>
  <c r="V8" i="1"/>
  <c r="L8" i="1"/>
  <c r="V7" i="1"/>
  <c r="L7" i="1"/>
  <c r="V6" i="1"/>
  <c r="L6" i="1"/>
  <c r="L5" i="1" s="1"/>
  <c r="T5" i="1"/>
  <c r="O5" i="1"/>
  <c r="N5" i="1"/>
  <c r="M5" i="1"/>
  <c r="K5" i="1"/>
  <c r="F5" i="1"/>
  <c r="E5" i="1"/>
  <c r="R16" i="1" l="1"/>
  <c r="V16" i="1"/>
  <c r="V12" i="1"/>
  <c r="R12" i="1"/>
  <c r="R10" i="1"/>
  <c r="V10" i="1"/>
  <c r="S16" i="1"/>
  <c r="S14" i="1"/>
  <c r="S12" i="1"/>
  <c r="S10" i="1"/>
  <c r="R8" i="1"/>
  <c r="V11" i="1"/>
  <c r="Q5" i="1"/>
  <c r="P5" i="1"/>
  <c r="V5" i="1" l="1"/>
</calcChain>
</file>

<file path=xl/sharedStrings.xml><?xml version="1.0" encoding="utf-8"?>
<sst xmlns="http://schemas.openxmlformats.org/spreadsheetml/2006/main" count="50" uniqueCount="40">
  <si>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</si>
  <si>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</si>
  <si>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</si>
  <si>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</si>
  <si>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</si>
  <si>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</si>
  <si>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</si>
  <si>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</si>
  <si>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</si>
  <si>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</si>
  <si>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</si>
  <si>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</si>
  <si>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</si>
  <si>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</si>
  <si>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</si>
  <si>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</si>
  <si>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</si>
  <si>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</si>
  <si>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</si>
  <si>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</si>
  <si>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</si>
  <si>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нет</t>
  </si>
  <si>
    <t>06,07,</t>
  </si>
  <si>
    <t>29,06,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</si>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</sst>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5" sqref="AH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28515625" customWidth="1"/>
    <col min="16" max="17" width="7" customWidth="1"/>
    <col min="18" max="19" width="5" customWidth="1"/>
    <col min="20" max="20" width="6" customWidth="1"/>
    <col min="21" max="21" width="32.57031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38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39</v>
      </c>
      <c r="R4" s="1"/>
      <c r="S4" s="1"/>
      <c r="T4" s="1" t="s">
        <v>23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652</v>
      </c>
      <c r="F5" s="4">
        <f>SUM(F6:F500)</f>
        <v>1384.288</v>
      </c>
      <c r="G5" s="7"/>
      <c r="H5" s="1"/>
      <c r="I5" s="1"/>
      <c r="J5" s="1"/>
      <c r="K5" s="4">
        <f t="shared" ref="K5:Q5" si="0">SUM(K6:K500)</f>
        <v>1048.5</v>
      </c>
      <c r="L5" s="4">
        <f t="shared" si="0"/>
        <v>-396.5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130.39999999999998</v>
      </c>
      <c r="Q5" s="4">
        <f t="shared" si="0"/>
        <v>1090</v>
      </c>
      <c r="R5" s="1"/>
      <c r="S5" s="1"/>
      <c r="T5" s="4">
        <f>SUM(T6:T500)</f>
        <v>95.042399999999986</v>
      </c>
      <c r="U5" s="1"/>
      <c r="V5" s="4">
        <f>SUM(V6:V500)</f>
        <v>370.6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0" t="s">
        <v>24</v>
      </c>
      <c r="B6" s="1" t="s">
        <v>25</v>
      </c>
      <c r="C6" s="1"/>
      <c r="D6" s="1"/>
      <c r="E6" s="1"/>
      <c r="F6" s="1"/>
      <c r="G6" s="7">
        <v>0.42</v>
      </c>
      <c r="H6" s="1"/>
      <c r="I6" s="1"/>
      <c r="J6" s="1"/>
      <c r="K6" s="1">
        <v>71</v>
      </c>
      <c r="L6" s="1">
        <f t="shared" ref="L6:L16" si="1">E6-K6</f>
        <v>-71</v>
      </c>
      <c r="M6" s="1"/>
      <c r="N6" s="1"/>
      <c r="O6" s="1"/>
      <c r="P6" s="1">
        <f>E6/5</f>
        <v>0</v>
      </c>
      <c r="Q6" s="5">
        <v>50</v>
      </c>
      <c r="R6" s="1" t="e">
        <f>(F6+Q6)/P6</f>
        <v>#DIV/0!</v>
      </c>
      <c r="S6" s="1" t="e">
        <f>F6/P6</f>
        <v>#DIV/0!</v>
      </c>
      <c r="T6" s="1">
        <v>0</v>
      </c>
      <c r="U6" s="1"/>
      <c r="V6" s="1">
        <f t="shared" ref="V6:V16" si="2">G6*Q6</f>
        <v>21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0" t="s">
        <v>26</v>
      </c>
      <c r="B7" s="1" t="s">
        <v>27</v>
      </c>
      <c r="C7" s="1">
        <v>175.28800000000001</v>
      </c>
      <c r="D7" s="1"/>
      <c r="E7" s="1">
        <v>18</v>
      </c>
      <c r="F7" s="1">
        <v>157.28800000000001</v>
      </c>
      <c r="G7" s="7">
        <v>1</v>
      </c>
      <c r="H7" s="1"/>
      <c r="I7" s="1"/>
      <c r="J7" s="1"/>
      <c r="K7" s="1">
        <v>22.5</v>
      </c>
      <c r="L7" s="1">
        <f t="shared" si="1"/>
        <v>-4.5</v>
      </c>
      <c r="M7" s="1"/>
      <c r="N7" s="1"/>
      <c r="O7" s="1"/>
      <c r="P7" s="1">
        <f t="shared" ref="P7:P16" si="3">E7/5</f>
        <v>3.6</v>
      </c>
      <c r="Q7" s="5"/>
      <c r="R7" s="1">
        <f t="shared" ref="R7:R16" si="4">(F7+Q7)/P7</f>
        <v>43.691111111111113</v>
      </c>
      <c r="S7" s="1">
        <f t="shared" ref="S7:S16" si="5">F7/P7</f>
        <v>43.691111111111113</v>
      </c>
      <c r="T7" s="1">
        <v>6.3423999999999996</v>
      </c>
      <c r="U7" s="9" t="s">
        <v>29</v>
      </c>
      <c r="V7" s="1">
        <f t="shared" si="2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0" t="s">
        <v>28</v>
      </c>
      <c r="B8" s="1" t="s">
        <v>27</v>
      </c>
      <c r="C8" s="1">
        <v>315</v>
      </c>
      <c r="D8" s="1"/>
      <c r="E8" s="1">
        <v>9</v>
      </c>
      <c r="F8" s="1">
        <v>306</v>
      </c>
      <c r="G8" s="7">
        <v>1</v>
      </c>
      <c r="H8" s="1"/>
      <c r="I8" s="1"/>
      <c r="J8" s="1"/>
      <c r="K8" s="1">
        <v>9</v>
      </c>
      <c r="L8" s="1">
        <f t="shared" si="1"/>
        <v>0</v>
      </c>
      <c r="M8" s="1"/>
      <c r="N8" s="1"/>
      <c r="O8" s="1"/>
      <c r="P8" s="1">
        <f t="shared" si="3"/>
        <v>1.8</v>
      </c>
      <c r="Q8" s="5"/>
      <c r="R8" s="1">
        <f t="shared" si="4"/>
        <v>170</v>
      </c>
      <c r="S8" s="1">
        <f t="shared" si="5"/>
        <v>170</v>
      </c>
      <c r="T8" s="1">
        <v>0.9</v>
      </c>
      <c r="U8" s="9" t="s">
        <v>29</v>
      </c>
      <c r="V8" s="1">
        <f t="shared" si="2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30</v>
      </c>
      <c r="B9" s="1" t="s">
        <v>25</v>
      </c>
      <c r="C9" s="1"/>
      <c r="D9" s="1"/>
      <c r="E9" s="1"/>
      <c r="F9" s="1"/>
      <c r="G9" s="7">
        <v>0.42</v>
      </c>
      <c r="H9" s="1"/>
      <c r="I9" s="1"/>
      <c r="J9" s="1"/>
      <c r="K9" s="1">
        <v>93</v>
      </c>
      <c r="L9" s="1">
        <f t="shared" si="1"/>
        <v>-93</v>
      </c>
      <c r="M9" s="1"/>
      <c r="N9" s="1"/>
      <c r="O9" s="1"/>
      <c r="P9" s="1">
        <f t="shared" si="3"/>
        <v>0</v>
      </c>
      <c r="Q9" s="5">
        <v>80</v>
      </c>
      <c r="R9" s="1" t="e">
        <f t="shared" si="4"/>
        <v>#DIV/0!</v>
      </c>
      <c r="S9" s="1" t="e">
        <f t="shared" si="5"/>
        <v>#DIV/0!</v>
      </c>
      <c r="T9" s="1">
        <v>0</v>
      </c>
      <c r="U9" s="1"/>
      <c r="V9" s="1">
        <f t="shared" si="2"/>
        <v>33.6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0" t="s">
        <v>31</v>
      </c>
      <c r="B10" s="1" t="s">
        <v>25</v>
      </c>
      <c r="C10" s="1">
        <v>212</v>
      </c>
      <c r="D10" s="1"/>
      <c r="E10" s="1">
        <v>127</v>
      </c>
      <c r="F10" s="1">
        <v>85</v>
      </c>
      <c r="G10" s="7">
        <v>0.3</v>
      </c>
      <c r="H10" s="1"/>
      <c r="I10" s="1"/>
      <c r="J10" s="1"/>
      <c r="K10" s="1">
        <v>127</v>
      </c>
      <c r="L10" s="1">
        <f t="shared" si="1"/>
        <v>0</v>
      </c>
      <c r="M10" s="1"/>
      <c r="N10" s="1"/>
      <c r="O10" s="1"/>
      <c r="P10" s="1">
        <f t="shared" si="3"/>
        <v>25.4</v>
      </c>
      <c r="Q10" s="5">
        <v>270</v>
      </c>
      <c r="R10" s="1">
        <f t="shared" si="4"/>
        <v>13.976377952755906</v>
      </c>
      <c r="S10" s="1">
        <f t="shared" si="5"/>
        <v>3.3464566929133861</v>
      </c>
      <c r="T10" s="1">
        <v>14.6</v>
      </c>
      <c r="U10" s="1"/>
      <c r="V10" s="1">
        <f t="shared" si="2"/>
        <v>81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32</v>
      </c>
      <c r="B11" s="1" t="s">
        <v>25</v>
      </c>
      <c r="C11" s="1">
        <v>380</v>
      </c>
      <c r="D11" s="1"/>
      <c r="E11" s="1">
        <v>123</v>
      </c>
      <c r="F11" s="1">
        <v>257</v>
      </c>
      <c r="G11" s="7">
        <v>0.3</v>
      </c>
      <c r="H11" s="1"/>
      <c r="I11" s="1"/>
      <c r="J11" s="1"/>
      <c r="K11" s="1">
        <v>121</v>
      </c>
      <c r="L11" s="1">
        <f t="shared" si="1"/>
        <v>2</v>
      </c>
      <c r="M11" s="1"/>
      <c r="N11" s="1"/>
      <c r="O11" s="1"/>
      <c r="P11" s="1">
        <f t="shared" si="3"/>
        <v>24.6</v>
      </c>
      <c r="Q11" s="5">
        <v>90</v>
      </c>
      <c r="R11" s="1">
        <f t="shared" si="4"/>
        <v>14.105691056910569</v>
      </c>
      <c r="S11" s="1">
        <f t="shared" si="5"/>
        <v>10.447154471544716</v>
      </c>
      <c r="T11" s="1">
        <v>11.4</v>
      </c>
      <c r="U11" s="1"/>
      <c r="V11" s="1">
        <f t="shared" si="2"/>
        <v>27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33</v>
      </c>
      <c r="B12" s="1" t="s">
        <v>25</v>
      </c>
      <c r="C12" s="1">
        <v>325</v>
      </c>
      <c r="D12" s="1"/>
      <c r="E12" s="1">
        <v>127</v>
      </c>
      <c r="F12" s="1">
        <v>198</v>
      </c>
      <c r="G12" s="7">
        <v>0.35</v>
      </c>
      <c r="H12" s="1"/>
      <c r="I12" s="1"/>
      <c r="J12" s="1"/>
      <c r="K12" s="1">
        <v>125</v>
      </c>
      <c r="L12" s="1">
        <f t="shared" si="1"/>
        <v>2</v>
      </c>
      <c r="M12" s="1"/>
      <c r="N12" s="1"/>
      <c r="O12" s="1"/>
      <c r="P12" s="1">
        <f t="shared" si="3"/>
        <v>25.4</v>
      </c>
      <c r="Q12" s="5">
        <v>160</v>
      </c>
      <c r="R12" s="1">
        <f t="shared" si="4"/>
        <v>14.09448818897638</v>
      </c>
      <c r="S12" s="1">
        <f t="shared" si="5"/>
        <v>7.7952755905511815</v>
      </c>
      <c r="T12" s="1">
        <v>12.4</v>
      </c>
      <c r="U12" s="1"/>
      <c r="V12" s="1">
        <f t="shared" si="2"/>
        <v>56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0" t="s">
        <v>34</v>
      </c>
      <c r="B13" s="1" t="s">
        <v>25</v>
      </c>
      <c r="C13" s="1">
        <v>226</v>
      </c>
      <c r="D13" s="1"/>
      <c r="E13" s="1">
        <v>142</v>
      </c>
      <c r="F13" s="1">
        <v>84</v>
      </c>
      <c r="G13" s="7">
        <v>0.3</v>
      </c>
      <c r="H13" s="1"/>
      <c r="I13" s="1"/>
      <c r="J13" s="1"/>
      <c r="K13" s="1">
        <v>142</v>
      </c>
      <c r="L13" s="1">
        <f t="shared" si="1"/>
        <v>0</v>
      </c>
      <c r="M13" s="1"/>
      <c r="N13" s="1"/>
      <c r="O13" s="1"/>
      <c r="P13" s="1">
        <f t="shared" si="3"/>
        <v>28.4</v>
      </c>
      <c r="Q13" s="5">
        <v>290</v>
      </c>
      <c r="R13" s="1">
        <f t="shared" si="4"/>
        <v>13.169014084507042</v>
      </c>
      <c r="S13" s="1">
        <f t="shared" si="5"/>
        <v>2.9577464788732395</v>
      </c>
      <c r="T13" s="1">
        <v>8.6</v>
      </c>
      <c r="U13" s="1"/>
      <c r="V13" s="1">
        <f t="shared" si="2"/>
        <v>87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0" t="s">
        <v>35</v>
      </c>
      <c r="B14" s="1" t="s">
        <v>25</v>
      </c>
      <c r="C14" s="1">
        <v>348</v>
      </c>
      <c r="D14" s="1"/>
      <c r="E14" s="1">
        <v>83</v>
      </c>
      <c r="F14" s="1">
        <v>262</v>
      </c>
      <c r="G14" s="7">
        <v>0.35</v>
      </c>
      <c r="H14" s="1"/>
      <c r="I14" s="1"/>
      <c r="J14" s="1"/>
      <c r="K14" s="1">
        <v>83</v>
      </c>
      <c r="L14" s="1">
        <f t="shared" si="1"/>
        <v>0</v>
      </c>
      <c r="M14" s="1"/>
      <c r="N14" s="1"/>
      <c r="O14" s="1"/>
      <c r="P14" s="1">
        <f t="shared" si="3"/>
        <v>16.600000000000001</v>
      </c>
      <c r="Q14" s="5"/>
      <c r="R14" s="1">
        <f t="shared" si="4"/>
        <v>15.783132530120481</v>
      </c>
      <c r="S14" s="1">
        <f t="shared" si="5"/>
        <v>15.783132530120481</v>
      </c>
      <c r="T14" s="1">
        <v>14.4</v>
      </c>
      <c r="U14" s="1"/>
      <c r="V14" s="1">
        <f t="shared" si="2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36</v>
      </c>
      <c r="B15" s="1" t="s">
        <v>25</v>
      </c>
      <c r="C15" s="1"/>
      <c r="D15" s="1"/>
      <c r="E15" s="1"/>
      <c r="F15" s="1"/>
      <c r="G15" s="7">
        <v>0.3</v>
      </c>
      <c r="H15" s="1"/>
      <c r="I15" s="1"/>
      <c r="J15" s="1"/>
      <c r="K15" s="1">
        <v>127</v>
      </c>
      <c r="L15" s="1">
        <f t="shared" si="1"/>
        <v>-127</v>
      </c>
      <c r="M15" s="1"/>
      <c r="N15" s="1"/>
      <c r="O15" s="1"/>
      <c r="P15" s="1">
        <f t="shared" si="3"/>
        <v>0</v>
      </c>
      <c r="Q15" s="5">
        <v>100</v>
      </c>
      <c r="R15" s="1" t="e">
        <f t="shared" si="4"/>
        <v>#DIV/0!</v>
      </c>
      <c r="S15" s="1" t="e">
        <f t="shared" si="5"/>
        <v>#DIV/0!</v>
      </c>
      <c r="T15" s="1">
        <v>0</v>
      </c>
      <c r="U15" s="1"/>
      <c r="V15" s="1">
        <f t="shared" si="2"/>
        <v>30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37</v>
      </c>
      <c r="B16" s="1" t="s">
        <v>25</v>
      </c>
      <c r="C16" s="1">
        <v>61</v>
      </c>
      <c r="D16" s="1"/>
      <c r="E16" s="1">
        <v>23</v>
      </c>
      <c r="F16" s="1">
        <v>35</v>
      </c>
      <c r="G16" s="7">
        <v>0.7</v>
      </c>
      <c r="H16" s="1"/>
      <c r="I16" s="1"/>
      <c r="J16" s="1"/>
      <c r="K16" s="1">
        <v>128</v>
      </c>
      <c r="L16" s="1">
        <f t="shared" si="1"/>
        <v>-105</v>
      </c>
      <c r="M16" s="1"/>
      <c r="N16" s="1"/>
      <c r="O16" s="1"/>
      <c r="P16" s="1">
        <f t="shared" si="3"/>
        <v>4.5999999999999996</v>
      </c>
      <c r="Q16" s="5">
        <v>50</v>
      </c>
      <c r="R16" s="1">
        <f t="shared" si="4"/>
        <v>18.478260869565219</v>
      </c>
      <c r="S16" s="1">
        <f t="shared" si="5"/>
        <v>7.608695652173914</v>
      </c>
      <c r="T16" s="1">
        <v>26.4</v>
      </c>
      <c r="U16" s="1"/>
      <c r="V16" s="1">
        <f t="shared" si="2"/>
        <v>35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2026-07-06T13:24:47Z</dcterms:created>
  <dcterms:modified xsi:type="dcterms:W3CDTF">2026-07-08T10:45:49Z</dcterms:modified>
</cp:coreProperties>
</file>