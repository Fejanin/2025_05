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E339B717-92B7-40F1-B6A2-F920188FC2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Бланк!$A$9:$J$164</definedName>
    <definedName name="кол_во_инд.__упак_к">Бланк!$AC$3:$AC$600</definedName>
    <definedName name="номин.вес_нетто__кг">Бланк!$W$3:$W$600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4" i="1" l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4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<sst xmlns="http://schemas.openxmlformats.org/spreadsheetml/2006/main" count="651" uniqueCount="224">
  <si>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</si>
  <si>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</si>
  <si>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</si>
  <si>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</si>
  <si>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</si>
  <si>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</si>
  <si>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</si>
  <si>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>130439104 ООО "НОВОЕ ВРЕМЯ"  Мариуполь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</si>
  <si>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</si>
  <si>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</si>
  <si>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</si>
  <si>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</si>
  <si>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</si>
  <si>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</si>
  <si>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</si>
  <si>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</si>
  <si>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</si>
  <si>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</si>
  <si>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</si>
  <si>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</si>
  <si>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</si>
  <si>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</si>
  <si>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</si>
  <si>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</si>
  <si>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</si>
  <si>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</si>
  <si>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</si>
  <si>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</si>
  <si>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</si>
  <si>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</si>
  <si>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</si>
  <si>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</si>
  <si>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</si>
  <si>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</si>
  <si>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</si>
  <si>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</si>
  <si>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</si>
  <si>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</si>
  <si>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</si>
  <si>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</si>
  <si>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</si>
  <si>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</si>
  <si>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</si>
  <si>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 8шт.</t>
  </si>
  <si>
    <t>ЭКСТРА Папа может вар п/о.</t>
  </si>
  <si>
    <t>ЭКСТРА Папа может вар п/о 0.4кг 8шт_195к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</si>
  <si>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</si>
  <si>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</si>
  <si>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</si>
  <si>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</si>
  <si>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</si>
  <si>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</si>
  <si>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РУССКАЯ ПРЕМИУМ ПМ вар п/о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</si>
  <si>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</si>
  <si>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</si>
  <si>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</si>
  <si>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</si>
  <si>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</si>
  <si>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 xml:space="preserve"> БАВАРСКИЕ ПМ сос ц/о мгс 0.35кг 8шт.</t>
  </si>
  <si>
    <t>ДЛЯ ДЕТЕЙ сос п/о мгс 0,33кг 6шт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</si>
  <si>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</si>
  <si>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</si>
  <si>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</si>
  <si>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</si>
  <si>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</si>
  <si>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</si>
  <si>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</si>
  <si>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</si>
  <si>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</si>
  <si>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</si>
  <si>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</si>
  <si>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</si>
  <si>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</si>
  <si>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</si>
  <si>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</si>
  <si>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</si>
  <si>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</si>
  <si>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</si>
  <si>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</si>
  <si>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</si>
  <si>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</si>
  <si>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</si>
  <si>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</si>
  <si>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</si>
  <si>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</si>
  <si>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</si>
  <si>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</si>
  <si>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1,5*4_Маяк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</si>
  <si>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</si>
  <si>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</si>
  <si>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</si>
  <si>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</si>
  <si>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</si>
  <si>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</si>
  <si>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</si>
  <si>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</si>
  <si>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</si>
  <si>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 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</si>
  <si>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</si>
  <si>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</si>
  <si>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</si>
  <si>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</si>
  <si>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</si>
  <si>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</si>
  <si>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</si>
  <si>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</si>
  <si>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</si>
  <si>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</si>
  <si>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</si>
  <si>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</si>
  <si>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</si>
  <si>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</si>
  <si>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</si>
  <si>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</si>
  <si>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</si>
  <si>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</si>
  <si>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</si>
  <si>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</si>
  <si>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</si>
  <si>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</si>
  <si>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</si>
  <si>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</si>
  <si>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</si>
  <si>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</si>
  <si>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</si>
  <si>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</si>
  <si>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 в/к с/н в/у 1/100*10</t>
  </si>
  <si>
    <t>СЕРВЕЛАТ БАВАРСКИЙ в/к с/н в/у 1/100*10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</si>
  <si>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</si>
  <si>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</si>
  <si>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</si>
  <si>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</si>
  <si>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</si>
  <si>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</si>
  <si>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1/250*8_120c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</si>
  <si>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</si>
  <si>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</si>
  <si>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</si>
  <si>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</si>
  <si>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</si>
  <si>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</si>
  <si>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</si>
  <si>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</si>
  <si>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</si>
  <si>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</si>
  <si>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</si>
  <si>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</si>
  <si>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</si>
  <si>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</si>
  <si>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АССОРТИ СЫРОКОПЧЕНЫХ КОЛБАС Коровино в/у</t>
  </si>
  <si>
    <t>НАБОР ДЛЯ ПИЦЦЫ Папа Может с/к в/у</t>
  </si>
  <si>
    <t>НАБОР ДЛЯ ПИЦЦЫ с/к с/н мгс 3*3_HRC</t>
  </si>
  <si>
    <t>БАРСЕЛОНА ПМ с/к в/у 1/150</t>
  </si>
  <si>
    <t>АРОМАТНАЯ с/к с/н в/у 1/100*8_60с</t>
  </si>
  <si>
    <t>ПОСОЛЬСКАЯ ПМ с/к с/н в/у 1/100 10шт</t>
  </si>
  <si>
    <t>САЛЯМИ МЕЛКОЗЕРНЕНАЯ с/к в/у 1/120 8шт.</t>
  </si>
  <si>
    <t>ЭКСТРА Папа может с/к с/н в/у 1/100_60с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</si>
  <si>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</si>
  <si>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</si>
  <si>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</si>
  <si>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</si>
  <si>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</si>
  <si>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</si>
  <si>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</si>
  <si>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</si>
  <si>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</si>
  <si>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</si>
  <si>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</si>
  <si>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</si>
  <si>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</si>
  <si>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</si>
  <si>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</si>
  <si>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ВЕТЧ.КЛАССИЧЕСКАЯ в/у 0.6кг 8шт.</t>
  </si>
  <si>
    <t>ВЕТЧ.ФИРМЕННАЯ С ИНДЕЙКОЙ п/о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</si>
  <si>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</si>
  <si>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</si>
  <si>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</si>
  <si>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РЕБРЫШКИ к/в в/у_30c</t>
  </si>
  <si>
    <t>САЛО СОЛЕНОЕ С ЧЕРНЫМ ПЕРЦЕМ мл/к в/у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</si>
  <si>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</si>
  <si>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</si>
  <si>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</si>
  <si>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</si>
  <si>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</si>
  <si>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</si>
  <si>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</si>
  <si>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10шт.</t>
  </si>
  <si>
    <t>ВСЕГО:</t>
  </si>
  <si>
    <t>Новинка, ротация</t>
  </si>
  <si>
    <t>ФИЛЕЙНАЯ Папа может вар п/о 0.4кг</t>
  </si>
  <si>
    <t>ЭКСТРА Папа может вар п/о</t>
  </si>
  <si>
    <t>ЭКСТРА Папа может вар п/о 0.4кг 8шт.</t>
  </si>
  <si>
    <t>Ротация на код 7632</t>
  </si>
  <si>
    <t xml:space="preserve">ВЕТЧ.КЛАССИЧЕСКАЯ в/у 0.6кг 8шт. </t>
  </si>
  <si>
    <t>Копчености в/к</t>
  </si>
  <si>
    <t>Копченые колбасы</t>
  </si>
  <si>
    <t>Нарезка в/к колбас</t>
  </si>
  <si>
    <t>Ротация на код 7608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</si>
  <si>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</si>
  <si>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</si>
  <si>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</si>
  <si>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</si>
  <si>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БАЛЫК с/к с/н в/у 1/100 10шт_Л11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</si>
  <si>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</si>
  <si>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</si>
  <si>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</si>
  <si>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</si>
  <si>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</si>
  <si>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</si>
  <si>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</si>
  <si>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</si>
  <si>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ОХОТНИЧЬЯ ПМ с/к с/н в/у 1/100 10шт.</t>
  </si>
  <si>
    <t>Ротация на код 7626</t>
  </si>
  <si>
    <t>С/к колбасы</t>
  </si>
  <si>
    <t>САЛЯМИ ИТАЛЬЯНСКАЯ с/к в/у 1/250*8_120с</t>
  </si>
  <si>
    <t>МЯСНЫЕ Папа может сар б/о мгс 1*3_О_45с</t>
  </si>
  <si>
    <t>ШПИКАЧКИ СОЧНЫЕ ПМ сар б/о мгс 1*3_45с</t>
  </si>
  <si>
    <t>БАВАРСКИЕ ПМ сос ц/о мгс 0.35кг 8шт.</t>
  </si>
  <si>
    <t>ДЛЯ ДЕТЕЙ сос п/о мгс 0.33кг 6шт.</t>
  </si>
  <si>
    <t xml:space="preserve">ДЛЯ ДЕТЕЙ Папа может сос п/о мгс 0.33кг </t>
  </si>
  <si>
    <t>МОЛОЧНЫЕ КЛАССИЧЕСКИЕ сос п/о мгс 2*4_С</t>
  </si>
  <si>
    <t>МЯСНЫЕ Папа может сос п/о мгс 1.5*3</t>
  </si>
  <si>
    <t>СОЧНЫЙ ГРИЛЬ ПМ сос п/о мгс 1.5*4_Маяк</t>
  </si>
  <si>
    <t>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</si>
</sst>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88"/>
  <sheetViews>
    <sheetView tabSelected="1" zoomScale="85" zoomScaleNormal="85" workbookViewId="0">
      <pane ySplit="9" topLeftCell="A161" activePane="bottomLeft" state="frozen"/>
      <selection pane="bottomLeft" activeCell="G4" sqref="G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26.710937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67" width="8.85546875" customWidth="1"/>
  </cols>
  <sheetData>
    <row r="1" spans="1:12" ht="27" customHeight="1" thickTop="1" thickBot="1" x14ac:dyDescent="0.3">
      <c r="C1" s="1" t="s">
        <v>0</v>
      </c>
      <c r="D1" s="100">
        <v>130438119</v>
      </c>
      <c r="E1" s="102" t="s">
        <v>1</v>
      </c>
      <c r="F1" s="103"/>
      <c r="G1" s="103"/>
      <c r="H1" s="103"/>
      <c r="I1" s="103"/>
      <c r="J1" s="104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32"/>
      <c r="C3" s="7" t="s">
        <v>4</v>
      </c>
      <c r="D3" s="101">
        <v>46214</v>
      </c>
      <c r="E3" s="7" t="s">
        <v>5</v>
      </c>
      <c r="F3" s="101">
        <f>D3+3</f>
        <v>46217</v>
      </c>
      <c r="G3" s="105" t="s">
        <v>223</v>
      </c>
      <c r="H3" s="103"/>
      <c r="I3" s="103"/>
      <c r="J3" s="104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7" t="s">
        <v>8</v>
      </c>
      <c r="D5" s="38"/>
      <c r="E5" s="8"/>
      <c r="F5" s="8"/>
      <c r="G5" s="8"/>
      <c r="H5" s="22"/>
      <c r="I5" s="22"/>
      <c r="K5" s="27" t="str">
        <f>LEFT(L5,9)</f>
        <v/>
      </c>
    </row>
    <row r="6" spans="1:12" ht="15.75" customHeight="1" thickBot="1" x14ac:dyDescent="0.3">
      <c r="D6" s="39" t="s">
        <v>9</v>
      </c>
      <c r="E6" s="9"/>
      <c r="F6" s="10"/>
      <c r="G6" s="10"/>
      <c r="H6" s="22"/>
      <c r="I6" s="22"/>
      <c r="K6" s="27" t="str">
        <f>LEFT(L6,9)</f>
        <v/>
      </c>
    </row>
    <row r="7" spans="1:12" ht="19.5" customHeight="1" thickTop="1" thickBot="1" x14ac:dyDescent="0.3">
      <c r="B7" s="33" t="s">
        <v>10</v>
      </c>
      <c r="D7" s="38" t="s">
        <v>11</v>
      </c>
      <c r="E7" s="11" t="s">
        <v>12</v>
      </c>
      <c r="F7" s="25"/>
      <c r="G7" s="25"/>
      <c r="H7" s="25"/>
      <c r="I7" s="25"/>
      <c r="J7" s="25"/>
      <c r="K7" s="27" t="str">
        <f>LEFT(L7,9)</f>
        <v/>
      </c>
    </row>
    <row r="8" spans="1:12" ht="16.5" customHeight="1" thickTop="1" thickBot="1" x14ac:dyDescent="0.3"/>
    <row r="9" spans="1:12" s="13" customFormat="1" ht="47.25" customHeight="1" thickTop="1" thickBot="1" x14ac:dyDescent="0.3">
      <c r="A9" s="46" t="s">
        <v>13</v>
      </c>
      <c r="B9" s="44" t="s">
        <v>14</v>
      </c>
      <c r="C9" s="12" t="s">
        <v>15</v>
      </c>
      <c r="D9" s="34" t="s">
        <v>16</v>
      </c>
      <c r="E9" s="26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30" t="s">
        <v>22</v>
      </c>
      <c r="K9" s="28"/>
    </row>
    <row r="10" spans="1:12" ht="16.5" customHeight="1" thickTop="1" thickBot="1" x14ac:dyDescent="0.3">
      <c r="A10" s="47"/>
      <c r="B10" s="42" t="s">
        <v>23</v>
      </c>
      <c r="C10" s="42"/>
      <c r="D10" s="42"/>
      <c r="E10" s="42"/>
      <c r="F10" s="41"/>
      <c r="G10" s="42"/>
      <c r="H10" s="42"/>
      <c r="I10" s="42"/>
      <c r="J10" s="43"/>
    </row>
    <row r="11" spans="1:12" s="15" customFormat="1" ht="16.5" customHeight="1" thickTop="1" x14ac:dyDescent="0.25">
      <c r="A11" s="54" t="str">
        <f t="shared" ref="A11:A36" si="0">RIGHT(D11,4)</f>
        <v>7523</v>
      </c>
      <c r="B11" s="53" t="s">
        <v>24</v>
      </c>
      <c r="C11" s="50" t="s">
        <v>25</v>
      </c>
      <c r="D11" s="51">
        <v>1001012427523</v>
      </c>
      <c r="E11" s="24">
        <v>12</v>
      </c>
      <c r="F11" s="23">
        <v>0.4</v>
      </c>
      <c r="G11" s="23">
        <f>E11*F11</f>
        <v>4.8000000000000007</v>
      </c>
      <c r="H11" s="14">
        <v>2.4</v>
      </c>
      <c r="I11" s="14">
        <v>60</v>
      </c>
      <c r="J11" s="52" t="s">
        <v>26</v>
      </c>
      <c r="K11" s="27"/>
    </row>
    <row r="12" spans="1:12" s="15" customFormat="1" ht="16.5" customHeight="1" x14ac:dyDescent="0.25">
      <c r="A12" s="54" t="str">
        <f t="shared" si="0"/>
        <v>6220</v>
      </c>
      <c r="B12" s="53" t="s">
        <v>27</v>
      </c>
      <c r="C12" s="50" t="s">
        <v>28</v>
      </c>
      <c r="D12" s="51">
        <v>1001012426220</v>
      </c>
      <c r="E12" s="24">
        <v>90</v>
      </c>
      <c r="F12" s="23">
        <v>1.35</v>
      </c>
      <c r="G12" s="23">
        <f>E12</f>
        <v>90</v>
      </c>
      <c r="H12" s="14">
        <v>4.05</v>
      </c>
      <c r="I12" s="14">
        <v>60</v>
      </c>
      <c r="J12" s="29"/>
      <c r="K12" s="27"/>
    </row>
    <row r="13" spans="1:12" s="15" customFormat="1" ht="16.5" customHeight="1" x14ac:dyDescent="0.25">
      <c r="A13" s="54" t="str">
        <f t="shared" si="0"/>
        <v>7539</v>
      </c>
      <c r="B13" s="53" t="s">
        <v>29</v>
      </c>
      <c r="C13" s="50" t="s">
        <v>25</v>
      </c>
      <c r="D13" s="51">
        <v>1001010017539</v>
      </c>
      <c r="E13" s="24"/>
      <c r="F13" s="23">
        <v>0.35</v>
      </c>
      <c r="G13" s="23">
        <f>E13*F13</f>
        <v>0</v>
      </c>
      <c r="H13" s="14">
        <v>2.8</v>
      </c>
      <c r="I13" s="14">
        <v>60</v>
      </c>
      <c r="J13" s="52" t="s">
        <v>30</v>
      </c>
      <c r="K13" s="27"/>
    </row>
    <row r="14" spans="1:12" s="15" customFormat="1" ht="16.5" customHeight="1" x14ac:dyDescent="0.25">
      <c r="A14" s="54" t="str">
        <f t="shared" si="0"/>
        <v>7536</v>
      </c>
      <c r="B14" s="53" t="s">
        <v>31</v>
      </c>
      <c r="C14" s="50" t="s">
        <v>28</v>
      </c>
      <c r="D14" s="51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52" t="s">
        <v>32</v>
      </c>
      <c r="K14" s="27"/>
    </row>
    <row r="15" spans="1:12" s="15" customFormat="1" ht="16.5" customHeight="1" x14ac:dyDescent="0.25">
      <c r="A15" s="54" t="str">
        <f t="shared" si="0"/>
        <v>6340</v>
      </c>
      <c r="B15" s="53" t="s">
        <v>33</v>
      </c>
      <c r="C15" s="50" t="s">
        <v>25</v>
      </c>
      <c r="D15" s="51">
        <v>1001012816340</v>
      </c>
      <c r="E15" s="24"/>
      <c r="F15" s="23">
        <v>0.5</v>
      </c>
      <c r="G15" s="23">
        <f>E15*F15</f>
        <v>0</v>
      </c>
      <c r="H15" s="14">
        <v>4</v>
      </c>
      <c r="I15" s="14">
        <v>60</v>
      </c>
      <c r="J15" s="29"/>
      <c r="K15" s="27"/>
    </row>
    <row r="16" spans="1:12" ht="16.5" customHeight="1" x14ac:dyDescent="0.25">
      <c r="A16" s="54" t="str">
        <f t="shared" si="0"/>
        <v>6861</v>
      </c>
      <c r="B16" s="53" t="s">
        <v>34</v>
      </c>
      <c r="C16" s="50" t="s">
        <v>28</v>
      </c>
      <c r="D16" s="51">
        <v>1001015646861</v>
      </c>
      <c r="E16" s="24"/>
      <c r="F16" s="23">
        <v>1.95</v>
      </c>
      <c r="G16" s="23">
        <f>E16</f>
        <v>0</v>
      </c>
      <c r="H16" s="14">
        <v>3.9</v>
      </c>
      <c r="I16" s="14">
        <v>60</v>
      </c>
      <c r="J16" s="29"/>
    </row>
    <row r="17" spans="1:10" ht="16.5" customHeight="1" x14ac:dyDescent="0.25">
      <c r="A17" s="54" t="str">
        <f t="shared" si="0"/>
        <v>6862</v>
      </c>
      <c r="B17" s="53" t="s">
        <v>35</v>
      </c>
      <c r="C17" s="50" t="s">
        <v>28</v>
      </c>
      <c r="D17" s="51">
        <v>1001015706862</v>
      </c>
      <c r="E17" s="24"/>
      <c r="F17" s="23">
        <v>1.95</v>
      </c>
      <c r="G17" s="23">
        <f>E17</f>
        <v>0</v>
      </c>
      <c r="H17" s="14">
        <v>3.9</v>
      </c>
      <c r="I17" s="14">
        <v>60</v>
      </c>
      <c r="J17" s="29"/>
    </row>
    <row r="18" spans="1:10" ht="16.5" customHeight="1" x14ac:dyDescent="0.25">
      <c r="A18" s="54" t="str">
        <f t="shared" si="0"/>
        <v>6341</v>
      </c>
      <c r="B18" s="53" t="s">
        <v>36</v>
      </c>
      <c r="C18" s="50" t="s">
        <v>25</v>
      </c>
      <c r="D18" s="51">
        <v>1001012816341</v>
      </c>
      <c r="E18" s="24"/>
      <c r="F18" s="23">
        <v>0.5</v>
      </c>
      <c r="G18" s="23">
        <f>E18*F18</f>
        <v>0</v>
      </c>
      <c r="H18" s="14">
        <v>4</v>
      </c>
      <c r="I18" s="14">
        <v>60</v>
      </c>
      <c r="J18" s="29"/>
    </row>
    <row r="19" spans="1:10" ht="16.5" customHeight="1" x14ac:dyDescent="0.25">
      <c r="A19" s="54" t="str">
        <f t="shared" si="0"/>
        <v>6498</v>
      </c>
      <c r="B19" s="53" t="s">
        <v>37</v>
      </c>
      <c r="C19" s="50" t="s">
        <v>28</v>
      </c>
      <c r="D19" s="51">
        <v>1001012456498</v>
      </c>
      <c r="E19" s="24">
        <v>6</v>
      </c>
      <c r="F19" s="23">
        <v>1</v>
      </c>
      <c r="G19" s="23">
        <f>E19</f>
        <v>6</v>
      </c>
      <c r="H19" s="14">
        <v>4</v>
      </c>
      <c r="I19" s="14">
        <v>60</v>
      </c>
      <c r="J19" s="29"/>
    </row>
    <row r="20" spans="1:10" ht="16.5" customHeight="1" x14ac:dyDescent="0.25">
      <c r="A20" s="54" t="str">
        <f t="shared" si="0"/>
        <v>4063</v>
      </c>
      <c r="B20" s="53" t="s">
        <v>38</v>
      </c>
      <c r="C20" s="50" t="s">
        <v>28</v>
      </c>
      <c r="D20" s="51">
        <v>1001012484063</v>
      </c>
      <c r="E20" s="24">
        <v>160</v>
      </c>
      <c r="F20" s="23">
        <v>1.35</v>
      </c>
      <c r="G20" s="23">
        <f>E20</f>
        <v>160</v>
      </c>
      <c r="H20" s="14">
        <v>4.05</v>
      </c>
      <c r="I20" s="14">
        <v>60</v>
      </c>
      <c r="J20" s="29"/>
    </row>
    <row r="21" spans="1:10" ht="16.5" customHeight="1" x14ac:dyDescent="0.25">
      <c r="A21" s="54" t="str">
        <f t="shared" si="0"/>
        <v>6333</v>
      </c>
      <c r="B21" s="53" t="s">
        <v>39</v>
      </c>
      <c r="C21" s="50" t="s">
        <v>25</v>
      </c>
      <c r="D21" s="51">
        <v>1001012486333</v>
      </c>
      <c r="E21" s="24">
        <v>91</v>
      </c>
      <c r="F21" s="23">
        <v>0.4</v>
      </c>
      <c r="G21" s="23">
        <f>E21*F21</f>
        <v>36.4</v>
      </c>
      <c r="H21" s="14">
        <v>3.2</v>
      </c>
      <c r="I21" s="14">
        <v>60</v>
      </c>
      <c r="J21" s="29"/>
    </row>
    <row r="22" spans="1:10" ht="16.5" customHeight="1" x14ac:dyDescent="0.25">
      <c r="A22" s="54" t="str">
        <f t="shared" si="0"/>
        <v>4574</v>
      </c>
      <c r="B22" s="53" t="s">
        <v>40</v>
      </c>
      <c r="C22" s="50" t="s">
        <v>28</v>
      </c>
      <c r="D22" s="51">
        <v>1001012634574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54" t="str">
        <f t="shared" si="0"/>
        <v>7334</v>
      </c>
      <c r="B23" s="53" t="s">
        <v>41</v>
      </c>
      <c r="C23" s="50" t="s">
        <v>25</v>
      </c>
      <c r="D23" s="51">
        <v>1001012637334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54" t="str">
        <f t="shared" si="0"/>
        <v>4813</v>
      </c>
      <c r="B24" s="53" t="s">
        <v>42</v>
      </c>
      <c r="C24" s="50" t="s">
        <v>28</v>
      </c>
      <c r="D24" s="51">
        <v>1001012564813</v>
      </c>
      <c r="E24" s="24">
        <v>10</v>
      </c>
      <c r="F24" s="55">
        <v>1.35</v>
      </c>
      <c r="G24" s="23">
        <f>E24</f>
        <v>10</v>
      </c>
      <c r="H24" s="29">
        <v>4.05</v>
      </c>
      <c r="I24" s="29">
        <v>60</v>
      </c>
      <c r="J24" s="29"/>
    </row>
    <row r="25" spans="1:10" ht="16.5" customHeight="1" x14ac:dyDescent="0.25">
      <c r="A25" s="54" t="str">
        <f t="shared" si="0"/>
        <v>6392</v>
      </c>
      <c r="B25" s="53" t="s">
        <v>43</v>
      </c>
      <c r="C25" s="50" t="s">
        <v>25</v>
      </c>
      <c r="D25" s="51">
        <v>1001012566392</v>
      </c>
      <c r="E25" s="24">
        <v>172</v>
      </c>
      <c r="F25" s="55">
        <v>0.4</v>
      </c>
      <c r="G25" s="23">
        <f>E25*F25</f>
        <v>68.8</v>
      </c>
      <c r="H25" s="29">
        <v>3.2</v>
      </c>
      <c r="I25" s="29">
        <v>60</v>
      </c>
      <c r="J25" s="29"/>
    </row>
    <row r="26" spans="1:10" ht="16.5" customHeight="1" x14ac:dyDescent="0.25">
      <c r="A26" s="54" t="str">
        <f t="shared" si="0"/>
        <v>5851</v>
      </c>
      <c r="B26" s="53" t="s">
        <v>44</v>
      </c>
      <c r="C26" s="50" t="s">
        <v>28</v>
      </c>
      <c r="D26" s="51">
        <v>1001012505851</v>
      </c>
      <c r="E26" s="24"/>
      <c r="F26" s="55">
        <v>1.35</v>
      </c>
      <c r="G26" s="23">
        <f>E26</f>
        <v>0</v>
      </c>
      <c r="H26" s="29">
        <v>4.05</v>
      </c>
      <c r="I26" s="29">
        <v>60</v>
      </c>
      <c r="J26" s="29"/>
    </row>
    <row r="27" spans="1:10" ht="16.5" customHeight="1" x14ac:dyDescent="0.25">
      <c r="A27" s="54" t="str">
        <f t="shared" si="0"/>
        <v>7632</v>
      </c>
      <c r="B27" s="53" t="s">
        <v>45</v>
      </c>
      <c r="C27" s="50" t="s">
        <v>25</v>
      </c>
      <c r="D27" s="51">
        <v>1001012507632</v>
      </c>
      <c r="E27" s="24">
        <v>65</v>
      </c>
      <c r="F27" s="55">
        <v>0.4</v>
      </c>
      <c r="G27" s="23">
        <f>E27*F27</f>
        <v>26</v>
      </c>
      <c r="H27" s="29">
        <v>3.2</v>
      </c>
      <c r="I27" s="29">
        <v>60</v>
      </c>
      <c r="J27" s="29"/>
    </row>
    <row r="28" spans="1:10" ht="16.5" customHeight="1" x14ac:dyDescent="0.25">
      <c r="A28" s="54" t="str">
        <f t="shared" si="0"/>
        <v>4561</v>
      </c>
      <c r="B28" s="53" t="s">
        <v>46</v>
      </c>
      <c r="C28" s="50" t="s">
        <v>28</v>
      </c>
      <c r="D28" s="51">
        <v>1001010014561</v>
      </c>
      <c r="E28" s="24"/>
      <c r="F28" s="23">
        <v>1.35</v>
      </c>
      <c r="G28" s="23">
        <f>E28</f>
        <v>0</v>
      </c>
      <c r="H28" s="14">
        <v>4.05</v>
      </c>
      <c r="I28" s="14">
        <v>60</v>
      </c>
      <c r="J28" s="29"/>
    </row>
    <row r="29" spans="1:10" ht="16.5" customHeight="1" x14ac:dyDescent="0.25">
      <c r="A29" s="54" t="str">
        <f t="shared" si="0"/>
        <v>7555</v>
      </c>
      <c r="B29" s="53" t="s">
        <v>47</v>
      </c>
      <c r="C29" s="50" t="s">
        <v>28</v>
      </c>
      <c r="D29" s="51">
        <v>1001012497555</v>
      </c>
      <c r="E29" s="24"/>
      <c r="F29" s="23">
        <v>1.5</v>
      </c>
      <c r="G29" s="23">
        <f>E29</f>
        <v>0</v>
      </c>
      <c r="H29" s="14">
        <v>3</v>
      </c>
      <c r="I29" s="14">
        <v>30</v>
      </c>
      <c r="J29" s="52" t="s">
        <v>48</v>
      </c>
    </row>
    <row r="30" spans="1:10" ht="16.5" customHeight="1" x14ac:dyDescent="0.25">
      <c r="A30" s="54" t="str">
        <f t="shared" si="0"/>
        <v>6325</v>
      </c>
      <c r="B30" s="53" t="s">
        <v>49</v>
      </c>
      <c r="C30" s="50" t="s">
        <v>25</v>
      </c>
      <c r="D30" s="51">
        <v>1001010106325</v>
      </c>
      <c r="E30" s="24"/>
      <c r="F30" s="23">
        <v>0.4</v>
      </c>
      <c r="G30" s="23">
        <f>E30*F30</f>
        <v>0</v>
      </c>
      <c r="H30" s="14">
        <v>3.2</v>
      </c>
      <c r="I30" s="14">
        <v>60</v>
      </c>
      <c r="J30" s="29"/>
    </row>
    <row r="31" spans="1:10" ht="16.5" customHeight="1" x14ac:dyDescent="0.25">
      <c r="A31" s="54" t="str">
        <f t="shared" si="0"/>
        <v>7556</v>
      </c>
      <c r="B31" s="53" t="s">
        <v>50</v>
      </c>
      <c r="C31" s="50" t="s">
        <v>28</v>
      </c>
      <c r="D31" s="51">
        <v>1001017597556</v>
      </c>
      <c r="E31" s="24"/>
      <c r="F31" s="23">
        <v>1.5</v>
      </c>
      <c r="G31" s="23">
        <f>E31</f>
        <v>0</v>
      </c>
      <c r="H31" s="14">
        <v>3</v>
      </c>
      <c r="I31" s="14">
        <v>30</v>
      </c>
      <c r="J31" s="52" t="s">
        <v>51</v>
      </c>
    </row>
    <row r="32" spans="1:10" ht="16.5" customHeight="1" x14ac:dyDescent="0.25">
      <c r="A32" s="54" t="str">
        <f t="shared" si="0"/>
        <v>7303</v>
      </c>
      <c r="B32" s="53" t="s">
        <v>52</v>
      </c>
      <c r="C32" s="50" t="s">
        <v>28</v>
      </c>
      <c r="D32" s="51">
        <v>1001010857303</v>
      </c>
      <c r="E32" s="24"/>
      <c r="F32" s="23">
        <v>1.35</v>
      </c>
      <c r="G32" s="23">
        <f>E32</f>
        <v>0</v>
      </c>
      <c r="H32" s="14">
        <v>4.05</v>
      </c>
      <c r="I32" s="14">
        <v>60</v>
      </c>
      <c r="J32" s="29"/>
    </row>
    <row r="33" spans="1:10" ht="16.5" customHeight="1" x14ac:dyDescent="0.25">
      <c r="A33" s="54" t="str">
        <f t="shared" si="0"/>
        <v>8014</v>
      </c>
      <c r="B33" s="53" t="s">
        <v>53</v>
      </c>
      <c r="C33" s="50" t="s">
        <v>28</v>
      </c>
      <c r="D33" s="51">
        <v>1001010108014</v>
      </c>
      <c r="E33" s="24"/>
      <c r="F33" s="55">
        <v>1.35</v>
      </c>
      <c r="G33" s="23">
        <f>E33</f>
        <v>0</v>
      </c>
      <c r="H33" s="29">
        <v>5.4</v>
      </c>
      <c r="I33" s="29">
        <v>60</v>
      </c>
      <c r="J33" s="29"/>
    </row>
    <row r="34" spans="1:10" ht="16.5" customHeight="1" x14ac:dyDescent="0.25">
      <c r="A34" s="54" t="str">
        <f t="shared" si="0"/>
        <v>7343</v>
      </c>
      <c r="B34" s="53" t="s">
        <v>54</v>
      </c>
      <c r="C34" s="50" t="s">
        <v>25</v>
      </c>
      <c r="D34" s="51">
        <v>1001016747343</v>
      </c>
      <c r="E34" s="24">
        <v>36</v>
      </c>
      <c r="F34" s="55">
        <v>0.4</v>
      </c>
      <c r="G34" s="23">
        <f>E34*F34</f>
        <v>14.4</v>
      </c>
      <c r="H34" s="29">
        <v>3.2</v>
      </c>
      <c r="I34" s="29">
        <v>60</v>
      </c>
      <c r="J34" s="29"/>
    </row>
    <row r="35" spans="1:10" ht="16.5" customHeight="1" x14ac:dyDescent="0.25">
      <c r="A35" s="54" t="str">
        <f t="shared" si="0"/>
        <v>6797</v>
      </c>
      <c r="B35" s="53" t="s">
        <v>55</v>
      </c>
      <c r="C35" s="50" t="s">
        <v>25</v>
      </c>
      <c r="D35" s="51">
        <v>1001015026797</v>
      </c>
      <c r="E35" s="24"/>
      <c r="F35" s="55">
        <v>0.4</v>
      </c>
      <c r="G35" s="23">
        <f>E35*F35</f>
        <v>0</v>
      </c>
      <c r="H35" s="29">
        <v>3.2</v>
      </c>
      <c r="I35" s="29">
        <v>60</v>
      </c>
      <c r="J35" s="29"/>
    </row>
    <row r="36" spans="1:10" ht="16.5" customHeight="1" thickBot="1" x14ac:dyDescent="0.3">
      <c r="A36" s="54" t="str">
        <f t="shared" si="0"/>
        <v>7231</v>
      </c>
      <c r="B36" s="53" t="s">
        <v>56</v>
      </c>
      <c r="C36" s="50" t="s">
        <v>25</v>
      </c>
      <c r="D36" s="51">
        <v>1001013957231</v>
      </c>
      <c r="E36" s="24"/>
      <c r="F36" s="55">
        <v>0.3</v>
      </c>
      <c r="G36" s="23">
        <f>E36*F36</f>
        <v>0</v>
      </c>
      <c r="H36" s="29">
        <v>2.4</v>
      </c>
      <c r="I36" s="29">
        <v>60</v>
      </c>
      <c r="J36" s="29"/>
    </row>
    <row r="37" spans="1:10" ht="16.5" customHeight="1" thickTop="1" thickBot="1" x14ac:dyDescent="0.3">
      <c r="A37" s="47"/>
      <c r="B37" s="42" t="s">
        <v>57</v>
      </c>
      <c r="C37" s="42"/>
      <c r="D37" s="42"/>
      <c r="E37" s="24"/>
      <c r="F37" s="41"/>
      <c r="G37" s="42"/>
      <c r="H37" s="42"/>
      <c r="I37" s="42"/>
      <c r="J37" s="43"/>
    </row>
    <row r="38" spans="1:10" ht="16.5" customHeight="1" thickTop="1" x14ac:dyDescent="0.25">
      <c r="A38" s="54" t="str">
        <f t="shared" ref="A38:A71" si="1">RIGHT(D38,4)</f>
        <v>6602</v>
      </c>
      <c r="B38" s="53" t="s">
        <v>58</v>
      </c>
      <c r="C38" s="50" t="s">
        <v>25</v>
      </c>
      <c r="D38" s="51">
        <v>1001021966602</v>
      </c>
      <c r="E38" s="24"/>
      <c r="F38" s="55">
        <v>0.35</v>
      </c>
      <c r="G38" s="23">
        <f t="shared" ref="G38:G43" si="2">E38*F38</f>
        <v>0</v>
      </c>
      <c r="H38" s="29">
        <v>2.8</v>
      </c>
      <c r="I38" s="29">
        <v>45</v>
      </c>
      <c r="J38" s="29"/>
    </row>
    <row r="39" spans="1:10" ht="16.5" customHeight="1" x14ac:dyDescent="0.25">
      <c r="A39" s="54" t="str">
        <f t="shared" si="1"/>
        <v>7284</v>
      </c>
      <c r="B39" s="53" t="s">
        <v>59</v>
      </c>
      <c r="C39" s="50" t="s">
        <v>25</v>
      </c>
      <c r="D39" s="51">
        <v>1001025767284</v>
      </c>
      <c r="E39" s="24">
        <v>11</v>
      </c>
      <c r="F39" s="55">
        <v>0.33</v>
      </c>
      <c r="G39" s="23">
        <f t="shared" si="2"/>
        <v>3.6300000000000003</v>
      </c>
      <c r="H39" s="29">
        <v>1.98</v>
      </c>
      <c r="I39" s="29">
        <v>30</v>
      </c>
      <c r="J39" s="29"/>
    </row>
    <row r="40" spans="1:10" ht="16.5" customHeight="1" x14ac:dyDescent="0.25">
      <c r="A40" s="54" t="str">
        <f t="shared" si="1"/>
        <v>7601</v>
      </c>
      <c r="B40" s="53" t="s">
        <v>60</v>
      </c>
      <c r="C40" s="50" t="s">
        <v>25</v>
      </c>
      <c r="D40" s="51">
        <v>1001025767601</v>
      </c>
      <c r="E40" s="24"/>
      <c r="F40" s="55">
        <v>0.26400000000000001</v>
      </c>
      <c r="G40" s="23">
        <f t="shared" si="2"/>
        <v>0</v>
      </c>
      <c r="H40" s="29">
        <v>1.58</v>
      </c>
      <c r="I40" s="29">
        <v>30</v>
      </c>
      <c r="J40" s="29"/>
    </row>
    <row r="41" spans="1:10" ht="16.5" customHeight="1" x14ac:dyDescent="0.25">
      <c r="A41" s="54" t="str">
        <f t="shared" si="1"/>
        <v>7461</v>
      </c>
      <c r="B41" s="53" t="s">
        <v>61</v>
      </c>
      <c r="C41" s="50" t="s">
        <v>25</v>
      </c>
      <c r="D41" s="51">
        <v>1001025767461</v>
      </c>
      <c r="E41" s="24"/>
      <c r="F41" s="55">
        <v>0.33</v>
      </c>
      <c r="G41" s="23">
        <f t="shared" si="2"/>
        <v>0</v>
      </c>
      <c r="H41" s="29">
        <v>1.98</v>
      </c>
      <c r="I41" s="29">
        <v>30</v>
      </c>
      <c r="J41" s="52" t="s">
        <v>62</v>
      </c>
    </row>
    <row r="42" spans="1:10" ht="16.5" customHeight="1" x14ac:dyDescent="0.25">
      <c r="A42" s="54" t="str">
        <f t="shared" si="1"/>
        <v>7371</v>
      </c>
      <c r="B42" s="53" t="s">
        <v>63</v>
      </c>
      <c r="C42" s="50" t="s">
        <v>25</v>
      </c>
      <c r="D42" s="51">
        <v>1001026947371</v>
      </c>
      <c r="E42" s="24"/>
      <c r="F42" s="55">
        <v>0.3</v>
      </c>
      <c r="G42" s="23">
        <f t="shared" si="2"/>
        <v>0</v>
      </c>
      <c r="H42" s="29">
        <v>2.4</v>
      </c>
      <c r="I42" s="29">
        <v>45</v>
      </c>
      <c r="J42" s="29"/>
    </row>
    <row r="43" spans="1:10" ht="16.5" customHeight="1" x14ac:dyDescent="0.25">
      <c r="A43" s="54" t="str">
        <f t="shared" si="1"/>
        <v>6759</v>
      </c>
      <c r="B43" s="53" t="s">
        <v>64</v>
      </c>
      <c r="C43" s="50" t="s">
        <v>25</v>
      </c>
      <c r="D43" s="51">
        <v>1001020836759</v>
      </c>
      <c r="E43" s="24"/>
      <c r="F43" s="55">
        <v>0.4</v>
      </c>
      <c r="G43" s="23">
        <f t="shared" si="2"/>
        <v>0</v>
      </c>
      <c r="H43" s="29">
        <v>2.8</v>
      </c>
      <c r="I43" s="29">
        <v>30</v>
      </c>
      <c r="J43" s="29"/>
    </row>
    <row r="44" spans="1:10" ht="16.5" customHeight="1" x14ac:dyDescent="0.25">
      <c r="A44" s="54" t="str">
        <f t="shared" si="1"/>
        <v>6761</v>
      </c>
      <c r="B44" s="53" t="s">
        <v>65</v>
      </c>
      <c r="C44" s="50" t="s">
        <v>28</v>
      </c>
      <c r="D44" s="51">
        <v>1001020836761</v>
      </c>
      <c r="E44" s="24"/>
      <c r="F44" s="55">
        <v>1</v>
      </c>
      <c r="G44" s="23">
        <f>E44</f>
        <v>0</v>
      </c>
      <c r="H44" s="29">
        <v>4</v>
      </c>
      <c r="I44" s="29">
        <v>30</v>
      </c>
      <c r="J44" s="29"/>
    </row>
    <row r="45" spans="1:10" ht="16.5" customHeight="1" x14ac:dyDescent="0.25">
      <c r="A45" s="54" t="str">
        <f t="shared" si="1"/>
        <v>6829</v>
      </c>
      <c r="B45" s="53" t="s">
        <v>66</v>
      </c>
      <c r="C45" s="50" t="s">
        <v>28</v>
      </c>
      <c r="D45" s="51">
        <v>1001024976829</v>
      </c>
      <c r="E45" s="24">
        <v>354</v>
      </c>
      <c r="F45" s="55">
        <v>2.1</v>
      </c>
      <c r="G45" s="23">
        <f>E45</f>
        <v>354</v>
      </c>
      <c r="H45" s="29">
        <v>8.4</v>
      </c>
      <c r="I45" s="29">
        <v>45</v>
      </c>
      <c r="J45" s="29"/>
    </row>
    <row r="46" spans="1:10" ht="16.5" customHeight="1" x14ac:dyDescent="0.25">
      <c r="A46" s="54" t="str">
        <f t="shared" si="1"/>
        <v>6616</v>
      </c>
      <c r="B46" s="53" t="s">
        <v>67</v>
      </c>
      <c r="C46" s="50" t="s">
        <v>25</v>
      </c>
      <c r="D46" s="51">
        <v>1001024976616</v>
      </c>
      <c r="E46" s="24"/>
      <c r="F46" s="55">
        <v>0.3</v>
      </c>
      <c r="G46" s="23">
        <f>E46*F46</f>
        <v>0</v>
      </c>
      <c r="H46" s="29">
        <v>2.4</v>
      </c>
      <c r="I46" s="29">
        <v>45</v>
      </c>
      <c r="J46" s="29"/>
    </row>
    <row r="47" spans="1:10" ht="16.5" customHeight="1" x14ac:dyDescent="0.25">
      <c r="A47" s="54" t="str">
        <f t="shared" si="1"/>
        <v>7075</v>
      </c>
      <c r="B47" s="53" t="s">
        <v>68</v>
      </c>
      <c r="C47" s="50" t="s">
        <v>28</v>
      </c>
      <c r="D47" s="51">
        <v>1001022657075</v>
      </c>
      <c r="E47" s="24"/>
      <c r="F47" s="55">
        <v>1.5</v>
      </c>
      <c r="G47" s="23">
        <f>E47</f>
        <v>0</v>
      </c>
      <c r="H47" s="29">
        <v>6</v>
      </c>
      <c r="I47" s="29">
        <v>50</v>
      </c>
      <c r="J47" s="29"/>
    </row>
    <row r="48" spans="1:10" ht="16.5" customHeight="1" x14ac:dyDescent="0.25">
      <c r="A48" s="54" t="str">
        <f t="shared" si="1"/>
        <v>7074</v>
      </c>
      <c r="B48" s="53" t="s">
        <v>69</v>
      </c>
      <c r="C48" s="50" t="s">
        <v>25</v>
      </c>
      <c r="D48" s="51">
        <v>1001022657074</v>
      </c>
      <c r="E48" s="24"/>
      <c r="F48" s="55">
        <v>0.6</v>
      </c>
      <c r="G48" s="23">
        <f>E48*F48</f>
        <v>0</v>
      </c>
      <c r="H48" s="29">
        <v>4.8</v>
      </c>
      <c r="I48" s="29">
        <v>50</v>
      </c>
      <c r="J48" s="29"/>
    </row>
    <row r="49" spans="1:10" ht="16.5" customHeight="1" x14ac:dyDescent="0.25">
      <c r="A49" s="54" t="str">
        <f t="shared" si="1"/>
        <v>7073</v>
      </c>
      <c r="B49" s="53" t="s">
        <v>70</v>
      </c>
      <c r="C49" s="50" t="s">
        <v>25</v>
      </c>
      <c r="D49" s="51">
        <v>1001022657073</v>
      </c>
      <c r="E49" s="24">
        <v>123</v>
      </c>
      <c r="F49" s="55">
        <v>0.35</v>
      </c>
      <c r="G49" s="23">
        <f>E49*F49</f>
        <v>43.05</v>
      </c>
      <c r="H49" s="29">
        <v>2.8</v>
      </c>
      <c r="I49" s="29">
        <v>50</v>
      </c>
      <c r="J49" s="29"/>
    </row>
    <row r="50" spans="1:10" ht="16.5" customHeight="1" x14ac:dyDescent="0.25">
      <c r="A50" s="54" t="str">
        <f t="shared" si="1"/>
        <v>6724</v>
      </c>
      <c r="B50" s="53" t="s">
        <v>71</v>
      </c>
      <c r="C50" s="50" t="s">
        <v>25</v>
      </c>
      <c r="D50" s="51">
        <v>1001020836724</v>
      </c>
      <c r="E50" s="24">
        <v>52</v>
      </c>
      <c r="F50" s="55">
        <v>0.41</v>
      </c>
      <c r="G50" s="23">
        <f>E50*F50</f>
        <v>21.32</v>
      </c>
      <c r="H50" s="29">
        <v>4.0999999999999996</v>
      </c>
      <c r="I50" s="29">
        <v>45</v>
      </c>
      <c r="J50" s="29"/>
    </row>
    <row r="51" spans="1:10" ht="16.5" customHeight="1" x14ac:dyDescent="0.25">
      <c r="A51" s="54" t="str">
        <f t="shared" si="1"/>
        <v>5819</v>
      </c>
      <c r="B51" s="53" t="s">
        <v>72</v>
      </c>
      <c r="C51" s="50" t="s">
        <v>25</v>
      </c>
      <c r="D51" s="51">
        <v>1001022725819</v>
      </c>
      <c r="E51" s="24"/>
      <c r="F51" s="55">
        <v>0.4</v>
      </c>
      <c r="G51" s="23">
        <f>E51*F51</f>
        <v>0</v>
      </c>
      <c r="H51" s="29">
        <v>3.2</v>
      </c>
      <c r="I51" s="29">
        <v>45</v>
      </c>
      <c r="J51" s="29"/>
    </row>
    <row r="52" spans="1:10" ht="16.5" customHeight="1" x14ac:dyDescent="0.25">
      <c r="A52" s="54" t="str">
        <f t="shared" si="1"/>
        <v>6303</v>
      </c>
      <c r="B52" s="53" t="s">
        <v>73</v>
      </c>
      <c r="C52" s="50" t="s">
        <v>28</v>
      </c>
      <c r="D52" s="51">
        <v>1001022726303</v>
      </c>
      <c r="E52" s="24">
        <v>256</v>
      </c>
      <c r="F52" s="55">
        <v>1.5</v>
      </c>
      <c r="G52" s="23">
        <f>E52</f>
        <v>256</v>
      </c>
      <c r="H52" s="29">
        <v>4.5</v>
      </c>
      <c r="I52" s="29">
        <v>45</v>
      </c>
      <c r="J52" s="29"/>
    </row>
    <row r="53" spans="1:10" ht="16.5" customHeight="1" x14ac:dyDescent="0.25">
      <c r="A53" s="54" t="str">
        <f t="shared" si="1"/>
        <v>7255</v>
      </c>
      <c r="B53" s="53" t="s">
        <v>74</v>
      </c>
      <c r="C53" s="50" t="s">
        <v>25</v>
      </c>
      <c r="D53" s="51">
        <v>1001025507255</v>
      </c>
      <c r="E53" s="24"/>
      <c r="F53" s="55">
        <v>0.4</v>
      </c>
      <c r="G53" s="23">
        <f>E53*F53</f>
        <v>0</v>
      </c>
      <c r="H53" s="29">
        <v>2.4</v>
      </c>
      <c r="I53" s="29">
        <v>50</v>
      </c>
      <c r="J53" s="29"/>
    </row>
    <row r="54" spans="1:10" ht="16.5" customHeight="1" x14ac:dyDescent="0.25">
      <c r="A54" s="54" t="str">
        <f t="shared" si="1"/>
        <v>7271</v>
      </c>
      <c r="B54" s="53" t="s">
        <v>75</v>
      </c>
      <c r="C54" s="50" t="s">
        <v>28</v>
      </c>
      <c r="D54" s="51">
        <v>1001025507271</v>
      </c>
      <c r="E54" s="24"/>
      <c r="F54" s="55">
        <v>1.5</v>
      </c>
      <c r="G54" s="23">
        <f>E54</f>
        <v>0</v>
      </c>
      <c r="H54" s="29">
        <v>6</v>
      </c>
      <c r="I54" s="29">
        <v>50</v>
      </c>
      <c r="J54" s="29"/>
    </row>
    <row r="55" spans="1:10" ht="16.5" customHeight="1" x14ac:dyDescent="0.25">
      <c r="A55" s="54" t="str">
        <f t="shared" si="1"/>
        <v>6765</v>
      </c>
      <c r="B55" s="53" t="s">
        <v>76</v>
      </c>
      <c r="C55" s="50" t="s">
        <v>25</v>
      </c>
      <c r="D55" s="51">
        <v>1001023696765</v>
      </c>
      <c r="E55" s="24">
        <v>170</v>
      </c>
      <c r="F55" s="55">
        <v>0.36</v>
      </c>
      <c r="G55" s="23">
        <f>E55*F55</f>
        <v>61.199999999999996</v>
      </c>
      <c r="H55" s="29">
        <v>2.16</v>
      </c>
      <c r="I55" s="29">
        <v>45</v>
      </c>
      <c r="J55" s="29"/>
    </row>
    <row r="56" spans="1:10" ht="16.5" customHeight="1" x14ac:dyDescent="0.25">
      <c r="A56" s="54" t="str">
        <f t="shared" si="1"/>
        <v>6767</v>
      </c>
      <c r="B56" s="53" t="s">
        <v>77</v>
      </c>
      <c r="C56" s="50" t="s">
        <v>28</v>
      </c>
      <c r="D56" s="51">
        <v>1001023696767</v>
      </c>
      <c r="E56" s="24"/>
      <c r="F56" s="55">
        <v>1.04</v>
      </c>
      <c r="G56" s="23">
        <f>E56</f>
        <v>0</v>
      </c>
      <c r="H56" s="29">
        <v>4.16</v>
      </c>
      <c r="I56" s="29">
        <v>45</v>
      </c>
      <c r="J56" s="29"/>
    </row>
    <row r="57" spans="1:10" ht="16.5" customHeight="1" x14ac:dyDescent="0.25">
      <c r="A57" s="54" t="str">
        <f t="shared" si="1"/>
        <v>6475</v>
      </c>
      <c r="B57" s="53" t="s">
        <v>78</v>
      </c>
      <c r="C57" s="50" t="s">
        <v>25</v>
      </c>
      <c r="D57" s="51">
        <v>1001025176475</v>
      </c>
      <c r="E57" s="24"/>
      <c r="F57" s="55">
        <v>0.4</v>
      </c>
      <c r="G57" s="23">
        <f>E57*F57</f>
        <v>0</v>
      </c>
      <c r="H57" s="29">
        <v>2.4</v>
      </c>
      <c r="I57" s="29">
        <v>45</v>
      </c>
      <c r="J57" s="29"/>
    </row>
    <row r="58" spans="1:10" ht="16.5" customHeight="1" x14ac:dyDescent="0.25">
      <c r="A58" s="54" t="str">
        <f t="shared" si="1"/>
        <v>7083</v>
      </c>
      <c r="B58" s="53" t="s">
        <v>79</v>
      </c>
      <c r="C58" s="50" t="s">
        <v>28</v>
      </c>
      <c r="D58" s="51">
        <v>1001022467083</v>
      </c>
      <c r="E58" s="24">
        <v>47</v>
      </c>
      <c r="F58" s="55">
        <v>1.5</v>
      </c>
      <c r="G58" s="23">
        <f>E58</f>
        <v>47</v>
      </c>
      <c r="H58" s="29">
        <v>6</v>
      </c>
      <c r="I58" s="29">
        <v>50</v>
      </c>
      <c r="J58" s="29"/>
    </row>
    <row r="59" spans="1:10" ht="16.5" customHeight="1" x14ac:dyDescent="0.25">
      <c r="A59" s="54" t="str">
        <f t="shared" si="1"/>
        <v>7080</v>
      </c>
      <c r="B59" s="53" t="s">
        <v>80</v>
      </c>
      <c r="C59" s="50" t="s">
        <v>25</v>
      </c>
      <c r="D59" s="51">
        <v>1001022467080</v>
      </c>
      <c r="E59" s="24">
        <v>24</v>
      </c>
      <c r="F59" s="55">
        <v>0.41</v>
      </c>
      <c r="G59" s="23">
        <f>E59*F59</f>
        <v>9.84</v>
      </c>
      <c r="H59" s="29">
        <v>4.0999999999999996</v>
      </c>
      <c r="I59" s="29">
        <v>50</v>
      </c>
      <c r="J59" s="29"/>
    </row>
    <row r="60" spans="1:10" ht="16.5" customHeight="1" x14ac:dyDescent="0.25">
      <c r="A60" s="54" t="str">
        <f t="shared" si="1"/>
        <v>7276</v>
      </c>
      <c r="B60" s="53" t="s">
        <v>81</v>
      </c>
      <c r="C60" s="50" t="s">
        <v>25</v>
      </c>
      <c r="D60" s="51">
        <v>1001022467276</v>
      </c>
      <c r="E60" s="24">
        <v>7</v>
      </c>
      <c r="F60" s="55">
        <v>0.3</v>
      </c>
      <c r="G60" s="23">
        <f>E60*F60</f>
        <v>2.1</v>
      </c>
      <c r="H60" s="29">
        <v>2.1</v>
      </c>
      <c r="I60" s="29">
        <v>50</v>
      </c>
      <c r="J60" s="29"/>
    </row>
    <row r="61" spans="1:10" ht="16.5" customHeight="1" x14ac:dyDescent="0.25">
      <c r="A61" s="54" t="str">
        <f t="shared" si="1"/>
        <v>6762</v>
      </c>
      <c r="B61" s="53" t="s">
        <v>82</v>
      </c>
      <c r="C61" s="50" t="s">
        <v>25</v>
      </c>
      <c r="D61" s="51">
        <v>1001020846762</v>
      </c>
      <c r="E61" s="24"/>
      <c r="F61" s="55">
        <v>0.41</v>
      </c>
      <c r="G61" s="23">
        <f>E61*F61</f>
        <v>0</v>
      </c>
      <c r="H61" s="29">
        <v>3.28</v>
      </c>
      <c r="I61" s="29">
        <v>45</v>
      </c>
      <c r="J61" s="29"/>
    </row>
    <row r="62" spans="1:10" ht="16.5" customHeight="1" x14ac:dyDescent="0.25">
      <c r="A62" s="54" t="str">
        <f t="shared" si="1"/>
        <v>6764</v>
      </c>
      <c r="B62" s="53" t="s">
        <v>83</v>
      </c>
      <c r="C62" s="50" t="s">
        <v>28</v>
      </c>
      <c r="D62" s="51">
        <v>1001020846764</v>
      </c>
      <c r="E62" s="24"/>
      <c r="F62" s="23">
        <v>1</v>
      </c>
      <c r="G62" s="23">
        <f>E62</f>
        <v>0</v>
      </c>
      <c r="H62" s="14">
        <v>4</v>
      </c>
      <c r="I62" s="14">
        <v>45</v>
      </c>
      <c r="J62" s="29"/>
    </row>
    <row r="63" spans="1:10" ht="16.5" customHeight="1" x14ac:dyDescent="0.25">
      <c r="A63" s="54" t="str">
        <f t="shared" si="1"/>
        <v>7066</v>
      </c>
      <c r="B63" s="53" t="s">
        <v>84</v>
      </c>
      <c r="C63" s="50" t="s">
        <v>25</v>
      </c>
      <c r="D63" s="51">
        <v>1001022377066</v>
      </c>
      <c r="E63" s="24">
        <v>213</v>
      </c>
      <c r="F63" s="23">
        <v>0.41</v>
      </c>
      <c r="G63" s="23">
        <f>E63*F63</f>
        <v>87.33</v>
      </c>
      <c r="H63" s="14">
        <v>4.0999999999999996</v>
      </c>
      <c r="I63" s="14">
        <v>50</v>
      </c>
      <c r="J63" s="29"/>
    </row>
    <row r="64" spans="1:10" ht="16.5" customHeight="1" x14ac:dyDescent="0.25">
      <c r="A64" s="54" t="str">
        <f t="shared" si="1"/>
        <v>7070</v>
      </c>
      <c r="B64" s="53" t="s">
        <v>85</v>
      </c>
      <c r="C64" s="50" t="s">
        <v>28</v>
      </c>
      <c r="D64" s="51">
        <v>1001022377070</v>
      </c>
      <c r="E64" s="24"/>
      <c r="F64" s="23">
        <v>1.5</v>
      </c>
      <c r="G64" s="23">
        <f>E64</f>
        <v>0</v>
      </c>
      <c r="H64" s="14">
        <v>6</v>
      </c>
      <c r="I64" s="14">
        <v>50</v>
      </c>
      <c r="J64" s="29"/>
    </row>
    <row r="65" spans="1:10" ht="16.5" customHeight="1" x14ac:dyDescent="0.25">
      <c r="A65" s="54" t="str">
        <f t="shared" si="1"/>
        <v>6713</v>
      </c>
      <c r="B65" s="53" t="s">
        <v>86</v>
      </c>
      <c r="C65" s="50" t="s">
        <v>25</v>
      </c>
      <c r="D65" s="51">
        <v>1001022246713</v>
      </c>
      <c r="E65" s="24">
        <v>136</v>
      </c>
      <c r="F65" s="23">
        <v>0.41</v>
      </c>
      <c r="G65" s="23">
        <f>E65*F65</f>
        <v>55.76</v>
      </c>
      <c r="H65" s="14">
        <v>3.28</v>
      </c>
      <c r="I65" s="14">
        <v>45</v>
      </c>
      <c r="J65" s="29"/>
    </row>
    <row r="66" spans="1:10" ht="16.5" customHeight="1" x14ac:dyDescent="0.25">
      <c r="A66" s="54" t="str">
        <f t="shared" si="1"/>
        <v>6661</v>
      </c>
      <c r="B66" s="53" t="s">
        <v>87</v>
      </c>
      <c r="C66" s="50" t="s">
        <v>28</v>
      </c>
      <c r="D66" s="51">
        <v>1001022246661</v>
      </c>
      <c r="E66" s="24"/>
      <c r="F66" s="23">
        <v>1.5</v>
      </c>
      <c r="G66" s="23">
        <f>E66</f>
        <v>0</v>
      </c>
      <c r="H66" s="14">
        <v>6</v>
      </c>
      <c r="I66" s="14">
        <v>45</v>
      </c>
      <c r="J66" s="29"/>
    </row>
    <row r="67" spans="1:10" ht="16.5" customHeight="1" x14ac:dyDescent="0.25">
      <c r="A67" s="54" t="str">
        <f t="shared" si="1"/>
        <v>6254</v>
      </c>
      <c r="B67" s="53" t="s">
        <v>88</v>
      </c>
      <c r="C67" s="50" t="s">
        <v>28</v>
      </c>
      <c r="D67" s="51">
        <v>1001022556254</v>
      </c>
      <c r="E67" s="24"/>
      <c r="F67" s="23">
        <v>1.5</v>
      </c>
      <c r="G67" s="23">
        <f>E67</f>
        <v>0</v>
      </c>
      <c r="H67" s="14">
        <v>3</v>
      </c>
      <c r="I67" s="14">
        <v>45</v>
      </c>
      <c r="J67" s="29"/>
    </row>
    <row r="68" spans="1:10" ht="16.5" customHeight="1" x14ac:dyDescent="0.25">
      <c r="A68" s="54" t="str">
        <f t="shared" si="1"/>
        <v>6837</v>
      </c>
      <c r="B68" s="53" t="s">
        <v>89</v>
      </c>
      <c r="C68" s="50" t="s">
        <v>25</v>
      </c>
      <c r="D68" s="51">
        <v>1001022556837</v>
      </c>
      <c r="E68" s="24">
        <v>180</v>
      </c>
      <c r="F68" s="23">
        <v>0.4</v>
      </c>
      <c r="G68" s="23">
        <f>E68*F68</f>
        <v>72</v>
      </c>
      <c r="H68" s="14">
        <v>2.4</v>
      </c>
      <c r="I68" s="14">
        <v>45</v>
      </c>
      <c r="J68" s="29"/>
    </row>
    <row r="69" spans="1:10" ht="16.5" customHeight="1" x14ac:dyDescent="0.25">
      <c r="A69" s="54" t="str">
        <f t="shared" si="1"/>
        <v>7385</v>
      </c>
      <c r="B69" s="53" t="s">
        <v>90</v>
      </c>
      <c r="C69" s="50" t="s">
        <v>25</v>
      </c>
      <c r="D69" s="51">
        <v>1001027067385</v>
      </c>
      <c r="E69" s="24"/>
      <c r="F69" s="23">
        <v>0.33</v>
      </c>
      <c r="G69" s="23">
        <f>E69*F69</f>
        <v>0</v>
      </c>
      <c r="H69" s="14">
        <v>2.64</v>
      </c>
      <c r="I69" s="14">
        <v>45</v>
      </c>
      <c r="J69" s="29"/>
    </row>
    <row r="70" spans="1:10" ht="16.5" customHeight="1" x14ac:dyDescent="0.25">
      <c r="A70" s="54" t="str">
        <f t="shared" si="1"/>
        <v>7044</v>
      </c>
      <c r="B70" s="53" t="s">
        <v>91</v>
      </c>
      <c r="C70" s="50" t="s">
        <v>25</v>
      </c>
      <c r="D70" s="51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4" t="str">
        <f t="shared" si="1"/>
        <v>7460</v>
      </c>
      <c r="B71" s="53" t="s">
        <v>92</v>
      </c>
      <c r="C71" s="50" t="s">
        <v>25</v>
      </c>
      <c r="D71" s="51">
        <v>1001027247460</v>
      </c>
      <c r="E71" s="24"/>
      <c r="F71" s="23">
        <v>0.33</v>
      </c>
      <c r="G71" s="23">
        <f>E71*F71</f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7"/>
      <c r="B72" s="42" t="s">
        <v>93</v>
      </c>
      <c r="C72" s="42"/>
      <c r="D72" s="42"/>
      <c r="E72" s="24"/>
      <c r="F72" s="41"/>
      <c r="G72" s="42"/>
      <c r="H72" s="42"/>
      <c r="I72" s="42"/>
      <c r="J72" s="43"/>
    </row>
    <row r="73" spans="1:10" ht="16.5" customHeight="1" thickTop="1" x14ac:dyDescent="0.25">
      <c r="A73" s="54" t="str">
        <f t="shared" ref="A73:A79" si="3">RIGHT(D73,4)</f>
        <v>6550</v>
      </c>
      <c r="B73" s="90" t="s">
        <v>94</v>
      </c>
      <c r="C73" s="99" t="s">
        <v>28</v>
      </c>
      <c r="D73" s="51">
        <v>1001032736550</v>
      </c>
      <c r="E73" s="24"/>
      <c r="F73" s="55">
        <v>1</v>
      </c>
      <c r="G73" s="23">
        <f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4" t="str">
        <f t="shared" si="3"/>
        <v>6608</v>
      </c>
      <c r="B74" s="90" t="s">
        <v>95</v>
      </c>
      <c r="C74" s="50" t="s">
        <v>28</v>
      </c>
      <c r="D74" s="51">
        <v>1001033856608</v>
      </c>
      <c r="E74" s="24">
        <v>93</v>
      </c>
      <c r="F74" s="23">
        <v>1</v>
      </c>
      <c r="G74" s="23">
        <f>E74</f>
        <v>93</v>
      </c>
      <c r="H74" s="14">
        <v>3</v>
      </c>
      <c r="I74" s="14">
        <v>45</v>
      </c>
      <c r="J74" s="29"/>
    </row>
    <row r="75" spans="1:10" ht="16.5" customHeight="1" x14ac:dyDescent="0.25">
      <c r="A75" s="54" t="str">
        <f t="shared" si="3"/>
        <v>7001</v>
      </c>
      <c r="B75" s="90" t="s">
        <v>96</v>
      </c>
      <c r="C75" s="50" t="s">
        <v>28</v>
      </c>
      <c r="D75" s="51">
        <v>1001035937001</v>
      </c>
      <c r="E75" s="24">
        <v>39</v>
      </c>
      <c r="F75" s="23">
        <v>1</v>
      </c>
      <c r="G75" s="23">
        <f>E75</f>
        <v>39</v>
      </c>
      <c r="H75" s="14">
        <v>3</v>
      </c>
      <c r="I75" s="14">
        <v>45</v>
      </c>
      <c r="J75" s="29"/>
    </row>
    <row r="76" spans="1:10" ht="16.5" customHeight="1" x14ac:dyDescent="0.25">
      <c r="A76" s="54" t="str">
        <f t="shared" si="3"/>
        <v>6527</v>
      </c>
      <c r="B76" s="90" t="s">
        <v>97</v>
      </c>
      <c r="C76" s="50" t="s">
        <v>28</v>
      </c>
      <c r="D76" s="51">
        <v>1001031076527</v>
      </c>
      <c r="E76" s="24"/>
      <c r="F76" s="23">
        <v>1</v>
      </c>
      <c r="G76" s="23">
        <f>E76</f>
        <v>0</v>
      </c>
      <c r="H76" s="14">
        <v>3</v>
      </c>
      <c r="I76" s="14">
        <v>45</v>
      </c>
      <c r="J76" s="29"/>
    </row>
    <row r="77" spans="1:10" ht="16.5" customHeight="1" x14ac:dyDescent="0.25">
      <c r="A77" s="54" t="str">
        <f t="shared" si="3"/>
        <v>6609</v>
      </c>
      <c r="B77" s="90" t="s">
        <v>98</v>
      </c>
      <c r="C77" s="50" t="s">
        <v>25</v>
      </c>
      <c r="D77" s="51">
        <v>1001033856609</v>
      </c>
      <c r="E77" s="24"/>
      <c r="F77" s="23">
        <v>0.4</v>
      </c>
      <c r="G77" s="23">
        <f>E77*F77</f>
        <v>0</v>
      </c>
      <c r="H77" s="14">
        <v>2.4</v>
      </c>
      <c r="I77" s="14">
        <v>45</v>
      </c>
      <c r="J77" s="29"/>
    </row>
    <row r="78" spans="1:10" ht="16.5" customHeight="1" x14ac:dyDescent="0.25">
      <c r="A78" s="54" t="str">
        <f t="shared" si="3"/>
        <v>7059</v>
      </c>
      <c r="B78" s="90" t="s">
        <v>99</v>
      </c>
      <c r="C78" s="50" t="s">
        <v>25</v>
      </c>
      <c r="D78" s="51">
        <v>1001035277059</v>
      </c>
      <c r="E78" s="24"/>
      <c r="F78" s="23">
        <v>0.3</v>
      </c>
      <c r="G78" s="23">
        <f>E78*F78</f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4" t="str">
        <f t="shared" si="3"/>
        <v>6528</v>
      </c>
      <c r="B79" s="90" t="s">
        <v>100</v>
      </c>
      <c r="C79" s="50" t="s">
        <v>25</v>
      </c>
      <c r="D79" s="51">
        <v>1001031076528</v>
      </c>
      <c r="E79" s="24"/>
      <c r="F79" s="23">
        <v>0.4</v>
      </c>
      <c r="G79" s="23">
        <f>E79*F79</f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7"/>
      <c r="B80" s="42" t="s">
        <v>101</v>
      </c>
      <c r="C80" s="42"/>
      <c r="D80" s="42"/>
      <c r="E80" s="24"/>
      <c r="F80" s="41"/>
      <c r="G80" s="42"/>
      <c r="H80" s="42"/>
      <c r="I80" s="42"/>
      <c r="J80" s="43"/>
    </row>
    <row r="81" spans="1:10" ht="16.5" customHeight="1" thickTop="1" x14ac:dyDescent="0.25">
      <c r="A81" s="54" t="str">
        <f t="shared" ref="A81:A104" si="4">RIGHT(D81,4)</f>
        <v>7564</v>
      </c>
      <c r="B81" s="53" t="s">
        <v>102</v>
      </c>
      <c r="C81" s="50" t="s">
        <v>28</v>
      </c>
      <c r="D81" s="51">
        <v>1001303637564</v>
      </c>
      <c r="E81" s="24">
        <v>20</v>
      </c>
      <c r="F81" s="23">
        <v>0.84</v>
      </c>
      <c r="G81" s="23">
        <f>E81</f>
        <v>20</v>
      </c>
      <c r="H81" s="14">
        <v>5.04</v>
      </c>
      <c r="I81" s="14">
        <v>45</v>
      </c>
      <c r="J81" s="52" t="s">
        <v>103</v>
      </c>
    </row>
    <row r="82" spans="1:10" ht="16.5" customHeight="1" x14ac:dyDescent="0.25">
      <c r="A82" s="54" t="str">
        <f t="shared" si="4"/>
        <v>7603</v>
      </c>
      <c r="B82" s="53" t="s">
        <v>104</v>
      </c>
      <c r="C82" s="50" t="s">
        <v>25</v>
      </c>
      <c r="D82" s="51">
        <v>1001303637603</v>
      </c>
      <c r="E82" s="24">
        <v>50</v>
      </c>
      <c r="F82" s="23">
        <v>0.33</v>
      </c>
      <c r="G82" s="23">
        <f>E82*F82</f>
        <v>16.5</v>
      </c>
      <c r="H82" s="14">
        <v>2.64</v>
      </c>
      <c r="I82" s="14">
        <v>45</v>
      </c>
      <c r="J82" s="52" t="s">
        <v>105</v>
      </c>
    </row>
    <row r="83" spans="1:10" ht="16.5" customHeight="1" x14ac:dyDescent="0.25">
      <c r="A83" s="54" t="str">
        <f t="shared" si="4"/>
        <v>7149</v>
      </c>
      <c r="B83" s="53" t="s">
        <v>106</v>
      </c>
      <c r="C83" s="50" t="s">
        <v>25</v>
      </c>
      <c r="D83" s="51">
        <v>1001303637149</v>
      </c>
      <c r="E83" s="24"/>
      <c r="F83" s="23">
        <v>0.84</v>
      </c>
      <c r="G83" s="23">
        <f>E83*F83</f>
        <v>0</v>
      </c>
      <c r="H83" s="14">
        <v>5.04</v>
      </c>
      <c r="I83" s="14">
        <v>50</v>
      </c>
      <c r="J83" s="29"/>
    </row>
    <row r="84" spans="1:10" ht="16.5" customHeight="1" x14ac:dyDescent="0.25">
      <c r="A84" s="54" t="str">
        <f t="shared" si="4"/>
        <v>7233</v>
      </c>
      <c r="B84" s="53" t="s">
        <v>107</v>
      </c>
      <c r="C84" s="50" t="s">
        <v>25</v>
      </c>
      <c r="D84" s="51">
        <v>1001303637233</v>
      </c>
      <c r="E84" s="24"/>
      <c r="F84" s="55">
        <v>0.31</v>
      </c>
      <c r="G84" s="23">
        <f>E84*F84</f>
        <v>0</v>
      </c>
      <c r="H84" s="29">
        <v>2.48</v>
      </c>
      <c r="I84" s="29">
        <v>45</v>
      </c>
      <c r="J84" s="29"/>
    </row>
    <row r="85" spans="1:10" ht="16.5" customHeight="1" x14ac:dyDescent="0.25">
      <c r="A85" s="54" t="str">
        <f t="shared" si="4"/>
        <v>7232</v>
      </c>
      <c r="B85" s="53" t="s">
        <v>108</v>
      </c>
      <c r="C85" s="50" t="s">
        <v>25</v>
      </c>
      <c r="D85" s="51">
        <v>1001302277232</v>
      </c>
      <c r="E85" s="24">
        <v>213</v>
      </c>
      <c r="F85" s="55">
        <v>0.28000000000000003</v>
      </c>
      <c r="G85" s="23">
        <f>E85*F85</f>
        <v>59.640000000000008</v>
      </c>
      <c r="H85" s="29">
        <v>2.2400000000000002</v>
      </c>
      <c r="I85" s="29">
        <v>50</v>
      </c>
      <c r="J85" s="29"/>
    </row>
    <row r="86" spans="1:10" ht="16.5" customHeight="1" x14ac:dyDescent="0.25">
      <c r="A86" s="54" t="str">
        <f t="shared" si="4"/>
        <v>7241</v>
      </c>
      <c r="B86" s="53" t="s">
        <v>109</v>
      </c>
      <c r="C86" s="50" t="s">
        <v>25</v>
      </c>
      <c r="D86" s="51">
        <v>1001303107241</v>
      </c>
      <c r="E86" s="24"/>
      <c r="F86" s="55">
        <v>0.28000000000000003</v>
      </c>
      <c r="G86" s="23">
        <f>E86*F86</f>
        <v>0</v>
      </c>
      <c r="H86" s="29">
        <v>2.2400000000000002</v>
      </c>
      <c r="I86" s="29">
        <v>45</v>
      </c>
      <c r="J86" s="29"/>
    </row>
    <row r="87" spans="1:10" ht="16.5" customHeight="1" x14ac:dyDescent="0.25">
      <c r="A87" s="54" t="str">
        <f t="shared" si="4"/>
        <v>7133</v>
      </c>
      <c r="B87" s="53" t="s">
        <v>110</v>
      </c>
      <c r="C87" s="50" t="s">
        <v>28</v>
      </c>
      <c r="D87" s="51">
        <v>1001300367133</v>
      </c>
      <c r="E87" s="24"/>
      <c r="F87" s="55">
        <v>0.84</v>
      </c>
      <c r="G87" s="23">
        <f>E87</f>
        <v>0</v>
      </c>
      <c r="H87" s="29">
        <v>5.04</v>
      </c>
      <c r="I87" s="29">
        <v>45</v>
      </c>
      <c r="J87" s="29"/>
    </row>
    <row r="88" spans="1:10" ht="16.5" customHeight="1" x14ac:dyDescent="0.25">
      <c r="A88" s="54" t="str">
        <f t="shared" si="4"/>
        <v>6807</v>
      </c>
      <c r="B88" s="53" t="s">
        <v>111</v>
      </c>
      <c r="C88" s="50" t="s">
        <v>25</v>
      </c>
      <c r="D88" s="51">
        <v>1001300366807</v>
      </c>
      <c r="E88" s="24"/>
      <c r="F88" s="55">
        <v>0.33</v>
      </c>
      <c r="G88" s="23">
        <f>E88*F88</f>
        <v>0</v>
      </c>
      <c r="H88" s="29">
        <v>2.64</v>
      </c>
      <c r="I88" s="29">
        <v>45</v>
      </c>
      <c r="J88" s="29"/>
    </row>
    <row r="89" spans="1:10" ht="16.5" customHeight="1" x14ac:dyDescent="0.25">
      <c r="A89" s="54" t="str">
        <f t="shared" si="4"/>
        <v>7154</v>
      </c>
      <c r="B89" s="53" t="s">
        <v>112</v>
      </c>
      <c r="C89" s="50" t="s">
        <v>25</v>
      </c>
      <c r="D89" s="51">
        <v>1001300387154</v>
      </c>
      <c r="E89" s="24">
        <v>203</v>
      </c>
      <c r="F89" s="23">
        <v>0.35</v>
      </c>
      <c r="G89" s="23">
        <f>E89*F89</f>
        <v>71.05</v>
      </c>
      <c r="H89" s="14">
        <v>2.8</v>
      </c>
      <c r="I89" s="14">
        <v>50</v>
      </c>
      <c r="J89" s="29"/>
    </row>
    <row r="90" spans="1:10" ht="16.5" customHeight="1" x14ac:dyDescent="0.25">
      <c r="A90" s="54" t="str">
        <f t="shared" si="4"/>
        <v>7157</v>
      </c>
      <c r="B90" s="53" t="s">
        <v>113</v>
      </c>
      <c r="C90" s="50" t="s">
        <v>28</v>
      </c>
      <c r="D90" s="51">
        <v>1001300387157</v>
      </c>
      <c r="E90" s="24"/>
      <c r="F90" s="23">
        <v>0.63</v>
      </c>
      <c r="G90" s="23">
        <f>E90</f>
        <v>0</v>
      </c>
      <c r="H90" s="14">
        <v>5.04</v>
      </c>
      <c r="I90" s="14">
        <v>50</v>
      </c>
      <c r="J90" s="29"/>
    </row>
    <row r="91" spans="1:10" ht="16.5" customHeight="1" x14ac:dyDescent="0.25">
      <c r="A91" s="54" t="str">
        <f t="shared" si="4"/>
        <v>7236</v>
      </c>
      <c r="B91" s="53" t="s">
        <v>114</v>
      </c>
      <c r="C91" s="50" t="s">
        <v>25</v>
      </c>
      <c r="D91" s="51">
        <v>1001304507236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29"/>
    </row>
    <row r="92" spans="1:10" ht="16.5" customHeight="1" x14ac:dyDescent="0.25">
      <c r="A92" s="54" t="str">
        <f t="shared" si="4"/>
        <v>7489</v>
      </c>
      <c r="B92" s="53" t="s">
        <v>115</v>
      </c>
      <c r="C92" s="50" t="s">
        <v>25</v>
      </c>
      <c r="D92" s="51">
        <v>1001307357489</v>
      </c>
      <c r="E92" s="24"/>
      <c r="F92" s="23">
        <v>0.28000000000000003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4" t="str">
        <f t="shared" si="4"/>
        <v>6787</v>
      </c>
      <c r="B93" s="98" t="s">
        <v>116</v>
      </c>
      <c r="C93" s="50" t="s">
        <v>25</v>
      </c>
      <c r="D93" s="51">
        <v>1001300456787</v>
      </c>
      <c r="E93" s="24"/>
      <c r="F93" s="23">
        <v>0.33</v>
      </c>
      <c r="G93" s="23">
        <f>E93*F93</f>
        <v>0</v>
      </c>
      <c r="H93" s="14">
        <v>2.64</v>
      </c>
      <c r="I93" s="14">
        <v>45</v>
      </c>
      <c r="J93" s="29"/>
    </row>
    <row r="94" spans="1:10" ht="16.5" customHeight="1" x14ac:dyDescent="0.25">
      <c r="A94" s="54" t="str">
        <f t="shared" si="4"/>
        <v>7166</v>
      </c>
      <c r="B94" s="98" t="s">
        <v>117</v>
      </c>
      <c r="C94" s="50" t="s">
        <v>28</v>
      </c>
      <c r="D94" s="51">
        <v>1001303987166</v>
      </c>
      <c r="E94" s="24">
        <v>39</v>
      </c>
      <c r="F94" s="23">
        <v>0.7</v>
      </c>
      <c r="G94" s="23">
        <f>E94</f>
        <v>39</v>
      </c>
      <c r="H94" s="14">
        <v>5.6</v>
      </c>
      <c r="I94" s="14">
        <v>50</v>
      </c>
      <c r="J94" s="29"/>
    </row>
    <row r="95" spans="1:10" ht="15.75" customHeight="1" x14ac:dyDescent="0.25">
      <c r="A95" s="54" t="str">
        <f t="shared" si="4"/>
        <v>7169</v>
      </c>
      <c r="B95" s="53" t="s">
        <v>118</v>
      </c>
      <c r="C95" s="50" t="s">
        <v>25</v>
      </c>
      <c r="D95" s="51">
        <v>1001303987169</v>
      </c>
      <c r="E95" s="24">
        <v>117</v>
      </c>
      <c r="F95" s="23">
        <v>0.35</v>
      </c>
      <c r="G95" s="23">
        <f>E95*F95</f>
        <v>40.949999999999996</v>
      </c>
      <c r="H95" s="14">
        <v>2.8</v>
      </c>
      <c r="I95" s="14">
        <v>50</v>
      </c>
      <c r="J95" s="29"/>
    </row>
    <row r="96" spans="1:10" ht="15.75" customHeight="1" x14ac:dyDescent="0.25">
      <c r="A96" s="54" t="str">
        <f t="shared" si="4"/>
        <v>5544</v>
      </c>
      <c r="B96" s="53" t="s">
        <v>119</v>
      </c>
      <c r="C96" s="50" t="s">
        <v>28</v>
      </c>
      <c r="D96" s="51">
        <v>1001051875544</v>
      </c>
      <c r="E96" s="24"/>
      <c r="F96" s="23">
        <v>0.81</v>
      </c>
      <c r="G96" s="23">
        <f>E96</f>
        <v>0</v>
      </c>
      <c r="H96" s="14">
        <v>4.8600000000000003</v>
      </c>
      <c r="I96" s="14">
        <v>45</v>
      </c>
      <c r="J96" s="49"/>
    </row>
    <row r="97" spans="1:10" ht="15.75" customHeight="1" x14ac:dyDescent="0.25">
      <c r="A97" s="54" t="str">
        <f t="shared" si="4"/>
        <v>6697</v>
      </c>
      <c r="B97" s="53" t="s">
        <v>120</v>
      </c>
      <c r="C97" s="50" t="s">
        <v>25</v>
      </c>
      <c r="D97" s="51">
        <v>1001301876697</v>
      </c>
      <c r="E97" s="24"/>
      <c r="F97" s="23">
        <v>0.35</v>
      </c>
      <c r="G97" s="23">
        <f t="shared" ref="G97:G104" si="5">E97*F97</f>
        <v>0</v>
      </c>
      <c r="H97" s="14">
        <v>2.8</v>
      </c>
      <c r="I97" s="14">
        <v>45</v>
      </c>
      <c r="J97" s="49"/>
    </row>
    <row r="98" spans="1:10" ht="15.75" customHeight="1" x14ac:dyDescent="0.25">
      <c r="A98" s="54" t="str">
        <f t="shared" si="4"/>
        <v>7237</v>
      </c>
      <c r="B98" s="53" t="s">
        <v>121</v>
      </c>
      <c r="C98" s="50" t="s">
        <v>25</v>
      </c>
      <c r="D98" s="51">
        <v>1001304497237</v>
      </c>
      <c r="E98" s="24"/>
      <c r="F98" s="23">
        <v>0.28000000000000003</v>
      </c>
      <c r="G98" s="23">
        <f t="shared" si="5"/>
        <v>0</v>
      </c>
      <c r="H98" s="14">
        <v>2.2400000000000002</v>
      </c>
      <c r="I98" s="14">
        <v>45</v>
      </c>
      <c r="J98" s="49"/>
    </row>
    <row r="99" spans="1:10" ht="15.75" customHeight="1" x14ac:dyDescent="0.25">
      <c r="A99" s="54" t="str">
        <f t="shared" si="4"/>
        <v>7238</v>
      </c>
      <c r="B99" s="53" t="s">
        <v>122</v>
      </c>
      <c r="C99" s="50" t="s">
        <v>25</v>
      </c>
      <c r="D99" s="51">
        <v>1001305197238</v>
      </c>
      <c r="E99" s="24"/>
      <c r="F99" s="23">
        <v>0.31</v>
      </c>
      <c r="G99" s="23">
        <f t="shared" si="5"/>
        <v>0</v>
      </c>
      <c r="H99" s="14">
        <v>2.48</v>
      </c>
      <c r="I99" s="14">
        <v>45</v>
      </c>
      <c r="J99" s="49"/>
    </row>
    <row r="100" spans="1:10" ht="15.75" customHeight="1" x14ac:dyDescent="0.25">
      <c r="A100" s="54" t="str">
        <f t="shared" si="4"/>
        <v>7177</v>
      </c>
      <c r="B100" s="53" t="s">
        <v>123</v>
      </c>
      <c r="C100" s="50" t="s">
        <v>25</v>
      </c>
      <c r="D100" s="51">
        <v>1001302347177</v>
      </c>
      <c r="E100" s="24"/>
      <c r="F100" s="23">
        <v>0.35</v>
      </c>
      <c r="G100" s="23">
        <f t="shared" si="5"/>
        <v>0</v>
      </c>
      <c r="H100" s="14">
        <v>2.8</v>
      </c>
      <c r="I100" s="14">
        <v>50</v>
      </c>
      <c r="J100" s="49"/>
    </row>
    <row r="101" spans="1:10" ht="15.75" customHeight="1" x14ac:dyDescent="0.25">
      <c r="A101" s="54" t="str">
        <f t="shared" si="4"/>
        <v>7332</v>
      </c>
      <c r="B101" s="53" t="s">
        <v>124</v>
      </c>
      <c r="C101" s="50" t="s">
        <v>25</v>
      </c>
      <c r="D101" s="51">
        <v>1001301777332</v>
      </c>
      <c r="E101" s="24"/>
      <c r="F101" s="23">
        <v>0.28000000000000003</v>
      </c>
      <c r="G101" s="23">
        <f t="shared" si="5"/>
        <v>0</v>
      </c>
      <c r="H101" s="14">
        <v>2.2400000000000002</v>
      </c>
      <c r="I101" s="14">
        <v>50</v>
      </c>
      <c r="J101" s="49"/>
    </row>
    <row r="102" spans="1:10" ht="15.75" customHeight="1" x14ac:dyDescent="0.25">
      <c r="A102" s="54" t="str">
        <f t="shared" si="4"/>
        <v>7333</v>
      </c>
      <c r="B102" s="53" t="s">
        <v>125</v>
      </c>
      <c r="C102" s="50" t="s">
        <v>25</v>
      </c>
      <c r="D102" s="51">
        <v>1001303987333</v>
      </c>
      <c r="E102" s="24">
        <v>69</v>
      </c>
      <c r="F102" s="23">
        <v>0.28000000000000003</v>
      </c>
      <c r="G102" s="23">
        <f t="shared" si="5"/>
        <v>19.32</v>
      </c>
      <c r="H102" s="14">
        <v>2.2400000000000002</v>
      </c>
      <c r="I102" s="14">
        <v>50</v>
      </c>
      <c r="J102" s="49"/>
    </row>
    <row r="103" spans="1:10" ht="15.75" customHeight="1" x14ac:dyDescent="0.25">
      <c r="A103" s="54" t="str">
        <f t="shared" si="4"/>
        <v>6459</v>
      </c>
      <c r="B103" s="53" t="s">
        <v>126</v>
      </c>
      <c r="C103" s="50" t="s">
        <v>25</v>
      </c>
      <c r="D103" s="51">
        <v>1001214196459</v>
      </c>
      <c r="E103" s="24">
        <v>53</v>
      </c>
      <c r="F103" s="23">
        <v>0.1</v>
      </c>
      <c r="G103" s="23">
        <f t="shared" si="5"/>
        <v>5.3000000000000007</v>
      </c>
      <c r="H103" s="14">
        <v>1</v>
      </c>
      <c r="I103" s="14">
        <v>45</v>
      </c>
      <c r="J103" s="49"/>
    </row>
    <row r="104" spans="1:10" ht="15.75" customHeight="1" thickBot="1" x14ac:dyDescent="0.3">
      <c r="A104" s="54" t="str">
        <f t="shared" si="4"/>
        <v>7474</v>
      </c>
      <c r="B104" s="53" t="s">
        <v>127</v>
      </c>
      <c r="C104" s="50" t="s">
        <v>25</v>
      </c>
      <c r="D104" s="51">
        <v>1001216717474</v>
      </c>
      <c r="E104" s="24"/>
      <c r="F104" s="23">
        <v>0.1</v>
      </c>
      <c r="G104" s="23">
        <f t="shared" si="5"/>
        <v>0</v>
      </c>
      <c r="H104" s="14">
        <v>1</v>
      </c>
      <c r="I104" s="14">
        <v>45</v>
      </c>
      <c r="J104" s="49"/>
    </row>
    <row r="105" spans="1:10" ht="16.5" customHeight="1" thickTop="1" thickBot="1" x14ac:dyDescent="0.3">
      <c r="A105" s="47"/>
      <c r="B105" s="42" t="s">
        <v>128</v>
      </c>
      <c r="C105" s="42"/>
      <c r="D105" s="42"/>
      <c r="E105" s="24"/>
      <c r="F105" s="41"/>
      <c r="G105" s="42"/>
      <c r="H105" s="42"/>
      <c r="I105" s="42"/>
      <c r="J105" s="43"/>
    </row>
    <row r="106" spans="1:10" ht="16.5" customHeight="1" thickTop="1" x14ac:dyDescent="0.25">
      <c r="A106" s="54" t="str">
        <f t="shared" ref="A106:A139" si="6">RIGHT(D106,4)</f>
        <v>3582</v>
      </c>
      <c r="B106" s="53" t="s">
        <v>129</v>
      </c>
      <c r="C106" s="50" t="s">
        <v>28</v>
      </c>
      <c r="D106" s="51">
        <v>1001061973582</v>
      </c>
      <c r="E106" s="24"/>
      <c r="F106" s="55">
        <v>0.48799999999999999</v>
      </c>
      <c r="G106" s="23">
        <f>E106</f>
        <v>0</v>
      </c>
      <c r="H106" s="93">
        <v>3.9</v>
      </c>
      <c r="I106" s="92">
        <v>120</v>
      </c>
      <c r="J106" s="29"/>
    </row>
    <row r="107" spans="1:10" ht="16.5" customHeight="1" x14ac:dyDescent="0.25">
      <c r="A107" s="54" t="str">
        <f t="shared" si="6"/>
        <v>3986</v>
      </c>
      <c r="B107" s="53" t="s">
        <v>130</v>
      </c>
      <c r="C107" s="50" t="s">
        <v>25</v>
      </c>
      <c r="D107" s="51">
        <v>1001061973986</v>
      </c>
      <c r="E107" s="24"/>
      <c r="F107" s="55">
        <v>0.25</v>
      </c>
      <c r="G107" s="23">
        <f>E107*F107</f>
        <v>0</v>
      </c>
      <c r="H107" s="93">
        <v>2</v>
      </c>
      <c r="I107" s="92">
        <v>120</v>
      </c>
      <c r="J107" s="29"/>
    </row>
    <row r="108" spans="1:10" ht="16.5" customHeight="1" x14ac:dyDescent="0.25">
      <c r="A108" s="54" t="str">
        <f t="shared" si="6"/>
        <v>5931</v>
      </c>
      <c r="B108" s="53" t="s">
        <v>131</v>
      </c>
      <c r="C108" s="50" t="s">
        <v>25</v>
      </c>
      <c r="D108" s="51">
        <v>1001060755931</v>
      </c>
      <c r="E108" s="24">
        <v>95</v>
      </c>
      <c r="F108" s="23">
        <v>0.22</v>
      </c>
      <c r="G108" s="23">
        <f>E108*F108</f>
        <v>20.9</v>
      </c>
      <c r="H108" s="91">
        <v>1.76</v>
      </c>
      <c r="I108" s="14">
        <v>120</v>
      </c>
      <c r="J108" s="29"/>
    </row>
    <row r="109" spans="1:10" ht="16.5" customHeight="1" x14ac:dyDescent="0.25">
      <c r="A109" s="54" t="str">
        <f t="shared" si="6"/>
        <v>5708</v>
      </c>
      <c r="B109" s="53" t="s">
        <v>132</v>
      </c>
      <c r="C109" s="50" t="s">
        <v>28</v>
      </c>
      <c r="D109" s="51">
        <v>1001063145708</v>
      </c>
      <c r="E109" s="24"/>
      <c r="F109" s="23">
        <v>0.5</v>
      </c>
      <c r="G109" s="23">
        <f>E109</f>
        <v>0</v>
      </c>
      <c r="H109" s="14">
        <v>4</v>
      </c>
      <c r="I109" s="14">
        <v>120</v>
      </c>
      <c r="J109" s="29"/>
    </row>
    <row r="110" spans="1:10" ht="16.5" customHeight="1" x14ac:dyDescent="0.25">
      <c r="A110" s="54" t="str">
        <f t="shared" si="6"/>
        <v>3287</v>
      </c>
      <c r="B110" s="53" t="s">
        <v>133</v>
      </c>
      <c r="C110" s="50" t="s">
        <v>28</v>
      </c>
      <c r="D110" s="51">
        <v>1001060763287</v>
      </c>
      <c r="E110" s="24"/>
      <c r="F110" s="23">
        <v>0.48799999999999999</v>
      </c>
      <c r="G110" s="23">
        <f>E110</f>
        <v>0</v>
      </c>
      <c r="H110" s="14">
        <v>3.9</v>
      </c>
      <c r="I110" s="14">
        <v>120</v>
      </c>
      <c r="J110" s="29"/>
    </row>
    <row r="111" spans="1:10" ht="16.5" customHeight="1" x14ac:dyDescent="0.25">
      <c r="A111" s="54" t="str">
        <f t="shared" si="6"/>
        <v>4993</v>
      </c>
      <c r="B111" s="53" t="s">
        <v>134</v>
      </c>
      <c r="C111" s="50" t="s">
        <v>25</v>
      </c>
      <c r="D111" s="51">
        <v>1001060764993</v>
      </c>
      <c r="E111" s="24"/>
      <c r="F111" s="23">
        <v>0.25</v>
      </c>
      <c r="G111" s="23">
        <f>E111*F111</f>
        <v>0</v>
      </c>
      <c r="H111" s="14">
        <v>2</v>
      </c>
      <c r="I111" s="14">
        <v>120</v>
      </c>
      <c r="J111" s="29"/>
    </row>
    <row r="112" spans="1:10" ht="16.5" customHeight="1" x14ac:dyDescent="0.25">
      <c r="A112" s="54" t="str">
        <f t="shared" si="6"/>
        <v>5483</v>
      </c>
      <c r="B112" s="53" t="s">
        <v>135</v>
      </c>
      <c r="C112" s="50" t="s">
        <v>25</v>
      </c>
      <c r="D112" s="51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54" t="str">
        <f t="shared" si="6"/>
        <v>4117</v>
      </c>
      <c r="B113" s="53" t="s">
        <v>136</v>
      </c>
      <c r="C113" s="50" t="s">
        <v>28</v>
      </c>
      <c r="D113" s="51">
        <v>1001062504117</v>
      </c>
      <c r="E113" s="24"/>
      <c r="F113" s="23">
        <v>0.49399999999999999</v>
      </c>
      <c r="G113" s="23">
        <f>E113</f>
        <v>0</v>
      </c>
      <c r="H113" s="14">
        <v>3.95</v>
      </c>
      <c r="I113" s="14">
        <v>120</v>
      </c>
      <c r="J113" s="29"/>
    </row>
    <row r="114" spans="1:10" ht="16.5" customHeight="1" x14ac:dyDescent="0.25">
      <c r="A114" s="54" t="str">
        <f t="shared" si="6"/>
        <v>0614</v>
      </c>
      <c r="B114" s="53" t="s">
        <v>137</v>
      </c>
      <c r="C114" s="50" t="s">
        <v>28</v>
      </c>
      <c r="D114" s="51">
        <v>1001060720614</v>
      </c>
      <c r="E114" s="24"/>
      <c r="F114" s="23">
        <v>0.52</v>
      </c>
      <c r="G114" s="23">
        <f>E114</f>
        <v>0</v>
      </c>
      <c r="H114" s="14">
        <v>3.64</v>
      </c>
      <c r="I114" s="14">
        <v>120</v>
      </c>
      <c r="J114" s="29"/>
    </row>
    <row r="115" spans="1:10" ht="16.5" customHeight="1" x14ac:dyDescent="0.25">
      <c r="A115" s="54" t="str">
        <f t="shared" si="6"/>
        <v>6967</v>
      </c>
      <c r="B115" s="53" t="s">
        <v>138</v>
      </c>
      <c r="C115" s="50" t="s">
        <v>25</v>
      </c>
      <c r="D115" s="51">
        <v>1001063656967</v>
      </c>
      <c r="E115" s="24">
        <v>33</v>
      </c>
      <c r="F115" s="23">
        <v>0.25</v>
      </c>
      <c r="G115" s="23">
        <f t="shared" ref="G115:G125" si="7">E115*F115</f>
        <v>8.25</v>
      </c>
      <c r="H115" s="14">
        <v>2</v>
      </c>
      <c r="I115" s="14">
        <v>120</v>
      </c>
      <c r="J115" s="29"/>
    </row>
    <row r="116" spans="1:10" ht="16.5" customHeight="1" x14ac:dyDescent="0.25">
      <c r="A116" s="54" t="str">
        <f t="shared" si="6"/>
        <v>6937</v>
      </c>
      <c r="B116" s="53" t="s">
        <v>139</v>
      </c>
      <c r="C116" s="50" t="s">
        <v>25</v>
      </c>
      <c r="D116" s="51">
        <v>1001063106937</v>
      </c>
      <c r="E116" s="24"/>
      <c r="F116" s="23">
        <v>0.25</v>
      </c>
      <c r="G116" s="23">
        <f t="shared" si="7"/>
        <v>0</v>
      </c>
      <c r="H116" s="14">
        <v>2</v>
      </c>
      <c r="I116" s="14">
        <v>120</v>
      </c>
      <c r="J116" s="29"/>
    </row>
    <row r="117" spans="1:10" ht="16.5" customHeight="1" x14ac:dyDescent="0.25">
      <c r="A117" s="54" t="str">
        <f t="shared" si="6"/>
        <v>7143</v>
      </c>
      <c r="B117" s="53" t="s">
        <v>140</v>
      </c>
      <c r="C117" s="50" t="s">
        <v>25</v>
      </c>
      <c r="D117" s="51">
        <v>1001060717143</v>
      </c>
      <c r="E117" s="24"/>
      <c r="F117" s="23">
        <v>0.22</v>
      </c>
      <c r="G117" s="23">
        <f t="shared" si="7"/>
        <v>0</v>
      </c>
      <c r="H117" s="14">
        <v>1.76</v>
      </c>
      <c r="I117" s="14">
        <v>120</v>
      </c>
      <c r="J117" s="29"/>
    </row>
    <row r="118" spans="1:10" ht="16.5" customHeight="1" x14ac:dyDescent="0.25">
      <c r="A118" s="54" t="str">
        <f t="shared" si="6"/>
        <v>7147</v>
      </c>
      <c r="B118" s="53" t="s">
        <v>141</v>
      </c>
      <c r="C118" s="50" t="s">
        <v>25</v>
      </c>
      <c r="D118" s="51">
        <v>1001063237147</v>
      </c>
      <c r="E118" s="24">
        <v>86</v>
      </c>
      <c r="F118" s="23">
        <v>0.22</v>
      </c>
      <c r="G118" s="23">
        <f t="shared" si="7"/>
        <v>18.920000000000002</v>
      </c>
      <c r="H118" s="14">
        <v>1.76</v>
      </c>
      <c r="I118" s="14">
        <v>120</v>
      </c>
      <c r="J118" s="29"/>
    </row>
    <row r="119" spans="1:10" ht="16.5" customHeight="1" x14ac:dyDescent="0.25">
      <c r="A119" s="54" t="str">
        <f t="shared" si="6"/>
        <v>7456</v>
      </c>
      <c r="B119" s="53" t="s">
        <v>142</v>
      </c>
      <c r="C119" s="50" t="s">
        <v>25</v>
      </c>
      <c r="D119" s="51">
        <v>1001063097456</v>
      </c>
      <c r="E119" s="24"/>
      <c r="F119" s="23">
        <v>0.15</v>
      </c>
      <c r="G119" s="23">
        <f t="shared" si="7"/>
        <v>0</v>
      </c>
      <c r="H119" s="14">
        <v>1.8</v>
      </c>
      <c r="I119" s="14">
        <v>90</v>
      </c>
      <c r="J119" s="29"/>
    </row>
    <row r="120" spans="1:10" ht="16.5" customHeight="1" x14ac:dyDescent="0.25">
      <c r="A120" s="54" t="str">
        <f t="shared" si="6"/>
        <v>7364</v>
      </c>
      <c r="B120" s="53" t="s">
        <v>143</v>
      </c>
      <c r="C120" s="50" t="s">
        <v>25</v>
      </c>
      <c r="D120" s="51">
        <v>1001063217364</v>
      </c>
      <c r="E120" s="24"/>
      <c r="F120" s="23">
        <v>0.22</v>
      </c>
      <c r="G120" s="23">
        <f t="shared" si="7"/>
        <v>0</v>
      </c>
      <c r="H120" s="14">
        <v>1.76</v>
      </c>
      <c r="I120" s="14">
        <v>90</v>
      </c>
      <c r="J120" s="29"/>
    </row>
    <row r="121" spans="1:10" ht="16.5" customHeight="1" x14ac:dyDescent="0.25">
      <c r="A121" s="54" t="str">
        <f t="shared" si="6"/>
        <v>7383</v>
      </c>
      <c r="B121" s="53" t="s">
        <v>144</v>
      </c>
      <c r="C121" s="50" t="s">
        <v>25</v>
      </c>
      <c r="D121" s="51">
        <v>1001065467383</v>
      </c>
      <c r="E121" s="24"/>
      <c r="F121" s="23">
        <v>0.22</v>
      </c>
      <c r="G121" s="23">
        <f t="shared" si="7"/>
        <v>0</v>
      </c>
      <c r="H121" s="14">
        <v>1.76</v>
      </c>
      <c r="I121" s="14">
        <v>90</v>
      </c>
      <c r="J121" s="29"/>
    </row>
    <row r="122" spans="1:10" ht="16.5" customHeight="1" x14ac:dyDescent="0.25">
      <c r="A122" s="54" t="str">
        <f t="shared" si="6"/>
        <v>7317</v>
      </c>
      <c r="B122" s="53" t="s">
        <v>145</v>
      </c>
      <c r="C122" s="50" t="s">
        <v>25</v>
      </c>
      <c r="D122" s="51">
        <v>1001066567317</v>
      </c>
      <c r="E122" s="24"/>
      <c r="F122" s="23">
        <v>0.54</v>
      </c>
      <c r="G122" s="23">
        <f t="shared" si="7"/>
        <v>0</v>
      </c>
      <c r="H122" s="14">
        <v>3.78</v>
      </c>
      <c r="I122" s="14">
        <v>120</v>
      </c>
      <c r="J122" s="29"/>
    </row>
    <row r="123" spans="1:10" ht="16.5" customHeight="1" x14ac:dyDescent="0.25">
      <c r="A123" s="54" t="str">
        <f t="shared" si="6"/>
        <v>7318</v>
      </c>
      <c r="B123" s="53" t="s">
        <v>146</v>
      </c>
      <c r="C123" s="50" t="s">
        <v>25</v>
      </c>
      <c r="D123" s="51">
        <v>1001060727318</v>
      </c>
      <c r="E123" s="24"/>
      <c r="F123" s="23">
        <v>0.27</v>
      </c>
      <c r="G123" s="23">
        <f t="shared" si="7"/>
        <v>0</v>
      </c>
      <c r="H123" s="14">
        <v>2.16</v>
      </c>
      <c r="I123" s="14">
        <v>120</v>
      </c>
      <c r="J123" s="29"/>
    </row>
    <row r="124" spans="1:10" ht="16.5" customHeight="1" x14ac:dyDescent="0.25">
      <c r="A124" s="54" t="str">
        <f t="shared" si="6"/>
        <v>7316</v>
      </c>
      <c r="B124" s="53" t="s">
        <v>147</v>
      </c>
      <c r="C124" s="50" t="s">
        <v>25</v>
      </c>
      <c r="D124" s="51">
        <v>1001060727316</v>
      </c>
      <c r="E124" s="24"/>
      <c r="F124" s="23">
        <v>0.54</v>
      </c>
      <c r="G124" s="23">
        <f t="shared" si="7"/>
        <v>0</v>
      </c>
      <c r="H124" s="14">
        <v>3.78</v>
      </c>
      <c r="I124" s="14">
        <v>120</v>
      </c>
      <c r="J124" s="29"/>
    </row>
    <row r="125" spans="1:10" ht="16.5" customHeight="1" x14ac:dyDescent="0.25">
      <c r="A125" s="54" t="str">
        <f t="shared" si="6"/>
        <v>7417</v>
      </c>
      <c r="B125" s="53" t="s">
        <v>148</v>
      </c>
      <c r="C125" s="50" t="s">
        <v>25</v>
      </c>
      <c r="D125" s="51">
        <v>1001307147417</v>
      </c>
      <c r="E125" s="24"/>
      <c r="F125" s="23">
        <v>0.44</v>
      </c>
      <c r="G125" s="23">
        <f t="shared" si="7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4" t="str">
        <f t="shared" si="6"/>
        <v>6832</v>
      </c>
      <c r="B126" s="53" t="s">
        <v>149</v>
      </c>
      <c r="C126" s="50" t="s">
        <v>28</v>
      </c>
      <c r="D126" s="51">
        <v>1001065616832</v>
      </c>
      <c r="E126" s="24"/>
      <c r="F126" s="23">
        <v>0.215</v>
      </c>
      <c r="G126" s="23">
        <f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4" t="str">
        <f t="shared" si="6"/>
        <v>7299</v>
      </c>
      <c r="B127" s="53" t="s">
        <v>150</v>
      </c>
      <c r="C127" s="50" t="s">
        <v>28</v>
      </c>
      <c r="D127" s="51">
        <v>1001060677299</v>
      </c>
      <c r="E127" s="24"/>
      <c r="F127" s="23">
        <v>0.215</v>
      </c>
      <c r="G127" s="23">
        <f>E127</f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4" t="str">
        <f t="shared" si="6"/>
        <v>7442</v>
      </c>
      <c r="B128" s="53" t="s">
        <v>151</v>
      </c>
      <c r="C128" s="50" t="s">
        <v>28</v>
      </c>
      <c r="D128" s="51">
        <v>1001200677442</v>
      </c>
      <c r="E128" s="24"/>
      <c r="F128" s="23"/>
      <c r="G128" s="23">
        <f>E128</f>
        <v>0</v>
      </c>
      <c r="H128" s="14"/>
      <c r="I128" s="14"/>
      <c r="J128" s="29"/>
    </row>
    <row r="129" spans="1:10" ht="16.5" customHeight="1" x14ac:dyDescent="0.25">
      <c r="A129" s="54" t="str">
        <f t="shared" si="6"/>
        <v>7386</v>
      </c>
      <c r="B129" s="53" t="s">
        <v>152</v>
      </c>
      <c r="C129" s="50" t="s">
        <v>25</v>
      </c>
      <c r="D129" s="51">
        <v>1001067017386</v>
      </c>
      <c r="E129" s="24"/>
      <c r="F129" s="23">
        <v>0.15</v>
      </c>
      <c r="G129" s="23">
        <f t="shared" ref="G129:G138" si="8">E129*F129</f>
        <v>0</v>
      </c>
      <c r="H129" s="14">
        <v>1.35</v>
      </c>
      <c r="I129" s="14">
        <v>90</v>
      </c>
      <c r="J129" s="29"/>
    </row>
    <row r="130" spans="1:10" ht="16.5" customHeight="1" x14ac:dyDescent="0.25">
      <c r="A130" s="54" t="str">
        <f t="shared" si="6"/>
        <v>6454</v>
      </c>
      <c r="B130" s="53" t="s">
        <v>153</v>
      </c>
      <c r="C130" s="50" t="s">
        <v>25</v>
      </c>
      <c r="D130" s="51">
        <v>1001201976454</v>
      </c>
      <c r="E130" s="24"/>
      <c r="F130" s="23">
        <v>0.1</v>
      </c>
      <c r="G130" s="23">
        <f t="shared" si="8"/>
        <v>0</v>
      </c>
      <c r="H130" s="14">
        <v>1</v>
      </c>
      <c r="I130" s="14">
        <v>60</v>
      </c>
      <c r="J130" s="29"/>
    </row>
    <row r="131" spans="1:10" ht="16.5" customHeight="1" x14ac:dyDescent="0.25">
      <c r="A131" s="54" t="str">
        <f t="shared" si="6"/>
        <v>6834</v>
      </c>
      <c r="B131" s="53" t="s">
        <v>154</v>
      </c>
      <c r="C131" s="50" t="s">
        <v>25</v>
      </c>
      <c r="D131" s="51">
        <v>1001203146834</v>
      </c>
      <c r="E131" s="24"/>
      <c r="F131" s="23">
        <v>0.1</v>
      </c>
      <c r="G131" s="23">
        <f t="shared" si="8"/>
        <v>0</v>
      </c>
      <c r="H131" s="14">
        <v>1</v>
      </c>
      <c r="I131" s="14">
        <v>60</v>
      </c>
      <c r="J131" s="29"/>
    </row>
    <row r="132" spans="1:10" ht="16.5" customHeight="1" x14ac:dyDescent="0.25">
      <c r="A132" s="54" t="str">
        <f t="shared" si="6"/>
        <v>7382</v>
      </c>
      <c r="B132" s="53" t="s">
        <v>155</v>
      </c>
      <c r="C132" s="50" t="s">
        <v>25</v>
      </c>
      <c r="D132" s="51">
        <v>1001203117382</v>
      </c>
      <c r="E132" s="24">
        <v>265</v>
      </c>
      <c r="F132" s="23">
        <v>0.12</v>
      </c>
      <c r="G132" s="23">
        <f t="shared" si="8"/>
        <v>31.799999999999997</v>
      </c>
      <c r="H132" s="14">
        <v>0.96</v>
      </c>
      <c r="I132" s="14">
        <v>60</v>
      </c>
      <c r="J132" s="29"/>
    </row>
    <row r="133" spans="1:10" ht="16.5" customHeight="1" x14ac:dyDescent="0.25">
      <c r="A133" s="54" t="str">
        <f t="shared" si="6"/>
        <v>6453</v>
      </c>
      <c r="B133" s="53" t="s">
        <v>156</v>
      </c>
      <c r="C133" s="50" t="s">
        <v>25</v>
      </c>
      <c r="D133" s="51">
        <v>1001202506453</v>
      </c>
      <c r="E133" s="24"/>
      <c r="F133" s="23">
        <v>0.1</v>
      </c>
      <c r="G133" s="23">
        <f t="shared" si="8"/>
        <v>0</v>
      </c>
      <c r="H133" s="14">
        <v>1.4</v>
      </c>
      <c r="I133" s="14">
        <v>60</v>
      </c>
      <c r="J133" s="29"/>
    </row>
    <row r="134" spans="1:10" ht="16.5" customHeight="1" x14ac:dyDescent="0.25">
      <c r="A134" s="54" t="str">
        <f t="shared" si="6"/>
        <v>6221</v>
      </c>
      <c r="B134" s="53" t="s">
        <v>157</v>
      </c>
      <c r="C134" s="50" t="s">
        <v>25</v>
      </c>
      <c r="D134" s="51">
        <v>1001205376221</v>
      </c>
      <c r="E134" s="24">
        <v>54</v>
      </c>
      <c r="F134" s="23">
        <v>0.09</v>
      </c>
      <c r="G134" s="23">
        <f t="shared" si="8"/>
        <v>4.8599999999999994</v>
      </c>
      <c r="H134" s="14">
        <v>0.9</v>
      </c>
      <c r="I134" s="14">
        <v>60</v>
      </c>
      <c r="J134" s="29"/>
    </row>
    <row r="135" spans="1:10" ht="16.5" customHeight="1" x14ac:dyDescent="0.25">
      <c r="A135" s="54" t="str">
        <f t="shared" si="6"/>
        <v>6222</v>
      </c>
      <c r="B135" s="53" t="s">
        <v>158</v>
      </c>
      <c r="C135" s="50" t="s">
        <v>25</v>
      </c>
      <c r="D135" s="51">
        <v>1001205386222</v>
      </c>
      <c r="E135" s="24"/>
      <c r="F135" s="23">
        <v>0.09</v>
      </c>
      <c r="G135" s="23">
        <f t="shared" si="8"/>
        <v>0</v>
      </c>
      <c r="H135" s="14">
        <v>0.9</v>
      </c>
      <c r="I135" s="14">
        <v>60</v>
      </c>
      <c r="J135" s="29"/>
    </row>
    <row r="136" spans="1:10" ht="16.5" customHeight="1" x14ac:dyDescent="0.25">
      <c r="A136" s="54" t="str">
        <f t="shared" si="6"/>
        <v>6965</v>
      </c>
      <c r="B136" s="53" t="s">
        <v>159</v>
      </c>
      <c r="C136" s="50" t="s">
        <v>25</v>
      </c>
      <c r="D136" s="51">
        <v>1001206356965</v>
      </c>
      <c r="E136" s="24"/>
      <c r="F136" s="23">
        <v>7.0000000000000007E-2</v>
      </c>
      <c r="G136" s="23">
        <f t="shared" si="8"/>
        <v>0</v>
      </c>
      <c r="H136" s="14">
        <v>0.98</v>
      </c>
      <c r="I136" s="14">
        <v>60</v>
      </c>
      <c r="J136" s="29"/>
    </row>
    <row r="137" spans="1:10" ht="16.5" customHeight="1" x14ac:dyDescent="0.25">
      <c r="A137" s="54" t="str">
        <f t="shared" si="6"/>
        <v>5679</v>
      </c>
      <c r="B137" s="53" t="s">
        <v>160</v>
      </c>
      <c r="C137" s="50" t="s">
        <v>25</v>
      </c>
      <c r="D137" s="51">
        <v>1001190765679</v>
      </c>
      <c r="E137" s="24">
        <v>11</v>
      </c>
      <c r="F137" s="23">
        <v>0.15</v>
      </c>
      <c r="G137" s="23">
        <f t="shared" si="8"/>
        <v>1.65</v>
      </c>
      <c r="H137" s="14">
        <v>1.2</v>
      </c>
      <c r="I137" s="14">
        <v>60</v>
      </c>
      <c r="J137" s="29"/>
    </row>
    <row r="138" spans="1:10" ht="16.5" customHeight="1" x14ac:dyDescent="0.25">
      <c r="A138" s="54" t="str">
        <f t="shared" si="6"/>
        <v>5677</v>
      </c>
      <c r="B138" s="53" t="s">
        <v>161</v>
      </c>
      <c r="C138" s="50" t="s">
        <v>25</v>
      </c>
      <c r="D138" s="51">
        <v>1001190715677</v>
      </c>
      <c r="E138" s="24"/>
      <c r="F138" s="23">
        <v>0.1</v>
      </c>
      <c r="G138" s="23">
        <f t="shared" si="8"/>
        <v>0</v>
      </c>
      <c r="H138" s="14">
        <v>1</v>
      </c>
      <c r="I138" s="14">
        <v>60</v>
      </c>
      <c r="J138" s="29"/>
    </row>
    <row r="139" spans="1:10" ht="16.5" customHeight="1" thickBot="1" x14ac:dyDescent="0.3">
      <c r="A139" s="54" t="str">
        <f t="shared" si="6"/>
        <v>7414</v>
      </c>
      <c r="B139" s="53" t="s">
        <v>162</v>
      </c>
      <c r="C139" s="50" t="s">
        <v>28</v>
      </c>
      <c r="D139" s="51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</row>
    <row r="140" spans="1:10" ht="16.5" customHeight="1" thickTop="1" thickBot="1" x14ac:dyDescent="0.3">
      <c r="A140" s="47"/>
      <c r="B140" s="42" t="s">
        <v>163</v>
      </c>
      <c r="C140" s="42"/>
      <c r="D140" s="42"/>
      <c r="E140" s="24"/>
      <c r="F140" s="41"/>
      <c r="G140" s="42"/>
      <c r="H140" s="42"/>
      <c r="I140" s="42"/>
      <c r="J140" s="43"/>
    </row>
    <row r="141" spans="1:10" ht="16.149999999999999" customHeight="1" thickTop="1" x14ac:dyDescent="0.25">
      <c r="A141" s="54" t="str">
        <f t="shared" ref="A141:A150" si="9">RIGHT(D141,4)</f>
        <v>4584</v>
      </c>
      <c r="B141" s="97" t="s">
        <v>164</v>
      </c>
      <c r="C141" s="50" t="s">
        <v>28</v>
      </c>
      <c r="D141" s="96">
        <v>1001092674584</v>
      </c>
      <c r="E141" s="24"/>
      <c r="F141" s="23">
        <v>2.5</v>
      </c>
      <c r="G141" s="23">
        <f>E141</f>
        <v>0</v>
      </c>
      <c r="H141" s="14">
        <v>7.5</v>
      </c>
      <c r="I141" s="14">
        <v>60</v>
      </c>
      <c r="J141" s="29"/>
    </row>
    <row r="142" spans="1:10" ht="16.149999999999999" customHeight="1" x14ac:dyDescent="0.25">
      <c r="A142" s="54" t="str">
        <f t="shared" si="9"/>
        <v>6495</v>
      </c>
      <c r="B142" s="97" t="s">
        <v>165</v>
      </c>
      <c r="C142" s="50" t="s">
        <v>25</v>
      </c>
      <c r="D142" s="51">
        <v>1001092436495</v>
      </c>
      <c r="E142" s="24"/>
      <c r="F142" s="55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customHeight="1" x14ac:dyDescent="0.25">
      <c r="A143" s="54" t="str">
        <f t="shared" si="9"/>
        <v>6470</v>
      </c>
      <c r="B143" s="94" t="s">
        <v>166</v>
      </c>
      <c r="C143" s="50" t="s">
        <v>28</v>
      </c>
      <c r="D143" s="51">
        <v>1001092436470</v>
      </c>
      <c r="E143" s="24"/>
      <c r="F143" s="55">
        <v>1.2</v>
      </c>
      <c r="G143" s="23">
        <f>E143</f>
        <v>0</v>
      </c>
      <c r="H143" s="29">
        <v>4.8</v>
      </c>
      <c r="I143" s="29">
        <v>45</v>
      </c>
      <c r="J143" s="29"/>
    </row>
    <row r="144" spans="1:10" ht="16.149999999999999" customHeight="1" x14ac:dyDescent="0.25">
      <c r="A144" s="54" t="str">
        <f t="shared" si="9"/>
        <v>5452</v>
      </c>
      <c r="B144" s="94" t="s">
        <v>167</v>
      </c>
      <c r="C144" s="50" t="s">
        <v>28</v>
      </c>
      <c r="D144" s="51">
        <v>1001092485452</v>
      </c>
      <c r="E144" s="24"/>
      <c r="F144" s="55">
        <v>1.35</v>
      </c>
      <c r="G144" s="23">
        <f>E144</f>
        <v>0</v>
      </c>
      <c r="H144" s="29">
        <v>4.05</v>
      </c>
      <c r="I144" s="29">
        <v>60</v>
      </c>
      <c r="J144" s="29"/>
    </row>
    <row r="145" spans="1:10" ht="16.149999999999999" customHeight="1" x14ac:dyDescent="0.25">
      <c r="A145" s="54" t="str">
        <f t="shared" si="9"/>
        <v>3215</v>
      </c>
      <c r="B145" s="94" t="s">
        <v>168</v>
      </c>
      <c r="C145" s="50" t="s">
        <v>25</v>
      </c>
      <c r="D145" s="51">
        <v>1001094053215</v>
      </c>
      <c r="E145" s="24">
        <v>71</v>
      </c>
      <c r="F145" s="55">
        <v>0.4</v>
      </c>
      <c r="G145" s="23">
        <f>E145*F145</f>
        <v>28.400000000000002</v>
      </c>
      <c r="H145" s="29">
        <v>3.2</v>
      </c>
      <c r="I145" s="29">
        <v>60</v>
      </c>
      <c r="J145" s="29"/>
    </row>
    <row r="146" spans="1:10" ht="16.149999999999999" customHeight="1" x14ac:dyDescent="0.25">
      <c r="A146" s="54" t="str">
        <f t="shared" si="9"/>
        <v>6866</v>
      </c>
      <c r="B146" s="94" t="s">
        <v>169</v>
      </c>
      <c r="C146" s="50" t="s">
        <v>28</v>
      </c>
      <c r="D146" s="51">
        <v>1001095716866</v>
      </c>
      <c r="E146" s="24"/>
      <c r="F146" s="55">
        <v>1.5</v>
      </c>
      <c r="G146" s="23">
        <f>E146</f>
        <v>0</v>
      </c>
      <c r="H146" s="29">
        <v>6</v>
      </c>
      <c r="I146" s="29">
        <v>60</v>
      </c>
      <c r="J146" s="29"/>
    </row>
    <row r="147" spans="1:10" ht="16.5" customHeight="1" x14ac:dyDescent="0.25">
      <c r="A147" s="54" t="str">
        <f t="shared" si="9"/>
        <v>5495</v>
      </c>
      <c r="B147" s="53" t="s">
        <v>170</v>
      </c>
      <c r="C147" s="50" t="s">
        <v>25</v>
      </c>
      <c r="D147" s="95">
        <v>1001093345495</v>
      </c>
      <c r="E147" s="24"/>
      <c r="F147" s="55">
        <v>0.4</v>
      </c>
      <c r="G147" s="23">
        <f>E147*F147</f>
        <v>0</v>
      </c>
      <c r="H147" s="29">
        <v>2.4</v>
      </c>
      <c r="I147" s="29">
        <v>60</v>
      </c>
      <c r="J147" s="29"/>
    </row>
    <row r="148" spans="1:10" ht="16.5" customHeight="1" x14ac:dyDescent="0.25">
      <c r="A148" s="54" t="str">
        <f t="shared" si="9"/>
        <v>7377</v>
      </c>
      <c r="B148" s="53" t="s">
        <v>171</v>
      </c>
      <c r="C148" s="50" t="s">
        <v>25</v>
      </c>
      <c r="D148" s="95">
        <v>1001095027377</v>
      </c>
      <c r="E148" s="24"/>
      <c r="F148" s="55">
        <v>0.3</v>
      </c>
      <c r="G148" s="23">
        <f>E148*F148</f>
        <v>0</v>
      </c>
      <c r="H148" s="29">
        <v>1.8</v>
      </c>
      <c r="I148" s="29">
        <v>45</v>
      </c>
      <c r="J148" s="29"/>
    </row>
    <row r="149" spans="1:10" ht="16.5" customHeight="1" x14ac:dyDescent="0.25">
      <c r="A149" s="54" t="str">
        <f t="shared" si="9"/>
        <v>6925</v>
      </c>
      <c r="B149" s="53" t="s">
        <v>172</v>
      </c>
      <c r="C149" s="50" t="s">
        <v>25</v>
      </c>
      <c r="D149" s="95">
        <v>1001095226925</v>
      </c>
      <c r="E149" s="24"/>
      <c r="F149" s="55">
        <v>0.6</v>
      </c>
      <c r="G149" s="23">
        <f>E149*F149</f>
        <v>0</v>
      </c>
      <c r="H149" s="29">
        <v>4.8</v>
      </c>
      <c r="I149" s="29">
        <v>45</v>
      </c>
      <c r="J149" s="29"/>
    </row>
    <row r="150" spans="1:10" ht="15.75" customHeight="1" thickBot="1" x14ac:dyDescent="0.3">
      <c r="A150" s="54" t="str">
        <f t="shared" si="9"/>
        <v>6025</v>
      </c>
      <c r="B150" s="53" t="s">
        <v>173</v>
      </c>
      <c r="C150" s="50" t="s">
        <v>28</v>
      </c>
      <c r="D150" s="95">
        <v>1001094966025</v>
      </c>
      <c r="E150" s="24"/>
      <c r="F150" s="55">
        <v>3</v>
      </c>
      <c r="G150" s="23">
        <f>E150</f>
        <v>0</v>
      </c>
      <c r="H150" s="29">
        <v>6</v>
      </c>
      <c r="I150" s="29">
        <v>60</v>
      </c>
      <c r="J150" s="29"/>
    </row>
    <row r="151" spans="1:10" ht="16.5" customHeight="1" thickTop="1" thickBot="1" x14ac:dyDescent="0.3">
      <c r="A151" s="47"/>
      <c r="B151" s="42" t="s">
        <v>174</v>
      </c>
      <c r="C151" s="42"/>
      <c r="D151" s="42"/>
      <c r="E151" s="24"/>
      <c r="F151" s="41"/>
      <c r="G151" s="42"/>
      <c r="H151" s="42"/>
      <c r="I151" s="42"/>
      <c r="J151" s="43"/>
    </row>
    <row r="152" spans="1:10" ht="16.5" customHeight="1" thickTop="1" x14ac:dyDescent="0.25">
      <c r="A152" s="54" t="str">
        <f t="shared" ref="A152:A163" si="10">RIGHT(D152,4)</f>
        <v>7090</v>
      </c>
      <c r="B152" s="35" t="s">
        <v>175</v>
      </c>
      <c r="C152" s="50" t="s">
        <v>25</v>
      </c>
      <c r="D152" s="51">
        <v>1001084217090</v>
      </c>
      <c r="E152" s="24"/>
      <c r="F152" s="23">
        <v>0.3</v>
      </c>
      <c r="G152" s="23">
        <f>E152*F152</f>
        <v>0</v>
      </c>
      <c r="H152" s="14">
        <v>1.8</v>
      </c>
      <c r="I152" s="14">
        <v>50</v>
      </c>
      <c r="J152" s="29"/>
    </row>
    <row r="153" spans="1:10" ht="16.5" customHeight="1" x14ac:dyDescent="0.25">
      <c r="A153" s="54" t="str">
        <f t="shared" si="10"/>
        <v>7187</v>
      </c>
      <c r="B153" s="35" t="s">
        <v>176</v>
      </c>
      <c r="C153" s="50" t="s">
        <v>25</v>
      </c>
      <c r="D153" s="51">
        <v>1001085637187</v>
      </c>
      <c r="E153" s="24">
        <v>49</v>
      </c>
      <c r="F153" s="23">
        <v>0.3</v>
      </c>
      <c r="G153" s="23">
        <f>E153*F153</f>
        <v>14.7</v>
      </c>
      <c r="H153" s="14">
        <v>1.8</v>
      </c>
      <c r="I153" s="14">
        <v>50</v>
      </c>
      <c r="J153" s="29"/>
    </row>
    <row r="154" spans="1:10" ht="16.5" customHeight="1" x14ac:dyDescent="0.25">
      <c r="A154" s="54" t="str">
        <f t="shared" si="10"/>
        <v>6620</v>
      </c>
      <c r="B154" s="35" t="s">
        <v>177</v>
      </c>
      <c r="C154" s="50" t="s">
        <v>28</v>
      </c>
      <c r="D154" s="51">
        <v>1001081596620</v>
      </c>
      <c r="E154" s="24"/>
      <c r="F154" s="23">
        <v>1.05</v>
      </c>
      <c r="G154" s="23">
        <f>E154</f>
        <v>0</v>
      </c>
      <c r="H154" s="14">
        <v>3.15</v>
      </c>
      <c r="I154" s="14">
        <v>30</v>
      </c>
      <c r="J154" s="29"/>
    </row>
    <row r="155" spans="1:10" ht="16.5" customHeight="1" x14ac:dyDescent="0.25">
      <c r="A155" s="54" t="str">
        <f t="shared" si="10"/>
        <v>6008</v>
      </c>
      <c r="B155" s="35" t="s">
        <v>178</v>
      </c>
      <c r="C155" s="50" t="s">
        <v>28</v>
      </c>
      <c r="D155" s="51">
        <v>1001084856008</v>
      </c>
      <c r="E155" s="24"/>
      <c r="F155" s="23"/>
      <c r="G155" s="23">
        <f>E155</f>
        <v>0</v>
      </c>
      <c r="H155" s="14"/>
      <c r="I155" s="14"/>
      <c r="J155" s="29"/>
    </row>
    <row r="156" spans="1:10" ht="16.5" customHeight="1" x14ac:dyDescent="0.25">
      <c r="A156" s="54" t="str">
        <f t="shared" si="10"/>
        <v>7103</v>
      </c>
      <c r="B156" s="35" t="s">
        <v>179</v>
      </c>
      <c r="C156" s="50" t="s">
        <v>25</v>
      </c>
      <c r="D156" s="51">
        <v>1001223297103</v>
      </c>
      <c r="E156" s="24">
        <v>357</v>
      </c>
      <c r="F156" s="23">
        <v>0.18</v>
      </c>
      <c r="G156" s="23">
        <f t="shared" ref="G156:G163" si="11">E156*F156</f>
        <v>64.259999999999991</v>
      </c>
      <c r="H156" s="14">
        <v>1.8</v>
      </c>
      <c r="I156" s="14">
        <v>50</v>
      </c>
      <c r="J156" s="29"/>
    </row>
    <row r="157" spans="1:10" ht="16.5" customHeight="1" x14ac:dyDescent="0.25">
      <c r="A157" s="54" t="str">
        <f t="shared" si="10"/>
        <v>7092</v>
      </c>
      <c r="B157" s="35" t="s">
        <v>180</v>
      </c>
      <c r="C157" s="50" t="s">
        <v>25</v>
      </c>
      <c r="D157" s="51">
        <v>1001223297092</v>
      </c>
      <c r="E157" s="24">
        <v>10</v>
      </c>
      <c r="F157" s="23">
        <v>0.14000000000000001</v>
      </c>
      <c r="G157" s="23">
        <f t="shared" si="11"/>
        <v>1.4000000000000001</v>
      </c>
      <c r="H157" s="14">
        <v>1.4</v>
      </c>
      <c r="I157" s="14">
        <v>50</v>
      </c>
      <c r="J157" s="29"/>
    </row>
    <row r="158" spans="1:10" ht="16.5" customHeight="1" x14ac:dyDescent="0.25">
      <c r="A158" s="54" t="str">
        <f t="shared" si="10"/>
        <v>6228</v>
      </c>
      <c r="B158" s="35" t="s">
        <v>181</v>
      </c>
      <c r="C158" s="50" t="s">
        <v>25</v>
      </c>
      <c r="D158" s="51">
        <v>1001225416228</v>
      </c>
      <c r="E158" s="24"/>
      <c r="F158" s="23">
        <v>0.09</v>
      </c>
      <c r="G158" s="23">
        <f t="shared" si="11"/>
        <v>0</v>
      </c>
      <c r="H158" s="14">
        <v>0.9</v>
      </c>
      <c r="I158" s="14">
        <v>45</v>
      </c>
      <c r="J158" s="29"/>
    </row>
    <row r="159" spans="1:10" ht="16.5" customHeight="1" x14ac:dyDescent="0.25">
      <c r="A159" s="54" t="str">
        <f t="shared" si="10"/>
        <v>6448</v>
      </c>
      <c r="B159" s="35" t="s">
        <v>182</v>
      </c>
      <c r="C159" s="50" t="s">
        <v>25</v>
      </c>
      <c r="D159" s="51">
        <v>1001234146448</v>
      </c>
      <c r="E159" s="24"/>
      <c r="F159" s="23">
        <v>0.1</v>
      </c>
      <c r="G159" s="23">
        <f t="shared" si="11"/>
        <v>0</v>
      </c>
      <c r="H159" s="14">
        <v>1</v>
      </c>
      <c r="I159" s="14">
        <v>45</v>
      </c>
      <c r="J159" s="29"/>
    </row>
    <row r="160" spans="1:10" ht="16.5" customHeight="1" x14ac:dyDescent="0.25">
      <c r="A160" s="54" t="str">
        <f t="shared" si="10"/>
        <v>6208</v>
      </c>
      <c r="B160" s="35" t="s">
        <v>183</v>
      </c>
      <c r="C160" s="50" t="s">
        <v>25</v>
      </c>
      <c r="D160" s="51">
        <v>1001220226208</v>
      </c>
      <c r="E160" s="24"/>
      <c r="F160" s="23">
        <v>0.15</v>
      </c>
      <c r="G160" s="23">
        <f t="shared" si="11"/>
        <v>0</v>
      </c>
      <c r="H160" s="14">
        <v>1.5</v>
      </c>
      <c r="I160" s="14">
        <v>45</v>
      </c>
      <c r="J160" s="29"/>
    </row>
    <row r="161" spans="1:10" ht="16.5" customHeight="1" x14ac:dyDescent="0.25">
      <c r="A161" s="54" t="str">
        <f t="shared" si="10"/>
        <v>6754</v>
      </c>
      <c r="B161" s="35" t="s">
        <v>184</v>
      </c>
      <c r="C161" s="50" t="s">
        <v>25</v>
      </c>
      <c r="D161" s="51">
        <v>1001225406754</v>
      </c>
      <c r="E161" s="24"/>
      <c r="F161" s="23">
        <v>0.09</v>
      </c>
      <c r="G161" s="23">
        <f t="shared" si="11"/>
        <v>0</v>
      </c>
      <c r="H161" s="14">
        <v>0.72</v>
      </c>
      <c r="I161" s="14">
        <v>60</v>
      </c>
      <c r="J161" s="29"/>
    </row>
    <row r="162" spans="1:10" ht="16.5" customHeight="1" x14ac:dyDescent="0.25">
      <c r="A162" s="54" t="str">
        <f t="shared" si="10"/>
        <v>6279</v>
      </c>
      <c r="B162" s="35" t="s">
        <v>185</v>
      </c>
      <c r="C162" s="50" t="s">
        <v>25</v>
      </c>
      <c r="D162" s="51">
        <v>1001220286279</v>
      </c>
      <c r="E162" s="24"/>
      <c r="F162" s="23">
        <v>0.15</v>
      </c>
      <c r="G162" s="23">
        <f t="shared" si="11"/>
        <v>0</v>
      </c>
      <c r="H162" s="14">
        <v>1.2</v>
      </c>
      <c r="I162" s="14">
        <v>45</v>
      </c>
      <c r="J162" s="29"/>
    </row>
    <row r="163" spans="1:10" ht="16.5" customHeight="1" thickBot="1" x14ac:dyDescent="0.3">
      <c r="A163" s="54" t="str">
        <f t="shared" si="10"/>
        <v>7288</v>
      </c>
      <c r="B163" s="35" t="s">
        <v>186</v>
      </c>
      <c r="C163" s="50" t="s">
        <v>25</v>
      </c>
      <c r="D163" s="51">
        <v>1001223907288</v>
      </c>
      <c r="E163" s="24">
        <v>17</v>
      </c>
      <c r="F163" s="23">
        <v>0.1</v>
      </c>
      <c r="G163" s="23">
        <f t="shared" si="11"/>
        <v>1.7000000000000002</v>
      </c>
      <c r="H163" s="14">
        <v>1</v>
      </c>
      <c r="I163" s="14">
        <v>60</v>
      </c>
      <c r="J163" s="29"/>
    </row>
    <row r="164" spans="1:10" ht="16.5" customHeight="1" thickTop="1" thickBot="1" x14ac:dyDescent="0.3">
      <c r="A164" s="48"/>
      <c r="B164" s="45" t="s">
        <v>187</v>
      </c>
      <c r="C164" s="16"/>
      <c r="D164" s="36"/>
      <c r="E164" s="17">
        <f>SUM(E10:E163)</f>
        <v>4159</v>
      </c>
      <c r="F164" s="17"/>
      <c r="G164" s="17">
        <f>SUM(G11:G163)</f>
        <v>2030.2300000000002</v>
      </c>
      <c r="H164" s="17"/>
      <c r="I164" s="17"/>
      <c r="J164" s="17"/>
    </row>
    <row r="165" spans="1:10" ht="15.75" customHeight="1" thickTop="1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0" x14ac:dyDescent="0.25">
      <c r="B173" s="37"/>
      <c r="C173" s="18"/>
      <c r="D173" s="53"/>
      <c r="E173" s="4"/>
      <c r="F173" s="53"/>
      <c r="G173" s="56"/>
      <c r="H173" s="51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</sheetData>
  <autoFilter ref="A9:J164" xr:uid="{00000000-0009-0000-0000-000000000000}"/>
  <mergeCells count="2">
    <mergeCell ref="E1:J1"/>
    <mergeCell ref="G3:J3"/>
  </mergeCells>
  <conditionalFormatting sqref="D173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6"/>
    <cfRule type="duplicateValues" dxfId="306" priority="7"/>
    <cfRule type="duplicateValues" dxfId="305" priority="8"/>
    <cfRule type="duplicateValues" dxfId="304" priority="9"/>
    <cfRule type="duplicateValues" dxfId="303" priority="10"/>
    <cfRule type="duplicateValues" dxfId="302" priority="11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customHeight="1" x14ac:dyDescent="0.25">
      <c r="B2" s="57">
        <v>7523</v>
      </c>
      <c r="C2" s="60">
        <v>1001012427523</v>
      </c>
      <c r="D2" s="61" t="s">
        <v>24</v>
      </c>
      <c r="E2" s="72" t="s">
        <v>188</v>
      </c>
      <c r="F2" s="70" t="s">
        <v>25</v>
      </c>
      <c r="G2" s="71">
        <v>0.4</v>
      </c>
    </row>
    <row r="3" spans="2:7" ht="21" customHeight="1" x14ac:dyDescent="0.25">
      <c r="B3" s="57">
        <v>6220</v>
      </c>
      <c r="C3" s="58">
        <v>1001012426220</v>
      </c>
      <c r="D3" s="59" t="s">
        <v>27</v>
      </c>
      <c r="E3" s="59"/>
      <c r="F3" s="70" t="s">
        <v>28</v>
      </c>
      <c r="G3" s="71">
        <v>1</v>
      </c>
    </row>
    <row r="4" spans="2:7" ht="21" customHeight="1" x14ac:dyDescent="0.25">
      <c r="B4" s="57">
        <v>7539</v>
      </c>
      <c r="C4" s="63">
        <v>1001010017539</v>
      </c>
      <c r="D4" s="61" t="s">
        <v>29</v>
      </c>
      <c r="E4" s="72" t="s">
        <v>188</v>
      </c>
      <c r="F4" s="57" t="s">
        <v>25</v>
      </c>
      <c r="G4" s="73">
        <v>0.35</v>
      </c>
    </row>
    <row r="5" spans="2:7" ht="21" customHeight="1" x14ac:dyDescent="0.25">
      <c r="B5" s="57">
        <v>7536</v>
      </c>
      <c r="C5" s="66">
        <v>1001010017536</v>
      </c>
      <c r="D5" s="67" t="s">
        <v>31</v>
      </c>
      <c r="E5" s="72" t="s">
        <v>188</v>
      </c>
      <c r="F5" s="57" t="s">
        <v>28</v>
      </c>
      <c r="G5" s="73">
        <v>1</v>
      </c>
    </row>
    <row r="6" spans="2:7" ht="21" customHeight="1" x14ac:dyDescent="0.25">
      <c r="B6" s="57">
        <v>6340</v>
      </c>
      <c r="C6" s="62">
        <v>1001012816340</v>
      </c>
      <c r="D6" s="59" t="s">
        <v>33</v>
      </c>
      <c r="E6" s="59"/>
      <c r="F6" s="57" t="s">
        <v>25</v>
      </c>
      <c r="G6" s="73">
        <v>0.5</v>
      </c>
    </row>
    <row r="7" spans="2:7" ht="21" customHeight="1" x14ac:dyDescent="0.25">
      <c r="B7" s="57">
        <v>6861</v>
      </c>
      <c r="C7" s="62">
        <v>1001015646861</v>
      </c>
      <c r="D7" s="59" t="s">
        <v>34</v>
      </c>
      <c r="E7" s="59"/>
      <c r="F7" s="57" t="s">
        <v>28</v>
      </c>
      <c r="G7" s="73">
        <v>1</v>
      </c>
    </row>
    <row r="8" spans="2:7" ht="21" customHeight="1" x14ac:dyDescent="0.25">
      <c r="B8" s="57">
        <v>6862</v>
      </c>
      <c r="C8" s="62">
        <v>1001015706862</v>
      </c>
      <c r="D8" s="59" t="s">
        <v>35</v>
      </c>
      <c r="E8" s="59"/>
      <c r="F8" s="57" t="s">
        <v>28</v>
      </c>
      <c r="G8" s="73">
        <v>1</v>
      </c>
    </row>
    <row r="9" spans="2:7" ht="21" customHeight="1" x14ac:dyDescent="0.25">
      <c r="B9" s="57">
        <v>6341</v>
      </c>
      <c r="C9" s="62">
        <v>1001012816341</v>
      </c>
      <c r="D9" s="59" t="s">
        <v>36</v>
      </c>
      <c r="E9" s="59"/>
      <c r="F9" s="57" t="s">
        <v>25</v>
      </c>
      <c r="G9" s="73">
        <v>0.5</v>
      </c>
    </row>
    <row r="10" spans="2:7" ht="21" customHeight="1" x14ac:dyDescent="0.25">
      <c r="B10" s="57">
        <v>6498</v>
      </c>
      <c r="C10" s="62">
        <v>1001012456498</v>
      </c>
      <c r="D10" s="59" t="s">
        <v>37</v>
      </c>
      <c r="E10" s="59"/>
      <c r="F10" s="57" t="s">
        <v>28</v>
      </c>
      <c r="G10" s="73">
        <v>1</v>
      </c>
    </row>
    <row r="11" spans="2:7" ht="21" customHeight="1" x14ac:dyDescent="0.25">
      <c r="B11" s="57">
        <v>4063</v>
      </c>
      <c r="C11" s="62">
        <v>1001012484063</v>
      </c>
      <c r="D11" s="59" t="s">
        <v>38</v>
      </c>
      <c r="E11" s="59"/>
      <c r="F11" s="57" t="s">
        <v>28</v>
      </c>
      <c r="G11" s="73">
        <v>1</v>
      </c>
    </row>
    <row r="12" spans="2:7" ht="21" customHeight="1" x14ac:dyDescent="0.25">
      <c r="B12" s="57">
        <v>6333</v>
      </c>
      <c r="C12" s="62">
        <v>1001012486333</v>
      </c>
      <c r="D12" s="59" t="s">
        <v>39</v>
      </c>
      <c r="E12" s="59"/>
      <c r="F12" s="57" t="s">
        <v>25</v>
      </c>
      <c r="G12" s="73">
        <v>0.4</v>
      </c>
    </row>
    <row r="13" spans="2:7" ht="21" customHeight="1" x14ac:dyDescent="0.25">
      <c r="B13" s="57">
        <v>4574</v>
      </c>
      <c r="C13" s="62">
        <v>1001012634574</v>
      </c>
      <c r="D13" s="59" t="s">
        <v>40</v>
      </c>
      <c r="E13" s="59"/>
      <c r="F13" s="57" t="s">
        <v>28</v>
      </c>
      <c r="G13" s="73">
        <v>1</v>
      </c>
    </row>
    <row r="14" spans="2:7" ht="21" customHeight="1" x14ac:dyDescent="0.25">
      <c r="B14" s="57">
        <v>7334</v>
      </c>
      <c r="C14" s="62">
        <v>1001012637334</v>
      </c>
      <c r="D14" s="59" t="s">
        <v>41</v>
      </c>
      <c r="E14" s="59"/>
      <c r="F14" s="57" t="s">
        <v>25</v>
      </c>
      <c r="G14" s="73">
        <v>0.4</v>
      </c>
    </row>
    <row r="15" spans="2:7" ht="21" customHeight="1" x14ac:dyDescent="0.25">
      <c r="B15" s="57">
        <v>4813</v>
      </c>
      <c r="C15" s="62">
        <v>1001012564813</v>
      </c>
      <c r="D15" s="59" t="s">
        <v>42</v>
      </c>
      <c r="E15" s="59"/>
      <c r="F15" s="57" t="s">
        <v>28</v>
      </c>
      <c r="G15" s="73">
        <v>1</v>
      </c>
    </row>
    <row r="16" spans="2:7" ht="21" customHeight="1" x14ac:dyDescent="0.25">
      <c r="B16" s="57">
        <v>6392</v>
      </c>
      <c r="C16" s="62">
        <v>1001012566392</v>
      </c>
      <c r="D16" s="59" t="s">
        <v>189</v>
      </c>
      <c r="E16" s="59"/>
      <c r="F16" s="57" t="s">
        <v>25</v>
      </c>
      <c r="G16" s="73">
        <v>0.4</v>
      </c>
    </row>
    <row r="17" spans="2:7" ht="21" customHeight="1" x14ac:dyDescent="0.25">
      <c r="B17" s="57">
        <v>5851</v>
      </c>
      <c r="C17" s="62">
        <v>1001012505851</v>
      </c>
      <c r="D17" s="59" t="s">
        <v>190</v>
      </c>
      <c r="E17" s="59"/>
      <c r="F17" s="57" t="s">
        <v>28</v>
      </c>
      <c r="G17" s="73">
        <v>1</v>
      </c>
    </row>
    <row r="18" spans="2:7" ht="21" customHeight="1" x14ac:dyDescent="0.25">
      <c r="B18" s="57">
        <v>6353</v>
      </c>
      <c r="C18" s="62">
        <v>1001012506353</v>
      </c>
      <c r="D18" s="59" t="s">
        <v>191</v>
      </c>
      <c r="E18" s="69" t="s">
        <v>192</v>
      </c>
      <c r="F18" s="57" t="s">
        <v>25</v>
      </c>
      <c r="G18" s="73">
        <v>0.4</v>
      </c>
    </row>
    <row r="19" spans="2:7" ht="21" customHeight="1" x14ac:dyDescent="0.25">
      <c r="B19" s="57">
        <v>4561</v>
      </c>
      <c r="C19" s="62">
        <v>1001010014561</v>
      </c>
      <c r="D19" s="59" t="s">
        <v>46</v>
      </c>
      <c r="E19" s="59"/>
      <c r="F19" s="57" t="s">
        <v>28</v>
      </c>
      <c r="G19" s="73">
        <v>1</v>
      </c>
    </row>
    <row r="20" spans="2:7" ht="21" customHeight="1" x14ac:dyDescent="0.25">
      <c r="B20" s="57">
        <v>7555</v>
      </c>
      <c r="C20" s="63">
        <v>1001012497555</v>
      </c>
      <c r="D20" s="61" t="s">
        <v>47</v>
      </c>
      <c r="E20" s="72" t="s">
        <v>188</v>
      </c>
      <c r="F20" s="57" t="s">
        <v>28</v>
      </c>
      <c r="G20" s="73">
        <v>1</v>
      </c>
    </row>
    <row r="21" spans="2:7" ht="21" customHeight="1" x14ac:dyDescent="0.25">
      <c r="B21" s="57">
        <v>6325</v>
      </c>
      <c r="C21" s="62">
        <v>1001010106325</v>
      </c>
      <c r="D21" s="59" t="s">
        <v>49</v>
      </c>
      <c r="E21" s="59"/>
      <c r="F21" s="57" t="s">
        <v>25</v>
      </c>
      <c r="G21" s="73">
        <v>0.4</v>
      </c>
    </row>
    <row r="22" spans="2:7" ht="21" customHeight="1" x14ac:dyDescent="0.25">
      <c r="B22" s="57">
        <v>7556</v>
      </c>
      <c r="C22" s="63">
        <v>1001017597556</v>
      </c>
      <c r="D22" s="61" t="s">
        <v>50</v>
      </c>
      <c r="E22" s="72" t="s">
        <v>188</v>
      </c>
      <c r="F22" s="57" t="s">
        <v>28</v>
      </c>
      <c r="G22" s="73">
        <v>1</v>
      </c>
    </row>
    <row r="23" spans="2:7" ht="21" customHeight="1" x14ac:dyDescent="0.25">
      <c r="B23" s="57">
        <v>7303</v>
      </c>
      <c r="C23" s="62">
        <v>1001010857303</v>
      </c>
      <c r="D23" s="59" t="s">
        <v>52</v>
      </c>
      <c r="E23" s="59"/>
      <c r="F23" s="57" t="s">
        <v>28</v>
      </c>
      <c r="G23" s="73">
        <v>1</v>
      </c>
    </row>
    <row r="24" spans="2:7" ht="21" customHeight="1" x14ac:dyDescent="0.25">
      <c r="B24" s="57">
        <v>8014</v>
      </c>
      <c r="C24" s="62">
        <v>1001010108014</v>
      </c>
      <c r="D24" s="59" t="s">
        <v>53</v>
      </c>
      <c r="E24" s="59"/>
      <c r="F24" s="57" t="s">
        <v>28</v>
      </c>
      <c r="G24" s="73">
        <v>1</v>
      </c>
    </row>
    <row r="25" spans="2:7" ht="21" customHeight="1" x14ac:dyDescent="0.25">
      <c r="B25" s="57">
        <v>7343</v>
      </c>
      <c r="C25" s="62">
        <v>1001016747343</v>
      </c>
      <c r="D25" s="59" t="s">
        <v>54</v>
      </c>
      <c r="E25" s="59"/>
      <c r="F25" s="57" t="s">
        <v>25</v>
      </c>
      <c r="G25" s="73">
        <v>0.4</v>
      </c>
    </row>
    <row r="26" spans="2:7" ht="21" customHeight="1" x14ac:dyDescent="0.25">
      <c r="B26" s="57">
        <v>6797</v>
      </c>
      <c r="C26" s="62">
        <v>1001015026797</v>
      </c>
      <c r="D26" s="59" t="s">
        <v>55</v>
      </c>
      <c r="E26" s="59"/>
      <c r="F26" s="57" t="s">
        <v>25</v>
      </c>
      <c r="G26" s="73">
        <v>0.4</v>
      </c>
    </row>
    <row r="27" spans="2:7" ht="21" customHeight="1" x14ac:dyDescent="0.25">
      <c r="B27" s="57">
        <v>7231</v>
      </c>
      <c r="C27" s="62">
        <v>1001013957231</v>
      </c>
      <c r="D27" s="59" t="s">
        <v>56</v>
      </c>
      <c r="E27" s="59"/>
      <c r="F27" s="57" t="s">
        <v>25</v>
      </c>
      <c r="G27" s="73">
        <v>0.3</v>
      </c>
    </row>
    <row r="28" spans="2:7" ht="23.25" customHeight="1" x14ac:dyDescent="0.25">
      <c r="B28" s="74"/>
      <c r="C28" s="74"/>
      <c r="D28" s="75" t="s">
        <v>163</v>
      </c>
      <c r="E28" s="75"/>
      <c r="F28" s="76"/>
      <c r="G28" s="77"/>
    </row>
    <row r="29" spans="2:7" ht="21" customHeight="1" x14ac:dyDescent="0.25">
      <c r="B29" s="62">
        <v>4584</v>
      </c>
      <c r="C29" s="62">
        <v>1001092674584</v>
      </c>
      <c r="D29" s="78" t="s">
        <v>164</v>
      </c>
      <c r="E29" s="78"/>
      <c r="F29" s="57" t="s">
        <v>28</v>
      </c>
      <c r="G29" s="73">
        <v>1</v>
      </c>
    </row>
    <row r="30" spans="2:7" ht="21" customHeight="1" x14ac:dyDescent="0.25">
      <c r="B30" s="57">
        <v>6495</v>
      </c>
      <c r="C30" s="62">
        <v>1001092436495</v>
      </c>
      <c r="D30" s="78" t="s">
        <v>165</v>
      </c>
      <c r="E30" s="78"/>
      <c r="F30" s="57" t="s">
        <v>25</v>
      </c>
      <c r="G30" s="73">
        <v>0.3</v>
      </c>
    </row>
    <row r="31" spans="2:7" ht="21" customHeight="1" x14ac:dyDescent="0.25">
      <c r="B31" s="79">
        <v>6470</v>
      </c>
      <c r="C31" s="64">
        <v>1001092436470</v>
      </c>
      <c r="D31" s="65" t="s">
        <v>166</v>
      </c>
      <c r="E31" s="65"/>
      <c r="F31" s="57" t="s">
        <v>28</v>
      </c>
      <c r="G31" s="73">
        <v>1</v>
      </c>
    </row>
    <row r="32" spans="2:7" ht="21" customHeight="1" x14ac:dyDescent="0.25">
      <c r="B32" s="57">
        <v>5452</v>
      </c>
      <c r="C32" s="62">
        <v>1001092485452</v>
      </c>
      <c r="D32" s="78" t="s">
        <v>167</v>
      </c>
      <c r="E32" s="78"/>
      <c r="F32" s="57" t="s">
        <v>28</v>
      </c>
      <c r="G32" s="73">
        <v>1</v>
      </c>
    </row>
    <row r="33" spans="2:7" ht="21" customHeight="1" x14ac:dyDescent="0.25">
      <c r="B33" s="57">
        <v>3215</v>
      </c>
      <c r="C33" s="62">
        <v>1001094053215</v>
      </c>
      <c r="D33" s="78" t="s">
        <v>168</v>
      </c>
      <c r="E33" s="78"/>
      <c r="F33" s="57" t="s">
        <v>25</v>
      </c>
      <c r="G33" s="73">
        <v>0.4</v>
      </c>
    </row>
    <row r="34" spans="2:7" ht="21" customHeight="1" x14ac:dyDescent="0.25">
      <c r="B34" s="62">
        <v>6866</v>
      </c>
      <c r="C34" s="62">
        <v>1001095716866</v>
      </c>
      <c r="D34" s="78" t="s">
        <v>169</v>
      </c>
      <c r="E34" s="78"/>
      <c r="F34" s="57" t="s">
        <v>28</v>
      </c>
      <c r="G34" s="73">
        <v>1</v>
      </c>
    </row>
    <row r="35" spans="2:7" ht="21" customHeight="1" x14ac:dyDescent="0.25">
      <c r="B35" s="57">
        <v>5495</v>
      </c>
      <c r="C35" s="62">
        <v>1001093345495</v>
      </c>
      <c r="D35" s="78" t="s">
        <v>170</v>
      </c>
      <c r="E35" s="78"/>
      <c r="F35" s="57" t="s">
        <v>25</v>
      </c>
      <c r="G35" s="73">
        <v>0.4</v>
      </c>
    </row>
    <row r="36" spans="2:7" ht="21" customHeight="1" x14ac:dyDescent="0.25">
      <c r="B36" s="57">
        <v>7377</v>
      </c>
      <c r="C36" s="62">
        <v>1001095027377</v>
      </c>
      <c r="D36" s="78" t="s">
        <v>171</v>
      </c>
      <c r="E36" s="59"/>
      <c r="F36" s="57" t="s">
        <v>25</v>
      </c>
      <c r="G36" s="73">
        <v>0.3</v>
      </c>
    </row>
    <row r="37" spans="2:7" ht="21" customHeight="1" x14ac:dyDescent="0.25">
      <c r="B37" s="57">
        <v>6925</v>
      </c>
      <c r="C37" s="62">
        <v>1001095226925</v>
      </c>
      <c r="D37" s="59" t="s">
        <v>193</v>
      </c>
      <c r="E37" s="80"/>
      <c r="F37" s="57" t="s">
        <v>25</v>
      </c>
      <c r="G37" s="73">
        <v>0.6</v>
      </c>
    </row>
    <row r="38" spans="2:7" ht="21" customHeight="1" x14ac:dyDescent="0.25">
      <c r="B38" s="57">
        <v>6025</v>
      </c>
      <c r="C38" s="62">
        <v>1001094966025</v>
      </c>
      <c r="D38" s="78" t="s">
        <v>173</v>
      </c>
      <c r="E38" s="78"/>
      <c r="F38" s="57" t="s">
        <v>28</v>
      </c>
      <c r="G38" s="73">
        <v>1</v>
      </c>
    </row>
    <row r="39" spans="2:7" ht="23.25" customHeight="1" x14ac:dyDescent="0.25">
      <c r="B39" s="74"/>
      <c r="C39" s="74"/>
      <c r="D39" s="75" t="s">
        <v>194</v>
      </c>
      <c r="E39" s="75"/>
      <c r="F39" s="76"/>
      <c r="G39" s="77"/>
    </row>
    <row r="40" spans="2:7" ht="21" customHeight="1" x14ac:dyDescent="0.25">
      <c r="B40" s="79">
        <v>7090</v>
      </c>
      <c r="C40" s="64">
        <v>1001084217090</v>
      </c>
      <c r="D40" s="65" t="s">
        <v>175</v>
      </c>
      <c r="E40" s="65"/>
      <c r="F40" s="70" t="s">
        <v>25</v>
      </c>
      <c r="G40" s="71">
        <v>0.3</v>
      </c>
    </row>
    <row r="41" spans="2:7" ht="21" customHeight="1" x14ac:dyDescent="0.25">
      <c r="B41" s="57">
        <v>7187</v>
      </c>
      <c r="C41" s="58">
        <v>1001085637187</v>
      </c>
      <c r="D41" s="59" t="s">
        <v>176</v>
      </c>
      <c r="E41" s="59"/>
      <c r="F41" s="70" t="s">
        <v>25</v>
      </c>
      <c r="G41" s="71">
        <v>0.3</v>
      </c>
    </row>
    <row r="42" spans="2:7" ht="21" customHeight="1" x14ac:dyDescent="0.25">
      <c r="B42" s="57">
        <v>6620</v>
      </c>
      <c r="C42" s="58">
        <v>1001081596620</v>
      </c>
      <c r="D42" s="59" t="s">
        <v>177</v>
      </c>
      <c r="E42" s="59"/>
      <c r="F42" s="70" t="s">
        <v>28</v>
      </c>
      <c r="G42" s="71">
        <v>1</v>
      </c>
    </row>
    <row r="43" spans="2:7" ht="23.25" customHeight="1" x14ac:dyDescent="0.25">
      <c r="B43" s="81"/>
      <c r="C43" s="74"/>
      <c r="D43" s="75" t="s">
        <v>195</v>
      </c>
      <c r="E43" s="75"/>
      <c r="F43" s="76"/>
      <c r="G43" s="77"/>
    </row>
    <row r="44" spans="2:7" ht="21" customHeight="1" x14ac:dyDescent="0.25">
      <c r="B44" s="57">
        <v>7564</v>
      </c>
      <c r="C44" s="62">
        <v>1001303637564</v>
      </c>
      <c r="D44" s="59" t="s">
        <v>102</v>
      </c>
      <c r="E44" s="72" t="s">
        <v>188</v>
      </c>
      <c r="F44" s="57" t="s">
        <v>28</v>
      </c>
      <c r="G44" s="73">
        <v>1</v>
      </c>
    </row>
    <row r="45" spans="2:7" ht="21" customHeight="1" x14ac:dyDescent="0.25">
      <c r="B45" s="57">
        <v>7603</v>
      </c>
      <c r="C45" s="62">
        <v>1001303637603</v>
      </c>
      <c r="D45" s="59" t="s">
        <v>104</v>
      </c>
      <c r="E45" s="72" t="s">
        <v>188</v>
      </c>
      <c r="F45" s="57" t="s">
        <v>25</v>
      </c>
      <c r="G45" s="73">
        <v>0.33</v>
      </c>
    </row>
    <row r="46" spans="2:7" ht="21" customHeight="1" x14ac:dyDescent="0.25">
      <c r="B46" s="57">
        <v>7149</v>
      </c>
      <c r="C46" s="58">
        <v>1001303637149</v>
      </c>
      <c r="D46" s="59" t="s">
        <v>106</v>
      </c>
      <c r="E46" s="59"/>
      <c r="F46" s="57" t="s">
        <v>25</v>
      </c>
      <c r="G46" s="73">
        <v>0.84</v>
      </c>
    </row>
    <row r="47" spans="2:7" ht="21" customHeight="1" x14ac:dyDescent="0.25">
      <c r="B47" s="79">
        <v>7233</v>
      </c>
      <c r="C47" s="64">
        <v>1001303637233</v>
      </c>
      <c r="D47" s="65" t="s">
        <v>107</v>
      </c>
      <c r="E47" s="65"/>
      <c r="F47" s="57" t="s">
        <v>25</v>
      </c>
      <c r="G47" s="73">
        <v>0.31</v>
      </c>
    </row>
    <row r="48" spans="2:7" ht="21" customHeight="1" x14ac:dyDescent="0.25">
      <c r="B48" s="79">
        <v>7232</v>
      </c>
      <c r="C48" s="64">
        <v>1001302277232</v>
      </c>
      <c r="D48" s="65" t="s">
        <v>108</v>
      </c>
      <c r="E48" s="65"/>
      <c r="F48" s="57" t="s">
        <v>25</v>
      </c>
      <c r="G48" s="73">
        <v>0.28000000000000003</v>
      </c>
    </row>
    <row r="49" spans="2:7" ht="21" customHeight="1" x14ac:dyDescent="0.25">
      <c r="B49" s="79">
        <v>7241</v>
      </c>
      <c r="C49" s="64">
        <v>1001303107241</v>
      </c>
      <c r="D49" s="65" t="s">
        <v>109</v>
      </c>
      <c r="E49" s="65"/>
      <c r="F49" s="57" t="s">
        <v>25</v>
      </c>
      <c r="G49" s="73">
        <v>0.28000000000000003</v>
      </c>
    </row>
    <row r="50" spans="2:7" ht="21" customHeight="1" x14ac:dyDescent="0.25">
      <c r="B50" s="57">
        <v>7133</v>
      </c>
      <c r="C50" s="62">
        <v>1001300367133</v>
      </c>
      <c r="D50" s="59" t="s">
        <v>110</v>
      </c>
      <c r="E50" s="59"/>
      <c r="F50" s="57" t="s">
        <v>28</v>
      </c>
      <c r="G50" s="73">
        <v>1</v>
      </c>
    </row>
    <row r="51" spans="2:7" ht="21" customHeight="1" x14ac:dyDescent="0.25">
      <c r="B51" s="57">
        <v>6807</v>
      </c>
      <c r="C51" s="62">
        <v>1001300366807</v>
      </c>
      <c r="D51" s="59" t="s">
        <v>111</v>
      </c>
      <c r="E51" s="59"/>
      <c r="F51" s="57" t="s">
        <v>25</v>
      </c>
      <c r="G51" s="73">
        <v>0.33</v>
      </c>
    </row>
    <row r="52" spans="2:7" ht="21" customHeight="1" x14ac:dyDescent="0.25">
      <c r="B52" s="57">
        <v>7154</v>
      </c>
      <c r="C52" s="62">
        <v>1001300387154</v>
      </c>
      <c r="D52" s="59" t="s">
        <v>112</v>
      </c>
      <c r="E52" s="59"/>
      <c r="F52" s="57" t="s">
        <v>25</v>
      </c>
      <c r="G52" s="73">
        <v>0.35</v>
      </c>
    </row>
    <row r="53" spans="2:7" ht="21" customHeight="1" x14ac:dyDescent="0.25">
      <c r="B53" s="57">
        <v>7157</v>
      </c>
      <c r="C53" s="62">
        <v>1001300387157</v>
      </c>
      <c r="D53" s="59" t="s">
        <v>113</v>
      </c>
      <c r="E53" s="59"/>
      <c r="F53" s="57" t="s">
        <v>28</v>
      </c>
      <c r="G53" s="73">
        <v>1</v>
      </c>
    </row>
    <row r="54" spans="2:7" ht="21" customHeight="1" x14ac:dyDescent="0.25">
      <c r="B54" s="79">
        <v>7236</v>
      </c>
      <c r="C54" s="64">
        <v>1001304507236</v>
      </c>
      <c r="D54" s="65" t="s">
        <v>114</v>
      </c>
      <c r="E54" s="65"/>
      <c r="F54" s="57" t="s">
        <v>25</v>
      </c>
      <c r="G54" s="73">
        <v>0.28000000000000003</v>
      </c>
    </row>
    <row r="55" spans="2:7" ht="21" customHeight="1" x14ac:dyDescent="0.25">
      <c r="B55" s="57">
        <v>6787</v>
      </c>
      <c r="C55" s="62">
        <v>1001300456787</v>
      </c>
      <c r="D55" s="59" t="s">
        <v>116</v>
      </c>
      <c r="E55" s="59"/>
      <c r="F55" s="57" t="s">
        <v>25</v>
      </c>
      <c r="G55" s="73">
        <v>0.33</v>
      </c>
    </row>
    <row r="56" spans="2:7" ht="21" customHeight="1" x14ac:dyDescent="0.25">
      <c r="B56" s="57">
        <v>7166</v>
      </c>
      <c r="C56" s="62">
        <v>1001303987166</v>
      </c>
      <c r="D56" s="59" t="s">
        <v>117</v>
      </c>
      <c r="E56" s="59"/>
      <c r="F56" s="57" t="s">
        <v>28</v>
      </c>
      <c r="G56" s="73">
        <v>1</v>
      </c>
    </row>
    <row r="57" spans="2:7" ht="21" customHeight="1" x14ac:dyDescent="0.25">
      <c r="B57" s="57">
        <v>7169</v>
      </c>
      <c r="C57" s="58">
        <v>1001303987169</v>
      </c>
      <c r="D57" s="59" t="s">
        <v>118</v>
      </c>
      <c r="E57" s="59"/>
      <c r="F57" s="57" t="s">
        <v>25</v>
      </c>
      <c r="G57" s="73">
        <v>0.35</v>
      </c>
    </row>
    <row r="58" spans="2:7" ht="21" customHeight="1" x14ac:dyDescent="0.25">
      <c r="B58" s="57">
        <v>5544</v>
      </c>
      <c r="C58" s="62">
        <v>1001051875544</v>
      </c>
      <c r="D58" s="59" t="s">
        <v>119</v>
      </c>
      <c r="E58" s="59"/>
      <c r="F58" s="57" t="s">
        <v>28</v>
      </c>
      <c r="G58" s="73">
        <v>1</v>
      </c>
    </row>
    <row r="59" spans="2:7" ht="21" customHeight="1" x14ac:dyDescent="0.25">
      <c r="B59" s="57">
        <v>6697</v>
      </c>
      <c r="C59" s="62">
        <v>1001301876697</v>
      </c>
      <c r="D59" s="59" t="s">
        <v>120</v>
      </c>
      <c r="E59" s="59"/>
      <c r="F59" s="57" t="s">
        <v>25</v>
      </c>
      <c r="G59" s="73">
        <v>0.35</v>
      </c>
    </row>
    <row r="60" spans="2:7" ht="21" customHeight="1" x14ac:dyDescent="0.25">
      <c r="B60" s="57">
        <v>7237</v>
      </c>
      <c r="C60" s="62">
        <v>1001304497237</v>
      </c>
      <c r="D60" s="59" t="s">
        <v>121</v>
      </c>
      <c r="E60" s="59"/>
      <c r="F60" s="57" t="s">
        <v>25</v>
      </c>
      <c r="G60" s="73">
        <v>0.28000000000000003</v>
      </c>
    </row>
    <row r="61" spans="2:7" ht="21" customHeight="1" x14ac:dyDescent="0.25">
      <c r="B61" s="57">
        <v>7238</v>
      </c>
      <c r="C61" s="62">
        <v>1001305197238</v>
      </c>
      <c r="D61" s="59" t="s">
        <v>122</v>
      </c>
      <c r="E61" s="59"/>
      <c r="F61" s="57" t="s">
        <v>25</v>
      </c>
      <c r="G61" s="73">
        <v>0.31</v>
      </c>
    </row>
    <row r="62" spans="2:7" ht="21" customHeight="1" x14ac:dyDescent="0.25">
      <c r="B62" s="57">
        <v>7177</v>
      </c>
      <c r="C62" s="62">
        <v>1001302347177</v>
      </c>
      <c r="D62" s="59" t="s">
        <v>123</v>
      </c>
      <c r="E62" s="59"/>
      <c r="F62" s="57" t="s">
        <v>25</v>
      </c>
      <c r="G62" s="73">
        <v>0.35</v>
      </c>
    </row>
    <row r="63" spans="2:7" ht="21" customHeight="1" x14ac:dyDescent="0.25">
      <c r="B63" s="79">
        <v>7332</v>
      </c>
      <c r="C63" s="64">
        <v>1001301777332</v>
      </c>
      <c r="D63" s="65" t="s">
        <v>124</v>
      </c>
      <c r="E63" s="82"/>
      <c r="F63" s="70" t="s">
        <v>25</v>
      </c>
      <c r="G63" s="71">
        <v>0.28000000000000003</v>
      </c>
    </row>
    <row r="64" spans="2:7" ht="21" customHeight="1" x14ac:dyDescent="0.25">
      <c r="B64" s="79">
        <v>7333</v>
      </c>
      <c r="C64" s="64">
        <v>1001303987333</v>
      </c>
      <c r="D64" s="65" t="s">
        <v>125</v>
      </c>
      <c r="E64" s="82"/>
      <c r="F64" s="70" t="s">
        <v>25</v>
      </c>
      <c r="G64" s="71">
        <v>0.28000000000000003</v>
      </c>
    </row>
    <row r="65" spans="2:7" ht="23.25" customHeight="1" x14ac:dyDescent="0.25">
      <c r="B65" s="81"/>
      <c r="C65" s="74"/>
      <c r="D65" s="75" t="s">
        <v>196</v>
      </c>
      <c r="E65" s="75"/>
      <c r="F65" s="76"/>
      <c r="G65" s="77"/>
    </row>
    <row r="66" spans="2:7" ht="21" customHeight="1" x14ac:dyDescent="0.25">
      <c r="B66" s="57">
        <v>6459</v>
      </c>
      <c r="C66" s="62">
        <v>1001214196459</v>
      </c>
      <c r="D66" s="59" t="s">
        <v>126</v>
      </c>
      <c r="E66" s="69" t="s">
        <v>197</v>
      </c>
      <c r="F66" s="57" t="s">
        <v>25</v>
      </c>
      <c r="G66" s="73">
        <v>0.1</v>
      </c>
    </row>
    <row r="67" spans="2:7" ht="21" customHeight="1" x14ac:dyDescent="0.25">
      <c r="B67" s="57">
        <v>7474</v>
      </c>
      <c r="C67" s="62">
        <v>1001216717474</v>
      </c>
      <c r="D67" s="59" t="s">
        <v>127</v>
      </c>
      <c r="E67" s="69" t="s">
        <v>198</v>
      </c>
      <c r="F67" s="57" t="s">
        <v>25</v>
      </c>
      <c r="G67" s="73">
        <v>0.1</v>
      </c>
    </row>
    <row r="68" spans="2:7" ht="23.25" customHeight="1" x14ac:dyDescent="0.25">
      <c r="B68" s="81"/>
      <c r="C68" s="74"/>
      <c r="D68" s="75" t="s">
        <v>199</v>
      </c>
      <c r="E68" s="75"/>
      <c r="F68" s="76"/>
      <c r="G68" s="77"/>
    </row>
    <row r="69" spans="2:7" ht="21" customHeight="1" x14ac:dyDescent="0.25">
      <c r="B69" s="57">
        <v>7103</v>
      </c>
      <c r="C69" s="62">
        <v>1001223297103</v>
      </c>
      <c r="D69" s="59" t="s">
        <v>179</v>
      </c>
      <c r="E69" s="59"/>
      <c r="F69" s="57" t="s">
        <v>25</v>
      </c>
      <c r="G69" s="73">
        <v>0.18</v>
      </c>
    </row>
    <row r="70" spans="2:7" ht="21" customHeight="1" x14ac:dyDescent="0.25">
      <c r="B70" s="57">
        <v>7092</v>
      </c>
      <c r="C70" s="62">
        <v>1001223297092</v>
      </c>
      <c r="D70" s="59" t="s">
        <v>180</v>
      </c>
      <c r="E70" s="59"/>
      <c r="F70" s="57" t="s">
        <v>25</v>
      </c>
      <c r="G70" s="73">
        <v>0.14000000000000001</v>
      </c>
    </row>
    <row r="71" spans="2:7" ht="21" customHeight="1" x14ac:dyDescent="0.25">
      <c r="B71" s="57">
        <v>6228</v>
      </c>
      <c r="C71" s="62">
        <v>1001225416228</v>
      </c>
      <c r="D71" s="59" t="s">
        <v>181</v>
      </c>
      <c r="E71" s="59"/>
      <c r="F71" s="57" t="s">
        <v>25</v>
      </c>
      <c r="G71" s="73">
        <v>0.09</v>
      </c>
    </row>
    <row r="72" spans="2:7" ht="21" customHeight="1" x14ac:dyDescent="0.25">
      <c r="B72" s="57">
        <v>6448</v>
      </c>
      <c r="C72" s="62">
        <v>1001234146448</v>
      </c>
      <c r="D72" s="59" t="s">
        <v>182</v>
      </c>
      <c r="E72" s="59"/>
      <c r="F72" s="57" t="s">
        <v>25</v>
      </c>
      <c r="G72" s="73">
        <v>0.1</v>
      </c>
    </row>
    <row r="73" spans="2:7" ht="21" customHeight="1" x14ac:dyDescent="0.25">
      <c r="B73" s="57">
        <v>6208</v>
      </c>
      <c r="C73" s="62">
        <v>1001220226208</v>
      </c>
      <c r="D73" s="59" t="s">
        <v>183</v>
      </c>
      <c r="E73" s="59"/>
      <c r="F73" s="57" t="s">
        <v>25</v>
      </c>
      <c r="G73" s="73">
        <v>0.15</v>
      </c>
    </row>
    <row r="74" spans="2:7" ht="21" customHeight="1" x14ac:dyDescent="0.25">
      <c r="B74" s="57">
        <v>6754</v>
      </c>
      <c r="C74" s="62">
        <v>1001225406754</v>
      </c>
      <c r="D74" s="59" t="s">
        <v>184</v>
      </c>
      <c r="E74" s="59"/>
      <c r="F74" s="57" t="s">
        <v>25</v>
      </c>
      <c r="G74" s="73">
        <v>0.09</v>
      </c>
    </row>
    <row r="75" spans="2:7" ht="21" customHeight="1" x14ac:dyDescent="0.25">
      <c r="B75" s="57">
        <v>6279</v>
      </c>
      <c r="C75" s="58">
        <v>1001220286279</v>
      </c>
      <c r="D75" s="59" t="s">
        <v>185</v>
      </c>
      <c r="E75" s="59"/>
      <c r="F75" s="70" t="s">
        <v>25</v>
      </c>
      <c r="G75" s="71">
        <v>0.15</v>
      </c>
    </row>
    <row r="76" spans="2:7" ht="21" customHeight="1" x14ac:dyDescent="0.25">
      <c r="B76" s="57">
        <v>7288</v>
      </c>
      <c r="C76" s="62">
        <v>1001223907288</v>
      </c>
      <c r="D76" s="59" t="s">
        <v>200</v>
      </c>
      <c r="E76" s="69" t="s">
        <v>201</v>
      </c>
      <c r="F76" s="57" t="s">
        <v>25</v>
      </c>
      <c r="G76" s="73">
        <v>0.1</v>
      </c>
    </row>
    <row r="77" spans="2:7" ht="21" customHeight="1" x14ac:dyDescent="0.25">
      <c r="B77" s="57">
        <v>7612</v>
      </c>
      <c r="C77" s="62">
        <v>1001453907612</v>
      </c>
      <c r="D77" s="68" t="s">
        <v>202</v>
      </c>
      <c r="E77" s="68" t="s">
        <v>203</v>
      </c>
      <c r="F77" s="57" t="s">
        <v>25</v>
      </c>
      <c r="G77" s="73">
        <v>0.1</v>
      </c>
    </row>
    <row r="78" spans="2:7" ht="23.25" customHeight="1" x14ac:dyDescent="0.25">
      <c r="B78" s="81"/>
      <c r="C78" s="74"/>
      <c r="D78" s="75" t="s">
        <v>204</v>
      </c>
      <c r="E78" s="75"/>
      <c r="F78" s="76"/>
      <c r="G78" s="77"/>
    </row>
    <row r="79" spans="2:7" ht="21" customHeight="1" x14ac:dyDescent="0.25">
      <c r="B79" s="57">
        <v>6454</v>
      </c>
      <c r="C79" s="62">
        <v>1001201976454</v>
      </c>
      <c r="D79" s="59" t="s">
        <v>205</v>
      </c>
      <c r="E79" s="69" t="s">
        <v>206</v>
      </c>
      <c r="F79" s="57" t="s">
        <v>25</v>
      </c>
      <c r="G79" s="73">
        <v>0.1</v>
      </c>
    </row>
    <row r="80" spans="2:7" ht="21" customHeight="1" x14ac:dyDescent="0.25">
      <c r="B80" s="57">
        <v>6834</v>
      </c>
      <c r="C80" s="62">
        <v>1001203146834</v>
      </c>
      <c r="D80" s="59" t="s">
        <v>207</v>
      </c>
      <c r="E80" s="59"/>
      <c r="F80" s="57" t="s">
        <v>25</v>
      </c>
      <c r="G80" s="73">
        <v>0.1</v>
      </c>
    </row>
    <row r="81" spans="2:7" ht="21" customHeight="1" x14ac:dyDescent="0.25">
      <c r="B81" s="57">
        <v>7382</v>
      </c>
      <c r="C81" s="62">
        <v>1001203117382</v>
      </c>
      <c r="D81" s="59" t="s">
        <v>155</v>
      </c>
      <c r="E81" s="69" t="s">
        <v>208</v>
      </c>
      <c r="F81" s="57" t="s">
        <v>25</v>
      </c>
      <c r="G81" s="73">
        <v>0.12</v>
      </c>
    </row>
    <row r="82" spans="2:7" ht="21" customHeight="1" x14ac:dyDescent="0.25">
      <c r="B82" s="57">
        <v>6453</v>
      </c>
      <c r="C82" s="62">
        <v>1001202506453</v>
      </c>
      <c r="D82" s="59" t="s">
        <v>209</v>
      </c>
      <c r="E82" s="69" t="s">
        <v>210</v>
      </c>
      <c r="F82" s="57" t="s">
        <v>25</v>
      </c>
      <c r="G82" s="73">
        <v>0.1</v>
      </c>
    </row>
    <row r="83" spans="2:7" ht="21" customHeight="1" x14ac:dyDescent="0.25">
      <c r="B83" s="57">
        <v>6221</v>
      </c>
      <c r="C83" s="62">
        <v>1001205376221</v>
      </c>
      <c r="D83" s="59" t="s">
        <v>157</v>
      </c>
      <c r="E83" s="59"/>
      <c r="F83" s="57" t="s">
        <v>25</v>
      </c>
      <c r="G83" s="73">
        <v>0.09</v>
      </c>
    </row>
    <row r="84" spans="2:7" ht="21" customHeight="1" x14ac:dyDescent="0.25">
      <c r="B84" s="57">
        <v>6222</v>
      </c>
      <c r="C84" s="62">
        <v>1001205386222</v>
      </c>
      <c r="D84" s="59" t="s">
        <v>158</v>
      </c>
      <c r="E84" s="59"/>
      <c r="F84" s="57" t="s">
        <v>25</v>
      </c>
      <c r="G84" s="73">
        <v>0.09</v>
      </c>
    </row>
    <row r="85" spans="2:7" ht="21" customHeight="1" x14ac:dyDescent="0.25">
      <c r="B85" s="79">
        <v>6965</v>
      </c>
      <c r="C85" s="64">
        <v>1001206356965</v>
      </c>
      <c r="D85" s="65" t="s">
        <v>159</v>
      </c>
      <c r="E85" s="65"/>
      <c r="F85" s="57" t="s">
        <v>25</v>
      </c>
      <c r="G85" s="73">
        <v>7.0000000000000007E-2</v>
      </c>
    </row>
    <row r="86" spans="2:7" ht="21" customHeight="1" x14ac:dyDescent="0.25">
      <c r="B86" s="57">
        <v>6557</v>
      </c>
      <c r="C86" s="62">
        <v>1001200756557</v>
      </c>
      <c r="D86" s="59" t="s">
        <v>211</v>
      </c>
      <c r="E86" s="59"/>
      <c r="F86" s="57" t="s">
        <v>25</v>
      </c>
      <c r="G86" s="73">
        <v>0.1</v>
      </c>
    </row>
    <row r="87" spans="2:7" ht="21" customHeight="1" x14ac:dyDescent="0.25">
      <c r="B87" s="57">
        <v>5679</v>
      </c>
      <c r="C87" s="62">
        <v>1001190765679</v>
      </c>
      <c r="D87" s="59" t="s">
        <v>160</v>
      </c>
      <c r="E87" s="59"/>
      <c r="F87" s="57" t="s">
        <v>25</v>
      </c>
      <c r="G87" s="73">
        <v>0.15</v>
      </c>
    </row>
    <row r="88" spans="2:7" ht="21" customHeight="1" x14ac:dyDescent="0.25">
      <c r="B88" s="57">
        <v>5677</v>
      </c>
      <c r="C88" s="62">
        <v>1001190715677</v>
      </c>
      <c r="D88" s="59" t="s">
        <v>161</v>
      </c>
      <c r="E88" s="69" t="s">
        <v>212</v>
      </c>
      <c r="F88" s="57" t="s">
        <v>25</v>
      </c>
      <c r="G88" s="73">
        <v>0.1</v>
      </c>
    </row>
    <row r="89" spans="2:7" ht="21" customHeight="1" x14ac:dyDescent="0.25">
      <c r="B89" s="57">
        <v>7414</v>
      </c>
      <c r="C89" s="62">
        <v>1001204447414</v>
      </c>
      <c r="D89" s="59" t="s">
        <v>162</v>
      </c>
      <c r="E89" s="80"/>
      <c r="F89" s="57" t="s">
        <v>28</v>
      </c>
      <c r="G89" s="73">
        <v>1</v>
      </c>
    </row>
    <row r="90" spans="2:7" ht="23.25" customHeight="1" x14ac:dyDescent="0.25">
      <c r="B90" s="81"/>
      <c r="C90" s="74"/>
      <c r="D90" s="75" t="s">
        <v>213</v>
      </c>
      <c r="E90" s="75"/>
      <c r="F90" s="76"/>
      <c r="G90" s="77"/>
    </row>
    <row r="91" spans="2:7" ht="21" customHeight="1" x14ac:dyDescent="0.25">
      <c r="B91" s="57">
        <v>3582</v>
      </c>
      <c r="C91" s="62">
        <v>1001061973582</v>
      </c>
      <c r="D91" s="59" t="s">
        <v>129</v>
      </c>
      <c r="E91" s="59"/>
      <c r="F91" s="57" t="s">
        <v>28</v>
      </c>
      <c r="G91" s="73">
        <v>1</v>
      </c>
    </row>
    <row r="92" spans="2:7" ht="21" customHeight="1" x14ac:dyDescent="0.25">
      <c r="B92" s="57">
        <v>3986</v>
      </c>
      <c r="C92" s="62">
        <v>1001061973986</v>
      </c>
      <c r="D92" s="59" t="s">
        <v>130</v>
      </c>
      <c r="E92" s="59"/>
      <c r="F92" s="57" t="s">
        <v>25</v>
      </c>
      <c r="G92" s="73">
        <v>0.25</v>
      </c>
    </row>
    <row r="93" spans="2:7" ht="21" customHeight="1" x14ac:dyDescent="0.25">
      <c r="B93" s="57">
        <v>5931</v>
      </c>
      <c r="C93" s="62">
        <v>1001060755931</v>
      </c>
      <c r="D93" s="59" t="s">
        <v>131</v>
      </c>
      <c r="E93" s="59"/>
      <c r="F93" s="57" t="s">
        <v>25</v>
      </c>
      <c r="G93" s="73">
        <v>0.22</v>
      </c>
    </row>
    <row r="94" spans="2:7" ht="21" customHeight="1" x14ac:dyDescent="0.25">
      <c r="B94" s="57">
        <v>5708</v>
      </c>
      <c r="C94" s="62">
        <v>1001063145708</v>
      </c>
      <c r="D94" s="59" t="s">
        <v>132</v>
      </c>
      <c r="E94" s="59"/>
      <c r="F94" s="57" t="s">
        <v>28</v>
      </c>
      <c r="G94" s="73">
        <v>1</v>
      </c>
    </row>
    <row r="95" spans="2:7" ht="21" customHeight="1" x14ac:dyDescent="0.25">
      <c r="B95" s="57">
        <v>3287</v>
      </c>
      <c r="C95" s="62">
        <v>1001060763287</v>
      </c>
      <c r="D95" s="59" t="s">
        <v>133</v>
      </c>
      <c r="E95" s="59"/>
      <c r="F95" s="57" t="s">
        <v>28</v>
      </c>
      <c r="G95" s="73">
        <v>1</v>
      </c>
    </row>
    <row r="96" spans="2:7" ht="21" customHeight="1" x14ac:dyDescent="0.25">
      <c r="B96" s="57">
        <v>4993</v>
      </c>
      <c r="C96" s="62">
        <v>1001060764993</v>
      </c>
      <c r="D96" s="59" t="s">
        <v>214</v>
      </c>
      <c r="E96" s="59"/>
      <c r="F96" s="57" t="s">
        <v>25</v>
      </c>
      <c r="G96" s="73">
        <v>0.25</v>
      </c>
    </row>
    <row r="97" spans="2:7" ht="21" customHeight="1" x14ac:dyDescent="0.25">
      <c r="B97" s="57">
        <v>5483</v>
      </c>
      <c r="C97" s="62">
        <v>1001062505483</v>
      </c>
      <c r="D97" s="59" t="s">
        <v>135</v>
      </c>
      <c r="E97" s="59"/>
      <c r="F97" s="57" t="s">
        <v>25</v>
      </c>
      <c r="G97" s="73">
        <v>0.25</v>
      </c>
    </row>
    <row r="98" spans="2:7" ht="21" customHeight="1" x14ac:dyDescent="0.25">
      <c r="B98" s="57">
        <v>4117</v>
      </c>
      <c r="C98" s="62">
        <v>1001062504117</v>
      </c>
      <c r="D98" s="59" t="s">
        <v>136</v>
      </c>
      <c r="E98" s="59"/>
      <c r="F98" s="57" t="s">
        <v>28</v>
      </c>
      <c r="G98" s="73">
        <v>1</v>
      </c>
    </row>
    <row r="99" spans="2:7" ht="21" customHeight="1" x14ac:dyDescent="0.25">
      <c r="B99" s="57">
        <v>614</v>
      </c>
      <c r="C99" s="62">
        <v>1001060720614</v>
      </c>
      <c r="D99" s="59" t="s">
        <v>137</v>
      </c>
      <c r="E99" s="59"/>
      <c r="F99" s="57" t="s">
        <v>28</v>
      </c>
      <c r="G99" s="73">
        <v>1</v>
      </c>
    </row>
    <row r="100" spans="2:7" ht="21" customHeight="1" x14ac:dyDescent="0.25">
      <c r="B100" s="57">
        <v>6967</v>
      </c>
      <c r="C100" s="62">
        <v>1001063656967</v>
      </c>
      <c r="D100" s="59" t="s">
        <v>138</v>
      </c>
      <c r="E100" s="59"/>
      <c r="F100" s="57" t="s">
        <v>25</v>
      </c>
      <c r="G100" s="73">
        <v>0.25</v>
      </c>
    </row>
    <row r="101" spans="2:7" ht="21" customHeight="1" x14ac:dyDescent="0.25">
      <c r="B101" s="57">
        <v>6937</v>
      </c>
      <c r="C101" s="62">
        <v>1001063106937</v>
      </c>
      <c r="D101" s="59" t="s">
        <v>139</v>
      </c>
      <c r="E101" s="59"/>
      <c r="F101" s="57" t="s">
        <v>25</v>
      </c>
      <c r="G101" s="73">
        <v>0.25</v>
      </c>
    </row>
    <row r="102" spans="2:7" ht="21" customHeight="1" x14ac:dyDescent="0.25">
      <c r="B102" s="57">
        <v>7143</v>
      </c>
      <c r="C102" s="62">
        <v>1001060717143</v>
      </c>
      <c r="D102" s="59" t="s">
        <v>140</v>
      </c>
      <c r="E102" s="59"/>
      <c r="F102" s="57" t="s">
        <v>25</v>
      </c>
      <c r="G102" s="73">
        <v>0.22</v>
      </c>
    </row>
    <row r="103" spans="2:7" ht="21" customHeight="1" x14ac:dyDescent="0.25">
      <c r="B103" s="57">
        <v>7147</v>
      </c>
      <c r="C103" s="62">
        <v>1001063237147</v>
      </c>
      <c r="D103" s="59" t="s">
        <v>141</v>
      </c>
      <c r="E103" s="59"/>
      <c r="F103" s="57" t="s">
        <v>25</v>
      </c>
      <c r="G103" s="73">
        <v>0.22</v>
      </c>
    </row>
    <row r="104" spans="2:7" ht="21" customHeight="1" x14ac:dyDescent="0.25">
      <c r="B104" s="57">
        <v>7456</v>
      </c>
      <c r="C104" s="62">
        <v>1001063097456</v>
      </c>
      <c r="D104" s="59" t="s">
        <v>142</v>
      </c>
      <c r="E104" s="59"/>
      <c r="F104" s="57" t="s">
        <v>25</v>
      </c>
      <c r="G104" s="73">
        <v>0.15</v>
      </c>
    </row>
    <row r="105" spans="2:7" ht="21" customHeight="1" x14ac:dyDescent="0.25">
      <c r="B105" s="57">
        <v>7364</v>
      </c>
      <c r="C105" s="62">
        <v>1001063217364</v>
      </c>
      <c r="D105" s="59" t="s">
        <v>143</v>
      </c>
      <c r="E105" s="80"/>
      <c r="F105" s="57" t="s">
        <v>25</v>
      </c>
      <c r="G105" s="73">
        <v>0.22</v>
      </c>
    </row>
    <row r="106" spans="2:7" ht="21" customHeight="1" x14ac:dyDescent="0.25">
      <c r="B106" s="57">
        <v>7383</v>
      </c>
      <c r="C106" s="62">
        <v>1001065467383</v>
      </c>
      <c r="D106" s="59" t="s">
        <v>144</v>
      </c>
      <c r="E106" s="80"/>
      <c r="F106" s="57" t="s">
        <v>25</v>
      </c>
      <c r="G106" s="73">
        <v>0.22</v>
      </c>
    </row>
    <row r="107" spans="2:7" ht="21" customHeight="1" x14ac:dyDescent="0.25">
      <c r="B107" s="57">
        <v>7317</v>
      </c>
      <c r="C107" s="62">
        <v>1001066567317</v>
      </c>
      <c r="D107" s="59" t="s">
        <v>145</v>
      </c>
      <c r="E107" s="59"/>
      <c r="F107" s="57" t="s">
        <v>25</v>
      </c>
      <c r="G107" s="73">
        <v>0.54</v>
      </c>
    </row>
    <row r="108" spans="2:7" ht="21" customHeight="1" x14ac:dyDescent="0.25">
      <c r="B108" s="57">
        <v>7318</v>
      </c>
      <c r="C108" s="62">
        <v>1001060727318</v>
      </c>
      <c r="D108" s="59" t="s">
        <v>146</v>
      </c>
      <c r="E108" s="59"/>
      <c r="F108" s="57" t="s">
        <v>25</v>
      </c>
      <c r="G108" s="73">
        <v>0.27</v>
      </c>
    </row>
    <row r="109" spans="2:7" ht="21" customHeight="1" x14ac:dyDescent="0.25">
      <c r="B109" s="57">
        <v>7316</v>
      </c>
      <c r="C109" s="62">
        <v>1001060727316</v>
      </c>
      <c r="D109" s="59" t="s">
        <v>147</v>
      </c>
      <c r="E109" s="59"/>
      <c r="F109" s="57" t="s">
        <v>25</v>
      </c>
      <c r="G109" s="73">
        <v>0.54</v>
      </c>
    </row>
    <row r="110" spans="2:7" ht="21" customHeight="1" x14ac:dyDescent="0.25">
      <c r="B110" s="57">
        <v>7417</v>
      </c>
      <c r="C110" s="62">
        <v>1001307147417</v>
      </c>
      <c r="D110" s="59" t="s">
        <v>148</v>
      </c>
      <c r="E110" s="80"/>
      <c r="F110" s="57" t="s">
        <v>25</v>
      </c>
      <c r="G110" s="73">
        <v>0.44</v>
      </c>
    </row>
    <row r="111" spans="2:7" ht="21" customHeight="1" x14ac:dyDescent="0.25">
      <c r="B111" s="57">
        <v>6832</v>
      </c>
      <c r="C111" s="62">
        <v>1001065616832</v>
      </c>
      <c r="D111" s="59" t="s">
        <v>149</v>
      </c>
      <c r="E111" s="59"/>
      <c r="F111" s="57" t="s">
        <v>28</v>
      </c>
      <c r="G111" s="73">
        <v>1</v>
      </c>
    </row>
    <row r="112" spans="2:7" ht="21" customHeight="1" x14ac:dyDescent="0.25">
      <c r="B112" s="57">
        <v>7299</v>
      </c>
      <c r="C112" s="62">
        <v>1001060677299</v>
      </c>
      <c r="D112" s="59" t="s">
        <v>150</v>
      </c>
      <c r="E112" s="59"/>
      <c r="F112" s="57" t="s">
        <v>28</v>
      </c>
      <c r="G112" s="73">
        <v>1</v>
      </c>
    </row>
    <row r="113" spans="2:7" ht="21" customHeight="1" x14ac:dyDescent="0.25">
      <c r="B113" s="57">
        <v>7386</v>
      </c>
      <c r="C113" s="62">
        <v>1001067017386</v>
      </c>
      <c r="D113" s="59" t="s">
        <v>152</v>
      </c>
      <c r="E113" s="83"/>
      <c r="F113" s="57" t="s">
        <v>25</v>
      </c>
      <c r="G113" s="73">
        <v>0.15</v>
      </c>
    </row>
    <row r="114" spans="2:7" ht="23.25" customHeight="1" x14ac:dyDescent="0.25">
      <c r="B114" s="81"/>
      <c r="C114" s="74"/>
      <c r="D114" s="75" t="s">
        <v>93</v>
      </c>
      <c r="E114" s="75"/>
      <c r="F114" s="76"/>
      <c r="G114" s="77"/>
    </row>
    <row r="115" spans="2:7" ht="21" customHeight="1" x14ac:dyDescent="0.25">
      <c r="B115" s="57">
        <v>6550</v>
      </c>
      <c r="C115" s="62">
        <v>1001032736550</v>
      </c>
      <c r="D115" s="59" t="s">
        <v>215</v>
      </c>
      <c r="E115" s="59"/>
      <c r="F115" s="57" t="s">
        <v>28</v>
      </c>
      <c r="G115" s="73">
        <v>1</v>
      </c>
    </row>
    <row r="116" spans="2:7" ht="21" customHeight="1" x14ac:dyDescent="0.25">
      <c r="B116" s="57">
        <v>6608</v>
      </c>
      <c r="C116" s="62">
        <v>1001033856608</v>
      </c>
      <c r="D116" s="59" t="s">
        <v>95</v>
      </c>
      <c r="E116" s="59"/>
      <c r="F116" s="57" t="s">
        <v>28</v>
      </c>
      <c r="G116" s="73">
        <v>1</v>
      </c>
    </row>
    <row r="117" spans="2:7" ht="21" customHeight="1" x14ac:dyDescent="0.25">
      <c r="B117" s="57">
        <v>7001</v>
      </c>
      <c r="C117" s="58">
        <v>1001035937001</v>
      </c>
      <c r="D117" s="59" t="s">
        <v>96</v>
      </c>
      <c r="E117" s="59"/>
      <c r="F117" s="57" t="s">
        <v>28</v>
      </c>
      <c r="G117" s="73">
        <v>1</v>
      </c>
    </row>
    <row r="118" spans="2:7" ht="21" customHeight="1" x14ac:dyDescent="0.25">
      <c r="B118" s="57">
        <v>6527</v>
      </c>
      <c r="C118" s="84">
        <v>1001031076527</v>
      </c>
      <c r="D118" s="85" t="s">
        <v>216</v>
      </c>
      <c r="E118" s="85"/>
      <c r="F118" s="57" t="s">
        <v>28</v>
      </c>
      <c r="G118" s="73">
        <v>1</v>
      </c>
    </row>
    <row r="119" spans="2:7" ht="21" customHeight="1" x14ac:dyDescent="0.25">
      <c r="B119" s="57">
        <v>6609</v>
      </c>
      <c r="C119" s="62">
        <v>1001033856609</v>
      </c>
      <c r="D119" s="59" t="s">
        <v>98</v>
      </c>
      <c r="E119" s="59"/>
      <c r="F119" s="57" t="s">
        <v>25</v>
      </c>
      <c r="G119" s="73">
        <v>0.4</v>
      </c>
    </row>
    <row r="120" spans="2:7" ht="21" customHeight="1" x14ac:dyDescent="0.25">
      <c r="B120" s="57">
        <v>7059</v>
      </c>
      <c r="C120" s="84">
        <v>1001035277059</v>
      </c>
      <c r="D120" s="59" t="s">
        <v>99</v>
      </c>
      <c r="E120" s="83"/>
      <c r="F120" s="57" t="s">
        <v>25</v>
      </c>
      <c r="G120" s="73">
        <v>0.3</v>
      </c>
    </row>
    <row r="121" spans="2:7" ht="21" customHeight="1" x14ac:dyDescent="0.25">
      <c r="B121" s="57">
        <v>6528</v>
      </c>
      <c r="C121" s="62">
        <v>1001031076528</v>
      </c>
      <c r="D121" s="59" t="s">
        <v>100</v>
      </c>
      <c r="E121" s="83"/>
      <c r="F121" s="57" t="s">
        <v>25</v>
      </c>
      <c r="G121" s="73">
        <v>0.4</v>
      </c>
    </row>
    <row r="122" spans="2:7" ht="23.25" customHeight="1" x14ac:dyDescent="0.25">
      <c r="B122" s="81"/>
      <c r="C122" s="74"/>
      <c r="D122" s="75" t="s">
        <v>57</v>
      </c>
      <c r="E122" s="75"/>
      <c r="F122" s="76"/>
      <c r="G122" s="77"/>
    </row>
    <row r="123" spans="2:7" ht="21" customHeight="1" x14ac:dyDescent="0.25">
      <c r="B123" s="57">
        <v>6602</v>
      </c>
      <c r="C123" s="62">
        <v>1001021966602</v>
      </c>
      <c r="D123" s="59" t="s">
        <v>217</v>
      </c>
      <c r="E123" s="59"/>
      <c r="F123" s="57" t="s">
        <v>25</v>
      </c>
      <c r="G123" s="73">
        <v>0.35</v>
      </c>
    </row>
    <row r="124" spans="2:7" ht="21" customHeight="1" x14ac:dyDescent="0.25">
      <c r="B124" s="57">
        <v>7284</v>
      </c>
      <c r="C124" s="62">
        <v>1001025767284</v>
      </c>
      <c r="D124" s="59" t="s">
        <v>218</v>
      </c>
      <c r="E124" s="59"/>
      <c r="F124" s="57" t="s">
        <v>25</v>
      </c>
      <c r="G124" s="73">
        <v>0.33</v>
      </c>
    </row>
    <row r="125" spans="2:7" ht="21" customHeight="1" x14ac:dyDescent="0.25">
      <c r="B125" s="57">
        <v>7601</v>
      </c>
      <c r="C125" s="62">
        <v>1001025767601</v>
      </c>
      <c r="D125" s="59" t="s">
        <v>60</v>
      </c>
      <c r="E125" s="83"/>
      <c r="F125" s="57" t="s">
        <v>25</v>
      </c>
      <c r="G125" s="73">
        <v>0.26</v>
      </c>
    </row>
    <row r="126" spans="2:7" ht="21" customHeight="1" x14ac:dyDescent="0.25">
      <c r="B126" s="57">
        <v>7461</v>
      </c>
      <c r="C126" s="62">
        <v>1001025767461</v>
      </c>
      <c r="D126" s="59" t="s">
        <v>219</v>
      </c>
      <c r="E126" s="80"/>
      <c r="F126" s="57" t="s">
        <v>25</v>
      </c>
      <c r="G126" s="73">
        <v>0.33</v>
      </c>
    </row>
    <row r="127" spans="2:7" ht="21" customHeight="1" x14ac:dyDescent="0.25">
      <c r="B127" s="57">
        <v>7371</v>
      </c>
      <c r="C127" s="62">
        <v>1001026947371</v>
      </c>
      <c r="D127" s="59" t="s">
        <v>63</v>
      </c>
      <c r="E127" s="80"/>
      <c r="F127" s="57" t="s">
        <v>25</v>
      </c>
      <c r="G127" s="73">
        <v>0.3</v>
      </c>
    </row>
    <row r="128" spans="2:7" ht="21" customHeight="1" x14ac:dyDescent="0.25">
      <c r="B128" s="57">
        <v>6759</v>
      </c>
      <c r="C128" s="62">
        <v>1001020836759</v>
      </c>
      <c r="D128" s="59" t="s">
        <v>64</v>
      </c>
      <c r="E128" s="59"/>
      <c r="F128" s="57" t="s">
        <v>25</v>
      </c>
      <c r="G128" s="73">
        <v>0.4</v>
      </c>
    </row>
    <row r="129" spans="2:7" ht="21" customHeight="1" x14ac:dyDescent="0.25">
      <c r="B129" s="57">
        <v>6761</v>
      </c>
      <c r="C129" s="62">
        <v>1001020836761</v>
      </c>
      <c r="D129" s="59" t="s">
        <v>65</v>
      </c>
      <c r="E129" s="59"/>
      <c r="F129" s="57" t="s">
        <v>28</v>
      </c>
      <c r="G129" s="73">
        <v>1</v>
      </c>
    </row>
    <row r="130" spans="2:7" ht="21" customHeight="1" x14ac:dyDescent="0.25">
      <c r="B130" s="57">
        <v>6829</v>
      </c>
      <c r="C130" s="62">
        <v>1001024976829</v>
      </c>
      <c r="D130" s="59" t="s">
        <v>220</v>
      </c>
      <c r="E130" s="59"/>
      <c r="F130" s="57" t="s">
        <v>28</v>
      </c>
      <c r="G130" s="73">
        <v>1</v>
      </c>
    </row>
    <row r="131" spans="2:7" ht="21" customHeight="1" x14ac:dyDescent="0.25">
      <c r="B131" s="57">
        <v>6616</v>
      </c>
      <c r="C131" s="62">
        <v>1001024976616</v>
      </c>
      <c r="D131" s="59" t="s">
        <v>67</v>
      </c>
      <c r="E131" s="59"/>
      <c r="F131" s="57" t="s">
        <v>25</v>
      </c>
      <c r="G131" s="73">
        <v>0.3</v>
      </c>
    </row>
    <row r="132" spans="2:7" ht="21" customHeight="1" x14ac:dyDescent="0.25">
      <c r="B132" s="57">
        <v>7075</v>
      </c>
      <c r="C132" s="62">
        <v>1001022657075</v>
      </c>
      <c r="D132" s="59" t="s">
        <v>68</v>
      </c>
      <c r="E132" s="59"/>
      <c r="F132" s="57" t="s">
        <v>28</v>
      </c>
      <c r="G132" s="73">
        <v>1</v>
      </c>
    </row>
    <row r="133" spans="2:7" ht="21" customHeight="1" x14ac:dyDescent="0.25">
      <c r="B133" s="57">
        <v>7074</v>
      </c>
      <c r="C133" s="62">
        <v>1001022657074</v>
      </c>
      <c r="D133" s="59" t="s">
        <v>69</v>
      </c>
      <c r="E133" s="59"/>
      <c r="F133" s="57" t="s">
        <v>25</v>
      </c>
      <c r="G133" s="73">
        <v>0.6</v>
      </c>
    </row>
    <row r="134" spans="2:7" ht="21" customHeight="1" x14ac:dyDescent="0.25">
      <c r="B134" s="57">
        <v>7073</v>
      </c>
      <c r="C134" s="62">
        <v>1001022657073</v>
      </c>
      <c r="D134" s="59" t="s">
        <v>70</v>
      </c>
      <c r="E134" s="59"/>
      <c r="F134" s="57" t="s">
        <v>25</v>
      </c>
      <c r="G134" s="73">
        <v>0.35</v>
      </c>
    </row>
    <row r="135" spans="2:7" ht="21" customHeight="1" x14ac:dyDescent="0.25">
      <c r="B135" s="57">
        <v>6724</v>
      </c>
      <c r="C135" s="62">
        <v>1001020836724</v>
      </c>
      <c r="D135" s="59" t="s">
        <v>71</v>
      </c>
      <c r="E135" s="59"/>
      <c r="F135" s="57" t="s">
        <v>25</v>
      </c>
      <c r="G135" s="73">
        <v>0.41</v>
      </c>
    </row>
    <row r="136" spans="2:7" ht="21" customHeight="1" x14ac:dyDescent="0.25">
      <c r="B136" s="57">
        <v>5819</v>
      </c>
      <c r="C136" s="62">
        <v>1001022725819</v>
      </c>
      <c r="D136" s="59" t="s">
        <v>72</v>
      </c>
      <c r="E136" s="59"/>
      <c r="F136" s="57" t="s">
        <v>25</v>
      </c>
      <c r="G136" s="73">
        <v>0.4</v>
      </c>
    </row>
    <row r="137" spans="2:7" ht="21" customHeight="1" x14ac:dyDescent="0.25">
      <c r="B137" s="57">
        <v>6303</v>
      </c>
      <c r="C137" s="62">
        <v>1001022726303</v>
      </c>
      <c r="D137" s="59" t="s">
        <v>221</v>
      </c>
      <c r="E137" s="59"/>
      <c r="F137" s="57" t="s">
        <v>28</v>
      </c>
      <c r="G137" s="73">
        <v>1</v>
      </c>
    </row>
    <row r="138" spans="2:7" ht="21" customHeight="1" x14ac:dyDescent="0.25">
      <c r="B138" s="57">
        <v>7255</v>
      </c>
      <c r="C138" s="62">
        <v>1001025507255</v>
      </c>
      <c r="D138" s="59" t="s">
        <v>74</v>
      </c>
      <c r="E138" s="59"/>
      <c r="F138" s="57" t="s">
        <v>25</v>
      </c>
      <c r="G138" s="73">
        <v>0.4</v>
      </c>
    </row>
    <row r="139" spans="2:7" ht="21" customHeight="1" x14ac:dyDescent="0.25">
      <c r="B139" s="57">
        <v>7271</v>
      </c>
      <c r="C139" s="62">
        <v>1001025507271</v>
      </c>
      <c r="D139" s="59" t="s">
        <v>75</v>
      </c>
      <c r="E139" s="59"/>
      <c r="F139" s="57" t="s">
        <v>28</v>
      </c>
      <c r="G139" s="73">
        <v>1</v>
      </c>
    </row>
    <row r="140" spans="2:7" ht="21" customHeight="1" x14ac:dyDescent="0.25">
      <c r="B140" s="57">
        <v>6765</v>
      </c>
      <c r="C140" s="62">
        <v>1001023696765</v>
      </c>
      <c r="D140" s="59" t="s">
        <v>76</v>
      </c>
      <c r="E140" s="59"/>
      <c r="F140" s="57" t="s">
        <v>25</v>
      </c>
      <c r="G140" s="73">
        <v>0.36</v>
      </c>
    </row>
    <row r="141" spans="2:7" ht="21" customHeight="1" x14ac:dyDescent="0.25">
      <c r="B141" s="57">
        <v>6767</v>
      </c>
      <c r="C141" s="62">
        <v>1001023696767</v>
      </c>
      <c r="D141" s="59" t="s">
        <v>77</v>
      </c>
      <c r="E141" s="59"/>
      <c r="F141" s="57" t="s">
        <v>28</v>
      </c>
      <c r="G141" s="73">
        <v>1</v>
      </c>
    </row>
    <row r="142" spans="2:7" ht="21" customHeight="1" x14ac:dyDescent="0.25">
      <c r="B142" s="57">
        <v>6475</v>
      </c>
      <c r="C142" s="62">
        <v>1001025176475</v>
      </c>
      <c r="D142" s="59" t="s">
        <v>78</v>
      </c>
      <c r="E142" s="59"/>
      <c r="F142" s="57" t="s">
        <v>25</v>
      </c>
      <c r="G142" s="73">
        <v>0.4</v>
      </c>
    </row>
    <row r="143" spans="2:7" ht="21" customHeight="1" x14ac:dyDescent="0.25">
      <c r="B143" s="57">
        <v>7083</v>
      </c>
      <c r="C143" s="62">
        <v>1001022467083</v>
      </c>
      <c r="D143" s="59" t="s">
        <v>79</v>
      </c>
      <c r="E143" s="59"/>
      <c r="F143" s="57" t="s">
        <v>28</v>
      </c>
      <c r="G143" s="73">
        <v>1</v>
      </c>
    </row>
    <row r="144" spans="2:7" ht="21" customHeight="1" x14ac:dyDescent="0.25">
      <c r="B144" s="57">
        <v>7080</v>
      </c>
      <c r="C144" s="62">
        <v>1001022467080</v>
      </c>
      <c r="D144" s="80" t="s">
        <v>80</v>
      </c>
      <c r="E144" s="80"/>
      <c r="F144" s="57" t="s">
        <v>25</v>
      </c>
      <c r="G144" s="73">
        <v>0.41</v>
      </c>
    </row>
    <row r="145" spans="2:7" ht="21" customHeight="1" x14ac:dyDescent="0.25">
      <c r="B145" s="57">
        <v>7276</v>
      </c>
      <c r="C145" s="62">
        <v>1001022467276</v>
      </c>
      <c r="D145" s="80" t="s">
        <v>81</v>
      </c>
      <c r="E145" s="80"/>
      <c r="F145" s="57" t="s">
        <v>25</v>
      </c>
      <c r="G145" s="73">
        <v>0.3</v>
      </c>
    </row>
    <row r="146" spans="2:7" ht="21" customHeight="1" x14ac:dyDescent="0.25">
      <c r="B146" s="57">
        <v>6762</v>
      </c>
      <c r="C146" s="62">
        <v>1001020846762</v>
      </c>
      <c r="D146" s="59" t="s">
        <v>82</v>
      </c>
      <c r="E146" s="59"/>
      <c r="F146" s="57" t="s">
        <v>25</v>
      </c>
      <c r="G146" s="73">
        <v>0.41</v>
      </c>
    </row>
    <row r="147" spans="2:7" ht="21" customHeight="1" x14ac:dyDescent="0.25">
      <c r="B147" s="57">
        <v>6764</v>
      </c>
      <c r="C147" s="62">
        <v>1001020846764</v>
      </c>
      <c r="D147" s="59" t="s">
        <v>83</v>
      </c>
      <c r="E147" s="59"/>
      <c r="F147" s="57" t="s">
        <v>28</v>
      </c>
      <c r="G147" s="73">
        <v>1</v>
      </c>
    </row>
    <row r="148" spans="2:7" ht="21" customHeight="1" x14ac:dyDescent="0.25">
      <c r="B148" s="57">
        <v>7066</v>
      </c>
      <c r="C148" s="62">
        <v>1001022377066</v>
      </c>
      <c r="D148" s="59" t="s">
        <v>84</v>
      </c>
      <c r="E148" s="59"/>
      <c r="F148" s="57" t="s">
        <v>25</v>
      </c>
      <c r="G148" s="73">
        <v>0.41</v>
      </c>
    </row>
    <row r="149" spans="2:7" ht="21" customHeight="1" x14ac:dyDescent="0.25">
      <c r="B149" s="57">
        <v>7070</v>
      </c>
      <c r="C149" s="62">
        <v>1001022377070</v>
      </c>
      <c r="D149" s="59" t="s">
        <v>85</v>
      </c>
      <c r="E149" s="59"/>
      <c r="F149" s="57" t="s">
        <v>28</v>
      </c>
      <c r="G149" s="73">
        <v>1</v>
      </c>
    </row>
    <row r="150" spans="2:7" ht="21" customHeight="1" x14ac:dyDescent="0.25">
      <c r="B150" s="57">
        <v>6713</v>
      </c>
      <c r="C150" s="62">
        <v>1001022246713</v>
      </c>
      <c r="D150" s="59" t="s">
        <v>86</v>
      </c>
      <c r="E150" s="59"/>
      <c r="F150" s="57" t="s">
        <v>25</v>
      </c>
      <c r="G150" s="73">
        <v>0.41</v>
      </c>
    </row>
    <row r="151" spans="2:7" ht="21" customHeight="1" x14ac:dyDescent="0.25">
      <c r="B151" s="57">
        <v>6661</v>
      </c>
      <c r="C151" s="62">
        <v>1001022246661</v>
      </c>
      <c r="D151" s="59" t="s">
        <v>222</v>
      </c>
      <c r="E151" s="59"/>
      <c r="F151" s="57" t="s">
        <v>28</v>
      </c>
      <c r="G151" s="73">
        <v>1</v>
      </c>
    </row>
    <row r="152" spans="2:7" ht="21" customHeight="1" x14ac:dyDescent="0.25">
      <c r="B152" s="79">
        <v>6254</v>
      </c>
      <c r="C152" s="64">
        <v>1001022556254</v>
      </c>
      <c r="D152" s="65" t="s">
        <v>88</v>
      </c>
      <c r="E152" s="59"/>
      <c r="F152" s="70" t="s">
        <v>28</v>
      </c>
      <c r="G152" s="71">
        <v>1</v>
      </c>
    </row>
    <row r="153" spans="2:7" ht="21" customHeight="1" x14ac:dyDescent="0.25">
      <c r="B153" s="57">
        <v>6837</v>
      </c>
      <c r="C153" s="62">
        <v>1001022556837</v>
      </c>
      <c r="D153" s="59" t="s">
        <v>89</v>
      </c>
      <c r="E153" s="59"/>
      <c r="F153" s="57" t="s">
        <v>25</v>
      </c>
      <c r="G153" s="73">
        <v>0.4</v>
      </c>
    </row>
    <row r="154" spans="2:7" ht="21" customHeight="1" x14ac:dyDescent="0.25">
      <c r="B154" s="57">
        <v>7385</v>
      </c>
      <c r="C154" s="62">
        <v>1001027067385</v>
      </c>
      <c r="D154" s="80" t="s">
        <v>90</v>
      </c>
      <c r="E154" s="59"/>
      <c r="F154" s="57" t="s">
        <v>25</v>
      </c>
      <c r="G154" s="73">
        <v>0.33</v>
      </c>
    </row>
    <row r="155" spans="2:7" ht="21" customHeight="1" x14ac:dyDescent="0.25">
      <c r="B155" s="86">
        <v>7044</v>
      </c>
      <c r="C155" s="87">
        <v>1001025167044</v>
      </c>
      <c r="D155" s="88" t="s">
        <v>91</v>
      </c>
      <c r="E155" s="83"/>
      <c r="F155" s="57" t="s">
        <v>25</v>
      </c>
      <c r="G155" s="89">
        <v>0.32</v>
      </c>
    </row>
    <row r="156" spans="2:7" ht="21" customHeight="1" x14ac:dyDescent="0.25">
      <c r="B156" s="86">
        <v>7460</v>
      </c>
      <c r="C156" s="87">
        <v>1001027247460</v>
      </c>
      <c r="D156" s="88" t="s">
        <v>92</v>
      </c>
      <c r="E156" s="83"/>
      <c r="F156" s="57" t="s">
        <v>25</v>
      </c>
      <c r="G156" s="89">
        <v>0.33</v>
      </c>
    </row>
  </sheetData>
  <conditionalFormatting sqref="B2">
    <cfRule type="duplicateValues" dxfId="301" priority="305"/>
    <cfRule type="duplicateValues" dxfId="300" priority="306"/>
    <cfRule type="duplicateValues" dxfId="299" priority="307"/>
    <cfRule type="duplicateValues" dxfId="298" priority="308"/>
    <cfRule type="duplicateValues" dxfId="297" priority="309"/>
    <cfRule type="duplicateValues" dxfId="296" priority="310"/>
    <cfRule type="duplicateValues" dxfId="295" priority="311"/>
    <cfRule type="duplicateValues" dxfId="294" priority="312"/>
    <cfRule type="duplicateValues" dxfId="293" priority="313"/>
    <cfRule type="duplicateValues" dxfId="292" priority="314"/>
  </conditionalFormatting>
  <conditionalFormatting sqref="B3">
    <cfRule type="duplicateValues" dxfId="291" priority="98"/>
    <cfRule type="duplicateValues" dxfId="290" priority="99"/>
    <cfRule type="duplicateValues" dxfId="289" priority="100"/>
    <cfRule type="duplicateValues" dxfId="288" priority="101"/>
    <cfRule type="duplicateValues" dxfId="287" priority="102"/>
    <cfRule type="duplicateValues" dxfId="286" priority="104"/>
    <cfRule type="duplicateValues" dxfId="285" priority="105"/>
    <cfRule type="duplicateValues" dxfId="284" priority="106"/>
    <cfRule type="duplicateValues" dxfId="283" priority="107"/>
    <cfRule type="duplicateValues" dxfId="282" priority="108"/>
  </conditionalFormatting>
  <conditionalFormatting sqref="B4">
    <cfRule type="duplicateValues" dxfId="281" priority="446"/>
    <cfRule type="duplicateValues" dxfId="280" priority="447"/>
    <cfRule type="duplicateValues" dxfId="279" priority="448"/>
    <cfRule type="duplicateValues" dxfId="278" priority="449"/>
    <cfRule type="duplicateValues" dxfId="277" priority="450"/>
    <cfRule type="duplicateValues" dxfId="276" priority="451"/>
    <cfRule type="duplicateValues" dxfId="275" priority="452"/>
    <cfRule type="duplicateValues" dxfId="274" priority="453"/>
    <cfRule type="duplicateValues" dxfId="273" priority="454"/>
    <cfRule type="duplicateValues" dxfId="272" priority="455"/>
    <cfRule type="duplicateValues" dxfId="271" priority="456"/>
  </conditionalFormatting>
  <conditionalFormatting sqref="B5:B18">
    <cfRule type="duplicateValues" dxfId="270" priority="610"/>
  </conditionalFormatting>
  <conditionalFormatting sqref="B20">
    <cfRule type="duplicateValues" dxfId="269" priority="800"/>
    <cfRule type="duplicateValues" dxfId="268" priority="801"/>
    <cfRule type="duplicateValues" dxfId="267" priority="802"/>
    <cfRule type="duplicateValues" dxfId="266" priority="803"/>
    <cfRule type="duplicateValues" dxfId="265" priority="804"/>
    <cfRule type="duplicateValues" dxfId="264" priority="805"/>
    <cfRule type="duplicateValues" dxfId="263" priority="806"/>
    <cfRule type="duplicateValues" dxfId="262" priority="807"/>
    <cfRule type="duplicateValues" dxfId="261" priority="808"/>
    <cfRule type="duplicateValues" dxfId="260" priority="809"/>
    <cfRule type="duplicateValues" dxfId="259" priority="810"/>
  </conditionalFormatting>
  <conditionalFormatting sqref="B22">
    <cfRule type="duplicateValues" dxfId="258" priority="700"/>
    <cfRule type="duplicateValues" dxfId="257" priority="701"/>
    <cfRule type="duplicateValues" dxfId="256" priority="702"/>
    <cfRule type="duplicateValues" dxfId="255" priority="703"/>
    <cfRule type="duplicateValues" dxfId="254" priority="704"/>
    <cfRule type="duplicateValues" dxfId="253" priority="705"/>
    <cfRule type="duplicateValues" dxfId="252" priority="706"/>
    <cfRule type="duplicateValues" dxfId="251" priority="707"/>
    <cfRule type="duplicateValues" dxfId="250" priority="708"/>
    <cfRule type="duplicateValues" dxfId="249" priority="709"/>
    <cfRule type="duplicateValues" dxfId="248" priority="710"/>
  </conditionalFormatting>
  <conditionalFormatting sqref="B23:B24">
    <cfRule type="duplicateValues" dxfId="247" priority="83"/>
    <cfRule type="duplicateValues" dxfId="246" priority="84"/>
    <cfRule type="duplicateValues" dxfId="245" priority="85"/>
    <cfRule type="duplicateValues" dxfId="244" priority="86"/>
    <cfRule type="duplicateValues" dxfId="243" priority="87"/>
    <cfRule type="duplicateValues" dxfId="242" priority="88"/>
    <cfRule type="duplicateValues" dxfId="241" priority="89"/>
    <cfRule type="duplicateValues" dxfId="240" priority="90"/>
    <cfRule type="duplicateValues" dxfId="239" priority="91"/>
    <cfRule type="duplicateValues" dxfId="238" priority="92"/>
    <cfRule type="duplicateValues" dxfId="237" priority="93"/>
  </conditionalFormatting>
  <conditionalFormatting sqref="B25">
    <cfRule type="duplicateValues" dxfId="236" priority="79"/>
    <cfRule type="duplicateValues" dxfId="235" priority="80"/>
    <cfRule type="duplicateValues" dxfId="234" priority="81"/>
    <cfRule type="duplicateValues" dxfId="233" priority="82"/>
  </conditionalFormatting>
  <conditionalFormatting sqref="B26">
    <cfRule type="duplicateValues" dxfId="232" priority="64"/>
    <cfRule type="duplicateValues" dxfId="231" priority="65"/>
    <cfRule type="duplicateValues" dxfId="230" priority="66"/>
    <cfRule type="duplicateValues" dxfId="229" priority="67"/>
  </conditionalFormatting>
  <conditionalFormatting sqref="B19 B21 B27">
    <cfRule type="duplicateValues" dxfId="228" priority="245"/>
    <cfRule type="duplicateValues" dxfId="227" priority="246"/>
    <cfRule type="duplicateValues" dxfId="226" priority="247"/>
    <cfRule type="duplicateValues" dxfId="225" priority="248"/>
  </conditionalFormatting>
  <conditionalFormatting sqref="B28:B29">
    <cfRule type="duplicateValues" dxfId="224" priority="236"/>
  </conditionalFormatting>
  <conditionalFormatting sqref="B31">
    <cfRule type="duplicateValues" dxfId="223" priority="143"/>
    <cfRule type="duplicateValues" dxfId="222" priority="144"/>
    <cfRule type="duplicateValues" dxfId="221" priority="145"/>
    <cfRule type="duplicateValues" dxfId="220" priority="146"/>
  </conditionalFormatting>
  <conditionalFormatting sqref="B33">
    <cfRule type="duplicateValues" dxfId="219" priority="234"/>
  </conditionalFormatting>
  <conditionalFormatting sqref="B30 B32 B34">
    <cfRule type="duplicateValues" dxfId="218" priority="235"/>
  </conditionalFormatting>
  <conditionalFormatting sqref="B35:B36">
    <cfRule type="duplicateValues" dxfId="217" priority="233"/>
  </conditionalFormatting>
  <conditionalFormatting sqref="B37">
    <cfRule type="duplicateValues" dxfId="216" priority="5"/>
    <cfRule type="duplicateValues" dxfId="215" priority="6"/>
    <cfRule type="duplicateValues" dxfId="214" priority="7"/>
    <cfRule type="duplicateValues" dxfId="213" priority="8"/>
  </conditionalFormatting>
  <conditionalFormatting sqref="B38">
    <cfRule type="duplicateValues" dxfId="212" priority="249"/>
    <cfRule type="duplicateValues" dxfId="211" priority="250"/>
  </conditionalFormatting>
  <conditionalFormatting sqref="B40">
    <cfRule type="duplicateValues" dxfId="210" priority="190"/>
    <cfRule type="duplicateValues" dxfId="209" priority="191"/>
    <cfRule type="duplicateValues" dxfId="208" priority="192"/>
    <cfRule type="duplicateValues" dxfId="207" priority="193"/>
  </conditionalFormatting>
  <conditionalFormatting sqref="B41:B42">
    <cfRule type="duplicateValues" dxfId="206" priority="252"/>
    <cfRule type="duplicateValues" dxfId="205" priority="253"/>
    <cfRule type="duplicateValues" dxfId="204" priority="254"/>
    <cfRule type="duplicateValues" dxfId="203" priority="255"/>
    <cfRule type="duplicateValues" dxfId="202" priority="256"/>
    <cfRule type="duplicateValues" dxfId="201" priority="257"/>
    <cfRule type="duplicateValues" dxfId="200" priority="258"/>
    <cfRule type="duplicateValues" dxfId="199" priority="259"/>
    <cfRule type="duplicateValues" dxfId="198" priority="260"/>
    <cfRule type="duplicateValues" dxfId="197" priority="261"/>
  </conditionalFormatting>
  <conditionalFormatting sqref="B39 B43">
    <cfRule type="duplicateValues" dxfId="196" priority="231"/>
  </conditionalFormatting>
  <conditionalFormatting sqref="B43">
    <cfRule type="duplicateValues" dxfId="195" priority="232"/>
  </conditionalFormatting>
  <conditionalFormatting sqref="B46">
    <cfRule type="duplicateValues" dxfId="194" priority="147"/>
    <cfRule type="duplicateValues" dxfId="193" priority="148"/>
    <cfRule type="duplicateValues" dxfId="192" priority="149"/>
    <cfRule type="duplicateValues" dxfId="191" priority="150"/>
    <cfRule type="duplicateValues" dxfId="190" priority="151"/>
    <cfRule type="duplicateValues" dxfId="189" priority="153"/>
    <cfRule type="duplicateValues" dxfId="188" priority="154"/>
    <cfRule type="duplicateValues" dxfId="187" priority="155"/>
    <cfRule type="duplicateValues" dxfId="186" priority="156"/>
  </conditionalFormatting>
  <conditionalFormatting sqref="B47">
    <cfRule type="duplicateValues" dxfId="185" priority="139"/>
    <cfRule type="duplicateValues" dxfId="184" priority="140"/>
    <cfRule type="duplicateValues" dxfId="183" priority="141"/>
    <cfRule type="duplicateValues" dxfId="182" priority="142"/>
  </conditionalFormatting>
  <conditionalFormatting sqref="B48">
    <cfRule type="duplicateValues" dxfId="181" priority="241"/>
    <cfRule type="duplicateValues" dxfId="180" priority="242"/>
    <cfRule type="duplicateValues" dxfId="179" priority="243"/>
    <cfRule type="duplicateValues" dxfId="178" priority="244"/>
  </conditionalFormatting>
  <conditionalFormatting sqref="B49">
    <cfRule type="duplicateValues" dxfId="177" priority="131"/>
    <cfRule type="duplicateValues" dxfId="176" priority="132"/>
    <cfRule type="duplicateValues" dxfId="175" priority="133"/>
    <cfRule type="duplicateValues" dxfId="174" priority="134"/>
  </conditionalFormatting>
  <conditionalFormatting sqref="B52">
    <cfRule type="duplicateValues" dxfId="173" priority="176"/>
    <cfRule type="duplicateValues" dxfId="172" priority="177"/>
    <cfRule type="duplicateValues" dxfId="171" priority="178"/>
    <cfRule type="duplicateValues" dxfId="170" priority="179"/>
  </conditionalFormatting>
  <conditionalFormatting sqref="B53">
    <cfRule type="duplicateValues" dxfId="169" priority="172"/>
    <cfRule type="duplicateValues" dxfId="168" priority="173"/>
    <cfRule type="duplicateValues" dxfId="167" priority="174"/>
    <cfRule type="duplicateValues" dxfId="166" priority="175"/>
  </conditionalFormatting>
  <conditionalFormatting sqref="B54">
    <cfRule type="duplicateValues" dxfId="165" priority="135"/>
    <cfRule type="duplicateValues" dxfId="164" priority="136"/>
    <cfRule type="duplicateValues" dxfId="163" priority="137"/>
    <cfRule type="duplicateValues" dxfId="162" priority="138"/>
  </conditionalFormatting>
  <conditionalFormatting sqref="B56">
    <cfRule type="duplicateValues" dxfId="161" priority="168"/>
    <cfRule type="duplicateValues" dxfId="160" priority="169"/>
    <cfRule type="duplicateValues" dxfId="159" priority="170"/>
    <cfRule type="duplicateValues" dxfId="158" priority="171"/>
  </conditionalFormatting>
  <conditionalFormatting sqref="B57">
    <cfRule type="duplicateValues" dxfId="157" priority="158"/>
    <cfRule type="duplicateValues" dxfId="156" priority="159"/>
    <cfRule type="duplicateValues" dxfId="155" priority="160"/>
    <cfRule type="duplicateValues" dxfId="154" priority="161"/>
    <cfRule type="duplicateValues" dxfId="153" priority="162"/>
    <cfRule type="duplicateValues" dxfId="152" priority="164"/>
    <cfRule type="duplicateValues" dxfId="151" priority="165"/>
    <cfRule type="duplicateValues" dxfId="150" priority="166"/>
    <cfRule type="duplicateValues" dxfId="149" priority="167"/>
  </conditionalFormatting>
  <conditionalFormatting sqref="B44:B45 B50:B51 B55 B58:B59">
    <cfRule type="duplicateValues" dxfId="148" priority="294"/>
  </conditionalFormatting>
  <conditionalFormatting sqref="B60">
    <cfRule type="duplicateValues" dxfId="147" priority="238"/>
    <cfRule type="duplicateValues" dxfId="146" priority="239"/>
  </conditionalFormatting>
  <conditionalFormatting sqref="B61:B62">
    <cfRule type="duplicateValues" dxfId="145" priority="290"/>
    <cfRule type="duplicateValues" dxfId="144" priority="291"/>
    <cfRule type="duplicateValues" dxfId="143" priority="292"/>
    <cfRule type="duplicateValues" dxfId="142" priority="293"/>
  </conditionalFormatting>
  <conditionalFormatting sqref="B63:B64">
    <cfRule type="duplicateValues" dxfId="141" priority="94"/>
    <cfRule type="duplicateValues" dxfId="140" priority="95"/>
    <cfRule type="duplicateValues" dxfId="139" priority="96"/>
    <cfRule type="duplicateValues" dxfId="138" priority="97"/>
  </conditionalFormatting>
  <conditionalFormatting sqref="B66">
    <cfRule type="duplicateValues" dxfId="137" priority="964"/>
    <cfRule type="duplicateValues" dxfId="136" priority="965"/>
  </conditionalFormatting>
  <conditionalFormatting sqref="B67">
    <cfRule type="duplicateValues" dxfId="135" priority="886"/>
    <cfRule type="duplicateValues" dxfId="134" priority="887"/>
    <cfRule type="duplicateValues" dxfId="133" priority="888"/>
  </conditionalFormatting>
  <conditionalFormatting sqref="B65 B68">
    <cfRule type="duplicateValues" dxfId="132" priority="229"/>
  </conditionalFormatting>
  <conditionalFormatting sqref="B68">
    <cfRule type="duplicateValues" dxfId="131" priority="230"/>
  </conditionalFormatting>
  <conditionalFormatting sqref="B69">
    <cfRule type="duplicateValues" dxfId="130" priority="213"/>
    <cfRule type="duplicateValues" dxfId="129" priority="214"/>
    <cfRule type="duplicateValues" dxfId="128" priority="215"/>
  </conditionalFormatting>
  <conditionalFormatting sqref="B71:B72">
    <cfRule type="duplicateValues" dxfId="127" priority="228"/>
  </conditionalFormatting>
  <conditionalFormatting sqref="B70 B73:B74">
    <cfRule type="duplicateValues" dxfId="126" priority="262"/>
    <cfRule type="duplicateValues" dxfId="125" priority="263"/>
    <cfRule type="duplicateValues" dxfId="124" priority="264"/>
    <cfRule type="duplicateValues" dxfId="123" priority="265"/>
  </conditionalFormatting>
  <conditionalFormatting sqref="B75">
    <cfRule type="duplicateValues" dxfId="122" priority="110"/>
    <cfRule type="duplicateValues" dxfId="121" priority="111"/>
    <cfRule type="duplicateValues" dxfId="120" priority="112"/>
    <cfRule type="duplicateValues" dxfId="119" priority="113"/>
    <cfRule type="duplicateValues" dxfId="118" priority="114"/>
    <cfRule type="duplicateValues" dxfId="117" priority="115"/>
    <cfRule type="duplicateValues" dxfId="116" priority="116"/>
    <cfRule type="duplicateValues" dxfId="115" priority="117"/>
    <cfRule type="duplicateValues" dxfId="114" priority="118"/>
    <cfRule type="duplicateValues" dxfId="113" priority="119"/>
  </conditionalFormatting>
  <conditionalFormatting sqref="B76:B77">
    <cfRule type="duplicateValues" dxfId="112" priority="59"/>
    <cfRule type="duplicateValues" dxfId="111" priority="60"/>
    <cfRule type="duplicateValues" dxfId="110" priority="61"/>
    <cfRule type="duplicateValues" dxfId="109" priority="62"/>
    <cfRule type="duplicateValues" dxfId="108" priority="63"/>
  </conditionalFormatting>
  <conditionalFormatting sqref="B78">
    <cfRule type="duplicateValues" dxfId="107" priority="226"/>
    <cfRule type="duplicateValues" dxfId="106" priority="227"/>
  </conditionalFormatting>
  <conditionalFormatting sqref="B79:B81">
    <cfRule type="duplicateValues" dxfId="105" priority="1164"/>
  </conditionalFormatting>
  <conditionalFormatting sqref="B79:B82">
    <cfRule type="duplicateValues" dxfId="104" priority="1088"/>
  </conditionalFormatting>
  <conditionalFormatting sqref="B83:B84 B86">
    <cfRule type="duplicateValues" dxfId="103" priority="157"/>
  </conditionalFormatting>
  <conditionalFormatting sqref="B85">
    <cfRule type="duplicateValues" dxfId="102" priority="120"/>
    <cfRule type="duplicateValues" dxfId="101" priority="121"/>
    <cfRule type="duplicateValues" dxfId="100" priority="122"/>
    <cfRule type="duplicateValues" dxfId="99" priority="123"/>
  </conditionalFormatting>
  <conditionalFormatting sqref="B88">
    <cfRule type="duplicateValues" dxfId="98" priority="1035"/>
    <cfRule type="duplicateValues" dxfId="97" priority="1036"/>
    <cfRule type="duplicateValues" dxfId="96" priority="1037"/>
  </conditionalFormatting>
  <conditionalFormatting sqref="B89">
    <cfRule type="duplicateValues" dxfId="95" priority="55"/>
    <cfRule type="duplicateValues" dxfId="94" priority="56"/>
    <cfRule type="duplicateValues" dxfId="93" priority="57"/>
    <cfRule type="duplicateValues" dxfId="92" priority="58"/>
  </conditionalFormatting>
  <conditionalFormatting sqref="B90">
    <cfRule type="duplicateValues" dxfId="91" priority="223"/>
    <cfRule type="duplicateValues" dxfId="90" priority="224"/>
  </conditionalFormatting>
  <conditionalFormatting sqref="B83:B84 B86:B87 B91">
    <cfRule type="duplicateValues" dxfId="89" priority="285"/>
    <cfRule type="duplicateValues" dxfId="88" priority="286"/>
    <cfRule type="duplicateValues" dxfId="87" priority="287"/>
  </conditionalFormatting>
  <conditionalFormatting sqref="B87 B91">
    <cfRule type="duplicateValues" dxfId="86" priority="288"/>
  </conditionalFormatting>
  <conditionalFormatting sqref="B92:B98">
    <cfRule type="duplicateValues" dxfId="85" priority="281"/>
  </conditionalFormatting>
  <conditionalFormatting sqref="B99:B103">
    <cfRule type="duplicateValues" dxfId="84" priority="269"/>
    <cfRule type="duplicateValues" dxfId="83" priority="270"/>
    <cfRule type="duplicateValues" dxfId="82" priority="271"/>
    <cfRule type="duplicateValues" dxfId="81" priority="272"/>
  </conditionalFormatting>
  <conditionalFormatting sqref="B104">
    <cfRule type="duplicateValues" dxfId="80" priority="299"/>
    <cfRule type="duplicateValues" dxfId="79" priority="300"/>
    <cfRule type="duplicateValues" dxfId="78" priority="301"/>
    <cfRule type="duplicateValues" dxfId="77" priority="302"/>
  </conditionalFormatting>
  <conditionalFormatting sqref="B105 B107:B110">
    <cfRule type="duplicateValues" dxfId="76" priority="273"/>
    <cfRule type="duplicateValues" dxfId="75" priority="274"/>
    <cfRule type="duplicateValues" dxfId="74" priority="275"/>
    <cfRule type="duplicateValues" dxfId="73" priority="276"/>
  </conditionalFormatting>
  <conditionalFormatting sqref="B106">
    <cfRule type="duplicateValues" dxfId="72" priority="75"/>
    <cfRule type="duplicateValues" dxfId="71" priority="76"/>
    <cfRule type="duplicateValues" dxfId="70" priority="77"/>
    <cfRule type="duplicateValues" dxfId="69" priority="78"/>
  </conditionalFormatting>
  <conditionalFormatting sqref="B111:B113">
    <cfRule type="duplicateValues" dxfId="68" priority="72"/>
    <cfRule type="duplicateValues" dxfId="67" priority="73"/>
    <cfRule type="duplicateValues" dxfId="66" priority="74"/>
  </conditionalFormatting>
  <conditionalFormatting sqref="B114">
    <cfRule type="duplicateValues" dxfId="65" priority="221"/>
    <cfRule type="duplicateValues" dxfId="64" priority="222"/>
  </conditionalFormatting>
  <conditionalFormatting sqref="B5:B18 B28:B30 B32:B36 B38:B39 B43:B45 B50:B51 B55 B58:B60 B65:B66 B68:B69 B71:B72 B78:B82 B90 B92:B98 B114:B116 B118 B120:B123 B128:B144 B146:B151">
    <cfRule type="duplicateValues" dxfId="63" priority="205"/>
    <cfRule type="duplicateValues" dxfId="62" priority="206"/>
  </conditionalFormatting>
  <conditionalFormatting sqref="B115:B116">
    <cfRule type="duplicateValues" dxfId="61" priority="237"/>
  </conditionalFormatting>
  <conditionalFormatting sqref="B117">
    <cfRule type="duplicateValues" dxfId="60" priority="180"/>
    <cfRule type="duplicateValues" dxfId="59" priority="181"/>
    <cfRule type="duplicateValues" dxfId="58" priority="182"/>
    <cfRule type="duplicateValues" dxfId="57" priority="183"/>
    <cfRule type="duplicateValues" dxfId="56" priority="184"/>
    <cfRule type="duplicateValues" dxfId="55" priority="186"/>
    <cfRule type="duplicateValues" dxfId="54" priority="187"/>
    <cfRule type="duplicateValues" dxfId="53" priority="188"/>
    <cfRule type="duplicateValues" dxfId="52" priority="189"/>
  </conditionalFormatting>
  <conditionalFormatting sqref="B118">
    <cfRule type="duplicateValues" dxfId="51" priority="216"/>
    <cfRule type="duplicateValues" dxfId="50" priority="217"/>
    <cfRule type="duplicateValues" dxfId="49" priority="218"/>
  </conditionalFormatting>
  <conditionalFormatting sqref="B119">
    <cfRule type="duplicateValues" dxfId="48" priority="42"/>
    <cfRule type="duplicateValues" dxfId="47" priority="303"/>
    <cfRule type="duplicateValues" dxfId="46" priority="304"/>
  </conditionalFormatting>
  <conditionalFormatting sqref="B120">
    <cfRule type="duplicateValues" dxfId="45" priority="266"/>
    <cfRule type="duplicateValues" dxfId="44" priority="267"/>
    <cfRule type="duplicateValues" dxfId="43" priority="268"/>
  </conditionalFormatting>
  <conditionalFormatting sqref="B122">
    <cfRule type="duplicateValues" dxfId="42" priority="219"/>
    <cfRule type="duplicateValues" dxfId="41" priority="220"/>
  </conditionalFormatting>
  <conditionalFormatting sqref="B5:B18 B28:B30 B32:B36 B39 B43:B45 B50:B51 B55 B58:B60 B65:B66 B68 B71:B72 B78:B82 B90 B92:B98 B114:B116 B122:B123 B128:B130">
    <cfRule type="duplicateValues" dxfId="40" priority="289"/>
  </conditionalFormatting>
  <conditionalFormatting sqref="B124:B125">
    <cfRule type="duplicateValues" dxfId="39" priority="127"/>
    <cfRule type="duplicateValues" dxfId="38" priority="128"/>
    <cfRule type="duplicateValues" dxfId="37" priority="129"/>
    <cfRule type="duplicateValues" dxfId="36" priority="130"/>
  </conditionalFormatting>
  <conditionalFormatting sqref="B126:B127">
    <cfRule type="duplicateValues" dxfId="35" priority="1"/>
    <cfRule type="duplicateValues" dxfId="34" priority="2"/>
    <cfRule type="duplicateValues" dxfId="33" priority="3"/>
    <cfRule type="duplicateValues" dxfId="32" priority="4"/>
  </conditionalFormatting>
  <conditionalFormatting sqref="B123 B128:B130">
    <cfRule type="duplicateValues" dxfId="31" priority="277"/>
  </conditionalFormatting>
  <conditionalFormatting sqref="B131">
    <cfRule type="duplicateValues" dxfId="30" priority="208"/>
    <cfRule type="duplicateValues" dxfId="29" priority="209"/>
  </conditionalFormatting>
  <conditionalFormatting sqref="B132:B133">
    <cfRule type="duplicateValues" dxfId="28" priority="210"/>
  </conditionalFormatting>
  <conditionalFormatting sqref="B134:B135">
    <cfRule type="duplicateValues" dxfId="27" priority="207"/>
  </conditionalFormatting>
  <conditionalFormatting sqref="B121 B138:B139">
    <cfRule type="duplicateValues" dxfId="26" priority="282"/>
  </conditionalFormatting>
  <conditionalFormatting sqref="B143">
    <cfRule type="duplicateValues" dxfId="25" priority="295"/>
  </conditionalFormatting>
  <conditionalFormatting sqref="B145">
    <cfRule type="duplicateValues" dxfId="24" priority="124"/>
    <cfRule type="duplicateValues" dxfId="23" priority="125"/>
    <cfRule type="duplicateValues" dxfId="22" priority="126"/>
  </conditionalFormatting>
  <conditionalFormatting sqref="B148">
    <cfRule type="duplicateValues" dxfId="21" priority="212"/>
  </conditionalFormatting>
  <conditionalFormatting sqref="B149">
    <cfRule type="duplicateValues" dxfId="20" priority="211"/>
  </conditionalFormatting>
  <conditionalFormatting sqref="B136:B137 B140:B142 B144 B146:B147 B150:B151">
    <cfRule type="duplicateValues" dxfId="19" priority="240"/>
  </conditionalFormatting>
  <conditionalFormatting sqref="B152">
    <cfRule type="duplicateValues" dxfId="18" priority="296"/>
  </conditionalFormatting>
  <conditionalFormatting sqref="B153">
    <cfRule type="duplicateValues" dxfId="17" priority="278"/>
    <cfRule type="duplicateValues" dxfId="16" priority="279"/>
    <cfRule type="duplicateValues" dxfId="15" priority="280"/>
  </conditionalFormatting>
  <conditionalFormatting sqref="B154">
    <cfRule type="duplicateValues" dxfId="14" priority="68"/>
    <cfRule type="duplicateValues" dxfId="13" priority="69"/>
    <cfRule type="duplicateValues" dxfId="12" priority="70"/>
    <cfRule type="duplicateValues" dxfId="11" priority="71"/>
  </conditionalFormatting>
  <conditionalFormatting sqref="B155:B156">
    <cfRule type="duplicateValues" dxfId="10" priority="43"/>
    <cfRule type="duplicateValues" dxfId="9" priority="44"/>
    <cfRule type="duplicateValues" dxfId="8" priority="45"/>
    <cfRule type="duplicateValues" dxfId="7" priority="46"/>
  </conditionalFormatting>
  <conditionalFormatting sqref="B2:C2">
    <cfRule type="duplicateValues" dxfId="6" priority="356"/>
  </conditionalFormatting>
  <conditionalFormatting sqref="B3:C3">
    <cfRule type="duplicateValues" dxfId="5" priority="103"/>
  </conditionalFormatting>
  <conditionalFormatting sqref="B46:C46">
    <cfRule type="duplicateValues" dxfId="4" priority="152"/>
  </conditionalFormatting>
  <conditionalFormatting sqref="B57:C57">
    <cfRule type="duplicateValues" dxfId="3" priority="163"/>
  </conditionalFormatting>
  <conditionalFormatting sqref="B117:C117">
    <cfRule type="duplicateValues" dxfId="2" priority="185"/>
  </conditionalFormatting>
  <conditionalFormatting sqref="C41:C42">
    <cfRule type="duplicateValues" dxfId="1" priority="251"/>
  </conditionalFormatting>
  <conditionalFormatting sqref="C75">
    <cfRule type="duplicateValues" dxfId="0" priority="109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2026-07-08T10:20:27Z</dcterms:modified>
</cp:coreProperties>
</file>