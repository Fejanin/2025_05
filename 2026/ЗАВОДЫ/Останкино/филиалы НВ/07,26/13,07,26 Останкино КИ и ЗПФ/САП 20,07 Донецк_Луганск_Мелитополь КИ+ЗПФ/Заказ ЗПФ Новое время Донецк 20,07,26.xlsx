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20,07 Донецк_Луганск_Мелитополь КИ+ЗПФ\"/>
    </mc:Choice>
  </mc:AlternateContent>
  <xr:revisionPtr revIDLastSave="0" documentId="13_ncr:1_{6B3A8EA2-0E77-4F7D-A112-71E91D47F2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<sst xmlns="http://schemas.openxmlformats.org/spreadsheetml/2006/main" count="58" uniqueCount="44">
  <si>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</si>
  <si>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</si>
  <si>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</si>
  <si>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</si>
  <si>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</si>
  <si>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</si>
  <si>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</si>
  <si>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</si>
  <si>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Донецк г, Чаадаева ул. д.1</t>
  </si>
  <si>
    <t>Луганская Народная Республика</t>
  </si>
  <si>
    <t>Луганск г., Рабочая ул. д.10А</t>
  </si>
  <si>
    <t>Донецкая Народная Республика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</si>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</sst>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5" fillId="7" borderId="15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9" fillId="8" borderId="16" xfId="0" applyNumberFormat="1" applyFont="1" applyFill="1" applyBorder="1" applyAlignment="1">
      <alignment vertical="top"/>
    </xf>
    <xf numFmtId="1" fontId="8" fillId="9" borderId="14" xfId="0" applyNumberFormat="1" applyFont="1" applyFill="1" applyBorder="1" applyAlignment="1">
      <alignment horizontal="left" vertical="top"/>
    </xf>
    <xf numFmtId="1" fontId="15" fillId="3" borderId="2" xfId="0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54">
        <v>130133080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4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4" ht="19.5" customHeight="1" thickTop="1" thickBot="1" x14ac:dyDescent="0.3">
      <c r="B3" s="31"/>
      <c r="C3" s="7" t="s">
        <v>6</v>
      </c>
      <c r="D3" s="55">
        <v>46223</v>
      </c>
      <c r="E3" s="7" t="s">
        <v>7</v>
      </c>
      <c r="F3" s="55">
        <f>D3+3</f>
        <v>46226</v>
      </c>
      <c r="G3" s="72" t="s">
        <v>8</v>
      </c>
      <c r="H3" s="63"/>
      <c r="I3" s="63"/>
      <c r="J3" s="64"/>
      <c r="K3" s="26">
        <v>130133081</v>
      </c>
      <c r="L3" t="s">
        <v>2</v>
      </c>
      <c r="M3" t="s">
        <v>9</v>
      </c>
      <c r="N3" t="s">
        <v>10</v>
      </c>
    </row>
    <row r="4" spans="1:14" ht="15.75" customHeight="1" thickTop="1" x14ac:dyDescent="0.25">
      <c r="K4" s="26">
        <v>130133080</v>
      </c>
      <c r="L4" t="s">
        <v>2</v>
      </c>
      <c r="M4" t="s">
        <v>11</v>
      </c>
      <c r="N4" t="s">
        <v>8</v>
      </c>
    </row>
    <row r="5" spans="1:14" x14ac:dyDescent="0.25">
      <c r="C5" s="7" t="s">
        <v>12</v>
      </c>
      <c r="D5" s="36"/>
      <c r="E5" s="8"/>
      <c r="F5" s="8"/>
      <c r="G5" s="8"/>
      <c r="H5" s="21"/>
      <c r="I5" s="21"/>
    </row>
    <row r="6" spans="1:14" ht="15.75" customHeight="1" thickBot="1" x14ac:dyDescent="0.3">
      <c r="D6" s="37" t="s">
        <v>13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14</v>
      </c>
      <c r="D7" s="36" t="s">
        <v>15</v>
      </c>
      <c r="E7" s="11" t="s">
        <v>16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4" t="s">
        <v>17</v>
      </c>
      <c r="B9" s="42" t="s">
        <v>18</v>
      </c>
      <c r="C9" s="12" t="s">
        <v>19</v>
      </c>
      <c r="D9" s="33" t="s">
        <v>20</v>
      </c>
      <c r="E9" s="25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29" t="s">
        <v>26</v>
      </c>
      <c r="K9" s="27"/>
    </row>
    <row r="10" spans="1:14" ht="16.5" customHeight="1" thickTop="1" thickBot="1" x14ac:dyDescent="0.3">
      <c r="A10" s="45"/>
      <c r="B10" s="40" t="s">
        <v>27</v>
      </c>
      <c r="C10" s="40"/>
      <c r="D10" s="40"/>
      <c r="E10" s="40"/>
      <c r="F10" s="39"/>
      <c r="G10" s="40"/>
      <c r="H10" s="40"/>
      <c r="I10" s="40"/>
      <c r="J10" s="41"/>
    </row>
    <row r="11" spans="1:14" ht="16.5" customHeight="1" thickTop="1" thickBot="1" x14ac:dyDescent="0.3">
      <c r="A11" s="45"/>
      <c r="B11" s="40" t="s">
        <v>28</v>
      </c>
      <c r="C11" s="40"/>
      <c r="D11" s="40"/>
      <c r="E11" s="40"/>
      <c r="F11" s="39"/>
      <c r="G11" s="40"/>
      <c r="H11" s="40"/>
      <c r="I11" s="40"/>
      <c r="J11" s="41"/>
    </row>
    <row r="12" spans="1:14" ht="16.5" customHeight="1" thickTop="1" x14ac:dyDescent="0.25">
      <c r="A12" s="56">
        <v>5897</v>
      </c>
      <c r="B12" s="48" t="s">
        <v>29</v>
      </c>
      <c r="C12" s="46" t="s">
        <v>30</v>
      </c>
      <c r="D12" s="47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28"/>
    </row>
    <row r="13" spans="1:14" ht="16.5" customHeight="1" x14ac:dyDescent="0.25">
      <c r="A13" s="56">
        <v>6149</v>
      </c>
      <c r="B13" s="48" t="s">
        <v>31</v>
      </c>
      <c r="C13" s="46" t="s">
        <v>30</v>
      </c>
      <c r="D13" s="47">
        <v>1002131166149</v>
      </c>
      <c r="E13" s="23">
        <v>190</v>
      </c>
      <c r="F13" s="22">
        <v>0.3</v>
      </c>
      <c r="G13" s="22">
        <f t="shared" si="0"/>
        <v>57</v>
      </c>
      <c r="H13" s="14">
        <v>3.6</v>
      </c>
      <c r="I13" s="14">
        <v>120</v>
      </c>
      <c r="J13" s="28"/>
    </row>
    <row r="14" spans="1:14" ht="16.5" customHeight="1" x14ac:dyDescent="0.25">
      <c r="A14" s="56">
        <v>6819</v>
      </c>
      <c r="B14" s="48" t="s">
        <v>32</v>
      </c>
      <c r="C14" s="46" t="s">
        <v>30</v>
      </c>
      <c r="D14" s="47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4" ht="16.5" customHeight="1" x14ac:dyDescent="0.25">
      <c r="A15" s="56">
        <v>6202</v>
      </c>
      <c r="B15" s="48" t="s">
        <v>33</v>
      </c>
      <c r="C15" s="46" t="s">
        <v>30</v>
      </c>
      <c r="D15" s="47">
        <v>1002131186202</v>
      </c>
      <c r="E15" s="23">
        <v>130</v>
      </c>
      <c r="F15" s="22">
        <v>0.3</v>
      </c>
      <c r="G15" s="22">
        <f t="shared" si="0"/>
        <v>39</v>
      </c>
      <c r="H15" s="14">
        <v>3.6</v>
      </c>
      <c r="I15" s="14">
        <v>120</v>
      </c>
      <c r="J15" s="28"/>
    </row>
    <row r="16" spans="1:14" ht="16.5" customHeight="1" x14ac:dyDescent="0.25">
      <c r="A16" s="56">
        <v>6148</v>
      </c>
      <c r="B16" s="48" t="s">
        <v>34</v>
      </c>
      <c r="C16" s="46" t="s">
        <v>30</v>
      </c>
      <c r="D16" s="47">
        <v>1002133376148</v>
      </c>
      <c r="E16" s="23">
        <v>10</v>
      </c>
      <c r="F16" s="22">
        <v>0.3</v>
      </c>
      <c r="G16" s="22">
        <f t="shared" si="0"/>
        <v>3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48" t="s">
        <v>35</v>
      </c>
      <c r="C17" s="46" t="s">
        <v>30</v>
      </c>
      <c r="D17" s="47">
        <v>1002131146209</v>
      </c>
      <c r="E17" s="23">
        <v>50</v>
      </c>
      <c r="F17" s="22">
        <v>0.35</v>
      </c>
      <c r="G17" s="22">
        <f t="shared" si="0"/>
        <v>17.5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48" t="s">
        <v>36</v>
      </c>
      <c r="C18" s="46" t="s">
        <v>30</v>
      </c>
      <c r="D18" s="47">
        <v>1002131156168</v>
      </c>
      <c r="E18" s="23">
        <v>10</v>
      </c>
      <c r="F18" s="22">
        <v>0.35</v>
      </c>
      <c r="G18" s="22">
        <f t="shared" si="0"/>
        <v>3.5</v>
      </c>
      <c r="H18" s="14">
        <v>4.2</v>
      </c>
      <c r="I18" s="14">
        <v>120</v>
      </c>
      <c r="J18" s="28"/>
    </row>
    <row r="19" spans="1:10" ht="16.5" customHeight="1" x14ac:dyDescent="0.25">
      <c r="A19" s="56">
        <v>5579</v>
      </c>
      <c r="B19" s="48" t="s">
        <v>37</v>
      </c>
      <c r="C19" s="46" t="s">
        <v>30</v>
      </c>
      <c r="D19" s="47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7">
        <v>5754</v>
      </c>
      <c r="B20" s="58" t="s">
        <v>38</v>
      </c>
      <c r="C20" s="46" t="s">
        <v>39</v>
      </c>
      <c r="D20" s="47">
        <v>1002131155754</v>
      </c>
      <c r="E20" s="23"/>
      <c r="F20" s="22">
        <v>4.5</v>
      </c>
      <c r="G20" s="59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7">
        <v>5755</v>
      </c>
      <c r="B21" s="48" t="s">
        <v>40</v>
      </c>
      <c r="C21" s="46" t="s">
        <v>39</v>
      </c>
      <c r="D21" s="47">
        <v>1002131185755</v>
      </c>
      <c r="E21" s="23"/>
      <c r="F21" s="22">
        <v>4.5</v>
      </c>
      <c r="G21" s="59">
        <f>E21</f>
        <v>0</v>
      </c>
      <c r="H21" s="14">
        <v>4.5</v>
      </c>
      <c r="I21" s="14">
        <v>120</v>
      </c>
      <c r="J21" s="28"/>
    </row>
    <row r="22" spans="1:10" ht="15.75" customHeight="1" thickBot="1" x14ac:dyDescent="0.3">
      <c r="A22" s="52"/>
      <c r="B22" s="65" t="s">
        <v>41</v>
      </c>
      <c r="C22" s="66"/>
      <c r="D22" s="67"/>
      <c r="E22" s="68"/>
      <c r="F22" s="69"/>
      <c r="G22" s="69"/>
      <c r="H22" s="70"/>
      <c r="I22" s="70"/>
      <c r="J22" s="71"/>
    </row>
    <row r="23" spans="1:10" ht="16.5" customHeight="1" thickTop="1" thickBot="1" x14ac:dyDescent="0.3">
      <c r="A23" s="60">
        <v>7216</v>
      </c>
      <c r="B23" s="53" t="s">
        <v>42</v>
      </c>
      <c r="C23" s="46" t="s">
        <v>30</v>
      </c>
      <c r="D23" s="61">
        <v>1002116437216</v>
      </c>
      <c r="E23" s="50"/>
      <c r="F23" s="22">
        <v>0.7</v>
      </c>
      <c r="G23" s="59">
        <f>E23*F23</f>
        <v>0</v>
      </c>
      <c r="H23" s="14"/>
      <c r="I23" s="51"/>
      <c r="J23" s="51"/>
    </row>
    <row r="24" spans="1:10" ht="16.5" customHeight="1" thickTop="1" thickBot="1" x14ac:dyDescent="0.3">
      <c r="A24" s="49"/>
      <c r="B24" s="43" t="s">
        <v>43</v>
      </c>
      <c r="C24" s="15"/>
      <c r="D24" s="34"/>
      <c r="E24" s="16">
        <f>SUM(E10:E23)</f>
        <v>390</v>
      </c>
      <c r="F24" s="16"/>
      <c r="G24" s="16">
        <f>SUM(G12:G23)</f>
        <v>120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3" x14ac:dyDescent="0.25">
      <c r="B1537" s="35"/>
      <c r="C1537" s="17"/>
    </row>
    <row r="1538" spans="2:3" x14ac:dyDescent="0.25">
      <c r="B1538" s="35"/>
      <c r="C1538" s="17"/>
    </row>
  </sheetData>
  <autoFilter ref="A9:J23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2026-07-15T11:41:28Z</dcterms:modified>
</cp:coreProperties>
</file>