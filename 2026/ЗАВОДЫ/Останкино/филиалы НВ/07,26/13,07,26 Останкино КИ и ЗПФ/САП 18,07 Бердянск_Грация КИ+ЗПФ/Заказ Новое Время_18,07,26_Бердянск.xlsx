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8,07 Бердянск_Грация КИ+ЗПФ\"/>
    </mc:Choice>
  </mc:AlternateContent>
  <xr:revisionPtr revIDLastSave="0" documentId="13_ncr:1_{457F0BD9-0271-4EA3-B0CC-04A7F45953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3" i="1" l="1"/>
  <c r="E163" i="1" l="1"/>
  <c r="G162" i="1"/>
  <c r="G161" i="1"/>
  <c r="G160" i="1"/>
  <c r="G159" i="1"/>
  <c r="G158" i="1"/>
  <c r="G157" i="1"/>
  <c r="G156" i="1"/>
  <c r="G155" i="1"/>
  <c r="G154" i="1"/>
  <c r="G152" i="1"/>
  <c r="G151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K7" i="1"/>
  <c r="K6" i="1"/>
  <c r="K5" i="1"/>
  <c r="G3" i="1"/>
  <c r="F3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<sst xmlns="http://schemas.openxmlformats.org/spreadsheetml/2006/main" count="659" uniqueCount="222">
  <si>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</si>
  <si>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</si>
  <si>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</si>
  <si>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</si>
  <si>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</si>
  <si>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</si>
  <si>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</si>
  <si>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</si>
  <si>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</si>
  <si>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</si>
  <si>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</si>
  <si>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</si>
  <si>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</si>
  <si>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</si>
  <si>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</si>
  <si>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</si>
  <si>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</si>
  <si>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</si>
  <si>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</si>
  <si>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</si>
  <si>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</si>
  <si>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</si>
  <si>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</si>
  <si>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</si>
  <si>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</si>
  <si>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</si>
  <si>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</si>
  <si>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</si>
  <si>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</si>
  <si>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</si>
  <si>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</si>
  <si>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</si>
  <si>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</si>
  <si>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</si>
  <si>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</si>
  <si>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</si>
  <si>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</si>
  <si>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</si>
  <si>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</si>
  <si>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</si>
  <si>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</si>
  <si>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</si>
  <si>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</si>
  <si>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</si>
  <si>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</si>
  <si>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</si>
  <si>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</si>
  <si>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</si>
  <si>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</si>
  <si>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</si>
  <si>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</si>
  <si>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</si>
  <si>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</si>
  <si>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</si>
  <si>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</si>
  <si>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</si>
  <si>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</si>
  <si>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</si>
  <si>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</si>
  <si>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</si>
  <si>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</si>
  <si>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 xml:space="preserve">ДЛЯ ДЕТЕЙ Папа может сос п/о мгс 0.33кг 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</si>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</sst>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0" fillId="9" borderId="8" xfId="0" applyFill="1" applyBorder="1" applyAlignment="1">
      <alignment horizontal="right"/>
    </xf>
    <xf numFmtId="0" fontId="0" fillId="13" borderId="8" xfId="0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="85" zoomScaleNormal="85" workbookViewId="0">
      <pane ySplit="9" topLeftCell="A160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10">
        <v>130438122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11">
        <v>46221</v>
      </c>
      <c r="E3" s="5" t="s">
        <v>5</v>
      </c>
      <c r="F3" s="111">
        <f>D3+3</f>
        <v>46224</v>
      </c>
      <c r="G3" s="115" t="str">
        <f>VLOOKUP(D1,K:L,2,0)</f>
        <v>130438122 ООО "НОВОЕ ВРЕМЯ"  272151 Бердянский р-н 90  Трояны</v>
      </c>
      <c r="H3" s="113"/>
      <c r="I3" s="113"/>
      <c r="J3" s="11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102">
        <v>7523</v>
      </c>
      <c r="B11" s="50" t="s">
        <v>24</v>
      </c>
      <c r="C11" s="41" t="s">
        <v>25</v>
      </c>
      <c r="D11" s="53">
        <v>1001012427523</v>
      </c>
      <c r="E11" s="17">
        <v>97</v>
      </c>
      <c r="F11" s="16">
        <v>0.4</v>
      </c>
      <c r="G11" s="16">
        <f>E11*F11</f>
        <v>38.800000000000004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>
        <v>6220</v>
      </c>
      <c r="B12" s="50" t="s">
        <v>27</v>
      </c>
      <c r="C12" s="41" t="s">
        <v>28</v>
      </c>
      <c r="D12" s="53">
        <v>1001012426220</v>
      </c>
      <c r="E12" s="17">
        <v>72</v>
      </c>
      <c r="F12" s="16">
        <v>1.35</v>
      </c>
      <c r="G12" s="16">
        <f>E12</f>
        <v>72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102">
        <v>7539</v>
      </c>
      <c r="B13" s="50" t="s">
        <v>29</v>
      </c>
      <c r="C13" s="41" t="s">
        <v>25</v>
      </c>
      <c r="D13" s="53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102"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>
        <v>4063</v>
      </c>
      <c r="B20" s="50" t="s">
        <v>38</v>
      </c>
      <c r="C20" s="41" t="s">
        <v>28</v>
      </c>
      <c r="D20" s="53">
        <v>1001012484063</v>
      </c>
      <c r="E20" s="17">
        <v>250</v>
      </c>
      <c r="F20" s="16">
        <v>1.35</v>
      </c>
      <c r="G20" s="16">
        <f>E20</f>
        <v>250</v>
      </c>
      <c r="H20" s="11">
        <v>4.05</v>
      </c>
      <c r="I20" s="11">
        <v>60</v>
      </c>
      <c r="J20" s="44"/>
    </row>
    <row r="21" spans="1:10" ht="16.5" customHeight="1" x14ac:dyDescent="0.25">
      <c r="A21" s="42">
        <v>6333</v>
      </c>
      <c r="B21" s="50" t="s">
        <v>39</v>
      </c>
      <c r="C21" s="41" t="s">
        <v>25</v>
      </c>
      <c r="D21" s="53">
        <v>1001012486333</v>
      </c>
      <c r="E21" s="17">
        <v>246</v>
      </c>
      <c r="F21" s="16">
        <v>0.4</v>
      </c>
      <c r="G21" s="16">
        <f>E21*F21</f>
        <v>98.4</v>
      </c>
      <c r="H21" s="11">
        <v>3.2</v>
      </c>
      <c r="I21" s="11">
        <v>60</v>
      </c>
      <c r="J21" s="44"/>
    </row>
    <row r="22" spans="1:10" ht="16.5" customHeight="1" x14ac:dyDescent="0.25">
      <c r="A22" s="42"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>
        <v>4813</v>
      </c>
      <c r="B24" s="50" t="s">
        <v>42</v>
      </c>
      <c r="C24" s="41" t="s">
        <v>28</v>
      </c>
      <c r="D24" s="53">
        <v>1001012564813</v>
      </c>
      <c r="E24" s="17">
        <v>118</v>
      </c>
      <c r="F24" s="43">
        <v>1.35</v>
      </c>
      <c r="G24" s="16">
        <f>E24</f>
        <v>118</v>
      </c>
      <c r="H24" s="44">
        <v>4.05</v>
      </c>
      <c r="I24" s="44">
        <v>60</v>
      </c>
      <c r="J24" s="44"/>
    </row>
    <row r="25" spans="1:10" ht="16.5" customHeight="1" x14ac:dyDescent="0.25">
      <c r="A25" s="42">
        <v>6392</v>
      </c>
      <c r="B25" s="50" t="s">
        <v>43</v>
      </c>
      <c r="C25" s="41" t="s">
        <v>25</v>
      </c>
      <c r="D25" s="53">
        <v>1001012566392</v>
      </c>
      <c r="E25" s="17">
        <v>266</v>
      </c>
      <c r="F25" s="43">
        <v>0.4</v>
      </c>
      <c r="G25" s="16">
        <f>E25*F25</f>
        <v>106.4</v>
      </c>
      <c r="H25" s="44">
        <v>3.2</v>
      </c>
      <c r="I25" s="44">
        <v>60</v>
      </c>
      <c r="J25" s="44"/>
    </row>
    <row r="26" spans="1:10" ht="16.5" customHeight="1" x14ac:dyDescent="0.25">
      <c r="A26" s="42">
        <v>5851</v>
      </c>
      <c r="B26" s="50" t="s">
        <v>44</v>
      </c>
      <c r="C26" s="41" t="s">
        <v>28</v>
      </c>
      <c r="D26" s="53">
        <v>1001012505851</v>
      </c>
      <c r="E26" s="17">
        <v>129</v>
      </c>
      <c r="F26" s="43">
        <v>1.35</v>
      </c>
      <c r="G26" s="16">
        <f>E26</f>
        <v>129</v>
      </c>
      <c r="H26" s="44">
        <v>4.05</v>
      </c>
      <c r="I26" s="44">
        <v>60</v>
      </c>
      <c r="J26" s="44"/>
    </row>
    <row r="27" spans="1:10" ht="16.5" customHeight="1" x14ac:dyDescent="0.25">
      <c r="A27" s="102">
        <v>7632</v>
      </c>
      <c r="B27" s="50" t="s">
        <v>45</v>
      </c>
      <c r="C27" s="41" t="s">
        <v>25</v>
      </c>
      <c r="D27" s="53">
        <v>1001012507632</v>
      </c>
      <c r="E27" s="17">
        <v>166</v>
      </c>
      <c r="F27" s="43">
        <v>0.4</v>
      </c>
      <c r="G27" s="16">
        <f>E27*F27</f>
        <v>66.400000000000006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102"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>
        <v>6325</v>
      </c>
      <c r="B30" s="50" t="s">
        <v>50</v>
      </c>
      <c r="C30" s="41" t="s">
        <v>25</v>
      </c>
      <c r="D30" s="53">
        <v>1001010106325</v>
      </c>
      <c r="E30" s="17">
        <v>126</v>
      </c>
      <c r="F30" s="16">
        <v>0.4</v>
      </c>
      <c r="G30" s="16">
        <f>E30*F30</f>
        <v>50.400000000000006</v>
      </c>
      <c r="H30" s="11">
        <v>3.2</v>
      </c>
      <c r="I30" s="11">
        <v>60</v>
      </c>
      <c r="J30" s="44"/>
    </row>
    <row r="31" spans="1:10" ht="16.5" customHeight="1" x14ac:dyDescent="0.25">
      <c r="A31" s="102"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>
        <v>6797</v>
      </c>
      <c r="B34" s="50" t="s">
        <v>55</v>
      </c>
      <c r="C34" s="41" t="s">
        <v>25</v>
      </c>
      <c r="D34" s="53">
        <v>1001015026797</v>
      </c>
      <c r="E34" s="17">
        <v>289</v>
      </c>
      <c r="F34" s="43">
        <v>0.4</v>
      </c>
      <c r="G34" s="16">
        <f>E34*F34</f>
        <v>115.60000000000001</v>
      </c>
      <c r="H34" s="44">
        <v>3.2</v>
      </c>
      <c r="I34" s="44">
        <v>60</v>
      </c>
      <c r="J34" s="44"/>
    </row>
    <row r="35" spans="1:10" ht="16.5" customHeight="1" thickBot="1" x14ac:dyDescent="0.3">
      <c r="A35" s="42">
        <v>7231</v>
      </c>
      <c r="B35" s="50" t="s">
        <v>56</v>
      </c>
      <c r="C35" s="41" t="s">
        <v>25</v>
      </c>
      <c r="D35" s="53">
        <v>1001013957231</v>
      </c>
      <c r="E35" s="17">
        <v>15</v>
      </c>
      <c r="F35" s="43">
        <v>0.3</v>
      </c>
      <c r="G35" s="16">
        <f>E35*F35</f>
        <v>4.5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2" si="0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>
        <v>7284</v>
      </c>
      <c r="B38" s="50" t="s">
        <v>59</v>
      </c>
      <c r="C38" s="41" t="s">
        <v>25</v>
      </c>
      <c r="D38" s="53">
        <v>1001025767284</v>
      </c>
      <c r="E38" s="17"/>
      <c r="F38" s="43">
        <v>0.33</v>
      </c>
      <c r="G38" s="16">
        <f t="shared" si="0"/>
        <v>0</v>
      </c>
      <c r="H38" s="44">
        <v>1.98</v>
      </c>
      <c r="I38" s="44">
        <v>30</v>
      </c>
      <c r="J38" s="44"/>
    </row>
    <row r="39" spans="1:10" ht="16.5" customHeight="1" x14ac:dyDescent="0.25">
      <c r="A39" s="42"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0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>
        <v>7461</v>
      </c>
      <c r="B40" s="50" t="s">
        <v>61</v>
      </c>
      <c r="C40" s="41" t="s">
        <v>25</v>
      </c>
      <c r="D40" s="53">
        <v>1001025767461</v>
      </c>
      <c r="E40" s="17">
        <v>260</v>
      </c>
      <c r="F40" s="43">
        <v>0.33</v>
      </c>
      <c r="G40" s="16">
        <f t="shared" si="0"/>
        <v>85.8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>
        <v>7371</v>
      </c>
      <c r="B41" s="50" t="s">
        <v>63</v>
      </c>
      <c r="C41" s="41" t="s">
        <v>25</v>
      </c>
      <c r="D41" s="53">
        <v>1001026947371</v>
      </c>
      <c r="E41" s="17">
        <v>249</v>
      </c>
      <c r="F41" s="43">
        <v>0.3</v>
      </c>
      <c r="G41" s="16">
        <f t="shared" si="0"/>
        <v>74.7</v>
      </c>
      <c r="H41" s="44">
        <v>2.4</v>
      </c>
      <c r="I41" s="44">
        <v>45</v>
      </c>
      <c r="J41" s="44"/>
    </row>
    <row r="42" spans="1:10" ht="16.5" customHeight="1" x14ac:dyDescent="0.25">
      <c r="A42" s="42">
        <v>6759</v>
      </c>
      <c r="B42" s="50" t="s">
        <v>64</v>
      </c>
      <c r="C42" s="41" t="s">
        <v>25</v>
      </c>
      <c r="D42" s="53">
        <v>1001020836759</v>
      </c>
      <c r="E42" s="17"/>
      <c r="F42" s="43">
        <v>0.4</v>
      </c>
      <c r="G42" s="16">
        <f t="shared" si="0"/>
        <v>0</v>
      </c>
      <c r="H42" s="44">
        <v>2.8</v>
      </c>
      <c r="I42" s="44">
        <v>30</v>
      </c>
      <c r="J42" s="44"/>
    </row>
    <row r="43" spans="1:10" ht="16.5" customHeight="1" x14ac:dyDescent="0.25">
      <c r="A43" s="42">
        <v>6761</v>
      </c>
      <c r="B43" s="50" t="s">
        <v>65</v>
      </c>
      <c r="C43" s="41" t="s">
        <v>28</v>
      </c>
      <c r="D43" s="53">
        <v>1001020836761</v>
      </c>
      <c r="E43" s="17"/>
      <c r="F43" s="43">
        <v>1</v>
      </c>
      <c r="G43" s="16">
        <f>E43</f>
        <v>0</v>
      </c>
      <c r="H43" s="44">
        <v>4</v>
      </c>
      <c r="I43" s="44">
        <v>30</v>
      </c>
      <c r="J43" s="44"/>
    </row>
    <row r="44" spans="1:10" ht="16.5" customHeight="1" x14ac:dyDescent="0.25">
      <c r="A44" s="42">
        <v>6829</v>
      </c>
      <c r="B44" s="50" t="s">
        <v>66</v>
      </c>
      <c r="C44" s="41" t="s">
        <v>28</v>
      </c>
      <c r="D44" s="53">
        <v>1001024976829</v>
      </c>
      <c r="E44" s="17">
        <v>54</v>
      </c>
      <c r="F44" s="43">
        <v>2.1</v>
      </c>
      <c r="G44" s="16">
        <f>E44</f>
        <v>54</v>
      </c>
      <c r="H44" s="44">
        <v>8.4</v>
      </c>
      <c r="I44" s="44">
        <v>45</v>
      </c>
      <c r="J44" s="44"/>
    </row>
    <row r="45" spans="1:10" ht="16.5" customHeight="1" x14ac:dyDescent="0.25">
      <c r="A45" s="42">
        <v>6616</v>
      </c>
      <c r="B45" s="50" t="s">
        <v>67</v>
      </c>
      <c r="C45" s="41" t="s">
        <v>25</v>
      </c>
      <c r="D45" s="53">
        <v>1001024976616</v>
      </c>
      <c r="E45" s="17">
        <v>71</v>
      </c>
      <c r="F45" s="43">
        <v>0.3</v>
      </c>
      <c r="G45" s="16">
        <f>E45*F45</f>
        <v>21.3</v>
      </c>
      <c r="H45" s="44">
        <v>2.4</v>
      </c>
      <c r="I45" s="44">
        <v>45</v>
      </c>
      <c r="J45" s="44"/>
    </row>
    <row r="46" spans="1:10" ht="16.5" customHeight="1" x14ac:dyDescent="0.25">
      <c r="A46" s="42">
        <v>7075</v>
      </c>
      <c r="B46" s="50" t="s">
        <v>68</v>
      </c>
      <c r="C46" s="41" t="s">
        <v>28</v>
      </c>
      <c r="D46" s="53">
        <v>1001022657075</v>
      </c>
      <c r="E46" s="17">
        <v>13</v>
      </c>
      <c r="F46" s="43">
        <v>1.5</v>
      </c>
      <c r="G46" s="16">
        <f>E46</f>
        <v>13</v>
      </c>
      <c r="H46" s="44">
        <v>6</v>
      </c>
      <c r="I46" s="44">
        <v>50</v>
      </c>
      <c r="J46" s="44"/>
    </row>
    <row r="47" spans="1:10" ht="16.5" customHeight="1" x14ac:dyDescent="0.25">
      <c r="A47" s="42">
        <v>7074</v>
      </c>
      <c r="B47" s="50" t="s">
        <v>69</v>
      </c>
      <c r="C47" s="41" t="s">
        <v>25</v>
      </c>
      <c r="D47" s="53">
        <v>1001022657074</v>
      </c>
      <c r="E47" s="17"/>
      <c r="F47" s="43">
        <v>0.6</v>
      </c>
      <c r="G47" s="16">
        <f>E47*F47</f>
        <v>0</v>
      </c>
      <c r="H47" s="44">
        <v>4.8</v>
      </c>
      <c r="I47" s="44">
        <v>50</v>
      </c>
      <c r="J47" s="44"/>
    </row>
    <row r="48" spans="1:10" ht="16.5" customHeight="1" x14ac:dyDescent="0.25">
      <c r="A48" s="42">
        <v>7073</v>
      </c>
      <c r="B48" s="50" t="s">
        <v>70</v>
      </c>
      <c r="C48" s="41" t="s">
        <v>25</v>
      </c>
      <c r="D48" s="53">
        <v>1001022657073</v>
      </c>
      <c r="E48" s="17">
        <v>218</v>
      </c>
      <c r="F48" s="43">
        <v>0.35</v>
      </c>
      <c r="G48" s="16">
        <f>E48*F48</f>
        <v>76.3</v>
      </c>
      <c r="H48" s="44">
        <v>2.8</v>
      </c>
      <c r="I48" s="44">
        <v>50</v>
      </c>
      <c r="J48" s="44"/>
    </row>
    <row r="49" spans="1:10" ht="16.5" customHeight="1" x14ac:dyDescent="0.25">
      <c r="A49" s="42">
        <v>6724</v>
      </c>
      <c r="B49" s="50" t="s">
        <v>71</v>
      </c>
      <c r="C49" s="41" t="s">
        <v>25</v>
      </c>
      <c r="D49" s="53">
        <v>1001020836724</v>
      </c>
      <c r="E49" s="17">
        <v>87</v>
      </c>
      <c r="F49" s="43">
        <v>0.41</v>
      </c>
      <c r="G49" s="16">
        <f>E49*F49</f>
        <v>35.669999999999995</v>
      </c>
      <c r="H49" s="44">
        <v>4.0999999999999996</v>
      </c>
      <c r="I49" s="44">
        <v>45</v>
      </c>
      <c r="J49" s="44"/>
    </row>
    <row r="50" spans="1:10" ht="16.5" customHeight="1" x14ac:dyDescent="0.25">
      <c r="A50" s="42">
        <v>5819</v>
      </c>
      <c r="B50" s="50" t="s">
        <v>72</v>
      </c>
      <c r="C50" s="41" t="s">
        <v>25</v>
      </c>
      <c r="D50" s="53">
        <v>1001022725819</v>
      </c>
      <c r="E50" s="17">
        <v>100</v>
      </c>
      <c r="F50" s="43">
        <v>0.4</v>
      </c>
      <c r="G50" s="16">
        <f>E50*F50</f>
        <v>40</v>
      </c>
      <c r="H50" s="44">
        <v>3.2</v>
      </c>
      <c r="I50" s="44">
        <v>45</v>
      </c>
      <c r="J50" s="44"/>
    </row>
    <row r="51" spans="1:10" ht="16.5" customHeight="1" x14ac:dyDescent="0.25">
      <c r="A51" s="42">
        <v>6303</v>
      </c>
      <c r="B51" s="50" t="s">
        <v>73</v>
      </c>
      <c r="C51" s="41" t="s">
        <v>28</v>
      </c>
      <c r="D51" s="53">
        <v>1001022726303</v>
      </c>
      <c r="E51" s="17">
        <v>404</v>
      </c>
      <c r="F51" s="43">
        <v>1.5</v>
      </c>
      <c r="G51" s="16">
        <f>E51</f>
        <v>404</v>
      </c>
      <c r="H51" s="44">
        <v>4.5</v>
      </c>
      <c r="I51" s="44">
        <v>45</v>
      </c>
      <c r="J51" s="44"/>
    </row>
    <row r="52" spans="1:10" ht="16.5" customHeight="1" x14ac:dyDescent="0.25">
      <c r="A52" s="42">
        <v>7255</v>
      </c>
      <c r="B52" s="50" t="s">
        <v>74</v>
      </c>
      <c r="C52" s="41" t="s">
        <v>25</v>
      </c>
      <c r="D52" s="53">
        <v>1001025507255</v>
      </c>
      <c r="E52" s="17">
        <v>369</v>
      </c>
      <c r="F52" s="43">
        <v>0.4</v>
      </c>
      <c r="G52" s="16">
        <f>E52*F52</f>
        <v>147.6</v>
      </c>
      <c r="H52" s="44">
        <v>2.4</v>
      </c>
      <c r="I52" s="44">
        <v>50</v>
      </c>
      <c r="J52" s="44"/>
    </row>
    <row r="53" spans="1:10" ht="16.5" customHeight="1" x14ac:dyDescent="0.25">
      <c r="A53" s="42">
        <v>7271</v>
      </c>
      <c r="B53" s="50" t="s">
        <v>75</v>
      </c>
      <c r="C53" s="41" t="s">
        <v>28</v>
      </c>
      <c r="D53" s="53">
        <v>1001025507271</v>
      </c>
      <c r="E53" s="17"/>
      <c r="F53" s="43">
        <v>1.5</v>
      </c>
      <c r="G53" s="16">
        <f>E53</f>
        <v>0</v>
      </c>
      <c r="H53" s="44">
        <v>6</v>
      </c>
      <c r="I53" s="44">
        <v>50</v>
      </c>
      <c r="J53" s="44"/>
    </row>
    <row r="54" spans="1:10" ht="16.5" customHeight="1" x14ac:dyDescent="0.25">
      <c r="A54" s="42">
        <v>6765</v>
      </c>
      <c r="B54" s="50" t="s">
        <v>76</v>
      </c>
      <c r="C54" s="41" t="s">
        <v>25</v>
      </c>
      <c r="D54" s="53">
        <v>1001023696765</v>
      </c>
      <c r="E54" s="17"/>
      <c r="F54" s="43">
        <v>0.36</v>
      </c>
      <c r="G54" s="16">
        <f>E54*F54</f>
        <v>0</v>
      </c>
      <c r="H54" s="44">
        <v>2.16</v>
      </c>
      <c r="I54" s="44">
        <v>45</v>
      </c>
      <c r="J54" s="44"/>
    </row>
    <row r="55" spans="1:10" ht="16.5" customHeight="1" x14ac:dyDescent="0.25">
      <c r="A55" s="42">
        <v>6767</v>
      </c>
      <c r="B55" s="50" t="s">
        <v>77</v>
      </c>
      <c r="C55" s="41" t="s">
        <v>28</v>
      </c>
      <c r="D55" s="53">
        <v>1001023696767</v>
      </c>
      <c r="E55" s="17"/>
      <c r="F55" s="43">
        <v>1.04</v>
      </c>
      <c r="G55" s="16">
        <f>E55</f>
        <v>0</v>
      </c>
      <c r="H55" s="44">
        <v>4.16</v>
      </c>
      <c r="I55" s="44">
        <v>45</v>
      </c>
      <c r="J55" s="44"/>
    </row>
    <row r="56" spans="1:10" ht="16.5" customHeight="1" x14ac:dyDescent="0.25">
      <c r="A56" s="42">
        <v>6475</v>
      </c>
      <c r="B56" s="50" t="s">
        <v>78</v>
      </c>
      <c r="C56" s="41" t="s">
        <v>25</v>
      </c>
      <c r="D56" s="53">
        <v>1001025176475</v>
      </c>
      <c r="E56" s="17">
        <v>63</v>
      </c>
      <c r="F56" s="43">
        <v>0.4</v>
      </c>
      <c r="G56" s="16">
        <f>E56*F56</f>
        <v>25.200000000000003</v>
      </c>
      <c r="H56" s="44">
        <v>2.4</v>
      </c>
      <c r="I56" s="44">
        <v>45</v>
      </c>
      <c r="J56" s="44"/>
    </row>
    <row r="57" spans="1:10" ht="16.5" customHeight="1" x14ac:dyDescent="0.25">
      <c r="A57" s="42">
        <v>7083</v>
      </c>
      <c r="B57" s="50" t="s">
        <v>79</v>
      </c>
      <c r="C57" s="41" t="s">
        <v>28</v>
      </c>
      <c r="D57" s="53">
        <v>1001022467083</v>
      </c>
      <c r="E57" s="17">
        <v>24</v>
      </c>
      <c r="F57" s="43">
        <v>1.5</v>
      </c>
      <c r="G57" s="16">
        <f>E57</f>
        <v>24</v>
      </c>
      <c r="H57" s="44">
        <v>6</v>
      </c>
      <c r="I57" s="44">
        <v>50</v>
      </c>
      <c r="J57" s="44"/>
    </row>
    <row r="58" spans="1:10" ht="16.5" customHeight="1" x14ac:dyDescent="0.25">
      <c r="A58" s="42">
        <v>7080</v>
      </c>
      <c r="B58" s="50" t="s">
        <v>80</v>
      </c>
      <c r="C58" s="41" t="s">
        <v>25</v>
      </c>
      <c r="D58" s="53">
        <v>1001022467080</v>
      </c>
      <c r="E58" s="17"/>
      <c r="F58" s="43">
        <v>0.41</v>
      </c>
      <c r="G58" s="16">
        <f>E58*F58</f>
        <v>0</v>
      </c>
      <c r="H58" s="44">
        <v>4.0999999999999996</v>
      </c>
      <c r="I58" s="44">
        <v>50</v>
      </c>
      <c r="J58" s="44"/>
    </row>
    <row r="59" spans="1:10" ht="16.5" customHeight="1" x14ac:dyDescent="0.25">
      <c r="A59" s="42">
        <v>7276</v>
      </c>
      <c r="B59" s="50" t="s">
        <v>81</v>
      </c>
      <c r="C59" s="41" t="s">
        <v>25</v>
      </c>
      <c r="D59" s="53">
        <v>1001022467276</v>
      </c>
      <c r="E59" s="17"/>
      <c r="F59" s="43">
        <v>0.3</v>
      </c>
      <c r="G59" s="16">
        <f>E59*F59</f>
        <v>0</v>
      </c>
      <c r="H59" s="44">
        <v>2.1</v>
      </c>
      <c r="I59" s="44">
        <v>50</v>
      </c>
      <c r="J59" s="44"/>
    </row>
    <row r="60" spans="1:10" ht="16.5" customHeight="1" x14ac:dyDescent="0.25">
      <c r="A60" s="42">
        <v>6762</v>
      </c>
      <c r="B60" s="50" t="s">
        <v>82</v>
      </c>
      <c r="C60" s="41" t="s">
        <v>25</v>
      </c>
      <c r="D60" s="53">
        <v>1001020846762</v>
      </c>
      <c r="E60" s="17"/>
      <c r="F60" s="43">
        <v>0.41</v>
      </c>
      <c r="G60" s="16">
        <f>E60*F60</f>
        <v>0</v>
      </c>
      <c r="H60" s="44">
        <v>3.28</v>
      </c>
      <c r="I60" s="44">
        <v>45</v>
      </c>
      <c r="J60" s="44"/>
    </row>
    <row r="61" spans="1:10" ht="16.5" customHeight="1" x14ac:dyDescent="0.25">
      <c r="A61" s="42">
        <v>6764</v>
      </c>
      <c r="B61" s="50" t="s">
        <v>83</v>
      </c>
      <c r="C61" s="41" t="s">
        <v>28</v>
      </c>
      <c r="D61" s="53">
        <v>1001020846764</v>
      </c>
      <c r="E61" s="17"/>
      <c r="F61" s="16">
        <v>1</v>
      </c>
      <c r="G61" s="16">
        <f>E61</f>
        <v>0</v>
      </c>
      <c r="H61" s="11">
        <v>4</v>
      </c>
      <c r="I61" s="11">
        <v>45</v>
      </c>
      <c r="J61" s="44"/>
    </row>
    <row r="62" spans="1:10" ht="16.5" customHeight="1" x14ac:dyDescent="0.25">
      <c r="A62" s="42">
        <v>7066</v>
      </c>
      <c r="B62" s="50" t="s">
        <v>84</v>
      </c>
      <c r="C62" s="41" t="s">
        <v>25</v>
      </c>
      <c r="D62" s="53">
        <v>1001022377066</v>
      </c>
      <c r="E62" s="17"/>
      <c r="F62" s="16">
        <v>0.41</v>
      </c>
      <c r="G62" s="16">
        <f>E62*F62</f>
        <v>0</v>
      </c>
      <c r="H62" s="11">
        <v>4.0999999999999996</v>
      </c>
      <c r="I62" s="11">
        <v>50</v>
      </c>
      <c r="J62" s="44"/>
    </row>
    <row r="63" spans="1:10" ht="16.5" customHeight="1" x14ac:dyDescent="0.25">
      <c r="A63" s="42">
        <v>7070</v>
      </c>
      <c r="B63" s="50" t="s">
        <v>85</v>
      </c>
      <c r="C63" s="41" t="s">
        <v>28</v>
      </c>
      <c r="D63" s="53">
        <v>1001022377070</v>
      </c>
      <c r="E63" s="17">
        <v>47</v>
      </c>
      <c r="F63" s="16">
        <v>1.5</v>
      </c>
      <c r="G63" s="16">
        <f>E63</f>
        <v>47</v>
      </c>
      <c r="H63" s="11">
        <v>6</v>
      </c>
      <c r="I63" s="11">
        <v>50</v>
      </c>
      <c r="J63" s="44"/>
    </row>
    <row r="64" spans="1:10" ht="16.5" customHeight="1" x14ac:dyDescent="0.25">
      <c r="A64" s="42">
        <v>6713</v>
      </c>
      <c r="B64" s="50" t="s">
        <v>86</v>
      </c>
      <c r="C64" s="41" t="s">
        <v>25</v>
      </c>
      <c r="D64" s="53">
        <v>1001022246713</v>
      </c>
      <c r="E64" s="17">
        <v>134</v>
      </c>
      <c r="F64" s="16">
        <v>0.41</v>
      </c>
      <c r="G64" s="16">
        <f>E64*F64</f>
        <v>54.94</v>
      </c>
      <c r="H64" s="11">
        <v>3.28</v>
      </c>
      <c r="I64" s="11">
        <v>45</v>
      </c>
      <c r="J64" s="44"/>
    </row>
    <row r="65" spans="1:10" ht="16.5" customHeight="1" x14ac:dyDescent="0.25">
      <c r="A65" s="42">
        <v>6661</v>
      </c>
      <c r="B65" s="50" t="s">
        <v>87</v>
      </c>
      <c r="C65" s="41" t="s">
        <v>28</v>
      </c>
      <c r="D65" s="53">
        <v>1001022246661</v>
      </c>
      <c r="E65" s="17"/>
      <c r="F65" s="16">
        <v>1.5</v>
      </c>
      <c r="G65" s="16">
        <f>E65</f>
        <v>0</v>
      </c>
      <c r="H65" s="11">
        <v>6</v>
      </c>
      <c r="I65" s="11">
        <v>45</v>
      </c>
      <c r="J65" s="44"/>
    </row>
    <row r="66" spans="1:10" ht="16.5" customHeight="1" x14ac:dyDescent="0.25">
      <c r="A66" s="42">
        <v>6254</v>
      </c>
      <c r="B66" s="50" t="s">
        <v>88</v>
      </c>
      <c r="C66" s="41" t="s">
        <v>28</v>
      </c>
      <c r="D66" s="53">
        <v>1001022556254</v>
      </c>
      <c r="E66" s="17"/>
      <c r="F66" s="16">
        <v>1.5</v>
      </c>
      <c r="G66" s="16">
        <f>E66</f>
        <v>0</v>
      </c>
      <c r="H66" s="11">
        <v>3</v>
      </c>
      <c r="I66" s="11">
        <v>45</v>
      </c>
      <c r="J66" s="44"/>
    </row>
    <row r="67" spans="1:10" ht="16.5" customHeight="1" x14ac:dyDescent="0.25">
      <c r="A67" s="42">
        <v>6837</v>
      </c>
      <c r="B67" s="50" t="s">
        <v>89</v>
      </c>
      <c r="C67" s="41" t="s">
        <v>25</v>
      </c>
      <c r="D67" s="53">
        <v>1001022556837</v>
      </c>
      <c r="E67" s="17"/>
      <c r="F67" s="16">
        <v>0.4</v>
      </c>
      <c r="G67" s="16">
        <f>E67*F67</f>
        <v>0</v>
      </c>
      <c r="H67" s="11">
        <v>2.4</v>
      </c>
      <c r="I67" s="11">
        <v>45</v>
      </c>
      <c r="J67" s="44"/>
    </row>
    <row r="68" spans="1:10" ht="16.5" customHeight="1" x14ac:dyDescent="0.25">
      <c r="A68" s="42">
        <v>7385</v>
      </c>
      <c r="B68" s="50" t="s">
        <v>90</v>
      </c>
      <c r="C68" s="41" t="s">
        <v>25</v>
      </c>
      <c r="D68" s="53">
        <v>1001027067385</v>
      </c>
      <c r="E68" s="17"/>
      <c r="F68" s="16">
        <v>0.33</v>
      </c>
      <c r="G68" s="16">
        <f>E68*F68</f>
        <v>0</v>
      </c>
      <c r="H68" s="11">
        <v>2.64</v>
      </c>
      <c r="I68" s="11">
        <v>45</v>
      </c>
      <c r="J68" s="44"/>
    </row>
    <row r="69" spans="1:10" ht="16.5" customHeight="1" x14ac:dyDescent="0.25">
      <c r="A69" s="42">
        <v>7044</v>
      </c>
      <c r="B69" s="50" t="s">
        <v>91</v>
      </c>
      <c r="C69" s="41" t="s">
        <v>25</v>
      </c>
      <c r="D69" s="53">
        <v>1001025167044</v>
      </c>
      <c r="E69" s="17"/>
      <c r="F69" s="16">
        <v>0.32</v>
      </c>
      <c r="G69" s="16">
        <f>E69*F69</f>
        <v>0</v>
      </c>
      <c r="H69" s="11">
        <v>2.56</v>
      </c>
      <c r="I69" s="11">
        <v>45</v>
      </c>
      <c r="J69" s="44"/>
    </row>
    <row r="70" spans="1:10" ht="16.5" customHeight="1" thickBot="1" x14ac:dyDescent="0.3">
      <c r="A70" s="42">
        <v>7460</v>
      </c>
      <c r="B70" s="50" t="s">
        <v>92</v>
      </c>
      <c r="C70" s="41" t="s">
        <v>25</v>
      </c>
      <c r="D70" s="53">
        <v>1001027247460</v>
      </c>
      <c r="E70" s="17"/>
      <c r="F70" s="16">
        <v>0.33</v>
      </c>
      <c r="G70" s="16">
        <f>E70*F70</f>
        <v>0</v>
      </c>
      <c r="H70" s="11">
        <v>2.64</v>
      </c>
      <c r="I70" s="11">
        <v>45</v>
      </c>
      <c r="J70" s="44"/>
    </row>
    <row r="71" spans="1:10" ht="16.5" customHeight="1" thickTop="1" thickBot="1" x14ac:dyDescent="0.3">
      <c r="A71" s="37"/>
      <c r="B71" s="32" t="s">
        <v>93</v>
      </c>
      <c r="C71" s="32"/>
      <c r="D71" s="32"/>
      <c r="E71" s="32"/>
      <c r="F71" s="31"/>
      <c r="G71" s="32"/>
      <c r="H71" s="32"/>
      <c r="I71" s="32"/>
      <c r="J71" s="33"/>
    </row>
    <row r="72" spans="1:10" ht="16.5" customHeight="1" thickTop="1" x14ac:dyDescent="0.25">
      <c r="A72" s="42">
        <v>6550</v>
      </c>
      <c r="B72" s="96" t="s">
        <v>94</v>
      </c>
      <c r="C72" s="97" t="s">
        <v>28</v>
      </c>
      <c r="D72" s="53">
        <v>1001032736550</v>
      </c>
      <c r="E72" s="17">
        <v>90</v>
      </c>
      <c r="F72" s="43">
        <v>1</v>
      </c>
      <c r="G72" s="16">
        <f>E72</f>
        <v>90</v>
      </c>
      <c r="H72" s="44">
        <v>3</v>
      </c>
      <c r="I72" s="44">
        <v>45</v>
      </c>
      <c r="J72" s="44"/>
    </row>
    <row r="73" spans="1:10" ht="16.5" customHeight="1" x14ac:dyDescent="0.25">
      <c r="A73" s="42">
        <v>6608</v>
      </c>
      <c r="B73" s="96" t="s">
        <v>95</v>
      </c>
      <c r="C73" s="41" t="s">
        <v>28</v>
      </c>
      <c r="D73" s="53">
        <v>1001033856608</v>
      </c>
      <c r="E73" s="17"/>
      <c r="F73" s="16">
        <v>1</v>
      </c>
      <c r="G73" s="16">
        <f>E73</f>
        <v>0</v>
      </c>
      <c r="H73" s="11">
        <v>3</v>
      </c>
      <c r="I73" s="11">
        <v>45</v>
      </c>
      <c r="J73" s="44"/>
    </row>
    <row r="74" spans="1:10" ht="16.5" customHeight="1" x14ac:dyDescent="0.25">
      <c r="A74" s="42">
        <v>7001</v>
      </c>
      <c r="B74" s="96" t="s">
        <v>96</v>
      </c>
      <c r="C74" s="41" t="s">
        <v>28</v>
      </c>
      <c r="D74" s="53">
        <v>1001035937001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>
        <v>6527</v>
      </c>
      <c r="B75" s="96" t="s">
        <v>97</v>
      </c>
      <c r="C75" s="41" t="s">
        <v>28</v>
      </c>
      <c r="D75" s="53">
        <v>1001031076527</v>
      </c>
      <c r="E75" s="17">
        <v>6</v>
      </c>
      <c r="F75" s="16">
        <v>1</v>
      </c>
      <c r="G75" s="16">
        <f>E75</f>
        <v>6</v>
      </c>
      <c r="H75" s="11">
        <v>3</v>
      </c>
      <c r="I75" s="11">
        <v>45</v>
      </c>
      <c r="J75" s="44"/>
    </row>
    <row r="76" spans="1:10" ht="16.5" customHeight="1" x14ac:dyDescent="0.25">
      <c r="A76" s="42">
        <v>6609</v>
      </c>
      <c r="B76" s="96" t="s">
        <v>98</v>
      </c>
      <c r="C76" s="41" t="s">
        <v>25</v>
      </c>
      <c r="D76" s="53">
        <v>1001033856609</v>
      </c>
      <c r="E76" s="17"/>
      <c r="F76" s="16">
        <v>0.4</v>
      </c>
      <c r="G76" s="16">
        <f>E76*F76</f>
        <v>0</v>
      </c>
      <c r="H76" s="11">
        <v>2.4</v>
      </c>
      <c r="I76" s="11">
        <v>45</v>
      </c>
      <c r="J76" s="44"/>
    </row>
    <row r="77" spans="1:10" ht="16.5" customHeight="1" x14ac:dyDescent="0.25">
      <c r="A77" s="42">
        <v>7059</v>
      </c>
      <c r="B77" s="96" t="s">
        <v>99</v>
      </c>
      <c r="C77" s="41" t="s">
        <v>25</v>
      </c>
      <c r="D77" s="53">
        <v>1001035277059</v>
      </c>
      <c r="E77" s="17">
        <v>98</v>
      </c>
      <c r="F77" s="16">
        <v>0.3</v>
      </c>
      <c r="G77" s="16">
        <f>E77*F77</f>
        <v>29.4</v>
      </c>
      <c r="H77" s="11">
        <v>2.4</v>
      </c>
      <c r="I77" s="11">
        <v>60</v>
      </c>
      <c r="J77" s="44"/>
    </row>
    <row r="78" spans="1:10" ht="16.5" customHeight="1" thickBot="1" x14ac:dyDescent="0.3">
      <c r="A78" s="42">
        <v>6528</v>
      </c>
      <c r="B78" s="96" t="s">
        <v>100</v>
      </c>
      <c r="C78" s="41" t="s">
        <v>25</v>
      </c>
      <c r="D78" s="53">
        <v>1001031076528</v>
      </c>
      <c r="E78" s="17"/>
      <c r="F78" s="16">
        <v>0.4</v>
      </c>
      <c r="G78" s="16">
        <f>E78*F78</f>
        <v>0</v>
      </c>
      <c r="H78" s="11">
        <v>2.4</v>
      </c>
      <c r="I78" s="11">
        <v>45</v>
      </c>
      <c r="J78" s="44"/>
    </row>
    <row r="79" spans="1:10" ht="16.5" customHeight="1" thickTop="1" thickBot="1" x14ac:dyDescent="0.3">
      <c r="A79" s="37"/>
      <c r="B79" s="32" t="s">
        <v>101</v>
      </c>
      <c r="C79" s="32"/>
      <c r="D79" s="32"/>
      <c r="E79" s="32"/>
      <c r="F79" s="31"/>
      <c r="G79" s="32"/>
      <c r="H79" s="32"/>
      <c r="I79" s="32"/>
      <c r="J79" s="33"/>
    </row>
    <row r="80" spans="1:10" ht="16.5" customHeight="1" thickTop="1" x14ac:dyDescent="0.25">
      <c r="A80" s="102">
        <v>7564</v>
      </c>
      <c r="B80" s="50" t="s">
        <v>102</v>
      </c>
      <c r="C80" s="41" t="s">
        <v>28</v>
      </c>
      <c r="D80" s="53">
        <v>1001303637564</v>
      </c>
      <c r="E80" s="17">
        <v>66</v>
      </c>
      <c r="F80" s="16">
        <v>0.84</v>
      </c>
      <c r="G80" s="16">
        <f>E80</f>
        <v>66</v>
      </c>
      <c r="H80" s="11">
        <v>5.04</v>
      </c>
      <c r="I80" s="11">
        <v>45</v>
      </c>
      <c r="J80" s="40" t="s">
        <v>103</v>
      </c>
    </row>
    <row r="81" spans="1:10" ht="16.5" customHeight="1" x14ac:dyDescent="0.25">
      <c r="A81" s="102">
        <v>7603</v>
      </c>
      <c r="B81" s="50" t="s">
        <v>104</v>
      </c>
      <c r="C81" s="41" t="s">
        <v>25</v>
      </c>
      <c r="D81" s="53">
        <v>1001303637603</v>
      </c>
      <c r="E81" s="17"/>
      <c r="F81" s="16">
        <v>0.33</v>
      </c>
      <c r="G81" s="16">
        <f>E81*F81</f>
        <v>0</v>
      </c>
      <c r="H81" s="11">
        <v>2.64</v>
      </c>
      <c r="I81" s="11">
        <v>45</v>
      </c>
      <c r="J81" s="40" t="s">
        <v>105</v>
      </c>
    </row>
    <row r="82" spans="1:10" ht="16.5" customHeight="1" x14ac:dyDescent="0.25">
      <c r="A82" s="42">
        <v>7149</v>
      </c>
      <c r="B82" s="50" t="s">
        <v>106</v>
      </c>
      <c r="C82" s="41" t="s">
        <v>25</v>
      </c>
      <c r="D82" s="53">
        <v>1001303637149</v>
      </c>
      <c r="E82" s="17"/>
      <c r="F82" s="16">
        <v>0.84</v>
      </c>
      <c r="G82" s="16">
        <f>E82*F82</f>
        <v>0</v>
      </c>
      <c r="H82" s="11">
        <v>5.04</v>
      </c>
      <c r="I82" s="11">
        <v>50</v>
      </c>
      <c r="J82" s="44"/>
    </row>
    <row r="83" spans="1:10" ht="16.5" customHeight="1" x14ac:dyDescent="0.25">
      <c r="A83" s="42">
        <v>7233</v>
      </c>
      <c r="B83" s="50" t="s">
        <v>107</v>
      </c>
      <c r="C83" s="41" t="s">
        <v>25</v>
      </c>
      <c r="D83" s="53">
        <v>1001303637233</v>
      </c>
      <c r="E83" s="17"/>
      <c r="F83" s="43">
        <v>0.31</v>
      </c>
      <c r="G83" s="16">
        <f>E83*F83</f>
        <v>0</v>
      </c>
      <c r="H83" s="44">
        <v>2.48</v>
      </c>
      <c r="I83" s="44">
        <v>45</v>
      </c>
      <c r="J83" s="44"/>
    </row>
    <row r="84" spans="1:10" ht="16.5" customHeight="1" x14ac:dyDescent="0.25">
      <c r="A84" s="42">
        <v>7232</v>
      </c>
      <c r="B84" s="50" t="s">
        <v>108</v>
      </c>
      <c r="C84" s="41" t="s">
        <v>25</v>
      </c>
      <c r="D84" s="53">
        <v>1001302277232</v>
      </c>
      <c r="E84" s="17"/>
      <c r="F84" s="43">
        <v>0.28000000000000003</v>
      </c>
      <c r="G84" s="16">
        <f>E84*F84</f>
        <v>0</v>
      </c>
      <c r="H84" s="44">
        <v>2.2400000000000002</v>
      </c>
      <c r="I84" s="44">
        <v>50</v>
      </c>
      <c r="J84" s="44"/>
    </row>
    <row r="85" spans="1:10" ht="16.5" customHeight="1" x14ac:dyDescent="0.25">
      <c r="A85" s="42">
        <v>7241</v>
      </c>
      <c r="B85" s="50" t="s">
        <v>109</v>
      </c>
      <c r="C85" s="41" t="s">
        <v>25</v>
      </c>
      <c r="D85" s="53">
        <v>1001303107241</v>
      </c>
      <c r="E85" s="17">
        <v>222</v>
      </c>
      <c r="F85" s="43">
        <v>0.28000000000000003</v>
      </c>
      <c r="G85" s="16">
        <f>E85*F85</f>
        <v>62.160000000000004</v>
      </c>
      <c r="H85" s="44">
        <v>2.2400000000000002</v>
      </c>
      <c r="I85" s="44">
        <v>45</v>
      </c>
      <c r="J85" s="44"/>
    </row>
    <row r="86" spans="1:10" ht="16.5" customHeight="1" x14ac:dyDescent="0.25">
      <c r="A86" s="42">
        <v>7133</v>
      </c>
      <c r="B86" s="50" t="s">
        <v>110</v>
      </c>
      <c r="C86" s="41" t="s">
        <v>28</v>
      </c>
      <c r="D86" s="53">
        <v>1001300367133</v>
      </c>
      <c r="E86" s="17"/>
      <c r="F86" s="43">
        <v>0.84</v>
      </c>
      <c r="G86" s="16">
        <f>E86</f>
        <v>0</v>
      </c>
      <c r="H86" s="44">
        <v>5.04</v>
      </c>
      <c r="I86" s="44">
        <v>45</v>
      </c>
      <c r="J86" s="44"/>
    </row>
    <row r="87" spans="1:10" ht="16.5" customHeight="1" x14ac:dyDescent="0.25">
      <c r="A87" s="42">
        <v>6807</v>
      </c>
      <c r="B87" s="50" t="s">
        <v>111</v>
      </c>
      <c r="C87" s="41" t="s">
        <v>25</v>
      </c>
      <c r="D87" s="53">
        <v>1001300366807</v>
      </c>
      <c r="E87" s="17"/>
      <c r="F87" s="43">
        <v>0.33</v>
      </c>
      <c r="G87" s="16">
        <f>E87*F87</f>
        <v>0</v>
      </c>
      <c r="H87" s="44">
        <v>2.64</v>
      </c>
      <c r="I87" s="44">
        <v>45</v>
      </c>
      <c r="J87" s="44"/>
    </row>
    <row r="88" spans="1:10" ht="16.5" customHeight="1" x14ac:dyDescent="0.25">
      <c r="A88" s="42">
        <v>7154</v>
      </c>
      <c r="B88" s="50" t="s">
        <v>112</v>
      </c>
      <c r="C88" s="41" t="s">
        <v>25</v>
      </c>
      <c r="D88" s="53">
        <v>1001300387154</v>
      </c>
      <c r="E88" s="17"/>
      <c r="F88" s="16">
        <v>0.35</v>
      </c>
      <c r="G88" s="16">
        <f>E88*F88</f>
        <v>0</v>
      </c>
      <c r="H88" s="11">
        <v>2.8</v>
      </c>
      <c r="I88" s="11">
        <v>50</v>
      </c>
      <c r="J88" s="44"/>
    </row>
    <row r="89" spans="1:10" ht="16.5" customHeight="1" x14ac:dyDescent="0.25">
      <c r="A89" s="42">
        <v>7157</v>
      </c>
      <c r="B89" s="50" t="s">
        <v>113</v>
      </c>
      <c r="C89" s="41" t="s">
        <v>28</v>
      </c>
      <c r="D89" s="53">
        <v>1001300387157</v>
      </c>
      <c r="E89" s="17">
        <v>208</v>
      </c>
      <c r="F89" s="16">
        <v>0.63</v>
      </c>
      <c r="G89" s="16">
        <f>E89</f>
        <v>208</v>
      </c>
      <c r="H89" s="11">
        <v>5.04</v>
      </c>
      <c r="I89" s="11">
        <v>50</v>
      </c>
      <c r="J89" s="44"/>
    </row>
    <row r="90" spans="1:10" ht="16.5" customHeight="1" x14ac:dyDescent="0.25">
      <c r="A90" s="42">
        <v>7236</v>
      </c>
      <c r="B90" s="50" t="s">
        <v>114</v>
      </c>
      <c r="C90" s="41" t="s">
        <v>25</v>
      </c>
      <c r="D90" s="53">
        <v>1001304507236</v>
      </c>
      <c r="E90" s="17">
        <v>274</v>
      </c>
      <c r="F90" s="16">
        <v>0.28000000000000003</v>
      </c>
      <c r="G90" s="16">
        <f>E90*F90</f>
        <v>76.720000000000013</v>
      </c>
      <c r="H90" s="11">
        <v>2.2400000000000002</v>
      </c>
      <c r="I90" s="11">
        <v>45</v>
      </c>
      <c r="J90" s="44"/>
    </row>
    <row r="91" spans="1:10" ht="16.5" customHeight="1" x14ac:dyDescent="0.25">
      <c r="A91" s="42">
        <v>7236</v>
      </c>
      <c r="B91" s="50" t="s">
        <v>115</v>
      </c>
      <c r="C91" s="41" t="s">
        <v>25</v>
      </c>
      <c r="D91" s="53">
        <v>1001307357489</v>
      </c>
      <c r="E91" s="17">
        <v>147</v>
      </c>
      <c r="F91" s="16">
        <v>0.28000000000000003</v>
      </c>
      <c r="G91" s="16">
        <f>E91*F91</f>
        <v>41.160000000000004</v>
      </c>
      <c r="H91" s="11"/>
      <c r="I91" s="11"/>
      <c r="J91" s="44"/>
    </row>
    <row r="92" spans="1:10" ht="16.5" customHeight="1" x14ac:dyDescent="0.25">
      <c r="A92" s="42">
        <v>6787</v>
      </c>
      <c r="B92" s="95" t="s">
        <v>116</v>
      </c>
      <c r="C92" s="41" t="s">
        <v>25</v>
      </c>
      <c r="D92" s="53">
        <v>1001300456787</v>
      </c>
      <c r="E92" s="17"/>
      <c r="F92" s="16">
        <v>0.33</v>
      </c>
      <c r="G92" s="16">
        <f>E92*F92</f>
        <v>0</v>
      </c>
      <c r="H92" s="11">
        <v>2.64</v>
      </c>
      <c r="I92" s="11">
        <v>45</v>
      </c>
      <c r="J92" s="44"/>
    </row>
    <row r="93" spans="1:10" ht="16.5" customHeight="1" x14ac:dyDescent="0.25">
      <c r="A93" s="42">
        <v>7166</v>
      </c>
      <c r="B93" s="95" t="s">
        <v>117</v>
      </c>
      <c r="C93" s="41" t="s">
        <v>28</v>
      </c>
      <c r="D93" s="53">
        <v>1001303987166</v>
      </c>
      <c r="E93" s="17">
        <v>314</v>
      </c>
      <c r="F93" s="16">
        <v>0.7</v>
      </c>
      <c r="G93" s="16">
        <f>E93</f>
        <v>314</v>
      </c>
      <c r="H93" s="11">
        <v>5.6</v>
      </c>
      <c r="I93" s="11">
        <v>50</v>
      </c>
      <c r="J93" s="44"/>
    </row>
    <row r="94" spans="1:10" ht="15.75" customHeight="1" x14ac:dyDescent="0.25">
      <c r="A94" s="42">
        <v>7169</v>
      </c>
      <c r="B94" s="50" t="s">
        <v>118</v>
      </c>
      <c r="C94" s="41" t="s">
        <v>25</v>
      </c>
      <c r="D94" s="53">
        <v>1001303987169</v>
      </c>
      <c r="E94" s="17">
        <v>94</v>
      </c>
      <c r="F94" s="16">
        <v>0.35</v>
      </c>
      <c r="G94" s="16">
        <f>E94*F94</f>
        <v>32.9</v>
      </c>
      <c r="H94" s="11">
        <v>2.8</v>
      </c>
      <c r="I94" s="11">
        <v>50</v>
      </c>
      <c r="J94" s="44"/>
    </row>
    <row r="95" spans="1:10" ht="15.75" customHeight="1" x14ac:dyDescent="0.25">
      <c r="A95" s="42">
        <v>5544</v>
      </c>
      <c r="B95" s="50" t="s">
        <v>119</v>
      </c>
      <c r="C95" s="41" t="s">
        <v>28</v>
      </c>
      <c r="D95" s="53">
        <v>1001051875544</v>
      </c>
      <c r="E95" s="17">
        <v>281</v>
      </c>
      <c r="F95" s="16">
        <v>0.81</v>
      </c>
      <c r="G95" s="16">
        <f>E95</f>
        <v>281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>
        <v>6697</v>
      </c>
      <c r="B96" s="50" t="s">
        <v>120</v>
      </c>
      <c r="C96" s="41" t="s">
        <v>25</v>
      </c>
      <c r="D96" s="53">
        <v>1001301876697</v>
      </c>
      <c r="E96" s="17"/>
      <c r="F96" s="16">
        <v>0.35</v>
      </c>
      <c r="G96" s="16">
        <f t="shared" ref="G96:G103" si="1">E96*F96</f>
        <v>0</v>
      </c>
      <c r="H96" s="11">
        <v>2.8</v>
      </c>
      <c r="I96" s="11">
        <v>45</v>
      </c>
      <c r="J96" s="39"/>
    </row>
    <row r="97" spans="1:10" ht="15.75" customHeight="1" x14ac:dyDescent="0.25">
      <c r="A97" s="42">
        <v>7237</v>
      </c>
      <c r="B97" s="50" t="s">
        <v>121</v>
      </c>
      <c r="C97" s="41" t="s">
        <v>25</v>
      </c>
      <c r="D97" s="53">
        <v>1001304497237</v>
      </c>
      <c r="E97" s="17"/>
      <c r="F97" s="16">
        <v>0.28000000000000003</v>
      </c>
      <c r="G97" s="16">
        <f t="shared" si="1"/>
        <v>0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>
        <v>7238</v>
      </c>
      <c r="B98" s="50" t="s">
        <v>122</v>
      </c>
      <c r="C98" s="41" t="s">
        <v>25</v>
      </c>
      <c r="D98" s="53">
        <v>1001305197238</v>
      </c>
      <c r="E98" s="17"/>
      <c r="F98" s="16">
        <v>0.31</v>
      </c>
      <c r="G98" s="16">
        <f t="shared" si="1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>
        <v>7177</v>
      </c>
      <c r="B99" s="50" t="s">
        <v>123</v>
      </c>
      <c r="C99" s="41" t="s">
        <v>25</v>
      </c>
      <c r="D99" s="53">
        <v>1001302347177</v>
      </c>
      <c r="E99" s="17"/>
      <c r="F99" s="16">
        <v>0.35</v>
      </c>
      <c r="G99" s="16">
        <f t="shared" si="1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>
        <v>7332</v>
      </c>
      <c r="B100" s="50" t="s">
        <v>124</v>
      </c>
      <c r="C100" s="41" t="s">
        <v>25</v>
      </c>
      <c r="D100" s="53">
        <v>1001301777332</v>
      </c>
      <c r="E100" s="17">
        <v>31</v>
      </c>
      <c r="F100" s="16">
        <v>0.28000000000000003</v>
      </c>
      <c r="G100" s="16">
        <f t="shared" si="1"/>
        <v>8.6800000000000015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>
        <v>7333</v>
      </c>
      <c r="B101" s="50" t="s">
        <v>125</v>
      </c>
      <c r="C101" s="41" t="s">
        <v>25</v>
      </c>
      <c r="D101" s="53">
        <v>1001303987333</v>
      </c>
      <c r="E101" s="17">
        <v>6</v>
      </c>
      <c r="F101" s="16">
        <v>0.28000000000000003</v>
      </c>
      <c r="G101" s="16">
        <f t="shared" si="1"/>
        <v>1.6800000000000002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102">
        <v>7608</v>
      </c>
      <c r="B102" s="50" t="s">
        <v>126</v>
      </c>
      <c r="C102" s="41" t="s">
        <v>25</v>
      </c>
      <c r="D102" s="53">
        <v>1001304197608</v>
      </c>
      <c r="E102" s="17"/>
      <c r="F102" s="16">
        <v>0.1</v>
      </c>
      <c r="G102" s="16">
        <f t="shared" si="1"/>
        <v>0</v>
      </c>
      <c r="H102" s="11">
        <v>1</v>
      </c>
      <c r="I102" s="11">
        <v>45</v>
      </c>
      <c r="J102" s="40" t="s">
        <v>127</v>
      </c>
    </row>
    <row r="103" spans="1:10" ht="15.75" customHeight="1" thickBot="1" x14ac:dyDescent="0.3">
      <c r="A103" s="102">
        <v>7610</v>
      </c>
      <c r="B103" s="50" t="s">
        <v>128</v>
      </c>
      <c r="C103" s="41" t="s">
        <v>25</v>
      </c>
      <c r="D103" s="53">
        <v>1001306717610</v>
      </c>
      <c r="E103" s="17"/>
      <c r="F103" s="16">
        <v>0.1</v>
      </c>
      <c r="G103" s="16">
        <f t="shared" si="1"/>
        <v>0</v>
      </c>
      <c r="H103" s="11">
        <v>1</v>
      </c>
      <c r="I103" s="11">
        <v>45</v>
      </c>
      <c r="J103" s="40" t="s">
        <v>129</v>
      </c>
    </row>
    <row r="104" spans="1:10" ht="16.5" customHeight="1" thickTop="1" thickBot="1" x14ac:dyDescent="0.3">
      <c r="A104" s="37"/>
      <c r="B104" s="32" t="s">
        <v>130</v>
      </c>
      <c r="C104" s="32"/>
      <c r="D104" s="32"/>
      <c r="E104" s="32"/>
      <c r="F104" s="31"/>
      <c r="G104" s="32"/>
      <c r="H104" s="32"/>
      <c r="I104" s="32"/>
      <c r="J104" s="33"/>
    </row>
    <row r="105" spans="1:10" ht="16.5" customHeight="1" thickTop="1" x14ac:dyDescent="0.25">
      <c r="A105" s="42">
        <v>3582</v>
      </c>
      <c r="B105" s="50" t="s">
        <v>131</v>
      </c>
      <c r="C105" s="41" t="s">
        <v>28</v>
      </c>
      <c r="D105" s="53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>
        <v>3986</v>
      </c>
      <c r="B106" s="50" t="s">
        <v>132</v>
      </c>
      <c r="C106" s="41" t="s">
        <v>25</v>
      </c>
      <c r="D106" s="53">
        <v>1001061973986</v>
      </c>
      <c r="E106" s="17">
        <v>102</v>
      </c>
      <c r="F106" s="43">
        <v>0.25</v>
      </c>
      <c r="G106" s="16">
        <f>E106*F106</f>
        <v>25.5</v>
      </c>
      <c r="H106" s="90">
        <v>2</v>
      </c>
      <c r="I106" s="89">
        <v>120</v>
      </c>
      <c r="J106" s="44"/>
    </row>
    <row r="107" spans="1:10" ht="16.5" customHeight="1" x14ac:dyDescent="0.25">
      <c r="A107" s="42">
        <v>5931</v>
      </c>
      <c r="B107" s="50" t="s">
        <v>133</v>
      </c>
      <c r="C107" s="41" t="s">
        <v>25</v>
      </c>
      <c r="D107" s="53">
        <v>1001060755931</v>
      </c>
      <c r="E107" s="17">
        <v>569</v>
      </c>
      <c r="F107" s="16">
        <v>0.22</v>
      </c>
      <c r="G107" s="16">
        <f>E107*F107</f>
        <v>125.18</v>
      </c>
      <c r="H107" s="88">
        <v>1.76</v>
      </c>
      <c r="I107" s="11">
        <v>120</v>
      </c>
      <c r="J107" s="44"/>
    </row>
    <row r="108" spans="1:10" ht="16.5" customHeight="1" x14ac:dyDescent="0.25">
      <c r="A108" s="42">
        <v>5708</v>
      </c>
      <c r="B108" s="50" t="s">
        <v>134</v>
      </c>
      <c r="C108" s="41" t="s">
        <v>28</v>
      </c>
      <c r="D108" s="53">
        <v>1001063145708</v>
      </c>
      <c r="E108" s="17">
        <v>47</v>
      </c>
      <c r="F108" s="16">
        <v>0.5</v>
      </c>
      <c r="G108" s="16">
        <f>E108</f>
        <v>47</v>
      </c>
      <c r="H108" s="11">
        <v>4</v>
      </c>
      <c r="I108" s="11">
        <v>120</v>
      </c>
      <c r="J108" s="44"/>
    </row>
    <row r="109" spans="1:10" ht="16.5" customHeight="1" x14ac:dyDescent="0.25">
      <c r="A109" s="42">
        <v>3287</v>
      </c>
      <c r="B109" s="50" t="s">
        <v>135</v>
      </c>
      <c r="C109" s="41" t="s">
        <v>28</v>
      </c>
      <c r="D109" s="53">
        <v>1001060763287</v>
      </c>
      <c r="E109" s="17">
        <v>4</v>
      </c>
      <c r="F109" s="16">
        <v>0.48799999999999999</v>
      </c>
      <c r="G109" s="16">
        <f>E109</f>
        <v>4</v>
      </c>
      <c r="H109" s="11">
        <v>3.9</v>
      </c>
      <c r="I109" s="11">
        <v>120</v>
      </c>
      <c r="J109" s="44"/>
    </row>
    <row r="110" spans="1:10" ht="16.5" customHeight="1" x14ac:dyDescent="0.25">
      <c r="A110" s="42">
        <v>4993</v>
      </c>
      <c r="B110" s="50" t="s">
        <v>136</v>
      </c>
      <c r="C110" s="41" t="s">
        <v>25</v>
      </c>
      <c r="D110" s="53">
        <v>1001060764993</v>
      </c>
      <c r="E110" s="17">
        <v>179</v>
      </c>
      <c r="F110" s="16">
        <v>0.25</v>
      </c>
      <c r="G110" s="16">
        <f>E110*F110</f>
        <v>44.75</v>
      </c>
      <c r="H110" s="11">
        <v>2</v>
      </c>
      <c r="I110" s="11">
        <v>120</v>
      </c>
      <c r="J110" s="44"/>
    </row>
    <row r="111" spans="1:10" ht="16.5" customHeight="1" x14ac:dyDescent="0.25">
      <c r="A111" s="42">
        <v>5483</v>
      </c>
      <c r="B111" s="50" t="s">
        <v>137</v>
      </c>
      <c r="C111" s="41" t="s">
        <v>25</v>
      </c>
      <c r="D111" s="53">
        <v>1001062505483</v>
      </c>
      <c r="E111" s="17">
        <v>238</v>
      </c>
      <c r="F111" s="16">
        <v>0.25</v>
      </c>
      <c r="G111" s="16">
        <f>E111*F111</f>
        <v>59.5</v>
      </c>
      <c r="H111" s="11">
        <v>2</v>
      </c>
      <c r="I111" s="11">
        <v>120</v>
      </c>
      <c r="J111" s="44"/>
    </row>
    <row r="112" spans="1:10" ht="16.5" customHeight="1" x14ac:dyDescent="0.25">
      <c r="A112" s="42">
        <v>4117</v>
      </c>
      <c r="B112" s="50" t="s">
        <v>138</v>
      </c>
      <c r="C112" s="41" t="s">
        <v>28</v>
      </c>
      <c r="D112" s="53">
        <v>1001062504117</v>
      </c>
      <c r="E112" s="17">
        <v>67</v>
      </c>
      <c r="F112" s="16"/>
      <c r="G112" s="16">
        <f>E112</f>
        <v>67</v>
      </c>
      <c r="H112" s="11">
        <v>3.95</v>
      </c>
      <c r="I112" s="11">
        <v>120</v>
      </c>
      <c r="J112" s="44"/>
    </row>
    <row r="113" spans="1:10" ht="16.5" customHeight="1" x14ac:dyDescent="0.25">
      <c r="A113" s="42">
        <v>614</v>
      </c>
      <c r="B113" s="50" t="s">
        <v>139</v>
      </c>
      <c r="C113" s="41" t="s">
        <v>28</v>
      </c>
      <c r="D113" s="53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>
        <v>6967</v>
      </c>
      <c r="B114" s="50" t="s">
        <v>140</v>
      </c>
      <c r="C114" s="41" t="s">
        <v>25</v>
      </c>
      <c r="D114" s="53">
        <v>1001063656967</v>
      </c>
      <c r="E114" s="17"/>
      <c r="F114" s="16">
        <v>0.25</v>
      </c>
      <c r="G114" s="16">
        <f t="shared" ref="G114:G123" si="2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>
        <v>6937</v>
      </c>
      <c r="B115" s="50" t="s">
        <v>141</v>
      </c>
      <c r="C115" s="41" t="s">
        <v>25</v>
      </c>
      <c r="D115" s="53">
        <v>1001063106937</v>
      </c>
      <c r="E115" s="17"/>
      <c r="F115" s="16">
        <v>0.25</v>
      </c>
      <c r="G115" s="16">
        <f t="shared" si="2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>
        <v>7143</v>
      </c>
      <c r="B116" s="50" t="s">
        <v>142</v>
      </c>
      <c r="C116" s="41" t="s">
        <v>25</v>
      </c>
      <c r="D116" s="53">
        <v>1001060717143</v>
      </c>
      <c r="E116" s="17"/>
      <c r="F116" s="16">
        <v>0.22</v>
      </c>
      <c r="G116" s="16">
        <f t="shared" si="2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>
        <v>7147</v>
      </c>
      <c r="B117" s="50" t="s">
        <v>143</v>
      </c>
      <c r="C117" s="41" t="s">
        <v>25</v>
      </c>
      <c r="D117" s="53">
        <v>1001063237147</v>
      </c>
      <c r="E117" s="17"/>
      <c r="F117" s="16">
        <v>0.22</v>
      </c>
      <c r="G117" s="16">
        <f t="shared" si="2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>
        <v>7456</v>
      </c>
      <c r="B118" s="50" t="s">
        <v>144</v>
      </c>
      <c r="C118" s="41" t="s">
        <v>25</v>
      </c>
      <c r="D118" s="53">
        <v>1001063097456</v>
      </c>
      <c r="E118" s="17"/>
      <c r="F118" s="16">
        <v>0.15</v>
      </c>
      <c r="G118" s="16">
        <f t="shared" si="2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>
        <v>7364</v>
      </c>
      <c r="B119" s="50" t="s">
        <v>145</v>
      </c>
      <c r="C119" s="41" t="s">
        <v>25</v>
      </c>
      <c r="D119" s="53">
        <v>1001063217364</v>
      </c>
      <c r="E119" s="17"/>
      <c r="F119" s="16">
        <v>0.22</v>
      </c>
      <c r="G119" s="16">
        <f t="shared" si="2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>
        <v>7383</v>
      </c>
      <c r="B120" s="50" t="s">
        <v>146</v>
      </c>
      <c r="C120" s="41" t="s">
        <v>25</v>
      </c>
      <c r="D120" s="53">
        <v>1001065467383</v>
      </c>
      <c r="E120" s="17"/>
      <c r="F120" s="16">
        <v>0.22</v>
      </c>
      <c r="G120" s="16">
        <f t="shared" si="2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>
        <v>7317</v>
      </c>
      <c r="B121" s="50" t="s">
        <v>147</v>
      </c>
      <c r="C121" s="41" t="s">
        <v>25</v>
      </c>
      <c r="D121" s="53">
        <v>1001066567317</v>
      </c>
      <c r="E121" s="17"/>
      <c r="F121" s="16">
        <v>0.54</v>
      </c>
      <c r="G121" s="16">
        <f t="shared" si="2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>
        <v>7318</v>
      </c>
      <c r="B122" s="50" t="s">
        <v>148</v>
      </c>
      <c r="C122" s="41" t="s">
        <v>25</v>
      </c>
      <c r="D122" s="53">
        <v>1001060727318</v>
      </c>
      <c r="E122" s="17"/>
      <c r="F122" s="16">
        <v>0.27</v>
      </c>
      <c r="G122" s="16">
        <f t="shared" si="2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>
        <v>7316</v>
      </c>
      <c r="B123" s="50" t="s">
        <v>149</v>
      </c>
      <c r="C123" s="41" t="s">
        <v>25</v>
      </c>
      <c r="D123" s="53">
        <v>1001060727316</v>
      </c>
      <c r="E123" s="17"/>
      <c r="F123" s="16">
        <v>0.54</v>
      </c>
      <c r="G123" s="16">
        <f t="shared" si="2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>
        <v>6832</v>
      </c>
      <c r="B124" s="50" t="s">
        <v>150</v>
      </c>
      <c r="C124" s="41" t="s">
        <v>28</v>
      </c>
      <c r="D124" s="53">
        <v>1001065616832</v>
      </c>
      <c r="E124" s="17"/>
      <c r="F124" s="16">
        <v>0.215</v>
      </c>
      <c r="G124" s="16">
        <f>E124</f>
        <v>0</v>
      </c>
      <c r="H124" s="11">
        <v>2.15</v>
      </c>
      <c r="I124" s="11">
        <v>30</v>
      </c>
      <c r="J124" s="44"/>
    </row>
    <row r="125" spans="1:10" ht="16.5" customHeight="1" x14ac:dyDescent="0.25">
      <c r="A125" s="42">
        <v>7299</v>
      </c>
      <c r="B125" s="50" t="s">
        <v>151</v>
      </c>
      <c r="C125" s="41" t="s">
        <v>28</v>
      </c>
      <c r="D125" s="53">
        <v>1001060677299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>
        <v>7386</v>
      </c>
      <c r="B126" s="50" t="s">
        <v>152</v>
      </c>
      <c r="C126" s="41" t="s">
        <v>25</v>
      </c>
      <c r="D126" s="53">
        <v>1001067017386</v>
      </c>
      <c r="E126" s="17"/>
      <c r="F126" s="16">
        <v>0.15</v>
      </c>
      <c r="G126" s="16">
        <f t="shared" ref="G126:G136" si="3">E126*F126</f>
        <v>0</v>
      </c>
      <c r="H126" s="11">
        <v>1.35</v>
      </c>
      <c r="I126" s="11">
        <v>90</v>
      </c>
      <c r="J126" s="44"/>
    </row>
    <row r="127" spans="1:10" ht="16.5" customHeight="1" x14ac:dyDescent="0.25">
      <c r="A127" s="102">
        <v>7613</v>
      </c>
      <c r="B127" s="50" t="s">
        <v>153</v>
      </c>
      <c r="C127" s="41" t="s">
        <v>25</v>
      </c>
      <c r="D127" s="53">
        <v>1001061977613</v>
      </c>
      <c r="E127" s="17">
        <v>215</v>
      </c>
      <c r="F127" s="16">
        <v>0.1</v>
      </c>
      <c r="G127" s="16">
        <f t="shared" si="3"/>
        <v>21.5</v>
      </c>
      <c r="H127" s="11">
        <v>1</v>
      </c>
      <c r="I127" s="11">
        <v>60</v>
      </c>
      <c r="J127" s="40" t="s">
        <v>154</v>
      </c>
    </row>
    <row r="128" spans="1:10" ht="16.5" customHeight="1" x14ac:dyDescent="0.25">
      <c r="A128" s="103">
        <v>6834</v>
      </c>
      <c r="B128" s="104" t="s">
        <v>155</v>
      </c>
      <c r="C128" s="105" t="s">
        <v>25</v>
      </c>
      <c r="D128" s="106">
        <v>1001203146834</v>
      </c>
      <c r="E128" s="107"/>
      <c r="F128" s="108">
        <v>0.1</v>
      </c>
      <c r="G128" s="108">
        <f t="shared" si="3"/>
        <v>0</v>
      </c>
      <c r="H128" s="109">
        <v>1</v>
      </c>
      <c r="I128" s="109">
        <v>60</v>
      </c>
      <c r="J128" s="109" t="s">
        <v>156</v>
      </c>
    </row>
    <row r="129" spans="1:10" ht="16.5" customHeight="1" x14ac:dyDescent="0.25">
      <c r="A129" s="42">
        <v>7382</v>
      </c>
      <c r="B129" s="50" t="s">
        <v>157</v>
      </c>
      <c r="C129" s="41" t="s">
        <v>25</v>
      </c>
      <c r="D129" s="53">
        <v>1001203117382</v>
      </c>
      <c r="E129" s="17">
        <v>47</v>
      </c>
      <c r="F129" s="16">
        <v>0.12</v>
      </c>
      <c r="G129" s="16">
        <f t="shared" si="3"/>
        <v>5.64</v>
      </c>
      <c r="H129" s="11">
        <v>0.96</v>
      </c>
      <c r="I129" s="11">
        <v>60</v>
      </c>
      <c r="J129" s="44"/>
    </row>
    <row r="130" spans="1:10" ht="16.5" customHeight="1" x14ac:dyDescent="0.25">
      <c r="A130" s="102">
        <v>7616</v>
      </c>
      <c r="B130" s="50" t="s">
        <v>158</v>
      </c>
      <c r="C130" s="41" t="s">
        <v>25</v>
      </c>
      <c r="D130" s="53">
        <v>1001062507616</v>
      </c>
      <c r="E130" s="17">
        <v>250</v>
      </c>
      <c r="F130" s="16">
        <v>0.1</v>
      </c>
      <c r="G130" s="16">
        <f t="shared" si="3"/>
        <v>25</v>
      </c>
      <c r="H130" s="11">
        <v>1.4</v>
      </c>
      <c r="I130" s="11">
        <v>60</v>
      </c>
      <c r="J130" s="40" t="s">
        <v>159</v>
      </c>
    </row>
    <row r="131" spans="1:10" ht="16.5" customHeight="1" x14ac:dyDescent="0.25">
      <c r="A131" s="42">
        <v>6221</v>
      </c>
      <c r="B131" s="50" t="s">
        <v>160</v>
      </c>
      <c r="C131" s="41" t="s">
        <v>25</v>
      </c>
      <c r="D131" s="53">
        <v>1001205376221</v>
      </c>
      <c r="E131" s="17"/>
      <c r="F131" s="16">
        <v>0.09</v>
      </c>
      <c r="G131" s="16">
        <f t="shared" si="3"/>
        <v>0</v>
      </c>
      <c r="H131" s="11">
        <v>0.9</v>
      </c>
      <c r="I131" s="11">
        <v>60</v>
      </c>
      <c r="J131" s="44"/>
    </row>
    <row r="132" spans="1:10" ht="16.5" customHeight="1" x14ac:dyDescent="0.25">
      <c r="A132" s="42">
        <v>6222</v>
      </c>
      <c r="B132" s="50" t="s">
        <v>161</v>
      </c>
      <c r="C132" s="41" t="s">
        <v>25</v>
      </c>
      <c r="D132" s="53">
        <v>1001205386222</v>
      </c>
      <c r="E132" s="17"/>
      <c r="F132" s="16">
        <v>0.09</v>
      </c>
      <c r="G132" s="16">
        <f t="shared" si="3"/>
        <v>0</v>
      </c>
      <c r="H132" s="11">
        <v>0.9</v>
      </c>
      <c r="I132" s="11">
        <v>60</v>
      </c>
      <c r="J132" s="44"/>
    </row>
    <row r="133" spans="1:10" ht="16.5" customHeight="1" x14ac:dyDescent="0.25">
      <c r="A133" s="42">
        <v>6965</v>
      </c>
      <c r="B133" s="50" t="s">
        <v>162</v>
      </c>
      <c r="C133" s="41" t="s">
        <v>25</v>
      </c>
      <c r="D133" s="53">
        <v>1001206356965</v>
      </c>
      <c r="E133" s="17"/>
      <c r="F133" s="16">
        <v>7.0000000000000007E-2</v>
      </c>
      <c r="G133" s="16">
        <f t="shared" si="3"/>
        <v>0</v>
      </c>
      <c r="H133" s="11">
        <v>0.98</v>
      </c>
      <c r="I133" s="11">
        <v>60</v>
      </c>
      <c r="J133" s="44"/>
    </row>
    <row r="134" spans="1:10" ht="16.5" customHeight="1" x14ac:dyDescent="0.25">
      <c r="A134" s="42">
        <v>6557</v>
      </c>
      <c r="B134" s="50" t="s">
        <v>163</v>
      </c>
      <c r="C134" s="41" t="s">
        <v>25</v>
      </c>
      <c r="D134" s="53">
        <v>1001200756557</v>
      </c>
      <c r="E134" s="17"/>
      <c r="F134" s="16">
        <v>0.1</v>
      </c>
      <c r="G134" s="16">
        <f t="shared" si="3"/>
        <v>0</v>
      </c>
      <c r="H134" s="11">
        <v>1</v>
      </c>
      <c r="I134" s="11">
        <v>60</v>
      </c>
      <c r="J134" s="44"/>
    </row>
    <row r="135" spans="1:10" ht="16.5" customHeight="1" x14ac:dyDescent="0.25">
      <c r="A135" s="42">
        <v>5679</v>
      </c>
      <c r="B135" s="50" t="s">
        <v>164</v>
      </c>
      <c r="C135" s="41" t="s">
        <v>25</v>
      </c>
      <c r="D135" s="53">
        <v>1001190765679</v>
      </c>
      <c r="E135" s="17"/>
      <c r="F135" s="16">
        <v>0.15</v>
      </c>
      <c r="G135" s="16">
        <f t="shared" si="3"/>
        <v>0</v>
      </c>
      <c r="H135" s="11">
        <v>1.2</v>
      </c>
      <c r="I135" s="11">
        <v>60</v>
      </c>
      <c r="J135" s="44"/>
    </row>
    <row r="136" spans="1:10" ht="16.5" customHeight="1" thickBot="1" x14ac:dyDescent="0.3">
      <c r="A136" s="102">
        <v>7626</v>
      </c>
      <c r="B136" s="50" t="s">
        <v>165</v>
      </c>
      <c r="C136" s="41" t="s">
        <v>25</v>
      </c>
      <c r="D136" s="53">
        <v>1001066607626</v>
      </c>
      <c r="E136" s="17"/>
      <c r="F136" s="16">
        <v>0.1</v>
      </c>
      <c r="G136" s="16">
        <f t="shared" si="3"/>
        <v>0</v>
      </c>
      <c r="H136" s="11">
        <v>1</v>
      </c>
      <c r="I136" s="11">
        <v>60</v>
      </c>
      <c r="J136" s="40" t="s">
        <v>166</v>
      </c>
    </row>
    <row r="137" spans="1:10" ht="16.5" customHeight="1" thickTop="1" thickBot="1" x14ac:dyDescent="0.3">
      <c r="A137" s="37"/>
      <c r="B137" s="32" t="s">
        <v>167</v>
      </c>
      <c r="C137" s="32"/>
      <c r="D137" s="32"/>
      <c r="E137" s="32"/>
      <c r="F137" s="31"/>
      <c r="G137" s="32"/>
      <c r="H137" s="32"/>
      <c r="I137" s="32"/>
      <c r="J137" s="33"/>
    </row>
    <row r="138" spans="1:10" ht="16.149999999999999" customHeight="1" thickTop="1" x14ac:dyDescent="0.25">
      <c r="A138" s="42">
        <v>4584</v>
      </c>
      <c r="B138" s="94" t="s">
        <v>168</v>
      </c>
      <c r="C138" s="41" t="s">
        <v>28</v>
      </c>
      <c r="D138" s="93">
        <v>1001092674584</v>
      </c>
      <c r="E138" s="17"/>
      <c r="F138" s="16">
        <v>2.5</v>
      </c>
      <c r="G138" s="16">
        <f>E138</f>
        <v>0</v>
      </c>
      <c r="H138" s="11">
        <v>7.5</v>
      </c>
      <c r="I138" s="11">
        <v>60</v>
      </c>
      <c r="J138" s="44"/>
    </row>
    <row r="139" spans="1:10" ht="16.149999999999999" customHeight="1" x14ac:dyDescent="0.25">
      <c r="A139" s="42">
        <v>6495</v>
      </c>
      <c r="B139" s="94" t="s">
        <v>169</v>
      </c>
      <c r="C139" s="41" t="s">
        <v>25</v>
      </c>
      <c r="D139" s="53">
        <v>1001092436495</v>
      </c>
      <c r="E139" s="17">
        <v>42</v>
      </c>
      <c r="F139" s="43">
        <v>0.3</v>
      </c>
      <c r="G139" s="16">
        <f>E139*F139</f>
        <v>12.6</v>
      </c>
      <c r="H139" s="44">
        <v>1.8</v>
      </c>
      <c r="I139" s="44">
        <v>45</v>
      </c>
      <c r="J139" s="44"/>
    </row>
    <row r="140" spans="1:10" ht="16.149999999999999" customHeight="1" x14ac:dyDescent="0.25">
      <c r="A140" s="42">
        <v>6470</v>
      </c>
      <c r="B140" s="91" t="s">
        <v>170</v>
      </c>
      <c r="C140" s="41" t="s">
        <v>28</v>
      </c>
      <c r="D140" s="53">
        <v>1001092436470</v>
      </c>
      <c r="E140" s="17"/>
      <c r="F140" s="43">
        <v>1.2</v>
      </c>
      <c r="G140" s="16">
        <f>E140</f>
        <v>0</v>
      </c>
      <c r="H140" s="44">
        <v>4.8</v>
      </c>
      <c r="I140" s="44">
        <v>45</v>
      </c>
      <c r="J140" s="44"/>
    </row>
    <row r="141" spans="1:10" ht="16.149999999999999" customHeight="1" x14ac:dyDescent="0.25">
      <c r="A141" s="42">
        <v>5452</v>
      </c>
      <c r="B141" s="91" t="s">
        <v>171</v>
      </c>
      <c r="C141" s="41" t="s">
        <v>28</v>
      </c>
      <c r="D141" s="53">
        <v>1001092485452</v>
      </c>
      <c r="E141" s="17"/>
      <c r="F141" s="43">
        <v>1.35</v>
      </c>
      <c r="G141" s="16">
        <f>E141</f>
        <v>0</v>
      </c>
      <c r="H141" s="44">
        <v>4.05</v>
      </c>
      <c r="I141" s="44">
        <v>60</v>
      </c>
      <c r="J141" s="44"/>
    </row>
    <row r="142" spans="1:10" ht="16.149999999999999" customHeight="1" x14ac:dyDescent="0.25">
      <c r="A142" s="42">
        <v>3215</v>
      </c>
      <c r="B142" s="91" t="s">
        <v>172</v>
      </c>
      <c r="C142" s="41" t="s">
        <v>25</v>
      </c>
      <c r="D142" s="53">
        <v>1001094053215</v>
      </c>
      <c r="E142" s="17">
        <v>326</v>
      </c>
      <c r="F142" s="43">
        <v>0.4</v>
      </c>
      <c r="G142" s="16">
        <f>E142*F142</f>
        <v>130.4</v>
      </c>
      <c r="H142" s="44">
        <v>3.2</v>
      </c>
      <c r="I142" s="44">
        <v>60</v>
      </c>
      <c r="J142" s="44"/>
    </row>
    <row r="143" spans="1:10" ht="16.149999999999999" customHeight="1" x14ac:dyDescent="0.25">
      <c r="A143" s="42">
        <v>6866</v>
      </c>
      <c r="B143" s="91" t="s">
        <v>173</v>
      </c>
      <c r="C143" s="41" t="s">
        <v>28</v>
      </c>
      <c r="D143" s="53">
        <v>1001095716866</v>
      </c>
      <c r="E143" s="17">
        <v>14</v>
      </c>
      <c r="F143" s="43">
        <v>1.5</v>
      </c>
      <c r="G143" s="16">
        <f>E143</f>
        <v>14</v>
      </c>
      <c r="H143" s="44">
        <v>6</v>
      </c>
      <c r="I143" s="44">
        <v>60</v>
      </c>
      <c r="J143" s="44"/>
    </row>
    <row r="144" spans="1:10" ht="16.5" customHeight="1" x14ac:dyDescent="0.25">
      <c r="A144" s="42">
        <v>5495</v>
      </c>
      <c r="B144" s="50" t="s">
        <v>174</v>
      </c>
      <c r="C144" s="41" t="s">
        <v>25</v>
      </c>
      <c r="D144" s="92">
        <v>1001093345495</v>
      </c>
      <c r="E144" s="17">
        <v>297</v>
      </c>
      <c r="F144" s="43">
        <v>0.4</v>
      </c>
      <c r="G144" s="16">
        <f>E144*F144</f>
        <v>118.80000000000001</v>
      </c>
      <c r="H144" s="44">
        <v>2.4</v>
      </c>
      <c r="I144" s="44">
        <v>60</v>
      </c>
      <c r="J144" s="44"/>
    </row>
    <row r="145" spans="1:10" ht="16.5" customHeight="1" x14ac:dyDescent="0.25">
      <c r="A145" s="42">
        <v>7377</v>
      </c>
      <c r="B145" s="50" t="s">
        <v>175</v>
      </c>
      <c r="C145" s="41" t="s">
        <v>25</v>
      </c>
      <c r="D145" s="92">
        <v>1001095027377</v>
      </c>
      <c r="E145" s="17"/>
      <c r="F145" s="43">
        <v>0.3</v>
      </c>
      <c r="G145" s="16">
        <f>E145*F145</f>
        <v>0</v>
      </c>
      <c r="H145" s="44">
        <v>1.8</v>
      </c>
      <c r="I145" s="44">
        <v>45</v>
      </c>
      <c r="J145" s="44"/>
    </row>
    <row r="146" spans="1:10" ht="16.5" customHeight="1" x14ac:dyDescent="0.25">
      <c r="A146" s="42">
        <v>6925</v>
      </c>
      <c r="B146" s="50" t="s">
        <v>176</v>
      </c>
      <c r="C146" s="41" t="s">
        <v>25</v>
      </c>
      <c r="D146" s="92">
        <v>1001095226925</v>
      </c>
      <c r="E146" s="17">
        <v>84</v>
      </c>
      <c r="F146" s="43">
        <v>0.6</v>
      </c>
      <c r="G146" s="16">
        <f>E146*F146</f>
        <v>50.4</v>
      </c>
      <c r="H146" s="44">
        <v>4.8</v>
      </c>
      <c r="I146" s="44">
        <v>45</v>
      </c>
      <c r="J146" s="44"/>
    </row>
    <row r="147" spans="1:10" ht="15.75" customHeight="1" x14ac:dyDescent="0.25">
      <c r="A147" s="42">
        <v>6025</v>
      </c>
      <c r="B147" s="50" t="s">
        <v>177</v>
      </c>
      <c r="C147" s="41" t="s">
        <v>28</v>
      </c>
      <c r="D147" s="92">
        <v>1001094966025</v>
      </c>
      <c r="E147" s="17"/>
      <c r="F147" s="43">
        <v>3</v>
      </c>
      <c r="G147" s="16">
        <f>E147</f>
        <v>0</v>
      </c>
      <c r="H147" s="44">
        <v>6</v>
      </c>
      <c r="I147" s="44">
        <v>60</v>
      </c>
      <c r="J147" s="44"/>
    </row>
    <row r="148" spans="1:10" ht="15.75" customHeight="1" x14ac:dyDescent="0.25">
      <c r="A148" s="102">
        <v>7647</v>
      </c>
      <c r="B148" s="50" t="s">
        <v>178</v>
      </c>
      <c r="C148" s="41" t="s">
        <v>25</v>
      </c>
      <c r="D148" s="92">
        <v>1001097747647</v>
      </c>
      <c r="E148" s="17"/>
      <c r="F148" s="43">
        <v>0.1</v>
      </c>
      <c r="G148" s="16">
        <f>E148*F148</f>
        <v>0</v>
      </c>
      <c r="H148" s="44">
        <v>1</v>
      </c>
      <c r="I148" s="44">
        <v>30</v>
      </c>
      <c r="J148" s="101" t="s">
        <v>179</v>
      </c>
    </row>
    <row r="149" spans="1:10" ht="15.75" customHeight="1" thickBot="1" x14ac:dyDescent="0.3">
      <c r="A149" s="102">
        <v>7651</v>
      </c>
      <c r="B149" s="50" t="s">
        <v>180</v>
      </c>
      <c r="C149" s="41" t="s">
        <v>25</v>
      </c>
      <c r="D149" s="92">
        <v>1001097767651</v>
      </c>
      <c r="E149" s="17"/>
      <c r="F149" s="43">
        <v>0.1</v>
      </c>
      <c r="G149" s="16">
        <f>E149*F149</f>
        <v>0</v>
      </c>
      <c r="H149" s="44">
        <v>1</v>
      </c>
      <c r="I149" s="44">
        <v>30</v>
      </c>
      <c r="J149" s="101" t="s">
        <v>179</v>
      </c>
    </row>
    <row r="150" spans="1:10" ht="16.5" customHeight="1" thickTop="1" thickBot="1" x14ac:dyDescent="0.3">
      <c r="A150" s="37"/>
      <c r="B150" s="32" t="s">
        <v>181</v>
      </c>
      <c r="C150" s="32"/>
      <c r="D150" s="32"/>
      <c r="E150" s="32"/>
      <c r="F150" s="31"/>
      <c r="G150" s="32"/>
      <c r="H150" s="32"/>
      <c r="I150" s="32"/>
      <c r="J150" s="33"/>
    </row>
    <row r="151" spans="1:10" ht="16.5" customHeight="1" thickTop="1" x14ac:dyDescent="0.25">
      <c r="A151" s="42">
        <v>7090</v>
      </c>
      <c r="B151" s="26" t="s">
        <v>182</v>
      </c>
      <c r="C151" s="41" t="s">
        <v>25</v>
      </c>
      <c r="D151" s="53">
        <v>1001084217090</v>
      </c>
      <c r="E151" s="17">
        <v>53</v>
      </c>
      <c r="F151" s="16">
        <v>0.3</v>
      </c>
      <c r="G151" s="16">
        <f>E151*F151</f>
        <v>15.899999999999999</v>
      </c>
      <c r="H151" s="11">
        <v>1.8</v>
      </c>
      <c r="I151" s="11">
        <v>50</v>
      </c>
      <c r="J151" s="44"/>
    </row>
    <row r="152" spans="1:10" ht="16.5" customHeight="1" x14ac:dyDescent="0.25">
      <c r="A152" s="42">
        <v>7187</v>
      </c>
      <c r="B152" s="26" t="s">
        <v>183</v>
      </c>
      <c r="C152" s="41" t="s">
        <v>25</v>
      </c>
      <c r="D152" s="53">
        <v>1001085637187</v>
      </c>
      <c r="E152" s="17">
        <v>281</v>
      </c>
      <c r="F152" s="16">
        <v>0.3</v>
      </c>
      <c r="G152" s="16">
        <f>E152*F152</f>
        <v>84.3</v>
      </c>
      <c r="H152" s="11">
        <v>1.8</v>
      </c>
      <c r="I152" s="11">
        <v>50</v>
      </c>
      <c r="J152" s="44"/>
    </row>
    <row r="153" spans="1:10" ht="16.5" customHeight="1" x14ac:dyDescent="0.25">
      <c r="A153" s="102">
        <v>6008</v>
      </c>
      <c r="B153" s="26" t="s">
        <v>184</v>
      </c>
      <c r="C153" s="41" t="s">
        <v>28</v>
      </c>
      <c r="D153" s="53">
        <v>1001084856008</v>
      </c>
      <c r="E153" s="17">
        <v>7</v>
      </c>
      <c r="F153" s="16"/>
      <c r="G153" s="16">
        <f>E153</f>
        <v>7</v>
      </c>
      <c r="H153" s="11">
        <v>1.8</v>
      </c>
      <c r="I153" s="11">
        <v>40</v>
      </c>
      <c r="J153" s="101" t="s">
        <v>179</v>
      </c>
    </row>
    <row r="154" spans="1:10" ht="16.5" customHeight="1" x14ac:dyDescent="0.25">
      <c r="A154" s="42">
        <v>6620</v>
      </c>
      <c r="B154" s="26" t="s">
        <v>185</v>
      </c>
      <c r="C154" s="41" t="s">
        <v>28</v>
      </c>
      <c r="D154" s="53">
        <v>1001081596620</v>
      </c>
      <c r="E154" s="17"/>
      <c r="F154" s="16">
        <v>1.05</v>
      </c>
      <c r="G154" s="16">
        <f>E154</f>
        <v>0</v>
      </c>
      <c r="H154" s="11">
        <v>3.15</v>
      </c>
      <c r="I154" s="11">
        <v>30</v>
      </c>
      <c r="J154" s="44"/>
    </row>
    <row r="155" spans="1:10" ht="16.5" customHeight="1" x14ac:dyDescent="0.25">
      <c r="A155" s="42">
        <v>7103</v>
      </c>
      <c r="B155" s="26" t="s">
        <v>186</v>
      </c>
      <c r="C155" s="41" t="s">
        <v>25</v>
      </c>
      <c r="D155" s="53">
        <v>1001223297103</v>
      </c>
      <c r="E155" s="17">
        <v>93</v>
      </c>
      <c r="F155" s="16">
        <v>0.18</v>
      </c>
      <c r="G155" s="16">
        <f t="shared" ref="G155:G162" si="4">E155*F155</f>
        <v>16.739999999999998</v>
      </c>
      <c r="H155" s="11">
        <v>1.8</v>
      </c>
      <c r="I155" s="11">
        <v>50</v>
      </c>
      <c r="J155" s="44"/>
    </row>
    <row r="156" spans="1:10" ht="16.5" customHeight="1" x14ac:dyDescent="0.25">
      <c r="A156" s="42">
        <v>7092</v>
      </c>
      <c r="B156" s="26" t="s">
        <v>187</v>
      </c>
      <c r="C156" s="41" t="s">
        <v>25</v>
      </c>
      <c r="D156" s="53">
        <v>1001223297092</v>
      </c>
      <c r="E156" s="17"/>
      <c r="F156" s="16">
        <v>0.14000000000000001</v>
      </c>
      <c r="G156" s="16">
        <f t="shared" si="4"/>
        <v>0</v>
      </c>
      <c r="H156" s="11">
        <v>1.4</v>
      </c>
      <c r="I156" s="11">
        <v>50</v>
      </c>
      <c r="J156" s="44"/>
    </row>
    <row r="157" spans="1:10" ht="16.5" customHeight="1" x14ac:dyDescent="0.25">
      <c r="A157" s="42">
        <v>6228</v>
      </c>
      <c r="B157" s="26" t="s">
        <v>188</v>
      </c>
      <c r="C157" s="41" t="s">
        <v>25</v>
      </c>
      <c r="D157" s="53">
        <v>1001225416228</v>
      </c>
      <c r="E157" s="17"/>
      <c r="F157" s="16">
        <v>0.09</v>
      </c>
      <c r="G157" s="16">
        <f t="shared" si="4"/>
        <v>0</v>
      </c>
      <c r="H157" s="11">
        <v>0.9</v>
      </c>
      <c r="I157" s="11">
        <v>45</v>
      </c>
      <c r="J157" s="44"/>
    </row>
    <row r="158" spans="1:10" ht="16.5" customHeight="1" x14ac:dyDescent="0.25">
      <c r="A158" s="42">
        <v>6448</v>
      </c>
      <c r="B158" s="26" t="s">
        <v>189</v>
      </c>
      <c r="C158" s="41" t="s">
        <v>25</v>
      </c>
      <c r="D158" s="53">
        <v>1001234146448</v>
      </c>
      <c r="E158" s="17"/>
      <c r="F158" s="16">
        <v>0.1</v>
      </c>
      <c r="G158" s="16">
        <f t="shared" si="4"/>
        <v>0</v>
      </c>
      <c r="H158" s="11">
        <v>1</v>
      </c>
      <c r="I158" s="11">
        <v>45</v>
      </c>
      <c r="J158" s="44"/>
    </row>
    <row r="159" spans="1:10" ht="16.5" customHeight="1" x14ac:dyDescent="0.25">
      <c r="A159" s="42">
        <v>6208</v>
      </c>
      <c r="B159" s="26" t="s">
        <v>190</v>
      </c>
      <c r="C159" s="41" t="s">
        <v>25</v>
      </c>
      <c r="D159" s="53">
        <v>1001220226208</v>
      </c>
      <c r="E159" s="17">
        <v>6</v>
      </c>
      <c r="F159" s="16">
        <v>0.15</v>
      </c>
      <c r="G159" s="16">
        <f t="shared" si="4"/>
        <v>0.89999999999999991</v>
      </c>
      <c r="H159" s="11">
        <v>1.5</v>
      </c>
      <c r="I159" s="11">
        <v>45</v>
      </c>
      <c r="J159" s="44"/>
    </row>
    <row r="160" spans="1:10" ht="16.5" customHeight="1" x14ac:dyDescent="0.25">
      <c r="A160" s="42">
        <v>6754</v>
      </c>
      <c r="B160" s="26" t="s">
        <v>191</v>
      </c>
      <c r="C160" s="41" t="s">
        <v>25</v>
      </c>
      <c r="D160" s="53">
        <v>1001225406754</v>
      </c>
      <c r="E160" s="17"/>
      <c r="F160" s="16">
        <v>0.09</v>
      </c>
      <c r="G160" s="16">
        <f t="shared" si="4"/>
        <v>0</v>
      </c>
      <c r="H160" s="11">
        <v>0.72</v>
      </c>
      <c r="I160" s="11">
        <v>60</v>
      </c>
      <c r="J160" s="44"/>
    </row>
    <row r="161" spans="1:10" ht="16.5" customHeight="1" x14ac:dyDescent="0.25">
      <c r="A161" s="42">
        <v>6279</v>
      </c>
      <c r="B161" s="26" t="s">
        <v>192</v>
      </c>
      <c r="C161" s="41" t="s">
        <v>25</v>
      </c>
      <c r="D161" s="53">
        <v>1001220286279</v>
      </c>
      <c r="E161" s="17"/>
      <c r="F161" s="16">
        <v>0.15</v>
      </c>
      <c r="G161" s="16">
        <f t="shared" si="4"/>
        <v>0</v>
      </c>
      <c r="H161" s="11">
        <v>1.2</v>
      </c>
      <c r="I161" s="11">
        <v>45</v>
      </c>
      <c r="J161" s="44"/>
    </row>
    <row r="162" spans="1:10" ht="16.5" customHeight="1" thickBot="1" x14ac:dyDescent="0.3">
      <c r="A162" s="102">
        <v>7612</v>
      </c>
      <c r="B162" s="26" t="s">
        <v>193</v>
      </c>
      <c r="C162" s="41" t="s">
        <v>25</v>
      </c>
      <c r="D162" s="53">
        <v>1001453907612</v>
      </c>
      <c r="E162" s="17">
        <v>90</v>
      </c>
      <c r="F162" s="16">
        <v>0.1</v>
      </c>
      <c r="G162" s="16">
        <f t="shared" si="4"/>
        <v>9</v>
      </c>
      <c r="H162" s="11">
        <v>1</v>
      </c>
      <c r="I162" s="11">
        <v>60</v>
      </c>
      <c r="J162" s="40" t="s">
        <v>194</v>
      </c>
    </row>
    <row r="163" spans="1:10" ht="16.5" customHeight="1" thickTop="1" thickBot="1" x14ac:dyDescent="0.3">
      <c r="A163" s="38"/>
      <c r="B163" s="35" t="s">
        <v>195</v>
      </c>
      <c r="C163" s="12"/>
      <c r="D163" s="27"/>
      <c r="E163" s="13">
        <f>SUM(E10:E162)</f>
        <v>8715</v>
      </c>
      <c r="F163" s="13"/>
      <c r="G163" s="13">
        <f>SUM(G11:G162)</f>
        <v>4255.8199999999979</v>
      </c>
      <c r="H163" s="13"/>
      <c r="I163" s="13"/>
      <c r="J163" s="13"/>
    </row>
    <row r="164" spans="1:10" ht="15.75" customHeight="1" thickTop="1" x14ac:dyDescent="0.25">
      <c r="B164" s="28"/>
      <c r="C164" s="46"/>
      <c r="D164" s="47"/>
      <c r="F164" s="49"/>
      <c r="G164" s="49"/>
      <c r="H164" s="54"/>
      <c r="I164" s="54"/>
      <c r="J164" s="14"/>
    </row>
    <row r="165" spans="1:10" x14ac:dyDescent="0.25">
      <c r="B165" s="28"/>
      <c r="C165" s="46"/>
      <c r="D165" s="47"/>
      <c r="F165" s="49"/>
      <c r="G165" s="49"/>
      <c r="H165" s="54"/>
      <c r="I165" s="54"/>
      <c r="J165" s="14"/>
    </row>
    <row r="166" spans="1:10" x14ac:dyDescent="0.25">
      <c r="B166" s="28"/>
      <c r="C166" s="46"/>
      <c r="D166" s="47"/>
      <c r="F166" s="49"/>
      <c r="G166" s="49"/>
      <c r="H166" s="54"/>
      <c r="I166" s="54"/>
      <c r="J166" s="14"/>
    </row>
    <row r="167" spans="1:10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50"/>
      <c r="E172" s="51"/>
      <c r="F172" s="50"/>
      <c r="G172" s="52"/>
      <c r="H172" s="53"/>
      <c r="I172" s="54"/>
      <c r="J172" s="14"/>
    </row>
    <row r="173" spans="1:10" x14ac:dyDescent="0.25">
      <c r="B173" s="28"/>
      <c r="C173" s="46"/>
      <c r="D173" s="47"/>
      <c r="F173" s="49"/>
      <c r="G173" s="49"/>
      <c r="H173" s="54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47"/>
      <c r="F175" s="49"/>
      <c r="G175" s="49"/>
      <c r="H175" s="54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196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196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196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197</v>
      </c>
      <c r="E18" s="64" t="s">
        <v>198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196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196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199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167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168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169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170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171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172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173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174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175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176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177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200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182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183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185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201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102</v>
      </c>
      <c r="E44" s="67" t="s">
        <v>196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104</v>
      </c>
      <c r="E45" s="67" t="s">
        <v>196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106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107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108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109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110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111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112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113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114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116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117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118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119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120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121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122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123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124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125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202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203</v>
      </c>
      <c r="E66" s="64" t="s">
        <v>204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205</v>
      </c>
      <c r="E67" s="64" t="s">
        <v>206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207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186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187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188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189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190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191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192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208</v>
      </c>
      <c r="E76" s="64" t="s">
        <v>209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193</v>
      </c>
      <c r="E77" s="63" t="s">
        <v>210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211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212</v>
      </c>
      <c r="E79" s="64" t="s">
        <v>213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155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157</v>
      </c>
      <c r="E81" s="64" t="s">
        <v>214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215</v>
      </c>
      <c r="E82" s="64" t="s">
        <v>216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160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161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162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163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164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217</v>
      </c>
      <c r="E88" s="64" t="s">
        <v>218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219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220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131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132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133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134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135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136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137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138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139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140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141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142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143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144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145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146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147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148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149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221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150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151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152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93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94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95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96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97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98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99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100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59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61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64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65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66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67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68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69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70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71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72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73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74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75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76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77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78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79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80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81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88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89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90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91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92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2026-07-15T11:16:30Z</dcterms:modified>
</cp:coreProperties>
</file>