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8,07 Бердянск_Грация КИ+ЗПФ\"/>
    </mc:Choice>
  </mc:AlternateContent>
  <xr:revisionPtr revIDLastSave="0" documentId="13_ncr:1_{58BACB5A-0830-4ACE-ACF0-2EC864D382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<sst xmlns="http://schemas.openxmlformats.org/spreadsheetml/2006/main" count="61" uniqueCount="46">
  <si>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</si>
  <si>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</si>
  <si>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</si>
  <si>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</si>
  <si>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</si>
  <si>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</si>
  <si>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</si>
  <si>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</si>
  <si>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 с. Трояны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</si>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</sst>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K7" sqref="K7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130133082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1"/>
      <c r="C3" s="7" t="s">
        <v>6</v>
      </c>
      <c r="D3" s="61">
        <v>46221</v>
      </c>
      <c r="E3" s="7" t="s">
        <v>7</v>
      </c>
      <c r="F3" s="61">
        <f>D3+3</f>
        <v>46224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6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7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16</v>
      </c>
      <c r="D7" s="36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19</v>
      </c>
      <c r="B9" s="43" t="s">
        <v>20</v>
      </c>
      <c r="C9" s="12" t="s">
        <v>21</v>
      </c>
      <c r="D9" s="33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9" t="s">
        <v>28</v>
      </c>
      <c r="K9" s="27"/>
    </row>
    <row r="10" spans="1:15" ht="16.5" customHeight="1" thickTop="1" thickBot="1" x14ac:dyDescent="0.3">
      <c r="A10" s="46"/>
      <c r="B10" s="41" t="s">
        <v>29</v>
      </c>
      <c r="C10" s="41"/>
      <c r="D10" s="41"/>
      <c r="E10" s="41"/>
      <c r="F10" s="40"/>
      <c r="G10" s="41"/>
      <c r="H10" s="41"/>
      <c r="I10" s="41"/>
      <c r="J10" s="42"/>
    </row>
    <row r="11" spans="1:15" ht="16.5" customHeight="1" thickTop="1" thickBot="1" x14ac:dyDescent="0.3">
      <c r="A11" s="46"/>
      <c r="B11" s="41" t="s">
        <v>30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25">
      <c r="A12" s="55">
        <v>5897</v>
      </c>
      <c r="B12" s="49" t="s">
        <v>31</v>
      </c>
      <c r="C12" s="47" t="s">
        <v>32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5">
        <v>6149</v>
      </c>
      <c r="B13" s="49" t="s">
        <v>33</v>
      </c>
      <c r="C13" s="47" t="s">
        <v>32</v>
      </c>
      <c r="D13" s="48">
        <v>1002131166149</v>
      </c>
      <c r="E13" s="23">
        <v>150</v>
      </c>
      <c r="F13" s="22">
        <v>0.3</v>
      </c>
      <c r="G13" s="22">
        <f t="shared" si="0"/>
        <v>45</v>
      </c>
      <c r="H13" s="14">
        <v>3.6</v>
      </c>
      <c r="I13" s="14">
        <v>120</v>
      </c>
      <c r="J13" s="28"/>
    </row>
    <row r="14" spans="1:15" ht="16.5" customHeight="1" x14ac:dyDescent="0.25">
      <c r="A14" s="55">
        <v>6819</v>
      </c>
      <c r="B14" s="49" t="s">
        <v>34</v>
      </c>
      <c r="C14" s="47" t="s">
        <v>32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5">
        <v>6202</v>
      </c>
      <c r="B15" s="49" t="s">
        <v>35</v>
      </c>
      <c r="C15" s="47" t="s">
        <v>32</v>
      </c>
      <c r="D15" s="48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5" ht="16.5" customHeight="1" x14ac:dyDescent="0.25">
      <c r="A16" s="55">
        <v>6148</v>
      </c>
      <c r="B16" s="49" t="s">
        <v>36</v>
      </c>
      <c r="C16" s="47" t="s">
        <v>32</v>
      </c>
      <c r="D16" s="48">
        <v>1002133376148</v>
      </c>
      <c r="E16" s="23">
        <v>220</v>
      </c>
      <c r="F16" s="22">
        <v>0.3</v>
      </c>
      <c r="G16" s="22">
        <f t="shared" si="0"/>
        <v>66</v>
      </c>
      <c r="H16" s="14">
        <v>3.6</v>
      </c>
      <c r="I16" s="14">
        <v>120</v>
      </c>
      <c r="J16" s="28"/>
    </row>
    <row r="17" spans="1:10" ht="16.5" customHeight="1" x14ac:dyDescent="0.25">
      <c r="A17" s="55">
        <v>6209</v>
      </c>
      <c r="B17" s="49" t="s">
        <v>37</v>
      </c>
      <c r="C17" s="47" t="s">
        <v>32</v>
      </c>
      <c r="D17" s="48">
        <v>1002131146209</v>
      </c>
      <c r="E17" s="23">
        <v>180</v>
      </c>
      <c r="F17" s="22">
        <v>0.35</v>
      </c>
      <c r="G17" s="22">
        <f t="shared" si="0"/>
        <v>62.999999999999993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49" t="s">
        <v>38</v>
      </c>
      <c r="C18" s="47" t="s">
        <v>32</v>
      </c>
      <c r="D18" s="48">
        <v>1002131156168</v>
      </c>
      <c r="E18" s="23">
        <v>150</v>
      </c>
      <c r="F18" s="22">
        <v>0.35</v>
      </c>
      <c r="G18" s="22">
        <f t="shared" si="0"/>
        <v>52.5</v>
      </c>
      <c r="H18" s="14">
        <v>4.2</v>
      </c>
      <c r="I18" s="14">
        <v>120</v>
      </c>
      <c r="J18" s="28"/>
    </row>
    <row r="19" spans="1:10" ht="16.5" customHeight="1" x14ac:dyDescent="0.25">
      <c r="A19" s="55">
        <v>5579</v>
      </c>
      <c r="B19" s="49" t="s">
        <v>39</v>
      </c>
      <c r="C19" s="47" t="s">
        <v>32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6">
        <v>5754</v>
      </c>
      <c r="B20" s="57" t="s">
        <v>40</v>
      </c>
      <c r="C20" s="47" t="s">
        <v>41</v>
      </c>
      <c r="D20" s="48">
        <v>1002131155754</v>
      </c>
      <c r="E20" s="23"/>
      <c r="F20" s="22">
        <v>4.5</v>
      </c>
      <c r="G20" s="58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6">
        <v>5755</v>
      </c>
      <c r="B21" s="49" t="s">
        <v>42</v>
      </c>
      <c r="C21" s="47" t="s">
        <v>41</v>
      </c>
      <c r="D21" s="48">
        <v>1002131185755</v>
      </c>
      <c r="E21" s="23"/>
      <c r="F21" s="22">
        <v>4.5</v>
      </c>
      <c r="G21" s="58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59">
        <v>7216</v>
      </c>
      <c r="B23" s="52" t="s">
        <v>44</v>
      </c>
      <c r="C23" s="47" t="s">
        <v>32</v>
      </c>
      <c r="D23" s="60">
        <v>1002116437216</v>
      </c>
      <c r="E23" s="53"/>
      <c r="F23" s="22">
        <v>0.7</v>
      </c>
      <c r="G23" s="58">
        <f>E23*F23</f>
        <v>0</v>
      </c>
      <c r="H23" s="14"/>
      <c r="I23" s="54"/>
      <c r="J23" s="54"/>
    </row>
    <row r="24" spans="1:10" ht="16.5" customHeight="1" thickTop="1" thickBot="1" x14ac:dyDescent="0.3">
      <c r="A24" s="50"/>
      <c r="B24" s="44" t="s">
        <v>45</v>
      </c>
      <c r="C24" s="15"/>
      <c r="D24" s="34"/>
      <c r="E24" s="16">
        <f>SUM(E10:E23)</f>
        <v>700</v>
      </c>
      <c r="F24" s="16"/>
      <c r="G24" s="16">
        <f>SUM(G12:G23)</f>
        <v>226.5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2026-07-15T11:40:06Z</dcterms:modified>
</cp:coreProperties>
</file>