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23,12,25 Ост СЫР филиалы\"/>
    </mc:Choice>
  </mc:AlternateContent>
  <xr:revisionPtr revIDLastSave="0" documentId="13_ncr:1_{C520F656-33FA-492B-BAAE-E06F78CA96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6" i="1"/>
  <c r="R5" i="1" l="1"/>
  <c r="AF11" i="1"/>
  <c r="P48" i="1"/>
  <c r="U48" i="1" s="1"/>
  <c r="P6" i="1"/>
  <c r="Q6" i="1" s="1"/>
  <c r="P7" i="1"/>
  <c r="P8" i="1"/>
  <c r="Q8" i="1" s="1"/>
  <c r="P9" i="1"/>
  <c r="P10" i="1"/>
  <c r="P11" i="1"/>
  <c r="U11" i="1" s="1"/>
  <c r="P12" i="1"/>
  <c r="U12" i="1" s="1"/>
  <c r="P45" i="1"/>
  <c r="P46" i="1"/>
  <c r="U46" i="1" s="1"/>
  <c r="P13" i="1"/>
  <c r="U13" i="1" s="1"/>
  <c r="P14" i="1"/>
  <c r="P15" i="1"/>
  <c r="U15" i="1" s="1"/>
  <c r="P16" i="1"/>
  <c r="U16" i="1" s="1"/>
  <c r="P17" i="1"/>
  <c r="Q17" i="1" s="1"/>
  <c r="AF17" i="1" s="1"/>
  <c r="P18" i="1"/>
  <c r="P19" i="1"/>
  <c r="U19" i="1" s="1"/>
  <c r="P20" i="1"/>
  <c r="U20" i="1" s="1"/>
  <c r="P21" i="1"/>
  <c r="Q21" i="1" s="1"/>
  <c r="AF21" i="1" s="1"/>
  <c r="P22" i="1"/>
  <c r="Q22" i="1" s="1"/>
  <c r="AF22" i="1" s="1"/>
  <c r="P23" i="1"/>
  <c r="P24" i="1"/>
  <c r="U24" i="1" s="1"/>
  <c r="P25" i="1"/>
  <c r="P26" i="1"/>
  <c r="U26" i="1" s="1"/>
  <c r="P27" i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P37" i="1"/>
  <c r="U37" i="1" s="1"/>
  <c r="P38" i="1"/>
  <c r="U38" i="1" s="1"/>
  <c r="P39" i="1"/>
  <c r="U39" i="1" s="1"/>
  <c r="P40" i="1"/>
  <c r="U40" i="1" s="1"/>
  <c r="P41" i="1"/>
  <c r="U41" i="1" s="1"/>
  <c r="P42" i="1"/>
  <c r="U42" i="1" s="1"/>
  <c r="P43" i="1"/>
  <c r="U43" i="1" s="1"/>
  <c r="P47" i="1"/>
  <c r="V47" i="1" s="1"/>
  <c r="L43" i="1"/>
  <c r="AF42" i="1"/>
  <c r="L42" i="1"/>
  <c r="L41" i="1"/>
  <c r="AF40" i="1"/>
  <c r="L40" i="1"/>
  <c r="L39" i="1"/>
  <c r="AF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AF46" i="1"/>
  <c r="L46" i="1"/>
  <c r="AF45" i="1"/>
  <c r="L45" i="1"/>
  <c r="AF12" i="1"/>
  <c r="L12" i="1"/>
  <c r="L11" i="1"/>
  <c r="L10" i="1"/>
  <c r="I10" i="1"/>
  <c r="G10" i="1"/>
  <c r="L9" i="1"/>
  <c r="I9" i="1"/>
  <c r="G9" i="1"/>
  <c r="L8" i="1"/>
  <c r="I8" i="1"/>
  <c r="G8" i="1"/>
  <c r="L7" i="1"/>
  <c r="I7" i="1"/>
  <c r="G7" i="1"/>
  <c r="L6" i="1"/>
  <c r="I6" i="1"/>
  <c r="G6" i="1"/>
  <c r="L48" i="1"/>
  <c r="L47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AF8" i="1" l="1"/>
  <c r="AF6" i="1"/>
  <c r="U27" i="1"/>
  <c r="Q27" i="1"/>
  <c r="AF27" i="1" s="1"/>
  <c r="Q23" i="1"/>
  <c r="AF23" i="1" s="1"/>
  <c r="Q9" i="1"/>
  <c r="U9" i="1" s="1"/>
  <c r="U8" i="1"/>
  <c r="Q7" i="1"/>
  <c r="Q10" i="1"/>
  <c r="AF10" i="1" s="1"/>
  <c r="Q14" i="1"/>
  <c r="AF14" i="1" s="1"/>
  <c r="Q18" i="1"/>
  <c r="AF18" i="1" s="1"/>
  <c r="Q36" i="1"/>
  <c r="AF36" i="1" s="1"/>
  <c r="AF25" i="1"/>
  <c r="U22" i="1"/>
  <c r="AF9" i="1"/>
  <c r="U45" i="1"/>
  <c r="U21" i="1"/>
  <c r="U17" i="1"/>
  <c r="L5" i="1"/>
  <c r="V40" i="1"/>
  <c r="V32" i="1"/>
  <c r="V25" i="1"/>
  <c r="V17" i="1"/>
  <c r="V11" i="1"/>
  <c r="U47" i="1"/>
  <c r="V36" i="1"/>
  <c r="V21" i="1"/>
  <c r="V13" i="1"/>
  <c r="V7" i="1"/>
  <c r="V42" i="1"/>
  <c r="V38" i="1"/>
  <c r="V34" i="1"/>
  <c r="V30" i="1"/>
  <c r="V27" i="1"/>
  <c r="V23" i="1"/>
  <c r="V19" i="1"/>
  <c r="V15" i="1"/>
  <c r="V45" i="1"/>
  <c r="V9" i="1"/>
  <c r="V48" i="1"/>
  <c r="P5" i="1"/>
  <c r="V43" i="1"/>
  <c r="V41" i="1"/>
  <c r="V39" i="1"/>
  <c r="V37" i="1"/>
  <c r="V35" i="1"/>
  <c r="V33" i="1"/>
  <c r="V31" i="1"/>
  <c r="V29" i="1"/>
  <c r="V28" i="1"/>
  <c r="V26" i="1"/>
  <c r="V24" i="1"/>
  <c r="V22" i="1"/>
  <c r="V20" i="1"/>
  <c r="V18" i="1"/>
  <c r="V16" i="1"/>
  <c r="V14" i="1"/>
  <c r="V46" i="1"/>
  <c r="V12" i="1"/>
  <c r="V10" i="1"/>
  <c r="V8" i="1"/>
  <c r="V6" i="1"/>
  <c r="U6" i="1"/>
  <c r="U18" i="1" l="1"/>
  <c r="Q5" i="1"/>
  <c r="U10" i="1"/>
  <c r="AF7" i="1"/>
  <c r="AF5" i="1" s="1"/>
  <c r="U7" i="1"/>
  <c r="U23" i="1"/>
  <c r="U14" i="1"/>
  <c r="U36" i="1"/>
  <c r="U25" i="1"/>
</calcChain>
</file>

<file path=xl/sharedStrings.xml><?xml version="1.0" encoding="utf-8"?>
<sst xmlns="http://schemas.openxmlformats.org/spreadsheetml/2006/main" count="184" uniqueCount="97">
  <si>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</si>
  <si>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</si>
  <si>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</si>
  <si>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</si>
  <si>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</si>
  <si>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</si>
  <si>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</si>
  <si>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</si>
  <si>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</si>
  <si>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</si>
  <si>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</si>
  <si>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</si>
  <si>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</si>
  <si>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</si>
  <si>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</si>
  <si>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</si>
  <si>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</si>
  <si>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</si>
  <si>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</si>
  <si>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</si>
  <si>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</si>
  <si>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</si>
  <si>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</si>
  <si>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</si>
  <si>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</si>
  <si>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</si>
  <si>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</si>
  <si>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</si>
  <si>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</si>
  <si>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</si>
  <si>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</si>
  <si>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</si>
  <si>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</si>
  <si>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</si>
  <si>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</si>
  <si>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</si>
  <si>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</si>
  <si>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</si>
  <si>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</si>
  <si>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</si>
  <si>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</si>
  <si>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</si>
  <si>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</si>
  <si>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</si>
  <si>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</si>
  <si>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</si>
  <si>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 / с 13,08,25 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</si>
  <si>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</si>
  <si>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</si>
  <si>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</si>
  <si>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</si>
  <si>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</si>
  <si>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</si>
  <si>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</si>
  <si>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</si>
  <si>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нужно увеличить продажи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</si>
  <si>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</si>
  <si>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</si>
  <si>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</si>
  <si>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</si>
  <si>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</si>
  <si>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</si>
  <si>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</si>
  <si>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</si>
  <si>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</si>
  <si>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</si>
  <si>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</si>
  <si>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</si>
  <si>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</si>
  <si>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</si>
  <si>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</si>
  <si>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</si>
  <si>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</si>
  <si>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</si>
  <si>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</si>
  <si>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</si>
  <si>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</si>
  <si>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</si>
  <si>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</si>
  <si>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</si>
  <si>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</si>
  <si>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</si>
  <si>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</si>
  <si>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</si>
  <si>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</si>
  <si>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</si>
  <si>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</si>
  <si>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</si>
  <si>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</si>
  <si>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</si>
  <si>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</si>
  <si>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мин - 28шт / с 13,08,25 заказываем для ОП</t>
  </si>
  <si>
    <t>вывод</t>
  </si>
  <si>
    <t>итого</t>
  </si>
  <si>
    <t>заказ</t>
  </si>
  <si>
    <t>05,01,</t>
  </si>
  <si>
    <t>дубль /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</si>
</sst>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5" width="0.42578125" customWidth="1"/>
    <col min="16" max="17" width="7" customWidth="1"/>
    <col min="18" max="18" width="7" style="27" customWidth="1"/>
    <col min="19" max="19" width="7" customWidth="1"/>
    <col min="20" max="20" width="21" customWidth="1"/>
    <col min="21" max="22" width="5" customWidth="1"/>
    <col min="23" max="30" width="6" customWidth="1"/>
    <col min="31" max="31" width="47.140625" customWidth="1"/>
    <col min="32" max="32" width="7" customWidth="1"/>
    <col min="33" max="51" width="1" customWidth="1"/>
  </cols>
  <sheetData>
    <row r="1" spans="1:51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93</v>
      </c>
      <c r="R3" s="2" t="s">
        <v>94</v>
      </c>
      <c r="S3" s="6" t="s">
        <v>16</v>
      </c>
      <c r="T3" s="6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23</v>
      </c>
      <c r="P4" s="4" t="s">
        <v>24</v>
      </c>
      <c r="Q4" s="4"/>
      <c r="R4" s="4" t="s">
        <v>95</v>
      </c>
      <c r="S4" s="4"/>
      <c r="T4" s="4"/>
      <c r="U4" s="4"/>
      <c r="V4" s="4"/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25">
      <c r="A5" s="4"/>
      <c r="B5" s="4"/>
      <c r="C5" s="4"/>
      <c r="D5" s="4"/>
      <c r="E5" s="3">
        <f>SUM(E6:E495)</f>
        <v>1219.8949999999998</v>
      </c>
      <c r="F5" s="3">
        <f>SUM(F6:F495)</f>
        <v>2672.8510000000006</v>
      </c>
      <c r="G5" s="7"/>
      <c r="H5" s="4"/>
      <c r="I5" s="4"/>
      <c r="J5" s="4"/>
      <c r="K5" s="3">
        <f t="shared" ref="K5:S5" si="0">SUM(K6:K495)</f>
        <v>1231.9279999999997</v>
      </c>
      <c r="L5" s="3">
        <f t="shared" si="0"/>
        <v>-12.032999999999999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243.97899999999998</v>
      </c>
      <c r="Q5" s="3">
        <f t="shared" si="0"/>
        <v>2349.8790000000004</v>
      </c>
      <c r="R5" s="3">
        <f t="shared" si="0"/>
        <v>2356</v>
      </c>
      <c r="S5" s="3">
        <f t="shared" si="0"/>
        <v>0</v>
      </c>
      <c r="T5" s="4"/>
      <c r="U5" s="4"/>
      <c r="V5" s="4"/>
      <c r="W5" s="3">
        <f t="shared" ref="W5:AD5" si="1">SUM(W6:W495)</f>
        <v>84.865200000000002</v>
      </c>
      <c r="X5" s="3">
        <f t="shared" si="1"/>
        <v>103.30040000000001</v>
      </c>
      <c r="Y5" s="3">
        <f t="shared" si="1"/>
        <v>116.2834</v>
      </c>
      <c r="Z5" s="3">
        <f t="shared" si="1"/>
        <v>156.83520000000001</v>
      </c>
      <c r="AA5" s="3">
        <f t="shared" si="1"/>
        <v>148.61800000000002</v>
      </c>
      <c r="AB5" s="3">
        <f t="shared" si="1"/>
        <v>100.97140000000002</v>
      </c>
      <c r="AC5" s="3">
        <f t="shared" si="1"/>
        <v>111.83159999999999</v>
      </c>
      <c r="AD5" s="3">
        <f t="shared" si="1"/>
        <v>122.2042</v>
      </c>
      <c r="AE5" s="4"/>
      <c r="AF5" s="3">
        <f>SUM(AF6:AF495)</f>
        <v>913.01199999999994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x14ac:dyDescent="0.25">
      <c r="A6" s="4" t="s">
        <v>37</v>
      </c>
      <c r="B6" s="4" t="s">
        <v>34</v>
      </c>
      <c r="C6" s="4"/>
      <c r="D6" s="4">
        <v>48</v>
      </c>
      <c r="E6" s="4">
        <v>35</v>
      </c>
      <c r="F6" s="4">
        <v>13</v>
      </c>
      <c r="G6" s="7">
        <f>VLOOKUP(A6,[1]Sheet!$A:$I,7,0)</f>
        <v>0.82450000000000001</v>
      </c>
      <c r="H6" s="4">
        <v>180</v>
      </c>
      <c r="I6" s="4">
        <f>VLOOKUP(A6,[1]Sheet!$A:$I,9,0)</f>
        <v>6948249</v>
      </c>
      <c r="J6" s="4"/>
      <c r="K6" s="4">
        <v>33</v>
      </c>
      <c r="L6" s="4">
        <f t="shared" ref="L6:L43" si="2">E6-K6</f>
        <v>2</v>
      </c>
      <c r="M6" s="4"/>
      <c r="N6" s="4"/>
      <c r="O6" s="4"/>
      <c r="P6" s="4">
        <f t="shared" ref="P6:P43" si="3">E6/5</f>
        <v>7</v>
      </c>
      <c r="Q6" s="9">
        <f>17*P6-F6</f>
        <v>106</v>
      </c>
      <c r="R6" s="9">
        <f>IFERROR(VLOOKUP(A6,заказ!A:B,2,0),0)</f>
        <v>108</v>
      </c>
      <c r="S6" s="9"/>
      <c r="T6" s="4"/>
      <c r="U6" s="4">
        <f t="shared" ref="U6:U43" si="4">(F6+Q6)/P6</f>
        <v>17</v>
      </c>
      <c r="V6" s="4">
        <f t="shared" ref="V6:V43" si="5">F6/P6</f>
        <v>1.8571428571428572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/>
      <c r="AF6" s="4">
        <f t="shared" ref="AF6:AF12" si="6">G6*Q6</f>
        <v>87.397000000000006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25">
      <c r="A7" s="4" t="s">
        <v>38</v>
      </c>
      <c r="B7" s="4" t="s">
        <v>34</v>
      </c>
      <c r="C7" s="4"/>
      <c r="D7" s="4">
        <v>408</v>
      </c>
      <c r="E7" s="4">
        <v>174</v>
      </c>
      <c r="F7" s="4">
        <v>234</v>
      </c>
      <c r="G7" s="7">
        <f>VLOOKUP(A7,[1]Sheet!$A:$I,7,0)</f>
        <v>0.372</v>
      </c>
      <c r="H7" s="4">
        <v>180</v>
      </c>
      <c r="I7" s="4">
        <f>VLOOKUP(A7,[1]Sheet!$A:$I,9,0)</f>
        <v>6948256</v>
      </c>
      <c r="J7" s="4"/>
      <c r="K7" s="4">
        <v>175</v>
      </c>
      <c r="L7" s="4">
        <f t="shared" si="2"/>
        <v>-1</v>
      </c>
      <c r="M7" s="4"/>
      <c r="N7" s="4"/>
      <c r="O7" s="4"/>
      <c r="P7" s="4">
        <f t="shared" si="3"/>
        <v>34.799999999999997</v>
      </c>
      <c r="Q7" s="9">
        <f t="shared" ref="Q7:Q10" si="7">20*P7-F7</f>
        <v>462</v>
      </c>
      <c r="R7" s="9">
        <f>IFERROR(VLOOKUP(A7,заказ!A:B,2,0),0)</f>
        <v>456</v>
      </c>
      <c r="S7" s="9"/>
      <c r="T7" s="4"/>
      <c r="U7" s="4">
        <f t="shared" si="4"/>
        <v>20</v>
      </c>
      <c r="V7" s="4">
        <f t="shared" si="5"/>
        <v>6.7241379310344831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/>
      <c r="AF7" s="4">
        <f t="shared" si="6"/>
        <v>171.864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25">
      <c r="A8" s="4" t="s">
        <v>39</v>
      </c>
      <c r="B8" s="4" t="s">
        <v>34</v>
      </c>
      <c r="C8" s="4"/>
      <c r="D8" s="4">
        <v>300</v>
      </c>
      <c r="E8" s="4">
        <v>70</v>
      </c>
      <c r="F8" s="4">
        <v>230</v>
      </c>
      <c r="G8" s="7">
        <f>VLOOKUP(A8,[1]Sheet!$A:$I,7,0)</f>
        <v>0.74399999999999999</v>
      </c>
      <c r="H8" s="4">
        <v>180</v>
      </c>
      <c r="I8" s="4">
        <f>VLOOKUP(A8,[1]Sheet!$A:$I,9,0)</f>
        <v>6948263</v>
      </c>
      <c r="J8" s="4"/>
      <c r="K8" s="4">
        <v>70</v>
      </c>
      <c r="L8" s="4">
        <f t="shared" si="2"/>
        <v>0</v>
      </c>
      <c r="M8" s="4"/>
      <c r="N8" s="4"/>
      <c r="O8" s="4"/>
      <c r="P8" s="4">
        <f t="shared" si="3"/>
        <v>14</v>
      </c>
      <c r="Q8" s="9">
        <f t="shared" si="7"/>
        <v>50</v>
      </c>
      <c r="R8" s="9">
        <f>IFERROR(VLOOKUP(A8,заказ!A:B,2,0),0)</f>
        <v>48</v>
      </c>
      <c r="S8" s="9"/>
      <c r="T8" s="4"/>
      <c r="U8" s="4">
        <f t="shared" si="4"/>
        <v>20</v>
      </c>
      <c r="V8" s="4">
        <f t="shared" si="5"/>
        <v>16.428571428571427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/>
      <c r="AF8" s="4">
        <f t="shared" si="6"/>
        <v>37.200000000000003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25">
      <c r="A9" s="4" t="s">
        <v>40</v>
      </c>
      <c r="B9" s="4" t="s">
        <v>34</v>
      </c>
      <c r="C9" s="4"/>
      <c r="D9" s="4">
        <v>408</v>
      </c>
      <c r="E9" s="4">
        <v>240</v>
      </c>
      <c r="F9" s="4">
        <v>168</v>
      </c>
      <c r="G9" s="7">
        <f>VLOOKUP(A9,[1]Sheet!$A:$I,7,0)</f>
        <v>0.372</v>
      </c>
      <c r="H9" s="4">
        <v>180</v>
      </c>
      <c r="I9" s="4">
        <f>VLOOKUP(A9,[1]Sheet!$A:$I,9,0)</f>
        <v>6948270</v>
      </c>
      <c r="J9" s="4"/>
      <c r="K9" s="4">
        <v>240</v>
      </c>
      <c r="L9" s="4">
        <f t="shared" si="2"/>
        <v>0</v>
      </c>
      <c r="M9" s="4"/>
      <c r="N9" s="4"/>
      <c r="O9" s="4"/>
      <c r="P9" s="4">
        <f t="shared" si="3"/>
        <v>48</v>
      </c>
      <c r="Q9" s="9">
        <f>19*P9-F9</f>
        <v>744</v>
      </c>
      <c r="R9" s="9">
        <f>IFERROR(VLOOKUP(A9,заказ!A:B,2,0),0)</f>
        <v>744</v>
      </c>
      <c r="S9" s="9"/>
      <c r="T9" s="4"/>
      <c r="U9" s="4">
        <f t="shared" si="4"/>
        <v>19</v>
      </c>
      <c r="V9" s="4">
        <f t="shared" si="5"/>
        <v>3.5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/>
      <c r="AF9" s="4">
        <f t="shared" si="6"/>
        <v>276.76799999999997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25">
      <c r="A10" s="4" t="s">
        <v>41</v>
      </c>
      <c r="B10" s="4" t="s">
        <v>34</v>
      </c>
      <c r="C10" s="4"/>
      <c r="D10" s="4">
        <v>300</v>
      </c>
      <c r="E10" s="4">
        <v>108</v>
      </c>
      <c r="F10" s="4">
        <v>192</v>
      </c>
      <c r="G10" s="7">
        <f>VLOOKUP(A10,[1]Sheet!$A:$I,7,0)</f>
        <v>0.74399999999999999</v>
      </c>
      <c r="H10" s="4">
        <v>180</v>
      </c>
      <c r="I10" s="4">
        <f>VLOOKUP(A10,[1]Sheet!$A:$I,9,0)</f>
        <v>6948287</v>
      </c>
      <c r="J10" s="4"/>
      <c r="K10" s="4">
        <v>108</v>
      </c>
      <c r="L10" s="4">
        <f t="shared" si="2"/>
        <v>0</v>
      </c>
      <c r="M10" s="4"/>
      <c r="N10" s="4"/>
      <c r="O10" s="4"/>
      <c r="P10" s="4">
        <f t="shared" si="3"/>
        <v>21.6</v>
      </c>
      <c r="Q10" s="9">
        <f t="shared" si="7"/>
        <v>240</v>
      </c>
      <c r="R10" s="9">
        <f>IFERROR(VLOOKUP(A10,заказ!A:B,2,0),0)</f>
        <v>240</v>
      </c>
      <c r="S10" s="9"/>
      <c r="T10" s="4"/>
      <c r="U10" s="4">
        <f t="shared" si="4"/>
        <v>20</v>
      </c>
      <c r="V10" s="4">
        <f t="shared" si="5"/>
        <v>8.8888888888888875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/>
      <c r="AF10" s="4">
        <f t="shared" si="6"/>
        <v>178.56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25">
      <c r="A11" s="4" t="s">
        <v>42</v>
      </c>
      <c r="B11" s="4" t="s">
        <v>34</v>
      </c>
      <c r="C11" s="4">
        <v>125</v>
      </c>
      <c r="D11" s="4"/>
      <c r="E11" s="4">
        <v>21</v>
      </c>
      <c r="F11" s="4">
        <v>99</v>
      </c>
      <c r="G11" s="7">
        <v>0.18</v>
      </c>
      <c r="H11" s="4">
        <v>270</v>
      </c>
      <c r="I11" s="4">
        <v>9988438</v>
      </c>
      <c r="J11" s="4"/>
      <c r="K11" s="4">
        <v>21</v>
      </c>
      <c r="L11" s="4">
        <f t="shared" si="2"/>
        <v>0</v>
      </c>
      <c r="M11" s="4"/>
      <c r="N11" s="4"/>
      <c r="O11" s="4"/>
      <c r="P11" s="4">
        <f t="shared" si="3"/>
        <v>4.2</v>
      </c>
      <c r="Q11" s="9"/>
      <c r="R11" s="9">
        <f>IFERROR(VLOOKUP(A11,заказ!A:B,2,0),0)</f>
        <v>0</v>
      </c>
      <c r="S11" s="9"/>
      <c r="T11" s="4"/>
      <c r="U11" s="4">
        <f t="shared" si="4"/>
        <v>23.571428571428569</v>
      </c>
      <c r="V11" s="4">
        <f t="shared" si="5"/>
        <v>23.571428571428569</v>
      </c>
      <c r="W11" s="4">
        <v>2</v>
      </c>
      <c r="X11" s="4">
        <v>3</v>
      </c>
      <c r="Y11" s="4">
        <v>3</v>
      </c>
      <c r="Z11" s="4">
        <v>4.2</v>
      </c>
      <c r="AA11" s="4">
        <v>1.4</v>
      </c>
      <c r="AB11" s="4">
        <v>2.2000000000000002</v>
      </c>
      <c r="AC11" s="4">
        <v>11.4</v>
      </c>
      <c r="AD11" s="4">
        <v>0.8</v>
      </c>
      <c r="AE11" s="24" t="s">
        <v>55</v>
      </c>
      <c r="AF11" s="4">
        <f t="shared" si="6"/>
        <v>0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25">
      <c r="A12" s="4" t="s">
        <v>44</v>
      </c>
      <c r="B12" s="4" t="s">
        <v>34</v>
      </c>
      <c r="C12" s="4">
        <v>162</v>
      </c>
      <c r="D12" s="4"/>
      <c r="E12" s="4">
        <v>23</v>
      </c>
      <c r="F12" s="4">
        <v>132</v>
      </c>
      <c r="G12" s="7">
        <v>0.18</v>
      </c>
      <c r="H12" s="4">
        <v>270</v>
      </c>
      <c r="I12" s="4">
        <v>9988445</v>
      </c>
      <c r="J12" s="4"/>
      <c r="K12" s="4">
        <v>23</v>
      </c>
      <c r="L12" s="4">
        <f t="shared" si="2"/>
        <v>0</v>
      </c>
      <c r="M12" s="4"/>
      <c r="N12" s="4"/>
      <c r="O12" s="4"/>
      <c r="P12" s="4">
        <f t="shared" si="3"/>
        <v>4.5999999999999996</v>
      </c>
      <c r="Q12" s="9"/>
      <c r="R12" s="9">
        <f>IFERROR(VLOOKUP(A12,заказ!A:B,2,0),0)</f>
        <v>0</v>
      </c>
      <c r="S12" s="9"/>
      <c r="T12" s="4"/>
      <c r="U12" s="4">
        <f t="shared" si="4"/>
        <v>28.695652173913047</v>
      </c>
      <c r="V12" s="4">
        <f t="shared" si="5"/>
        <v>28.695652173913047</v>
      </c>
      <c r="W12" s="4">
        <v>2.4</v>
      </c>
      <c r="X12" s="4">
        <v>2.6</v>
      </c>
      <c r="Y12" s="4">
        <v>2.8</v>
      </c>
      <c r="Z12" s="4">
        <v>3.8</v>
      </c>
      <c r="AA12" s="4">
        <v>1.4</v>
      </c>
      <c r="AB12" s="4">
        <v>2.2000000000000002</v>
      </c>
      <c r="AC12" s="4">
        <v>4.8</v>
      </c>
      <c r="AD12" s="4">
        <v>7.4</v>
      </c>
      <c r="AE12" s="25" t="s">
        <v>43</v>
      </c>
      <c r="AF12" s="4">
        <f t="shared" si="6"/>
        <v>0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25">
      <c r="A13" s="21" t="s">
        <v>48</v>
      </c>
      <c r="B13" s="21" t="s">
        <v>34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/>
      <c r="L13" s="21">
        <f t="shared" si="2"/>
        <v>0</v>
      </c>
      <c r="M13" s="21"/>
      <c r="N13" s="21"/>
      <c r="O13" s="21"/>
      <c r="P13" s="21">
        <f t="shared" si="3"/>
        <v>0</v>
      </c>
      <c r="Q13" s="23"/>
      <c r="R13" s="9">
        <f>IFERROR(VLOOKUP(A13,заказ!A:B,2,0),0)</f>
        <v>0</v>
      </c>
      <c r="S13" s="23"/>
      <c r="T13" s="21"/>
      <c r="U13" s="21" t="e">
        <f t="shared" si="4"/>
        <v>#DIV/0!</v>
      </c>
      <c r="V13" s="21" t="e">
        <f t="shared" si="5"/>
        <v>#DIV/0!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 t="s">
        <v>49</v>
      </c>
      <c r="AF13" s="21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25">
      <c r="A14" s="4" t="s">
        <v>50</v>
      </c>
      <c r="B14" s="4" t="s">
        <v>34</v>
      </c>
      <c r="C14" s="4">
        <v>46</v>
      </c>
      <c r="D14" s="4"/>
      <c r="E14" s="4">
        <v>14</v>
      </c>
      <c r="F14" s="4">
        <v>32</v>
      </c>
      <c r="G14" s="7">
        <v>0.4</v>
      </c>
      <c r="H14" s="4">
        <v>270</v>
      </c>
      <c r="I14" s="4">
        <v>9988476</v>
      </c>
      <c r="J14" s="4"/>
      <c r="K14" s="4">
        <v>14</v>
      </c>
      <c r="L14" s="4">
        <f t="shared" si="2"/>
        <v>0</v>
      </c>
      <c r="M14" s="4"/>
      <c r="N14" s="4"/>
      <c r="O14" s="4"/>
      <c r="P14" s="4">
        <f t="shared" si="3"/>
        <v>2.8</v>
      </c>
      <c r="Q14" s="9">
        <f>20*P14-F14</f>
        <v>24</v>
      </c>
      <c r="R14" s="9">
        <f>IFERROR(VLOOKUP(A14,заказ!A:B,2,0),0)</f>
        <v>28</v>
      </c>
      <c r="S14" s="9"/>
      <c r="T14" s="4"/>
      <c r="U14" s="4">
        <f t="shared" si="4"/>
        <v>20</v>
      </c>
      <c r="V14" s="4">
        <f t="shared" si="5"/>
        <v>11.428571428571429</v>
      </c>
      <c r="W14" s="4">
        <v>1</v>
      </c>
      <c r="X14" s="4">
        <v>4</v>
      </c>
      <c r="Y14" s="4">
        <v>2.6</v>
      </c>
      <c r="Z14" s="4">
        <v>1.8</v>
      </c>
      <c r="AA14" s="4">
        <v>5</v>
      </c>
      <c r="AB14" s="4">
        <v>2</v>
      </c>
      <c r="AC14" s="4">
        <v>2.2000000000000002</v>
      </c>
      <c r="AD14" s="4">
        <v>0.4</v>
      </c>
      <c r="AE14" s="26" t="s">
        <v>91</v>
      </c>
      <c r="AF14" s="4">
        <f>G14*Q14</f>
        <v>9.6000000000000014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25">
      <c r="A15" s="21" t="s">
        <v>51</v>
      </c>
      <c r="B15" s="21" t="s">
        <v>34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/>
      <c r="L15" s="21">
        <f t="shared" si="2"/>
        <v>0</v>
      </c>
      <c r="M15" s="21"/>
      <c r="N15" s="21"/>
      <c r="O15" s="21"/>
      <c r="P15" s="21">
        <f t="shared" si="3"/>
        <v>0</v>
      </c>
      <c r="Q15" s="23"/>
      <c r="R15" s="9">
        <f>IFERROR(VLOOKUP(A15,заказ!A:B,2,0),0)</f>
        <v>0</v>
      </c>
      <c r="S15" s="23"/>
      <c r="T15" s="21"/>
      <c r="U15" s="21" t="e">
        <f t="shared" si="4"/>
        <v>#DIV/0!</v>
      </c>
      <c r="V15" s="21" t="e">
        <f t="shared" si="5"/>
        <v>#DIV/0!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 t="s">
        <v>35</v>
      </c>
      <c r="AF15" s="21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25">
      <c r="A16" s="21" t="s">
        <v>52</v>
      </c>
      <c r="B16" s="21" t="s">
        <v>34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/>
      <c r="L16" s="21">
        <f t="shared" si="2"/>
        <v>0</v>
      </c>
      <c r="M16" s="21"/>
      <c r="N16" s="21"/>
      <c r="O16" s="21"/>
      <c r="P16" s="21">
        <f t="shared" si="3"/>
        <v>0</v>
      </c>
      <c r="Q16" s="23"/>
      <c r="R16" s="9">
        <f>IFERROR(VLOOKUP(A16,заказ!A:B,2,0),0)</f>
        <v>0</v>
      </c>
      <c r="S16" s="23"/>
      <c r="T16" s="21"/>
      <c r="U16" s="21" t="e">
        <f t="shared" si="4"/>
        <v>#DIV/0!</v>
      </c>
      <c r="V16" s="21" t="e">
        <f t="shared" si="5"/>
        <v>#DIV/0!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 t="s">
        <v>35</v>
      </c>
      <c r="AF16" s="2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x14ac:dyDescent="0.25">
      <c r="A17" s="4" t="s">
        <v>53</v>
      </c>
      <c r="B17" s="4" t="s">
        <v>34</v>
      </c>
      <c r="C17" s="4">
        <v>282</v>
      </c>
      <c r="D17" s="4"/>
      <c r="E17" s="4">
        <v>76</v>
      </c>
      <c r="F17" s="4">
        <v>189</v>
      </c>
      <c r="G17" s="7">
        <v>0.18</v>
      </c>
      <c r="H17" s="4">
        <v>150</v>
      </c>
      <c r="I17" s="4">
        <v>5038411</v>
      </c>
      <c r="J17" s="4"/>
      <c r="K17" s="4">
        <v>82</v>
      </c>
      <c r="L17" s="4">
        <f t="shared" si="2"/>
        <v>-6</v>
      </c>
      <c r="M17" s="4"/>
      <c r="N17" s="4"/>
      <c r="O17" s="4"/>
      <c r="P17" s="4">
        <f t="shared" si="3"/>
        <v>15.2</v>
      </c>
      <c r="Q17" s="9">
        <f t="shared" ref="Q17:Q18" si="8">20*P17-F17</f>
        <v>115</v>
      </c>
      <c r="R17" s="9">
        <f>IFERROR(VLOOKUP(A17,заказ!A:B,2,0),0)</f>
        <v>120</v>
      </c>
      <c r="S17" s="9"/>
      <c r="T17" s="4"/>
      <c r="U17" s="4">
        <f t="shared" si="4"/>
        <v>20</v>
      </c>
      <c r="V17" s="4">
        <f t="shared" si="5"/>
        <v>12.434210526315789</v>
      </c>
      <c r="W17" s="4">
        <v>9</v>
      </c>
      <c r="X17" s="4">
        <v>15</v>
      </c>
      <c r="Y17" s="4">
        <v>14.2</v>
      </c>
      <c r="Z17" s="4">
        <v>24</v>
      </c>
      <c r="AA17" s="4">
        <v>16.399999999999999</v>
      </c>
      <c r="AB17" s="4">
        <v>10.8</v>
      </c>
      <c r="AC17" s="4">
        <v>12</v>
      </c>
      <c r="AD17" s="4">
        <v>14</v>
      </c>
      <c r="AE17" s="4"/>
      <c r="AF17" s="4">
        <f>G17*Q17</f>
        <v>20.7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x14ac:dyDescent="0.25">
      <c r="A18" s="4" t="s">
        <v>54</v>
      </c>
      <c r="B18" s="4" t="s">
        <v>34</v>
      </c>
      <c r="C18" s="4">
        <v>240</v>
      </c>
      <c r="D18" s="4"/>
      <c r="E18" s="4">
        <v>92</v>
      </c>
      <c r="F18" s="4">
        <v>136</v>
      </c>
      <c r="G18" s="7">
        <v>0.18</v>
      </c>
      <c r="H18" s="4">
        <v>150</v>
      </c>
      <c r="I18" s="4">
        <v>5038459</v>
      </c>
      <c r="J18" s="4"/>
      <c r="K18" s="4">
        <v>93</v>
      </c>
      <c r="L18" s="4">
        <f t="shared" si="2"/>
        <v>-1</v>
      </c>
      <c r="M18" s="4"/>
      <c r="N18" s="4"/>
      <c r="O18" s="4"/>
      <c r="P18" s="4">
        <f t="shared" si="3"/>
        <v>18.399999999999999</v>
      </c>
      <c r="Q18" s="9">
        <f t="shared" si="8"/>
        <v>232</v>
      </c>
      <c r="R18" s="9">
        <f>IFERROR(VLOOKUP(A18,заказ!A:B,2,0),0)</f>
        <v>230</v>
      </c>
      <c r="S18" s="9"/>
      <c r="T18" s="4"/>
      <c r="U18" s="4">
        <f t="shared" si="4"/>
        <v>20</v>
      </c>
      <c r="V18" s="4">
        <f t="shared" si="5"/>
        <v>7.3913043478260878</v>
      </c>
      <c r="W18" s="4">
        <v>8.8000000000000007</v>
      </c>
      <c r="X18" s="4">
        <v>16.2</v>
      </c>
      <c r="Y18" s="4">
        <v>15.8</v>
      </c>
      <c r="Z18" s="4">
        <v>21.8</v>
      </c>
      <c r="AA18" s="4">
        <v>18</v>
      </c>
      <c r="AB18" s="4">
        <v>12.6</v>
      </c>
      <c r="AC18" s="4">
        <v>17.8</v>
      </c>
      <c r="AD18" s="4">
        <v>18.399999999999999</v>
      </c>
      <c r="AE18" s="4"/>
      <c r="AF18" s="4">
        <f>G18*Q18</f>
        <v>41.76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x14ac:dyDescent="0.25">
      <c r="A19" s="21" t="s">
        <v>56</v>
      </c>
      <c r="B19" s="21" t="s">
        <v>34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/>
      <c r="L19" s="21">
        <f t="shared" si="2"/>
        <v>0</v>
      </c>
      <c r="M19" s="21"/>
      <c r="N19" s="21"/>
      <c r="O19" s="21"/>
      <c r="P19" s="21">
        <f t="shared" si="3"/>
        <v>0</v>
      </c>
      <c r="Q19" s="23"/>
      <c r="R19" s="9">
        <f>IFERROR(VLOOKUP(A19,заказ!A:B,2,0),0)</f>
        <v>0</v>
      </c>
      <c r="S19" s="23"/>
      <c r="T19" s="21"/>
      <c r="U19" s="21" t="e">
        <f t="shared" si="4"/>
        <v>#DIV/0!</v>
      </c>
      <c r="V19" s="21" t="e">
        <f t="shared" si="5"/>
        <v>#DIV/0!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 t="s">
        <v>35</v>
      </c>
      <c r="AF19" s="21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x14ac:dyDescent="0.25">
      <c r="A20" s="21" t="s">
        <v>57</v>
      </c>
      <c r="B20" s="21" t="s">
        <v>34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/>
      <c r="L20" s="21">
        <f t="shared" si="2"/>
        <v>0</v>
      </c>
      <c r="M20" s="21"/>
      <c r="N20" s="21"/>
      <c r="O20" s="21"/>
      <c r="P20" s="21">
        <f t="shared" si="3"/>
        <v>0</v>
      </c>
      <c r="Q20" s="23"/>
      <c r="R20" s="9">
        <f>IFERROR(VLOOKUP(A20,заказ!A:B,2,0),0)</f>
        <v>0</v>
      </c>
      <c r="S20" s="23"/>
      <c r="T20" s="21"/>
      <c r="U20" s="21" t="e">
        <f t="shared" si="4"/>
        <v>#DIV/0!</v>
      </c>
      <c r="V20" s="21" t="e">
        <f t="shared" si="5"/>
        <v>#DIV/0!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 t="s">
        <v>35</v>
      </c>
      <c r="AF20" s="21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x14ac:dyDescent="0.25">
      <c r="A21" s="4" t="s">
        <v>58</v>
      </c>
      <c r="B21" s="4" t="s">
        <v>34</v>
      </c>
      <c r="C21" s="4">
        <v>468</v>
      </c>
      <c r="D21" s="4"/>
      <c r="E21" s="4">
        <v>104</v>
      </c>
      <c r="F21" s="4">
        <v>354</v>
      </c>
      <c r="G21" s="7">
        <v>0.18</v>
      </c>
      <c r="H21" s="4">
        <v>150</v>
      </c>
      <c r="I21" s="4">
        <v>5038435</v>
      </c>
      <c r="J21" s="4"/>
      <c r="K21" s="4">
        <v>104</v>
      </c>
      <c r="L21" s="4">
        <f t="shared" si="2"/>
        <v>0</v>
      </c>
      <c r="M21" s="4"/>
      <c r="N21" s="4"/>
      <c r="O21" s="4"/>
      <c r="P21" s="4">
        <f t="shared" si="3"/>
        <v>20.8</v>
      </c>
      <c r="Q21" s="9">
        <f t="shared" ref="Q21" si="9">20*P21-F21</f>
        <v>62</v>
      </c>
      <c r="R21" s="9">
        <f>IFERROR(VLOOKUP(A21,заказ!A:B,2,0),0)</f>
        <v>60</v>
      </c>
      <c r="S21" s="9"/>
      <c r="T21" s="4"/>
      <c r="U21" s="4">
        <f t="shared" si="4"/>
        <v>20</v>
      </c>
      <c r="V21" s="4">
        <f t="shared" si="5"/>
        <v>17.01923076923077</v>
      </c>
      <c r="W21" s="4">
        <v>10.6</v>
      </c>
      <c r="X21" s="4">
        <v>23.2</v>
      </c>
      <c r="Y21" s="4">
        <v>13.4</v>
      </c>
      <c r="Z21" s="4">
        <v>36.200000000000003</v>
      </c>
      <c r="AA21" s="4">
        <v>25.4</v>
      </c>
      <c r="AB21" s="4">
        <v>15.6</v>
      </c>
      <c r="AC21" s="4">
        <v>15</v>
      </c>
      <c r="AD21" s="4">
        <v>20.399999999999999</v>
      </c>
      <c r="AE21" s="4"/>
      <c r="AF21" s="4">
        <f>G21*Q21</f>
        <v>11.16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ht="15.75" thickBot="1" x14ac:dyDescent="0.3">
      <c r="A22" s="4" t="s">
        <v>59</v>
      </c>
      <c r="B22" s="4" t="s">
        <v>34</v>
      </c>
      <c r="C22" s="4">
        <v>174</v>
      </c>
      <c r="D22" s="4"/>
      <c r="E22" s="4">
        <v>86</v>
      </c>
      <c r="F22" s="4">
        <v>75</v>
      </c>
      <c r="G22" s="7">
        <v>0.18</v>
      </c>
      <c r="H22" s="4">
        <v>120</v>
      </c>
      <c r="I22" s="4">
        <v>5038398</v>
      </c>
      <c r="J22" s="4"/>
      <c r="K22" s="4">
        <v>87</v>
      </c>
      <c r="L22" s="4">
        <f t="shared" si="2"/>
        <v>-1</v>
      </c>
      <c r="M22" s="4"/>
      <c r="N22" s="4"/>
      <c r="O22" s="4"/>
      <c r="P22" s="4">
        <f t="shared" si="3"/>
        <v>17.2</v>
      </c>
      <c r="Q22" s="9">
        <f>19*P22-F22</f>
        <v>251.8</v>
      </c>
      <c r="R22" s="9">
        <f>IFERROR(VLOOKUP(A22,заказ!A:B,2,0),0)</f>
        <v>250</v>
      </c>
      <c r="S22" s="9"/>
      <c r="T22" s="4"/>
      <c r="U22" s="4">
        <f t="shared" si="4"/>
        <v>19</v>
      </c>
      <c r="V22" s="4">
        <f t="shared" si="5"/>
        <v>4.3604651162790695</v>
      </c>
      <c r="W22" s="4">
        <v>5.8</v>
      </c>
      <c r="X22" s="4">
        <v>11.4</v>
      </c>
      <c r="Y22" s="4">
        <v>10.199999999999999</v>
      </c>
      <c r="Z22" s="4">
        <v>16.399999999999999</v>
      </c>
      <c r="AA22" s="4">
        <v>19.8</v>
      </c>
      <c r="AB22" s="4">
        <v>14.2</v>
      </c>
      <c r="AC22" s="4">
        <v>12.6</v>
      </c>
      <c r="AD22" s="4">
        <v>21.2</v>
      </c>
      <c r="AE22" s="4"/>
      <c r="AF22" s="4">
        <f>G22*Q22</f>
        <v>45.323999999999998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x14ac:dyDescent="0.25">
      <c r="A23" s="12" t="s">
        <v>60</v>
      </c>
      <c r="B23" s="13" t="s">
        <v>61</v>
      </c>
      <c r="C23" s="13"/>
      <c r="D23" s="13"/>
      <c r="E23" s="13"/>
      <c r="F23" s="14"/>
      <c r="G23" s="7">
        <v>1</v>
      </c>
      <c r="H23" s="4">
        <v>150</v>
      </c>
      <c r="I23" s="4">
        <v>8785242</v>
      </c>
      <c r="J23" s="4"/>
      <c r="K23" s="4"/>
      <c r="L23" s="4">
        <f t="shared" si="2"/>
        <v>0</v>
      </c>
      <c r="M23" s="4"/>
      <c r="N23" s="4"/>
      <c r="O23" s="4"/>
      <c r="P23" s="4">
        <f t="shared" si="3"/>
        <v>0</v>
      </c>
      <c r="Q23" s="9">
        <f>20*(P23+P24)-L23-L24-F23-F24</f>
        <v>8.5400000000000027</v>
      </c>
      <c r="R23" s="9">
        <f>IFERROR(VLOOKUP(A23,заказ!A:B,2,0),0)</f>
        <v>16</v>
      </c>
      <c r="S23" s="9"/>
      <c r="T23" s="4"/>
      <c r="U23" s="4" t="e">
        <f t="shared" si="4"/>
        <v>#DIV/0!</v>
      </c>
      <c r="V23" s="4" t="e">
        <f t="shared" si="5"/>
        <v>#DIV/0!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/>
      <c r="AF23" s="4">
        <f>G23*Q23</f>
        <v>8.5400000000000027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ht="15.75" thickBot="1" x14ac:dyDescent="0.3">
      <c r="A24" s="15" t="s">
        <v>62</v>
      </c>
      <c r="B24" s="16" t="s">
        <v>61</v>
      </c>
      <c r="C24" s="16">
        <v>26.088000000000001</v>
      </c>
      <c r="D24" s="16"/>
      <c r="E24" s="16">
        <v>6.3780000000000001</v>
      </c>
      <c r="F24" s="17">
        <v>16.693999999999999</v>
      </c>
      <c r="G24" s="18">
        <v>0</v>
      </c>
      <c r="H24" s="19" t="e">
        <v>#N/A</v>
      </c>
      <c r="I24" s="19" t="s">
        <v>63</v>
      </c>
      <c r="J24" s="19" t="s">
        <v>60</v>
      </c>
      <c r="K24" s="19">
        <v>6.1</v>
      </c>
      <c r="L24" s="19">
        <f t="shared" si="2"/>
        <v>0.27800000000000047</v>
      </c>
      <c r="M24" s="19"/>
      <c r="N24" s="19"/>
      <c r="O24" s="19"/>
      <c r="P24" s="19">
        <f t="shared" si="3"/>
        <v>1.2756000000000001</v>
      </c>
      <c r="Q24" s="20"/>
      <c r="R24" s="9">
        <f>IFERROR(VLOOKUP(A24,заказ!A:B,2,0),0)</f>
        <v>0</v>
      </c>
      <c r="S24" s="20"/>
      <c r="T24" s="19"/>
      <c r="U24" s="19">
        <f t="shared" si="4"/>
        <v>13.087174662903729</v>
      </c>
      <c r="V24" s="19">
        <f t="shared" si="5"/>
        <v>13.087174662903729</v>
      </c>
      <c r="W24" s="19">
        <v>0.60319999999999996</v>
      </c>
      <c r="X24" s="19">
        <v>0.62880000000000003</v>
      </c>
      <c r="Y24" s="19">
        <v>0</v>
      </c>
      <c r="Z24" s="19">
        <v>0</v>
      </c>
      <c r="AA24" s="19">
        <v>1.3512</v>
      </c>
      <c r="AB24" s="19">
        <v>0.67720000000000002</v>
      </c>
      <c r="AC24" s="19">
        <v>0</v>
      </c>
      <c r="AD24" s="19">
        <v>0</v>
      </c>
      <c r="AE24" s="19"/>
      <c r="AF24" s="19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x14ac:dyDescent="0.25">
      <c r="A25" s="12" t="s">
        <v>64</v>
      </c>
      <c r="B25" s="13" t="s">
        <v>61</v>
      </c>
      <c r="C25" s="13"/>
      <c r="D25" s="13"/>
      <c r="E25" s="13"/>
      <c r="F25" s="14"/>
      <c r="G25" s="7">
        <v>0</v>
      </c>
      <c r="H25" s="4">
        <v>150</v>
      </c>
      <c r="I25" s="19" t="s">
        <v>92</v>
      </c>
      <c r="J25" s="4"/>
      <c r="K25" s="4"/>
      <c r="L25" s="4">
        <f t="shared" si="2"/>
        <v>0</v>
      </c>
      <c r="M25" s="4"/>
      <c r="N25" s="4"/>
      <c r="O25" s="4"/>
      <c r="P25" s="4">
        <f t="shared" si="3"/>
        <v>0</v>
      </c>
      <c r="Q25" s="20">
        <v>0</v>
      </c>
      <c r="R25" s="9">
        <f>IFERROR(VLOOKUP(A25,заказ!A:B,2,0),0)</f>
        <v>0</v>
      </c>
      <c r="S25" s="9"/>
      <c r="T25" s="4"/>
      <c r="U25" s="4" t="e">
        <f t="shared" si="4"/>
        <v>#DIV/0!</v>
      </c>
      <c r="V25" s="4" t="e">
        <f t="shared" si="5"/>
        <v>#DIV/0!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/>
      <c r="AF25" s="4">
        <f>G25*Q25</f>
        <v>0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ht="15.75" thickBot="1" x14ac:dyDescent="0.3">
      <c r="A26" s="15" t="s">
        <v>65</v>
      </c>
      <c r="B26" s="16" t="s">
        <v>61</v>
      </c>
      <c r="C26" s="16">
        <v>30.54</v>
      </c>
      <c r="D26" s="16"/>
      <c r="E26" s="16">
        <v>6.375</v>
      </c>
      <c r="F26" s="17">
        <v>17.239999999999998</v>
      </c>
      <c r="G26" s="18">
        <v>0</v>
      </c>
      <c r="H26" s="19" t="e">
        <v>#N/A</v>
      </c>
      <c r="I26" s="19" t="s">
        <v>96</v>
      </c>
      <c r="J26" s="19" t="s">
        <v>64</v>
      </c>
      <c r="K26" s="19">
        <v>6.6</v>
      </c>
      <c r="L26" s="19">
        <f t="shared" si="2"/>
        <v>-0.22499999999999964</v>
      </c>
      <c r="M26" s="19"/>
      <c r="N26" s="19"/>
      <c r="O26" s="19"/>
      <c r="P26" s="19">
        <f t="shared" si="3"/>
        <v>1.2749999999999999</v>
      </c>
      <c r="Q26" s="20"/>
      <c r="R26" s="9">
        <f>IFERROR(VLOOKUP(A26,заказ!A:B,2,0),0)</f>
        <v>0</v>
      </c>
      <c r="S26" s="20"/>
      <c r="T26" s="19"/>
      <c r="U26" s="19">
        <f t="shared" si="4"/>
        <v>13.52156862745098</v>
      </c>
      <c r="V26" s="19">
        <f t="shared" si="5"/>
        <v>13.52156862745098</v>
      </c>
      <c r="W26" s="19">
        <v>2.0699999999999998</v>
      </c>
      <c r="X26" s="19">
        <v>-4.48E-2</v>
      </c>
      <c r="Y26" s="19">
        <v>0</v>
      </c>
      <c r="Z26" s="19">
        <v>0</v>
      </c>
      <c r="AA26" s="19">
        <v>1.3939999999999999</v>
      </c>
      <c r="AB26" s="19">
        <v>0.68899999999999995</v>
      </c>
      <c r="AC26" s="19">
        <v>0.72199999999999998</v>
      </c>
      <c r="AD26" s="19">
        <v>0.68499999999999994</v>
      </c>
      <c r="AE26" s="19"/>
      <c r="AF26" s="19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25">
      <c r="A27" s="12" t="s">
        <v>66</v>
      </c>
      <c r="B27" s="13" t="s">
        <v>61</v>
      </c>
      <c r="C27" s="13"/>
      <c r="D27" s="13"/>
      <c r="E27" s="13"/>
      <c r="F27" s="14"/>
      <c r="G27" s="7">
        <v>1</v>
      </c>
      <c r="H27" s="4">
        <v>120</v>
      </c>
      <c r="I27" s="4">
        <v>8785204</v>
      </c>
      <c r="J27" s="4"/>
      <c r="K27" s="4"/>
      <c r="L27" s="4">
        <f t="shared" si="2"/>
        <v>0</v>
      </c>
      <c r="M27" s="4"/>
      <c r="N27" s="4"/>
      <c r="O27" s="4"/>
      <c r="P27" s="4">
        <f t="shared" si="3"/>
        <v>0</v>
      </c>
      <c r="Q27" s="9">
        <f>20*(P27+P28)-L27-L28-F27-F28</f>
        <v>16.538999999999994</v>
      </c>
      <c r="R27" s="9">
        <f>IFERROR(VLOOKUP(A27,заказ!A:B,2,0),0)</f>
        <v>16</v>
      </c>
      <c r="S27" s="9"/>
      <c r="T27" s="4"/>
      <c r="U27" s="4" t="e">
        <f t="shared" si="4"/>
        <v>#DIV/0!</v>
      </c>
      <c r="V27" s="4" t="e">
        <f t="shared" si="5"/>
        <v>#DIV/0!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/>
      <c r="AF27" s="4">
        <f>G27*Q27</f>
        <v>16.538999999999994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ht="15.75" thickBot="1" x14ac:dyDescent="0.3">
      <c r="A28" s="15" t="s">
        <v>67</v>
      </c>
      <c r="B28" s="16" t="s">
        <v>61</v>
      </c>
      <c r="C28" s="16">
        <v>39.716999999999999</v>
      </c>
      <c r="D28" s="16">
        <v>34.143999999999998</v>
      </c>
      <c r="E28" s="16">
        <v>16.57</v>
      </c>
      <c r="F28" s="17">
        <v>50.298999999999999</v>
      </c>
      <c r="G28" s="18">
        <v>0</v>
      </c>
      <c r="H28" s="19" t="e">
        <v>#N/A</v>
      </c>
      <c r="I28" s="19" t="s">
        <v>63</v>
      </c>
      <c r="J28" s="19" t="s">
        <v>66</v>
      </c>
      <c r="K28" s="19">
        <v>17.128</v>
      </c>
      <c r="L28" s="19">
        <f t="shared" si="2"/>
        <v>-0.55799999999999983</v>
      </c>
      <c r="M28" s="19"/>
      <c r="N28" s="19"/>
      <c r="O28" s="19"/>
      <c r="P28" s="19">
        <f t="shared" si="3"/>
        <v>3.3140000000000001</v>
      </c>
      <c r="Q28" s="20"/>
      <c r="R28" s="9">
        <f>IFERROR(VLOOKUP(A28,заказ!A:B,2,0),0)</f>
        <v>0</v>
      </c>
      <c r="S28" s="20"/>
      <c r="T28" s="19"/>
      <c r="U28" s="19">
        <f t="shared" si="4"/>
        <v>15.177730838865418</v>
      </c>
      <c r="V28" s="19">
        <f t="shared" si="5"/>
        <v>15.177730838865418</v>
      </c>
      <c r="W28" s="19">
        <v>3.448</v>
      </c>
      <c r="X28" s="19">
        <v>2.5415999999999999</v>
      </c>
      <c r="Y28" s="19">
        <v>3.1417999999999999</v>
      </c>
      <c r="Z28" s="19">
        <v>1.2856000000000001</v>
      </c>
      <c r="AA28" s="19">
        <v>2.0367999999999999</v>
      </c>
      <c r="AB28" s="19">
        <v>1.3335999999999999</v>
      </c>
      <c r="AC28" s="19">
        <v>0</v>
      </c>
      <c r="AD28" s="19">
        <v>2.6534</v>
      </c>
      <c r="AE28" s="19"/>
      <c r="AF28" s="19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x14ac:dyDescent="0.25">
      <c r="A29" s="21" t="s">
        <v>68</v>
      </c>
      <c r="B29" s="21" t="s">
        <v>34</v>
      </c>
      <c r="C29" s="21"/>
      <c r="D29" s="21"/>
      <c r="E29" s="21"/>
      <c r="F29" s="21"/>
      <c r="G29" s="22">
        <v>0</v>
      </c>
      <c r="H29" s="21">
        <v>180</v>
      </c>
      <c r="I29" s="21">
        <v>9988391</v>
      </c>
      <c r="J29" s="21"/>
      <c r="K29" s="21"/>
      <c r="L29" s="21">
        <f t="shared" si="2"/>
        <v>0</v>
      </c>
      <c r="M29" s="21"/>
      <c r="N29" s="21"/>
      <c r="O29" s="21"/>
      <c r="P29" s="21">
        <f t="shared" si="3"/>
        <v>0</v>
      </c>
      <c r="Q29" s="23"/>
      <c r="R29" s="9">
        <f>IFERROR(VLOOKUP(A29,заказ!A:B,2,0),0)</f>
        <v>0</v>
      </c>
      <c r="S29" s="23"/>
      <c r="T29" s="21"/>
      <c r="U29" s="21" t="e">
        <f t="shared" si="4"/>
        <v>#DIV/0!</v>
      </c>
      <c r="V29" s="21" t="e">
        <f t="shared" si="5"/>
        <v>#DIV/0!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 t="s">
        <v>35</v>
      </c>
      <c r="AF29" s="21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x14ac:dyDescent="0.25">
      <c r="A30" s="21" t="s">
        <v>69</v>
      </c>
      <c r="B30" s="21" t="s">
        <v>34</v>
      </c>
      <c r="C30" s="21"/>
      <c r="D30" s="21"/>
      <c r="E30" s="21"/>
      <c r="F30" s="21"/>
      <c r="G30" s="22">
        <v>0</v>
      </c>
      <c r="H30" s="21">
        <v>270</v>
      </c>
      <c r="I30" s="21">
        <v>9988681</v>
      </c>
      <c r="J30" s="21"/>
      <c r="K30" s="21"/>
      <c r="L30" s="21">
        <f t="shared" si="2"/>
        <v>0</v>
      </c>
      <c r="M30" s="21"/>
      <c r="N30" s="21"/>
      <c r="O30" s="21"/>
      <c r="P30" s="21">
        <f t="shared" si="3"/>
        <v>0</v>
      </c>
      <c r="Q30" s="23"/>
      <c r="R30" s="9">
        <f>IFERROR(VLOOKUP(A30,заказ!A:B,2,0),0)</f>
        <v>0</v>
      </c>
      <c r="S30" s="23"/>
      <c r="T30" s="21"/>
      <c r="U30" s="21" t="e">
        <f t="shared" si="4"/>
        <v>#DIV/0!</v>
      </c>
      <c r="V30" s="21" t="e">
        <f t="shared" si="5"/>
        <v>#DIV/0!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 t="s">
        <v>35</v>
      </c>
      <c r="AF30" s="21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x14ac:dyDescent="0.25">
      <c r="A31" s="21" t="s">
        <v>70</v>
      </c>
      <c r="B31" s="21" t="s">
        <v>61</v>
      </c>
      <c r="C31" s="21"/>
      <c r="D31" s="21"/>
      <c r="E31" s="21"/>
      <c r="F31" s="21"/>
      <c r="G31" s="22">
        <v>0</v>
      </c>
      <c r="H31" s="21">
        <v>120</v>
      </c>
      <c r="I31" s="21">
        <v>8785198</v>
      </c>
      <c r="J31" s="21"/>
      <c r="K31" s="21"/>
      <c r="L31" s="21">
        <f t="shared" si="2"/>
        <v>0</v>
      </c>
      <c r="M31" s="21"/>
      <c r="N31" s="21"/>
      <c r="O31" s="21"/>
      <c r="P31" s="21">
        <f t="shared" si="3"/>
        <v>0</v>
      </c>
      <c r="Q31" s="23"/>
      <c r="R31" s="9">
        <f>IFERROR(VLOOKUP(A31,заказ!A:B,2,0),0)</f>
        <v>0</v>
      </c>
      <c r="S31" s="23"/>
      <c r="T31" s="21"/>
      <c r="U31" s="21" t="e">
        <f t="shared" si="4"/>
        <v>#DIV/0!</v>
      </c>
      <c r="V31" s="21" t="e">
        <f t="shared" si="5"/>
        <v>#DIV/0!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 t="s">
        <v>35</v>
      </c>
      <c r="AF31" s="21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x14ac:dyDescent="0.25">
      <c r="A32" s="21" t="s">
        <v>71</v>
      </c>
      <c r="B32" s="21" t="s">
        <v>34</v>
      </c>
      <c r="C32" s="21"/>
      <c r="D32" s="21"/>
      <c r="E32" s="21"/>
      <c r="F32" s="21"/>
      <c r="G32" s="22">
        <v>0</v>
      </c>
      <c r="H32" s="21">
        <v>60</v>
      </c>
      <c r="I32" s="21">
        <v>8444187</v>
      </c>
      <c r="J32" s="21"/>
      <c r="K32" s="21"/>
      <c r="L32" s="21">
        <f t="shared" si="2"/>
        <v>0</v>
      </c>
      <c r="M32" s="21"/>
      <c r="N32" s="21"/>
      <c r="O32" s="21"/>
      <c r="P32" s="21">
        <f t="shared" si="3"/>
        <v>0</v>
      </c>
      <c r="Q32" s="23"/>
      <c r="R32" s="9">
        <f>IFERROR(VLOOKUP(A32,заказ!A:B,2,0),0)</f>
        <v>0</v>
      </c>
      <c r="S32" s="23"/>
      <c r="T32" s="21"/>
      <c r="U32" s="21" t="e">
        <f t="shared" si="4"/>
        <v>#DIV/0!</v>
      </c>
      <c r="V32" s="21" t="e">
        <f t="shared" si="5"/>
        <v>#DIV/0!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 t="s">
        <v>35</v>
      </c>
      <c r="AF32" s="21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25">
      <c r="A33" s="21" t="s">
        <v>72</v>
      </c>
      <c r="B33" s="21" t="s">
        <v>34</v>
      </c>
      <c r="C33" s="21"/>
      <c r="D33" s="21"/>
      <c r="E33" s="21"/>
      <c r="F33" s="21"/>
      <c r="G33" s="22">
        <v>0</v>
      </c>
      <c r="H33" s="21">
        <v>90</v>
      </c>
      <c r="I33" s="21">
        <v>8444194</v>
      </c>
      <c r="J33" s="21"/>
      <c r="K33" s="21"/>
      <c r="L33" s="21">
        <f t="shared" si="2"/>
        <v>0</v>
      </c>
      <c r="M33" s="21"/>
      <c r="N33" s="21"/>
      <c r="O33" s="21"/>
      <c r="P33" s="21">
        <f t="shared" si="3"/>
        <v>0</v>
      </c>
      <c r="Q33" s="23"/>
      <c r="R33" s="9">
        <f>IFERROR(VLOOKUP(A33,заказ!A:B,2,0),0)</f>
        <v>0</v>
      </c>
      <c r="S33" s="23"/>
      <c r="T33" s="21"/>
      <c r="U33" s="21" t="e">
        <f t="shared" si="4"/>
        <v>#DIV/0!</v>
      </c>
      <c r="V33" s="21" t="e">
        <f t="shared" si="5"/>
        <v>#DIV/0!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 t="s">
        <v>35</v>
      </c>
      <c r="AF33" s="2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25">
      <c r="A34" s="21" t="s">
        <v>73</v>
      </c>
      <c r="B34" s="21" t="s">
        <v>61</v>
      </c>
      <c r="C34" s="21"/>
      <c r="D34" s="21"/>
      <c r="E34" s="21"/>
      <c r="F34" s="21"/>
      <c r="G34" s="22">
        <v>0</v>
      </c>
      <c r="H34" s="21">
        <v>150</v>
      </c>
      <c r="I34" s="21">
        <v>8786928</v>
      </c>
      <c r="J34" s="21"/>
      <c r="K34" s="21"/>
      <c r="L34" s="21">
        <f t="shared" si="2"/>
        <v>0</v>
      </c>
      <c r="M34" s="21"/>
      <c r="N34" s="21"/>
      <c r="O34" s="21"/>
      <c r="P34" s="21">
        <f t="shared" si="3"/>
        <v>0</v>
      </c>
      <c r="Q34" s="23"/>
      <c r="R34" s="9">
        <f>IFERROR(VLOOKUP(A34,заказ!A:B,2,0),0)</f>
        <v>0</v>
      </c>
      <c r="S34" s="23"/>
      <c r="T34" s="21"/>
      <c r="U34" s="21" t="e">
        <f t="shared" si="4"/>
        <v>#DIV/0!</v>
      </c>
      <c r="V34" s="21" t="e">
        <f t="shared" si="5"/>
        <v>#DIV/0!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 t="s">
        <v>35</v>
      </c>
      <c r="AF34" s="21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ht="15.75" thickBot="1" x14ac:dyDescent="0.3">
      <c r="A35" s="21" t="s">
        <v>74</v>
      </c>
      <c r="B35" s="21" t="s">
        <v>34</v>
      </c>
      <c r="C35" s="21"/>
      <c r="D35" s="21"/>
      <c r="E35" s="21"/>
      <c r="F35" s="21"/>
      <c r="G35" s="22">
        <v>0</v>
      </c>
      <c r="H35" s="21">
        <v>180</v>
      </c>
      <c r="I35" s="21">
        <v>9988377</v>
      </c>
      <c r="J35" s="21"/>
      <c r="K35" s="21"/>
      <c r="L35" s="21">
        <f t="shared" si="2"/>
        <v>0</v>
      </c>
      <c r="M35" s="21"/>
      <c r="N35" s="21"/>
      <c r="O35" s="21"/>
      <c r="P35" s="21">
        <f t="shared" si="3"/>
        <v>0</v>
      </c>
      <c r="Q35" s="23"/>
      <c r="R35" s="9">
        <f>IFERROR(VLOOKUP(A35,заказ!A:B,2,0),0)</f>
        <v>0</v>
      </c>
      <c r="S35" s="23"/>
      <c r="T35" s="21"/>
      <c r="U35" s="21" t="e">
        <f t="shared" si="4"/>
        <v>#DIV/0!</v>
      </c>
      <c r="V35" s="21" t="e">
        <f t="shared" si="5"/>
        <v>#DIV/0!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 t="s">
        <v>35</v>
      </c>
      <c r="AF35" s="21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x14ac:dyDescent="0.25">
      <c r="A36" s="12" t="s">
        <v>75</v>
      </c>
      <c r="B36" s="13" t="s">
        <v>34</v>
      </c>
      <c r="C36" s="13"/>
      <c r="D36" s="13"/>
      <c r="E36" s="13"/>
      <c r="F36" s="14"/>
      <c r="G36" s="7">
        <v>0.2</v>
      </c>
      <c r="H36" s="4">
        <v>120</v>
      </c>
      <c r="I36" s="4" t="s">
        <v>76</v>
      </c>
      <c r="J36" s="4"/>
      <c r="K36" s="4"/>
      <c r="L36" s="4">
        <f t="shared" si="2"/>
        <v>0</v>
      </c>
      <c r="M36" s="4"/>
      <c r="N36" s="4"/>
      <c r="O36" s="4"/>
      <c r="P36" s="4">
        <f t="shared" si="3"/>
        <v>0</v>
      </c>
      <c r="Q36" s="9">
        <f>20*(P36+P37)-L36-L37-F36-F37</f>
        <v>38</v>
      </c>
      <c r="R36" s="9">
        <f>IFERROR(VLOOKUP(A36,заказ!A:B,2,0),0)</f>
        <v>40</v>
      </c>
      <c r="S36" s="9"/>
      <c r="T36" s="4"/>
      <c r="U36" s="4" t="e">
        <f t="shared" si="4"/>
        <v>#DIV/0!</v>
      </c>
      <c r="V36" s="4" t="e">
        <f t="shared" si="5"/>
        <v>#DIV/0!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-0.2</v>
      </c>
      <c r="AE36" s="4" t="s">
        <v>77</v>
      </c>
      <c r="AF36" s="4">
        <f>G36*Q36</f>
        <v>7.6000000000000005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ht="15.75" thickBot="1" x14ac:dyDescent="0.3">
      <c r="A37" s="15" t="s">
        <v>78</v>
      </c>
      <c r="B37" s="16" t="s">
        <v>34</v>
      </c>
      <c r="C37" s="16">
        <v>360</v>
      </c>
      <c r="D37" s="16"/>
      <c r="E37" s="16">
        <v>70</v>
      </c>
      <c r="F37" s="17">
        <v>242</v>
      </c>
      <c r="G37" s="18">
        <v>0</v>
      </c>
      <c r="H37" s="19" t="e">
        <v>#N/A</v>
      </c>
      <c r="I37" s="19" t="s">
        <v>63</v>
      </c>
      <c r="J37" s="19" t="s">
        <v>75</v>
      </c>
      <c r="K37" s="19">
        <v>70</v>
      </c>
      <c r="L37" s="19">
        <f t="shared" si="2"/>
        <v>0</v>
      </c>
      <c r="M37" s="19"/>
      <c r="N37" s="19"/>
      <c r="O37" s="19"/>
      <c r="P37" s="19">
        <f t="shared" si="3"/>
        <v>14</v>
      </c>
      <c r="Q37" s="20"/>
      <c r="R37" s="9">
        <f>IFERROR(VLOOKUP(A37,заказ!A:B,2,0),0)</f>
        <v>0</v>
      </c>
      <c r="S37" s="20"/>
      <c r="T37" s="19"/>
      <c r="U37" s="19">
        <f t="shared" si="4"/>
        <v>17.285714285714285</v>
      </c>
      <c r="V37" s="19">
        <f t="shared" si="5"/>
        <v>17.285714285714285</v>
      </c>
      <c r="W37" s="19">
        <v>15.2</v>
      </c>
      <c r="X37" s="19">
        <v>8.6</v>
      </c>
      <c r="Y37" s="19">
        <v>23.8</v>
      </c>
      <c r="Z37" s="19">
        <v>20.2</v>
      </c>
      <c r="AA37" s="19">
        <v>24.6</v>
      </c>
      <c r="AB37" s="19">
        <v>13.2</v>
      </c>
      <c r="AC37" s="19">
        <v>19.399999999999999</v>
      </c>
      <c r="AD37" s="19">
        <v>12.2</v>
      </c>
      <c r="AE37" s="19"/>
      <c r="AF37" s="19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x14ac:dyDescent="0.25">
      <c r="A38" s="12" t="s">
        <v>79</v>
      </c>
      <c r="B38" s="13" t="s">
        <v>61</v>
      </c>
      <c r="C38" s="13"/>
      <c r="D38" s="13"/>
      <c r="E38" s="13"/>
      <c r="F38" s="14"/>
      <c r="G38" s="7">
        <v>1</v>
      </c>
      <c r="H38" s="4">
        <v>120</v>
      </c>
      <c r="I38" s="4" t="s">
        <v>80</v>
      </c>
      <c r="J38" s="4"/>
      <c r="K38" s="4"/>
      <c r="L38" s="4">
        <f t="shared" si="2"/>
        <v>0</v>
      </c>
      <c r="M38" s="4"/>
      <c r="N38" s="4"/>
      <c r="O38" s="4"/>
      <c r="P38" s="4">
        <f t="shared" si="3"/>
        <v>0</v>
      </c>
      <c r="Q38" s="9"/>
      <c r="R38" s="9">
        <f>IFERROR(VLOOKUP(A38,заказ!A:B,2,0),0)</f>
        <v>0</v>
      </c>
      <c r="S38" s="9"/>
      <c r="T38" s="4"/>
      <c r="U38" s="4" t="e">
        <f t="shared" si="4"/>
        <v>#DIV/0!</v>
      </c>
      <c r="V38" s="4" t="e">
        <f t="shared" si="5"/>
        <v>#DIV/0!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 t="s">
        <v>81</v>
      </c>
      <c r="AF38" s="4">
        <f>G38*Q38</f>
        <v>0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ht="15.75" thickBot="1" x14ac:dyDescent="0.3">
      <c r="A39" s="15" t="s">
        <v>82</v>
      </c>
      <c r="B39" s="16" t="s">
        <v>61</v>
      </c>
      <c r="C39" s="16">
        <v>95.524000000000001</v>
      </c>
      <c r="D39" s="16"/>
      <c r="E39" s="16">
        <v>9.5719999999999992</v>
      </c>
      <c r="F39" s="17">
        <v>85.951999999999998</v>
      </c>
      <c r="G39" s="18">
        <v>0</v>
      </c>
      <c r="H39" s="19" t="e">
        <v>#N/A</v>
      </c>
      <c r="I39" s="19" t="s">
        <v>63</v>
      </c>
      <c r="J39" s="19" t="s">
        <v>79</v>
      </c>
      <c r="K39" s="19">
        <v>8.1</v>
      </c>
      <c r="L39" s="19">
        <f t="shared" si="2"/>
        <v>1.4719999999999995</v>
      </c>
      <c r="M39" s="19"/>
      <c r="N39" s="19"/>
      <c r="O39" s="19"/>
      <c r="P39" s="19">
        <f t="shared" si="3"/>
        <v>1.9143999999999999</v>
      </c>
      <c r="Q39" s="20"/>
      <c r="R39" s="9">
        <f>IFERROR(VLOOKUP(A39,заказ!A:B,2,0),0)</f>
        <v>0</v>
      </c>
      <c r="S39" s="20"/>
      <c r="T39" s="19"/>
      <c r="U39" s="19">
        <f t="shared" si="4"/>
        <v>44.897618052653577</v>
      </c>
      <c r="V39" s="19">
        <f t="shared" si="5"/>
        <v>44.897618052653577</v>
      </c>
      <c r="W39" s="19">
        <v>1.8688</v>
      </c>
      <c r="X39" s="19">
        <v>3.9748000000000001</v>
      </c>
      <c r="Y39" s="19">
        <v>6.4563999999999986</v>
      </c>
      <c r="Z39" s="19">
        <v>3.8504</v>
      </c>
      <c r="AA39" s="19">
        <v>2.6360000000000001</v>
      </c>
      <c r="AB39" s="19">
        <v>5.1280000000000001</v>
      </c>
      <c r="AC39" s="19">
        <v>0</v>
      </c>
      <c r="AD39" s="19">
        <v>1.2889999999999999</v>
      </c>
      <c r="AE39" s="25" t="s">
        <v>43</v>
      </c>
      <c r="AF39" s="19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x14ac:dyDescent="0.25">
      <c r="A40" s="12" t="s">
        <v>83</v>
      </c>
      <c r="B40" s="13" t="s">
        <v>34</v>
      </c>
      <c r="C40" s="13"/>
      <c r="D40" s="13"/>
      <c r="E40" s="13"/>
      <c r="F40" s="14"/>
      <c r="G40" s="7">
        <v>0.2</v>
      </c>
      <c r="H40" s="4">
        <v>120</v>
      </c>
      <c r="I40" s="4" t="s">
        <v>84</v>
      </c>
      <c r="J40" s="4"/>
      <c r="K40" s="4"/>
      <c r="L40" s="4">
        <f t="shared" si="2"/>
        <v>0</v>
      </c>
      <c r="M40" s="4"/>
      <c r="N40" s="4"/>
      <c r="O40" s="4"/>
      <c r="P40" s="4">
        <f t="shared" si="3"/>
        <v>0</v>
      </c>
      <c r="Q40" s="9"/>
      <c r="R40" s="9">
        <f>IFERROR(VLOOKUP(A40,заказ!A:B,2,0),0)</f>
        <v>0</v>
      </c>
      <c r="S40" s="9"/>
      <c r="T40" s="4"/>
      <c r="U40" s="4" t="e">
        <f t="shared" si="4"/>
        <v>#DIV/0!</v>
      </c>
      <c r="V40" s="4" t="e">
        <f t="shared" si="5"/>
        <v>#DIV/0!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 t="s">
        <v>85</v>
      </c>
      <c r="AF40" s="4">
        <f>G40*Q40</f>
        <v>0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ht="15.75" thickBot="1" x14ac:dyDescent="0.3">
      <c r="A41" s="15" t="s">
        <v>86</v>
      </c>
      <c r="B41" s="16" t="s">
        <v>34</v>
      </c>
      <c r="C41" s="16">
        <v>318</v>
      </c>
      <c r="D41" s="16"/>
      <c r="E41" s="16">
        <v>51</v>
      </c>
      <c r="F41" s="17">
        <v>234</v>
      </c>
      <c r="G41" s="18">
        <v>0</v>
      </c>
      <c r="H41" s="19" t="e">
        <v>#N/A</v>
      </c>
      <c r="I41" s="19" t="s">
        <v>63</v>
      </c>
      <c r="J41" s="19" t="s">
        <v>83</v>
      </c>
      <c r="K41" s="19">
        <v>51</v>
      </c>
      <c r="L41" s="19">
        <f t="shared" si="2"/>
        <v>0</v>
      </c>
      <c r="M41" s="19"/>
      <c r="N41" s="19"/>
      <c r="O41" s="19"/>
      <c r="P41" s="19">
        <f t="shared" si="3"/>
        <v>10.199999999999999</v>
      </c>
      <c r="Q41" s="20"/>
      <c r="R41" s="9">
        <f>IFERROR(VLOOKUP(A41,заказ!A:B,2,0),0)</f>
        <v>0</v>
      </c>
      <c r="S41" s="20"/>
      <c r="T41" s="19"/>
      <c r="U41" s="19">
        <f t="shared" si="4"/>
        <v>22.941176470588236</v>
      </c>
      <c r="V41" s="19">
        <f t="shared" si="5"/>
        <v>22.941176470588236</v>
      </c>
      <c r="W41" s="19">
        <v>11.4</v>
      </c>
      <c r="X41" s="19">
        <v>6.2</v>
      </c>
      <c r="Y41" s="19">
        <v>15.8</v>
      </c>
      <c r="Z41" s="19">
        <v>14.8</v>
      </c>
      <c r="AA41" s="19">
        <v>17</v>
      </c>
      <c r="AB41" s="19">
        <v>14</v>
      </c>
      <c r="AC41" s="19">
        <v>11.6</v>
      </c>
      <c r="AD41" s="19">
        <v>11.2</v>
      </c>
      <c r="AE41" s="24" t="s">
        <v>55</v>
      </c>
      <c r="AF41" s="19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x14ac:dyDescent="0.25">
      <c r="A42" s="12" t="s">
        <v>87</v>
      </c>
      <c r="B42" s="13" t="s">
        <v>61</v>
      </c>
      <c r="C42" s="13"/>
      <c r="D42" s="13"/>
      <c r="E42" s="13"/>
      <c r="F42" s="14"/>
      <c r="G42" s="7">
        <v>1</v>
      </c>
      <c r="H42" s="4">
        <v>120</v>
      </c>
      <c r="I42" s="4" t="s">
        <v>88</v>
      </c>
      <c r="J42" s="4"/>
      <c r="K42" s="4"/>
      <c r="L42" s="4">
        <f t="shared" si="2"/>
        <v>0</v>
      </c>
      <c r="M42" s="4"/>
      <c r="N42" s="4"/>
      <c r="O42" s="4"/>
      <c r="P42" s="4">
        <f t="shared" si="3"/>
        <v>0</v>
      </c>
      <c r="Q42" s="9"/>
      <c r="R42" s="9">
        <f>IFERROR(VLOOKUP(A42,заказ!A:B,2,0),0)</f>
        <v>0</v>
      </c>
      <c r="S42" s="9"/>
      <c r="T42" s="4"/>
      <c r="U42" s="4" t="e">
        <f t="shared" si="4"/>
        <v>#DIV/0!</v>
      </c>
      <c r="V42" s="4" t="e">
        <f t="shared" si="5"/>
        <v>#DIV/0!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0.71440000000000003</v>
      </c>
      <c r="AD42" s="4">
        <v>0.72240000000000004</v>
      </c>
      <c r="AE42" s="4" t="s">
        <v>89</v>
      </c>
      <c r="AF42" s="4">
        <f>G42*Q42</f>
        <v>0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ht="15.75" thickBot="1" x14ac:dyDescent="0.3">
      <c r="A43" s="15" t="s">
        <v>90</v>
      </c>
      <c r="B43" s="16" t="s">
        <v>61</v>
      </c>
      <c r="C43" s="16">
        <v>1.6240000000000001</v>
      </c>
      <c r="D43" s="16">
        <v>71.042000000000002</v>
      </c>
      <c r="E43" s="16"/>
      <c r="F43" s="17">
        <v>72.665999999999997</v>
      </c>
      <c r="G43" s="18">
        <v>0</v>
      </c>
      <c r="H43" s="19" t="e">
        <v>#N/A</v>
      </c>
      <c r="I43" s="19" t="s">
        <v>63</v>
      </c>
      <c r="J43" s="19" t="s">
        <v>87</v>
      </c>
      <c r="K43" s="19">
        <v>5</v>
      </c>
      <c r="L43" s="19">
        <f t="shared" si="2"/>
        <v>-5</v>
      </c>
      <c r="M43" s="19"/>
      <c r="N43" s="19"/>
      <c r="O43" s="19"/>
      <c r="P43" s="19">
        <f t="shared" si="3"/>
        <v>0</v>
      </c>
      <c r="Q43" s="20"/>
      <c r="R43" s="9">
        <f>IFERROR(VLOOKUP(A43,заказ!A:B,2,0),0)</f>
        <v>0</v>
      </c>
      <c r="S43" s="20"/>
      <c r="T43" s="19"/>
      <c r="U43" s="19" t="e">
        <f t="shared" si="4"/>
        <v>#DIV/0!</v>
      </c>
      <c r="V43" s="19" t="e">
        <f t="shared" si="5"/>
        <v>#DIV/0!</v>
      </c>
      <c r="W43" s="19">
        <v>5.6752000000000002</v>
      </c>
      <c r="X43" s="19">
        <v>0</v>
      </c>
      <c r="Y43" s="19">
        <v>2.0851999999999999</v>
      </c>
      <c r="Z43" s="19">
        <v>2.0992000000000002</v>
      </c>
      <c r="AA43" s="19">
        <v>0</v>
      </c>
      <c r="AB43" s="19">
        <v>4.1436000000000002</v>
      </c>
      <c r="AC43" s="19">
        <v>1.3952</v>
      </c>
      <c r="AD43" s="19">
        <v>1.4543999999999999</v>
      </c>
      <c r="AE43" s="19"/>
      <c r="AF43" s="19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x14ac:dyDescent="0.25">
      <c r="A44" s="10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25">
      <c r="A45" s="4" t="s">
        <v>45</v>
      </c>
      <c r="B45" s="4" t="s">
        <v>34</v>
      </c>
      <c r="C45" s="4">
        <v>74</v>
      </c>
      <c r="D45" s="4"/>
      <c r="E45" s="4">
        <v>10</v>
      </c>
      <c r="F45" s="4">
        <v>60</v>
      </c>
      <c r="G45" s="7">
        <v>0.18</v>
      </c>
      <c r="H45" s="4">
        <v>120</v>
      </c>
      <c r="I45" s="4"/>
      <c r="J45" s="4"/>
      <c r="K45" s="4">
        <v>10</v>
      </c>
      <c r="L45" s="4">
        <f>E45-K45</f>
        <v>0</v>
      </c>
      <c r="M45" s="4"/>
      <c r="N45" s="4"/>
      <c r="O45" s="4"/>
      <c r="P45" s="4">
        <f>E45/5</f>
        <v>2</v>
      </c>
      <c r="Q45" s="9"/>
      <c r="R45" s="9"/>
      <c r="S45" s="9"/>
      <c r="T45" s="4"/>
      <c r="U45" s="4">
        <f>(F45+Q45)/P45</f>
        <v>30</v>
      </c>
      <c r="V45" s="4">
        <f>F45/P45</f>
        <v>30</v>
      </c>
      <c r="W45" s="4">
        <v>2.8</v>
      </c>
      <c r="X45" s="4">
        <v>2.4</v>
      </c>
      <c r="Y45" s="4">
        <v>1.6</v>
      </c>
      <c r="Z45" s="4">
        <v>2.8</v>
      </c>
      <c r="AA45" s="4">
        <v>7.8</v>
      </c>
      <c r="AB45" s="4">
        <v>1.4</v>
      </c>
      <c r="AC45" s="4">
        <v>1.4</v>
      </c>
      <c r="AD45" s="4">
        <v>5.6</v>
      </c>
      <c r="AE45" s="24" t="s">
        <v>46</v>
      </c>
      <c r="AF45" s="4">
        <f>G45*Q45</f>
        <v>0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x14ac:dyDescent="0.25">
      <c r="A46" s="4" t="s">
        <v>47</v>
      </c>
      <c r="B46" s="4" t="s">
        <v>34</v>
      </c>
      <c r="C46" s="4">
        <v>9</v>
      </c>
      <c r="D46" s="4">
        <v>40</v>
      </c>
      <c r="E46" s="4">
        <v>7</v>
      </c>
      <c r="F46" s="4">
        <v>40</v>
      </c>
      <c r="G46" s="7">
        <v>0.18</v>
      </c>
      <c r="H46" s="4">
        <v>120</v>
      </c>
      <c r="I46" s="4"/>
      <c r="J46" s="4"/>
      <c r="K46" s="4">
        <v>8</v>
      </c>
      <c r="L46" s="4">
        <f>E46-K46</f>
        <v>-1</v>
      </c>
      <c r="M46" s="4"/>
      <c r="N46" s="4"/>
      <c r="O46" s="4"/>
      <c r="P46" s="4">
        <f>E46/5</f>
        <v>1.4</v>
      </c>
      <c r="Q46" s="9"/>
      <c r="R46" s="9"/>
      <c r="S46" s="9"/>
      <c r="T46" s="4"/>
      <c r="U46" s="4">
        <f>(F46+Q46)/P46</f>
        <v>28.571428571428573</v>
      </c>
      <c r="V46" s="4">
        <f>F46/P46</f>
        <v>28.571428571428573</v>
      </c>
      <c r="W46" s="4">
        <v>2.2000000000000002</v>
      </c>
      <c r="X46" s="4">
        <v>3.6</v>
      </c>
      <c r="Y46" s="4">
        <v>1.4</v>
      </c>
      <c r="Z46" s="4">
        <v>3.6</v>
      </c>
      <c r="AA46" s="4">
        <v>4.4000000000000004</v>
      </c>
      <c r="AB46" s="4">
        <v>0.8</v>
      </c>
      <c r="AC46" s="4">
        <v>0.8</v>
      </c>
      <c r="AD46" s="4">
        <v>4</v>
      </c>
      <c r="AE46" s="24" t="s">
        <v>46</v>
      </c>
      <c r="AF46" s="4">
        <f>G46*Q46</f>
        <v>0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25">
      <c r="A47" s="21" t="s">
        <v>33</v>
      </c>
      <c r="B47" s="21" t="s">
        <v>34</v>
      </c>
      <c r="C47" s="21"/>
      <c r="D47" s="21"/>
      <c r="E47" s="21"/>
      <c r="F47" s="21"/>
      <c r="G47" s="22">
        <v>0</v>
      </c>
      <c r="H47" s="21"/>
      <c r="I47" s="21">
        <v>4421577</v>
      </c>
      <c r="J47" s="21"/>
      <c r="K47" s="21"/>
      <c r="L47" s="21">
        <f>E47-K47</f>
        <v>0</v>
      </c>
      <c r="M47" s="21"/>
      <c r="N47" s="21"/>
      <c r="O47" s="21"/>
      <c r="P47" s="21">
        <f>E47/5</f>
        <v>0</v>
      </c>
      <c r="Q47" s="23"/>
      <c r="R47" s="23"/>
      <c r="S47" s="23"/>
      <c r="T47" s="21"/>
      <c r="U47" s="21" t="e">
        <f>(F47+Q47)/P47</f>
        <v>#DIV/0!</v>
      </c>
      <c r="V47" s="21" t="e">
        <f>F47/P47</f>
        <v>#DIV/0!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 t="s">
        <v>35</v>
      </c>
      <c r="AF47" s="21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25">
      <c r="A48" s="21" t="s">
        <v>36</v>
      </c>
      <c r="B48" s="21" t="s">
        <v>34</v>
      </c>
      <c r="C48" s="21"/>
      <c r="D48" s="21"/>
      <c r="E48" s="21"/>
      <c r="F48" s="21"/>
      <c r="G48" s="22">
        <v>0</v>
      </c>
      <c r="H48" s="21"/>
      <c r="I48" s="21">
        <v>4421584</v>
      </c>
      <c r="J48" s="21"/>
      <c r="K48" s="21"/>
      <c r="L48" s="21">
        <f>E48-K48</f>
        <v>0</v>
      </c>
      <c r="M48" s="21"/>
      <c r="N48" s="21"/>
      <c r="O48" s="21"/>
      <c r="P48" s="21">
        <f>E48/5</f>
        <v>0</v>
      </c>
      <c r="Q48" s="23"/>
      <c r="R48" s="23"/>
      <c r="S48" s="23"/>
      <c r="T48" s="21"/>
      <c r="U48" s="21" t="e">
        <f>(F48+Q48)/P48</f>
        <v>#DIV/0!</v>
      </c>
      <c r="V48" s="21" t="e">
        <f>F48/P48</f>
        <v>#DIV/0!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 t="s">
        <v>35</v>
      </c>
      <c r="AF48" s="21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1:51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1:51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1:51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1:51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1:51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1:51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1:51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1:51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1:51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1:51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1:51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1:51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1:51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1:51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1:51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1:51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1:51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1:51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1:51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1:51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1:51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1:51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1:51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1:51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1:51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1:51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1:51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1:51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1:51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1:51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1:51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1:51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1:51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1:51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1:51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1:51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1:51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1:51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1:51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1:51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1:51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1:51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1:51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1:51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1:51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1:51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1:51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1:51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1:51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1:51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1:51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1:51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1:51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1:51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1:51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1:51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1:51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1:51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1:51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1:51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1:51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1:51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1:51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1:51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1:51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spans="1:51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spans="1:51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spans="1:51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1:51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1:51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1:51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1:51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spans="1:51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spans="1:51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spans="1:51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1:51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spans="1:51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spans="1:51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spans="1:51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spans="1:51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spans="1:51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spans="1:51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spans="1:51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spans="1:51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spans="1:51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spans="1:51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spans="1:51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spans="1:51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spans="1:51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spans="1:51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1:51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1:51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1:51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1:51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1:51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1:51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1:51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1:51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1:51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spans="1:51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1:51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spans="1:51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spans="1:51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spans="1:51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spans="1:51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spans="1:51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spans="1:51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spans="1:51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spans="1:51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spans="1:51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spans="1:51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spans="1:51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spans="1:51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spans="1:51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spans="1:51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spans="1:51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1:51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spans="1:51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spans="1:51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spans="1:51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spans="1:51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spans="1:51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spans="1:51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spans="1:51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spans="1:51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spans="1:51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spans="1:51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spans="1:51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spans="1:51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spans="1:51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spans="1:51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spans="1:51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spans="1:51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spans="1:51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spans="1:51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spans="1:51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spans="1:51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spans="1:51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spans="1:51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spans="1:51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spans="1:51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spans="1:51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spans="1:51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spans="1:51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spans="1:51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spans="1:51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spans="1:51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spans="1:51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spans="1:51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spans="1:51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spans="1:51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spans="1:51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spans="1:51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spans="1:51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spans="1:51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spans="1:51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spans="1:51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spans="1:51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spans="1:51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spans="1:51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spans="1:51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spans="1:51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spans="1:51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spans="1:51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spans="1:51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spans="1:51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spans="1:51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spans="1:51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spans="1:51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spans="1:51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1:51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spans="1:51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spans="1:51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spans="1:51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spans="1:51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spans="1:51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spans="1:51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spans="1:51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spans="1:51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spans="1:51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spans="1:51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spans="1:51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spans="1:51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spans="1:51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spans="1:51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spans="1:51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spans="1:51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spans="1:51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spans="1:51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spans="1:51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spans="1:51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spans="1:51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spans="1:51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spans="1:51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spans="1:51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spans="1:51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spans="1:51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spans="1:51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spans="1:51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spans="1:51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spans="1:51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spans="1:51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spans="1:51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spans="1:51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spans="1:51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spans="1:51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spans="1:51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spans="1:51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spans="1:51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spans="1:51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spans="1:51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spans="1:51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spans="1:51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spans="1:51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spans="1:51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spans="1:51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spans="1:51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spans="1:51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spans="1:51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spans="1:51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spans="1:51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spans="1:51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spans="1:51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spans="1:51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spans="1:51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spans="1:51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spans="1:51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spans="1:51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spans="1:51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spans="1:51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spans="1:51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spans="1:51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spans="1:51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spans="1:51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spans="1:51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spans="1:51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spans="1:51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spans="1:51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spans="1:51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spans="1:51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spans="1:51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spans="1:51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spans="1:51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spans="1:51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spans="1:51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spans="1:51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spans="1:51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spans="1:51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spans="1:51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spans="1:51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spans="1:51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spans="1:51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spans="1:51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spans="1:51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spans="1:51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spans="1:51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spans="1:51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spans="1:51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spans="1:51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spans="1:51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spans="1:51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spans="1:51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spans="1:51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spans="1:51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spans="1:51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spans="1:51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spans="1:51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spans="1:51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spans="1:51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spans="1:51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spans="1:51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spans="1:51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spans="1:51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spans="1:51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spans="1:51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spans="1:51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spans="1:51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spans="1:51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spans="1:51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spans="1:51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spans="1:51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spans="1:51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spans="1:51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spans="1:51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spans="1:51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spans="1:51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spans="1:51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spans="1:51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spans="1:51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spans="1:51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spans="1:51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spans="1:51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spans="1:51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spans="1:51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spans="1:51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spans="1:51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spans="1:51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spans="1:51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spans="1:51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spans="1:51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spans="1:51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spans="1:51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spans="1:51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spans="1:51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spans="1:51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spans="1:51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spans="1:51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spans="1:51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spans="1:51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spans="1:51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spans="1:51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spans="1:51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spans="1:51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spans="1:51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spans="1:51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spans="1:51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spans="1:51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spans="1:51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spans="1:51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spans="1:51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spans="1:51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spans="1:51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spans="1:51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spans="1:51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spans="1:51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spans="1:51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spans="1:51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spans="1:51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spans="1:51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spans="1:51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spans="1:51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spans="1:51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spans="1:51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spans="1:51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spans="1:51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spans="1:51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spans="1:51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spans="1:51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spans="1:51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spans="1:51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spans="1:51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spans="1:51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spans="1:51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spans="1:51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spans="1:51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spans="1:51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spans="1:51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spans="1:51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spans="1:51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spans="1:51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spans="1:51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spans="1:51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spans="1:51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spans="1:51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spans="1:51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spans="1:51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spans="1:51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spans="1:51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spans="1:51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spans="1:51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spans="1:51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spans="1:51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spans="1:51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spans="1:51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  <row r="446" spans="1:51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</row>
    <row r="447" spans="1:51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</row>
    <row r="448" spans="1:51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</row>
  </sheetData>
  <autoFilter ref="A3:AF43" xr:uid="{8233F407-A889-4A13-87E6-0F020BC2D67D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142D-24AC-45EB-9E72-F4B70592C14E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108</v>
      </c>
    </row>
    <row r="2" spans="1:2" x14ac:dyDescent="0.25">
      <c r="A2" t="s">
        <v>38</v>
      </c>
      <c r="B2">
        <v>456</v>
      </c>
    </row>
    <row r="3" spans="1:2" x14ac:dyDescent="0.25">
      <c r="A3" t="s">
        <v>39</v>
      </c>
      <c r="B3">
        <v>48</v>
      </c>
    </row>
    <row r="4" spans="1:2" x14ac:dyDescent="0.25">
      <c r="A4" t="s">
        <v>40</v>
      </c>
      <c r="B4">
        <v>744</v>
      </c>
    </row>
    <row r="5" spans="1:2" x14ac:dyDescent="0.25">
      <c r="A5" t="s">
        <v>41</v>
      </c>
      <c r="B5">
        <v>240</v>
      </c>
    </row>
    <row r="6" spans="1:2" x14ac:dyDescent="0.25">
      <c r="A6" t="s">
        <v>50</v>
      </c>
      <c r="B6">
        <v>28</v>
      </c>
    </row>
    <row r="7" spans="1:2" x14ac:dyDescent="0.25">
      <c r="A7" t="s">
        <v>53</v>
      </c>
      <c r="B7">
        <v>120</v>
      </c>
    </row>
    <row r="8" spans="1:2" x14ac:dyDescent="0.25">
      <c r="A8" t="s">
        <v>54</v>
      </c>
      <c r="B8">
        <v>230</v>
      </c>
    </row>
    <row r="9" spans="1:2" x14ac:dyDescent="0.25">
      <c r="A9" t="s">
        <v>58</v>
      </c>
      <c r="B9">
        <v>60</v>
      </c>
    </row>
    <row r="10" spans="1:2" x14ac:dyDescent="0.25">
      <c r="A10" t="s">
        <v>59</v>
      </c>
      <c r="B10">
        <v>250</v>
      </c>
    </row>
    <row r="11" spans="1:2" x14ac:dyDescent="0.25">
      <c r="A11" t="s">
        <v>60</v>
      </c>
      <c r="B11">
        <v>16</v>
      </c>
    </row>
    <row r="12" spans="1:2" x14ac:dyDescent="0.25">
      <c r="A12" t="s">
        <v>66</v>
      </c>
      <c r="B12">
        <v>16</v>
      </c>
    </row>
    <row r="13" spans="1:2" x14ac:dyDescent="0.25">
      <c r="A13" t="s">
        <v>75</v>
      </c>
      <c r="B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2025-12-23T12:51:45Z</dcterms:created>
  <dcterms:modified xsi:type="dcterms:W3CDTF">2025-12-30T06:37:36Z</dcterms:modified>
</cp:coreProperties>
</file>