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7405FC80-D055-497A-9DED-4CC329C650A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<sst xmlns="http://schemas.openxmlformats.org/spreadsheetml/2006/main" count="288" uniqueCount="70">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</sst>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34" activePane="bottomLeft" state="frozen"/>
      <selection pane="bottomLeft" activeCell="D56" sqref="D5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1620</v>
      </c>
      <c r="E4" s="20"/>
      <c r="F4" s="11">
        <f>D4/C4</f>
        <v>162</v>
      </c>
      <c r="G4" s="15">
        <v>0.18</v>
      </c>
      <c r="H4" s="11">
        <f>G4*D4</f>
        <v>291.59999999999997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445.5</v>
      </c>
      <c r="F5" s="11">
        <f>E5/16.5</f>
        <v>27</v>
      </c>
      <c r="G5" s="15">
        <v>3.2</v>
      </c>
      <c r="H5" s="11">
        <f>E5</f>
        <v>445.5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880</v>
      </c>
      <c r="E6" s="20"/>
      <c r="F6" s="11">
        <f>D6/C6</f>
        <v>88</v>
      </c>
      <c r="G6" s="15">
        <v>0.18</v>
      </c>
      <c r="H6" s="11">
        <f>G6*D6</f>
        <v>158.4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148.5</v>
      </c>
      <c r="F8" s="11">
        <f>E8/16.5</f>
        <v>9</v>
      </c>
      <c r="G8" s="11">
        <v>3.5</v>
      </c>
      <c r="H8" s="11">
        <f>E8</f>
        <v>148.5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310</v>
      </c>
      <c r="E9" s="20"/>
      <c r="F9" s="11">
        <f>D9/C9</f>
        <v>31</v>
      </c>
      <c r="G9" s="15">
        <v>0.18</v>
      </c>
      <c r="H9" s="11">
        <f>G9*D9</f>
        <v>55.8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680</v>
      </c>
      <c r="E12" s="20"/>
      <c r="F12" s="11">
        <f t="shared" ref="F12:F18" si="0">D12/C12</f>
        <v>68</v>
      </c>
      <c r="G12" s="15">
        <v>0.2</v>
      </c>
      <c r="H12" s="11">
        <f t="shared" ref="H12:H18" si="1">G12*D12</f>
        <v>136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790</v>
      </c>
      <c r="E14" s="20"/>
      <c r="F14" s="11">
        <f t="shared" si="0"/>
        <v>79</v>
      </c>
      <c r="G14" s="15">
        <v>0.18</v>
      </c>
      <c r="H14" s="11">
        <f t="shared" si="1"/>
        <v>142.19999999999999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405</v>
      </c>
      <c r="F21" s="11">
        <f>E21/15</f>
        <v>27</v>
      </c>
      <c r="G21" s="15">
        <v>3.5</v>
      </c>
      <c r="H21" s="11">
        <f>E21</f>
        <v>405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48</v>
      </c>
      <c r="E23" s="20"/>
      <c r="F23" s="11">
        <f t="shared" si="2"/>
        <v>8</v>
      </c>
      <c r="G23" s="15">
        <v>0.1</v>
      </c>
      <c r="H23" s="11">
        <f t="shared" si="3"/>
        <v>4.8000000000000007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80</v>
      </c>
      <c r="E24" s="20"/>
      <c r="F24" s="11">
        <f t="shared" si="2"/>
        <v>10</v>
      </c>
      <c r="G24" s="15">
        <v>0.1</v>
      </c>
      <c r="H24" s="11">
        <f t="shared" si="3"/>
        <v>8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396</v>
      </c>
      <c r="F30" s="11">
        <f>E30/16.5</f>
        <v>24</v>
      </c>
      <c r="G30" s="15">
        <v>3.2</v>
      </c>
      <c r="H30" s="11">
        <f>E30</f>
        <v>396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28</v>
      </c>
      <c r="E32" s="20"/>
      <c r="F32" s="11">
        <f t="shared" si="4"/>
        <v>1</v>
      </c>
      <c r="G32" s="15">
        <v>0.4</v>
      </c>
      <c r="H32" s="11">
        <f t="shared" si="5"/>
        <v>11.200000000000001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192</v>
      </c>
      <c r="E33" s="20"/>
      <c r="F33" s="11">
        <f t="shared" si="4"/>
        <v>12</v>
      </c>
      <c r="G33" s="15">
        <v>0.18</v>
      </c>
      <c r="H33" s="11">
        <f t="shared" si="5"/>
        <v>34.56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16</v>
      </c>
      <c r="E35" s="20"/>
      <c r="F35" s="11">
        <f t="shared" si="4"/>
        <v>1</v>
      </c>
      <c r="G35" s="15">
        <v>0.18</v>
      </c>
      <c r="H35" s="11">
        <f t="shared" si="5"/>
        <v>2.88</v>
      </c>
      <c r="I35" s="11"/>
    </row>
    <row r="36" spans="1:9">
      <c r="A36" s="2">
        <v>9988421</v>
      </c>
      <c r="B36" s="3" t="s">
        <v>52</v>
      </c>
      <c r="C36" s="9">
        <v>16</v>
      </c>
      <c r="D36" s="20">
        <v>48</v>
      </c>
      <c r="E36" s="20"/>
      <c r="F36" s="11">
        <f t="shared" si="4"/>
        <v>3</v>
      </c>
      <c r="G36" s="15">
        <v>0.14000000000000001</v>
      </c>
      <c r="H36" s="11">
        <f t="shared" si="5"/>
        <v>6.7200000000000006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360</v>
      </c>
      <c r="E49" s="20"/>
      <c r="F49" s="11">
        <f>D49/C49</f>
        <v>30</v>
      </c>
      <c r="G49" s="15">
        <v>0.372</v>
      </c>
      <c r="H49" s="11">
        <f>G49*D49</f>
        <v>133.91999999999999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360</v>
      </c>
      <c r="E50" s="20"/>
      <c r="F50" s="11">
        <f>D50/C50</f>
        <v>30</v>
      </c>
      <c r="G50" s="15">
        <v>0.74399999999999999</v>
      </c>
      <c r="H50" s="11">
        <f>G50*D50</f>
        <v>267.83999999999997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2662.3599999999997</v>
      </c>
      <c r="I52" s="11"/>
    </row>
    <row r="54" spans="1:9">
      <c r="A54" s="10">
        <f>H52+Бердянск!H52+Донецк!H52+Луганск!H52</f>
        <v>6183.655999999999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25" activePane="bottomLeft" state="frozen"/>
      <selection pane="bottomLeft" activeCell="H52" sqref="H52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750</v>
      </c>
      <c r="E4" s="20"/>
      <c r="F4" s="11">
        <f>D4/C4</f>
        <v>75</v>
      </c>
      <c r="G4" s="15">
        <v>0.18</v>
      </c>
      <c r="H4" s="11">
        <f>G4*D4</f>
        <v>135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264</v>
      </c>
      <c r="F5" s="11">
        <f>E5/16.5</f>
        <v>16</v>
      </c>
      <c r="G5" s="15">
        <v>3.2</v>
      </c>
      <c r="H5" s="11">
        <f>E5</f>
        <v>264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520</v>
      </c>
      <c r="E6" s="20"/>
      <c r="F6" s="11">
        <f>D6/C6</f>
        <v>52</v>
      </c>
      <c r="G6" s="15">
        <v>0.18</v>
      </c>
      <c r="H6" s="11">
        <f>G6*D6</f>
        <v>93.6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260</v>
      </c>
      <c r="E7" s="20"/>
      <c r="F7" s="11">
        <f>D7/C7</f>
        <v>26</v>
      </c>
      <c r="G7" s="15">
        <v>0.18</v>
      </c>
      <c r="H7" s="11">
        <f>G7*D7</f>
        <v>46.8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33</v>
      </c>
      <c r="F8" s="11">
        <f>E8/16.5</f>
        <v>2</v>
      </c>
      <c r="G8" s="11">
        <v>3.5</v>
      </c>
      <c r="H8" s="11">
        <f>E8</f>
        <v>33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160</v>
      </c>
      <c r="E9" s="20"/>
      <c r="F9" s="11">
        <f>D9/C9</f>
        <v>16</v>
      </c>
      <c r="G9" s="15">
        <v>0.18</v>
      </c>
      <c r="H9" s="11">
        <f>G9*D9</f>
        <v>28.799999999999997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220</v>
      </c>
      <c r="E12" s="20"/>
      <c r="F12" s="11">
        <f t="shared" ref="F12:F18" si="0">D12/C12</f>
        <v>22</v>
      </c>
      <c r="G12" s="15">
        <v>0.2</v>
      </c>
      <c r="H12" s="11">
        <f t="shared" ref="H12:H18" si="1">G12*D12</f>
        <v>44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10</v>
      </c>
      <c r="E18" s="20"/>
      <c r="F18" s="11">
        <f t="shared" si="0"/>
        <v>1</v>
      </c>
      <c r="G18" s="15">
        <v>0.2</v>
      </c>
      <c r="H18" s="11">
        <f t="shared" si="1"/>
        <v>2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120</v>
      </c>
      <c r="F19" s="11">
        <f>E19/15</f>
        <v>8</v>
      </c>
      <c r="G19" s="15">
        <v>3.5</v>
      </c>
      <c r="H19" s="11">
        <f>E19</f>
        <v>120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20</v>
      </c>
      <c r="E20" s="20"/>
      <c r="F20" s="11">
        <f>D20/C20</f>
        <v>2</v>
      </c>
      <c r="G20" s="15">
        <v>0.2</v>
      </c>
      <c r="H20" s="11">
        <f>G20*D20</f>
        <v>4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90</v>
      </c>
      <c r="F21" s="11">
        <f>E21/15</f>
        <v>6</v>
      </c>
      <c r="G21" s="15">
        <v>3.5</v>
      </c>
      <c r="H21" s="11">
        <f>E21</f>
        <v>90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672</v>
      </c>
      <c r="E23" s="20"/>
      <c r="F23" s="11">
        <f t="shared" si="2"/>
        <v>112</v>
      </c>
      <c r="G23" s="15">
        <v>0.1</v>
      </c>
      <c r="H23" s="11">
        <f t="shared" si="3"/>
        <v>67.2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96</v>
      </c>
      <c r="E24" s="20"/>
      <c r="F24" s="11">
        <f t="shared" si="2"/>
        <v>12</v>
      </c>
      <c r="G24" s="15">
        <v>0.1</v>
      </c>
      <c r="H24" s="11">
        <f t="shared" si="3"/>
        <v>9.6000000000000014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84</v>
      </c>
      <c r="E28" s="20"/>
      <c r="F28" s="11">
        <f t="shared" si="2"/>
        <v>14</v>
      </c>
      <c r="G28" s="15">
        <v>0.18</v>
      </c>
      <c r="H28" s="11">
        <f t="shared" si="3"/>
        <v>15.12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165</v>
      </c>
      <c r="F30" s="11">
        <f>E30/16.5</f>
        <v>10</v>
      </c>
      <c r="G30" s="15">
        <v>3.2</v>
      </c>
      <c r="H30" s="11">
        <f>E30</f>
        <v>165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64</v>
      </c>
      <c r="E34" s="20"/>
      <c r="F34" s="11">
        <f t="shared" si="4"/>
        <v>4</v>
      </c>
      <c r="G34" s="15">
        <v>0.18</v>
      </c>
      <c r="H34" s="11">
        <f t="shared" si="5"/>
        <v>11.52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16</v>
      </c>
      <c r="E35" s="20"/>
      <c r="F35" s="11">
        <f t="shared" si="4"/>
        <v>1</v>
      </c>
      <c r="G35" s="15">
        <v>0.18</v>
      </c>
      <c r="H35" s="11">
        <f t="shared" si="5"/>
        <v>2.88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648</v>
      </c>
      <c r="E47" s="20"/>
      <c r="F47" s="11">
        <f>D47/C47</f>
        <v>54</v>
      </c>
      <c r="G47" s="15">
        <v>0.372</v>
      </c>
      <c r="H47" s="11">
        <f>G47*D47</f>
        <v>241.05600000000001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648</v>
      </c>
      <c r="E48" s="20"/>
      <c r="F48" s="11">
        <f>D48/C48</f>
        <v>54</v>
      </c>
      <c r="G48" s="15">
        <v>0.74399999999999999</v>
      </c>
      <c r="H48" s="11">
        <f>G48*D48</f>
        <v>482.11200000000002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348</v>
      </c>
      <c r="E49" s="20"/>
      <c r="F49" s="11">
        <f>D49/C49</f>
        <v>29</v>
      </c>
      <c r="G49" s="15">
        <v>0.372</v>
      </c>
      <c r="H49" s="11">
        <f>G49*D49</f>
        <v>129.45599999999999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192</v>
      </c>
      <c r="E50" s="20"/>
      <c r="F50" s="11">
        <f>D50/C50</f>
        <v>16</v>
      </c>
      <c r="G50" s="15">
        <v>0.74399999999999999</v>
      </c>
      <c r="H50" s="11">
        <f>G50*D50</f>
        <v>142.84800000000001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48</v>
      </c>
      <c r="E51" s="20"/>
      <c r="F51" s="11">
        <f>D51/C51</f>
        <v>4</v>
      </c>
      <c r="G51" s="15">
        <v>0.82499999999999996</v>
      </c>
      <c r="H51" s="11">
        <f>G51*D51</f>
        <v>39.599999999999994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2167.5920000000001</v>
      </c>
      <c r="I52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22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40</v>
      </c>
      <c r="E4" s="20"/>
      <c r="F4" s="11">
        <f>D4/C4</f>
        <v>4</v>
      </c>
      <c r="G4" s="15">
        <v>0.18</v>
      </c>
      <c r="H4" s="11">
        <f>G4*D4</f>
        <v>7.1999999999999993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33</v>
      </c>
      <c r="F5" s="11">
        <f>E5/16.5</f>
        <v>2</v>
      </c>
      <c r="G5" s="15">
        <v>3.2</v>
      </c>
      <c r="H5" s="11">
        <f>E5</f>
        <v>33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50</v>
      </c>
      <c r="E7" s="20"/>
      <c r="F7" s="11">
        <f>D7/C7</f>
        <v>5</v>
      </c>
      <c r="G7" s="15">
        <v>0.18</v>
      </c>
      <c r="H7" s="11">
        <f>G7*D7</f>
        <v>9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33</v>
      </c>
      <c r="F8" s="11">
        <f>E8/16.5</f>
        <v>2</v>
      </c>
      <c r="G8" s="11">
        <v>3.5</v>
      </c>
      <c r="H8" s="11">
        <f>E8</f>
        <v>33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70</v>
      </c>
      <c r="E9" s="20"/>
      <c r="F9" s="11">
        <f>D9/C9</f>
        <v>7</v>
      </c>
      <c r="G9" s="15">
        <v>0.18</v>
      </c>
      <c r="H9" s="11">
        <f>G9*D9</f>
        <v>12.6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70</v>
      </c>
      <c r="E14" s="20"/>
      <c r="F14" s="11">
        <f t="shared" si="0"/>
        <v>7</v>
      </c>
      <c r="G14" s="15">
        <v>0.18</v>
      </c>
      <c r="H14" s="11">
        <f t="shared" si="1"/>
        <v>12.6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15</v>
      </c>
      <c r="F19" s="11">
        <f>E19/15</f>
        <v>1</v>
      </c>
      <c r="G19" s="15">
        <v>3.5</v>
      </c>
      <c r="H19" s="11">
        <f>E19</f>
        <v>15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60</v>
      </c>
      <c r="E20" s="20"/>
      <c r="F20" s="11">
        <f>D20/C20</f>
        <v>6</v>
      </c>
      <c r="G20" s="15">
        <v>0.2</v>
      </c>
      <c r="H20" s="11">
        <f>G20*D20</f>
        <v>12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696</v>
      </c>
      <c r="E22" s="20"/>
      <c r="F22" s="11">
        <f t="shared" ref="F22:F28" si="2">D22/C22</f>
        <v>116</v>
      </c>
      <c r="G22" s="15">
        <v>0.1</v>
      </c>
      <c r="H22" s="11">
        <f t="shared" ref="H22:H28" si="3">G22*D22</f>
        <v>69.600000000000009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546</v>
      </c>
      <c r="E23" s="20"/>
      <c r="F23" s="11">
        <f t="shared" si="2"/>
        <v>91</v>
      </c>
      <c r="G23" s="15">
        <v>0.1</v>
      </c>
      <c r="H23" s="11">
        <f t="shared" si="3"/>
        <v>54.6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72</v>
      </c>
      <c r="E24" s="20"/>
      <c r="F24" s="11">
        <f t="shared" si="2"/>
        <v>9</v>
      </c>
      <c r="G24" s="15">
        <v>0.1</v>
      </c>
      <c r="H24" s="11">
        <f t="shared" si="3"/>
        <v>7.2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>
        <v>80</v>
      </c>
      <c r="E26" s="20"/>
      <c r="F26" s="11">
        <f t="shared" si="2"/>
        <v>5</v>
      </c>
      <c r="G26" s="15">
        <v>0.14000000000000001</v>
      </c>
      <c r="H26" s="11">
        <f t="shared" si="3"/>
        <v>11.200000000000001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144</v>
      </c>
      <c r="E27" s="20"/>
      <c r="F27" s="11">
        <f t="shared" si="2"/>
        <v>9</v>
      </c>
      <c r="G27" s="15">
        <v>0.14000000000000001</v>
      </c>
      <c r="H27" s="11">
        <f t="shared" si="3"/>
        <v>20.160000000000004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216</v>
      </c>
      <c r="E28" s="20"/>
      <c r="F28" s="11">
        <f t="shared" si="2"/>
        <v>36</v>
      </c>
      <c r="G28" s="15">
        <v>0.18</v>
      </c>
      <c r="H28" s="11">
        <f t="shared" si="3"/>
        <v>38.879999999999995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148.5</v>
      </c>
      <c r="F30" s="11">
        <f>E30/16.5</f>
        <v>9</v>
      </c>
      <c r="G30" s="15">
        <v>3.2</v>
      </c>
      <c r="H30" s="11">
        <f>E30</f>
        <v>148.5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32</v>
      </c>
      <c r="E33" s="20"/>
      <c r="F33" s="11">
        <f t="shared" si="4"/>
        <v>2</v>
      </c>
      <c r="G33" s="15">
        <v>0.18</v>
      </c>
      <c r="H33" s="11">
        <f t="shared" si="5"/>
        <v>5.76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32</v>
      </c>
      <c r="E34" s="20"/>
      <c r="F34" s="11">
        <f t="shared" si="4"/>
        <v>2</v>
      </c>
      <c r="G34" s="15">
        <v>0.18</v>
      </c>
      <c r="H34" s="11">
        <f t="shared" si="5"/>
        <v>5.76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16</v>
      </c>
      <c r="E35" s="20"/>
      <c r="F35" s="11">
        <f t="shared" si="4"/>
        <v>1</v>
      </c>
      <c r="G35" s="15">
        <v>0.18</v>
      </c>
      <c r="H35" s="11">
        <f t="shared" si="5"/>
        <v>2.88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84</v>
      </c>
      <c r="E47" s="20"/>
      <c r="F47" s="11">
        <f>D47/C47</f>
        <v>7</v>
      </c>
      <c r="G47" s="15">
        <v>0.372</v>
      </c>
      <c r="H47" s="11">
        <f>G47*D47</f>
        <v>31.248000000000001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132</v>
      </c>
      <c r="E48" s="20"/>
      <c r="F48" s="11">
        <f>D48/C48</f>
        <v>11</v>
      </c>
      <c r="G48" s="15">
        <v>0.74399999999999999</v>
      </c>
      <c r="H48" s="11">
        <f>G48*D48</f>
        <v>98.207999999999998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60</v>
      </c>
      <c r="E49" s="20"/>
      <c r="F49" s="11">
        <f>D49/C49</f>
        <v>5</v>
      </c>
      <c r="G49" s="15">
        <v>0.372</v>
      </c>
      <c r="H49" s="11">
        <f>G49*D49</f>
        <v>22.32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156</v>
      </c>
      <c r="E50" s="20"/>
      <c r="F50" s="11">
        <f>D50/C50</f>
        <v>13</v>
      </c>
      <c r="G50" s="15">
        <v>0.74399999999999999</v>
      </c>
      <c r="H50" s="11">
        <f>G50*D50</f>
        <v>116.06399999999999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766.78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19" activePane="bottomLeft" state="frozen"/>
      <selection pane="bottomLeft" activeCell="D8" sqref="D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400</v>
      </c>
      <c r="E4" s="20"/>
      <c r="F4" s="11">
        <f>D4/C4</f>
        <v>40</v>
      </c>
      <c r="G4" s="15">
        <v>0.18</v>
      </c>
      <c r="H4" s="11">
        <f>G4*D4</f>
        <v>72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66</v>
      </c>
      <c r="F5" s="11">
        <f>E5/16.5</f>
        <v>4</v>
      </c>
      <c r="G5" s="15">
        <v>3.2</v>
      </c>
      <c r="H5" s="11">
        <f>E5</f>
        <v>66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290</v>
      </c>
      <c r="E6" s="20"/>
      <c r="F6" s="11">
        <f>D6/C6</f>
        <v>29</v>
      </c>
      <c r="G6" s="15">
        <v>0.18</v>
      </c>
      <c r="H6" s="11">
        <f>G6*D6</f>
        <v>52.199999999999996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460</v>
      </c>
      <c r="E7" s="20"/>
      <c r="F7" s="11">
        <f>D7/C7</f>
        <v>46</v>
      </c>
      <c r="G7" s="15">
        <v>0.18</v>
      </c>
      <c r="H7" s="11">
        <f>G7*D7</f>
        <v>82.8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16.5</v>
      </c>
      <c r="F8" s="11">
        <f>E8/16.5</f>
        <v>1</v>
      </c>
      <c r="G8" s="11">
        <v>3.5</v>
      </c>
      <c r="H8" s="11">
        <f>E8</f>
        <v>16.5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90</v>
      </c>
      <c r="E9" s="20"/>
      <c r="F9" s="11">
        <f>D9/C9</f>
        <v>9</v>
      </c>
      <c r="G9" s="15">
        <v>0.18</v>
      </c>
      <c r="H9" s="11">
        <f>G9*D9</f>
        <v>16.2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40</v>
      </c>
      <c r="E18" s="20"/>
      <c r="F18" s="11">
        <f t="shared" si="0"/>
        <v>4</v>
      </c>
      <c r="G18" s="15">
        <v>0.2</v>
      </c>
      <c r="H18" s="11">
        <f t="shared" si="1"/>
        <v>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45</v>
      </c>
      <c r="F19" s="11">
        <f>E19/15</f>
        <v>3</v>
      </c>
      <c r="G19" s="15">
        <v>3.5</v>
      </c>
      <c r="H19" s="11">
        <f>E19</f>
        <v>45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100</v>
      </c>
      <c r="E20" s="20"/>
      <c r="F20" s="11">
        <f>D20/C20</f>
        <v>10</v>
      </c>
      <c r="G20" s="15">
        <v>0.2</v>
      </c>
      <c r="H20" s="11">
        <f>G20*D20</f>
        <v>20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16</v>
      </c>
      <c r="E34" s="20"/>
      <c r="F34" s="11">
        <f t="shared" si="4"/>
        <v>1</v>
      </c>
      <c r="G34" s="15">
        <v>0.18</v>
      </c>
      <c r="H34" s="11">
        <f t="shared" si="5"/>
        <v>2.88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96</v>
      </c>
      <c r="E47" s="20"/>
      <c r="F47" s="11">
        <f>D47/C47</f>
        <v>8</v>
      </c>
      <c r="G47" s="15">
        <v>0.372</v>
      </c>
      <c r="H47" s="11">
        <f>G47*D47</f>
        <v>35.712000000000003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48</v>
      </c>
      <c r="E48" s="20"/>
      <c r="F48" s="11">
        <f>D48/C48</f>
        <v>4</v>
      </c>
      <c r="G48" s="15">
        <v>0.74399999999999999</v>
      </c>
      <c r="H48" s="11">
        <f>G48*D48</f>
        <v>35.712000000000003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180</v>
      </c>
      <c r="E50" s="20"/>
      <c r="F50" s="11">
        <f>D50/C50</f>
        <v>15</v>
      </c>
      <c r="G50" s="15">
        <v>0.74399999999999999</v>
      </c>
      <c r="H50" s="11">
        <f>G50*D50</f>
        <v>133.91999999999999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586.92399999999998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2026-01-07T09:48:31Z</dcterms:modified>
</cp:coreProperties>
</file>