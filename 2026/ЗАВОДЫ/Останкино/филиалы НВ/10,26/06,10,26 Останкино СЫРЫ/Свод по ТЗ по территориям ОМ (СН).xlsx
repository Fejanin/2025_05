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A72738E8-D195-4FD2-A707-C4C392C7BFF0}" xr6:coauthVersionLast="45" xr6:coauthVersionMax="47" xr10:uidLastSave="{00000000-0000-0000-0000-000000000000}"/>
  <bookViews>
    <workbookView xWindow="-120" yWindow="-120" windowWidth="29040" windowHeight="15840" xr2:uid="{41CE2E86-6CA6-4A00-8C12-93B9CD1F0C2F}"/>
  </bookViews>
  <sheets>
    <sheet name="Свод" sheetId="1" r:id="rId1"/>
    <sheet name="ДНР" sheetId="2" r:id="rId2"/>
    <sheet name="Запорожье" sheetId="3" r:id="rId3"/>
    <sheet name="Мелитополь" sheetId="4" r:id="rId4"/>
  </sheets>
  <definedNames>
    <definedName name="_xlnm._FilterDatabase" localSheetId="1" hidden="1">ДНР!$A$1:$I$1</definedName>
    <definedName name="_xlnm._FilterDatabase" localSheetId="2" hidden="1">Запорожье!$A$1:$I$1</definedName>
    <definedName name="_xlnm._FilterDatabase" localSheetId="3" hidden="1">Мелитополь!$A$1:$I$1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1" i="4" l="1"/>
  <c r="G51" i="4" s="1"/>
  <c r="I51" i="4" s="1"/>
  <c r="E51" i="4"/>
  <c r="F49" i="4"/>
  <c r="G49" i="4" s="1"/>
  <c r="I49" i="4" s="1"/>
  <c r="E49" i="4"/>
  <c r="F48" i="4"/>
  <c r="G48" i="4" s="1"/>
  <c r="I48" i="4" s="1"/>
  <c r="E48" i="4"/>
  <c r="F47" i="4"/>
  <c r="G47" i="4" s="1"/>
  <c r="I47" i="4" s="1"/>
  <c r="E47" i="4"/>
  <c r="F46" i="4"/>
  <c r="G46" i="4" s="1"/>
  <c r="I46" i="4" s="1"/>
  <c r="E46" i="4"/>
  <c r="F45" i="4"/>
  <c r="G45" i="4" s="1"/>
  <c r="I45" i="4" s="1"/>
  <c r="E45" i="4"/>
  <c r="F44" i="4"/>
  <c r="G44" i="4" s="1"/>
  <c r="I44" i="4" s="1"/>
  <c r="F43" i="4"/>
  <c r="G43" i="4" s="1"/>
  <c r="I43" i="4" s="1"/>
  <c r="F42" i="4"/>
  <c r="G42" i="4" s="1"/>
  <c r="I42" i="4" s="1"/>
  <c r="E42" i="4"/>
  <c r="F41" i="4"/>
  <c r="G41" i="4" s="1"/>
  <c r="I41" i="4" s="1"/>
  <c r="E41" i="4"/>
  <c r="F40" i="4"/>
  <c r="G40" i="4" s="1"/>
  <c r="I40" i="4" s="1"/>
  <c r="E40" i="4"/>
  <c r="F39" i="4"/>
  <c r="G39" i="4" s="1"/>
  <c r="I39" i="4" s="1"/>
  <c r="E39" i="4"/>
  <c r="F38" i="4"/>
  <c r="G38" i="4" s="1"/>
  <c r="I38" i="4" s="1"/>
  <c r="E38" i="4"/>
  <c r="F37" i="4"/>
  <c r="G37" i="4" s="1"/>
  <c r="I37" i="4" s="1"/>
  <c r="E37" i="4"/>
  <c r="F36" i="4"/>
  <c r="G36" i="4" s="1"/>
  <c r="I36" i="4" s="1"/>
  <c r="E36" i="4"/>
  <c r="F35" i="4"/>
  <c r="G35" i="4" s="1"/>
  <c r="I35" i="4" s="1"/>
  <c r="E35" i="4"/>
  <c r="F34" i="4"/>
  <c r="G34" i="4" s="1"/>
  <c r="I34" i="4" s="1"/>
  <c r="F33" i="4"/>
  <c r="G33" i="4" s="1"/>
  <c r="I33" i="4" s="1"/>
  <c r="F32" i="4"/>
  <c r="G32" i="4" s="1"/>
  <c r="I32" i="4" s="1"/>
  <c r="F31" i="4"/>
  <c r="G31" i="4" s="1"/>
  <c r="I31" i="4" s="1"/>
  <c r="E31" i="4"/>
  <c r="F30" i="4"/>
  <c r="G30" i="4" s="1"/>
  <c r="I30" i="4" s="1"/>
  <c r="E30" i="4"/>
  <c r="F29" i="4"/>
  <c r="G29" i="4" s="1"/>
  <c r="I29" i="4" s="1"/>
  <c r="E29" i="4"/>
  <c r="F28" i="4"/>
  <c r="G28" i="4" s="1"/>
  <c r="I28" i="4" s="1"/>
  <c r="E28" i="4"/>
  <c r="F27" i="4"/>
  <c r="G27" i="4" s="1"/>
  <c r="I27" i="4" s="1"/>
  <c r="E27" i="4"/>
  <c r="F26" i="4"/>
  <c r="G26" i="4" s="1"/>
  <c r="I26" i="4" s="1"/>
  <c r="E26" i="4"/>
  <c r="F25" i="4"/>
  <c r="G25" i="4" s="1"/>
  <c r="I25" i="4" s="1"/>
  <c r="E25" i="4"/>
  <c r="F24" i="4"/>
  <c r="G24" i="4" s="1"/>
  <c r="I24" i="4" s="1"/>
  <c r="E24" i="4"/>
  <c r="F23" i="4"/>
  <c r="G23" i="4" s="1"/>
  <c r="I23" i="4" s="1"/>
  <c r="E23" i="4"/>
  <c r="F22" i="4"/>
  <c r="G22" i="4" s="1"/>
  <c r="I22" i="4" s="1"/>
  <c r="E22" i="4"/>
  <c r="F21" i="4"/>
  <c r="G21" i="4" s="1"/>
  <c r="I21" i="4" s="1"/>
  <c r="E21" i="4"/>
  <c r="F20" i="4"/>
  <c r="G20" i="4" s="1"/>
  <c r="I20" i="4" s="1"/>
  <c r="E20" i="4"/>
  <c r="F19" i="4"/>
  <c r="G19" i="4" s="1"/>
  <c r="I19" i="4" s="1"/>
  <c r="E19" i="4"/>
  <c r="F18" i="4"/>
  <c r="G18" i="4" s="1"/>
  <c r="I18" i="4" s="1"/>
  <c r="E18" i="4"/>
  <c r="F17" i="4"/>
  <c r="G17" i="4" s="1"/>
  <c r="I17" i="4" s="1"/>
  <c r="E17" i="4"/>
  <c r="F16" i="4"/>
  <c r="G16" i="4" s="1"/>
  <c r="I16" i="4" s="1"/>
  <c r="E16" i="4"/>
  <c r="F15" i="4"/>
  <c r="G15" i="4" s="1"/>
  <c r="I15" i="4" s="1"/>
  <c r="E15" i="4"/>
  <c r="F14" i="4"/>
  <c r="G14" i="4" s="1"/>
  <c r="I14" i="4" s="1"/>
  <c r="E14" i="4"/>
  <c r="F13" i="4"/>
  <c r="G13" i="4" s="1"/>
  <c r="I13" i="4" s="1"/>
  <c r="E13" i="4"/>
  <c r="F12" i="4"/>
  <c r="G12" i="4" s="1"/>
  <c r="I12" i="4" s="1"/>
  <c r="E12" i="4"/>
  <c r="F11" i="4"/>
  <c r="G11" i="4" s="1"/>
  <c r="I11" i="4" s="1"/>
  <c r="E11" i="4"/>
  <c r="F10" i="4"/>
  <c r="G10" i="4" s="1"/>
  <c r="I10" i="4" s="1"/>
  <c r="E10" i="4"/>
  <c r="F9" i="4"/>
  <c r="G9" i="4" s="1"/>
  <c r="I9" i="4" s="1"/>
  <c r="E9" i="4"/>
  <c r="F8" i="4"/>
  <c r="G8" i="4" s="1"/>
  <c r="I8" i="4" s="1"/>
  <c r="E8" i="4"/>
  <c r="F7" i="4"/>
  <c r="G7" i="4" s="1"/>
  <c r="I7" i="4" s="1"/>
  <c r="E7" i="4"/>
  <c r="F6" i="4"/>
  <c r="G6" i="4" s="1"/>
  <c r="I6" i="4" s="1"/>
  <c r="E6" i="4"/>
  <c r="F5" i="4"/>
  <c r="G5" i="4" s="1"/>
  <c r="I5" i="4" s="1"/>
  <c r="E5" i="4"/>
  <c r="F4" i="4"/>
  <c r="G4" i="4" s="1"/>
  <c r="I4" i="4" s="1"/>
  <c r="E4" i="4"/>
  <c r="F3" i="4"/>
  <c r="G3" i="4" s="1"/>
  <c r="I3" i="4" s="1"/>
  <c r="E3" i="4"/>
  <c r="F2" i="4"/>
  <c r="G2" i="4" s="1"/>
  <c r="I2" i="4" s="1"/>
  <c r="E2" i="4"/>
  <c r="F55" i="3"/>
  <c r="G55" i="3" s="1"/>
  <c r="I55" i="3" s="1"/>
  <c r="E55" i="3"/>
  <c r="F52" i="3"/>
  <c r="G52" i="3" s="1"/>
  <c r="I52" i="3" s="1"/>
  <c r="E52" i="3"/>
  <c r="F53" i="3"/>
  <c r="G53" i="3" s="1"/>
  <c r="I53" i="3" s="1"/>
  <c r="E53" i="3"/>
  <c r="F51" i="3"/>
  <c r="G51" i="3" s="1"/>
  <c r="I51" i="3" s="1"/>
  <c r="E51" i="3"/>
  <c r="F50" i="3"/>
  <c r="G50" i="3" s="1"/>
  <c r="I50" i="3" s="1"/>
  <c r="E50" i="3"/>
  <c r="F49" i="3"/>
  <c r="G49" i="3" s="1"/>
  <c r="I49" i="3" s="1"/>
  <c r="E49" i="3"/>
  <c r="F48" i="3"/>
  <c r="G48" i="3" s="1"/>
  <c r="I48" i="3" s="1"/>
  <c r="E48" i="3"/>
  <c r="F47" i="3"/>
  <c r="G47" i="3" s="1"/>
  <c r="I47" i="3" s="1"/>
  <c r="E47" i="3"/>
  <c r="F46" i="3"/>
  <c r="G46" i="3" s="1"/>
  <c r="I46" i="3" s="1"/>
  <c r="E46" i="3"/>
  <c r="F45" i="3"/>
  <c r="G45" i="3" s="1"/>
  <c r="I45" i="3" s="1"/>
  <c r="E45" i="3"/>
  <c r="F44" i="3"/>
  <c r="G44" i="3" s="1"/>
  <c r="I44" i="3" s="1"/>
  <c r="E44" i="3"/>
  <c r="F43" i="3"/>
  <c r="G43" i="3" s="1"/>
  <c r="I43" i="3" s="1"/>
  <c r="E43" i="3"/>
  <c r="F42" i="3"/>
  <c r="G42" i="3" s="1"/>
  <c r="I42" i="3" s="1"/>
  <c r="E42" i="3"/>
  <c r="F41" i="3"/>
  <c r="G41" i="3" s="1"/>
  <c r="I41" i="3" s="1"/>
  <c r="F40" i="3"/>
  <c r="G40" i="3" s="1"/>
  <c r="I40" i="3" s="1"/>
  <c r="E40" i="3"/>
  <c r="F39" i="3"/>
  <c r="G39" i="3" s="1"/>
  <c r="I39" i="3" s="1"/>
  <c r="E39" i="3"/>
  <c r="F38" i="3"/>
  <c r="G38" i="3" s="1"/>
  <c r="I38" i="3" s="1"/>
  <c r="E38" i="3"/>
  <c r="F37" i="3"/>
  <c r="G37" i="3" s="1"/>
  <c r="I37" i="3" s="1"/>
  <c r="E37" i="3"/>
  <c r="F36" i="3"/>
  <c r="G36" i="3" s="1"/>
  <c r="I36" i="3" s="1"/>
  <c r="E36" i="3"/>
  <c r="F35" i="3"/>
  <c r="G35" i="3" s="1"/>
  <c r="I35" i="3" s="1"/>
  <c r="E35" i="3"/>
  <c r="F34" i="3"/>
  <c r="G34" i="3" s="1"/>
  <c r="I34" i="3" s="1"/>
  <c r="E34" i="3"/>
  <c r="F33" i="3"/>
  <c r="G33" i="3" s="1"/>
  <c r="I33" i="3" s="1"/>
  <c r="E33" i="3"/>
  <c r="F32" i="3"/>
  <c r="G32" i="3" s="1"/>
  <c r="I32" i="3" s="1"/>
  <c r="F31" i="3"/>
  <c r="G31" i="3" s="1"/>
  <c r="I31" i="3" s="1"/>
  <c r="F30" i="3"/>
  <c r="G30" i="3" s="1"/>
  <c r="I30" i="3" s="1"/>
  <c r="E30" i="3"/>
  <c r="F29" i="3"/>
  <c r="G29" i="3" s="1"/>
  <c r="I29" i="3" s="1"/>
  <c r="E29" i="3"/>
  <c r="F28" i="3"/>
  <c r="G28" i="3" s="1"/>
  <c r="I28" i="3" s="1"/>
  <c r="E28" i="3"/>
  <c r="F27" i="3"/>
  <c r="G27" i="3" s="1"/>
  <c r="I27" i="3" s="1"/>
  <c r="E27" i="3"/>
  <c r="F26" i="3"/>
  <c r="G26" i="3" s="1"/>
  <c r="I26" i="3" s="1"/>
  <c r="E26" i="3"/>
  <c r="F25" i="3"/>
  <c r="G25" i="3" s="1"/>
  <c r="I25" i="3" s="1"/>
  <c r="E25" i="3"/>
  <c r="F24" i="3"/>
  <c r="G24" i="3" s="1"/>
  <c r="I24" i="3" s="1"/>
  <c r="E24" i="3"/>
  <c r="F23" i="3"/>
  <c r="G23" i="3" s="1"/>
  <c r="I23" i="3" s="1"/>
  <c r="E23" i="3"/>
  <c r="F22" i="3"/>
  <c r="G22" i="3" s="1"/>
  <c r="I22" i="3" s="1"/>
  <c r="E22" i="3"/>
  <c r="F21" i="3"/>
  <c r="G21" i="3" s="1"/>
  <c r="I21" i="3" s="1"/>
  <c r="E21" i="3"/>
  <c r="F20" i="3"/>
  <c r="G20" i="3" s="1"/>
  <c r="I20" i="3" s="1"/>
  <c r="E20" i="3"/>
  <c r="F19" i="3"/>
  <c r="G19" i="3" s="1"/>
  <c r="I19" i="3" s="1"/>
  <c r="E19" i="3"/>
  <c r="F18" i="3"/>
  <c r="G18" i="3" s="1"/>
  <c r="I18" i="3" s="1"/>
  <c r="E18" i="3"/>
  <c r="F17" i="3"/>
  <c r="G17" i="3" s="1"/>
  <c r="I17" i="3" s="1"/>
  <c r="E17" i="3"/>
  <c r="F16" i="3"/>
  <c r="G16" i="3" s="1"/>
  <c r="I16" i="3" s="1"/>
  <c r="E16" i="3"/>
  <c r="F15" i="3"/>
  <c r="G15" i="3" s="1"/>
  <c r="I15" i="3" s="1"/>
  <c r="E15" i="3"/>
  <c r="F14" i="3"/>
  <c r="G14" i="3" s="1"/>
  <c r="I14" i="3" s="1"/>
  <c r="E14" i="3"/>
  <c r="F13" i="3"/>
  <c r="G13" i="3" s="1"/>
  <c r="I13" i="3" s="1"/>
  <c r="E13" i="3"/>
  <c r="F12" i="3"/>
  <c r="G12" i="3" s="1"/>
  <c r="I12" i="3" s="1"/>
  <c r="E12" i="3"/>
  <c r="F11" i="3"/>
  <c r="G11" i="3" s="1"/>
  <c r="I11" i="3" s="1"/>
  <c r="E11" i="3"/>
  <c r="F10" i="3"/>
  <c r="G10" i="3" s="1"/>
  <c r="I10" i="3" s="1"/>
  <c r="E10" i="3"/>
  <c r="F9" i="3"/>
  <c r="G9" i="3" s="1"/>
  <c r="I9" i="3" s="1"/>
  <c r="E9" i="3"/>
  <c r="F8" i="3"/>
  <c r="G8" i="3" s="1"/>
  <c r="I8" i="3" s="1"/>
  <c r="E8" i="3"/>
  <c r="F7" i="3"/>
  <c r="G7" i="3" s="1"/>
  <c r="I7" i="3" s="1"/>
  <c r="E7" i="3"/>
  <c r="F6" i="3"/>
  <c r="G6" i="3" s="1"/>
  <c r="I6" i="3" s="1"/>
  <c r="E6" i="3"/>
  <c r="F5" i="3"/>
  <c r="G5" i="3" s="1"/>
  <c r="I5" i="3" s="1"/>
  <c r="E5" i="3"/>
  <c r="F4" i="3"/>
  <c r="G4" i="3" s="1"/>
  <c r="I4" i="3" s="1"/>
  <c r="E4" i="3"/>
  <c r="F3" i="3"/>
  <c r="G3" i="3" s="1"/>
  <c r="I3" i="3" s="1"/>
  <c r="E3" i="3"/>
  <c r="F2" i="3"/>
  <c r="G2" i="3" s="1"/>
  <c r="I2" i="3" s="1"/>
  <c r="E2" i="3"/>
  <c r="F54" i="2" l="1"/>
  <c r="G54" i="2" s="1"/>
  <c r="I54" i="2" s="1"/>
  <c r="E54" i="2"/>
  <c r="F51" i="2"/>
  <c r="G51" i="2" s="1"/>
  <c r="I51" i="2" s="1"/>
  <c r="F49" i="2"/>
  <c r="G49" i="2" s="1"/>
  <c r="I49" i="2" s="1"/>
  <c r="F47" i="2"/>
  <c r="G47" i="2" s="1"/>
  <c r="I47" i="2" s="1"/>
  <c r="F46" i="2"/>
  <c r="G46" i="2" s="1"/>
  <c r="I46" i="2" s="1"/>
  <c r="F45" i="2"/>
  <c r="G45" i="2" s="1"/>
  <c r="I45" i="2" s="1"/>
  <c r="F44" i="2"/>
  <c r="G44" i="2" s="1"/>
  <c r="I44" i="2" s="1"/>
  <c r="F42" i="2"/>
  <c r="G42" i="2" s="1"/>
  <c r="I42" i="2" s="1"/>
  <c r="F41" i="2"/>
  <c r="G41" i="2" s="1"/>
  <c r="I41" i="2" s="1"/>
  <c r="F37" i="2"/>
  <c r="G37" i="2" s="1"/>
  <c r="I37" i="2" s="1"/>
  <c r="F29" i="2"/>
  <c r="G29" i="2" s="1"/>
  <c r="I29" i="2" s="1"/>
  <c r="F15" i="2"/>
  <c r="G15" i="2" s="1"/>
  <c r="I15" i="2" s="1"/>
  <c r="F11" i="2"/>
  <c r="G11" i="2" s="1"/>
  <c r="I11" i="2" s="1"/>
  <c r="F52" i="2"/>
  <c r="G52" i="2" s="1"/>
  <c r="I52" i="2" s="1"/>
  <c r="E52" i="2"/>
  <c r="F40" i="2"/>
  <c r="G40" i="2" s="1"/>
  <c r="I40" i="2" s="1"/>
  <c r="E40" i="2"/>
  <c r="F43" i="2"/>
  <c r="G43" i="2" s="1"/>
  <c r="I43" i="2" s="1"/>
  <c r="E43" i="2"/>
  <c r="G50" i="2"/>
  <c r="I50" i="2" s="1"/>
  <c r="F50" i="2"/>
  <c r="E50" i="2"/>
  <c r="F36" i="2"/>
  <c r="G36" i="2" s="1"/>
  <c r="I36" i="2" s="1"/>
  <c r="E36" i="2"/>
  <c r="F39" i="2"/>
  <c r="G39" i="2" s="1"/>
  <c r="I39" i="2" s="1"/>
  <c r="E39" i="2"/>
  <c r="F14" i="2"/>
  <c r="G14" i="2" s="1"/>
  <c r="I14" i="2" s="1"/>
  <c r="E14" i="2"/>
  <c r="G48" i="2"/>
  <c r="I48" i="2" s="1"/>
  <c r="F48" i="2"/>
  <c r="E48" i="2"/>
  <c r="F38" i="2"/>
  <c r="G38" i="2" s="1"/>
  <c r="I38" i="2" s="1"/>
  <c r="E38" i="2"/>
  <c r="F34" i="2"/>
  <c r="G34" i="2" s="1"/>
  <c r="I34" i="2" s="1"/>
  <c r="E34" i="2"/>
  <c r="F31" i="2"/>
  <c r="G31" i="2" s="1"/>
  <c r="I31" i="2" s="1"/>
  <c r="E31" i="2"/>
  <c r="F35" i="2"/>
  <c r="G35" i="2" s="1"/>
  <c r="I35" i="2" s="1"/>
  <c r="E35" i="2"/>
  <c r="F23" i="2"/>
  <c r="G23" i="2" s="1"/>
  <c r="I23" i="2" s="1"/>
  <c r="E23" i="2"/>
  <c r="F33" i="2"/>
  <c r="G33" i="2" s="1"/>
  <c r="I33" i="2" s="1"/>
  <c r="E33" i="2"/>
  <c r="F32" i="2"/>
  <c r="G32" i="2" s="1"/>
  <c r="I32" i="2" s="1"/>
  <c r="E32" i="2"/>
  <c r="F12" i="2"/>
  <c r="G12" i="2" s="1"/>
  <c r="I12" i="2" s="1"/>
  <c r="E12" i="2"/>
  <c r="F21" i="2"/>
  <c r="G21" i="2" s="1"/>
  <c r="I21" i="2" s="1"/>
  <c r="E21" i="2"/>
  <c r="F26" i="2"/>
  <c r="G26" i="2" s="1"/>
  <c r="I26" i="2" s="1"/>
  <c r="E26" i="2"/>
  <c r="F7" i="2"/>
  <c r="G7" i="2" s="1"/>
  <c r="I7" i="2" s="1"/>
  <c r="E7" i="2"/>
  <c r="G25" i="2"/>
  <c r="I25" i="2" s="1"/>
  <c r="F25" i="2"/>
  <c r="E25" i="2"/>
  <c r="F16" i="2"/>
  <c r="G16" i="2" s="1"/>
  <c r="I16" i="2" s="1"/>
  <c r="E16" i="2"/>
  <c r="G27" i="2"/>
  <c r="I27" i="2" s="1"/>
  <c r="F27" i="2"/>
  <c r="E27" i="2"/>
  <c r="F4" i="2"/>
  <c r="G4" i="2" s="1"/>
  <c r="I4" i="2" s="1"/>
  <c r="E4" i="2"/>
  <c r="F13" i="2"/>
  <c r="G13" i="2" s="1"/>
  <c r="I13" i="2" s="1"/>
  <c r="E13" i="2"/>
  <c r="F8" i="2"/>
  <c r="G8" i="2" s="1"/>
  <c r="I8" i="2" s="1"/>
  <c r="E8" i="2"/>
  <c r="F5" i="2"/>
  <c r="G5" i="2" s="1"/>
  <c r="I5" i="2" s="1"/>
  <c r="E5" i="2"/>
  <c r="F24" i="2"/>
  <c r="G24" i="2" s="1"/>
  <c r="I24" i="2" s="1"/>
  <c r="E24" i="2"/>
  <c r="F22" i="2"/>
  <c r="G22" i="2" s="1"/>
  <c r="I22" i="2" s="1"/>
  <c r="E22" i="2"/>
  <c r="F10" i="2"/>
  <c r="G10" i="2" s="1"/>
  <c r="I10" i="2" s="1"/>
  <c r="E10" i="2"/>
  <c r="F30" i="2"/>
  <c r="G30" i="2" s="1"/>
  <c r="I30" i="2" s="1"/>
  <c r="E30" i="2"/>
  <c r="F20" i="2"/>
  <c r="G20" i="2" s="1"/>
  <c r="I20" i="2" s="1"/>
  <c r="E20" i="2"/>
  <c r="F6" i="2"/>
  <c r="G6" i="2" s="1"/>
  <c r="I6" i="2" s="1"/>
  <c r="E6" i="2"/>
  <c r="F9" i="2"/>
  <c r="G9" i="2" s="1"/>
  <c r="I9" i="2" s="1"/>
  <c r="E9" i="2"/>
  <c r="F19" i="2"/>
  <c r="G19" i="2" s="1"/>
  <c r="I19" i="2" s="1"/>
  <c r="E19" i="2"/>
  <c r="F28" i="2"/>
  <c r="G28" i="2" s="1"/>
  <c r="I28" i="2" s="1"/>
  <c r="E28" i="2"/>
  <c r="G17" i="2"/>
  <c r="I17" i="2" s="1"/>
  <c r="F17" i="2"/>
  <c r="E17" i="2"/>
  <c r="F2" i="2"/>
  <c r="G2" i="2" s="1"/>
  <c r="I2" i="2" s="1"/>
  <c r="E2" i="2"/>
  <c r="G18" i="2"/>
  <c r="I18" i="2" s="1"/>
  <c r="F18" i="2"/>
  <c r="E18" i="2"/>
  <c r="F3" i="2"/>
  <c r="G3" i="2" s="1"/>
  <c r="I3" i="2" s="1"/>
  <c r="E3" i="2"/>
  <c r="C5" i="1"/>
  <c r="D5" i="1" s="1"/>
  <c r="E5" i="1" s="1"/>
  <c r="B5" i="1"/>
  <c r="D4" i="1"/>
  <c r="D3" i="1"/>
  <c r="E3" i="1" s="1"/>
  <c r="E4" i="1"/>
  <c r="E2" i="1"/>
  <c r="D2" i="1"/>
</calcChain>
</file>

<file path=xl/sharedStrings.xml><?xml version="1.0" encoding="utf-8"?>
<sst xmlns="http://schemas.openxmlformats.org/spreadsheetml/2006/main" count="195" uniqueCount="77">
  <si>
    <t>Направление</t>
  </si>
  <si>
    <t>Мелитополь</t>
  </si>
  <si>
    <t>Заказано</t>
  </si>
  <si>
    <t>Отгружено</t>
  </si>
  <si>
    <t>Отклонение</t>
  </si>
  <si>
    <t>Отклонение в %</t>
  </si>
  <si>
    <t>Запорожье</t>
  </si>
  <si>
    <t>Наименование</t>
  </si>
  <si>
    <t>Заказано вес</t>
  </si>
  <si>
    <t>Отгружено вес</t>
  </si>
  <si>
    <t>Недогруз вес</t>
  </si>
  <si>
    <t>Недогруз вес, %</t>
  </si>
  <si>
    <t>заказ в неделю</t>
  </si>
  <si>
    <t>заказ в день</t>
  </si>
  <si>
    <t>остатки на сегодня</t>
  </si>
  <si>
    <t>остатки в днях</t>
  </si>
  <si>
    <t>Сыр Тильзитер 45% ТМ Папа Может 180г (5038398)</t>
  </si>
  <si>
    <t>Сыр Голландский 45% ТМ Папа может брус (ЖЕЛТЫЙ) (8785235)</t>
  </si>
  <si>
    <t>Майонез провансаль классич. с МД жира 67% ТМ «ПАПА МОЖЕТ» 744г дой-пак с дозатором (6948287)</t>
  </si>
  <si>
    <t>Сыр Гауда Голд 45% ТМ Папа Может 180г (5038411)</t>
  </si>
  <si>
    <t>Продукт плавленый с Сыром колбасный копченый 40% ТМ Коровино 400г (9988476)</t>
  </si>
  <si>
    <t>Сыр полутвердый "Купеческий" с ароматом топленого молока (8784931)</t>
  </si>
  <si>
    <t>Сыр Гауда 45% ТМ Папа может брус (ЖЕЛТЫЙ) (8785242)</t>
  </si>
  <si>
    <t>Майонез провансаль классич. оливковый с МД жира 67% ТМ «ПАПА МОЖЕТ» 372г дой-пак с дозатором (69482)</t>
  </si>
  <si>
    <t>Сыр Министерский 45% ТМ Папа Может 180г фасовка (5038831)</t>
  </si>
  <si>
    <t>Сыр Творожный с Зеленью 60% ТМ Папа Может 140г (9988391)</t>
  </si>
  <si>
    <t>Сыр рассольный Чечил копченый 43% ТП Папа может 100г/6шт (8444194)</t>
  </si>
  <si>
    <t>Сыр Творожный Сливочный 60% ТМ Папа может 140г (9988377)</t>
  </si>
  <si>
    <t>Сыр плавленый "Сливочный" 45% ТМ Папа может 180гр (9988681)</t>
  </si>
  <si>
    <t>Майонез провансаль классич. оливковый с МД жира 67% ТМ «ПАПА МОЖЕТ» 744г дой-пак с дозат. (694826)</t>
  </si>
  <si>
    <t>Масло Сливочное ж.82,5% ТМ Папа может 180г (1018967)</t>
  </si>
  <si>
    <t>Масло Сливочное жирность 72,5 % ТМ ПМ 180г 10шт Славяна (1018950)</t>
  </si>
  <si>
    <t>Майонез провансаль классич. с МД жира 67% ТМ «ПАПА МОЖЕТ» 372г дой-пак с дозатором (6948270)</t>
  </si>
  <si>
    <t>Косичка сырная копченая 43% 100г/8шт ТМ Папа Может (8445177)</t>
  </si>
  <si>
    <t>Сыр Сметанковый полутвердый 50% ТМ Папа Может вес (8785198)</t>
  </si>
  <si>
    <t>Косичка сырная 45% 100г/8шт ТМ Папа Может (8445160)</t>
  </si>
  <si>
    <t>Сыр Российский традиционный 45% ТМ Папа Может 180г (5038435)</t>
  </si>
  <si>
    <t>Сыр Боккончини копченый 40% ТМ Папа может 100г/8шт (8444163)</t>
  </si>
  <si>
    <t>Сыр рассольный Чечил жирный 45% ТМ Папа может 100г/6шт (8444187)</t>
  </si>
  <si>
    <t>Сыр полутвердый "Российский", с массовой долей жира в пересчете на сухое вещество 50% (8783323)</t>
  </si>
  <si>
    <t>Сыр плавленый "С грибами" 45% ТМ Папа может 180гр (9988445)</t>
  </si>
  <si>
    <t>Сыр Папин завтрак 45% ТМ Папа может, г/с, 180 г, фасовка (5038855)</t>
  </si>
  <si>
    <t>Сычужный продукт Коровино Тильзитер Оригин 50% вес (3,5 кг брус) СЗМЖ (783К825)</t>
  </si>
  <si>
    <t>Сыр плавленый "С ветчиной" 45% ТМ Папа может 180гр (9988438)</t>
  </si>
  <si>
    <t>Сыр Тильзитер полутвердый 45% ТМ Папа Может вес (8785259)</t>
  </si>
  <si>
    <t>Сычужный продукт Коровино Российский 50% 200 г СЗМЖ (783К798)</t>
  </si>
  <si>
    <t>Сыр Пармезан твердый мдж 35% цилиндр 1/4 пленка прозрачная (8786928)</t>
  </si>
  <si>
    <t>БЖП копченый "Балык" резаный 4 вкуса (2105201)</t>
  </si>
  <si>
    <t>Сыр Голландский традиционный 45% ТМ Папа Может 180г (5038459)</t>
  </si>
  <si>
    <t>Сычужный продукт Коровино Тильзитер 50% 200 г СЗМЖ (783К801)</t>
  </si>
  <si>
    <t>Сыр Пармезан 40% ТМ Останкино кусок 180г (5034819)</t>
  </si>
  <si>
    <t>БЖП копченый "Косичка" мини Ассорти (2103201)</t>
  </si>
  <si>
    <t>Майонезный соус провансаль деликатес. с МД жира 25% ТМ «Коровино» 824,5г ведро (6948249)</t>
  </si>
  <si>
    <t>Сычужный продукт Коровино Российский Оригин 50% вес (3,5 кг брус) СЗМЖ (783К811)</t>
  </si>
  <si>
    <t>Сыр копченый "Косичка" мини ПАПА МОЖЕТ 55г лоток (1103201)</t>
  </si>
  <si>
    <t>Сыр плавленый колбасный копченый 40% ТМ Папа Может 400г (9988452)</t>
  </si>
  <si>
    <t>Сыр Российский полутвердый 50% ТМ Папа может вес (ЖЕЛТЫЙ) (8785204)</t>
  </si>
  <si>
    <t>Сычужный продукт Коровино Тильзитер Оригинальный 50% вес (783828)</t>
  </si>
  <si>
    <t>Спред растительно-сливочный «Сливочный вкус» 82,5% 180г (4421577)</t>
  </si>
  <si>
    <t>Сыр Творожный С маринованными огурчиками и укропом 60 % ТМ Папа Может 140г (9988421)</t>
  </si>
  <si>
    <t>Спред растительно-сливочный «Сливочный вкус» 72,5% 180г (4421584)</t>
  </si>
  <si>
    <t>Сыр Перлини 40% 100г/8шт (8444903)</t>
  </si>
  <si>
    <t>Сыр Перлини копченый 40% 100г/8шт (8444910)</t>
  </si>
  <si>
    <t>Сыр Перлини со вкусом васаби 40% 100г/8шт (8444927)</t>
  </si>
  <si>
    <t>Сыр плавленый "Шоколадный" 30% 180 гр ТМ Папа может (9988674)</t>
  </si>
  <si>
    <t>Продукт По-Российски Классический СЗМЖ мдж 50% 200г ТМ Коровино (7100108)</t>
  </si>
  <si>
    <t>Сыр Скаморца свежий 40% ТМ Папа может 100г/8шт (8444170)</t>
  </si>
  <si>
    <t>Итого</t>
  </si>
  <si>
    <t>остатки на сегодня 06.10.26</t>
  </si>
  <si>
    <t>Комментарии</t>
  </si>
  <si>
    <t>ДНР</t>
  </si>
  <si>
    <t>Продукт По-Российски Классический СЗМЖ мдж 50% ТМ Коровино (7100139)</t>
  </si>
  <si>
    <t>Сычужный продукт Коровино Тильзитер Оригинальный 50% 200г (783804)</t>
  </si>
  <si>
    <t>Необходимо увеличить ТЗ до 14 дней по категориям: кусок 180гр, майонез, колбасный, плавленные, весовой сыр. Общий ОСГ по данным категориям от 4 месяцев. При поставка даже с ОСГ до 60%, остается от 70 дней на продажу.</t>
  </si>
  <si>
    <t xml:space="preserve">Ситуация с остатками стабильная, корректировка по ТЗ не требуется. Необходим контроль и усиление продаж торговой команды, так как есть опасные остатки. </t>
  </si>
  <si>
    <r>
      <t xml:space="preserve">Необходимо увеличить ТЗ до 14 дней по категориям: кусок 180гр, майонез, колбасный, </t>
    </r>
    <r>
      <rPr>
        <u/>
        <sz val="11"/>
        <color theme="1"/>
        <rFont val="Calibri"/>
        <family val="2"/>
        <charset val="204"/>
        <scheme val="minor"/>
      </rPr>
      <t>творожные</t>
    </r>
    <r>
      <rPr>
        <sz val="11"/>
        <color theme="1"/>
        <rFont val="Calibri"/>
        <family val="2"/>
        <charset val="204"/>
        <scheme val="minor"/>
      </rPr>
      <t>, плавленные, весовой сыр. Общий ОСГ по данным категориям от 4 месяцев. При поставка даже с ОСГ до 60%, остается от 70 дней на продажу.</t>
    </r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</si>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</sst>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\ _₽_-;\-* #,##0\ _₽_-;_-* &quot;-&quot;??\ _₽_-;_-@_-"/>
    <numFmt numFmtId="167" formatCode="0.0"/>
    <numFmt numFmtId="168" formatCode="0.000"/>
    <numFmt numFmtId="169" formatCode="0.000;[Red]\-0.000"/>
    <numFmt numFmtId="170" formatCode="#,##0.000"/>
    <numFmt numFmtId="171" formatCode="_-* #,##0.0_-;\-* #,##0.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u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43" fontId="0" fillId="0" borderId="1" xfId="1" applyFont="1" applyBorder="1"/>
    <xf numFmtId="164" fontId="0" fillId="0" borderId="1" xfId="2" applyNumberFormat="1" applyFont="1" applyBorder="1"/>
    <xf numFmtId="0" fontId="0" fillId="0" borderId="2" xfId="0" applyBorder="1"/>
    <xf numFmtId="43" fontId="0" fillId="0" borderId="1" xfId="0" applyNumberFormat="1" applyBorder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2" applyFont="1" applyBorder="1"/>
    <xf numFmtId="165" fontId="0" fillId="0" borderId="1" xfId="1" applyNumberFormat="1" applyFont="1" applyBorder="1"/>
    <xf numFmtId="2" fontId="0" fillId="0" borderId="1" xfId="0" applyNumberFormat="1" applyBorder="1"/>
    <xf numFmtId="166" fontId="0" fillId="3" borderId="1" xfId="0" applyNumberFormat="1" applyFill="1" applyBorder="1"/>
    <xf numFmtId="166" fontId="0" fillId="0" borderId="1" xfId="0" applyNumberFormat="1" applyBorder="1"/>
    <xf numFmtId="170" fontId="2" fillId="2" borderId="1" xfId="0" applyNumberFormat="1" applyFont="1" applyFill="1" applyBorder="1" applyAlignment="1">
      <alignment vertical="top"/>
    </xf>
    <xf numFmtId="2" fontId="0" fillId="0" borderId="1" xfId="0" applyNumberFormat="1" applyBorder="1" applyAlignment="1"/>
    <xf numFmtId="9" fontId="0" fillId="0" borderId="1" xfId="2" applyFont="1" applyBorder="1" applyAlignment="1"/>
    <xf numFmtId="0" fontId="0" fillId="0" borderId="1" xfId="0" applyBorder="1" applyAlignment="1"/>
    <xf numFmtId="165" fontId="0" fillId="0" borderId="1" xfId="1" applyNumberFormat="1" applyFont="1" applyBorder="1" applyAlignment="1"/>
    <xf numFmtId="166" fontId="0" fillId="3" borderId="1" xfId="0" applyNumberFormat="1" applyFill="1" applyBorder="1" applyAlignment="1"/>
    <xf numFmtId="167" fontId="0" fillId="0" borderId="1" xfId="0" applyNumberFormat="1" applyBorder="1" applyAlignment="1"/>
    <xf numFmtId="168" fontId="0" fillId="0" borderId="1" xfId="0" applyNumberFormat="1" applyBorder="1" applyAlignment="1"/>
    <xf numFmtId="1" fontId="0" fillId="0" borderId="1" xfId="0" applyNumberFormat="1" applyBorder="1" applyAlignment="1"/>
    <xf numFmtId="166" fontId="0" fillId="0" borderId="1" xfId="0" applyNumberFormat="1" applyBorder="1" applyAlignment="1"/>
    <xf numFmtId="16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70" fontId="2" fillId="2" borderId="1" xfId="0" applyNumberFormat="1" applyFont="1" applyFill="1" applyBorder="1" applyAlignment="1"/>
    <xf numFmtId="4" fontId="2" fillId="2" borderId="1" xfId="0" applyNumberFormat="1" applyFont="1" applyFill="1" applyBorder="1" applyAlignment="1"/>
    <xf numFmtId="0" fontId="0" fillId="0" borderId="1" xfId="0" applyFill="1" applyBorder="1"/>
    <xf numFmtId="0" fontId="0" fillId="0" borderId="1" xfId="0" applyBorder="1" applyAlignment="1">
      <alignment wrapText="1"/>
    </xf>
    <xf numFmtId="171" fontId="0" fillId="0" borderId="1" xfId="1" applyNumberFormat="1" applyFont="1" applyBorder="1" applyAlignment="1"/>
    <xf numFmtId="171" fontId="0" fillId="0" borderId="1" xfId="1" applyNumberFormat="1" applyFont="1" applyBorder="1" applyAlignment="1">
      <alignment horizontal="right"/>
    </xf>
    <xf numFmtId="171" fontId="0" fillId="0" borderId="1" xfId="1" applyNumberFormat="1" applyFont="1" applyBorder="1" applyAlignment="1">
      <alignment horizontal="left"/>
    </xf>
    <xf numFmtId="168" fontId="2" fillId="2" borderId="1" xfId="0" applyNumberFormat="1" applyFont="1" applyFill="1" applyBorder="1" applyAlignment="1">
      <alignment vertical="top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11F2-445C-43B3-A3FF-C2C257E5A651}">
  <dimension ref="A1:G5"/>
  <sheetViews>
    <sheetView tabSelected="1" workbookViewId="0">
      <selection activeCell="G4" sqref="G4"/>
    </sheetView>
  </sheetViews>
  <sheetFormatPr defaultRowHeight="15" x14ac:dyDescent="0.25"/>
  <cols>
    <col min="1" max="1" width="12.42578125" bestFit="1" customWidth="1"/>
    <col min="2" max="3" width="10.28515625" bestFit="1" customWidth="1"/>
    <col min="4" max="4" width="11.5703125" bestFit="1" customWidth="1"/>
    <col min="5" max="5" width="14.85546875" bestFit="1" customWidth="1"/>
    <col min="6" max="6" width="53.7109375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9" t="s">
        <v>69</v>
      </c>
    </row>
    <row r="2" spans="1:7" ht="75" x14ac:dyDescent="0.25">
      <c r="A2" s="4" t="s">
        <v>70</v>
      </c>
      <c r="B2" s="2">
        <v>4103.4650000000001</v>
      </c>
      <c r="C2" s="2">
        <v>3000.6970000000001</v>
      </c>
      <c r="D2" s="2">
        <f>C2-B2</f>
        <v>-1102.768</v>
      </c>
      <c r="E2" s="3">
        <f>D2/C2</f>
        <v>-0.36750394991563629</v>
      </c>
      <c r="F2" s="30" t="s">
        <v>75</v>
      </c>
      <c r="G2" t="s">
        <v>76</v>
      </c>
    </row>
    <row r="3" spans="1:7" ht="75" x14ac:dyDescent="0.25">
      <c r="A3" s="4" t="s">
        <v>6</v>
      </c>
      <c r="B3" s="2">
        <v>5677.5929999999998</v>
      </c>
      <c r="C3" s="2">
        <v>3704.308</v>
      </c>
      <c r="D3" s="2">
        <f t="shared" ref="D3:D5" si="0">C3-B3</f>
        <v>-1973.2849999999999</v>
      </c>
      <c r="E3" s="3">
        <f t="shared" ref="E3:E5" si="1">D3/C3</f>
        <v>-0.5327000346623445</v>
      </c>
      <c r="F3" s="30" t="s">
        <v>73</v>
      </c>
      <c r="G3" t="s">
        <v>76</v>
      </c>
    </row>
    <row r="4" spans="1:7" ht="45" x14ac:dyDescent="0.25">
      <c r="A4" s="4" t="s">
        <v>1</v>
      </c>
      <c r="B4" s="2">
        <v>3069.049</v>
      </c>
      <c r="C4" s="2">
        <v>2871.5230000000001</v>
      </c>
      <c r="D4" s="2">
        <f t="shared" si="0"/>
        <v>-197.52599999999984</v>
      </c>
      <c r="E4" s="3">
        <f t="shared" si="1"/>
        <v>-6.8787887124706931E-2</v>
      </c>
      <c r="F4" s="30" t="s">
        <v>74</v>
      </c>
    </row>
    <row r="5" spans="1:7" x14ac:dyDescent="0.25">
      <c r="B5" s="5">
        <f>SUM(B2:B4)</f>
        <v>12850.107</v>
      </c>
      <c r="C5" s="5">
        <f>SUM(C2:C4)</f>
        <v>9576.5280000000002</v>
      </c>
      <c r="D5" s="2">
        <f t="shared" si="0"/>
        <v>-3273.5789999999997</v>
      </c>
      <c r="E5" s="3">
        <f t="shared" si="1"/>
        <v>-0.34183359564134302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37B8-DE4B-4AFB-9B3A-1ABC929AF8E2}">
  <dimension ref="A1:I54"/>
  <sheetViews>
    <sheetView topLeftCell="A10" workbookViewId="0">
      <selection activeCell="A12" sqref="A12"/>
    </sheetView>
  </sheetViews>
  <sheetFormatPr defaultRowHeight="15" x14ac:dyDescent="0.25"/>
  <cols>
    <col min="1" max="1" width="56.5703125" customWidth="1"/>
    <col min="2" max="2" width="11.28515625" customWidth="1"/>
    <col min="3" max="3" width="10.140625" customWidth="1"/>
    <col min="8" max="8" width="12.140625" customWidth="1"/>
  </cols>
  <sheetData>
    <row r="1" spans="1:9" ht="38.25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68</v>
      </c>
      <c r="I1" s="6" t="s">
        <v>15</v>
      </c>
    </row>
    <row r="2" spans="1:9" ht="30" x14ac:dyDescent="0.25">
      <c r="A2" s="8" t="s">
        <v>18</v>
      </c>
      <c r="B2" s="21">
        <v>284.20800000000003</v>
      </c>
      <c r="C2" s="21">
        <v>158.47200000000001</v>
      </c>
      <c r="D2" s="21">
        <v>129.45599999999999</v>
      </c>
      <c r="E2" s="16">
        <f t="shared" ref="E2:E10" si="0">D2/C2</f>
        <v>0.81690140845070414</v>
      </c>
      <c r="F2" s="17">
        <f t="shared" ref="F2:F33" si="1">B2/4</f>
        <v>71.052000000000007</v>
      </c>
      <c r="G2" s="18">
        <f t="shared" ref="G2:G33" si="2">F2/7</f>
        <v>10.150285714285715</v>
      </c>
      <c r="H2" s="17">
        <v>34.968000000000004</v>
      </c>
      <c r="I2" s="19">
        <f t="shared" ref="I2:I33" si="3">H2/G2</f>
        <v>3.4450261780104712</v>
      </c>
    </row>
    <row r="3" spans="1:9" x14ac:dyDescent="0.25">
      <c r="A3" s="8" t="s">
        <v>16</v>
      </c>
      <c r="B3" s="15">
        <v>169.74</v>
      </c>
      <c r="C3" s="15">
        <v>59.76</v>
      </c>
      <c r="D3" s="15">
        <v>119.34</v>
      </c>
      <c r="E3" s="16">
        <f t="shared" si="0"/>
        <v>1.9969879518072291</v>
      </c>
      <c r="F3" s="17">
        <f t="shared" si="1"/>
        <v>42.435000000000002</v>
      </c>
      <c r="G3" s="18">
        <f t="shared" si="2"/>
        <v>6.0621428571428577</v>
      </c>
      <c r="H3" s="15">
        <v>41.76</v>
      </c>
      <c r="I3" s="19">
        <f t="shared" si="3"/>
        <v>6.8886532343584292</v>
      </c>
    </row>
    <row r="4" spans="1:9" ht="30" x14ac:dyDescent="0.25">
      <c r="A4" s="8" t="s">
        <v>32</v>
      </c>
      <c r="B4" s="15">
        <v>425.94</v>
      </c>
      <c r="C4" s="21">
        <v>317.68799999999999</v>
      </c>
      <c r="D4" s="21">
        <v>112.71599999999999</v>
      </c>
      <c r="E4" s="16">
        <f t="shared" si="0"/>
        <v>0.35480093676814989</v>
      </c>
      <c r="F4" s="17">
        <f t="shared" si="1"/>
        <v>106.485</v>
      </c>
      <c r="G4" s="18">
        <f t="shared" si="2"/>
        <v>15.212142857142856</v>
      </c>
      <c r="H4" s="17">
        <v>87.792000000000002</v>
      </c>
      <c r="I4" s="19">
        <f t="shared" si="3"/>
        <v>5.7711790393013107</v>
      </c>
    </row>
    <row r="5" spans="1:9" ht="30" x14ac:dyDescent="0.25">
      <c r="A5" s="8" t="s">
        <v>29</v>
      </c>
      <c r="B5" s="21">
        <v>302.06400000000002</v>
      </c>
      <c r="C5" s="21">
        <v>232.12799999999999</v>
      </c>
      <c r="D5" s="21">
        <v>93.744</v>
      </c>
      <c r="E5" s="16">
        <f t="shared" si="0"/>
        <v>0.40384615384615385</v>
      </c>
      <c r="F5" s="17">
        <f t="shared" si="1"/>
        <v>75.516000000000005</v>
      </c>
      <c r="G5" s="18">
        <f t="shared" si="2"/>
        <v>10.788</v>
      </c>
      <c r="H5" s="17">
        <v>136</v>
      </c>
      <c r="I5" s="23">
        <f t="shared" si="3"/>
        <v>12.606599925843529</v>
      </c>
    </row>
    <row r="6" spans="1:9" ht="30" x14ac:dyDescent="0.25">
      <c r="A6" s="8" t="s">
        <v>23</v>
      </c>
      <c r="B6" s="21">
        <v>260.77199999999999</v>
      </c>
      <c r="C6" s="21">
        <v>170.376</v>
      </c>
      <c r="D6" s="15">
        <v>91.14</v>
      </c>
      <c r="E6" s="16">
        <f t="shared" si="0"/>
        <v>0.53493449781659386</v>
      </c>
      <c r="F6" s="17">
        <f t="shared" si="1"/>
        <v>65.192999999999998</v>
      </c>
      <c r="G6" s="18">
        <f t="shared" si="2"/>
        <v>9.3132857142857137</v>
      </c>
      <c r="H6" s="17">
        <v>55.8</v>
      </c>
      <c r="I6" s="19">
        <f t="shared" si="3"/>
        <v>5.9914407988587737</v>
      </c>
    </row>
    <row r="7" spans="1:9" ht="30" x14ac:dyDescent="0.25">
      <c r="A7" s="8" t="s">
        <v>36</v>
      </c>
      <c r="B7" s="15">
        <v>349.38</v>
      </c>
      <c r="C7" s="15">
        <v>277.92</v>
      </c>
      <c r="D7" s="15">
        <v>73.08</v>
      </c>
      <c r="E7" s="16">
        <f t="shared" si="0"/>
        <v>0.26295336787564766</v>
      </c>
      <c r="F7" s="17">
        <f t="shared" si="1"/>
        <v>87.344999999999999</v>
      </c>
      <c r="G7" s="18">
        <f t="shared" si="2"/>
        <v>12.477857142857143</v>
      </c>
      <c r="H7" s="17">
        <v>47.16</v>
      </c>
      <c r="I7" s="19">
        <f t="shared" si="3"/>
        <v>3.7794951056156618</v>
      </c>
    </row>
    <row r="8" spans="1:9" x14ac:dyDescent="0.25">
      <c r="A8" s="8" t="s">
        <v>30</v>
      </c>
      <c r="B8" s="22">
        <v>234</v>
      </c>
      <c r="C8" s="15">
        <v>174.24</v>
      </c>
      <c r="D8" s="15">
        <v>65.16</v>
      </c>
      <c r="E8" s="16">
        <f t="shared" si="0"/>
        <v>0.37396694214876031</v>
      </c>
      <c r="F8" s="17">
        <f t="shared" si="1"/>
        <v>58.5</v>
      </c>
      <c r="G8" s="18">
        <f t="shared" si="2"/>
        <v>8.3571428571428577</v>
      </c>
      <c r="H8" s="17">
        <v>6.48</v>
      </c>
      <c r="I8" s="19">
        <f t="shared" si="3"/>
        <v>0.77538461538461534</v>
      </c>
    </row>
    <row r="9" spans="1:9" x14ac:dyDescent="0.25">
      <c r="A9" s="8" t="s">
        <v>22</v>
      </c>
      <c r="B9" s="20">
        <v>108.6</v>
      </c>
      <c r="C9" s="21">
        <v>74.126000000000005</v>
      </c>
      <c r="D9" s="21">
        <v>40.795999999999999</v>
      </c>
      <c r="E9" s="16">
        <f t="shared" si="0"/>
        <v>0.55036019750155141</v>
      </c>
      <c r="F9" s="17">
        <f t="shared" si="1"/>
        <v>27.15</v>
      </c>
      <c r="G9" s="18">
        <f t="shared" si="2"/>
        <v>3.8785714285714286</v>
      </c>
      <c r="H9" s="17">
        <v>19.315999999999999</v>
      </c>
      <c r="I9" s="19">
        <f t="shared" si="3"/>
        <v>4.9801841620626153</v>
      </c>
    </row>
    <row r="10" spans="1:9" ht="30" x14ac:dyDescent="0.25">
      <c r="A10" s="8" t="s">
        <v>26</v>
      </c>
      <c r="B10" s="20">
        <v>114.3</v>
      </c>
      <c r="C10" s="20">
        <v>77.2</v>
      </c>
      <c r="D10" s="20">
        <v>40.1</v>
      </c>
      <c r="E10" s="16">
        <f t="shared" si="0"/>
        <v>0.51943005181347146</v>
      </c>
      <c r="F10" s="17">
        <f t="shared" si="1"/>
        <v>28.574999999999999</v>
      </c>
      <c r="G10" s="18">
        <f t="shared" si="2"/>
        <v>4.0821428571428573</v>
      </c>
      <c r="H10" s="17">
        <v>12.7</v>
      </c>
      <c r="I10" s="19">
        <f t="shared" si="3"/>
        <v>3.1111111111111107</v>
      </c>
    </row>
    <row r="11" spans="1:9" ht="30" x14ac:dyDescent="0.25">
      <c r="A11" s="8" t="s">
        <v>55</v>
      </c>
      <c r="B11" s="20">
        <v>36.799999999999997</v>
      </c>
      <c r="C11" s="26"/>
      <c r="D11" s="20">
        <v>36.799999999999997</v>
      </c>
      <c r="E11" s="16"/>
      <c r="F11" s="17">
        <f t="shared" si="1"/>
        <v>9.1999999999999993</v>
      </c>
      <c r="G11" s="18">
        <f t="shared" si="2"/>
        <v>1.3142857142857143</v>
      </c>
      <c r="H11" s="17">
        <v>0</v>
      </c>
      <c r="I11" s="19">
        <f t="shared" si="3"/>
        <v>0</v>
      </c>
    </row>
    <row r="12" spans="1:9" ht="30" x14ac:dyDescent="0.25">
      <c r="A12" s="8" t="s">
        <v>39</v>
      </c>
      <c r="B12" s="21">
        <v>184.17400000000001</v>
      </c>
      <c r="C12" s="15">
        <v>153.06</v>
      </c>
      <c r="D12" s="21">
        <v>36.643999999999998</v>
      </c>
      <c r="E12" s="16">
        <f>D12/C12</f>
        <v>0.23940938194172218</v>
      </c>
      <c r="F12" s="17">
        <f t="shared" si="1"/>
        <v>46.043500000000002</v>
      </c>
      <c r="G12" s="18">
        <f t="shared" si="2"/>
        <v>6.5776428571428571</v>
      </c>
      <c r="H12" s="17">
        <v>24.344000000000001</v>
      </c>
      <c r="I12" s="19">
        <f t="shared" si="3"/>
        <v>3.7010218597630504</v>
      </c>
    </row>
    <row r="13" spans="1:9" ht="30" x14ac:dyDescent="0.25">
      <c r="A13" s="8" t="s">
        <v>31</v>
      </c>
      <c r="B13" s="15">
        <v>119.88</v>
      </c>
      <c r="C13" s="20">
        <v>89.1</v>
      </c>
      <c r="D13" s="15">
        <v>32.22</v>
      </c>
      <c r="E13" s="16">
        <f>D13/C13</f>
        <v>0.36161616161616161</v>
      </c>
      <c r="F13" s="17">
        <f t="shared" si="1"/>
        <v>29.97</v>
      </c>
      <c r="G13" s="18">
        <f t="shared" si="2"/>
        <v>4.2814285714285711</v>
      </c>
      <c r="H13" s="17">
        <v>1.08</v>
      </c>
      <c r="I13" s="19">
        <f t="shared" si="3"/>
        <v>0.25225225225225228</v>
      </c>
    </row>
    <row r="14" spans="1:9" ht="30" x14ac:dyDescent="0.25">
      <c r="A14" s="8" t="s">
        <v>48</v>
      </c>
      <c r="B14" s="15">
        <v>268.74</v>
      </c>
      <c r="C14" s="20">
        <v>247.5</v>
      </c>
      <c r="D14" s="15">
        <v>31.68</v>
      </c>
      <c r="E14" s="16">
        <f>D14/C14</f>
        <v>0.128</v>
      </c>
      <c r="F14" s="17">
        <f t="shared" si="1"/>
        <v>67.185000000000002</v>
      </c>
      <c r="G14" s="18">
        <f t="shared" si="2"/>
        <v>9.5978571428571424</v>
      </c>
      <c r="H14" s="17">
        <v>7.56</v>
      </c>
      <c r="I14" s="19">
        <f t="shared" si="3"/>
        <v>0.78767582049564633</v>
      </c>
    </row>
    <row r="15" spans="1:9" ht="30" x14ac:dyDescent="0.25">
      <c r="A15" s="8" t="s">
        <v>56</v>
      </c>
      <c r="B15" s="20">
        <v>31.1</v>
      </c>
      <c r="C15" s="26"/>
      <c r="D15" s="20">
        <v>31.1</v>
      </c>
      <c r="E15" s="16"/>
      <c r="F15" s="17">
        <f t="shared" si="1"/>
        <v>7.7750000000000004</v>
      </c>
      <c r="G15" s="18">
        <f t="shared" si="2"/>
        <v>1.1107142857142858</v>
      </c>
      <c r="H15" s="17"/>
      <c r="I15" s="23">
        <f t="shared" si="3"/>
        <v>0</v>
      </c>
    </row>
    <row r="16" spans="1:9" ht="30" x14ac:dyDescent="0.25">
      <c r="A16" s="8" t="s">
        <v>34</v>
      </c>
      <c r="B16" s="21">
        <v>119.238</v>
      </c>
      <c r="C16" s="21">
        <v>95.876000000000005</v>
      </c>
      <c r="D16" s="15">
        <v>27.59</v>
      </c>
      <c r="E16" s="16">
        <f t="shared" ref="E16:E28" si="4">D16/C16</f>
        <v>0.28776753306354041</v>
      </c>
      <c r="F16" s="17">
        <f t="shared" si="1"/>
        <v>29.8095</v>
      </c>
      <c r="G16" s="18">
        <f t="shared" si="2"/>
        <v>4.2584999999999997</v>
      </c>
      <c r="H16" s="17">
        <v>19.911999999999999</v>
      </c>
      <c r="I16" s="19">
        <f t="shared" si="3"/>
        <v>4.6758248209463424</v>
      </c>
    </row>
    <row r="17" spans="1:9" x14ac:dyDescent="0.25">
      <c r="A17" s="8" t="s">
        <v>19</v>
      </c>
      <c r="B17" s="20">
        <v>57.6</v>
      </c>
      <c r="C17" s="15">
        <v>34.380000000000003</v>
      </c>
      <c r="D17" s="15">
        <v>27.54</v>
      </c>
      <c r="E17" s="16">
        <f t="shared" si="4"/>
        <v>0.80104712041884807</v>
      </c>
      <c r="F17" s="17">
        <f t="shared" si="1"/>
        <v>14.4</v>
      </c>
      <c r="G17" s="18">
        <f t="shared" si="2"/>
        <v>2.0571428571428574</v>
      </c>
      <c r="H17" s="17">
        <v>6.48</v>
      </c>
      <c r="I17" s="19">
        <f t="shared" si="3"/>
        <v>3.15</v>
      </c>
    </row>
    <row r="18" spans="1:9" ht="30" x14ac:dyDescent="0.25">
      <c r="A18" s="8" t="s">
        <v>17</v>
      </c>
      <c r="B18" s="20">
        <v>46.3</v>
      </c>
      <c r="C18" s="21">
        <v>28.812000000000001</v>
      </c>
      <c r="D18" s="21">
        <v>24.882000000000001</v>
      </c>
      <c r="E18" s="16">
        <f t="shared" si="4"/>
        <v>0.86359850062473975</v>
      </c>
      <c r="F18" s="17">
        <f t="shared" si="1"/>
        <v>11.574999999999999</v>
      </c>
      <c r="G18" s="18">
        <f t="shared" si="2"/>
        <v>1.6535714285714285</v>
      </c>
      <c r="H18" s="17">
        <v>7.56</v>
      </c>
      <c r="I18" s="19">
        <f t="shared" si="3"/>
        <v>4.5719222462203026</v>
      </c>
    </row>
    <row r="19" spans="1:9" ht="30" x14ac:dyDescent="0.25">
      <c r="A19" s="8" t="s">
        <v>21</v>
      </c>
      <c r="B19" s="21">
        <v>50.875999999999998</v>
      </c>
      <c r="C19" s="21">
        <v>35.338000000000001</v>
      </c>
      <c r="D19" s="21">
        <v>21.734000000000002</v>
      </c>
      <c r="E19" s="16">
        <f t="shared" si="4"/>
        <v>0.61503197690871025</v>
      </c>
      <c r="F19" s="17">
        <f t="shared" si="1"/>
        <v>12.718999999999999</v>
      </c>
      <c r="G19" s="18">
        <f t="shared" si="2"/>
        <v>1.8169999999999999</v>
      </c>
      <c r="H19" s="24">
        <v>25.494</v>
      </c>
      <c r="I19" s="23">
        <f t="shared" si="3"/>
        <v>14.030820033021465</v>
      </c>
    </row>
    <row r="20" spans="1:9" ht="30" x14ac:dyDescent="0.25">
      <c r="A20" s="8" t="s">
        <v>24</v>
      </c>
      <c r="B20" s="15">
        <v>52.38</v>
      </c>
      <c r="C20" s="15">
        <v>38.159999999999997</v>
      </c>
      <c r="D20" s="15">
        <v>20.34</v>
      </c>
      <c r="E20" s="16">
        <f t="shared" si="4"/>
        <v>0.53301886792452835</v>
      </c>
      <c r="F20" s="17">
        <f t="shared" si="1"/>
        <v>13.095000000000001</v>
      </c>
      <c r="G20" s="18">
        <f t="shared" si="2"/>
        <v>1.8707142857142858</v>
      </c>
      <c r="H20" s="17">
        <v>0</v>
      </c>
      <c r="I20" s="19">
        <f t="shared" si="3"/>
        <v>0</v>
      </c>
    </row>
    <row r="21" spans="1:9" ht="30" x14ac:dyDescent="0.25">
      <c r="A21" s="8" t="s">
        <v>38</v>
      </c>
      <c r="B21" s="20">
        <v>100.4</v>
      </c>
      <c r="C21" s="20">
        <v>82.6</v>
      </c>
      <c r="D21" s="20">
        <v>19.8</v>
      </c>
      <c r="E21" s="16">
        <f t="shared" si="4"/>
        <v>0.23970944309927364</v>
      </c>
      <c r="F21" s="17">
        <f t="shared" si="1"/>
        <v>25.1</v>
      </c>
      <c r="G21" s="18">
        <f t="shared" si="2"/>
        <v>3.5857142857142859</v>
      </c>
      <c r="H21" s="17">
        <v>25.2</v>
      </c>
      <c r="I21" s="23">
        <f t="shared" si="3"/>
        <v>7.0278884462151385</v>
      </c>
    </row>
    <row r="22" spans="1:9" ht="30" x14ac:dyDescent="0.25">
      <c r="A22" s="8" t="s">
        <v>27</v>
      </c>
      <c r="B22" s="15">
        <v>43.68</v>
      </c>
      <c r="C22" s="15">
        <v>30.24</v>
      </c>
      <c r="D22" s="15">
        <v>15.12</v>
      </c>
      <c r="E22" s="16">
        <f t="shared" si="4"/>
        <v>0.5</v>
      </c>
      <c r="F22" s="17">
        <f t="shared" si="1"/>
        <v>10.92</v>
      </c>
      <c r="G22" s="18">
        <f t="shared" si="2"/>
        <v>1.56</v>
      </c>
      <c r="H22" s="17">
        <v>8.5399999999999991</v>
      </c>
      <c r="I22" s="19">
        <f t="shared" si="3"/>
        <v>5.4743589743589736</v>
      </c>
    </row>
    <row r="23" spans="1:9" ht="30" x14ac:dyDescent="0.25">
      <c r="A23" s="8" t="s">
        <v>42</v>
      </c>
      <c r="B23" s="20">
        <v>77.5</v>
      </c>
      <c r="C23" s="21">
        <v>69.016000000000005</v>
      </c>
      <c r="D23" s="21">
        <v>13.702</v>
      </c>
      <c r="E23" s="16">
        <f t="shared" si="4"/>
        <v>0.19853367335110697</v>
      </c>
      <c r="F23" s="17">
        <f t="shared" si="1"/>
        <v>19.375</v>
      </c>
      <c r="G23" s="18">
        <f t="shared" si="2"/>
        <v>2.7678571428571428</v>
      </c>
      <c r="H23" s="17">
        <v>44.701999999999998</v>
      </c>
      <c r="I23" s="23">
        <f t="shared" si="3"/>
        <v>16.150400000000001</v>
      </c>
    </row>
    <row r="24" spans="1:9" ht="30" x14ac:dyDescent="0.25">
      <c r="A24" s="8" t="s">
        <v>28</v>
      </c>
      <c r="B24" s="15">
        <v>42.48</v>
      </c>
      <c r="C24" s="15">
        <v>30.24</v>
      </c>
      <c r="D24" s="15">
        <v>12.96</v>
      </c>
      <c r="E24" s="16">
        <f t="shared" si="4"/>
        <v>0.4285714285714286</v>
      </c>
      <c r="F24" s="17">
        <f t="shared" si="1"/>
        <v>10.62</v>
      </c>
      <c r="G24" s="18">
        <f t="shared" si="2"/>
        <v>1.5171428571428571</v>
      </c>
      <c r="H24" s="17">
        <v>8.2799999999999994</v>
      </c>
      <c r="I24" s="19">
        <f t="shared" si="3"/>
        <v>5.4576271186440675</v>
      </c>
    </row>
    <row r="25" spans="1:9" x14ac:dyDescent="0.25">
      <c r="A25" s="8" t="s">
        <v>35</v>
      </c>
      <c r="B25" s="20">
        <v>53.2</v>
      </c>
      <c r="C25" s="20">
        <v>42.4</v>
      </c>
      <c r="D25" s="20">
        <v>11.7</v>
      </c>
      <c r="E25" s="16">
        <f t="shared" si="4"/>
        <v>0.27594339622641506</v>
      </c>
      <c r="F25" s="17">
        <f t="shared" si="1"/>
        <v>13.3</v>
      </c>
      <c r="G25" s="18">
        <f t="shared" si="2"/>
        <v>1.9000000000000001</v>
      </c>
      <c r="H25" s="17">
        <v>0</v>
      </c>
      <c r="I25" s="23">
        <f t="shared" si="3"/>
        <v>0</v>
      </c>
    </row>
    <row r="26" spans="1:9" ht="30" x14ac:dyDescent="0.25">
      <c r="A26" s="8" t="s">
        <v>37</v>
      </c>
      <c r="B26" s="20">
        <v>51.2</v>
      </c>
      <c r="C26" s="20">
        <v>41.2</v>
      </c>
      <c r="D26" s="20">
        <v>10.7</v>
      </c>
      <c r="E26" s="16">
        <f t="shared" si="4"/>
        <v>0.25970873786407761</v>
      </c>
      <c r="F26" s="17">
        <f t="shared" si="1"/>
        <v>12.8</v>
      </c>
      <c r="G26" s="18">
        <f t="shared" si="2"/>
        <v>1.8285714285714287</v>
      </c>
      <c r="H26" s="17">
        <v>10.7</v>
      </c>
      <c r="I26" s="23">
        <f t="shared" si="3"/>
        <v>5.8515624999999991</v>
      </c>
    </row>
    <row r="27" spans="1:9" ht="30" x14ac:dyDescent="0.25">
      <c r="A27" s="8" t="s">
        <v>33</v>
      </c>
      <c r="B27" s="20">
        <v>41.5</v>
      </c>
      <c r="C27" s="20">
        <v>31.7</v>
      </c>
      <c r="D27" s="20">
        <v>10.5</v>
      </c>
      <c r="E27" s="16">
        <f t="shared" si="4"/>
        <v>0.33123028391167192</v>
      </c>
      <c r="F27" s="17">
        <f t="shared" si="1"/>
        <v>10.375</v>
      </c>
      <c r="G27" s="18">
        <f t="shared" si="2"/>
        <v>1.4821428571428572</v>
      </c>
      <c r="H27" s="17">
        <v>0.5</v>
      </c>
      <c r="I27" s="23">
        <f t="shared" si="3"/>
        <v>0.33734939759036142</v>
      </c>
    </row>
    <row r="28" spans="1:9" ht="30" x14ac:dyDescent="0.25">
      <c r="A28" s="8" t="s">
        <v>20</v>
      </c>
      <c r="B28" s="20">
        <v>21.2</v>
      </c>
      <c r="C28" s="20">
        <v>13.2</v>
      </c>
      <c r="D28" s="22">
        <v>10</v>
      </c>
      <c r="E28" s="16">
        <f t="shared" si="4"/>
        <v>0.75757575757575757</v>
      </c>
      <c r="F28" s="17">
        <f t="shared" si="1"/>
        <v>5.3</v>
      </c>
      <c r="G28" s="18">
        <f t="shared" si="2"/>
        <v>0.75714285714285712</v>
      </c>
      <c r="H28" s="17">
        <v>17.600000000000001</v>
      </c>
      <c r="I28" s="23">
        <f t="shared" si="3"/>
        <v>23.245283018867926</v>
      </c>
    </row>
    <row r="29" spans="1:9" ht="30" x14ac:dyDescent="0.25">
      <c r="A29" s="8" t="s">
        <v>57</v>
      </c>
      <c r="B29" s="22">
        <v>10</v>
      </c>
      <c r="C29" s="26"/>
      <c r="D29" s="22">
        <v>10</v>
      </c>
      <c r="E29" s="16"/>
      <c r="F29" s="17">
        <f t="shared" si="1"/>
        <v>2.5</v>
      </c>
      <c r="G29" s="18">
        <f t="shared" si="2"/>
        <v>0.35714285714285715</v>
      </c>
      <c r="H29" s="17"/>
      <c r="I29" s="23">
        <f t="shared" si="3"/>
        <v>0</v>
      </c>
    </row>
    <row r="30" spans="1:9" ht="30" x14ac:dyDescent="0.25">
      <c r="A30" s="8" t="s">
        <v>25</v>
      </c>
      <c r="B30" s="15">
        <v>28.42</v>
      </c>
      <c r="C30" s="15">
        <v>18.62</v>
      </c>
      <c r="D30" s="20">
        <v>9.8000000000000007</v>
      </c>
      <c r="E30" s="16">
        <f t="shared" ref="E30:E36" si="5">D30/C30</f>
        <v>0.52631578947368418</v>
      </c>
      <c r="F30" s="17">
        <f t="shared" si="1"/>
        <v>7.1050000000000004</v>
      </c>
      <c r="G30" s="18">
        <f t="shared" si="2"/>
        <v>1.0150000000000001</v>
      </c>
      <c r="H30" s="17">
        <v>2.1</v>
      </c>
      <c r="I30" s="19">
        <f t="shared" si="3"/>
        <v>2.068965517241379</v>
      </c>
    </row>
    <row r="31" spans="1:9" ht="30" x14ac:dyDescent="0.25">
      <c r="A31" s="8" t="s">
        <v>44</v>
      </c>
      <c r="B31" s="15">
        <v>40.46</v>
      </c>
      <c r="C31" s="21">
        <v>36.103999999999999</v>
      </c>
      <c r="D31" s="21">
        <v>6.774</v>
      </c>
      <c r="E31" s="16">
        <f t="shared" si="5"/>
        <v>0.18762463992909373</v>
      </c>
      <c r="F31" s="17">
        <f t="shared" si="1"/>
        <v>10.115</v>
      </c>
      <c r="G31" s="18">
        <f t="shared" si="2"/>
        <v>1.4450000000000001</v>
      </c>
      <c r="H31" s="17">
        <v>83.251999999999995</v>
      </c>
      <c r="I31" s="23">
        <f t="shared" si="3"/>
        <v>57.613840830449824</v>
      </c>
    </row>
    <row r="32" spans="1:9" ht="30" x14ac:dyDescent="0.25">
      <c r="A32" s="8" t="s">
        <v>40</v>
      </c>
      <c r="B32" s="15">
        <v>27.36</v>
      </c>
      <c r="C32" s="15">
        <v>22.68</v>
      </c>
      <c r="D32" s="15">
        <v>5.04</v>
      </c>
      <c r="E32" s="16">
        <f t="shared" si="5"/>
        <v>0.22222222222222224</v>
      </c>
      <c r="F32" s="17">
        <f t="shared" si="1"/>
        <v>6.84</v>
      </c>
      <c r="G32" s="18">
        <f t="shared" si="2"/>
        <v>0.97714285714285709</v>
      </c>
      <c r="H32" s="17">
        <v>4.8600000000000003</v>
      </c>
      <c r="I32" s="19">
        <f t="shared" si="3"/>
        <v>4.9736842105263168</v>
      </c>
    </row>
    <row r="33" spans="1:9" ht="30" x14ac:dyDescent="0.25">
      <c r="A33" s="8" t="s">
        <v>41</v>
      </c>
      <c r="B33" s="15">
        <v>23.94</v>
      </c>
      <c r="C33" s="15">
        <v>22.32</v>
      </c>
      <c r="D33" s="15">
        <v>4.8600000000000003</v>
      </c>
      <c r="E33" s="16">
        <f t="shared" si="5"/>
        <v>0.21774193548387097</v>
      </c>
      <c r="F33" s="17">
        <f t="shared" si="1"/>
        <v>5.9850000000000003</v>
      </c>
      <c r="G33" s="18">
        <f t="shared" si="2"/>
        <v>0.85500000000000009</v>
      </c>
      <c r="H33" s="17">
        <v>0</v>
      </c>
      <c r="I33" s="23">
        <f t="shared" si="3"/>
        <v>0</v>
      </c>
    </row>
    <row r="34" spans="1:9" ht="30" x14ac:dyDescent="0.25">
      <c r="A34" s="8" t="s">
        <v>45</v>
      </c>
      <c r="B34" s="22">
        <v>31</v>
      </c>
      <c r="C34" s="20">
        <v>26.2</v>
      </c>
      <c r="D34" s="20">
        <v>4.8</v>
      </c>
      <c r="E34" s="16">
        <f t="shared" si="5"/>
        <v>0.18320610687022901</v>
      </c>
      <c r="F34" s="17">
        <f t="shared" ref="F34:F52" si="6">B34/4</f>
        <v>7.75</v>
      </c>
      <c r="G34" s="18">
        <f t="shared" ref="G34:G52" si="7">F34/7</f>
        <v>1.1071428571428572</v>
      </c>
      <c r="H34" s="17">
        <v>6.4</v>
      </c>
      <c r="I34" s="23">
        <f t="shared" ref="I34:I52" si="8">H34/G34</f>
        <v>5.7806451612903222</v>
      </c>
    </row>
    <row r="35" spans="1:9" ht="30" x14ac:dyDescent="0.25">
      <c r="A35" s="8" t="s">
        <v>43</v>
      </c>
      <c r="B35" s="15">
        <v>27.54</v>
      </c>
      <c r="C35" s="20">
        <v>23.4</v>
      </c>
      <c r="D35" s="20">
        <v>4.5</v>
      </c>
      <c r="E35" s="16">
        <f t="shared" si="5"/>
        <v>0.19230769230769232</v>
      </c>
      <c r="F35" s="17">
        <f t="shared" si="6"/>
        <v>6.8849999999999998</v>
      </c>
      <c r="G35" s="18">
        <f t="shared" si="7"/>
        <v>0.98357142857142854</v>
      </c>
      <c r="H35" s="17">
        <v>5.04</v>
      </c>
      <c r="I35" s="19">
        <f t="shared" si="8"/>
        <v>5.1241830065359482</v>
      </c>
    </row>
    <row r="36" spans="1:9" x14ac:dyDescent="0.25">
      <c r="A36" s="8" t="s">
        <v>50</v>
      </c>
      <c r="B36" s="15">
        <v>73.08</v>
      </c>
      <c r="C36" s="15">
        <v>69.66</v>
      </c>
      <c r="D36" s="15">
        <v>4.32</v>
      </c>
      <c r="E36" s="16">
        <f t="shared" si="5"/>
        <v>6.2015503875968998E-2</v>
      </c>
      <c r="F36" s="17">
        <f t="shared" si="6"/>
        <v>18.27</v>
      </c>
      <c r="G36" s="18">
        <f t="shared" si="7"/>
        <v>2.61</v>
      </c>
      <c r="H36" s="17">
        <v>28.44</v>
      </c>
      <c r="I36" s="23">
        <f t="shared" si="8"/>
        <v>10.896551724137932</v>
      </c>
    </row>
    <row r="37" spans="1:9" ht="30" x14ac:dyDescent="0.25">
      <c r="A37" s="8" t="s">
        <v>58</v>
      </c>
      <c r="B37" s="15">
        <v>3.78</v>
      </c>
      <c r="C37" s="26"/>
      <c r="D37" s="15">
        <v>3.78</v>
      </c>
      <c r="E37" s="16"/>
      <c r="F37" s="17">
        <f t="shared" si="6"/>
        <v>0.94499999999999995</v>
      </c>
      <c r="G37" s="18">
        <f t="shared" si="7"/>
        <v>0.13499999999999998</v>
      </c>
      <c r="H37" s="17"/>
      <c r="I37" s="23">
        <f t="shared" si="8"/>
        <v>0</v>
      </c>
    </row>
    <row r="38" spans="1:9" ht="30" x14ac:dyDescent="0.25">
      <c r="A38" s="8" t="s">
        <v>46</v>
      </c>
      <c r="B38" s="21">
        <v>19.827999999999999</v>
      </c>
      <c r="C38" s="21">
        <v>16.978000000000002</v>
      </c>
      <c r="D38" s="22">
        <v>3</v>
      </c>
      <c r="E38" s="16">
        <f>D38/C38</f>
        <v>0.17669925786311697</v>
      </c>
      <c r="F38" s="17">
        <f t="shared" si="6"/>
        <v>4.9569999999999999</v>
      </c>
      <c r="G38" s="18">
        <f t="shared" si="7"/>
        <v>0.70814285714285707</v>
      </c>
      <c r="H38" s="17">
        <v>1.53</v>
      </c>
      <c r="I38" s="19">
        <f t="shared" si="8"/>
        <v>2.1605809965705065</v>
      </c>
    </row>
    <row r="39" spans="1:9" ht="30" x14ac:dyDescent="0.25">
      <c r="A39" s="8" t="s">
        <v>49</v>
      </c>
      <c r="B39" s="20">
        <v>31.4</v>
      </c>
      <c r="C39" s="20">
        <v>28.6</v>
      </c>
      <c r="D39" s="20">
        <v>2.8</v>
      </c>
      <c r="E39" s="16">
        <f>D39/C39</f>
        <v>9.790209790209789E-2</v>
      </c>
      <c r="F39" s="17">
        <f t="shared" si="6"/>
        <v>7.85</v>
      </c>
      <c r="G39" s="18">
        <f t="shared" si="7"/>
        <v>1.1214285714285714</v>
      </c>
      <c r="H39" s="17">
        <v>9.1999999999999993</v>
      </c>
      <c r="I39" s="23">
        <f t="shared" si="8"/>
        <v>8.2038216560509554</v>
      </c>
    </row>
    <row r="40" spans="1:9" ht="30" x14ac:dyDescent="0.25">
      <c r="A40" s="8" t="s">
        <v>53</v>
      </c>
      <c r="B40" s="22">
        <v>79</v>
      </c>
      <c r="C40" s="21">
        <v>84.007999999999996</v>
      </c>
      <c r="D40" s="21">
        <v>2.6920000000000002</v>
      </c>
      <c r="E40" s="16">
        <f>D40/C40</f>
        <v>3.2044567184077707E-2</v>
      </c>
      <c r="F40" s="17">
        <f t="shared" si="6"/>
        <v>19.75</v>
      </c>
      <c r="G40" s="18">
        <f t="shared" si="7"/>
        <v>2.8214285714285716</v>
      </c>
      <c r="H40" s="17">
        <v>0</v>
      </c>
      <c r="I40" s="23">
        <f t="shared" si="8"/>
        <v>0</v>
      </c>
    </row>
    <row r="41" spans="1:9" ht="30" x14ac:dyDescent="0.25">
      <c r="A41" s="8" t="s">
        <v>59</v>
      </c>
      <c r="B41" s="15">
        <v>2.52</v>
      </c>
      <c r="C41" s="26"/>
      <c r="D41" s="15">
        <v>2.52</v>
      </c>
      <c r="E41" s="16"/>
      <c r="F41" s="17">
        <f t="shared" si="6"/>
        <v>0.63</v>
      </c>
      <c r="G41" s="18">
        <f t="shared" si="7"/>
        <v>0.09</v>
      </c>
      <c r="H41" s="17">
        <v>0</v>
      </c>
      <c r="I41" s="23">
        <f t="shared" si="8"/>
        <v>0</v>
      </c>
    </row>
    <row r="42" spans="1:9" ht="30" x14ac:dyDescent="0.25">
      <c r="A42" s="8" t="s">
        <v>60</v>
      </c>
      <c r="B42" s="15">
        <v>2.34</v>
      </c>
      <c r="C42" s="26"/>
      <c r="D42" s="15">
        <v>2.34</v>
      </c>
      <c r="E42" s="16"/>
      <c r="F42" s="17">
        <f t="shared" si="6"/>
        <v>0.58499999999999996</v>
      </c>
      <c r="G42" s="18">
        <f t="shared" si="7"/>
        <v>8.357142857142856E-2</v>
      </c>
      <c r="H42" s="17">
        <v>0</v>
      </c>
      <c r="I42" s="23">
        <f t="shared" si="8"/>
        <v>0</v>
      </c>
    </row>
    <row r="43" spans="1:9" ht="30" x14ac:dyDescent="0.25">
      <c r="A43" s="8" t="s">
        <v>52</v>
      </c>
      <c r="B43" s="15">
        <v>37.950000000000003</v>
      </c>
      <c r="C43" s="20">
        <v>36.299999999999997</v>
      </c>
      <c r="D43" s="15">
        <v>1.65</v>
      </c>
      <c r="E43" s="16">
        <f>D43/C43</f>
        <v>4.5454545454545456E-2</v>
      </c>
      <c r="F43" s="17">
        <f t="shared" si="6"/>
        <v>9.4875000000000007</v>
      </c>
      <c r="G43" s="18">
        <f t="shared" si="7"/>
        <v>1.3553571428571429</v>
      </c>
      <c r="H43" s="17">
        <v>75.512</v>
      </c>
      <c r="I43" s="23">
        <f t="shared" si="8"/>
        <v>55.713728590250327</v>
      </c>
    </row>
    <row r="44" spans="1:9" x14ac:dyDescent="0.25">
      <c r="A44" s="8" t="s">
        <v>61</v>
      </c>
      <c r="B44" s="20">
        <v>1.6</v>
      </c>
      <c r="C44" s="26"/>
      <c r="D44" s="20">
        <v>1.6</v>
      </c>
      <c r="E44" s="16"/>
      <c r="F44" s="17">
        <f t="shared" si="6"/>
        <v>0.4</v>
      </c>
      <c r="G44" s="18">
        <f t="shared" si="7"/>
        <v>5.7142857142857148E-2</v>
      </c>
      <c r="H44" s="17">
        <v>0</v>
      </c>
      <c r="I44" s="23">
        <f t="shared" si="8"/>
        <v>0</v>
      </c>
    </row>
    <row r="45" spans="1:9" x14ac:dyDescent="0.25">
      <c r="A45" s="8" t="s">
        <v>62</v>
      </c>
      <c r="B45" s="20">
        <v>1.5</v>
      </c>
      <c r="C45" s="26"/>
      <c r="D45" s="20">
        <v>1.5</v>
      </c>
      <c r="E45" s="16"/>
      <c r="F45" s="17">
        <f t="shared" si="6"/>
        <v>0.375</v>
      </c>
      <c r="G45" s="18">
        <f t="shared" si="7"/>
        <v>5.3571428571428568E-2</v>
      </c>
      <c r="H45" s="17">
        <v>0</v>
      </c>
      <c r="I45" s="23">
        <f t="shared" si="8"/>
        <v>0</v>
      </c>
    </row>
    <row r="46" spans="1:9" x14ac:dyDescent="0.25">
      <c r="A46" s="8" t="s">
        <v>63</v>
      </c>
      <c r="B46" s="20">
        <v>0.9</v>
      </c>
      <c r="C46" s="26"/>
      <c r="D46" s="20">
        <v>0.9</v>
      </c>
      <c r="E46" s="16"/>
      <c r="F46" s="17">
        <f t="shared" si="6"/>
        <v>0.22500000000000001</v>
      </c>
      <c r="G46" s="18">
        <f t="shared" si="7"/>
        <v>3.2142857142857147E-2</v>
      </c>
      <c r="H46" s="17">
        <v>0</v>
      </c>
      <c r="I46" s="23">
        <f t="shared" si="8"/>
        <v>0</v>
      </c>
    </row>
    <row r="47" spans="1:9" ht="30" x14ac:dyDescent="0.25">
      <c r="A47" s="8" t="s">
        <v>64</v>
      </c>
      <c r="B47" s="20">
        <v>0.9</v>
      </c>
      <c r="C47" s="26"/>
      <c r="D47" s="20">
        <v>0.9</v>
      </c>
      <c r="E47" s="16"/>
      <c r="F47" s="17">
        <f t="shared" si="6"/>
        <v>0.22500000000000001</v>
      </c>
      <c r="G47" s="18">
        <f t="shared" si="7"/>
        <v>3.2142857142857147E-2</v>
      </c>
      <c r="H47" s="17">
        <v>0</v>
      </c>
      <c r="I47" s="23">
        <f t="shared" si="8"/>
        <v>0</v>
      </c>
    </row>
    <row r="48" spans="1:9" x14ac:dyDescent="0.25">
      <c r="A48" s="8" t="s">
        <v>47</v>
      </c>
      <c r="B48" s="20">
        <v>6.3</v>
      </c>
      <c r="C48" s="20">
        <v>5.8</v>
      </c>
      <c r="D48" s="20">
        <v>0.8</v>
      </c>
      <c r="E48" s="16">
        <f>D48/C48</f>
        <v>0.13793103448275862</v>
      </c>
      <c r="F48" s="17">
        <f t="shared" si="6"/>
        <v>1.575</v>
      </c>
      <c r="G48" s="18">
        <f t="shared" si="7"/>
        <v>0.22500000000000001</v>
      </c>
      <c r="H48" s="17">
        <v>2</v>
      </c>
      <c r="I48" s="23">
        <f t="shared" si="8"/>
        <v>8.8888888888888893</v>
      </c>
    </row>
    <row r="49" spans="1:9" ht="30" x14ac:dyDescent="0.25">
      <c r="A49" s="8" t="s">
        <v>65</v>
      </c>
      <c r="B49" s="20">
        <v>0.8</v>
      </c>
      <c r="C49" s="26"/>
      <c r="D49" s="20">
        <v>0.8</v>
      </c>
      <c r="E49" s="16"/>
      <c r="F49" s="17">
        <f t="shared" si="6"/>
        <v>0.2</v>
      </c>
      <c r="G49" s="18">
        <f t="shared" si="7"/>
        <v>2.8571428571428574E-2</v>
      </c>
      <c r="H49" s="17">
        <v>0</v>
      </c>
      <c r="I49" s="23">
        <f t="shared" si="8"/>
        <v>0</v>
      </c>
    </row>
    <row r="50" spans="1:9" x14ac:dyDescent="0.25">
      <c r="A50" s="8" t="s">
        <v>51</v>
      </c>
      <c r="B50" s="20">
        <v>3.9</v>
      </c>
      <c r="C50" s="20">
        <v>3.7</v>
      </c>
      <c r="D50" s="20">
        <v>0.2</v>
      </c>
      <c r="E50" s="16">
        <f>D50/C50</f>
        <v>5.4054054054054057E-2</v>
      </c>
      <c r="F50" s="17">
        <f t="shared" si="6"/>
        <v>0.97499999999999998</v>
      </c>
      <c r="G50" s="18">
        <f t="shared" si="7"/>
        <v>0.13928571428571429</v>
      </c>
      <c r="H50" s="17">
        <v>4.9000000000000004</v>
      </c>
      <c r="I50" s="23">
        <f t="shared" si="8"/>
        <v>35.179487179487182</v>
      </c>
    </row>
    <row r="51" spans="1:9" ht="30" x14ac:dyDescent="0.25">
      <c r="A51" s="8" t="s">
        <v>66</v>
      </c>
      <c r="B51" s="20">
        <v>0.1</v>
      </c>
      <c r="C51" s="26"/>
      <c r="D51" s="20">
        <v>0.1</v>
      </c>
      <c r="E51" s="16"/>
      <c r="F51" s="17">
        <f t="shared" si="6"/>
        <v>2.5000000000000001E-2</v>
      </c>
      <c r="G51" s="18">
        <f t="shared" si="7"/>
        <v>3.5714285714285718E-3</v>
      </c>
      <c r="H51" s="17">
        <v>0</v>
      </c>
      <c r="I51" s="23">
        <f t="shared" si="8"/>
        <v>0</v>
      </c>
    </row>
    <row r="52" spans="1:9" ht="30" x14ac:dyDescent="0.25">
      <c r="A52" s="8" t="s">
        <v>54</v>
      </c>
      <c r="B52" s="21">
        <v>1.595</v>
      </c>
      <c r="C52" s="21">
        <v>1.595</v>
      </c>
      <c r="D52" s="25"/>
      <c r="E52" s="16">
        <f>D52/C52</f>
        <v>0</v>
      </c>
      <c r="F52" s="17">
        <f t="shared" si="6"/>
        <v>0.39874999999999999</v>
      </c>
      <c r="G52" s="18">
        <f t="shared" si="7"/>
        <v>5.696428571428571E-2</v>
      </c>
      <c r="H52" s="17">
        <v>20.914999999999999</v>
      </c>
      <c r="I52" s="23">
        <f t="shared" si="8"/>
        <v>367.15987460815046</v>
      </c>
    </row>
    <row r="53" spans="1:9" x14ac:dyDescent="0.25">
      <c r="A53" s="8"/>
      <c r="B53" s="20"/>
      <c r="C53" s="26"/>
      <c r="D53" s="20"/>
      <c r="E53" s="16"/>
      <c r="F53" s="17"/>
      <c r="G53" s="18"/>
      <c r="H53" s="17"/>
      <c r="I53" s="23"/>
    </row>
    <row r="54" spans="1:9" x14ac:dyDescent="0.25">
      <c r="A54" s="7" t="s">
        <v>67</v>
      </c>
      <c r="B54" s="27">
        <v>4103.4650000000001</v>
      </c>
      <c r="C54" s="27">
        <v>3000.6970000000001</v>
      </c>
      <c r="D54" s="28">
        <v>1236.22</v>
      </c>
      <c r="E54" s="16">
        <f>D54/C54</f>
        <v>0.41197761720027049</v>
      </c>
      <c r="F54" s="17">
        <f t="shared" ref="F54" si="9">B54/4</f>
        <v>1025.86625</v>
      </c>
      <c r="G54" s="18">
        <f t="shared" ref="G54" si="10">F54/7</f>
        <v>146.55232142857145</v>
      </c>
      <c r="H54" s="17"/>
      <c r="I54" s="23">
        <f t="shared" ref="I54" si="11">H54/G54</f>
        <v>0</v>
      </c>
    </row>
  </sheetData>
  <autoFilter ref="A1:I1" xr:uid="{3D0637B8-DE4B-4AFB-9B3A-1ABC929AF8E2}">
    <sortState xmlns:xlrd2="http://schemas.microsoft.com/office/spreadsheetml/2017/richdata2" ref="A2:I52">
      <sortCondition descending="1"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8FAD-E61A-49C8-8DA1-0EDD9146B740}">
  <dimension ref="A1:I55"/>
  <sheetViews>
    <sheetView workbookViewId="0">
      <selection activeCell="A7" sqref="A7"/>
    </sheetView>
  </sheetViews>
  <sheetFormatPr defaultRowHeight="15" x14ac:dyDescent="0.25"/>
  <cols>
    <col min="1" max="1" width="53.7109375" customWidth="1"/>
  </cols>
  <sheetData>
    <row r="1" spans="1:9" ht="38.25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</row>
    <row r="2" spans="1:9" ht="30" x14ac:dyDescent="0.25">
      <c r="A2" s="8" t="s">
        <v>18</v>
      </c>
      <c r="B2" s="31">
        <v>831.79200000000003</v>
      </c>
      <c r="C2" s="31">
        <v>569.904</v>
      </c>
      <c r="D2" s="31">
        <v>278.25599999999997</v>
      </c>
      <c r="E2" s="16">
        <f t="shared" ref="E2:E30" si="0">D2/C2</f>
        <v>0.4882506527415143</v>
      </c>
      <c r="F2" s="17">
        <f t="shared" ref="F2:F33" si="1">B2/4</f>
        <v>207.94800000000001</v>
      </c>
      <c r="G2" s="10">
        <f t="shared" ref="G2:G33" si="2">F2/7</f>
        <v>29.706857142857142</v>
      </c>
      <c r="H2" s="11">
        <v>412.92</v>
      </c>
      <c r="I2" s="13">
        <f t="shared" ref="I2:I33" si="3">H2/G2</f>
        <v>13.899821109123435</v>
      </c>
    </row>
    <row r="3" spans="1:9" ht="30" x14ac:dyDescent="0.25">
      <c r="A3" s="8" t="s">
        <v>31</v>
      </c>
      <c r="B3" s="31">
        <v>478.26</v>
      </c>
      <c r="C3" s="31">
        <v>228.24</v>
      </c>
      <c r="D3" s="31">
        <v>254.52</v>
      </c>
      <c r="E3" s="16">
        <f t="shared" si="0"/>
        <v>1.1151419558359621</v>
      </c>
      <c r="F3" s="17">
        <f t="shared" si="1"/>
        <v>119.565</v>
      </c>
      <c r="G3" s="10">
        <f t="shared" si="2"/>
        <v>17.080714285714286</v>
      </c>
      <c r="H3" s="11">
        <v>30.42</v>
      </c>
      <c r="I3" s="12">
        <f t="shared" si="3"/>
        <v>1.7809559653744824</v>
      </c>
    </row>
    <row r="4" spans="1:9" ht="30" x14ac:dyDescent="0.25">
      <c r="A4" s="8" t="s">
        <v>32</v>
      </c>
      <c r="B4" s="31">
        <v>353.77199999999999</v>
      </c>
      <c r="C4" s="31">
        <v>190.464</v>
      </c>
      <c r="D4" s="31">
        <v>165.54</v>
      </c>
      <c r="E4" s="16">
        <f t="shared" si="0"/>
        <v>0.869140625</v>
      </c>
      <c r="F4" s="17">
        <f t="shared" si="1"/>
        <v>88.442999999999998</v>
      </c>
      <c r="G4" s="10">
        <f t="shared" si="2"/>
        <v>12.634714285714285</v>
      </c>
      <c r="H4" s="11">
        <v>0</v>
      </c>
      <c r="I4" s="12">
        <f t="shared" si="3"/>
        <v>0</v>
      </c>
    </row>
    <row r="5" spans="1:9" ht="30" x14ac:dyDescent="0.25">
      <c r="A5" s="8" t="s">
        <v>48</v>
      </c>
      <c r="B5" s="31">
        <v>252.54</v>
      </c>
      <c r="C5" s="31">
        <v>121.86</v>
      </c>
      <c r="D5" s="31">
        <v>131.94</v>
      </c>
      <c r="E5" s="16">
        <f t="shared" si="0"/>
        <v>1.0827178729689808</v>
      </c>
      <c r="F5" s="17">
        <f t="shared" si="1"/>
        <v>63.134999999999998</v>
      </c>
      <c r="G5" s="10">
        <f t="shared" si="2"/>
        <v>9.0192857142857132</v>
      </c>
      <c r="H5" s="11">
        <v>53.64</v>
      </c>
      <c r="I5" s="12">
        <f t="shared" si="3"/>
        <v>5.947255880256594</v>
      </c>
    </row>
    <row r="6" spans="1:9" x14ac:dyDescent="0.25">
      <c r="A6" s="8" t="s">
        <v>19</v>
      </c>
      <c r="B6" s="31">
        <v>99.72</v>
      </c>
      <c r="C6" s="31">
        <v>0.72</v>
      </c>
      <c r="D6" s="31">
        <v>99</v>
      </c>
      <c r="E6" s="16">
        <f t="shared" si="0"/>
        <v>137.5</v>
      </c>
      <c r="F6" s="17">
        <f t="shared" si="1"/>
        <v>24.93</v>
      </c>
      <c r="G6" s="10">
        <f t="shared" si="2"/>
        <v>3.5614285714285714</v>
      </c>
      <c r="H6" s="11">
        <v>0</v>
      </c>
      <c r="I6" s="12">
        <f t="shared" si="3"/>
        <v>0</v>
      </c>
    </row>
    <row r="7" spans="1:9" ht="30" x14ac:dyDescent="0.25">
      <c r="A7" s="8" t="s">
        <v>39</v>
      </c>
      <c r="B7" s="31">
        <v>338.346</v>
      </c>
      <c r="C7" s="31">
        <v>256.26100000000002</v>
      </c>
      <c r="D7" s="31">
        <v>96.709000000000003</v>
      </c>
      <c r="E7" s="16">
        <f t="shared" si="0"/>
        <v>0.37738477567792211</v>
      </c>
      <c r="F7" s="17">
        <f t="shared" si="1"/>
        <v>84.586500000000001</v>
      </c>
      <c r="G7" s="10">
        <f t="shared" si="2"/>
        <v>12.083785714285714</v>
      </c>
      <c r="H7" s="11">
        <v>199.21600000000001</v>
      </c>
      <c r="I7" s="13">
        <f t="shared" si="3"/>
        <v>16.486224161065891</v>
      </c>
    </row>
    <row r="8" spans="1:9" x14ac:dyDescent="0.25">
      <c r="A8" s="8" t="s">
        <v>30</v>
      </c>
      <c r="B8" s="31">
        <v>463.14</v>
      </c>
      <c r="C8" s="31">
        <v>380.52</v>
      </c>
      <c r="D8" s="31">
        <v>92.52</v>
      </c>
      <c r="E8" s="16">
        <f t="shared" si="0"/>
        <v>0.24314096499526963</v>
      </c>
      <c r="F8" s="17">
        <f t="shared" si="1"/>
        <v>115.785</v>
      </c>
      <c r="G8" s="10">
        <f t="shared" si="2"/>
        <v>16.540714285714284</v>
      </c>
      <c r="H8" s="11">
        <v>52.02</v>
      </c>
      <c r="I8" s="12">
        <f t="shared" si="3"/>
        <v>3.144966964632725</v>
      </c>
    </row>
    <row r="9" spans="1:9" ht="30" x14ac:dyDescent="0.25">
      <c r="A9" s="8" t="s">
        <v>34</v>
      </c>
      <c r="B9" s="31">
        <v>286.10000000000002</v>
      </c>
      <c r="C9" s="31">
        <v>207.80699999999999</v>
      </c>
      <c r="D9" s="31">
        <v>90.415000000000006</v>
      </c>
      <c r="E9" s="16">
        <f t="shared" si="0"/>
        <v>0.43509121444417181</v>
      </c>
      <c r="F9" s="17">
        <f t="shared" si="1"/>
        <v>71.525000000000006</v>
      </c>
      <c r="G9" s="10">
        <f t="shared" si="2"/>
        <v>10.217857142857143</v>
      </c>
      <c r="H9" s="11">
        <v>0</v>
      </c>
      <c r="I9" s="12">
        <f t="shared" si="3"/>
        <v>0</v>
      </c>
    </row>
    <row r="10" spans="1:9" x14ac:dyDescent="0.25">
      <c r="A10" s="8" t="s">
        <v>50</v>
      </c>
      <c r="B10" s="31">
        <v>82.98</v>
      </c>
      <c r="C10" s="31">
        <v>1.08</v>
      </c>
      <c r="D10" s="31">
        <v>82.08</v>
      </c>
      <c r="E10" s="16">
        <f t="shared" si="0"/>
        <v>76</v>
      </c>
      <c r="F10" s="17">
        <f t="shared" si="1"/>
        <v>20.745000000000001</v>
      </c>
      <c r="G10" s="10">
        <f t="shared" si="2"/>
        <v>2.9635714285714285</v>
      </c>
      <c r="H10" s="11">
        <v>0</v>
      </c>
      <c r="I10" s="12">
        <f t="shared" si="3"/>
        <v>0</v>
      </c>
    </row>
    <row r="11" spans="1:9" x14ac:dyDescent="0.25">
      <c r="A11" s="8" t="s">
        <v>16</v>
      </c>
      <c r="B11" s="31">
        <v>133.56</v>
      </c>
      <c r="C11" s="31">
        <v>68.58</v>
      </c>
      <c r="D11" s="31">
        <v>66.599999999999994</v>
      </c>
      <c r="E11" s="16">
        <f t="shared" si="0"/>
        <v>0.97112860892388442</v>
      </c>
      <c r="F11" s="17">
        <f t="shared" si="1"/>
        <v>33.39</v>
      </c>
      <c r="G11" s="10">
        <f t="shared" si="2"/>
        <v>4.7700000000000005</v>
      </c>
      <c r="H11" s="11">
        <v>0</v>
      </c>
      <c r="I11" s="12">
        <f t="shared" si="3"/>
        <v>0</v>
      </c>
    </row>
    <row r="12" spans="1:9" ht="30" x14ac:dyDescent="0.25">
      <c r="A12" s="8" t="s">
        <v>17</v>
      </c>
      <c r="B12" s="31">
        <v>153.30000000000001</v>
      </c>
      <c r="C12" s="31">
        <v>90.53</v>
      </c>
      <c r="D12" s="31">
        <v>65.462000000000003</v>
      </c>
      <c r="E12" s="16">
        <f t="shared" si="0"/>
        <v>0.72309731580691483</v>
      </c>
      <c r="F12" s="17">
        <f t="shared" si="1"/>
        <v>38.325000000000003</v>
      </c>
      <c r="G12" s="10">
        <f t="shared" si="2"/>
        <v>5.4750000000000005</v>
      </c>
      <c r="H12" s="11">
        <v>5.7679999999999998</v>
      </c>
      <c r="I12" s="12">
        <f t="shared" si="3"/>
        <v>1.0535159817351596</v>
      </c>
    </row>
    <row r="13" spans="1:9" ht="30" x14ac:dyDescent="0.25">
      <c r="A13" s="8" t="s">
        <v>29</v>
      </c>
      <c r="B13" s="31">
        <v>313.96800000000002</v>
      </c>
      <c r="C13" s="31">
        <v>262.63200000000001</v>
      </c>
      <c r="D13" s="31">
        <v>63.24</v>
      </c>
      <c r="E13" s="16">
        <f t="shared" si="0"/>
        <v>0.24079320113314448</v>
      </c>
      <c r="F13" s="17">
        <f t="shared" si="1"/>
        <v>78.492000000000004</v>
      </c>
      <c r="G13" s="10">
        <f t="shared" si="2"/>
        <v>11.213142857142858</v>
      </c>
      <c r="H13" s="11">
        <v>113.08799999999999</v>
      </c>
      <c r="I13" s="13">
        <f t="shared" si="3"/>
        <v>10.085308056872037</v>
      </c>
    </row>
    <row r="14" spans="1:9" ht="30" x14ac:dyDescent="0.25">
      <c r="A14" s="8" t="s">
        <v>42</v>
      </c>
      <c r="B14" s="31">
        <v>232.3</v>
      </c>
      <c r="C14" s="31">
        <v>176.096</v>
      </c>
      <c r="D14" s="31">
        <v>59.46</v>
      </c>
      <c r="E14" s="16">
        <f t="shared" si="0"/>
        <v>0.33765673269125929</v>
      </c>
      <c r="F14" s="17">
        <f t="shared" si="1"/>
        <v>58.075000000000003</v>
      </c>
      <c r="G14" s="10">
        <f t="shared" si="2"/>
        <v>8.2964285714285726</v>
      </c>
      <c r="H14" s="11">
        <v>116.999</v>
      </c>
      <c r="I14" s="13">
        <f t="shared" si="3"/>
        <v>14.102333189840721</v>
      </c>
    </row>
    <row r="15" spans="1:9" ht="30" x14ac:dyDescent="0.25">
      <c r="A15" s="8" t="s">
        <v>36</v>
      </c>
      <c r="B15" s="31">
        <v>277.92</v>
      </c>
      <c r="C15" s="31">
        <v>222.66</v>
      </c>
      <c r="D15" s="31">
        <v>57.96</v>
      </c>
      <c r="E15" s="16">
        <f t="shared" si="0"/>
        <v>0.26030719482619241</v>
      </c>
      <c r="F15" s="17">
        <f t="shared" si="1"/>
        <v>69.48</v>
      </c>
      <c r="G15" s="10">
        <f t="shared" si="2"/>
        <v>9.925714285714287</v>
      </c>
      <c r="H15" s="11">
        <v>0</v>
      </c>
      <c r="I15" s="12">
        <f t="shared" si="3"/>
        <v>0</v>
      </c>
    </row>
    <row r="16" spans="1:9" ht="30" x14ac:dyDescent="0.25">
      <c r="A16" s="8" t="s">
        <v>43</v>
      </c>
      <c r="B16" s="31">
        <v>68.760000000000005</v>
      </c>
      <c r="C16" s="31">
        <v>21.42</v>
      </c>
      <c r="D16" s="31">
        <v>47.52</v>
      </c>
      <c r="E16" s="16">
        <f t="shared" si="0"/>
        <v>2.2184873949579833</v>
      </c>
      <c r="F16" s="17">
        <f t="shared" si="1"/>
        <v>17.190000000000001</v>
      </c>
      <c r="G16" s="10">
        <f t="shared" si="2"/>
        <v>2.455714285714286</v>
      </c>
      <c r="H16" s="11">
        <v>0</v>
      </c>
      <c r="I16" s="12">
        <f t="shared" si="3"/>
        <v>0</v>
      </c>
    </row>
    <row r="17" spans="1:9" ht="30" x14ac:dyDescent="0.25">
      <c r="A17" s="8" t="s">
        <v>38</v>
      </c>
      <c r="B17" s="31">
        <v>147.69999999999999</v>
      </c>
      <c r="C17" s="31">
        <v>104.7</v>
      </c>
      <c r="D17" s="31">
        <v>44.5</v>
      </c>
      <c r="E17" s="16">
        <f t="shared" si="0"/>
        <v>0.42502387774594075</v>
      </c>
      <c r="F17" s="17">
        <f t="shared" si="1"/>
        <v>36.924999999999997</v>
      </c>
      <c r="G17" s="10">
        <f t="shared" si="2"/>
        <v>5.2749999999999995</v>
      </c>
      <c r="H17" s="11">
        <v>0</v>
      </c>
      <c r="I17" s="13">
        <f t="shared" si="3"/>
        <v>0</v>
      </c>
    </row>
    <row r="18" spans="1:9" ht="30" x14ac:dyDescent="0.25">
      <c r="A18" s="8" t="s">
        <v>53</v>
      </c>
      <c r="B18" s="31">
        <v>92.5</v>
      </c>
      <c r="C18" s="31">
        <v>55.302999999999997</v>
      </c>
      <c r="D18" s="31">
        <v>39.158000000000001</v>
      </c>
      <c r="E18" s="16">
        <f t="shared" si="0"/>
        <v>0.70806285373307054</v>
      </c>
      <c r="F18" s="17">
        <f t="shared" si="1"/>
        <v>23.125</v>
      </c>
      <c r="G18" s="10">
        <f t="shared" si="2"/>
        <v>3.3035714285714284</v>
      </c>
      <c r="H18" s="11">
        <v>163.94200000000001</v>
      </c>
      <c r="I18" s="13">
        <f t="shared" si="3"/>
        <v>49.625686486486494</v>
      </c>
    </row>
    <row r="19" spans="1:9" ht="30" x14ac:dyDescent="0.25">
      <c r="A19" s="8" t="s">
        <v>41</v>
      </c>
      <c r="B19" s="31">
        <v>56.34</v>
      </c>
      <c r="C19" s="31">
        <v>21.78</v>
      </c>
      <c r="D19" s="31">
        <v>35.64</v>
      </c>
      <c r="E19" s="16">
        <f t="shared" si="0"/>
        <v>1.6363636363636362</v>
      </c>
      <c r="F19" s="17">
        <f t="shared" si="1"/>
        <v>14.085000000000001</v>
      </c>
      <c r="G19" s="10">
        <f t="shared" si="2"/>
        <v>2.0121428571428575</v>
      </c>
      <c r="H19" s="11">
        <v>0</v>
      </c>
      <c r="I19" s="12">
        <f t="shared" si="3"/>
        <v>0</v>
      </c>
    </row>
    <row r="20" spans="1:9" ht="30" x14ac:dyDescent="0.25">
      <c r="A20" s="8" t="s">
        <v>24</v>
      </c>
      <c r="B20" s="31">
        <v>35.82</v>
      </c>
      <c r="C20" s="31">
        <v>6.12</v>
      </c>
      <c r="D20" s="31">
        <v>29.7</v>
      </c>
      <c r="E20" s="16">
        <f t="shared" si="0"/>
        <v>4.8529411764705879</v>
      </c>
      <c r="F20" s="17">
        <f t="shared" si="1"/>
        <v>8.9550000000000001</v>
      </c>
      <c r="G20" s="10">
        <f t="shared" si="2"/>
        <v>1.2792857142857144</v>
      </c>
      <c r="H20" s="11">
        <v>0</v>
      </c>
      <c r="I20" s="12">
        <f t="shared" si="3"/>
        <v>0</v>
      </c>
    </row>
    <row r="21" spans="1:9" ht="30" x14ac:dyDescent="0.25">
      <c r="A21" s="8" t="s">
        <v>21</v>
      </c>
      <c r="B21" s="31">
        <v>79.2</v>
      </c>
      <c r="C21" s="31">
        <v>53.862000000000002</v>
      </c>
      <c r="D21" s="31">
        <v>25.594000000000001</v>
      </c>
      <c r="E21" s="16">
        <f t="shared" si="0"/>
        <v>0.47517730496453903</v>
      </c>
      <c r="F21" s="17">
        <f t="shared" si="1"/>
        <v>19.8</v>
      </c>
      <c r="G21" s="10">
        <f t="shared" si="2"/>
        <v>2.8285714285714287</v>
      </c>
      <c r="H21" s="11">
        <v>0</v>
      </c>
      <c r="I21" s="12">
        <f t="shared" si="3"/>
        <v>0</v>
      </c>
    </row>
    <row r="22" spans="1:9" ht="30" x14ac:dyDescent="0.25">
      <c r="A22" s="8" t="s">
        <v>56</v>
      </c>
      <c r="B22" s="31">
        <v>33.299999999999997</v>
      </c>
      <c r="C22" s="31">
        <v>8.4700000000000006</v>
      </c>
      <c r="D22" s="31">
        <v>24.83</v>
      </c>
      <c r="E22" s="16">
        <f t="shared" si="0"/>
        <v>2.9315230224321129</v>
      </c>
      <c r="F22" s="17">
        <f t="shared" si="1"/>
        <v>8.3249999999999993</v>
      </c>
      <c r="G22" s="10">
        <f t="shared" si="2"/>
        <v>1.1892857142857143</v>
      </c>
      <c r="H22" s="11">
        <v>0</v>
      </c>
      <c r="I22" s="13">
        <f t="shared" si="3"/>
        <v>0</v>
      </c>
    </row>
    <row r="23" spans="1:9" ht="30" x14ac:dyDescent="0.25">
      <c r="A23" s="8" t="s">
        <v>40</v>
      </c>
      <c r="B23" s="31">
        <v>60.3</v>
      </c>
      <c r="C23" s="31">
        <v>37.26</v>
      </c>
      <c r="D23" s="31">
        <v>23.76</v>
      </c>
      <c r="E23" s="16">
        <f t="shared" si="0"/>
        <v>0.63768115942028991</v>
      </c>
      <c r="F23" s="17">
        <f t="shared" si="1"/>
        <v>15.074999999999999</v>
      </c>
      <c r="G23" s="10">
        <f t="shared" si="2"/>
        <v>2.1535714285714285</v>
      </c>
      <c r="H23" s="11">
        <v>19.8</v>
      </c>
      <c r="I23" s="13">
        <f t="shared" si="3"/>
        <v>9.1940298507462686</v>
      </c>
    </row>
    <row r="24" spans="1:9" ht="45" x14ac:dyDescent="0.25">
      <c r="A24" s="8" t="s">
        <v>23</v>
      </c>
      <c r="B24" s="31">
        <v>169.26</v>
      </c>
      <c r="C24" s="31">
        <v>150.28800000000001</v>
      </c>
      <c r="D24" s="31">
        <v>23.436</v>
      </c>
      <c r="E24" s="16">
        <f t="shared" si="0"/>
        <v>0.15594059405940594</v>
      </c>
      <c r="F24" s="17">
        <f t="shared" si="1"/>
        <v>42.314999999999998</v>
      </c>
      <c r="G24" s="10">
        <f t="shared" si="2"/>
        <v>6.0449999999999999</v>
      </c>
      <c r="H24" s="11">
        <v>103.044</v>
      </c>
      <c r="I24" s="13">
        <f t="shared" si="3"/>
        <v>17.046153846153846</v>
      </c>
    </row>
    <row r="25" spans="1:9" ht="30" x14ac:dyDescent="0.25">
      <c r="A25" s="8" t="s">
        <v>28</v>
      </c>
      <c r="B25" s="31">
        <v>85.32</v>
      </c>
      <c r="C25" s="31">
        <v>66.78</v>
      </c>
      <c r="D25" s="31">
        <v>21.42</v>
      </c>
      <c r="E25" s="16">
        <f t="shared" si="0"/>
        <v>0.32075471698113212</v>
      </c>
      <c r="F25" s="17">
        <f t="shared" si="1"/>
        <v>21.33</v>
      </c>
      <c r="G25" s="10">
        <f t="shared" si="2"/>
        <v>3.0471428571428567</v>
      </c>
      <c r="H25" s="11">
        <v>26.82</v>
      </c>
      <c r="I25" s="13">
        <f t="shared" si="3"/>
        <v>8.8016877637130815</v>
      </c>
    </row>
    <row r="26" spans="1:9" ht="30" x14ac:dyDescent="0.25">
      <c r="A26" s="8" t="s">
        <v>26</v>
      </c>
      <c r="B26" s="31">
        <v>101.8</v>
      </c>
      <c r="C26" s="31">
        <v>85.7</v>
      </c>
      <c r="D26" s="31">
        <v>18.899999999999999</v>
      </c>
      <c r="E26" s="16">
        <f t="shared" si="0"/>
        <v>0.22053675612602097</v>
      </c>
      <c r="F26" s="17">
        <f t="shared" si="1"/>
        <v>25.45</v>
      </c>
      <c r="G26" s="10">
        <f t="shared" si="2"/>
        <v>3.6357142857142857</v>
      </c>
      <c r="H26" s="11">
        <v>0</v>
      </c>
      <c r="I26" s="13">
        <f t="shared" si="3"/>
        <v>0</v>
      </c>
    </row>
    <row r="27" spans="1:9" ht="30" x14ac:dyDescent="0.25">
      <c r="A27" s="8" t="s">
        <v>25</v>
      </c>
      <c r="B27" s="31">
        <v>26.74</v>
      </c>
      <c r="C27" s="31">
        <v>11.06</v>
      </c>
      <c r="D27" s="31">
        <v>16.100000000000001</v>
      </c>
      <c r="E27" s="16">
        <f t="shared" si="0"/>
        <v>1.4556962025316456</v>
      </c>
      <c r="F27" s="17">
        <f t="shared" si="1"/>
        <v>6.6849999999999996</v>
      </c>
      <c r="G27" s="10">
        <f t="shared" si="2"/>
        <v>0.95499999999999996</v>
      </c>
      <c r="H27" s="11">
        <v>0</v>
      </c>
      <c r="I27" s="12">
        <f t="shared" si="3"/>
        <v>0</v>
      </c>
    </row>
    <row r="28" spans="1:9" ht="30" x14ac:dyDescent="0.25">
      <c r="A28" s="8" t="s">
        <v>45</v>
      </c>
      <c r="B28" s="31">
        <v>31.6</v>
      </c>
      <c r="C28" s="31">
        <v>18.399999999999999</v>
      </c>
      <c r="D28" s="31">
        <v>16</v>
      </c>
      <c r="E28" s="16">
        <f t="shared" si="0"/>
        <v>0.86956521739130443</v>
      </c>
      <c r="F28" s="17">
        <f t="shared" si="1"/>
        <v>7.9</v>
      </c>
      <c r="G28" s="10">
        <f t="shared" si="2"/>
        <v>1.1285714285714286</v>
      </c>
      <c r="H28" s="11">
        <v>0.4</v>
      </c>
      <c r="I28" s="12">
        <f t="shared" si="3"/>
        <v>0.35443037974683544</v>
      </c>
    </row>
    <row r="29" spans="1:9" ht="30" x14ac:dyDescent="0.25">
      <c r="A29" s="8" t="s">
        <v>49</v>
      </c>
      <c r="B29" s="31">
        <v>26.6</v>
      </c>
      <c r="C29" s="31">
        <v>13.6</v>
      </c>
      <c r="D29" s="31">
        <v>15.8</v>
      </c>
      <c r="E29" s="16">
        <f t="shared" si="0"/>
        <v>1.161764705882353</v>
      </c>
      <c r="F29" s="17">
        <f t="shared" si="1"/>
        <v>6.65</v>
      </c>
      <c r="G29" s="10">
        <f t="shared" si="2"/>
        <v>0.95000000000000007</v>
      </c>
      <c r="H29" s="11">
        <v>7.6</v>
      </c>
      <c r="I29" s="13">
        <f t="shared" si="3"/>
        <v>7.9999999999999991</v>
      </c>
    </row>
    <row r="30" spans="1:9" ht="30" x14ac:dyDescent="0.25">
      <c r="A30" s="8" t="s">
        <v>27</v>
      </c>
      <c r="B30" s="31">
        <v>39.200000000000003</v>
      </c>
      <c r="C30" s="31">
        <v>27.72</v>
      </c>
      <c r="D30" s="31">
        <v>11.9</v>
      </c>
      <c r="E30" s="16">
        <f t="shared" si="0"/>
        <v>0.42929292929292934</v>
      </c>
      <c r="F30" s="17">
        <f t="shared" si="1"/>
        <v>9.8000000000000007</v>
      </c>
      <c r="G30" s="10">
        <f t="shared" si="2"/>
        <v>1.4000000000000001</v>
      </c>
      <c r="H30" s="11">
        <v>0</v>
      </c>
      <c r="I30" s="12">
        <f t="shared" si="3"/>
        <v>0</v>
      </c>
    </row>
    <row r="31" spans="1:9" ht="30" x14ac:dyDescent="0.25">
      <c r="A31" s="8" t="s">
        <v>60</v>
      </c>
      <c r="B31" s="31">
        <v>11.88</v>
      </c>
      <c r="C31" s="32">
        <v>0</v>
      </c>
      <c r="D31" s="31">
        <v>11.88</v>
      </c>
      <c r="E31" s="16"/>
      <c r="F31" s="17">
        <f t="shared" si="1"/>
        <v>2.97</v>
      </c>
      <c r="G31" s="10">
        <f t="shared" si="2"/>
        <v>0.42428571428571432</v>
      </c>
      <c r="H31" s="11">
        <v>0</v>
      </c>
      <c r="I31" s="13">
        <f t="shared" si="3"/>
        <v>0</v>
      </c>
    </row>
    <row r="32" spans="1:9" ht="30" x14ac:dyDescent="0.25">
      <c r="A32" s="8" t="s">
        <v>58</v>
      </c>
      <c r="B32" s="31">
        <v>10.8</v>
      </c>
      <c r="C32" s="32">
        <v>0</v>
      </c>
      <c r="D32" s="31">
        <v>10.8</v>
      </c>
      <c r="E32" s="16"/>
      <c r="F32" s="17">
        <f t="shared" si="1"/>
        <v>2.7</v>
      </c>
      <c r="G32" s="10">
        <f t="shared" si="2"/>
        <v>0.38571428571428573</v>
      </c>
      <c r="H32" s="11">
        <v>0</v>
      </c>
      <c r="I32" s="13">
        <f t="shared" si="3"/>
        <v>0</v>
      </c>
    </row>
    <row r="33" spans="1:9" ht="30" x14ac:dyDescent="0.25">
      <c r="A33" s="8" t="s">
        <v>44</v>
      </c>
      <c r="B33" s="31">
        <v>32.9</v>
      </c>
      <c r="C33" s="31">
        <v>22.923999999999999</v>
      </c>
      <c r="D33" s="31">
        <v>10.528</v>
      </c>
      <c r="E33" s="16">
        <f t="shared" ref="E33:E40" si="4">D33/C33</f>
        <v>0.45925667422788347</v>
      </c>
      <c r="F33" s="17">
        <f t="shared" si="1"/>
        <v>8.2249999999999996</v>
      </c>
      <c r="G33" s="10">
        <f t="shared" si="2"/>
        <v>1.175</v>
      </c>
      <c r="H33" s="11">
        <v>33.802</v>
      </c>
      <c r="I33" s="13">
        <f t="shared" si="3"/>
        <v>28.767659574468084</v>
      </c>
    </row>
    <row r="34" spans="1:9" x14ac:dyDescent="0.25">
      <c r="A34" s="8" t="s">
        <v>35</v>
      </c>
      <c r="B34" s="31">
        <v>48</v>
      </c>
      <c r="C34" s="31">
        <v>44.1</v>
      </c>
      <c r="D34" s="31">
        <v>6.5</v>
      </c>
      <c r="E34" s="16">
        <f t="shared" si="4"/>
        <v>0.14739229024943309</v>
      </c>
      <c r="F34" s="17">
        <f t="shared" ref="F34:F53" si="5">B34/4</f>
        <v>12</v>
      </c>
      <c r="G34" s="10">
        <f t="shared" ref="G34:G53" si="6">F34/7</f>
        <v>1.7142857142857142</v>
      </c>
      <c r="H34" s="11">
        <v>29.6</v>
      </c>
      <c r="I34" s="13">
        <f t="shared" ref="I34:I53" si="7">H34/G34</f>
        <v>17.266666666666669</v>
      </c>
    </row>
    <row r="35" spans="1:9" ht="30" x14ac:dyDescent="0.25">
      <c r="A35" s="8" t="s">
        <v>33</v>
      </c>
      <c r="B35" s="31">
        <v>43.8</v>
      </c>
      <c r="C35" s="31">
        <v>40.299999999999997</v>
      </c>
      <c r="D35" s="31">
        <v>6.2</v>
      </c>
      <c r="E35" s="16">
        <f t="shared" si="4"/>
        <v>0.15384615384615385</v>
      </c>
      <c r="F35" s="17">
        <f t="shared" si="5"/>
        <v>10.95</v>
      </c>
      <c r="G35" s="10">
        <f t="shared" si="6"/>
        <v>1.5642857142857143</v>
      </c>
      <c r="H35" s="11">
        <v>22.1</v>
      </c>
      <c r="I35" s="13">
        <f t="shared" si="7"/>
        <v>14.12785388127854</v>
      </c>
    </row>
    <row r="36" spans="1:9" ht="30" x14ac:dyDescent="0.25">
      <c r="A36" s="8" t="s">
        <v>59</v>
      </c>
      <c r="B36" s="31">
        <v>13.3</v>
      </c>
      <c r="C36" s="31">
        <v>7.56</v>
      </c>
      <c r="D36" s="31">
        <v>6.02</v>
      </c>
      <c r="E36" s="16">
        <f t="shared" si="4"/>
        <v>0.79629629629629628</v>
      </c>
      <c r="F36" s="17">
        <f t="shared" si="5"/>
        <v>3.3250000000000002</v>
      </c>
      <c r="G36" s="10">
        <f t="shared" si="6"/>
        <v>0.47500000000000003</v>
      </c>
      <c r="H36" s="11">
        <v>1.1200000000000001</v>
      </c>
      <c r="I36" s="12">
        <f t="shared" si="7"/>
        <v>2.3578947368421055</v>
      </c>
    </row>
    <row r="37" spans="1:9" x14ac:dyDescent="0.25">
      <c r="A37" s="8" t="s">
        <v>22</v>
      </c>
      <c r="B37" s="31">
        <v>60.2</v>
      </c>
      <c r="C37" s="31">
        <v>58.561999999999998</v>
      </c>
      <c r="D37" s="31">
        <v>4.7960000000000003</v>
      </c>
      <c r="E37" s="16">
        <f t="shared" si="4"/>
        <v>8.1896110105529191E-2</v>
      </c>
      <c r="F37" s="17">
        <f t="shared" si="5"/>
        <v>15.05</v>
      </c>
      <c r="G37" s="10">
        <f t="shared" si="6"/>
        <v>2.15</v>
      </c>
      <c r="H37" s="11">
        <v>68.855999999999995</v>
      </c>
      <c r="I37" s="13">
        <f t="shared" si="7"/>
        <v>32.026046511627904</v>
      </c>
    </row>
    <row r="38" spans="1:9" ht="30" x14ac:dyDescent="0.25">
      <c r="A38" s="8" t="s">
        <v>52</v>
      </c>
      <c r="B38" s="31">
        <v>13.2</v>
      </c>
      <c r="C38" s="31">
        <v>9.0749999999999993</v>
      </c>
      <c r="D38" s="31">
        <v>4.125</v>
      </c>
      <c r="E38" s="16">
        <f t="shared" si="4"/>
        <v>0.45454545454545459</v>
      </c>
      <c r="F38" s="17">
        <f t="shared" si="5"/>
        <v>3.3</v>
      </c>
      <c r="G38" s="10">
        <f t="shared" si="6"/>
        <v>0.47142857142857142</v>
      </c>
      <c r="H38" s="11">
        <v>0</v>
      </c>
      <c r="I38" s="12">
        <f t="shared" si="7"/>
        <v>0</v>
      </c>
    </row>
    <row r="39" spans="1:9" x14ac:dyDescent="0.25">
      <c r="A39" s="8" t="s">
        <v>61</v>
      </c>
      <c r="B39" s="31">
        <v>4</v>
      </c>
      <c r="C39" s="32"/>
      <c r="D39" s="31">
        <v>4</v>
      </c>
      <c r="E39" s="16" t="e">
        <f t="shared" si="4"/>
        <v>#DIV/0!</v>
      </c>
      <c r="F39" s="17">
        <f t="shared" si="5"/>
        <v>1</v>
      </c>
      <c r="G39" s="10">
        <f t="shared" si="6"/>
        <v>0.14285714285714285</v>
      </c>
      <c r="H39" s="11">
        <v>0</v>
      </c>
      <c r="I39" s="13">
        <f t="shared" si="7"/>
        <v>0</v>
      </c>
    </row>
    <row r="40" spans="1:9" ht="30" x14ac:dyDescent="0.25">
      <c r="A40" s="8" t="s">
        <v>66</v>
      </c>
      <c r="B40" s="31">
        <v>5.4</v>
      </c>
      <c r="C40" s="31">
        <v>1.4</v>
      </c>
      <c r="D40" s="31">
        <v>4</v>
      </c>
      <c r="E40" s="16">
        <f t="shared" si="4"/>
        <v>2.8571428571428572</v>
      </c>
      <c r="F40" s="17">
        <f t="shared" si="5"/>
        <v>1.35</v>
      </c>
      <c r="G40" s="10">
        <f t="shared" si="6"/>
        <v>0.19285714285714287</v>
      </c>
      <c r="H40" s="11">
        <v>0.8</v>
      </c>
      <c r="I40" s="13">
        <f t="shared" si="7"/>
        <v>4.1481481481481479</v>
      </c>
    </row>
    <row r="41" spans="1:9" ht="30" x14ac:dyDescent="0.25">
      <c r="A41" s="8" t="s">
        <v>46</v>
      </c>
      <c r="B41" s="31">
        <v>3.6</v>
      </c>
      <c r="C41" s="32"/>
      <c r="D41" s="31">
        <v>3.6</v>
      </c>
      <c r="E41" s="16"/>
      <c r="F41" s="17">
        <f t="shared" si="5"/>
        <v>0.9</v>
      </c>
      <c r="G41" s="10">
        <f t="shared" si="6"/>
        <v>0.12857142857142859</v>
      </c>
      <c r="H41" s="11">
        <v>0</v>
      </c>
      <c r="I41" s="12">
        <f t="shared" si="7"/>
        <v>0</v>
      </c>
    </row>
    <row r="42" spans="1:9" ht="30" x14ac:dyDescent="0.25">
      <c r="A42" s="8" t="s">
        <v>37</v>
      </c>
      <c r="B42" s="31">
        <v>27.7</v>
      </c>
      <c r="C42" s="31">
        <v>25.8</v>
      </c>
      <c r="D42" s="31">
        <v>3.5</v>
      </c>
      <c r="E42" s="16">
        <f t="shared" ref="E42:E53" si="8">D42/C42</f>
        <v>0.13565891472868216</v>
      </c>
      <c r="F42" s="17">
        <f t="shared" si="5"/>
        <v>6.9249999999999998</v>
      </c>
      <c r="G42" s="10">
        <f t="shared" si="6"/>
        <v>0.98928571428571421</v>
      </c>
      <c r="H42" s="11">
        <v>4.3</v>
      </c>
      <c r="I42" s="13">
        <f t="shared" si="7"/>
        <v>4.3465703971119138</v>
      </c>
    </row>
    <row r="43" spans="1:9" x14ac:dyDescent="0.25">
      <c r="A43" s="8" t="s">
        <v>62</v>
      </c>
      <c r="B43" s="31">
        <v>3.4</v>
      </c>
      <c r="C43" s="32"/>
      <c r="D43" s="31">
        <v>3.4</v>
      </c>
      <c r="E43" s="16" t="e">
        <f t="shared" si="8"/>
        <v>#DIV/0!</v>
      </c>
      <c r="F43" s="17">
        <f t="shared" si="5"/>
        <v>0.85</v>
      </c>
      <c r="G43" s="10">
        <f t="shared" si="6"/>
        <v>0.12142857142857143</v>
      </c>
      <c r="H43" s="11">
        <v>0</v>
      </c>
      <c r="I43" s="13">
        <f t="shared" si="7"/>
        <v>0</v>
      </c>
    </row>
    <row r="44" spans="1:9" ht="30" x14ac:dyDescent="0.25">
      <c r="A44" s="8" t="s">
        <v>71</v>
      </c>
      <c r="B44" s="31">
        <v>3</v>
      </c>
      <c r="C44" s="32"/>
      <c r="D44" s="31">
        <v>3</v>
      </c>
      <c r="E44" s="16" t="e">
        <f t="shared" si="8"/>
        <v>#DIV/0!</v>
      </c>
      <c r="F44" s="17">
        <f t="shared" si="5"/>
        <v>0.75</v>
      </c>
      <c r="G44" s="10">
        <f t="shared" si="6"/>
        <v>0.10714285714285714</v>
      </c>
      <c r="H44" s="11">
        <v>0</v>
      </c>
      <c r="I44" s="13">
        <f t="shared" si="7"/>
        <v>0</v>
      </c>
    </row>
    <row r="45" spans="1:9" ht="30" x14ac:dyDescent="0.25">
      <c r="A45" s="8" t="s">
        <v>64</v>
      </c>
      <c r="B45" s="31">
        <v>9.5399999999999991</v>
      </c>
      <c r="C45" s="31">
        <v>7.56</v>
      </c>
      <c r="D45" s="31">
        <v>2.16</v>
      </c>
      <c r="E45" s="16">
        <f t="shared" si="8"/>
        <v>0.28571428571428575</v>
      </c>
      <c r="F45" s="17">
        <f t="shared" si="5"/>
        <v>2.3849999999999998</v>
      </c>
      <c r="G45" s="10">
        <f t="shared" si="6"/>
        <v>0.34071428571428569</v>
      </c>
      <c r="H45" s="11">
        <v>18.72</v>
      </c>
      <c r="I45" s="13">
        <f t="shared" si="7"/>
        <v>54.943396226415096</v>
      </c>
    </row>
    <row r="46" spans="1:9" x14ac:dyDescent="0.25">
      <c r="A46" s="8" t="s">
        <v>51</v>
      </c>
      <c r="B46" s="31">
        <v>3.8</v>
      </c>
      <c r="C46" s="31">
        <v>1.9</v>
      </c>
      <c r="D46" s="31">
        <v>1.9</v>
      </c>
      <c r="E46" s="16">
        <f t="shared" si="8"/>
        <v>1</v>
      </c>
      <c r="F46" s="17">
        <f t="shared" si="5"/>
        <v>0.95</v>
      </c>
      <c r="G46" s="10">
        <f t="shared" si="6"/>
        <v>0.1357142857142857</v>
      </c>
      <c r="H46" s="11">
        <v>4.5999999999999996</v>
      </c>
      <c r="I46" s="13">
        <f t="shared" si="7"/>
        <v>33.89473684210526</v>
      </c>
    </row>
    <row r="47" spans="1:9" ht="30" x14ac:dyDescent="0.25">
      <c r="A47" s="8" t="s">
        <v>72</v>
      </c>
      <c r="B47" s="31">
        <v>3.2</v>
      </c>
      <c r="C47" s="31">
        <v>1.4</v>
      </c>
      <c r="D47" s="31">
        <v>1.8</v>
      </c>
      <c r="E47" s="16">
        <f t="shared" si="8"/>
        <v>1.2857142857142858</v>
      </c>
      <c r="F47" s="17">
        <f t="shared" si="5"/>
        <v>0.8</v>
      </c>
      <c r="G47" s="10">
        <f t="shared" si="6"/>
        <v>0.1142857142857143</v>
      </c>
      <c r="H47" s="11">
        <v>0</v>
      </c>
      <c r="I47" s="13">
        <f t="shared" si="7"/>
        <v>0</v>
      </c>
    </row>
    <row r="48" spans="1:9" x14ac:dyDescent="0.25">
      <c r="A48" s="8" t="s">
        <v>63</v>
      </c>
      <c r="B48" s="31">
        <v>5.9</v>
      </c>
      <c r="C48" s="31">
        <v>4.2</v>
      </c>
      <c r="D48" s="31">
        <v>1.7</v>
      </c>
      <c r="E48" s="16">
        <f t="shared" si="8"/>
        <v>0.40476190476190471</v>
      </c>
      <c r="F48" s="17">
        <f t="shared" si="5"/>
        <v>1.4750000000000001</v>
      </c>
      <c r="G48" s="10">
        <f t="shared" si="6"/>
        <v>0.21071428571428572</v>
      </c>
      <c r="H48" s="11">
        <v>0</v>
      </c>
      <c r="I48" s="13">
        <f t="shared" si="7"/>
        <v>0</v>
      </c>
    </row>
    <row r="49" spans="1:9" x14ac:dyDescent="0.25">
      <c r="A49" s="8" t="s">
        <v>47</v>
      </c>
      <c r="B49" s="31">
        <v>3</v>
      </c>
      <c r="C49" s="31">
        <v>1.4</v>
      </c>
      <c r="D49" s="31">
        <v>1.6</v>
      </c>
      <c r="E49" s="16">
        <f t="shared" si="8"/>
        <v>1.142857142857143</v>
      </c>
      <c r="F49" s="17">
        <f t="shared" si="5"/>
        <v>0.75</v>
      </c>
      <c r="G49" s="10">
        <f t="shared" si="6"/>
        <v>0.10714285714285714</v>
      </c>
      <c r="H49" s="11">
        <v>1.5</v>
      </c>
      <c r="I49" s="13">
        <f t="shared" si="7"/>
        <v>14</v>
      </c>
    </row>
    <row r="50" spans="1:9" ht="30" x14ac:dyDescent="0.25">
      <c r="A50" s="8" t="s">
        <v>20</v>
      </c>
      <c r="B50" s="31">
        <v>2.4</v>
      </c>
      <c r="C50" s="31">
        <v>1.2</v>
      </c>
      <c r="D50" s="31">
        <v>1.2</v>
      </c>
      <c r="E50" s="16">
        <f t="shared" si="8"/>
        <v>1</v>
      </c>
      <c r="F50" s="17">
        <f t="shared" si="5"/>
        <v>0.6</v>
      </c>
      <c r="G50" s="10">
        <f t="shared" si="6"/>
        <v>8.5714285714285715E-2</v>
      </c>
      <c r="H50" s="11">
        <v>30.4</v>
      </c>
      <c r="I50" s="13">
        <f t="shared" si="7"/>
        <v>354.66666666666663</v>
      </c>
    </row>
    <row r="51" spans="1:9" ht="30" x14ac:dyDescent="0.25">
      <c r="A51" s="8" t="s">
        <v>54</v>
      </c>
      <c r="B51" s="31">
        <v>0.93500000000000005</v>
      </c>
      <c r="C51" s="31">
        <v>0.77</v>
      </c>
      <c r="D51" s="31">
        <v>0.16500000000000001</v>
      </c>
      <c r="E51" s="16">
        <f t="shared" si="8"/>
        <v>0.2142857142857143</v>
      </c>
      <c r="F51" s="17">
        <f t="shared" si="5"/>
        <v>0.23375000000000001</v>
      </c>
      <c r="G51" s="10">
        <f t="shared" si="6"/>
        <v>3.3392857142857148E-2</v>
      </c>
      <c r="H51" s="11">
        <v>0.27500000000000002</v>
      </c>
      <c r="I51" s="13">
        <f t="shared" si="7"/>
        <v>8.235294117647058</v>
      </c>
    </row>
    <row r="52" spans="1:9" ht="30" x14ac:dyDescent="0.25">
      <c r="A52" s="8" t="s">
        <v>57</v>
      </c>
      <c r="B52" s="31">
        <v>6.7</v>
      </c>
      <c r="C52" s="31">
        <v>7.54</v>
      </c>
      <c r="D52" s="33"/>
      <c r="E52" s="16">
        <f t="shared" si="8"/>
        <v>0</v>
      </c>
      <c r="F52" s="17">
        <f t="shared" si="5"/>
        <v>1.675</v>
      </c>
      <c r="G52" s="10">
        <f t="shared" si="6"/>
        <v>0.2392857142857143</v>
      </c>
      <c r="H52" s="11">
        <v>0</v>
      </c>
      <c r="I52" s="13">
        <f t="shared" si="7"/>
        <v>0</v>
      </c>
    </row>
    <row r="53" spans="1:9" ht="30" x14ac:dyDescent="0.25">
      <c r="A53" s="8" t="s">
        <v>55</v>
      </c>
      <c r="B53" s="31">
        <v>8.8000000000000007</v>
      </c>
      <c r="C53" s="31">
        <v>8.8000000000000007</v>
      </c>
      <c r="D53" s="33"/>
      <c r="E53" s="16">
        <f t="shared" si="8"/>
        <v>0</v>
      </c>
      <c r="F53" s="17">
        <f t="shared" si="5"/>
        <v>2.2000000000000002</v>
      </c>
      <c r="G53" s="10">
        <f t="shared" si="6"/>
        <v>0.31428571428571433</v>
      </c>
      <c r="H53" s="11">
        <v>4.8</v>
      </c>
      <c r="I53" s="13">
        <f t="shared" si="7"/>
        <v>15.27272727272727</v>
      </c>
    </row>
    <row r="54" spans="1:9" x14ac:dyDescent="0.25">
      <c r="A54" s="8"/>
      <c r="B54" s="31"/>
      <c r="C54" s="31"/>
      <c r="D54" s="33"/>
      <c r="E54" s="16"/>
      <c r="F54" s="17"/>
      <c r="G54" s="10"/>
      <c r="H54" s="11"/>
      <c r="I54" s="13"/>
    </row>
    <row r="55" spans="1:9" x14ac:dyDescent="0.25">
      <c r="A55" s="7" t="s">
        <v>67</v>
      </c>
      <c r="B55" s="14">
        <v>5677.5929999999998</v>
      </c>
      <c r="C55" s="14">
        <v>3704.308</v>
      </c>
      <c r="D55" s="14">
        <v>2090.8339999999998</v>
      </c>
      <c r="E55" s="9">
        <f t="shared" ref="E55" si="9">D55/C55</f>
        <v>0.56443308709750917</v>
      </c>
      <c r="F55" s="1">
        <f t="shared" ref="F55" si="10">B55/4</f>
        <v>1419.39825</v>
      </c>
      <c r="G55" s="10">
        <f t="shared" ref="G55" si="11">F55/7</f>
        <v>202.77117857142858</v>
      </c>
      <c r="H55" s="11"/>
      <c r="I55" s="13">
        <f t="shared" ref="I55" si="12">H55/G55</f>
        <v>0</v>
      </c>
    </row>
  </sheetData>
  <autoFilter ref="A1:I1" xr:uid="{D8AC8FAD-E61A-49C8-8DA1-0EDD9146B740}">
    <sortState xmlns:xlrd2="http://schemas.microsoft.com/office/spreadsheetml/2017/richdata2" ref="A2:I53">
      <sortCondition descending="1"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417D-BEC3-4B26-8E65-3328C149AC13}">
  <dimension ref="A1:I51"/>
  <sheetViews>
    <sheetView topLeftCell="A16" workbookViewId="0">
      <selection activeCell="B9" sqref="B9"/>
    </sheetView>
  </sheetViews>
  <sheetFormatPr defaultRowHeight="15" x14ac:dyDescent="0.25"/>
  <cols>
    <col min="1" max="1" width="53.28515625" customWidth="1"/>
  </cols>
  <sheetData>
    <row r="1" spans="1:9" ht="38.25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</row>
    <row r="2" spans="1:9" ht="30" x14ac:dyDescent="0.25">
      <c r="A2" s="8" t="s">
        <v>18</v>
      </c>
      <c r="B2" s="21">
        <v>281.23200000000003</v>
      </c>
      <c r="C2" s="20">
        <v>241.8</v>
      </c>
      <c r="D2" s="21">
        <v>54.311999999999998</v>
      </c>
      <c r="E2" s="16">
        <f t="shared" ref="E2:E31" si="0">D2/C2</f>
        <v>0.22461538461538461</v>
      </c>
      <c r="F2" s="17">
        <f t="shared" ref="F2:F49" si="1">B2/4</f>
        <v>70.308000000000007</v>
      </c>
      <c r="G2" s="18">
        <f t="shared" ref="G2:G49" si="2">F2/7</f>
        <v>10.044</v>
      </c>
      <c r="H2" s="15">
        <v>146.56800000000001</v>
      </c>
      <c r="I2" s="13">
        <f t="shared" ref="I2:I49" si="3">H2/G2</f>
        <v>14.592592592592593</v>
      </c>
    </row>
    <row r="3" spans="1:9" ht="30" x14ac:dyDescent="0.25">
      <c r="A3" s="8" t="s">
        <v>31</v>
      </c>
      <c r="B3" s="15">
        <v>401.58</v>
      </c>
      <c r="C3" s="15">
        <v>351.72</v>
      </c>
      <c r="D3" s="15">
        <v>54.18</v>
      </c>
      <c r="E3" s="16">
        <f t="shared" si="0"/>
        <v>0.154042988741044</v>
      </c>
      <c r="F3" s="17">
        <f t="shared" si="1"/>
        <v>100.395</v>
      </c>
      <c r="G3" s="18">
        <f t="shared" si="2"/>
        <v>14.342142857142857</v>
      </c>
      <c r="H3" s="15">
        <v>15.84</v>
      </c>
      <c r="I3" s="13">
        <f t="shared" si="3"/>
        <v>1.1044374719856567</v>
      </c>
    </row>
    <row r="4" spans="1:9" ht="30" x14ac:dyDescent="0.25">
      <c r="A4" s="8" t="s">
        <v>30</v>
      </c>
      <c r="B4" s="15">
        <v>361.44</v>
      </c>
      <c r="C4" s="15">
        <v>334.98</v>
      </c>
      <c r="D4" s="20">
        <v>34.200000000000003</v>
      </c>
      <c r="E4" s="16">
        <f t="shared" si="0"/>
        <v>0.10209564750134337</v>
      </c>
      <c r="F4" s="17">
        <f t="shared" si="1"/>
        <v>90.36</v>
      </c>
      <c r="G4" s="18">
        <f t="shared" si="2"/>
        <v>12.908571428571429</v>
      </c>
      <c r="H4" s="15">
        <v>149.58000000000001</v>
      </c>
      <c r="I4" s="13">
        <f t="shared" si="3"/>
        <v>11.587649402390438</v>
      </c>
    </row>
    <row r="5" spans="1:9" ht="30" x14ac:dyDescent="0.25">
      <c r="A5" s="8" t="s">
        <v>34</v>
      </c>
      <c r="B5" s="20">
        <v>251.3</v>
      </c>
      <c r="C5" s="21">
        <v>238.86799999999999</v>
      </c>
      <c r="D5" s="21">
        <v>32.393999999999998</v>
      </c>
      <c r="E5" s="16">
        <f t="shared" si="0"/>
        <v>0.13561464909489759</v>
      </c>
      <c r="F5" s="17">
        <f t="shared" si="1"/>
        <v>62.825000000000003</v>
      </c>
      <c r="G5" s="18">
        <f t="shared" si="2"/>
        <v>8.9749999999999996</v>
      </c>
      <c r="H5" s="15">
        <v>13.012</v>
      </c>
      <c r="I5" s="13">
        <f t="shared" si="3"/>
        <v>1.4498050139275767</v>
      </c>
    </row>
    <row r="6" spans="1:9" x14ac:dyDescent="0.25">
      <c r="A6" s="8" t="s">
        <v>19</v>
      </c>
      <c r="B6" s="15">
        <v>42.84</v>
      </c>
      <c r="C6" s="20">
        <v>12.6</v>
      </c>
      <c r="D6" s="15">
        <v>30.24</v>
      </c>
      <c r="E6" s="16">
        <f t="shared" si="0"/>
        <v>2.4</v>
      </c>
      <c r="F6" s="17">
        <f t="shared" si="1"/>
        <v>10.71</v>
      </c>
      <c r="G6" s="18">
        <f t="shared" si="2"/>
        <v>1.53</v>
      </c>
      <c r="H6" s="15">
        <v>10.08</v>
      </c>
      <c r="I6" s="13">
        <f t="shared" si="3"/>
        <v>6.5882352941176467</v>
      </c>
    </row>
    <row r="7" spans="1:9" ht="30" x14ac:dyDescent="0.25">
      <c r="A7" s="8" t="s">
        <v>42</v>
      </c>
      <c r="B7" s="22">
        <v>30</v>
      </c>
      <c r="C7" s="26"/>
      <c r="D7" s="22">
        <v>30</v>
      </c>
      <c r="E7" s="16" t="e">
        <f t="shared" si="0"/>
        <v>#DIV/0!</v>
      </c>
      <c r="F7" s="17">
        <f t="shared" si="1"/>
        <v>7.5</v>
      </c>
      <c r="G7" s="18">
        <f t="shared" si="2"/>
        <v>1.0714285714285714</v>
      </c>
      <c r="H7" s="15">
        <v>61.816000000000003</v>
      </c>
      <c r="I7" s="13">
        <f t="shared" si="3"/>
        <v>57.694933333333339</v>
      </c>
    </row>
    <row r="8" spans="1:9" x14ac:dyDescent="0.25">
      <c r="A8" s="8" t="s">
        <v>22</v>
      </c>
      <c r="B8" s="20">
        <v>67.5</v>
      </c>
      <c r="C8" s="21">
        <v>53.655999999999999</v>
      </c>
      <c r="D8" s="21">
        <v>17.274000000000001</v>
      </c>
      <c r="E8" s="16">
        <f t="shared" si="0"/>
        <v>0.32193976442522743</v>
      </c>
      <c r="F8" s="17">
        <f t="shared" si="1"/>
        <v>16.875</v>
      </c>
      <c r="G8" s="18">
        <f t="shared" si="2"/>
        <v>2.4107142857142856</v>
      </c>
      <c r="H8" s="15">
        <v>124.09399999999999</v>
      </c>
      <c r="I8" s="13">
        <f t="shared" si="3"/>
        <v>51.476029629629629</v>
      </c>
    </row>
    <row r="9" spans="1:9" ht="30" x14ac:dyDescent="0.25">
      <c r="A9" s="8" t="s">
        <v>29</v>
      </c>
      <c r="B9" s="21">
        <v>116.06399999999999</v>
      </c>
      <c r="C9" s="21">
        <v>113.83199999999999</v>
      </c>
      <c r="D9" s="21">
        <v>16.367999999999999</v>
      </c>
      <c r="E9" s="16">
        <f t="shared" si="0"/>
        <v>0.1437908496732026</v>
      </c>
      <c r="F9" s="17">
        <f t="shared" si="1"/>
        <v>29.015999999999998</v>
      </c>
      <c r="G9" s="18">
        <f t="shared" si="2"/>
        <v>4.145142857142857</v>
      </c>
      <c r="H9" s="15">
        <v>0</v>
      </c>
      <c r="I9" s="12">
        <f t="shared" si="3"/>
        <v>0</v>
      </c>
    </row>
    <row r="10" spans="1:9" ht="30" x14ac:dyDescent="0.25">
      <c r="A10" s="8" t="s">
        <v>39</v>
      </c>
      <c r="B10" s="20">
        <v>128.1</v>
      </c>
      <c r="C10" s="21">
        <v>140.16399999999999</v>
      </c>
      <c r="D10" s="21">
        <v>12.452</v>
      </c>
      <c r="E10" s="16">
        <f t="shared" si="0"/>
        <v>8.8838788847350261E-2</v>
      </c>
      <c r="F10" s="17">
        <f t="shared" si="1"/>
        <v>32.024999999999999</v>
      </c>
      <c r="G10" s="18">
        <f t="shared" si="2"/>
        <v>4.5750000000000002</v>
      </c>
      <c r="H10" s="15">
        <v>156.61600000000001</v>
      </c>
      <c r="I10" s="13">
        <f t="shared" si="3"/>
        <v>34.233005464480875</v>
      </c>
    </row>
    <row r="11" spans="1:9" ht="30" x14ac:dyDescent="0.25">
      <c r="A11" s="8" t="s">
        <v>32</v>
      </c>
      <c r="B11" s="15">
        <v>124.62</v>
      </c>
      <c r="C11" s="21">
        <v>125.736</v>
      </c>
      <c r="D11" s="21">
        <v>12.276</v>
      </c>
      <c r="E11" s="16">
        <f t="shared" si="0"/>
        <v>9.7633136094674555E-2</v>
      </c>
      <c r="F11" s="17">
        <f t="shared" si="1"/>
        <v>31.155000000000001</v>
      </c>
      <c r="G11" s="18">
        <f t="shared" si="2"/>
        <v>4.4507142857142856</v>
      </c>
      <c r="H11" s="15">
        <v>34.223999999999997</v>
      </c>
      <c r="I11" s="13">
        <f t="shared" si="3"/>
        <v>7.6895522388059696</v>
      </c>
    </row>
    <row r="12" spans="1:9" ht="30" x14ac:dyDescent="0.25">
      <c r="A12" s="8" t="s">
        <v>36</v>
      </c>
      <c r="B12" s="15">
        <v>104.94</v>
      </c>
      <c r="C12" s="15">
        <v>101.52</v>
      </c>
      <c r="D12" s="15">
        <v>10.26</v>
      </c>
      <c r="E12" s="16">
        <f t="shared" si="0"/>
        <v>0.10106382978723405</v>
      </c>
      <c r="F12" s="17">
        <f t="shared" si="1"/>
        <v>26.234999999999999</v>
      </c>
      <c r="G12" s="18">
        <f t="shared" si="2"/>
        <v>3.7478571428571428</v>
      </c>
      <c r="H12" s="15">
        <v>43.38</v>
      </c>
      <c r="I12" s="13">
        <f t="shared" si="3"/>
        <v>11.574614065180103</v>
      </c>
    </row>
    <row r="13" spans="1:9" ht="30" x14ac:dyDescent="0.25">
      <c r="A13" s="8" t="s">
        <v>43</v>
      </c>
      <c r="B13" s="15">
        <v>52.02</v>
      </c>
      <c r="C13" s="15">
        <v>46.98</v>
      </c>
      <c r="D13" s="15">
        <v>10.08</v>
      </c>
      <c r="E13" s="16">
        <f t="shared" si="0"/>
        <v>0.21455938697318008</v>
      </c>
      <c r="F13" s="17">
        <f t="shared" si="1"/>
        <v>13.005000000000001</v>
      </c>
      <c r="G13" s="18">
        <f t="shared" si="2"/>
        <v>1.8578571428571429</v>
      </c>
      <c r="H13" s="15">
        <v>3.6</v>
      </c>
      <c r="I13" s="12">
        <f t="shared" si="3"/>
        <v>1.9377162629757785</v>
      </c>
    </row>
    <row r="14" spans="1:9" ht="30" x14ac:dyDescent="0.25">
      <c r="A14" s="8" t="s">
        <v>45</v>
      </c>
      <c r="B14" s="22">
        <v>59</v>
      </c>
      <c r="C14" s="20">
        <v>50.2</v>
      </c>
      <c r="D14" s="20">
        <v>9.1999999999999993</v>
      </c>
      <c r="E14" s="16">
        <f t="shared" si="0"/>
        <v>0.18326693227091631</v>
      </c>
      <c r="F14" s="17">
        <f t="shared" si="1"/>
        <v>14.75</v>
      </c>
      <c r="G14" s="18">
        <f t="shared" si="2"/>
        <v>2.1071428571428572</v>
      </c>
      <c r="H14" s="15">
        <v>0</v>
      </c>
      <c r="I14" s="13">
        <f t="shared" si="3"/>
        <v>0</v>
      </c>
    </row>
    <row r="15" spans="1:9" ht="45" x14ac:dyDescent="0.25">
      <c r="A15" s="8" t="s">
        <v>23</v>
      </c>
      <c r="B15" s="21">
        <v>59.892000000000003</v>
      </c>
      <c r="C15" s="21">
        <v>63.984000000000002</v>
      </c>
      <c r="D15" s="21">
        <v>8.9280000000000008</v>
      </c>
      <c r="E15" s="16">
        <f t="shared" si="0"/>
        <v>0.13953488372093023</v>
      </c>
      <c r="F15" s="17">
        <f t="shared" si="1"/>
        <v>14.973000000000001</v>
      </c>
      <c r="G15" s="18">
        <f t="shared" si="2"/>
        <v>2.1390000000000002</v>
      </c>
      <c r="H15" s="15">
        <v>68.447999999999993</v>
      </c>
      <c r="I15" s="13">
        <f t="shared" si="3"/>
        <v>31.999999999999993</v>
      </c>
    </row>
    <row r="16" spans="1:9" ht="30" x14ac:dyDescent="0.25">
      <c r="A16" s="8" t="s">
        <v>40</v>
      </c>
      <c r="B16" s="20">
        <v>48.6</v>
      </c>
      <c r="C16" s="15">
        <v>45.54</v>
      </c>
      <c r="D16" s="20">
        <v>8.1</v>
      </c>
      <c r="E16" s="16">
        <f t="shared" si="0"/>
        <v>0.17786561264822134</v>
      </c>
      <c r="F16" s="17">
        <f t="shared" si="1"/>
        <v>12.15</v>
      </c>
      <c r="G16" s="18">
        <f t="shared" si="2"/>
        <v>1.7357142857142858</v>
      </c>
      <c r="H16" s="15">
        <v>7.56</v>
      </c>
      <c r="I16" s="12">
        <f t="shared" si="3"/>
        <v>4.3555555555555552</v>
      </c>
    </row>
    <row r="17" spans="1:9" ht="30" x14ac:dyDescent="0.25">
      <c r="A17" s="8" t="s">
        <v>57</v>
      </c>
      <c r="B17" s="20">
        <v>84.5</v>
      </c>
      <c r="C17" s="21">
        <v>78.578000000000003</v>
      </c>
      <c r="D17" s="21">
        <v>6.0839999999999996</v>
      </c>
      <c r="E17" s="16">
        <f t="shared" si="0"/>
        <v>7.7426251622591563E-2</v>
      </c>
      <c r="F17" s="17">
        <f t="shared" si="1"/>
        <v>21.125</v>
      </c>
      <c r="G17" s="18">
        <f t="shared" si="2"/>
        <v>3.0178571428571428</v>
      </c>
      <c r="H17" s="15">
        <v>61.816000000000003</v>
      </c>
      <c r="I17" s="13">
        <f t="shared" si="3"/>
        <v>20.483408284023671</v>
      </c>
    </row>
    <row r="18" spans="1:9" ht="30" x14ac:dyDescent="0.25">
      <c r="A18" s="8" t="s">
        <v>28</v>
      </c>
      <c r="B18" s="20">
        <v>81.900000000000006</v>
      </c>
      <c r="C18" s="15">
        <v>86.22</v>
      </c>
      <c r="D18" s="15">
        <v>5.94</v>
      </c>
      <c r="E18" s="16">
        <f t="shared" si="0"/>
        <v>6.889352818371608E-2</v>
      </c>
      <c r="F18" s="17">
        <f t="shared" si="1"/>
        <v>20.475000000000001</v>
      </c>
      <c r="G18" s="18">
        <f t="shared" si="2"/>
        <v>2.9250000000000003</v>
      </c>
      <c r="H18" s="15">
        <v>35.28</v>
      </c>
      <c r="I18" s="13">
        <f t="shared" si="3"/>
        <v>12.061538461538461</v>
      </c>
    </row>
    <row r="19" spans="1:9" ht="30" x14ac:dyDescent="0.25">
      <c r="A19" s="8" t="s">
        <v>24</v>
      </c>
      <c r="B19" s="15">
        <v>50.76</v>
      </c>
      <c r="C19" s="15">
        <v>50.76</v>
      </c>
      <c r="D19" s="15">
        <v>5.76</v>
      </c>
      <c r="E19" s="16">
        <f t="shared" si="0"/>
        <v>0.11347517730496454</v>
      </c>
      <c r="F19" s="17">
        <f t="shared" si="1"/>
        <v>12.69</v>
      </c>
      <c r="G19" s="18">
        <f t="shared" si="2"/>
        <v>1.8128571428571427</v>
      </c>
      <c r="H19" s="15">
        <v>42.48</v>
      </c>
      <c r="I19" s="13">
        <f t="shared" si="3"/>
        <v>23.432624113475178</v>
      </c>
    </row>
    <row r="20" spans="1:9" x14ac:dyDescent="0.25">
      <c r="A20" s="8" t="s">
        <v>16</v>
      </c>
      <c r="B20" s="15">
        <v>45.36</v>
      </c>
      <c r="C20" s="15">
        <v>45.36</v>
      </c>
      <c r="D20" s="15">
        <v>5.76</v>
      </c>
      <c r="E20" s="16">
        <f t="shared" si="0"/>
        <v>0.12698412698412698</v>
      </c>
      <c r="F20" s="17">
        <f t="shared" si="1"/>
        <v>11.34</v>
      </c>
      <c r="G20" s="18">
        <f t="shared" si="2"/>
        <v>1.6199999999999999</v>
      </c>
      <c r="H20" s="15">
        <v>27.72</v>
      </c>
      <c r="I20" s="13">
        <f t="shared" si="3"/>
        <v>17.111111111111111</v>
      </c>
    </row>
    <row r="21" spans="1:9" ht="30" x14ac:dyDescent="0.25">
      <c r="A21" s="8" t="s">
        <v>41</v>
      </c>
      <c r="B21" s="20">
        <v>44.1</v>
      </c>
      <c r="C21" s="15">
        <v>43.74</v>
      </c>
      <c r="D21" s="15">
        <v>5.58</v>
      </c>
      <c r="E21" s="16">
        <f t="shared" si="0"/>
        <v>0.12757201646090535</v>
      </c>
      <c r="F21" s="17">
        <f t="shared" si="1"/>
        <v>11.025</v>
      </c>
      <c r="G21" s="18">
        <f t="shared" si="2"/>
        <v>1.575</v>
      </c>
      <c r="H21" s="15">
        <v>20.88</v>
      </c>
      <c r="I21" s="13">
        <f t="shared" si="3"/>
        <v>13.257142857142856</v>
      </c>
    </row>
    <row r="22" spans="1:9" ht="30" x14ac:dyDescent="0.25">
      <c r="A22" s="8" t="s">
        <v>53</v>
      </c>
      <c r="B22" s="21">
        <v>105.086</v>
      </c>
      <c r="C22" s="21">
        <v>104.58199999999999</v>
      </c>
      <c r="D22" s="21">
        <v>5.3639999999999999</v>
      </c>
      <c r="E22" s="16">
        <f t="shared" si="0"/>
        <v>5.1289896922988659E-2</v>
      </c>
      <c r="F22" s="17">
        <f t="shared" si="1"/>
        <v>26.2715</v>
      </c>
      <c r="G22" s="18">
        <f t="shared" si="2"/>
        <v>3.7530714285714284</v>
      </c>
      <c r="H22" s="15">
        <v>10.69</v>
      </c>
      <c r="I22" s="13">
        <f t="shared" si="3"/>
        <v>2.8483337456940032</v>
      </c>
    </row>
    <row r="23" spans="1:9" ht="30" x14ac:dyDescent="0.25">
      <c r="A23" s="8" t="s">
        <v>38</v>
      </c>
      <c r="B23" s="20">
        <v>17.2</v>
      </c>
      <c r="C23" s="20">
        <v>13.8</v>
      </c>
      <c r="D23" s="20">
        <v>4.9000000000000004</v>
      </c>
      <c r="E23" s="16">
        <f t="shared" si="0"/>
        <v>0.35507246376811596</v>
      </c>
      <c r="F23" s="17">
        <f t="shared" si="1"/>
        <v>4.3</v>
      </c>
      <c r="G23" s="18">
        <f t="shared" si="2"/>
        <v>0.61428571428571421</v>
      </c>
      <c r="H23" s="15">
        <v>12.6</v>
      </c>
      <c r="I23" s="13">
        <f t="shared" si="3"/>
        <v>20.511627906976745</v>
      </c>
    </row>
    <row r="24" spans="1:9" ht="30" x14ac:dyDescent="0.25">
      <c r="A24" s="8" t="s">
        <v>49</v>
      </c>
      <c r="B24" s="20">
        <v>61.8</v>
      </c>
      <c r="C24" s="20">
        <v>59.8</v>
      </c>
      <c r="D24" s="22">
        <v>4</v>
      </c>
      <c r="E24" s="16">
        <f t="shared" si="0"/>
        <v>6.6889632107023408E-2</v>
      </c>
      <c r="F24" s="17">
        <f t="shared" si="1"/>
        <v>15.45</v>
      </c>
      <c r="G24" s="18">
        <f t="shared" si="2"/>
        <v>2.2071428571428569</v>
      </c>
      <c r="H24" s="15">
        <v>1</v>
      </c>
      <c r="I24" s="13">
        <f t="shared" si="3"/>
        <v>0.45307443365695799</v>
      </c>
    </row>
    <row r="25" spans="1:9" x14ac:dyDescent="0.25">
      <c r="A25" s="8" t="s">
        <v>50</v>
      </c>
      <c r="B25" s="20">
        <v>24.3</v>
      </c>
      <c r="C25" s="15">
        <v>23.94</v>
      </c>
      <c r="D25" s="15">
        <v>3.96</v>
      </c>
      <c r="E25" s="16">
        <f t="shared" si="0"/>
        <v>0.16541353383458646</v>
      </c>
      <c r="F25" s="17">
        <f t="shared" si="1"/>
        <v>6.0750000000000002</v>
      </c>
      <c r="G25" s="18">
        <f t="shared" si="2"/>
        <v>0.86785714285714288</v>
      </c>
      <c r="H25" s="15">
        <v>14.58</v>
      </c>
      <c r="I25" s="13">
        <f t="shared" si="3"/>
        <v>16.8</v>
      </c>
    </row>
    <row r="26" spans="1:9" ht="30" x14ac:dyDescent="0.25">
      <c r="A26" s="8" t="s">
        <v>27</v>
      </c>
      <c r="B26" s="15">
        <v>34.159999999999997</v>
      </c>
      <c r="C26" s="15">
        <v>36.54</v>
      </c>
      <c r="D26" s="15">
        <v>3.64</v>
      </c>
      <c r="E26" s="16">
        <f t="shared" si="0"/>
        <v>9.9616858237547901E-2</v>
      </c>
      <c r="F26" s="17">
        <f t="shared" si="1"/>
        <v>8.5399999999999991</v>
      </c>
      <c r="G26" s="18">
        <f t="shared" si="2"/>
        <v>1.22</v>
      </c>
      <c r="H26" s="15">
        <v>5.04</v>
      </c>
      <c r="I26" s="12">
        <f t="shared" si="3"/>
        <v>4.1311475409836067</v>
      </c>
    </row>
    <row r="27" spans="1:9" ht="30" x14ac:dyDescent="0.25">
      <c r="A27" s="8" t="s">
        <v>48</v>
      </c>
      <c r="B27" s="15">
        <v>79.56</v>
      </c>
      <c r="C27" s="15">
        <v>80.28</v>
      </c>
      <c r="D27" s="20">
        <v>3.6</v>
      </c>
      <c r="E27" s="16">
        <f t="shared" si="0"/>
        <v>4.4843049327354258E-2</v>
      </c>
      <c r="F27" s="17">
        <f t="shared" si="1"/>
        <v>19.89</v>
      </c>
      <c r="G27" s="18">
        <f t="shared" si="2"/>
        <v>2.8414285714285716</v>
      </c>
      <c r="H27" s="15">
        <v>15.3</v>
      </c>
      <c r="I27" s="12">
        <f t="shared" si="3"/>
        <v>5.3846153846153841</v>
      </c>
    </row>
    <row r="28" spans="1:9" x14ac:dyDescent="0.25">
      <c r="A28" s="8" t="s">
        <v>35</v>
      </c>
      <c r="B28" s="20">
        <v>6.5</v>
      </c>
      <c r="C28" s="22">
        <v>5</v>
      </c>
      <c r="D28" s="20">
        <v>3.5</v>
      </c>
      <c r="E28" s="16">
        <f t="shared" si="0"/>
        <v>0.7</v>
      </c>
      <c r="F28" s="17">
        <f t="shared" si="1"/>
        <v>1.625</v>
      </c>
      <c r="G28" s="18">
        <f t="shared" si="2"/>
        <v>0.23214285714285715</v>
      </c>
      <c r="H28" s="15">
        <v>3</v>
      </c>
      <c r="I28" s="13">
        <f t="shared" si="3"/>
        <v>12.923076923076923</v>
      </c>
    </row>
    <row r="29" spans="1:9" ht="30" x14ac:dyDescent="0.25">
      <c r="A29" s="8" t="s">
        <v>44</v>
      </c>
      <c r="B29" s="20">
        <v>53.5</v>
      </c>
      <c r="C29" s="21">
        <v>59.927999999999997</v>
      </c>
      <c r="D29" s="21">
        <v>3.0019999999999998</v>
      </c>
      <c r="E29" s="16">
        <f t="shared" si="0"/>
        <v>5.0093445467894807E-2</v>
      </c>
      <c r="F29" s="17">
        <f t="shared" si="1"/>
        <v>13.375</v>
      </c>
      <c r="G29" s="18">
        <f t="shared" si="2"/>
        <v>1.9107142857142858</v>
      </c>
      <c r="H29" s="15">
        <v>11.154</v>
      </c>
      <c r="I29" s="12">
        <f t="shared" si="3"/>
        <v>5.8376074766355135</v>
      </c>
    </row>
    <row r="30" spans="1:9" ht="30" x14ac:dyDescent="0.25">
      <c r="A30" s="8" t="s">
        <v>64</v>
      </c>
      <c r="B30" s="15">
        <v>9.36</v>
      </c>
      <c r="C30" s="15">
        <v>11.52</v>
      </c>
      <c r="D30" s="15">
        <v>2.88</v>
      </c>
      <c r="E30" s="16">
        <f t="shared" si="0"/>
        <v>0.25</v>
      </c>
      <c r="F30" s="17">
        <f t="shared" si="1"/>
        <v>2.34</v>
      </c>
      <c r="G30" s="18">
        <f t="shared" si="2"/>
        <v>0.33428571428571424</v>
      </c>
      <c r="H30" s="15">
        <v>6.48</v>
      </c>
      <c r="I30" s="13">
        <f t="shared" si="3"/>
        <v>19.384615384615387</v>
      </c>
    </row>
    <row r="31" spans="1:9" ht="30" x14ac:dyDescent="0.25">
      <c r="A31" s="8" t="s">
        <v>26</v>
      </c>
      <c r="B31" s="20">
        <v>22.1</v>
      </c>
      <c r="C31" s="20">
        <v>20.8</v>
      </c>
      <c r="D31" s="20">
        <v>2.2000000000000002</v>
      </c>
      <c r="E31" s="16">
        <f t="shared" si="0"/>
        <v>0.10576923076923077</v>
      </c>
      <c r="F31" s="17">
        <f t="shared" si="1"/>
        <v>5.5250000000000004</v>
      </c>
      <c r="G31" s="18">
        <f t="shared" si="2"/>
        <v>0.78928571428571437</v>
      </c>
      <c r="H31" s="15">
        <v>11.2</v>
      </c>
      <c r="I31" s="13">
        <f t="shared" si="3"/>
        <v>14.190045248868776</v>
      </c>
    </row>
    <row r="32" spans="1:9" ht="30" x14ac:dyDescent="0.25">
      <c r="A32" s="8" t="s">
        <v>56</v>
      </c>
      <c r="B32" s="22">
        <v>2</v>
      </c>
      <c r="C32" s="26"/>
      <c r="D32" s="22">
        <v>2</v>
      </c>
      <c r="E32" s="16"/>
      <c r="F32" s="17">
        <f t="shared" si="1"/>
        <v>0.5</v>
      </c>
      <c r="G32" s="18">
        <f t="shared" si="2"/>
        <v>7.1428571428571425E-2</v>
      </c>
      <c r="H32" s="15">
        <v>0</v>
      </c>
      <c r="I32" s="13">
        <f t="shared" si="3"/>
        <v>0</v>
      </c>
    </row>
    <row r="33" spans="1:9" ht="30" x14ac:dyDescent="0.25">
      <c r="A33" s="8" t="s">
        <v>60</v>
      </c>
      <c r="B33" s="15">
        <v>1.98</v>
      </c>
      <c r="C33" s="26"/>
      <c r="D33" s="15">
        <v>1.98</v>
      </c>
      <c r="E33" s="16"/>
      <c r="F33" s="17">
        <f t="shared" si="1"/>
        <v>0.495</v>
      </c>
      <c r="G33" s="18">
        <f t="shared" si="2"/>
        <v>7.0714285714285716E-2</v>
      </c>
      <c r="H33" s="15">
        <v>0</v>
      </c>
      <c r="I33" s="13">
        <f t="shared" si="3"/>
        <v>0</v>
      </c>
    </row>
    <row r="34" spans="1:9" x14ac:dyDescent="0.25">
      <c r="A34" s="8" t="s">
        <v>61</v>
      </c>
      <c r="B34" s="20">
        <v>1.7</v>
      </c>
      <c r="C34" s="26"/>
      <c r="D34" s="20">
        <v>1.7</v>
      </c>
      <c r="E34" s="16"/>
      <c r="F34" s="17">
        <f t="shared" si="1"/>
        <v>0.42499999999999999</v>
      </c>
      <c r="G34" s="18">
        <f t="shared" si="2"/>
        <v>6.0714285714285714E-2</v>
      </c>
      <c r="H34" s="15">
        <v>0</v>
      </c>
      <c r="I34" s="13">
        <f t="shared" si="3"/>
        <v>0</v>
      </c>
    </row>
    <row r="35" spans="1:9" ht="30" x14ac:dyDescent="0.25">
      <c r="A35" s="8" t="s">
        <v>33</v>
      </c>
      <c r="B35" s="20">
        <v>14.1</v>
      </c>
      <c r="C35" s="20">
        <v>15.4</v>
      </c>
      <c r="D35" s="20">
        <v>1.6</v>
      </c>
      <c r="E35" s="16">
        <f t="shared" ref="E35:E42" si="4">D35/C35</f>
        <v>0.1038961038961039</v>
      </c>
      <c r="F35" s="17">
        <f t="shared" si="1"/>
        <v>3.5249999999999999</v>
      </c>
      <c r="G35" s="18">
        <f t="shared" si="2"/>
        <v>0.50357142857142856</v>
      </c>
      <c r="H35" s="15">
        <v>11.1</v>
      </c>
      <c r="I35" s="13">
        <f t="shared" si="3"/>
        <v>22.042553191489361</v>
      </c>
    </row>
    <row r="36" spans="1:9" ht="30" x14ac:dyDescent="0.25">
      <c r="A36" s="8" t="s">
        <v>55</v>
      </c>
      <c r="B36" s="22">
        <v>20</v>
      </c>
      <c r="C36" s="20">
        <v>18.399999999999999</v>
      </c>
      <c r="D36" s="20">
        <v>1.6</v>
      </c>
      <c r="E36" s="16">
        <f t="shared" si="4"/>
        <v>8.6956521739130446E-2</v>
      </c>
      <c r="F36" s="17">
        <f t="shared" si="1"/>
        <v>5</v>
      </c>
      <c r="G36" s="18">
        <f t="shared" si="2"/>
        <v>0.7142857142857143</v>
      </c>
      <c r="H36" s="15">
        <v>11.2</v>
      </c>
      <c r="I36" s="13">
        <f t="shared" si="3"/>
        <v>15.679999999999998</v>
      </c>
    </row>
    <row r="37" spans="1:9" ht="30" x14ac:dyDescent="0.25">
      <c r="A37" s="8" t="s">
        <v>37</v>
      </c>
      <c r="B37" s="20">
        <v>5.6</v>
      </c>
      <c r="C37" s="20">
        <v>6.4</v>
      </c>
      <c r="D37" s="20">
        <v>1.4</v>
      </c>
      <c r="E37" s="16">
        <f t="shared" si="4"/>
        <v>0.21874999999999997</v>
      </c>
      <c r="F37" s="17">
        <f t="shared" si="1"/>
        <v>1.4</v>
      </c>
      <c r="G37" s="18">
        <f t="shared" si="2"/>
        <v>0.19999999999999998</v>
      </c>
      <c r="H37" s="15">
        <v>7.2</v>
      </c>
      <c r="I37" s="13">
        <f t="shared" si="3"/>
        <v>36.000000000000007</v>
      </c>
    </row>
    <row r="38" spans="1:9" ht="30" x14ac:dyDescent="0.25">
      <c r="A38" s="8" t="s">
        <v>65</v>
      </c>
      <c r="B38" s="20">
        <v>6.2</v>
      </c>
      <c r="C38" s="22">
        <v>5</v>
      </c>
      <c r="D38" s="20">
        <v>1.2</v>
      </c>
      <c r="E38" s="16">
        <f t="shared" si="4"/>
        <v>0.24</v>
      </c>
      <c r="F38" s="17">
        <f t="shared" si="1"/>
        <v>1.55</v>
      </c>
      <c r="G38" s="18">
        <f t="shared" si="2"/>
        <v>0.22142857142857145</v>
      </c>
      <c r="H38" s="15">
        <v>7.8</v>
      </c>
      <c r="I38" s="13">
        <f t="shared" si="3"/>
        <v>35.225806451612897</v>
      </c>
    </row>
    <row r="39" spans="1:9" ht="30" x14ac:dyDescent="0.25">
      <c r="A39" s="8" t="s">
        <v>17</v>
      </c>
      <c r="B39" s="22">
        <v>67</v>
      </c>
      <c r="C39" s="21">
        <v>77.382000000000005</v>
      </c>
      <c r="D39" s="21">
        <v>1.042</v>
      </c>
      <c r="E39" s="16">
        <f t="shared" si="4"/>
        <v>1.3465663849474037E-2</v>
      </c>
      <c r="F39" s="17">
        <f t="shared" si="1"/>
        <v>16.75</v>
      </c>
      <c r="G39" s="18">
        <f t="shared" si="2"/>
        <v>2.3928571428571428</v>
      </c>
      <c r="H39" s="15">
        <v>27.661999999999999</v>
      </c>
      <c r="I39" s="13">
        <f t="shared" si="3"/>
        <v>11.560238805970149</v>
      </c>
    </row>
    <row r="40" spans="1:9" ht="30" x14ac:dyDescent="0.25">
      <c r="A40" s="8" t="s">
        <v>21</v>
      </c>
      <c r="B40" s="20">
        <v>22.5</v>
      </c>
      <c r="C40" s="21">
        <v>25.678000000000001</v>
      </c>
      <c r="D40" s="21">
        <v>0.80800000000000005</v>
      </c>
      <c r="E40" s="16">
        <f t="shared" si="4"/>
        <v>3.1466625126567491E-2</v>
      </c>
      <c r="F40" s="17">
        <f t="shared" si="1"/>
        <v>5.625</v>
      </c>
      <c r="G40" s="18">
        <f t="shared" si="2"/>
        <v>0.8035714285714286</v>
      </c>
      <c r="H40" s="15">
        <v>33.630000000000003</v>
      </c>
      <c r="I40" s="13">
        <f t="shared" si="3"/>
        <v>41.850666666666669</v>
      </c>
    </row>
    <row r="41" spans="1:9" x14ac:dyDescent="0.25">
      <c r="A41" s="8" t="s">
        <v>62</v>
      </c>
      <c r="B41" s="20">
        <v>4.5999999999999996</v>
      </c>
      <c r="C41" s="20">
        <v>5.0999999999999996</v>
      </c>
      <c r="D41" s="20">
        <v>0.8</v>
      </c>
      <c r="E41" s="16">
        <f t="shared" si="4"/>
        <v>0.15686274509803924</v>
      </c>
      <c r="F41" s="17">
        <f t="shared" si="1"/>
        <v>1.1499999999999999</v>
      </c>
      <c r="G41" s="18">
        <f t="shared" si="2"/>
        <v>0.16428571428571428</v>
      </c>
      <c r="H41" s="15">
        <v>8.4</v>
      </c>
      <c r="I41" s="13">
        <f t="shared" si="3"/>
        <v>51.130434782608695</v>
      </c>
    </row>
    <row r="42" spans="1:9" ht="30" x14ac:dyDescent="0.25">
      <c r="A42" s="8" t="s">
        <v>25</v>
      </c>
      <c r="B42" s="15">
        <v>25.76</v>
      </c>
      <c r="C42" s="15">
        <v>26.88</v>
      </c>
      <c r="D42" s="15">
        <v>0.56000000000000005</v>
      </c>
      <c r="E42" s="16">
        <f t="shared" si="4"/>
        <v>2.0833333333333336E-2</v>
      </c>
      <c r="F42" s="17">
        <f t="shared" si="1"/>
        <v>6.44</v>
      </c>
      <c r="G42" s="18">
        <f t="shared" si="2"/>
        <v>0.92</v>
      </c>
      <c r="H42" s="15">
        <v>8.5399999999999991</v>
      </c>
      <c r="I42" s="13">
        <f t="shared" si="3"/>
        <v>9.2826086956521721</v>
      </c>
    </row>
    <row r="43" spans="1:9" ht="30" x14ac:dyDescent="0.25">
      <c r="A43" s="8" t="s">
        <v>54</v>
      </c>
      <c r="B43" s="15">
        <v>0.44</v>
      </c>
      <c r="C43" s="26"/>
      <c r="D43" s="15">
        <v>0.44</v>
      </c>
      <c r="E43" s="16"/>
      <c r="F43" s="17">
        <f t="shared" si="1"/>
        <v>0.11</v>
      </c>
      <c r="G43" s="18">
        <f t="shared" si="2"/>
        <v>1.5714285714285715E-2</v>
      </c>
      <c r="H43" s="15">
        <v>0</v>
      </c>
      <c r="I43" s="13">
        <f t="shared" si="3"/>
        <v>0</v>
      </c>
    </row>
    <row r="44" spans="1:9" ht="30" x14ac:dyDescent="0.25">
      <c r="A44" s="8" t="s">
        <v>58</v>
      </c>
      <c r="B44" s="15">
        <v>0.18</v>
      </c>
      <c r="C44" s="26"/>
      <c r="D44" s="15">
        <v>0.18</v>
      </c>
      <c r="E44" s="16"/>
      <c r="F44" s="17">
        <f t="shared" si="1"/>
        <v>4.4999999999999998E-2</v>
      </c>
      <c r="G44" s="18">
        <f t="shared" si="2"/>
        <v>6.4285714285714285E-3</v>
      </c>
      <c r="H44" s="15">
        <v>0</v>
      </c>
      <c r="I44" s="13">
        <f t="shared" si="3"/>
        <v>0</v>
      </c>
    </row>
    <row r="45" spans="1:9" ht="30" x14ac:dyDescent="0.25">
      <c r="A45" s="8" t="s">
        <v>52</v>
      </c>
      <c r="B45" s="21">
        <v>2.4750000000000001</v>
      </c>
      <c r="C45" s="21">
        <v>2.4750000000000001</v>
      </c>
      <c r="D45" s="25"/>
      <c r="E45" s="16">
        <f>D45/C45</f>
        <v>0</v>
      </c>
      <c r="F45" s="17">
        <f t="shared" si="1"/>
        <v>0.61875000000000002</v>
      </c>
      <c r="G45" s="18">
        <f t="shared" si="2"/>
        <v>8.8392857142857148E-2</v>
      </c>
      <c r="H45" s="15">
        <v>119.48</v>
      </c>
      <c r="I45" s="13">
        <f t="shared" si="3"/>
        <v>1351.6929292929292</v>
      </c>
    </row>
    <row r="46" spans="1:9" ht="30" x14ac:dyDescent="0.25">
      <c r="A46" s="8" t="s">
        <v>20</v>
      </c>
      <c r="B46" s="20">
        <v>29.2</v>
      </c>
      <c r="C46" s="20">
        <v>29.2</v>
      </c>
      <c r="D46" s="25"/>
      <c r="E46" s="16">
        <f>D46/C46</f>
        <v>0</v>
      </c>
      <c r="F46" s="17">
        <f t="shared" si="1"/>
        <v>7.3</v>
      </c>
      <c r="G46" s="18">
        <f t="shared" si="2"/>
        <v>1.0428571428571429</v>
      </c>
      <c r="H46" s="15">
        <v>8</v>
      </c>
      <c r="I46" s="13">
        <f t="shared" si="3"/>
        <v>7.6712328767123283</v>
      </c>
    </row>
    <row r="47" spans="1:9" x14ac:dyDescent="0.25">
      <c r="A47" s="8" t="s">
        <v>63</v>
      </c>
      <c r="B47" s="20">
        <v>3.9</v>
      </c>
      <c r="C47" s="20">
        <v>4.0999999999999996</v>
      </c>
      <c r="D47" s="25"/>
      <c r="E47" s="16">
        <f>D47/C47</f>
        <v>0</v>
      </c>
      <c r="F47" s="17">
        <f t="shared" si="1"/>
        <v>0.97499999999999998</v>
      </c>
      <c r="G47" s="18">
        <f t="shared" si="2"/>
        <v>0.13928571428571429</v>
      </c>
      <c r="H47" s="15">
        <v>2.5</v>
      </c>
      <c r="I47" s="13">
        <f t="shared" si="3"/>
        <v>17.948717948717949</v>
      </c>
    </row>
    <row r="48" spans="1:9" ht="30" x14ac:dyDescent="0.25">
      <c r="A48" s="8" t="s">
        <v>59</v>
      </c>
      <c r="B48" s="20">
        <v>9.1</v>
      </c>
      <c r="C48" s="15">
        <v>10.08</v>
      </c>
      <c r="D48" s="25"/>
      <c r="E48" s="16">
        <f>D48/C48</f>
        <v>0</v>
      </c>
      <c r="F48" s="17">
        <f t="shared" si="1"/>
        <v>2.2749999999999999</v>
      </c>
      <c r="G48" s="18">
        <f t="shared" si="2"/>
        <v>0.32500000000000001</v>
      </c>
      <c r="H48" s="15">
        <v>6.3</v>
      </c>
      <c r="I48" s="13">
        <f t="shared" si="3"/>
        <v>19.384615384615383</v>
      </c>
    </row>
    <row r="49" spans="1:9" ht="30" x14ac:dyDescent="0.25">
      <c r="A49" s="8" t="s">
        <v>72</v>
      </c>
      <c r="B49" s="22">
        <v>3</v>
      </c>
      <c r="C49" s="22">
        <v>3</v>
      </c>
      <c r="D49" s="25"/>
      <c r="E49" s="16">
        <f>D49/C49</f>
        <v>0</v>
      </c>
      <c r="F49" s="17">
        <f t="shared" si="1"/>
        <v>0.75</v>
      </c>
      <c r="G49" s="18">
        <f t="shared" si="2"/>
        <v>0.10714285714285714</v>
      </c>
      <c r="H49" s="15">
        <v>0</v>
      </c>
      <c r="I49" s="13">
        <f t="shared" si="3"/>
        <v>0</v>
      </c>
    </row>
    <row r="50" spans="1:9" x14ac:dyDescent="0.25">
      <c r="A50" s="8"/>
      <c r="B50" s="22"/>
      <c r="C50" s="22"/>
      <c r="D50" s="25"/>
      <c r="E50" s="16"/>
      <c r="F50" s="17"/>
      <c r="G50" s="18"/>
      <c r="H50" s="15"/>
      <c r="I50" s="13"/>
    </row>
    <row r="51" spans="1:9" x14ac:dyDescent="0.25">
      <c r="A51" s="7" t="s">
        <v>67</v>
      </c>
      <c r="B51" s="14">
        <v>3069.049</v>
      </c>
      <c r="C51" s="14">
        <v>2871.5230000000001</v>
      </c>
      <c r="D51" s="34">
        <v>421.74400000000003</v>
      </c>
      <c r="E51" s="9">
        <f t="shared" ref="E51" si="5">D51/C51</f>
        <v>0.14687118995738499</v>
      </c>
      <c r="F51" s="1">
        <f t="shared" ref="F51" si="6">B51/4</f>
        <v>767.26224999999999</v>
      </c>
      <c r="G51" s="10">
        <f t="shared" ref="G51" si="7">F51/7</f>
        <v>109.60889285714286</v>
      </c>
      <c r="H51" s="11"/>
      <c r="I51" s="13">
        <f t="shared" ref="I51" si="8">H51/G51</f>
        <v>0</v>
      </c>
    </row>
  </sheetData>
  <autoFilter ref="A1:I1" xr:uid="{C562417D-BEC3-4B26-8E65-3328C149AC13}">
    <sortState xmlns:xlrd2="http://schemas.microsoft.com/office/spreadsheetml/2017/richdata2" ref="A2:I49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</vt:lpstr>
      <vt:lpstr>ДНР</vt:lpstr>
      <vt:lpstr>Запорожье</vt:lpstr>
      <vt:lpstr>Мелитополь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Симбирева Ольга</dc:creator>
  <cp:lastModifiedBy>Uaer4</cp:lastModifiedBy>
  <dcterms:created xsi:type="dcterms:W3CDTF">2026-10-06T12:18:43Z</dcterms:created>
  <dcterms:modified xsi:type="dcterms:W3CDTF">2026-10-08T06:42:19Z</dcterms:modified>
</cp:coreProperties>
</file>