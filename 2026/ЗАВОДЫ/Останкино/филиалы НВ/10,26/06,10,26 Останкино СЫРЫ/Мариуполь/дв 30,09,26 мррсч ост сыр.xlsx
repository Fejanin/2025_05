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80CDAD5A-95C9-4D7E-BA4E-45573703F6D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Sheet!$A$3:$Y$53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2" i="1"/>
  <c r="S14" i="1"/>
  <c r="S15" i="1"/>
  <c r="S16" i="1"/>
  <c r="S18" i="1"/>
  <c r="S19" i="1"/>
  <c r="S20" i="1"/>
  <c r="S21" i="1"/>
  <c r="S22" i="1"/>
  <c r="S23" i="1"/>
  <c r="S24" i="1"/>
  <c r="S27" i="1"/>
  <c r="S28" i="1"/>
  <c r="S29" i="1"/>
  <c r="S31" i="1"/>
  <c r="S32" i="1"/>
  <c r="S33" i="1"/>
  <c r="S34" i="1"/>
  <c r="S35" i="1"/>
  <c r="S36" i="1"/>
  <c r="S37" i="1"/>
  <c r="S38" i="1"/>
  <c r="S42" i="1"/>
  <c r="S43" i="1"/>
  <c r="S44" i="1"/>
  <c r="S45" i="1"/>
  <c r="S46" i="1"/>
  <c r="S47" i="1"/>
  <c r="S48" i="1"/>
  <c r="S49" i="1"/>
  <c r="S50" i="1"/>
  <c r="S51" i="1"/>
  <c r="S52" i="1"/>
  <c r="S53" i="1"/>
  <c r="S6" i="1"/>
  <c r="S5" i="1" l="1"/>
  <c r="R10" i="1"/>
  <c r="R5" i="1" s="1"/>
  <c r="R11" i="1"/>
  <c r="R17" i="1"/>
  <c r="Y17" i="1" s="1"/>
  <c r="R25" i="1"/>
  <c r="Y25" i="1" s="1"/>
  <c r="R26" i="1"/>
  <c r="Y26" i="1" s="1"/>
  <c r="R30" i="1"/>
  <c r="R39" i="1"/>
  <c r="R40" i="1"/>
  <c r="R41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4" i="1"/>
  <c r="Y23" i="1"/>
  <c r="Y22" i="1"/>
  <c r="Y21" i="1"/>
  <c r="Y20" i="1"/>
  <c r="Y19" i="1"/>
  <c r="Y18" i="1"/>
  <c r="Y16" i="1"/>
  <c r="Y15" i="1"/>
  <c r="Y14" i="1"/>
  <c r="Y13" i="1"/>
  <c r="Y12" i="1"/>
  <c r="Y11" i="1"/>
  <c r="Y10" i="1"/>
  <c r="Y9" i="1"/>
  <c r="Y8" i="1"/>
  <c r="Y7" i="1"/>
  <c r="Y6" i="1"/>
  <c r="T7" i="1"/>
  <c r="T8" i="1"/>
  <c r="T9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7" i="1"/>
  <c r="T28" i="1"/>
  <c r="T29" i="1"/>
  <c r="T31" i="1"/>
  <c r="T32" i="1"/>
  <c r="T33" i="1"/>
  <c r="T34" i="1"/>
  <c r="T35" i="1"/>
  <c r="T36" i="1"/>
  <c r="T37" i="1"/>
  <c r="T38" i="1"/>
  <c r="T42" i="1"/>
  <c r="T43" i="1"/>
  <c r="T44" i="1"/>
  <c r="T45" i="1"/>
  <c r="T46" i="1"/>
  <c r="T47" i="1"/>
  <c r="T48" i="1"/>
  <c r="T49" i="1"/>
  <c r="T50" i="1"/>
  <c r="T51" i="1"/>
  <c r="T52" i="1"/>
  <c r="T53" i="1"/>
  <c r="T6" i="1"/>
  <c r="T5" i="1" l="1"/>
  <c r="P7" i="1"/>
  <c r="P8" i="1"/>
  <c r="U8" i="1" s="1"/>
  <c r="P9" i="1"/>
  <c r="P10" i="1"/>
  <c r="U10" i="1" s="1"/>
  <c r="P11" i="1"/>
  <c r="P12" i="1"/>
  <c r="U12" i="1" s="1"/>
  <c r="P13" i="1"/>
  <c r="P14" i="1"/>
  <c r="U14" i="1" s="1"/>
  <c r="P15" i="1"/>
  <c r="P16" i="1"/>
  <c r="U16" i="1" s="1"/>
  <c r="P17" i="1"/>
  <c r="P18" i="1"/>
  <c r="U18" i="1" s="1"/>
  <c r="P19" i="1"/>
  <c r="P20" i="1"/>
  <c r="U20" i="1" s="1"/>
  <c r="P21" i="1"/>
  <c r="P22" i="1"/>
  <c r="U22" i="1" s="1"/>
  <c r="P23" i="1"/>
  <c r="P24" i="1"/>
  <c r="U24" i="1" s="1"/>
  <c r="P25" i="1"/>
  <c r="P26" i="1"/>
  <c r="U26" i="1" s="1"/>
  <c r="P27" i="1"/>
  <c r="P28" i="1"/>
  <c r="U28" i="1" s="1"/>
  <c r="P29" i="1"/>
  <c r="P30" i="1"/>
  <c r="U30" i="1" s="1"/>
  <c r="P31" i="1"/>
  <c r="P32" i="1"/>
  <c r="U32" i="1" s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6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W5" i="1"/>
  <c r="Q5" i="1"/>
  <c r="O5" i="1"/>
  <c r="N5" i="1"/>
  <c r="M5" i="1"/>
  <c r="K5" i="1"/>
  <c r="F5" i="1"/>
  <c r="E5" i="1"/>
  <c r="V6" i="1" l="1"/>
  <c r="U6" i="1"/>
  <c r="V52" i="1"/>
  <c r="U52" i="1"/>
  <c r="V50" i="1"/>
  <c r="U50" i="1"/>
  <c r="V48" i="1"/>
  <c r="U48" i="1"/>
  <c r="V46" i="1"/>
  <c r="U46" i="1"/>
  <c r="V44" i="1"/>
  <c r="U44" i="1"/>
  <c r="V42" i="1"/>
  <c r="U42" i="1"/>
  <c r="V40" i="1"/>
  <c r="U40" i="1"/>
  <c r="V38" i="1"/>
  <c r="U38" i="1"/>
  <c r="V36" i="1"/>
  <c r="U36" i="1"/>
  <c r="V34" i="1"/>
  <c r="U34" i="1"/>
  <c r="V53" i="1"/>
  <c r="U53" i="1"/>
  <c r="V51" i="1"/>
  <c r="U51" i="1"/>
  <c r="V49" i="1"/>
  <c r="U49" i="1"/>
  <c r="V47" i="1"/>
  <c r="U47" i="1"/>
  <c r="V45" i="1"/>
  <c r="U45" i="1"/>
  <c r="V43" i="1"/>
  <c r="U43" i="1"/>
  <c r="V41" i="1"/>
  <c r="U41" i="1"/>
  <c r="V39" i="1"/>
  <c r="U39" i="1"/>
  <c r="V37" i="1"/>
  <c r="U37" i="1"/>
  <c r="V35" i="1"/>
  <c r="U35" i="1"/>
  <c r="V33" i="1"/>
  <c r="U33" i="1"/>
  <c r="V31" i="1"/>
  <c r="U31" i="1"/>
  <c r="V29" i="1"/>
  <c r="U29" i="1"/>
  <c r="V27" i="1"/>
  <c r="U27" i="1"/>
  <c r="V25" i="1"/>
  <c r="U25" i="1"/>
  <c r="V23" i="1"/>
  <c r="U23" i="1"/>
  <c r="V21" i="1"/>
  <c r="U21" i="1"/>
  <c r="V19" i="1"/>
  <c r="U19" i="1"/>
  <c r="V17" i="1"/>
  <c r="U17" i="1"/>
  <c r="V15" i="1"/>
  <c r="U15" i="1"/>
  <c r="V13" i="1"/>
  <c r="U13" i="1"/>
  <c r="V11" i="1"/>
  <c r="U11" i="1"/>
  <c r="V9" i="1"/>
  <c r="U9" i="1"/>
  <c r="V7" i="1"/>
  <c r="U7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P5" i="1"/>
  <c r="Y5" i="1"/>
  <c r="L5" i="1"/>
</calcChain>
</file>

<file path=xl/sharedStrings.xml><?xml version="1.0" encoding="utf-8"?>
<sst xmlns="http://schemas.openxmlformats.org/spreadsheetml/2006/main" count="170" uniqueCount="82">
  <si>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</si>
  <si>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</si>
  <si>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</si>
  <si>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</si>
  <si>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</si>
  <si>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</si>
  <si>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</si>
  <si>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</si>
  <si>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</si>
  <si>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</si>
  <si>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</si>
  <si>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</si>
  <si>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</si>
  <si>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</si>
  <si>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</si>
  <si>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</si>
  <si>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</si>
  <si>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</si>
  <si>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</si>
  <si>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</si>
  <si>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</si>
  <si>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</si>
  <si>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30,09,</t>
  </si>
  <si>
    <t>нет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</si>
  <si>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</si>
  <si>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</si>
  <si>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</si>
  <si>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</si>
  <si>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</si>
  <si>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</si>
  <si>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</si>
  <si>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</si>
  <si>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</si>
  <si>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</si>
  <si>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</si>
  <si>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</si>
  <si>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</si>
  <si>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</si>
  <si>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</si>
  <si>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</si>
  <si>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</si>
  <si>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</si>
  <si>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</si>
  <si>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</si>
  <si>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</si>
  <si>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</si>
  <si>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</si>
  <si>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</si>
  <si>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</si>
  <si>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</si>
  <si>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</si>
  <si>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</si>
  <si>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</si>
  <si>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</si>
  <si>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</si>
  <si>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</si>
  <si>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</si>
  <si>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</si>
  <si>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</si>
  <si>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</si>
  <si>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</si>
  <si>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</si>
  <si>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</si>
  <si>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</si>
  <si>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</si>
  <si>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</si>
  <si>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</si>
  <si>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</si>
  <si>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</si>
  <si>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</si>
  <si>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</si>
  <si>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</si>
  <si>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</si>
  <si>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</si>
  <si>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28,09,</t>
  </si>
  <si>
    <t>нужно увеличить продажи</t>
  </si>
  <si>
    <t>ТК</t>
  </si>
  <si>
    <t>Титенко</t>
  </si>
  <si>
    <t>итого</t>
  </si>
  <si>
    <t>заказ</t>
  </si>
  <si>
    <t>05,10,</t>
  </si>
  <si>
    <t>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</si>
</sst>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0,09,26%20&#1084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30,09,</v>
          </cell>
        </row>
        <row r="5">
          <cell r="E5">
            <v>204.73000000000002</v>
          </cell>
          <cell r="F5">
            <v>181.27199999999999</v>
          </cell>
          <cell r="K5">
            <v>443</v>
          </cell>
          <cell r="L5">
            <v>-238.27</v>
          </cell>
          <cell r="M5">
            <v>0</v>
          </cell>
          <cell r="N5">
            <v>0</v>
          </cell>
          <cell r="O5">
            <v>3416</v>
          </cell>
          <cell r="P5">
            <v>40.945999999999998</v>
          </cell>
          <cell r="Q5">
            <v>179</v>
          </cell>
          <cell r="R5">
            <v>3070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G6">
            <v>5.5E-2</v>
          </cell>
          <cell r="H6">
            <v>120</v>
          </cell>
          <cell r="L6">
            <v>0</v>
          </cell>
          <cell r="O6">
            <v>24</v>
          </cell>
          <cell r="P6">
            <v>0</v>
          </cell>
          <cell r="R6">
            <v>100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G7">
            <v>0.1</v>
          </cell>
          <cell r="H7">
            <v>120</v>
          </cell>
          <cell r="L7">
            <v>0</v>
          </cell>
          <cell r="O7">
            <v>24</v>
          </cell>
          <cell r="P7">
            <v>0</v>
          </cell>
          <cell r="R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P8">
            <v>0</v>
          </cell>
          <cell r="R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G9">
            <v>1</v>
          </cell>
          <cell r="H9">
            <v>120</v>
          </cell>
          <cell r="L9">
            <v>0</v>
          </cell>
          <cell r="O9">
            <v>80</v>
          </cell>
          <cell r="P9">
            <v>0</v>
          </cell>
          <cell r="R9">
            <v>100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O10">
            <v>0</v>
          </cell>
          <cell r="P10">
            <v>0</v>
          </cell>
          <cell r="Q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P11">
            <v>0</v>
          </cell>
          <cell r="Q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G12">
            <v>1</v>
          </cell>
          <cell r="H12">
            <v>180</v>
          </cell>
          <cell r="L12">
            <v>0</v>
          </cell>
          <cell r="O12">
            <v>33</v>
          </cell>
          <cell r="P12">
            <v>0</v>
          </cell>
          <cell r="R12">
            <v>100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54</v>
          </cell>
          <cell r="E13">
            <v>2</v>
          </cell>
          <cell r="F13">
            <v>46</v>
          </cell>
          <cell r="G13">
            <v>0.82450000000000001</v>
          </cell>
          <cell r="H13">
            <v>180</v>
          </cell>
          <cell r="K13">
            <v>2</v>
          </cell>
          <cell r="L13">
            <v>0</v>
          </cell>
          <cell r="O13">
            <v>24</v>
          </cell>
          <cell r="P13">
            <v>0.4</v>
          </cell>
          <cell r="R13">
            <v>50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46</v>
          </cell>
          <cell r="D14">
            <v>7</v>
          </cell>
          <cell r="E14">
            <v>30</v>
          </cell>
          <cell r="F14">
            <v>9</v>
          </cell>
          <cell r="G14">
            <v>0.372</v>
          </cell>
          <cell r="H14">
            <v>180</v>
          </cell>
          <cell r="K14">
            <v>37</v>
          </cell>
          <cell r="L14">
            <v>-7</v>
          </cell>
          <cell r="O14">
            <v>96</v>
          </cell>
          <cell r="P14">
            <v>6</v>
          </cell>
          <cell r="R14">
            <v>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12</v>
          </cell>
          <cell r="D15">
            <v>8</v>
          </cell>
          <cell r="E15">
            <v>18</v>
          </cell>
          <cell r="G15">
            <v>0.74399999999999999</v>
          </cell>
          <cell r="H15">
            <v>180</v>
          </cell>
          <cell r="K15">
            <v>22</v>
          </cell>
          <cell r="L15">
            <v>-4</v>
          </cell>
          <cell r="O15">
            <v>96</v>
          </cell>
          <cell r="P15">
            <v>3.6</v>
          </cell>
          <cell r="R15">
            <v>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9</v>
          </cell>
          <cell r="D16">
            <v>4</v>
          </cell>
          <cell r="E16">
            <v>10</v>
          </cell>
          <cell r="F16">
            <v>-2</v>
          </cell>
          <cell r="G16">
            <v>0.372</v>
          </cell>
          <cell r="H16">
            <v>180</v>
          </cell>
          <cell r="K16">
            <v>19</v>
          </cell>
          <cell r="L16">
            <v>-9</v>
          </cell>
          <cell r="O16">
            <v>180</v>
          </cell>
          <cell r="P16">
            <v>2</v>
          </cell>
          <cell r="R16">
            <v>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G17">
            <v>0.74399999999999999</v>
          </cell>
          <cell r="H17">
            <v>180</v>
          </cell>
          <cell r="K17">
            <v>5</v>
          </cell>
          <cell r="L17">
            <v>-5</v>
          </cell>
          <cell r="O17">
            <v>144</v>
          </cell>
          <cell r="P17">
            <v>0</v>
          </cell>
          <cell r="R17">
            <v>50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G18">
            <v>0.14000000000000001</v>
          </cell>
          <cell r="H18">
            <v>180</v>
          </cell>
          <cell r="K18">
            <v>3</v>
          </cell>
          <cell r="L18">
            <v>-3</v>
          </cell>
          <cell r="O18">
            <v>16</v>
          </cell>
          <cell r="P18">
            <v>0</v>
          </cell>
          <cell r="R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G19">
            <v>0.18</v>
          </cell>
          <cell r="H19">
            <v>270</v>
          </cell>
          <cell r="K19">
            <v>6</v>
          </cell>
          <cell r="L19">
            <v>-6</v>
          </cell>
          <cell r="O19">
            <v>16</v>
          </cell>
          <cell r="P19">
            <v>0</v>
          </cell>
          <cell r="R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G20">
            <v>0.18</v>
          </cell>
          <cell r="H20">
            <v>270</v>
          </cell>
          <cell r="K20">
            <v>6</v>
          </cell>
          <cell r="L20">
            <v>-6</v>
          </cell>
          <cell r="O20">
            <v>16</v>
          </cell>
          <cell r="P20">
            <v>0</v>
          </cell>
          <cell r="R20">
            <v>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G21">
            <v>0.1</v>
          </cell>
          <cell r="H21">
            <v>60</v>
          </cell>
          <cell r="K21">
            <v>10</v>
          </cell>
          <cell r="L21">
            <v>-10</v>
          </cell>
          <cell r="P21">
            <v>0</v>
          </cell>
          <cell r="Q21">
            <v>50</v>
          </cell>
          <cell r="R21">
            <v>100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G22">
            <v>0.18</v>
          </cell>
          <cell r="H22">
            <v>180</v>
          </cell>
          <cell r="K22">
            <v>18</v>
          </cell>
          <cell r="L22">
            <v>-18</v>
          </cell>
          <cell r="O22">
            <v>500</v>
          </cell>
          <cell r="P22">
            <v>0</v>
          </cell>
          <cell r="R22">
            <v>300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G23">
            <v>0.18</v>
          </cell>
          <cell r="H23">
            <v>180</v>
          </cell>
          <cell r="K23">
            <v>21</v>
          </cell>
          <cell r="L23">
            <v>-21</v>
          </cell>
          <cell r="O23">
            <v>500</v>
          </cell>
          <cell r="P23">
            <v>0</v>
          </cell>
          <cell r="R23">
            <v>300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F24">
            <v>16</v>
          </cell>
          <cell r="G24">
            <v>0.4</v>
          </cell>
          <cell r="H24">
            <v>270</v>
          </cell>
          <cell r="L24">
            <v>0</v>
          </cell>
          <cell r="O24">
            <v>8</v>
          </cell>
          <cell r="P24">
            <v>0</v>
          </cell>
          <cell r="R24">
            <v>30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G25">
            <v>0.4</v>
          </cell>
          <cell r="H25">
            <v>270</v>
          </cell>
          <cell r="L25">
            <v>0</v>
          </cell>
          <cell r="O25">
            <v>28</v>
          </cell>
          <cell r="P25">
            <v>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32</v>
          </cell>
          <cell r="F26">
            <v>32</v>
          </cell>
          <cell r="G26">
            <v>0.18</v>
          </cell>
          <cell r="H26">
            <v>270</v>
          </cell>
          <cell r="L26">
            <v>0</v>
          </cell>
          <cell r="P26">
            <v>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O27">
            <v>24</v>
          </cell>
          <cell r="P27">
            <v>0</v>
          </cell>
          <cell r="R27">
            <v>100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L28">
            <v>0</v>
          </cell>
          <cell r="P28">
            <v>0</v>
          </cell>
          <cell r="Q28">
            <v>10</v>
          </cell>
          <cell r="R28">
            <v>50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G29">
            <v>1</v>
          </cell>
          <cell r="H29">
            <v>180</v>
          </cell>
          <cell r="L29">
            <v>0</v>
          </cell>
          <cell r="O29">
            <v>20</v>
          </cell>
          <cell r="P29">
            <v>0</v>
          </cell>
          <cell r="R29">
            <v>50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L30">
            <v>0</v>
          </cell>
          <cell r="O30">
            <v>102</v>
          </cell>
          <cell r="P30">
            <v>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104</v>
          </cell>
          <cell r="E31">
            <v>18</v>
          </cell>
          <cell r="F31">
            <v>38</v>
          </cell>
          <cell r="G31">
            <v>0.1</v>
          </cell>
          <cell r="H31">
            <v>90</v>
          </cell>
          <cell r="K31">
            <v>18</v>
          </cell>
          <cell r="L31">
            <v>0</v>
          </cell>
          <cell r="P31">
            <v>3.6</v>
          </cell>
          <cell r="Q31">
            <v>30</v>
          </cell>
          <cell r="R31">
            <v>70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G32">
            <v>0.1</v>
          </cell>
          <cell r="H32">
            <v>60</v>
          </cell>
          <cell r="K32">
            <v>10</v>
          </cell>
          <cell r="L32">
            <v>-10</v>
          </cell>
          <cell r="O32">
            <v>128</v>
          </cell>
          <cell r="P32">
            <v>0</v>
          </cell>
          <cell r="R32">
            <v>50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G33">
            <v>0.1</v>
          </cell>
          <cell r="H33">
            <v>90</v>
          </cell>
          <cell r="K33">
            <v>10</v>
          </cell>
          <cell r="L33">
            <v>-10</v>
          </cell>
          <cell r="O33">
            <v>128</v>
          </cell>
          <cell r="P33">
            <v>0</v>
          </cell>
          <cell r="R33">
            <v>50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G34">
            <v>0.18</v>
          </cell>
          <cell r="H34">
            <v>150</v>
          </cell>
          <cell r="K34">
            <v>4</v>
          </cell>
          <cell r="L34">
            <v>-4</v>
          </cell>
          <cell r="O34">
            <v>80</v>
          </cell>
          <cell r="P34">
            <v>0</v>
          </cell>
          <cell r="R34">
            <v>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G35">
            <v>0.18</v>
          </cell>
          <cell r="H35">
            <v>150</v>
          </cell>
          <cell r="K35">
            <v>25</v>
          </cell>
          <cell r="L35">
            <v>-25</v>
          </cell>
          <cell r="O35">
            <v>150</v>
          </cell>
          <cell r="P35">
            <v>0</v>
          </cell>
          <cell r="R35">
            <v>50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G36">
            <v>0.18</v>
          </cell>
          <cell r="H36">
            <v>150</v>
          </cell>
          <cell r="K36">
            <v>1</v>
          </cell>
          <cell r="L36">
            <v>-1</v>
          </cell>
          <cell r="O36">
            <v>30</v>
          </cell>
          <cell r="P36">
            <v>0</v>
          </cell>
          <cell r="R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G37">
            <v>0.18</v>
          </cell>
          <cell r="H37">
            <v>150</v>
          </cell>
          <cell r="K37">
            <v>3</v>
          </cell>
          <cell r="L37">
            <v>-3</v>
          </cell>
          <cell r="O37">
            <v>10</v>
          </cell>
          <cell r="P37">
            <v>0</v>
          </cell>
          <cell r="Q37">
            <v>10</v>
          </cell>
          <cell r="R37">
            <v>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50</v>
          </cell>
          <cell r="D38">
            <v>16</v>
          </cell>
          <cell r="E38">
            <v>24</v>
          </cell>
          <cell r="F38">
            <v>1</v>
          </cell>
          <cell r="G38">
            <v>0.18</v>
          </cell>
          <cell r="H38">
            <v>150</v>
          </cell>
          <cell r="K38">
            <v>43</v>
          </cell>
          <cell r="L38">
            <v>-19</v>
          </cell>
          <cell r="O38">
            <v>150</v>
          </cell>
          <cell r="P38">
            <v>4.8</v>
          </cell>
          <cell r="R38">
            <v>100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G39">
            <v>0.18</v>
          </cell>
          <cell r="H39">
            <v>150</v>
          </cell>
          <cell r="K39">
            <v>25</v>
          </cell>
          <cell r="L39">
            <v>-25</v>
          </cell>
          <cell r="O39">
            <v>50</v>
          </cell>
          <cell r="P39">
            <v>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G40">
            <v>0.1</v>
          </cell>
          <cell r="H40">
            <v>60</v>
          </cell>
          <cell r="K40">
            <v>2</v>
          </cell>
          <cell r="L40">
            <v>-2</v>
          </cell>
          <cell r="O40">
            <v>8</v>
          </cell>
          <cell r="P40">
            <v>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G41">
            <v>0.14000000000000001</v>
          </cell>
          <cell r="H41">
            <v>180</v>
          </cell>
          <cell r="K41">
            <v>5</v>
          </cell>
          <cell r="L41">
            <v>-5</v>
          </cell>
          <cell r="O41">
            <v>32</v>
          </cell>
          <cell r="P41">
            <v>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G42">
            <v>0.18</v>
          </cell>
          <cell r="H42">
            <v>270</v>
          </cell>
          <cell r="K42">
            <v>8</v>
          </cell>
          <cell r="L42">
            <v>-8</v>
          </cell>
          <cell r="O42">
            <v>48</v>
          </cell>
          <cell r="P42">
            <v>0</v>
          </cell>
          <cell r="R42">
            <v>150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44.332000000000001</v>
          </cell>
          <cell r="E43">
            <v>9.73</v>
          </cell>
          <cell r="F43">
            <v>31.271999999999998</v>
          </cell>
          <cell r="G43">
            <v>1</v>
          </cell>
          <cell r="H43">
            <v>180</v>
          </cell>
          <cell r="K43">
            <v>9</v>
          </cell>
          <cell r="L43">
            <v>0.73000000000000043</v>
          </cell>
          <cell r="P43">
            <v>1.9460000000000002</v>
          </cell>
          <cell r="Q43">
            <v>5</v>
          </cell>
          <cell r="R43">
            <v>50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G44">
            <v>1</v>
          </cell>
          <cell r="H44">
            <v>180</v>
          </cell>
          <cell r="L44">
            <v>0</v>
          </cell>
          <cell r="O44">
            <v>16</v>
          </cell>
          <cell r="P44">
            <v>0</v>
          </cell>
          <cell r="R44">
            <v>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G45">
            <v>1</v>
          </cell>
          <cell r="H45">
            <v>180</v>
          </cell>
          <cell r="K45">
            <v>3</v>
          </cell>
          <cell r="L45">
            <v>-3</v>
          </cell>
          <cell r="O45">
            <v>99</v>
          </cell>
          <cell r="P45">
            <v>0</v>
          </cell>
          <cell r="R45">
            <v>50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G46">
            <v>1</v>
          </cell>
          <cell r="H46">
            <v>180</v>
          </cell>
          <cell r="L46">
            <v>0</v>
          </cell>
          <cell r="O46">
            <v>16</v>
          </cell>
          <cell r="P46">
            <v>0</v>
          </cell>
          <cell r="R46">
            <v>50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162</v>
          </cell>
          <cell r="D47">
            <v>7</v>
          </cell>
          <cell r="E47">
            <v>36</v>
          </cell>
          <cell r="F47">
            <v>10</v>
          </cell>
          <cell r="G47">
            <v>0.1</v>
          </cell>
          <cell r="H47">
            <v>60</v>
          </cell>
          <cell r="K47">
            <v>51</v>
          </cell>
          <cell r="L47">
            <v>-15</v>
          </cell>
          <cell r="O47">
            <v>300</v>
          </cell>
          <cell r="P47">
            <v>7.2</v>
          </cell>
          <cell r="R47">
            <v>100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150</v>
          </cell>
          <cell r="D48">
            <v>15</v>
          </cell>
          <cell r="E48">
            <v>57</v>
          </cell>
          <cell r="G48">
            <v>0.1</v>
          </cell>
          <cell r="H48">
            <v>90</v>
          </cell>
          <cell r="K48">
            <v>75</v>
          </cell>
          <cell r="L48">
            <v>-18</v>
          </cell>
          <cell r="O48">
            <v>150</v>
          </cell>
          <cell r="P48">
            <v>11.4</v>
          </cell>
          <cell r="Q48">
            <v>50</v>
          </cell>
          <cell r="R48">
            <v>120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G49">
            <v>0.14000000000000001</v>
          </cell>
          <cell r="H49">
            <v>180</v>
          </cell>
          <cell r="K49">
            <v>2</v>
          </cell>
          <cell r="L49">
            <v>-2</v>
          </cell>
          <cell r="O49">
            <v>16</v>
          </cell>
          <cell r="P49">
            <v>0</v>
          </cell>
          <cell r="R49">
            <v>50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G50">
            <v>0.2</v>
          </cell>
          <cell r="H50">
            <v>120</v>
          </cell>
          <cell r="L50">
            <v>0</v>
          </cell>
          <cell r="O50">
            <v>10</v>
          </cell>
          <cell r="P50">
            <v>0</v>
          </cell>
          <cell r="R50">
            <v>70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G51">
            <v>1</v>
          </cell>
          <cell r="H51">
            <v>120</v>
          </cell>
          <cell r="L51">
            <v>0</v>
          </cell>
          <cell r="O51">
            <v>15</v>
          </cell>
          <cell r="P51">
            <v>0</v>
          </cell>
          <cell r="R51">
            <v>60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G52">
            <v>0.2</v>
          </cell>
          <cell r="H52">
            <v>120</v>
          </cell>
          <cell r="L52">
            <v>0</v>
          </cell>
          <cell r="O52">
            <v>10</v>
          </cell>
          <cell r="P52">
            <v>0</v>
          </cell>
          <cell r="R52">
            <v>70</v>
          </cell>
        </row>
        <row r="53">
          <cell r="A53" t="str">
            <v>Сыч/Прод Коровино Тильзитер Оригин 50% ВЕС НОВАЯ (5 кг брус) СЗМЖ  ОСТАНКИНО</v>
          </cell>
          <cell r="B53" t="str">
            <v>кг</v>
          </cell>
          <cell r="G53">
            <v>1</v>
          </cell>
          <cell r="H53">
            <v>120</v>
          </cell>
          <cell r="L53">
            <v>0</v>
          </cell>
          <cell r="O53">
            <v>15</v>
          </cell>
          <cell r="P53">
            <v>0</v>
          </cell>
          <cell r="R53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9" sqref="X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3" customWidth="1"/>
    <col min="21" max="22" width="5" customWidth="1"/>
    <col min="23" max="23" width="6" customWidth="1"/>
    <col min="24" max="24" width="62" customWidth="1"/>
    <col min="25" max="25" width="7" customWidth="1"/>
    <col min="26" max="41" width="3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78</v>
      </c>
      <c r="S3" s="3" t="s">
        <v>79</v>
      </c>
      <c r="T3" s="3" t="s">
        <v>76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74</v>
      </c>
      <c r="P4" s="1" t="s">
        <v>22</v>
      </c>
      <c r="Q4" s="1"/>
      <c r="R4" s="1"/>
      <c r="S4" s="1" t="s">
        <v>80</v>
      </c>
      <c r="T4" s="1" t="s">
        <v>77</v>
      </c>
      <c r="U4" s="1"/>
      <c r="V4" s="1"/>
      <c r="W4" s="1" t="s">
        <v>23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SUM(E6:E497)</f>
        <v>204.73000000000002</v>
      </c>
      <c r="F5" s="4">
        <f>SUM(F6:F497)</f>
        <v>181.27199999999999</v>
      </c>
      <c r="G5" s="7"/>
      <c r="H5" s="1"/>
      <c r="I5" s="1"/>
      <c r="J5" s="1"/>
      <c r="K5" s="4">
        <f t="shared" ref="K5:T5" si="0">SUM(K6:K497)</f>
        <v>443</v>
      </c>
      <c r="L5" s="4">
        <f t="shared" si="0"/>
        <v>-238.27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40.945999999999998</v>
      </c>
      <c r="Q5" s="4">
        <f t="shared" si="0"/>
        <v>179</v>
      </c>
      <c r="R5" s="4">
        <f t="shared" si="0"/>
        <v>2018</v>
      </c>
      <c r="S5" s="4">
        <f t="shared" si="0"/>
        <v>1989</v>
      </c>
      <c r="T5" s="4">
        <f t="shared" si="0"/>
        <v>3070</v>
      </c>
      <c r="U5" s="1"/>
      <c r="V5" s="1"/>
      <c r="W5" s="4">
        <f>SUM(W6:W497)</f>
        <v>0</v>
      </c>
      <c r="X5" s="1"/>
      <c r="Y5" s="4">
        <f>SUM(Y6:Y497)</f>
        <v>626.30999999999995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11" t="s">
        <v>24</v>
      </c>
      <c r="B6" s="1" t="s">
        <v>25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f>E6/5</f>
        <v>0</v>
      </c>
      <c r="Q6" s="5"/>
      <c r="R6" s="5">
        <v>50</v>
      </c>
      <c r="S6" s="5">
        <f>VLOOKUP(A6,заказ!A:B,2,0)</f>
        <v>48</v>
      </c>
      <c r="T6" s="12">
        <f>VLOOKUP(A6,[1]Sheet!$A:$R,18,0)</f>
        <v>100</v>
      </c>
      <c r="U6" s="1" t="e">
        <f>(F6+O6+R6)/P6</f>
        <v>#DIV/0!</v>
      </c>
      <c r="V6" s="1" t="e">
        <f>(F6+O6)/P6</f>
        <v>#DIV/0!</v>
      </c>
      <c r="W6" s="1">
        <v>0</v>
      </c>
      <c r="X6" s="1"/>
      <c r="Y6" s="1">
        <f>G6*R6</f>
        <v>2.75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11" t="s">
        <v>26</v>
      </c>
      <c r="B7" s="1" t="s">
        <v>25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f t="shared" ref="P7:P53" si="2">E7/5</f>
        <v>0</v>
      </c>
      <c r="Q7" s="5"/>
      <c r="R7" s="5">
        <v>24</v>
      </c>
      <c r="S7" s="5">
        <f>VLOOKUP(A7,заказ!A:B,2,0)</f>
        <v>24</v>
      </c>
      <c r="T7" s="12">
        <f>VLOOKUP(A7,[1]Sheet!$A:$R,18,0)</f>
        <v>50</v>
      </c>
      <c r="U7" s="1" t="e">
        <f t="shared" ref="U7:U53" si="3">(F7+O7+R7)/P7</f>
        <v>#DIV/0!</v>
      </c>
      <c r="V7" s="1" t="e">
        <f t="shared" ref="V7:V53" si="4">(F7+O7)/P7</f>
        <v>#DIV/0!</v>
      </c>
      <c r="W7" s="1">
        <v>0</v>
      </c>
      <c r="X7" s="1"/>
      <c r="Y7" s="1">
        <f t="shared" ref="Y7:Y53" si="5">G7*R7</f>
        <v>2.4000000000000004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A8" s="11" t="s">
        <v>27</v>
      </c>
      <c r="B8" s="1" t="s">
        <v>25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f t="shared" si="2"/>
        <v>0</v>
      </c>
      <c r="Q8" s="5"/>
      <c r="R8" s="5">
        <v>24</v>
      </c>
      <c r="S8" s="5">
        <f>VLOOKUP(A8,заказ!A:B,2,0)</f>
        <v>24</v>
      </c>
      <c r="T8" s="12">
        <f>VLOOKUP(A8,[1]Sheet!$A:$R,18,0)</f>
        <v>50</v>
      </c>
      <c r="U8" s="1" t="e">
        <f t="shared" si="3"/>
        <v>#DIV/0!</v>
      </c>
      <c r="V8" s="1" t="e">
        <f t="shared" si="4"/>
        <v>#DIV/0!</v>
      </c>
      <c r="W8" s="1">
        <v>0</v>
      </c>
      <c r="X8" s="1"/>
      <c r="Y8" s="1">
        <f t="shared" si="5"/>
        <v>2.4000000000000004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11" t="s">
        <v>28</v>
      </c>
      <c r="B9" s="1" t="s">
        <v>29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/>
      <c r="L9" s="1">
        <f t="shared" si="1"/>
        <v>0</v>
      </c>
      <c r="M9" s="1"/>
      <c r="N9" s="1"/>
      <c r="O9" s="1">
        <v>80</v>
      </c>
      <c r="P9" s="1">
        <f t="shared" si="2"/>
        <v>0</v>
      </c>
      <c r="Q9" s="5"/>
      <c r="R9" s="5">
        <v>40</v>
      </c>
      <c r="S9" s="5">
        <f>VLOOKUP(A9,заказ!A:B,2,0)</f>
        <v>40</v>
      </c>
      <c r="T9" s="12">
        <f>VLOOKUP(A9,[1]Sheet!$A:$R,18,0)</f>
        <v>100</v>
      </c>
      <c r="U9" s="1" t="e">
        <f t="shared" si="3"/>
        <v>#DIV/0!</v>
      </c>
      <c r="V9" s="1" t="e">
        <f t="shared" si="4"/>
        <v>#DIV/0!</v>
      </c>
      <c r="W9" s="1">
        <v>0</v>
      </c>
      <c r="X9" s="1"/>
      <c r="Y9" s="1">
        <f t="shared" si="5"/>
        <v>40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A10" s="11" t="s">
        <v>30</v>
      </c>
      <c r="B10" s="1" t="s">
        <v>25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f t="shared" si="2"/>
        <v>0</v>
      </c>
      <c r="Q10" s="5">
        <v>12</v>
      </c>
      <c r="R10" s="5">
        <f t="shared" ref="R10:R41" si="6">Q10</f>
        <v>12</v>
      </c>
      <c r="S10" s="14">
        <v>0</v>
      </c>
      <c r="T10" s="12"/>
      <c r="U10" s="1" t="e">
        <f t="shared" si="3"/>
        <v>#DIV/0!</v>
      </c>
      <c r="V10" s="1" t="e">
        <f t="shared" si="4"/>
        <v>#DIV/0!</v>
      </c>
      <c r="W10" s="1">
        <v>0</v>
      </c>
      <c r="X10" s="1" t="s">
        <v>81</v>
      </c>
      <c r="Y10" s="1">
        <f t="shared" si="5"/>
        <v>2.16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1" t="s">
        <v>31</v>
      </c>
      <c r="B11" s="1" t="s">
        <v>25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f t="shared" si="2"/>
        <v>0</v>
      </c>
      <c r="Q11" s="5">
        <v>12</v>
      </c>
      <c r="R11" s="5">
        <f t="shared" si="6"/>
        <v>12</v>
      </c>
      <c r="S11" s="14">
        <v>0</v>
      </c>
      <c r="T11" s="12"/>
      <c r="U11" s="1" t="e">
        <f t="shared" si="3"/>
        <v>#DIV/0!</v>
      </c>
      <c r="V11" s="1" t="e">
        <f t="shared" si="4"/>
        <v>#DIV/0!</v>
      </c>
      <c r="W11" s="1">
        <v>0</v>
      </c>
      <c r="X11" s="1" t="s">
        <v>81</v>
      </c>
      <c r="Y11" s="1">
        <f t="shared" si="5"/>
        <v>2.16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25">
      <c r="A12" s="11" t="s">
        <v>32</v>
      </c>
      <c r="B12" s="1" t="s">
        <v>29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f t="shared" si="2"/>
        <v>0</v>
      </c>
      <c r="Q12" s="5"/>
      <c r="R12" s="5">
        <v>30</v>
      </c>
      <c r="S12" s="5">
        <f>VLOOKUP(A12,заказ!A:B,2,0)</f>
        <v>33</v>
      </c>
      <c r="T12" s="12">
        <f>VLOOKUP(A12,[1]Sheet!$A:$R,18,0)</f>
        <v>100</v>
      </c>
      <c r="U12" s="1" t="e">
        <f t="shared" si="3"/>
        <v>#DIV/0!</v>
      </c>
      <c r="V12" s="1" t="e">
        <f t="shared" si="4"/>
        <v>#DIV/0!</v>
      </c>
      <c r="W12" s="1">
        <v>0</v>
      </c>
      <c r="X12" s="1"/>
      <c r="Y12" s="1">
        <f t="shared" si="5"/>
        <v>30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25">
      <c r="A13" s="11" t="s">
        <v>33</v>
      </c>
      <c r="B13" s="1" t="s">
        <v>25</v>
      </c>
      <c r="C13" s="1">
        <v>54</v>
      </c>
      <c r="D13" s="1"/>
      <c r="E13" s="1">
        <v>2</v>
      </c>
      <c r="F13" s="1">
        <v>46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1"/>
        <v>0</v>
      </c>
      <c r="M13" s="1"/>
      <c r="N13" s="1"/>
      <c r="O13" s="1">
        <v>24</v>
      </c>
      <c r="P13" s="1">
        <f t="shared" si="2"/>
        <v>0.4</v>
      </c>
      <c r="Q13" s="5"/>
      <c r="R13" s="5">
        <v>0</v>
      </c>
      <c r="S13" s="5"/>
      <c r="T13" s="12">
        <f>VLOOKUP(A13,[1]Sheet!$A:$R,18,0)</f>
        <v>50</v>
      </c>
      <c r="U13" s="1">
        <f t="shared" si="3"/>
        <v>175</v>
      </c>
      <c r="V13" s="1">
        <f t="shared" si="4"/>
        <v>175</v>
      </c>
      <c r="W13" s="1">
        <v>0</v>
      </c>
      <c r="X13" s="1"/>
      <c r="Y13" s="1">
        <f t="shared" si="5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25">
      <c r="A14" s="11" t="s">
        <v>34</v>
      </c>
      <c r="B14" s="1" t="s">
        <v>25</v>
      </c>
      <c r="C14" s="1">
        <v>46</v>
      </c>
      <c r="D14" s="1">
        <v>7</v>
      </c>
      <c r="E14" s="1">
        <v>30</v>
      </c>
      <c r="F14" s="1">
        <v>9</v>
      </c>
      <c r="G14" s="7">
        <v>0.372</v>
      </c>
      <c r="H14" s="1">
        <v>180</v>
      </c>
      <c r="I14" s="1"/>
      <c r="J14" s="1"/>
      <c r="K14" s="1">
        <v>37</v>
      </c>
      <c r="L14" s="1">
        <f t="shared" si="1"/>
        <v>-7</v>
      </c>
      <c r="M14" s="1"/>
      <c r="N14" s="1"/>
      <c r="O14" s="1">
        <v>96</v>
      </c>
      <c r="P14" s="1">
        <f t="shared" si="2"/>
        <v>6</v>
      </c>
      <c r="Q14" s="5"/>
      <c r="R14" s="5">
        <v>50</v>
      </c>
      <c r="S14" s="5">
        <f>VLOOKUP(A14,заказ!A:B,2,0)</f>
        <v>48</v>
      </c>
      <c r="T14" s="12">
        <f>VLOOKUP(A14,[1]Sheet!$A:$R,18,0)</f>
        <v>50</v>
      </c>
      <c r="U14" s="1">
        <f t="shared" si="3"/>
        <v>25.833333333333332</v>
      </c>
      <c r="V14" s="1">
        <f t="shared" si="4"/>
        <v>17.5</v>
      </c>
      <c r="W14" s="1">
        <v>0</v>
      </c>
      <c r="X14" s="1"/>
      <c r="Y14" s="1">
        <f t="shared" si="5"/>
        <v>18.600000000000001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25">
      <c r="A15" s="11" t="s">
        <v>35</v>
      </c>
      <c r="B15" s="1" t="s">
        <v>25</v>
      </c>
      <c r="C15" s="1">
        <v>12</v>
      </c>
      <c r="D15" s="1">
        <v>8</v>
      </c>
      <c r="E15" s="1">
        <v>18</v>
      </c>
      <c r="F15" s="1"/>
      <c r="G15" s="7">
        <v>0.74399999999999999</v>
      </c>
      <c r="H15" s="1">
        <v>180</v>
      </c>
      <c r="I15" s="1"/>
      <c r="J15" s="1"/>
      <c r="K15" s="1">
        <v>22</v>
      </c>
      <c r="L15" s="1">
        <f t="shared" si="1"/>
        <v>-4</v>
      </c>
      <c r="M15" s="1"/>
      <c r="N15" s="1"/>
      <c r="O15" s="1">
        <v>96</v>
      </c>
      <c r="P15" s="1">
        <f t="shared" si="2"/>
        <v>3.6</v>
      </c>
      <c r="Q15" s="5"/>
      <c r="R15" s="5">
        <v>50</v>
      </c>
      <c r="S15" s="5">
        <f>VLOOKUP(A15,заказ!A:B,2,0)</f>
        <v>48</v>
      </c>
      <c r="T15" s="12">
        <f>VLOOKUP(A15,[1]Sheet!$A:$R,18,0)</f>
        <v>50</v>
      </c>
      <c r="U15" s="1">
        <f t="shared" si="3"/>
        <v>40.555555555555557</v>
      </c>
      <c r="V15" s="1">
        <f t="shared" si="4"/>
        <v>26.666666666666664</v>
      </c>
      <c r="W15" s="1">
        <v>0</v>
      </c>
      <c r="X15" s="1"/>
      <c r="Y15" s="1">
        <f t="shared" si="5"/>
        <v>37.200000000000003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25">
      <c r="A16" s="11" t="s">
        <v>36</v>
      </c>
      <c r="B16" s="1" t="s">
        <v>25</v>
      </c>
      <c r="C16" s="1">
        <v>9</v>
      </c>
      <c r="D16" s="1">
        <v>4</v>
      </c>
      <c r="E16" s="1">
        <v>10</v>
      </c>
      <c r="F16" s="1">
        <v>-2</v>
      </c>
      <c r="G16" s="7">
        <v>0.372</v>
      </c>
      <c r="H16" s="1">
        <v>180</v>
      </c>
      <c r="I16" s="1"/>
      <c r="J16" s="1"/>
      <c r="K16" s="1">
        <v>19</v>
      </c>
      <c r="L16" s="1">
        <f t="shared" si="1"/>
        <v>-9</v>
      </c>
      <c r="M16" s="1"/>
      <c r="N16" s="1"/>
      <c r="O16" s="1">
        <v>180</v>
      </c>
      <c r="P16" s="1">
        <f t="shared" si="2"/>
        <v>2</v>
      </c>
      <c r="Q16" s="5"/>
      <c r="R16" s="5">
        <v>20</v>
      </c>
      <c r="S16" s="5">
        <f>VLOOKUP(A16,заказ!A:B,2,0)</f>
        <v>24</v>
      </c>
      <c r="T16" s="12">
        <f>VLOOKUP(A16,[1]Sheet!$A:$R,18,0)</f>
        <v>50</v>
      </c>
      <c r="U16" s="1">
        <f t="shared" si="3"/>
        <v>99</v>
      </c>
      <c r="V16" s="1">
        <f t="shared" si="4"/>
        <v>89</v>
      </c>
      <c r="W16" s="1">
        <v>0</v>
      </c>
      <c r="X16" s="1"/>
      <c r="Y16" s="1">
        <f t="shared" si="5"/>
        <v>7.4399999999999995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25">
      <c r="A17" s="11" t="s">
        <v>37</v>
      </c>
      <c r="B17" s="1" t="s">
        <v>25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5</v>
      </c>
      <c r="L17" s="1">
        <f t="shared" si="1"/>
        <v>-5</v>
      </c>
      <c r="M17" s="1"/>
      <c r="N17" s="1"/>
      <c r="O17" s="1">
        <v>144</v>
      </c>
      <c r="P17" s="1">
        <f t="shared" si="2"/>
        <v>0</v>
      </c>
      <c r="Q17" s="5"/>
      <c r="R17" s="5">
        <f t="shared" si="6"/>
        <v>0</v>
      </c>
      <c r="S17" s="5"/>
      <c r="T17" s="12">
        <f>VLOOKUP(A17,[1]Sheet!$A:$R,18,0)</f>
        <v>50</v>
      </c>
      <c r="U17" s="1" t="e">
        <f t="shared" si="3"/>
        <v>#DIV/0!</v>
      </c>
      <c r="V17" s="1" t="e">
        <f t="shared" si="4"/>
        <v>#DIV/0!</v>
      </c>
      <c r="W17" s="1">
        <v>0</v>
      </c>
      <c r="X17" s="1"/>
      <c r="Y17" s="1">
        <f t="shared" si="5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1" t="s">
        <v>38</v>
      </c>
      <c r="B18" s="1" t="s">
        <v>25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>
        <v>3</v>
      </c>
      <c r="L18" s="1">
        <f t="shared" si="1"/>
        <v>-3</v>
      </c>
      <c r="M18" s="1"/>
      <c r="N18" s="1"/>
      <c r="O18" s="1">
        <v>16</v>
      </c>
      <c r="P18" s="1">
        <f t="shared" si="2"/>
        <v>0</v>
      </c>
      <c r="Q18" s="5"/>
      <c r="R18" s="5">
        <v>16</v>
      </c>
      <c r="S18" s="5">
        <f>VLOOKUP(A18,заказ!A:B,2,0)</f>
        <v>16</v>
      </c>
      <c r="T18" s="12">
        <f>VLOOKUP(A18,[1]Sheet!$A:$R,18,0)</f>
        <v>50</v>
      </c>
      <c r="U18" s="1" t="e">
        <f t="shared" si="3"/>
        <v>#DIV/0!</v>
      </c>
      <c r="V18" s="1" t="e">
        <f t="shared" si="4"/>
        <v>#DIV/0!</v>
      </c>
      <c r="W18" s="1">
        <v>0</v>
      </c>
      <c r="X18" s="1"/>
      <c r="Y18" s="1">
        <f t="shared" si="5"/>
        <v>2.2400000000000002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A19" s="11" t="s">
        <v>39</v>
      </c>
      <c r="B19" s="1" t="s">
        <v>25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f t="shared" si="2"/>
        <v>0</v>
      </c>
      <c r="Q19" s="5"/>
      <c r="R19" s="5">
        <v>16</v>
      </c>
      <c r="S19" s="5">
        <f>VLOOKUP(A19,заказ!A:B,2,0)</f>
        <v>16</v>
      </c>
      <c r="T19" s="12">
        <f>VLOOKUP(A19,[1]Sheet!$A:$R,18,0)</f>
        <v>50</v>
      </c>
      <c r="U19" s="1" t="e">
        <f t="shared" si="3"/>
        <v>#DIV/0!</v>
      </c>
      <c r="V19" s="1" t="e">
        <f t="shared" si="4"/>
        <v>#DIV/0!</v>
      </c>
      <c r="W19" s="1">
        <v>0</v>
      </c>
      <c r="X19" s="1"/>
      <c r="Y19" s="1">
        <f t="shared" si="5"/>
        <v>2.88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A20" s="11" t="s">
        <v>40</v>
      </c>
      <c r="B20" s="1" t="s">
        <v>25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6</v>
      </c>
      <c r="L20" s="1">
        <f t="shared" si="1"/>
        <v>-6</v>
      </c>
      <c r="M20" s="1"/>
      <c r="N20" s="1"/>
      <c r="O20" s="1">
        <v>16</v>
      </c>
      <c r="P20" s="1">
        <f t="shared" si="2"/>
        <v>0</v>
      </c>
      <c r="Q20" s="5"/>
      <c r="R20" s="5">
        <v>16</v>
      </c>
      <c r="S20" s="5">
        <f>VLOOKUP(A20,заказ!A:B,2,0)</f>
        <v>16</v>
      </c>
      <c r="T20" s="12">
        <f>VLOOKUP(A20,[1]Sheet!$A:$R,18,0)</f>
        <v>50</v>
      </c>
      <c r="U20" s="1" t="e">
        <f t="shared" si="3"/>
        <v>#DIV/0!</v>
      </c>
      <c r="V20" s="1" t="e">
        <f t="shared" si="4"/>
        <v>#DIV/0!</v>
      </c>
      <c r="W20" s="1">
        <v>0</v>
      </c>
      <c r="X20" s="1"/>
      <c r="Y20" s="1">
        <f t="shared" si="5"/>
        <v>2.88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1" t="s">
        <v>41</v>
      </c>
      <c r="B21" s="1" t="s">
        <v>25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>
        <v>10</v>
      </c>
      <c r="L21" s="1">
        <f t="shared" si="1"/>
        <v>-10</v>
      </c>
      <c r="M21" s="1"/>
      <c r="N21" s="1"/>
      <c r="O21" s="1"/>
      <c r="P21" s="1">
        <f t="shared" si="2"/>
        <v>0</v>
      </c>
      <c r="Q21" s="5">
        <v>50</v>
      </c>
      <c r="R21" s="5">
        <v>80</v>
      </c>
      <c r="S21" s="5">
        <f>VLOOKUP(A21,заказ!A:B,2,0)</f>
        <v>80</v>
      </c>
      <c r="T21" s="12">
        <f>VLOOKUP(A21,[1]Sheet!$A:$R,18,0)</f>
        <v>100</v>
      </c>
      <c r="U21" s="1" t="e">
        <f t="shared" si="3"/>
        <v>#DIV/0!</v>
      </c>
      <c r="V21" s="1" t="e">
        <f t="shared" si="4"/>
        <v>#DIV/0!</v>
      </c>
      <c r="W21" s="1">
        <v>0</v>
      </c>
      <c r="X21" s="1"/>
      <c r="Y21" s="1">
        <f t="shared" si="5"/>
        <v>8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1" t="s">
        <v>42</v>
      </c>
      <c r="B22" s="1" t="s">
        <v>25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18</v>
      </c>
      <c r="L22" s="1">
        <f t="shared" si="1"/>
        <v>-18</v>
      </c>
      <c r="M22" s="1"/>
      <c r="N22" s="1"/>
      <c r="O22" s="1">
        <v>500</v>
      </c>
      <c r="P22" s="1">
        <f t="shared" si="2"/>
        <v>0</v>
      </c>
      <c r="Q22" s="5"/>
      <c r="R22" s="5">
        <v>300</v>
      </c>
      <c r="S22" s="5">
        <f>VLOOKUP(A22,заказ!A:B,2,0)</f>
        <v>300</v>
      </c>
      <c r="T22" s="12">
        <f>VLOOKUP(A22,[1]Sheet!$A:$R,18,0)</f>
        <v>300</v>
      </c>
      <c r="U22" s="1" t="e">
        <f t="shared" si="3"/>
        <v>#DIV/0!</v>
      </c>
      <c r="V22" s="1" t="e">
        <f t="shared" si="4"/>
        <v>#DIV/0!</v>
      </c>
      <c r="W22" s="1">
        <v>0</v>
      </c>
      <c r="X22" s="1"/>
      <c r="Y22" s="1">
        <f t="shared" si="5"/>
        <v>54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1" t="s">
        <v>43</v>
      </c>
      <c r="B23" s="1" t="s">
        <v>25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21</v>
      </c>
      <c r="L23" s="1">
        <f t="shared" si="1"/>
        <v>-21</v>
      </c>
      <c r="M23" s="1"/>
      <c r="N23" s="1"/>
      <c r="O23" s="1">
        <v>500</v>
      </c>
      <c r="P23" s="1">
        <f t="shared" si="2"/>
        <v>0</v>
      </c>
      <c r="Q23" s="5"/>
      <c r="R23" s="5">
        <v>300</v>
      </c>
      <c r="S23" s="5">
        <f>VLOOKUP(A23,заказ!A:B,2,0)</f>
        <v>300</v>
      </c>
      <c r="T23" s="12">
        <f>VLOOKUP(A23,[1]Sheet!$A:$R,18,0)</f>
        <v>300</v>
      </c>
      <c r="U23" s="1" t="e">
        <f t="shared" si="3"/>
        <v>#DIV/0!</v>
      </c>
      <c r="V23" s="1" t="e">
        <f t="shared" si="4"/>
        <v>#DIV/0!</v>
      </c>
      <c r="W23" s="1">
        <v>0</v>
      </c>
      <c r="X23" s="1"/>
      <c r="Y23" s="1">
        <f t="shared" si="5"/>
        <v>54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1" t="s">
        <v>44</v>
      </c>
      <c r="B24" s="1" t="s">
        <v>25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f t="shared" si="2"/>
        <v>0</v>
      </c>
      <c r="Q24" s="5"/>
      <c r="R24" s="5">
        <v>8</v>
      </c>
      <c r="S24" s="5">
        <f>VLOOKUP(A24,заказ!A:B,2,0)</f>
        <v>8</v>
      </c>
      <c r="T24" s="12">
        <f>VLOOKUP(A24,[1]Sheet!$A:$R,18,0)</f>
        <v>30</v>
      </c>
      <c r="U24" s="1" t="e">
        <f t="shared" si="3"/>
        <v>#DIV/0!</v>
      </c>
      <c r="V24" s="1" t="e">
        <f t="shared" si="4"/>
        <v>#DIV/0!</v>
      </c>
      <c r="W24" s="1">
        <v>0</v>
      </c>
      <c r="X24" s="10" t="s">
        <v>75</v>
      </c>
      <c r="Y24" s="1">
        <f t="shared" si="5"/>
        <v>3.2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1" t="s">
        <v>45</v>
      </c>
      <c r="B25" s="1" t="s">
        <v>25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>
        <f t="shared" si="2"/>
        <v>0</v>
      </c>
      <c r="Q25" s="5"/>
      <c r="R25" s="5">
        <f t="shared" si="6"/>
        <v>0</v>
      </c>
      <c r="S25" s="5"/>
      <c r="T25" s="12"/>
      <c r="U25" s="1" t="e">
        <f t="shared" si="3"/>
        <v>#DIV/0!</v>
      </c>
      <c r="V25" s="1" t="e">
        <f t="shared" si="4"/>
        <v>#DIV/0!</v>
      </c>
      <c r="W25" s="1">
        <v>0</v>
      </c>
      <c r="X25" s="1"/>
      <c r="Y25" s="1">
        <f t="shared" si="5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1" t="s">
        <v>46</v>
      </c>
      <c r="B26" s="1" t="s">
        <v>25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>
        <f t="shared" si="2"/>
        <v>0</v>
      </c>
      <c r="Q26" s="5"/>
      <c r="R26" s="5">
        <f t="shared" si="6"/>
        <v>0</v>
      </c>
      <c r="S26" s="5"/>
      <c r="T26" s="12"/>
      <c r="U26" s="1" t="e">
        <f t="shared" si="3"/>
        <v>#DIV/0!</v>
      </c>
      <c r="V26" s="1" t="e">
        <f t="shared" si="4"/>
        <v>#DIV/0!</v>
      </c>
      <c r="W26" s="1">
        <v>0</v>
      </c>
      <c r="X26" s="10" t="s">
        <v>75</v>
      </c>
      <c r="Y26" s="1">
        <f t="shared" si="5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1" t="s">
        <v>47</v>
      </c>
      <c r="B27" s="1" t="s">
        <v>25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f t="shared" si="2"/>
        <v>0</v>
      </c>
      <c r="Q27" s="5"/>
      <c r="R27" s="5">
        <v>50</v>
      </c>
      <c r="S27" s="5">
        <f>VLOOKUP(A27,заказ!A:B,2,0)</f>
        <v>48</v>
      </c>
      <c r="T27" s="12">
        <f>VLOOKUP(A27,[1]Sheet!$A:$R,18,0)</f>
        <v>100</v>
      </c>
      <c r="U27" s="1" t="e">
        <f t="shared" si="3"/>
        <v>#DIV/0!</v>
      </c>
      <c r="V27" s="1" t="e">
        <f t="shared" si="4"/>
        <v>#DIV/0!</v>
      </c>
      <c r="W27" s="1">
        <v>0</v>
      </c>
      <c r="X27" s="1"/>
      <c r="Y27" s="1">
        <f t="shared" si="5"/>
        <v>10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1" t="s">
        <v>48</v>
      </c>
      <c r="B28" s="1" t="s">
        <v>29</v>
      </c>
      <c r="C28" s="1"/>
      <c r="D28" s="1"/>
      <c r="E28" s="1"/>
      <c r="F28" s="1"/>
      <c r="G28" s="7">
        <v>1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f t="shared" si="2"/>
        <v>0</v>
      </c>
      <c r="Q28" s="5">
        <v>10</v>
      </c>
      <c r="R28" s="5">
        <v>30</v>
      </c>
      <c r="S28" s="5">
        <f>VLOOKUP(A28,заказ!A:B,2,0)</f>
        <v>40</v>
      </c>
      <c r="T28" s="12">
        <f>VLOOKUP(A28,[1]Sheet!$A:$R,18,0)</f>
        <v>50</v>
      </c>
      <c r="U28" s="1" t="e">
        <f t="shared" si="3"/>
        <v>#DIV/0!</v>
      </c>
      <c r="V28" s="1" t="e">
        <f t="shared" si="4"/>
        <v>#DIV/0!</v>
      </c>
      <c r="W28" s="1">
        <v>0</v>
      </c>
      <c r="X28" s="1"/>
      <c r="Y28" s="1">
        <f t="shared" si="5"/>
        <v>30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1" t="s">
        <v>49</v>
      </c>
      <c r="B29" s="1" t="s">
        <v>29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f t="shared" si="2"/>
        <v>0</v>
      </c>
      <c r="Q29" s="5"/>
      <c r="R29" s="5">
        <v>20</v>
      </c>
      <c r="S29" s="5">
        <f>VLOOKUP(A29,заказ!A:B,2,0)</f>
        <v>20</v>
      </c>
      <c r="T29" s="12">
        <f>VLOOKUP(A29,[1]Sheet!$A:$R,18,0)</f>
        <v>50</v>
      </c>
      <c r="U29" s="1" t="e">
        <f t="shared" si="3"/>
        <v>#DIV/0!</v>
      </c>
      <c r="V29" s="1" t="e">
        <f t="shared" si="4"/>
        <v>#DIV/0!</v>
      </c>
      <c r="W29" s="1">
        <v>0</v>
      </c>
      <c r="X29" s="1"/>
      <c r="Y29" s="1">
        <f t="shared" si="5"/>
        <v>20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1" t="s">
        <v>50</v>
      </c>
      <c r="B30" s="1" t="s">
        <v>25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/>
      <c r="L30" s="1">
        <f t="shared" si="1"/>
        <v>0</v>
      </c>
      <c r="M30" s="1"/>
      <c r="N30" s="1"/>
      <c r="O30" s="1">
        <v>102</v>
      </c>
      <c r="P30" s="1">
        <f t="shared" si="2"/>
        <v>0</v>
      </c>
      <c r="Q30" s="5"/>
      <c r="R30" s="5">
        <f t="shared" si="6"/>
        <v>0</v>
      </c>
      <c r="S30" s="5"/>
      <c r="T30" s="12"/>
      <c r="U30" s="1" t="e">
        <f t="shared" si="3"/>
        <v>#DIV/0!</v>
      </c>
      <c r="V30" s="1" t="e">
        <f t="shared" si="4"/>
        <v>#DIV/0!</v>
      </c>
      <c r="W30" s="1">
        <v>0</v>
      </c>
      <c r="X30" s="1"/>
      <c r="Y30" s="1">
        <f t="shared" si="5"/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1" t="s">
        <v>51</v>
      </c>
      <c r="B31" s="1" t="s">
        <v>25</v>
      </c>
      <c r="C31" s="1">
        <v>104</v>
      </c>
      <c r="D31" s="1"/>
      <c r="E31" s="1">
        <v>18</v>
      </c>
      <c r="F31" s="1">
        <v>38</v>
      </c>
      <c r="G31" s="7">
        <v>0.1</v>
      </c>
      <c r="H31" s="1">
        <v>90</v>
      </c>
      <c r="I31" s="1"/>
      <c r="J31" s="1"/>
      <c r="K31" s="1">
        <v>18</v>
      </c>
      <c r="L31" s="1">
        <f t="shared" si="1"/>
        <v>0</v>
      </c>
      <c r="M31" s="1"/>
      <c r="N31" s="1"/>
      <c r="O31" s="1"/>
      <c r="P31" s="1">
        <f t="shared" si="2"/>
        <v>3.6</v>
      </c>
      <c r="Q31" s="5">
        <v>30</v>
      </c>
      <c r="R31" s="5">
        <v>50</v>
      </c>
      <c r="S31" s="5">
        <f>VLOOKUP(A31,заказ!A:B,2,0)</f>
        <v>48</v>
      </c>
      <c r="T31" s="12">
        <f>VLOOKUP(A31,[1]Sheet!$A:$R,18,0)</f>
        <v>70</v>
      </c>
      <c r="U31" s="1">
        <f t="shared" si="3"/>
        <v>24.444444444444443</v>
      </c>
      <c r="V31" s="1">
        <f t="shared" si="4"/>
        <v>10.555555555555555</v>
      </c>
      <c r="W31" s="1">
        <v>0</v>
      </c>
      <c r="X31" s="1"/>
      <c r="Y31" s="1">
        <f t="shared" si="5"/>
        <v>5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1" t="s">
        <v>52</v>
      </c>
      <c r="B32" s="1" t="s">
        <v>25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10</v>
      </c>
      <c r="L32" s="1">
        <f t="shared" si="1"/>
        <v>-10</v>
      </c>
      <c r="M32" s="1"/>
      <c r="N32" s="1"/>
      <c r="O32" s="1">
        <v>128</v>
      </c>
      <c r="P32" s="1">
        <f t="shared" si="2"/>
        <v>0</v>
      </c>
      <c r="Q32" s="5"/>
      <c r="R32" s="5">
        <v>20</v>
      </c>
      <c r="S32" s="5">
        <f>VLOOKUP(A32,заказ!A:B,2,0)</f>
        <v>16</v>
      </c>
      <c r="T32" s="12">
        <f>VLOOKUP(A32,[1]Sheet!$A:$R,18,0)</f>
        <v>50</v>
      </c>
      <c r="U32" s="1" t="e">
        <f t="shared" si="3"/>
        <v>#DIV/0!</v>
      </c>
      <c r="V32" s="1" t="e">
        <f t="shared" si="4"/>
        <v>#DIV/0!</v>
      </c>
      <c r="W32" s="1">
        <v>0</v>
      </c>
      <c r="X32" s="1"/>
      <c r="Y32" s="1">
        <f t="shared" si="5"/>
        <v>2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1" t="s">
        <v>53</v>
      </c>
      <c r="B33" s="1" t="s">
        <v>25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10</v>
      </c>
      <c r="L33" s="1">
        <f t="shared" si="1"/>
        <v>-10</v>
      </c>
      <c r="M33" s="1"/>
      <c r="N33" s="1"/>
      <c r="O33" s="1">
        <v>128</v>
      </c>
      <c r="P33" s="1">
        <f t="shared" si="2"/>
        <v>0</v>
      </c>
      <c r="Q33" s="5"/>
      <c r="R33" s="5">
        <v>20</v>
      </c>
      <c r="S33" s="5">
        <f>VLOOKUP(A33,заказ!A:B,2,0)</f>
        <v>16</v>
      </c>
      <c r="T33" s="12">
        <f>VLOOKUP(A33,[1]Sheet!$A:$R,18,0)</f>
        <v>50</v>
      </c>
      <c r="U33" s="1" t="e">
        <f t="shared" si="3"/>
        <v>#DIV/0!</v>
      </c>
      <c r="V33" s="1" t="e">
        <f t="shared" si="4"/>
        <v>#DIV/0!</v>
      </c>
      <c r="W33" s="1">
        <v>0</v>
      </c>
      <c r="X33" s="1"/>
      <c r="Y33" s="1">
        <f t="shared" si="5"/>
        <v>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1" t="s">
        <v>54</v>
      </c>
      <c r="B34" s="1" t="s">
        <v>25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f t="shared" si="2"/>
        <v>0</v>
      </c>
      <c r="Q34" s="5"/>
      <c r="R34" s="5">
        <v>20</v>
      </c>
      <c r="S34" s="5">
        <f>VLOOKUP(A34,заказ!A:B,2,0)</f>
        <v>20</v>
      </c>
      <c r="T34" s="12">
        <f>VLOOKUP(A34,[1]Sheet!$A:$R,18,0)</f>
        <v>50</v>
      </c>
      <c r="U34" s="1" t="e">
        <f t="shared" si="3"/>
        <v>#DIV/0!</v>
      </c>
      <c r="V34" s="1" t="e">
        <f t="shared" si="4"/>
        <v>#DIV/0!</v>
      </c>
      <c r="W34" s="1">
        <v>0</v>
      </c>
      <c r="X34" s="1"/>
      <c r="Y34" s="1">
        <f t="shared" si="5"/>
        <v>3.5999999999999996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1" t="s">
        <v>55</v>
      </c>
      <c r="B35" s="1" t="s">
        <v>25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25</v>
      </c>
      <c r="L35" s="1">
        <f t="shared" si="1"/>
        <v>-25</v>
      </c>
      <c r="M35" s="1"/>
      <c r="N35" s="1"/>
      <c r="O35" s="1">
        <v>150</v>
      </c>
      <c r="P35" s="1">
        <f t="shared" si="2"/>
        <v>0</v>
      </c>
      <c r="Q35" s="5"/>
      <c r="R35" s="5">
        <v>30</v>
      </c>
      <c r="S35" s="5">
        <f>VLOOKUP(A35,заказ!A:B,2,0)</f>
        <v>30</v>
      </c>
      <c r="T35" s="12">
        <f>VLOOKUP(A35,[1]Sheet!$A:$R,18,0)</f>
        <v>50</v>
      </c>
      <c r="U35" s="1" t="e">
        <f t="shared" si="3"/>
        <v>#DIV/0!</v>
      </c>
      <c r="V35" s="1" t="e">
        <f t="shared" si="4"/>
        <v>#DIV/0!</v>
      </c>
      <c r="W35" s="1">
        <v>0</v>
      </c>
      <c r="X35" s="1"/>
      <c r="Y35" s="1">
        <f t="shared" si="5"/>
        <v>5.3999999999999995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1" t="s">
        <v>56</v>
      </c>
      <c r="B36" s="1" t="s">
        <v>25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1</v>
      </c>
      <c r="L36" s="1">
        <f t="shared" si="1"/>
        <v>-1</v>
      </c>
      <c r="M36" s="1"/>
      <c r="N36" s="1"/>
      <c r="O36" s="1">
        <v>30</v>
      </c>
      <c r="P36" s="1">
        <f t="shared" si="2"/>
        <v>0</v>
      </c>
      <c r="Q36" s="5"/>
      <c r="R36" s="5">
        <v>10</v>
      </c>
      <c r="S36" s="5">
        <f>VLOOKUP(A36,заказ!A:B,2,0)</f>
        <v>10</v>
      </c>
      <c r="T36" s="12">
        <f>VLOOKUP(A36,[1]Sheet!$A:$R,18,0)</f>
        <v>50</v>
      </c>
      <c r="U36" s="1" t="e">
        <f t="shared" si="3"/>
        <v>#DIV/0!</v>
      </c>
      <c r="V36" s="1" t="e">
        <f t="shared" si="4"/>
        <v>#DIV/0!</v>
      </c>
      <c r="W36" s="1">
        <v>0</v>
      </c>
      <c r="X36" s="1"/>
      <c r="Y36" s="1">
        <f t="shared" si="5"/>
        <v>1.7999999999999998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1" t="s">
        <v>57</v>
      </c>
      <c r="B37" s="1" t="s">
        <v>25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3</v>
      </c>
      <c r="L37" s="1">
        <f t="shared" si="1"/>
        <v>-3</v>
      </c>
      <c r="M37" s="1"/>
      <c r="N37" s="1"/>
      <c r="O37" s="1">
        <v>10</v>
      </c>
      <c r="P37" s="1">
        <f t="shared" si="2"/>
        <v>0</v>
      </c>
      <c r="Q37" s="5">
        <v>10</v>
      </c>
      <c r="R37" s="5">
        <v>30</v>
      </c>
      <c r="S37" s="5">
        <f>VLOOKUP(A37,заказ!A:B,2,0)</f>
        <v>30</v>
      </c>
      <c r="T37" s="12">
        <f>VLOOKUP(A37,[1]Sheet!$A:$R,18,0)</f>
        <v>50</v>
      </c>
      <c r="U37" s="1" t="e">
        <f t="shared" si="3"/>
        <v>#DIV/0!</v>
      </c>
      <c r="V37" s="1" t="e">
        <f t="shared" si="4"/>
        <v>#DIV/0!</v>
      </c>
      <c r="W37" s="1">
        <v>0</v>
      </c>
      <c r="X37" s="1"/>
      <c r="Y37" s="1">
        <f t="shared" si="5"/>
        <v>5.3999999999999995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1" t="s">
        <v>58</v>
      </c>
      <c r="B38" s="1" t="s">
        <v>25</v>
      </c>
      <c r="C38" s="1">
        <v>50</v>
      </c>
      <c r="D38" s="1">
        <v>16</v>
      </c>
      <c r="E38" s="1">
        <v>24</v>
      </c>
      <c r="F38" s="1">
        <v>1</v>
      </c>
      <c r="G38" s="7">
        <v>0.18</v>
      </c>
      <c r="H38" s="1">
        <v>150</v>
      </c>
      <c r="I38" s="1"/>
      <c r="J38" s="1"/>
      <c r="K38" s="1">
        <v>43</v>
      </c>
      <c r="L38" s="1">
        <f t="shared" si="1"/>
        <v>-19</v>
      </c>
      <c r="M38" s="1"/>
      <c r="N38" s="1"/>
      <c r="O38" s="1">
        <v>150</v>
      </c>
      <c r="P38" s="1">
        <f t="shared" si="2"/>
        <v>4.8</v>
      </c>
      <c r="Q38" s="5"/>
      <c r="R38" s="5">
        <v>80</v>
      </c>
      <c r="S38" s="5">
        <f>VLOOKUP(A38,заказ!A:B,2,0)</f>
        <v>80</v>
      </c>
      <c r="T38" s="12">
        <f>VLOOKUP(A38,[1]Sheet!$A:$R,18,0)</f>
        <v>100</v>
      </c>
      <c r="U38" s="1">
        <f t="shared" si="3"/>
        <v>48.125</v>
      </c>
      <c r="V38" s="1">
        <f t="shared" si="4"/>
        <v>31.458333333333336</v>
      </c>
      <c r="W38" s="1">
        <v>0</v>
      </c>
      <c r="X38" s="1"/>
      <c r="Y38" s="1">
        <f t="shared" si="5"/>
        <v>14.399999999999999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1" t="s">
        <v>59</v>
      </c>
      <c r="B39" s="1" t="s">
        <v>25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25</v>
      </c>
      <c r="L39" s="1">
        <f t="shared" si="1"/>
        <v>-25</v>
      </c>
      <c r="M39" s="1"/>
      <c r="N39" s="1"/>
      <c r="O39" s="1">
        <v>50</v>
      </c>
      <c r="P39" s="1">
        <f t="shared" si="2"/>
        <v>0</v>
      </c>
      <c r="Q39" s="5"/>
      <c r="R39" s="5">
        <f t="shared" si="6"/>
        <v>0</v>
      </c>
      <c r="S39" s="5"/>
      <c r="T39" s="12"/>
      <c r="U39" s="1" t="e">
        <f t="shared" si="3"/>
        <v>#DIV/0!</v>
      </c>
      <c r="V39" s="1" t="e">
        <f t="shared" si="4"/>
        <v>#DIV/0!</v>
      </c>
      <c r="W39" s="1">
        <v>0</v>
      </c>
      <c r="X39" s="1"/>
      <c r="Y39" s="1">
        <f t="shared" si="5"/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1" t="s">
        <v>60</v>
      </c>
      <c r="B40" s="1" t="s">
        <v>25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>
        <v>2</v>
      </c>
      <c r="L40" s="1">
        <f t="shared" si="1"/>
        <v>-2</v>
      </c>
      <c r="M40" s="1"/>
      <c r="N40" s="1"/>
      <c r="O40" s="1">
        <v>8</v>
      </c>
      <c r="P40" s="1">
        <f t="shared" si="2"/>
        <v>0</v>
      </c>
      <c r="Q40" s="5"/>
      <c r="R40" s="5">
        <f t="shared" si="6"/>
        <v>0</v>
      </c>
      <c r="S40" s="5"/>
      <c r="T40" s="12"/>
      <c r="U40" s="1" t="e">
        <f t="shared" si="3"/>
        <v>#DIV/0!</v>
      </c>
      <c r="V40" s="1" t="e">
        <f t="shared" si="4"/>
        <v>#DIV/0!</v>
      </c>
      <c r="W40" s="1">
        <v>0</v>
      </c>
      <c r="X40" s="1"/>
      <c r="Y40" s="1">
        <f t="shared" si="5"/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1" t="s">
        <v>61</v>
      </c>
      <c r="B41" s="1" t="s">
        <v>25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5</v>
      </c>
      <c r="L41" s="1">
        <f t="shared" si="1"/>
        <v>-5</v>
      </c>
      <c r="M41" s="1"/>
      <c r="N41" s="1"/>
      <c r="O41" s="1">
        <v>32</v>
      </c>
      <c r="P41" s="1">
        <f t="shared" si="2"/>
        <v>0</v>
      </c>
      <c r="Q41" s="5"/>
      <c r="R41" s="5">
        <f t="shared" si="6"/>
        <v>0</v>
      </c>
      <c r="S41" s="5"/>
      <c r="T41" s="12"/>
      <c r="U41" s="1" t="e">
        <f t="shared" si="3"/>
        <v>#DIV/0!</v>
      </c>
      <c r="V41" s="1" t="e">
        <f t="shared" si="4"/>
        <v>#DIV/0!</v>
      </c>
      <c r="W41" s="1">
        <v>0</v>
      </c>
      <c r="X41" s="1"/>
      <c r="Y41" s="1">
        <f t="shared" si="5"/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1" t="s">
        <v>62</v>
      </c>
      <c r="B42" s="1" t="s">
        <v>25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8</v>
      </c>
      <c r="L42" s="1">
        <f t="shared" si="1"/>
        <v>-8</v>
      </c>
      <c r="M42" s="1"/>
      <c r="N42" s="1"/>
      <c r="O42" s="1">
        <v>48</v>
      </c>
      <c r="P42" s="1">
        <f t="shared" si="2"/>
        <v>0</v>
      </c>
      <c r="Q42" s="5"/>
      <c r="R42" s="5">
        <v>80</v>
      </c>
      <c r="S42" s="5">
        <f>VLOOKUP(A42,заказ!A:B,2,0)</f>
        <v>80</v>
      </c>
      <c r="T42" s="12">
        <f>VLOOKUP(A42,[1]Sheet!$A:$R,18,0)</f>
        <v>150</v>
      </c>
      <c r="U42" s="1" t="e">
        <f t="shared" si="3"/>
        <v>#DIV/0!</v>
      </c>
      <c r="V42" s="1" t="e">
        <f t="shared" si="4"/>
        <v>#DIV/0!</v>
      </c>
      <c r="W42" s="1">
        <v>0</v>
      </c>
      <c r="X42" s="1"/>
      <c r="Y42" s="1">
        <f t="shared" si="5"/>
        <v>14.399999999999999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1" t="s">
        <v>63</v>
      </c>
      <c r="B43" s="1" t="s">
        <v>29</v>
      </c>
      <c r="C43" s="1">
        <v>44.332000000000001</v>
      </c>
      <c r="D43" s="1"/>
      <c r="E43" s="1">
        <v>9.73</v>
      </c>
      <c r="F43" s="1">
        <v>31.271999999999998</v>
      </c>
      <c r="G43" s="7">
        <v>1</v>
      </c>
      <c r="H43" s="1">
        <v>180</v>
      </c>
      <c r="I43" s="1"/>
      <c r="J43" s="1"/>
      <c r="K43" s="1">
        <v>9</v>
      </c>
      <c r="L43" s="1">
        <f t="shared" si="1"/>
        <v>0.73000000000000043</v>
      </c>
      <c r="M43" s="1"/>
      <c r="N43" s="1"/>
      <c r="O43" s="1"/>
      <c r="P43" s="1">
        <f t="shared" si="2"/>
        <v>1.9460000000000002</v>
      </c>
      <c r="Q43" s="5">
        <v>5</v>
      </c>
      <c r="R43" s="5">
        <v>20</v>
      </c>
      <c r="S43" s="5">
        <f>VLOOKUP(A43,заказ!A:B,2,0)</f>
        <v>16</v>
      </c>
      <c r="T43" s="12">
        <f>VLOOKUP(A43,[1]Sheet!$A:$R,18,0)</f>
        <v>50</v>
      </c>
      <c r="U43" s="1">
        <f t="shared" si="3"/>
        <v>26.347379239465567</v>
      </c>
      <c r="V43" s="1">
        <f t="shared" si="4"/>
        <v>16.069886947584788</v>
      </c>
      <c r="W43" s="1">
        <v>0</v>
      </c>
      <c r="X43" s="1"/>
      <c r="Y43" s="1">
        <f t="shared" si="5"/>
        <v>20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1" t="s">
        <v>64</v>
      </c>
      <c r="B44" s="1" t="s">
        <v>29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f t="shared" si="2"/>
        <v>0</v>
      </c>
      <c r="Q44" s="5"/>
      <c r="R44" s="5">
        <v>30</v>
      </c>
      <c r="S44" s="5">
        <f>VLOOKUP(A44,заказ!A:B,2,0)</f>
        <v>33</v>
      </c>
      <c r="T44" s="12">
        <f>VLOOKUP(A44,[1]Sheet!$A:$R,18,0)</f>
        <v>50</v>
      </c>
      <c r="U44" s="1" t="e">
        <f t="shared" si="3"/>
        <v>#DIV/0!</v>
      </c>
      <c r="V44" s="1" t="e">
        <f t="shared" si="4"/>
        <v>#DIV/0!</v>
      </c>
      <c r="W44" s="1">
        <v>0</v>
      </c>
      <c r="X44" s="1"/>
      <c r="Y44" s="1">
        <f t="shared" si="5"/>
        <v>30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1" t="s">
        <v>65</v>
      </c>
      <c r="B45" s="1" t="s">
        <v>29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3</v>
      </c>
      <c r="L45" s="1">
        <f t="shared" si="1"/>
        <v>-3</v>
      </c>
      <c r="M45" s="1"/>
      <c r="N45" s="1"/>
      <c r="O45" s="1">
        <v>99</v>
      </c>
      <c r="P45" s="1">
        <f t="shared" si="2"/>
        <v>0</v>
      </c>
      <c r="Q45" s="5"/>
      <c r="R45" s="5">
        <v>10</v>
      </c>
      <c r="S45" s="5">
        <f>VLOOKUP(A45,заказ!A:B,2,0)</f>
        <v>16</v>
      </c>
      <c r="T45" s="12">
        <f>VLOOKUP(A45,[1]Sheet!$A:$R,18,0)</f>
        <v>50</v>
      </c>
      <c r="U45" s="1" t="e">
        <f t="shared" si="3"/>
        <v>#DIV/0!</v>
      </c>
      <c r="V45" s="1" t="e">
        <f t="shared" si="4"/>
        <v>#DIV/0!</v>
      </c>
      <c r="W45" s="1">
        <v>0</v>
      </c>
      <c r="X45" s="1"/>
      <c r="Y45" s="1">
        <f t="shared" si="5"/>
        <v>10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1" t="s">
        <v>66</v>
      </c>
      <c r="B46" s="1" t="s">
        <v>29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f t="shared" si="2"/>
        <v>0</v>
      </c>
      <c r="Q46" s="5"/>
      <c r="R46" s="5">
        <v>30</v>
      </c>
      <c r="S46" s="5">
        <f>VLOOKUP(A46,заказ!A:B,2,0)</f>
        <v>33</v>
      </c>
      <c r="T46" s="12">
        <f>VLOOKUP(A46,[1]Sheet!$A:$R,18,0)</f>
        <v>50</v>
      </c>
      <c r="U46" s="1" t="e">
        <f t="shared" si="3"/>
        <v>#DIV/0!</v>
      </c>
      <c r="V46" s="1" t="e">
        <f t="shared" si="4"/>
        <v>#DIV/0!</v>
      </c>
      <c r="W46" s="1">
        <v>0</v>
      </c>
      <c r="X46" s="1"/>
      <c r="Y46" s="1">
        <f t="shared" si="5"/>
        <v>30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1" t="s">
        <v>67</v>
      </c>
      <c r="B47" s="1" t="s">
        <v>25</v>
      </c>
      <c r="C47" s="1">
        <v>162</v>
      </c>
      <c r="D47" s="1">
        <v>7</v>
      </c>
      <c r="E47" s="1">
        <v>36</v>
      </c>
      <c r="F47" s="1">
        <v>10</v>
      </c>
      <c r="G47" s="7">
        <v>0.1</v>
      </c>
      <c r="H47" s="1">
        <v>60</v>
      </c>
      <c r="I47" s="1"/>
      <c r="J47" s="1"/>
      <c r="K47" s="1">
        <v>51</v>
      </c>
      <c r="L47" s="1">
        <f t="shared" si="1"/>
        <v>-15</v>
      </c>
      <c r="M47" s="1"/>
      <c r="N47" s="1"/>
      <c r="O47" s="1">
        <v>300</v>
      </c>
      <c r="P47" s="1">
        <f t="shared" si="2"/>
        <v>7.2</v>
      </c>
      <c r="Q47" s="5"/>
      <c r="R47" s="5">
        <v>30</v>
      </c>
      <c r="S47" s="5">
        <f>VLOOKUP(A47,заказ!A:B,2,0)</f>
        <v>30</v>
      </c>
      <c r="T47" s="12">
        <f>VLOOKUP(A47,[1]Sheet!$A:$R,18,0)</f>
        <v>100</v>
      </c>
      <c r="U47" s="1">
        <f t="shared" si="3"/>
        <v>47.222222222222221</v>
      </c>
      <c r="V47" s="1">
        <f t="shared" si="4"/>
        <v>43.055555555555557</v>
      </c>
      <c r="W47" s="1">
        <v>0</v>
      </c>
      <c r="X47" s="1"/>
      <c r="Y47" s="1">
        <f t="shared" si="5"/>
        <v>3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 s="11" t="s">
        <v>68</v>
      </c>
      <c r="B48" s="1" t="s">
        <v>25</v>
      </c>
      <c r="C48" s="1">
        <v>150</v>
      </c>
      <c r="D48" s="1">
        <v>15</v>
      </c>
      <c r="E48" s="1">
        <v>57</v>
      </c>
      <c r="F48" s="1"/>
      <c r="G48" s="7">
        <v>0.1</v>
      </c>
      <c r="H48" s="1">
        <v>90</v>
      </c>
      <c r="I48" s="1"/>
      <c r="J48" s="1"/>
      <c r="K48" s="1">
        <v>75</v>
      </c>
      <c r="L48" s="1">
        <f t="shared" si="1"/>
        <v>-18</v>
      </c>
      <c r="M48" s="1"/>
      <c r="N48" s="1"/>
      <c r="O48" s="1">
        <v>150</v>
      </c>
      <c r="P48" s="1">
        <f t="shared" si="2"/>
        <v>11.4</v>
      </c>
      <c r="Q48" s="5">
        <v>50</v>
      </c>
      <c r="R48" s="5">
        <v>120</v>
      </c>
      <c r="S48" s="5">
        <f>VLOOKUP(A48,заказ!A:B,2,0)</f>
        <v>120</v>
      </c>
      <c r="T48" s="12">
        <f>VLOOKUP(A48,[1]Sheet!$A:$R,18,0)</f>
        <v>120</v>
      </c>
      <c r="U48" s="1">
        <f t="shared" si="3"/>
        <v>23.684210526315788</v>
      </c>
      <c r="V48" s="1">
        <f t="shared" si="4"/>
        <v>13.157894736842104</v>
      </c>
      <c r="W48" s="1">
        <v>0</v>
      </c>
      <c r="X48" s="1"/>
      <c r="Y48" s="1">
        <f t="shared" si="5"/>
        <v>12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1" t="s">
        <v>69</v>
      </c>
      <c r="B49" s="1" t="s">
        <v>25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2</v>
      </c>
      <c r="L49" s="1">
        <f t="shared" si="1"/>
        <v>-2</v>
      </c>
      <c r="M49" s="1"/>
      <c r="N49" s="1"/>
      <c r="O49" s="1">
        <v>16</v>
      </c>
      <c r="P49" s="1">
        <f t="shared" si="2"/>
        <v>0</v>
      </c>
      <c r="Q49" s="5"/>
      <c r="R49" s="5">
        <v>50</v>
      </c>
      <c r="S49" s="5">
        <f>VLOOKUP(A49,заказ!A:B,2,0)</f>
        <v>48</v>
      </c>
      <c r="T49" s="12">
        <f>VLOOKUP(A49,[1]Sheet!$A:$R,18,0)</f>
        <v>50</v>
      </c>
      <c r="U49" s="1" t="e">
        <f t="shared" si="3"/>
        <v>#DIV/0!</v>
      </c>
      <c r="V49" s="1" t="e">
        <f t="shared" si="4"/>
        <v>#DIV/0!</v>
      </c>
      <c r="W49" s="1">
        <v>0</v>
      </c>
      <c r="X49" s="1"/>
      <c r="Y49" s="1">
        <f t="shared" si="5"/>
        <v>7.0000000000000009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1" t="s">
        <v>70</v>
      </c>
      <c r="B50" s="1" t="s">
        <v>25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f t="shared" si="2"/>
        <v>0</v>
      </c>
      <c r="Q50" s="5"/>
      <c r="R50" s="5">
        <v>70</v>
      </c>
      <c r="S50" s="5">
        <f>VLOOKUP(A50,заказ!A:B,2,0)</f>
        <v>70</v>
      </c>
      <c r="T50" s="12">
        <f>VLOOKUP(A50,[1]Sheet!$A:$R,18,0)</f>
        <v>70</v>
      </c>
      <c r="U50" s="1" t="e">
        <f t="shared" si="3"/>
        <v>#DIV/0!</v>
      </c>
      <c r="V50" s="1" t="e">
        <f t="shared" si="4"/>
        <v>#DIV/0!</v>
      </c>
      <c r="W50" s="1">
        <v>0</v>
      </c>
      <c r="X50" s="1"/>
      <c r="Y50" s="1">
        <f t="shared" si="5"/>
        <v>14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25">
      <c r="A51" s="11" t="s">
        <v>71</v>
      </c>
      <c r="B51" s="1" t="s">
        <v>29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f t="shared" si="2"/>
        <v>0</v>
      </c>
      <c r="Q51" s="5"/>
      <c r="R51" s="5">
        <v>50</v>
      </c>
      <c r="S51" s="5">
        <f>VLOOKUP(A51,заказ!A:B,2,0)</f>
        <v>45</v>
      </c>
      <c r="T51" s="12">
        <f>VLOOKUP(A51,[1]Sheet!$A:$R,18,0)</f>
        <v>60</v>
      </c>
      <c r="U51" s="1" t="e">
        <f t="shared" si="3"/>
        <v>#DIV/0!</v>
      </c>
      <c r="V51" s="1" t="e">
        <f t="shared" si="4"/>
        <v>#DIV/0!</v>
      </c>
      <c r="W51" s="1">
        <v>0</v>
      </c>
      <c r="X51" s="1"/>
      <c r="Y51" s="1">
        <f t="shared" si="5"/>
        <v>50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 s="11" t="s">
        <v>72</v>
      </c>
      <c r="B52" s="1" t="s">
        <v>25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f t="shared" si="2"/>
        <v>0</v>
      </c>
      <c r="Q52" s="5"/>
      <c r="R52" s="5">
        <v>70</v>
      </c>
      <c r="S52" s="5">
        <f>VLOOKUP(A52,заказ!A:B,2,0)</f>
        <v>70</v>
      </c>
      <c r="T52" s="12">
        <f>VLOOKUP(A52,[1]Sheet!$A:$R,18,0)</f>
        <v>70</v>
      </c>
      <c r="U52" s="1" t="e">
        <f t="shared" si="3"/>
        <v>#DIV/0!</v>
      </c>
      <c r="V52" s="1" t="e">
        <f t="shared" si="4"/>
        <v>#DIV/0!</v>
      </c>
      <c r="W52" s="1">
        <v>0</v>
      </c>
      <c r="X52" s="1"/>
      <c r="Y52" s="1">
        <f t="shared" si="5"/>
        <v>14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25">
      <c r="A53" s="11" t="s">
        <v>73</v>
      </c>
      <c r="B53" s="1" t="s">
        <v>29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f t="shared" si="2"/>
        <v>0</v>
      </c>
      <c r="Q53" s="5"/>
      <c r="R53" s="5">
        <v>50</v>
      </c>
      <c r="S53" s="5">
        <f>VLOOKUP(A53,заказ!A:B,2,0)</f>
        <v>45</v>
      </c>
      <c r="T53" s="12">
        <f>VLOOKUP(A53,[1]Sheet!$A:$R,18,0)</f>
        <v>50</v>
      </c>
      <c r="U53" s="1" t="e">
        <f t="shared" si="3"/>
        <v>#DIV/0!</v>
      </c>
      <c r="V53" s="1" t="e">
        <f t="shared" si="4"/>
        <v>#DIV/0!</v>
      </c>
      <c r="W53" s="1">
        <v>0</v>
      </c>
      <c r="X53" s="1"/>
      <c r="Y53" s="1">
        <f t="shared" si="5"/>
        <v>50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</sheetData>
  <autoFilter ref="A3:Y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8925-DD12-43E4-B31D-AF169BCD9D23}">
  <dimension ref="A1:B4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24</v>
      </c>
      <c r="B1">
        <v>48</v>
      </c>
    </row>
    <row r="2" spans="1:2" x14ac:dyDescent="0.25">
      <c r="A2" t="s">
        <v>26</v>
      </c>
      <c r="B2">
        <v>24</v>
      </c>
    </row>
    <row r="3" spans="1:2" x14ac:dyDescent="0.25">
      <c r="A3" t="s">
        <v>27</v>
      </c>
      <c r="B3">
        <v>24</v>
      </c>
    </row>
    <row r="4" spans="1:2" x14ac:dyDescent="0.25">
      <c r="A4" t="s">
        <v>28</v>
      </c>
      <c r="B4">
        <v>40</v>
      </c>
    </row>
    <row r="5" spans="1:2" x14ac:dyDescent="0.25">
      <c r="A5" t="s">
        <v>30</v>
      </c>
      <c r="B5">
        <v>12</v>
      </c>
    </row>
    <row r="6" spans="1:2" x14ac:dyDescent="0.25">
      <c r="A6" t="s">
        <v>31</v>
      </c>
      <c r="B6">
        <v>12</v>
      </c>
    </row>
    <row r="7" spans="1:2" x14ac:dyDescent="0.25">
      <c r="A7" t="s">
        <v>32</v>
      </c>
      <c r="B7">
        <v>33</v>
      </c>
    </row>
    <row r="8" spans="1:2" x14ac:dyDescent="0.25">
      <c r="A8" t="s">
        <v>34</v>
      </c>
      <c r="B8">
        <v>48</v>
      </c>
    </row>
    <row r="9" spans="1:2" x14ac:dyDescent="0.25">
      <c r="A9" t="s">
        <v>35</v>
      </c>
      <c r="B9">
        <v>48</v>
      </c>
    </row>
    <row r="10" spans="1:2" x14ac:dyDescent="0.25">
      <c r="A10" t="s">
        <v>36</v>
      </c>
      <c r="B10">
        <v>24</v>
      </c>
    </row>
    <row r="11" spans="1:2" x14ac:dyDescent="0.25">
      <c r="A11" t="s">
        <v>38</v>
      </c>
      <c r="B11">
        <v>16</v>
      </c>
    </row>
    <row r="12" spans="1:2" x14ac:dyDescent="0.25">
      <c r="A12" t="s">
        <v>39</v>
      </c>
      <c r="B12">
        <v>16</v>
      </c>
    </row>
    <row r="13" spans="1:2" x14ac:dyDescent="0.25">
      <c r="A13" t="s">
        <v>40</v>
      </c>
      <c r="B13">
        <v>16</v>
      </c>
    </row>
    <row r="14" spans="1:2" x14ac:dyDescent="0.25">
      <c r="A14" t="s">
        <v>41</v>
      </c>
      <c r="B14">
        <v>80</v>
      </c>
    </row>
    <row r="15" spans="1:2" x14ac:dyDescent="0.25">
      <c r="A15" t="s">
        <v>42</v>
      </c>
      <c r="B15">
        <v>300</v>
      </c>
    </row>
    <row r="16" spans="1:2" x14ac:dyDescent="0.25">
      <c r="A16" t="s">
        <v>43</v>
      </c>
      <c r="B16">
        <v>300</v>
      </c>
    </row>
    <row r="17" spans="1:2" x14ac:dyDescent="0.25">
      <c r="A17" t="s">
        <v>44</v>
      </c>
      <c r="B17">
        <v>8</v>
      </c>
    </row>
    <row r="18" spans="1:2" x14ac:dyDescent="0.25">
      <c r="A18" t="s">
        <v>47</v>
      </c>
      <c r="B18">
        <v>48</v>
      </c>
    </row>
    <row r="19" spans="1:2" x14ac:dyDescent="0.25">
      <c r="A19" t="s">
        <v>48</v>
      </c>
      <c r="B19">
        <v>40</v>
      </c>
    </row>
    <row r="20" spans="1:2" x14ac:dyDescent="0.25">
      <c r="A20" t="s">
        <v>49</v>
      </c>
      <c r="B20">
        <v>20</v>
      </c>
    </row>
    <row r="21" spans="1:2" x14ac:dyDescent="0.25">
      <c r="A21" t="s">
        <v>51</v>
      </c>
      <c r="B21">
        <v>48</v>
      </c>
    </row>
    <row r="22" spans="1:2" x14ac:dyDescent="0.25">
      <c r="A22" t="s">
        <v>52</v>
      </c>
      <c r="B22">
        <v>16</v>
      </c>
    </row>
    <row r="23" spans="1:2" x14ac:dyDescent="0.25">
      <c r="A23" t="s">
        <v>53</v>
      </c>
      <c r="B23">
        <v>16</v>
      </c>
    </row>
    <row r="24" spans="1:2" x14ac:dyDescent="0.25">
      <c r="A24" t="s">
        <v>54</v>
      </c>
      <c r="B24">
        <v>20</v>
      </c>
    </row>
    <row r="25" spans="1:2" x14ac:dyDescent="0.25">
      <c r="A25" t="s">
        <v>55</v>
      </c>
      <c r="B25">
        <v>30</v>
      </c>
    </row>
    <row r="26" spans="1:2" x14ac:dyDescent="0.25">
      <c r="A26" t="s">
        <v>56</v>
      </c>
      <c r="B26">
        <v>10</v>
      </c>
    </row>
    <row r="27" spans="1:2" x14ac:dyDescent="0.25">
      <c r="A27" t="s">
        <v>57</v>
      </c>
      <c r="B27">
        <v>30</v>
      </c>
    </row>
    <row r="28" spans="1:2" x14ac:dyDescent="0.25">
      <c r="A28" t="s">
        <v>58</v>
      </c>
      <c r="B28">
        <v>80</v>
      </c>
    </row>
    <row r="29" spans="1:2" x14ac:dyDescent="0.25">
      <c r="A29" t="s">
        <v>62</v>
      </c>
      <c r="B29">
        <v>80</v>
      </c>
    </row>
    <row r="30" spans="1:2" x14ac:dyDescent="0.25">
      <c r="A30" t="s">
        <v>63</v>
      </c>
      <c r="B30">
        <v>16</v>
      </c>
    </row>
    <row r="31" spans="1:2" x14ac:dyDescent="0.25">
      <c r="A31" t="s">
        <v>64</v>
      </c>
      <c r="B31">
        <v>33</v>
      </c>
    </row>
    <row r="32" spans="1:2" x14ac:dyDescent="0.25">
      <c r="A32" t="s">
        <v>65</v>
      </c>
      <c r="B32">
        <v>16</v>
      </c>
    </row>
    <row r="33" spans="1:2" x14ac:dyDescent="0.25">
      <c r="A33" t="s">
        <v>66</v>
      </c>
      <c r="B33">
        <v>33</v>
      </c>
    </row>
    <row r="34" spans="1:2" x14ac:dyDescent="0.25">
      <c r="A34" t="s">
        <v>67</v>
      </c>
      <c r="B34">
        <v>30</v>
      </c>
    </row>
    <row r="35" spans="1:2" x14ac:dyDescent="0.25">
      <c r="A35" t="s">
        <v>68</v>
      </c>
      <c r="B35">
        <v>120</v>
      </c>
    </row>
    <row r="36" spans="1:2" x14ac:dyDescent="0.25">
      <c r="A36" t="s">
        <v>69</v>
      </c>
      <c r="B36">
        <v>48</v>
      </c>
    </row>
    <row r="37" spans="1:2" x14ac:dyDescent="0.25">
      <c r="A37" t="s">
        <v>70</v>
      </c>
      <c r="B37">
        <v>70</v>
      </c>
    </row>
    <row r="38" spans="1:2" x14ac:dyDescent="0.25">
      <c r="A38" t="s">
        <v>71</v>
      </c>
      <c r="B38">
        <v>45</v>
      </c>
    </row>
    <row r="39" spans="1:2" x14ac:dyDescent="0.25">
      <c r="A39" t="s">
        <v>72</v>
      </c>
      <c r="B39">
        <v>70</v>
      </c>
    </row>
    <row r="40" spans="1:2" x14ac:dyDescent="0.25">
      <c r="A40" t="s">
        <v>73</v>
      </c>
      <c r="B4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2026-09-30T17:17:14Z</dcterms:created>
  <dcterms:modified xsi:type="dcterms:W3CDTF">2026-10-02T06:21:03Z</dcterms:modified>
</cp:coreProperties>
</file>