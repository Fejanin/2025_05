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D9BC035-9DF6-4700-AC4A-A2460CF2674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филиал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Sheet!$A$3:$AL$47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5" i="1" l="1"/>
  <c r="V29" i="1"/>
  <c r="V5" i="1" s="1"/>
  <c r="V33" i="1"/>
  <c r="V41" i="1"/>
  <c r="T9" i="1" l="1"/>
  <c r="T5" i="1" s="1"/>
  <c r="T12" i="1"/>
  <c r="T14" i="1"/>
  <c r="T15" i="1"/>
  <c r="T16" i="1"/>
  <c r="T17" i="1"/>
  <c r="T18" i="1"/>
  <c r="T19" i="1"/>
  <c r="T20" i="1"/>
  <c r="T21" i="1"/>
  <c r="T22" i="1"/>
  <c r="T24" i="1"/>
  <c r="T25" i="1"/>
  <c r="T27" i="1"/>
  <c r="T28" i="1"/>
  <c r="T29" i="1"/>
  <c r="T30" i="1"/>
  <c r="T31" i="1"/>
  <c r="T34" i="1"/>
  <c r="T35" i="1"/>
  <c r="T36" i="1"/>
  <c r="T38" i="1"/>
  <c r="T40" i="1"/>
  <c r="T43" i="1"/>
  <c r="T47" i="1"/>
  <c r="Q47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6" i="1"/>
  <c r="S7" i="1"/>
  <c r="AL7" i="1" s="1"/>
  <c r="S8" i="1"/>
  <c r="AL8" i="1" s="1"/>
  <c r="S10" i="1"/>
  <c r="AL10" i="1" s="1"/>
  <c r="S11" i="1"/>
  <c r="AL11" i="1" s="1"/>
  <c r="S13" i="1"/>
  <c r="AL13" i="1" s="1"/>
  <c r="AL15" i="1"/>
  <c r="S22" i="1"/>
  <c r="AL22" i="1" s="1"/>
  <c r="S23" i="1"/>
  <c r="AL23" i="1" s="1"/>
  <c r="S26" i="1"/>
  <c r="AL26" i="1" s="1"/>
  <c r="S30" i="1"/>
  <c r="AL30" i="1" s="1"/>
  <c r="S32" i="1"/>
  <c r="AL32" i="1" s="1"/>
  <c r="S33" i="1"/>
  <c r="AL33" i="1" s="1"/>
  <c r="S37" i="1"/>
  <c r="AL37" i="1" s="1"/>
  <c r="S39" i="1"/>
  <c r="AL39" i="1" s="1"/>
  <c r="S41" i="1"/>
  <c r="AL41" i="1" s="1"/>
  <c r="S42" i="1"/>
  <c r="AL42" i="1" s="1"/>
  <c r="S44" i="1"/>
  <c r="AL44" i="1" s="1"/>
  <c r="S45" i="1"/>
  <c r="AL45" i="1" s="1"/>
  <c r="S46" i="1"/>
  <c r="AL46" i="1" s="1"/>
  <c r="AL47" i="1"/>
  <c r="S6" i="1"/>
  <c r="AL6" i="1" s="1"/>
  <c r="U5" i="1"/>
  <c r="W9" i="1"/>
  <c r="S9" i="1" s="1"/>
  <c r="W12" i="1"/>
  <c r="S12" i="1" s="1"/>
  <c r="AL12" i="1" s="1"/>
  <c r="W14" i="1"/>
  <c r="S14" i="1" s="1"/>
  <c r="AL14" i="1" s="1"/>
  <c r="W15" i="1"/>
  <c r="W18" i="1"/>
  <c r="S18" i="1" s="1"/>
  <c r="W19" i="1"/>
  <c r="S19" i="1" s="1"/>
  <c r="W24" i="1"/>
  <c r="S24" i="1" s="1"/>
  <c r="W47" i="1"/>
  <c r="X5" i="1"/>
  <c r="AM5" i="1" l="1"/>
  <c r="W5" i="1"/>
  <c r="Q7" i="1"/>
  <c r="Z7" i="1" s="1"/>
  <c r="Q8" i="1"/>
  <c r="Z8" i="1" s="1"/>
  <c r="Q9" i="1"/>
  <c r="Z9" i="1" s="1"/>
  <c r="Q10" i="1"/>
  <c r="Y10" i="1" s="1"/>
  <c r="Q11" i="1"/>
  <c r="Z11" i="1" s="1"/>
  <c r="Q12" i="1"/>
  <c r="Y12" i="1" s="1"/>
  <c r="Q13" i="1"/>
  <c r="Y13" i="1" s="1"/>
  <c r="Q14" i="1"/>
  <c r="Y14" i="1" s="1"/>
  <c r="Q15" i="1"/>
  <c r="Y15" i="1" s="1"/>
  <c r="Q16" i="1"/>
  <c r="R16" i="1" s="1"/>
  <c r="S16" i="1" s="1"/>
  <c r="Q17" i="1"/>
  <c r="R17" i="1" s="1"/>
  <c r="S17" i="1" s="1"/>
  <c r="Q18" i="1"/>
  <c r="Z18" i="1" s="1"/>
  <c r="Q19" i="1"/>
  <c r="R19" i="1" s="1"/>
  <c r="Q20" i="1"/>
  <c r="R20" i="1" s="1"/>
  <c r="S20" i="1" s="1"/>
  <c r="Q21" i="1"/>
  <c r="Z21" i="1" s="1"/>
  <c r="Q22" i="1"/>
  <c r="Q23" i="1"/>
  <c r="Z23" i="1" s="1"/>
  <c r="Q24" i="1"/>
  <c r="Z24" i="1" s="1"/>
  <c r="Q25" i="1"/>
  <c r="Z25" i="1" s="1"/>
  <c r="Q26" i="1"/>
  <c r="Q27" i="1"/>
  <c r="R27" i="1" s="1"/>
  <c r="S27" i="1" s="1"/>
  <c r="Q28" i="1"/>
  <c r="R28" i="1" s="1"/>
  <c r="S28" i="1" s="1"/>
  <c r="Q29" i="1"/>
  <c r="R29" i="1" s="1"/>
  <c r="S29" i="1" s="1"/>
  <c r="Q30" i="1"/>
  <c r="Y30" i="1" s="1"/>
  <c r="Q31" i="1"/>
  <c r="Z31" i="1" s="1"/>
  <c r="Q32" i="1"/>
  <c r="Q33" i="1"/>
  <c r="Z33" i="1" s="1"/>
  <c r="Q34" i="1"/>
  <c r="Z34" i="1" s="1"/>
  <c r="Q35" i="1"/>
  <c r="Z35" i="1" s="1"/>
  <c r="Q36" i="1"/>
  <c r="Z36" i="1" s="1"/>
  <c r="Q37" i="1"/>
  <c r="Y37" i="1" s="1"/>
  <c r="Q38" i="1"/>
  <c r="Z38" i="1" s="1"/>
  <c r="Q39" i="1"/>
  <c r="Z39" i="1" s="1"/>
  <c r="Q40" i="1"/>
  <c r="R40" i="1" s="1"/>
  <c r="S40" i="1" s="1"/>
  <c r="Q41" i="1"/>
  <c r="Y41" i="1" s="1"/>
  <c r="Q42" i="1"/>
  <c r="Y42" i="1" s="1"/>
  <c r="Q43" i="1"/>
  <c r="R43" i="1" s="1"/>
  <c r="Q44" i="1"/>
  <c r="Q45" i="1"/>
  <c r="Z45" i="1" s="1"/>
  <c r="Q46" i="1"/>
  <c r="Y46" i="1" s="1"/>
  <c r="Y47" i="1"/>
  <c r="Q6" i="1"/>
  <c r="Y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P5" i="1"/>
  <c r="O5" i="1"/>
  <c r="N5" i="1"/>
  <c r="M5" i="1"/>
  <c r="K5" i="1"/>
  <c r="F5" i="1"/>
  <c r="E5" i="1"/>
  <c r="Y8" i="1" l="1"/>
  <c r="AL29" i="1"/>
  <c r="Y29" i="1"/>
  <c r="AL27" i="1"/>
  <c r="Y27" i="1"/>
  <c r="AL17" i="1"/>
  <c r="Y17" i="1"/>
  <c r="Y7" i="1"/>
  <c r="Y23" i="1"/>
  <c r="Z44" i="1"/>
  <c r="Y44" i="1"/>
  <c r="AL40" i="1"/>
  <c r="Y40" i="1"/>
  <c r="Z32" i="1"/>
  <c r="Y32" i="1"/>
  <c r="AL28" i="1"/>
  <c r="Y28" i="1"/>
  <c r="Z26" i="1"/>
  <c r="Y26" i="1"/>
  <c r="Z22" i="1"/>
  <c r="Y22" i="1"/>
  <c r="AL20" i="1"/>
  <c r="Y20" i="1"/>
  <c r="AL16" i="1"/>
  <c r="Y16" i="1"/>
  <c r="Y11" i="1"/>
  <c r="Y33" i="1"/>
  <c r="Y39" i="1"/>
  <c r="Y45" i="1"/>
  <c r="S43" i="1"/>
  <c r="Z43" i="1"/>
  <c r="Z16" i="1"/>
  <c r="Z41" i="1"/>
  <c r="Z30" i="1"/>
  <c r="Z29" i="1"/>
  <c r="Z19" i="1"/>
  <c r="Z10" i="1"/>
  <c r="R24" i="1"/>
  <c r="R25" i="1"/>
  <c r="Z20" i="1"/>
  <c r="Z46" i="1"/>
  <c r="Z40" i="1"/>
  <c r="R38" i="1"/>
  <c r="S38" i="1" s="1"/>
  <c r="R31" i="1"/>
  <c r="Z28" i="1"/>
  <c r="R18" i="1"/>
  <c r="Z27" i="1"/>
  <c r="R9" i="1"/>
  <c r="L5" i="1"/>
  <c r="Z42" i="1"/>
  <c r="Z17" i="1"/>
  <c r="Z15" i="1"/>
  <c r="Z14" i="1"/>
  <c r="R21" i="1"/>
  <c r="Q5" i="1"/>
  <c r="Z13" i="1"/>
  <c r="Z37" i="1"/>
  <c r="Z12" i="1"/>
  <c r="R36" i="1"/>
  <c r="S36" i="1" s="1"/>
  <c r="R35" i="1"/>
  <c r="Z6" i="1"/>
  <c r="R34" i="1"/>
  <c r="S34" i="1" s="1"/>
  <c r="Z47" i="1"/>
  <c r="AL36" i="1" l="1"/>
  <c r="Y36" i="1"/>
  <c r="AL38" i="1"/>
  <c r="Y38" i="1"/>
  <c r="AL43" i="1"/>
  <c r="Y43" i="1"/>
  <c r="AL34" i="1"/>
  <c r="Y34" i="1"/>
  <c r="AL9" i="1"/>
  <c r="Y9" i="1"/>
  <c r="AL18" i="1"/>
  <c r="Y18" i="1"/>
  <c r="AL24" i="1"/>
  <c r="Y24" i="1"/>
  <c r="AL19" i="1"/>
  <c r="Y19" i="1"/>
  <c r="S35" i="1"/>
  <c r="S31" i="1"/>
  <c r="S21" i="1"/>
  <c r="S25" i="1"/>
  <c r="R5" i="1"/>
  <c r="AL25" i="1" l="1"/>
  <c r="Y25" i="1"/>
  <c r="AL31" i="1"/>
  <c r="Y31" i="1"/>
  <c r="AL21" i="1"/>
  <c r="Y21" i="1"/>
  <c r="AL35" i="1"/>
  <c r="Y35" i="1"/>
  <c r="S5" i="1"/>
  <c r="AL5" i="1" l="1"/>
</calcChain>
</file>

<file path=xl/sharedStrings.xml><?xml version="1.0" encoding="utf-8"?>
<sst xmlns="http://schemas.openxmlformats.org/spreadsheetml/2006/main" count="200" uniqueCount="105">
  <si>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</si>
  <si>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</si>
  <si>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</si>
  <si>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</si>
  <si>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</si>
  <si>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</si>
  <si>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</si>
  <si>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</si>
  <si>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</si>
  <si>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</si>
  <si>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</si>
  <si>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</si>
  <si>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</si>
  <si>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</si>
  <si>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</si>
  <si>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</si>
  <si>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</si>
  <si>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</si>
  <si>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</si>
  <si>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</si>
  <si>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</si>
  <si>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</si>
  <si>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</si>
  <si>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</si>
  <si>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</si>
  <si>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</si>
  <si>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</si>
  <si>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</si>
  <si>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</si>
  <si>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</si>
  <si>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</si>
  <si>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</si>
  <si>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</si>
  <si>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</si>
  <si>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</si>
  <si>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</si>
  <si>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</si>
  <si>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</si>
  <si>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</si>
  <si>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</si>
  <si>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</si>
  <si>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</si>
  <si>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</si>
  <si>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</si>
  <si>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</si>
  <si>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</si>
  <si>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</si>
  <si>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</si>
  <si>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</si>
  <si>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</si>
  <si>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</si>
  <si>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</si>
  <si>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</si>
  <si>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</si>
  <si>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</si>
  <si>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</si>
  <si>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</si>
  <si>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</si>
  <si>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</si>
  <si>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</si>
  <si>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нужно увеличить продажи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</si>
  <si>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</si>
  <si>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</si>
  <si>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</si>
  <si>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</si>
  <si>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</si>
  <si>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</si>
  <si>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</si>
  <si>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</si>
  <si>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</si>
  <si>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</si>
  <si>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</si>
  <si>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</si>
  <si>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</si>
  <si>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</si>
  <si>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</si>
  <si>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</si>
  <si>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</si>
  <si>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</si>
  <si>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</si>
  <si>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</si>
  <si>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</si>
  <si>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</si>
  <si>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</si>
  <si>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</si>
  <si>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</si>
  <si>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</si>
  <si>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</si>
  <si>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</si>
  <si>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</si>
  <si>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сети</t>
  </si>
  <si>
    <t>нужно увеличить продажи / 285шт в уценку (27,08,26)</t>
  </si>
  <si>
    <t>ТК</t>
  </si>
  <si>
    <t>Титенко</t>
  </si>
  <si>
    <t>260  со свежим ОСГ под сети</t>
  </si>
  <si>
    <t>380  со свежим ОСГ под сети</t>
  </si>
  <si>
    <t>150 со свежим ОСГ под сети</t>
  </si>
  <si>
    <t>200 со свежим ОСГ под сети</t>
  </si>
  <si>
    <t>филиал</t>
  </si>
  <si>
    <t>итого</t>
  </si>
  <si>
    <t>заказ</t>
  </si>
  <si>
    <t>05,10,</t>
  </si>
  <si>
    <t>итого1</t>
  </si>
  <si>
    <t>05,10,сети</t>
  </si>
  <si>
    <t>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</si>
</sst>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0,09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</v>
          </cell>
          <cell r="P4" t="str">
            <v>28,09,сети</v>
          </cell>
          <cell r="Q4" t="str">
            <v>30,09,</v>
          </cell>
        </row>
        <row r="5">
          <cell r="E5">
            <v>2415.982</v>
          </cell>
          <cell r="F5">
            <v>4132.2159999999994</v>
          </cell>
          <cell r="K5">
            <v>3446.7420000000002</v>
          </cell>
          <cell r="L5">
            <v>-1030.76</v>
          </cell>
          <cell r="M5">
            <v>0</v>
          </cell>
          <cell r="N5">
            <v>0</v>
          </cell>
          <cell r="O5">
            <v>3100</v>
          </cell>
          <cell r="P5">
            <v>656</v>
          </cell>
          <cell r="Q5">
            <v>483.19639999999998</v>
          </cell>
          <cell r="R5">
            <v>2839.3895999999995</v>
          </cell>
          <cell r="S5">
            <v>518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58</v>
          </cell>
          <cell r="E6">
            <v>3</v>
          </cell>
          <cell r="F6">
            <v>55</v>
          </cell>
          <cell r="G6">
            <v>5.5E-2</v>
          </cell>
          <cell r="H6">
            <v>120</v>
          </cell>
          <cell r="K6">
            <v>3</v>
          </cell>
          <cell r="L6">
            <v>0</v>
          </cell>
          <cell r="Q6">
            <v>0.6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59</v>
          </cell>
          <cell r="E7">
            <v>2</v>
          </cell>
          <cell r="F7">
            <v>57</v>
          </cell>
          <cell r="G7">
            <v>0.1</v>
          </cell>
          <cell r="H7">
            <v>120</v>
          </cell>
          <cell r="K7">
            <v>2</v>
          </cell>
          <cell r="L7">
            <v>0</v>
          </cell>
          <cell r="Q7">
            <v>0.4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9</v>
          </cell>
          <cell r="D8">
            <v>24</v>
          </cell>
          <cell r="E8">
            <v>9</v>
          </cell>
          <cell r="F8">
            <v>24</v>
          </cell>
          <cell r="G8">
            <v>0.1</v>
          </cell>
          <cell r="H8">
            <v>120</v>
          </cell>
          <cell r="K8">
            <v>14</v>
          </cell>
          <cell r="L8">
            <v>-5</v>
          </cell>
          <cell r="O8">
            <v>24</v>
          </cell>
          <cell r="Q8">
            <v>1.8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33.554000000000002</v>
          </cell>
          <cell r="D9">
            <v>53.302</v>
          </cell>
          <cell r="E9">
            <v>33.198</v>
          </cell>
          <cell r="F9">
            <v>46.033999999999999</v>
          </cell>
          <cell r="G9">
            <v>1</v>
          </cell>
          <cell r="H9">
            <v>120</v>
          </cell>
          <cell r="K9">
            <v>41.292000000000002</v>
          </cell>
          <cell r="L9">
            <v>-8.0940000000000012</v>
          </cell>
          <cell r="O9">
            <v>60</v>
          </cell>
          <cell r="Q9">
            <v>6.6395999999999997</v>
          </cell>
          <cell r="R9">
            <v>13.4788</v>
          </cell>
          <cell r="S9">
            <v>40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5</v>
          </cell>
          <cell r="L10">
            <v>-5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2</v>
          </cell>
          <cell r="L11">
            <v>-2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38.613999999999997</v>
          </cell>
          <cell r="E12">
            <v>6.2619999999999996</v>
          </cell>
          <cell r="F12">
            <v>29.026</v>
          </cell>
          <cell r="G12">
            <v>1</v>
          </cell>
          <cell r="H12">
            <v>180</v>
          </cell>
          <cell r="K12">
            <v>6.65</v>
          </cell>
          <cell r="L12">
            <v>-0.38800000000000079</v>
          </cell>
          <cell r="Q12">
            <v>1.2524</v>
          </cell>
          <cell r="S12">
            <v>8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96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52</v>
          </cell>
          <cell r="D14">
            <v>300</v>
          </cell>
          <cell r="E14">
            <v>53</v>
          </cell>
          <cell r="F14">
            <v>182</v>
          </cell>
          <cell r="G14">
            <v>0.372</v>
          </cell>
          <cell r="H14">
            <v>180</v>
          </cell>
          <cell r="I14" t="str">
            <v>сети</v>
          </cell>
          <cell r="K14">
            <v>193</v>
          </cell>
          <cell r="L14">
            <v>-140</v>
          </cell>
          <cell r="P14">
            <v>252</v>
          </cell>
          <cell r="Q14">
            <v>10.6</v>
          </cell>
          <cell r="S14">
            <v>90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187</v>
          </cell>
          <cell r="D15">
            <v>48</v>
          </cell>
          <cell r="E15">
            <v>27</v>
          </cell>
          <cell r="F15">
            <v>196</v>
          </cell>
          <cell r="G15">
            <v>0.74399999999999999</v>
          </cell>
          <cell r="H15">
            <v>180</v>
          </cell>
          <cell r="K15">
            <v>27</v>
          </cell>
          <cell r="L15">
            <v>0</v>
          </cell>
          <cell r="O15">
            <v>36</v>
          </cell>
          <cell r="Q15">
            <v>5.4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177</v>
          </cell>
          <cell r="D16">
            <v>456</v>
          </cell>
          <cell r="E16">
            <v>262</v>
          </cell>
          <cell r="F16">
            <v>336</v>
          </cell>
          <cell r="G16">
            <v>0.372</v>
          </cell>
          <cell r="H16">
            <v>180</v>
          </cell>
          <cell r="I16" t="str">
            <v>сети</v>
          </cell>
          <cell r="K16">
            <v>267</v>
          </cell>
          <cell r="L16">
            <v>-5</v>
          </cell>
          <cell r="P16">
            <v>204</v>
          </cell>
          <cell r="Q16">
            <v>52.4</v>
          </cell>
          <cell r="R16">
            <v>450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148</v>
          </cell>
          <cell r="D17">
            <v>48</v>
          </cell>
          <cell r="E17">
            <v>87</v>
          </cell>
          <cell r="F17">
            <v>90</v>
          </cell>
          <cell r="G17">
            <v>0.74399999999999999</v>
          </cell>
          <cell r="H17">
            <v>180</v>
          </cell>
          <cell r="K17">
            <v>97</v>
          </cell>
          <cell r="L17">
            <v>-10</v>
          </cell>
          <cell r="O17">
            <v>48</v>
          </cell>
          <cell r="Q17">
            <v>17.399999999999999</v>
          </cell>
          <cell r="R17">
            <v>175.2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39</v>
          </cell>
          <cell r="D18">
            <v>48</v>
          </cell>
          <cell r="E18">
            <v>33</v>
          </cell>
          <cell r="F18">
            <v>42</v>
          </cell>
          <cell r="G18">
            <v>0.18</v>
          </cell>
          <cell r="H18">
            <v>270</v>
          </cell>
          <cell r="K18">
            <v>35</v>
          </cell>
          <cell r="L18">
            <v>-2</v>
          </cell>
          <cell r="O18">
            <v>16</v>
          </cell>
          <cell r="Q18">
            <v>6.6</v>
          </cell>
          <cell r="R18">
            <v>60.8</v>
          </cell>
          <cell r="S18">
            <v>80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73</v>
          </cell>
          <cell r="D19">
            <v>16</v>
          </cell>
          <cell r="E19">
            <v>32</v>
          </cell>
          <cell r="F19">
            <v>39</v>
          </cell>
          <cell r="G19">
            <v>0.18</v>
          </cell>
          <cell r="H19">
            <v>270</v>
          </cell>
          <cell r="K19">
            <v>34</v>
          </cell>
          <cell r="L19">
            <v>-2</v>
          </cell>
          <cell r="O19">
            <v>16</v>
          </cell>
          <cell r="Q19">
            <v>6.4</v>
          </cell>
          <cell r="R19">
            <v>60.2</v>
          </cell>
          <cell r="S19">
            <v>80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160</v>
          </cell>
          <cell r="D20">
            <v>355</v>
          </cell>
          <cell r="E20">
            <v>237</v>
          </cell>
          <cell r="F20">
            <v>176</v>
          </cell>
          <cell r="G20">
            <v>0.18</v>
          </cell>
          <cell r="H20">
            <v>180</v>
          </cell>
          <cell r="K20">
            <v>264</v>
          </cell>
          <cell r="L20">
            <v>-27</v>
          </cell>
          <cell r="O20">
            <v>270</v>
          </cell>
          <cell r="Q20">
            <v>47.4</v>
          </cell>
          <cell r="R20">
            <v>407.19999999999993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95</v>
          </cell>
          <cell r="D21">
            <v>93</v>
          </cell>
          <cell r="E21">
            <v>114</v>
          </cell>
          <cell r="F21">
            <v>37</v>
          </cell>
          <cell r="G21">
            <v>0.18</v>
          </cell>
          <cell r="H21">
            <v>180</v>
          </cell>
          <cell r="K21">
            <v>134</v>
          </cell>
          <cell r="L21">
            <v>-20</v>
          </cell>
          <cell r="O21">
            <v>200</v>
          </cell>
          <cell r="Q21">
            <v>22.8</v>
          </cell>
          <cell r="R21">
            <v>173.40000000000003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G22">
            <v>0.4</v>
          </cell>
          <cell r="H22">
            <v>270</v>
          </cell>
          <cell r="K22">
            <v>11</v>
          </cell>
          <cell r="L22">
            <v>-11</v>
          </cell>
          <cell r="O22">
            <v>16</v>
          </cell>
          <cell r="Q22">
            <v>0</v>
          </cell>
          <cell r="R22">
            <v>16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33</v>
          </cell>
          <cell r="D23">
            <v>31</v>
          </cell>
          <cell r="E23">
            <v>7</v>
          </cell>
          <cell r="F23">
            <v>53</v>
          </cell>
          <cell r="G23">
            <v>0.4</v>
          </cell>
          <cell r="H23">
            <v>270</v>
          </cell>
          <cell r="K23">
            <v>10</v>
          </cell>
          <cell r="L23">
            <v>-3</v>
          </cell>
          <cell r="Q23">
            <v>1.4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87</v>
          </cell>
          <cell r="D24">
            <v>210</v>
          </cell>
          <cell r="E24">
            <v>79</v>
          </cell>
          <cell r="F24">
            <v>211</v>
          </cell>
          <cell r="G24">
            <v>0.18</v>
          </cell>
          <cell r="H24">
            <v>150</v>
          </cell>
          <cell r="K24">
            <v>83</v>
          </cell>
          <cell r="L24">
            <v>-4</v>
          </cell>
          <cell r="Q24">
            <v>15.8</v>
          </cell>
          <cell r="R24">
            <v>73.400000000000034</v>
          </cell>
          <cell r="S24">
            <v>100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296</v>
          </cell>
          <cell r="D25">
            <v>2</v>
          </cell>
          <cell r="E25">
            <v>131</v>
          </cell>
          <cell r="F25">
            <v>152</v>
          </cell>
          <cell r="G25">
            <v>0.1</v>
          </cell>
          <cell r="H25">
            <v>90</v>
          </cell>
          <cell r="K25">
            <v>138</v>
          </cell>
          <cell r="L25">
            <v>-7</v>
          </cell>
          <cell r="O25">
            <v>40</v>
          </cell>
          <cell r="Q25">
            <v>26.2</v>
          </cell>
          <cell r="R25">
            <v>201</v>
          </cell>
          <cell r="S25" t="str">
            <v>260  со свежим ОСГ под сети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227</v>
          </cell>
          <cell r="D26">
            <v>6</v>
          </cell>
          <cell r="E26">
            <v>84</v>
          </cell>
          <cell r="F26">
            <v>137</v>
          </cell>
          <cell r="G26">
            <v>0.1</v>
          </cell>
          <cell r="H26">
            <v>60</v>
          </cell>
          <cell r="K26">
            <v>109</v>
          </cell>
          <cell r="L26">
            <v>-25</v>
          </cell>
          <cell r="O26">
            <v>168</v>
          </cell>
          <cell r="Q26">
            <v>16.8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153</v>
          </cell>
          <cell r="D27">
            <v>3</v>
          </cell>
          <cell r="E27">
            <v>71</v>
          </cell>
          <cell r="F27">
            <v>73</v>
          </cell>
          <cell r="G27">
            <v>0.1</v>
          </cell>
          <cell r="H27">
            <v>90</v>
          </cell>
          <cell r="K27">
            <v>90</v>
          </cell>
          <cell r="L27">
            <v>-19</v>
          </cell>
          <cell r="O27">
            <v>152</v>
          </cell>
          <cell r="Q27">
            <v>14.2</v>
          </cell>
          <cell r="R27">
            <v>30.599999999999994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106</v>
          </cell>
          <cell r="D28">
            <v>20</v>
          </cell>
          <cell r="E28">
            <v>53</v>
          </cell>
          <cell r="F28">
            <v>63</v>
          </cell>
          <cell r="G28">
            <v>0.18</v>
          </cell>
          <cell r="H28">
            <v>150</v>
          </cell>
          <cell r="K28">
            <v>54</v>
          </cell>
          <cell r="L28">
            <v>-1</v>
          </cell>
          <cell r="Q28">
            <v>10.6</v>
          </cell>
          <cell r="R28">
            <v>127.79999999999998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475</v>
          </cell>
          <cell r="D29">
            <v>50</v>
          </cell>
          <cell r="E29">
            <v>270</v>
          </cell>
          <cell r="F29">
            <v>178</v>
          </cell>
          <cell r="G29">
            <v>0.18</v>
          </cell>
          <cell r="H29">
            <v>150</v>
          </cell>
          <cell r="K29">
            <v>270</v>
          </cell>
          <cell r="L29">
            <v>0</v>
          </cell>
          <cell r="O29">
            <v>450</v>
          </cell>
          <cell r="Q29">
            <v>54</v>
          </cell>
          <cell r="R29">
            <v>344</v>
          </cell>
          <cell r="S29" t="str">
            <v>380  со свежим ОСГ под сети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G30">
            <v>0.18</v>
          </cell>
          <cell r="H30">
            <v>150</v>
          </cell>
          <cell r="K30">
            <v>27</v>
          </cell>
          <cell r="L30">
            <v>-27</v>
          </cell>
          <cell r="O30">
            <v>40</v>
          </cell>
          <cell r="Q30">
            <v>0</v>
          </cell>
          <cell r="R30">
            <v>30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13</v>
          </cell>
          <cell r="E31">
            <v>12</v>
          </cell>
          <cell r="G31">
            <v>0.18</v>
          </cell>
          <cell r="H31">
            <v>150</v>
          </cell>
          <cell r="K31">
            <v>12</v>
          </cell>
          <cell r="L31">
            <v>0</v>
          </cell>
          <cell r="O31">
            <v>30</v>
          </cell>
          <cell r="Q31">
            <v>2.4</v>
          </cell>
          <cell r="R31">
            <v>13.199999999999996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316</v>
          </cell>
          <cell r="D32">
            <v>592</v>
          </cell>
          <cell r="E32">
            <v>224</v>
          </cell>
          <cell r="F32">
            <v>412</v>
          </cell>
          <cell r="G32">
            <v>0.18</v>
          </cell>
          <cell r="H32">
            <v>150</v>
          </cell>
          <cell r="K32">
            <v>492</v>
          </cell>
          <cell r="L32">
            <v>-268</v>
          </cell>
          <cell r="O32">
            <v>870</v>
          </cell>
          <cell r="Q32">
            <v>44.8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317</v>
          </cell>
          <cell r="D33">
            <v>144</v>
          </cell>
          <cell r="E33">
            <v>49</v>
          </cell>
          <cell r="F33">
            <v>255</v>
          </cell>
          <cell r="G33">
            <v>0.18</v>
          </cell>
          <cell r="H33">
            <v>150</v>
          </cell>
          <cell r="I33" t="str">
            <v>сети</v>
          </cell>
          <cell r="K33">
            <v>314</v>
          </cell>
          <cell r="L33">
            <v>-265</v>
          </cell>
          <cell r="P33">
            <v>200</v>
          </cell>
          <cell r="Q33">
            <v>9.8000000000000007</v>
          </cell>
          <cell r="S33" t="str">
            <v>150 со свежим ОСГ под сети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69</v>
          </cell>
          <cell r="D34">
            <v>16</v>
          </cell>
          <cell r="E34">
            <v>35</v>
          </cell>
          <cell r="F34">
            <v>35</v>
          </cell>
          <cell r="G34">
            <v>0.14000000000000001</v>
          </cell>
          <cell r="H34">
            <v>180</v>
          </cell>
          <cell r="K34">
            <v>37</v>
          </cell>
          <cell r="L34">
            <v>-2</v>
          </cell>
          <cell r="Q34">
            <v>7</v>
          </cell>
          <cell r="R34">
            <v>91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68</v>
          </cell>
          <cell r="D35">
            <v>64</v>
          </cell>
          <cell r="E35">
            <v>42</v>
          </cell>
          <cell r="F35">
            <v>72</v>
          </cell>
          <cell r="G35">
            <v>0.18</v>
          </cell>
          <cell r="H35">
            <v>270</v>
          </cell>
          <cell r="K35">
            <v>50</v>
          </cell>
          <cell r="L35">
            <v>-8</v>
          </cell>
          <cell r="Q35">
            <v>8.4</v>
          </cell>
          <cell r="R35">
            <v>79.200000000000017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33.450000000000003</v>
          </cell>
          <cell r="D36">
            <v>15.93</v>
          </cell>
          <cell r="E36">
            <v>26.826000000000001</v>
          </cell>
          <cell r="F36">
            <v>22.553999999999998</v>
          </cell>
          <cell r="G36">
            <v>1</v>
          </cell>
          <cell r="H36">
            <v>180</v>
          </cell>
          <cell r="K36">
            <v>29</v>
          </cell>
          <cell r="L36">
            <v>-2.1739999999999995</v>
          </cell>
          <cell r="O36">
            <v>16</v>
          </cell>
          <cell r="Q36">
            <v>5.3651999999999997</v>
          </cell>
          <cell r="R36">
            <v>58.019599999999997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16.61</v>
          </cell>
          <cell r="D37">
            <v>3.5779999999999998</v>
          </cell>
          <cell r="E37">
            <v>3.04</v>
          </cell>
          <cell r="F37">
            <v>9.9920000000000009</v>
          </cell>
          <cell r="G37">
            <v>1</v>
          </cell>
          <cell r="H37">
            <v>180</v>
          </cell>
          <cell r="K37">
            <v>10</v>
          </cell>
          <cell r="L37">
            <v>-6.96</v>
          </cell>
          <cell r="O37">
            <v>33</v>
          </cell>
          <cell r="Q37">
            <v>0.60799999999999998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48.997999999999998</v>
          </cell>
          <cell r="E38">
            <v>18.802</v>
          </cell>
          <cell r="F38">
            <v>30.196000000000002</v>
          </cell>
          <cell r="G38">
            <v>1</v>
          </cell>
          <cell r="H38">
            <v>180</v>
          </cell>
          <cell r="K38">
            <v>20.9</v>
          </cell>
          <cell r="L38">
            <v>-2.097999999999999</v>
          </cell>
          <cell r="O38">
            <v>16</v>
          </cell>
          <cell r="Q38">
            <v>3.7603999999999997</v>
          </cell>
          <cell r="R38">
            <v>21.491199999999989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98.447999999999993</v>
          </cell>
          <cell r="E39">
            <v>6.3460000000000001</v>
          </cell>
          <cell r="F39">
            <v>86.373999999999995</v>
          </cell>
          <cell r="G39">
            <v>1</v>
          </cell>
          <cell r="H39">
            <v>180</v>
          </cell>
          <cell r="K39">
            <v>6</v>
          </cell>
          <cell r="L39">
            <v>0.34600000000000009</v>
          </cell>
          <cell r="Q39">
            <v>1.2692000000000001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372</v>
          </cell>
          <cell r="D40">
            <v>250</v>
          </cell>
          <cell r="E40">
            <v>192</v>
          </cell>
          <cell r="F40">
            <v>377</v>
          </cell>
          <cell r="G40">
            <v>0.1</v>
          </cell>
          <cell r="H40">
            <v>60</v>
          </cell>
          <cell r="K40">
            <v>226</v>
          </cell>
          <cell r="L40">
            <v>-34</v>
          </cell>
          <cell r="O40">
            <v>12</v>
          </cell>
          <cell r="Q40">
            <v>38.4</v>
          </cell>
          <cell r="R40">
            <v>302.19999999999993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123</v>
          </cell>
          <cell r="D41">
            <v>330</v>
          </cell>
          <cell r="E41">
            <v>115</v>
          </cell>
          <cell r="F41">
            <v>258</v>
          </cell>
          <cell r="G41">
            <v>0.1</v>
          </cell>
          <cell r="H41">
            <v>90</v>
          </cell>
          <cell r="K41">
            <v>228</v>
          </cell>
          <cell r="L41">
            <v>-113</v>
          </cell>
          <cell r="O41">
            <v>450</v>
          </cell>
          <cell r="Q41">
            <v>23</v>
          </cell>
          <cell r="S41" t="str">
            <v>200 со свежим ОСГ под сети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8.1560000000000006</v>
          </cell>
          <cell r="E42">
            <v>2.3119999999999998</v>
          </cell>
          <cell r="F42">
            <v>5.8440000000000003</v>
          </cell>
          <cell r="G42">
            <v>1</v>
          </cell>
          <cell r="K42">
            <v>2.9</v>
          </cell>
          <cell r="L42">
            <v>-0.58800000000000008</v>
          </cell>
          <cell r="O42">
            <v>12</v>
          </cell>
          <cell r="Q42">
            <v>0.46239999999999998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143</v>
          </cell>
          <cell r="D43">
            <v>32</v>
          </cell>
          <cell r="E43">
            <v>52</v>
          </cell>
          <cell r="F43">
            <v>100</v>
          </cell>
          <cell r="G43">
            <v>0.14000000000000001</v>
          </cell>
          <cell r="H43">
            <v>180</v>
          </cell>
          <cell r="K43">
            <v>54</v>
          </cell>
          <cell r="L43">
            <v>-2</v>
          </cell>
          <cell r="Q43">
            <v>10.4</v>
          </cell>
          <cell r="R43">
            <v>87.200000000000017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40</v>
          </cell>
          <cell r="D44">
            <v>60</v>
          </cell>
          <cell r="E44">
            <v>22</v>
          </cell>
          <cell r="F44">
            <v>76</v>
          </cell>
          <cell r="G44">
            <v>0.2</v>
          </cell>
          <cell r="H44">
            <v>120</v>
          </cell>
          <cell r="K44">
            <v>22</v>
          </cell>
          <cell r="L44">
            <v>0</v>
          </cell>
          <cell r="O44">
            <v>30</v>
          </cell>
          <cell r="Q44">
            <v>4.4000000000000004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-1.8</v>
          </cell>
          <cell r="F45">
            <v>-1.8</v>
          </cell>
          <cell r="G45">
            <v>1</v>
          </cell>
          <cell r="H45">
            <v>120</v>
          </cell>
          <cell r="L45">
            <v>0</v>
          </cell>
          <cell r="O45">
            <v>30</v>
          </cell>
          <cell r="Q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5</v>
          </cell>
          <cell r="D46">
            <v>90</v>
          </cell>
          <cell r="E46">
            <v>15</v>
          </cell>
          <cell r="F46">
            <v>78</v>
          </cell>
          <cell r="G46">
            <v>0.2</v>
          </cell>
          <cell r="H46">
            <v>120</v>
          </cell>
          <cell r="K46">
            <v>19</v>
          </cell>
          <cell r="L46">
            <v>-4</v>
          </cell>
          <cell r="O46">
            <v>20</v>
          </cell>
          <cell r="Q46">
            <v>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7.1959999999999997</v>
          </cell>
          <cell r="D47">
            <v>59.38</v>
          </cell>
          <cell r="E47">
            <v>7.1959999999999997</v>
          </cell>
          <cell r="F47">
            <v>51.996000000000002</v>
          </cell>
          <cell r="G47">
            <v>1</v>
          </cell>
          <cell r="H47">
            <v>120</v>
          </cell>
          <cell r="K47">
            <v>7</v>
          </cell>
          <cell r="L47">
            <v>0.19599999999999973</v>
          </cell>
          <cell r="O47">
            <v>45</v>
          </cell>
          <cell r="Q47">
            <v>1.4392</v>
          </cell>
          <cell r="S4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5" sqref="U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7109375" customWidth="1"/>
    <col min="15" max="24" width="7" customWidth="1"/>
    <col min="25" max="26" width="5" customWidth="1"/>
    <col min="27" max="36" width="6" customWidth="1"/>
    <col min="37" max="37" width="32" customWidth="1"/>
    <col min="38" max="39" width="7" customWidth="1"/>
    <col min="40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102</v>
      </c>
      <c r="T3" s="3" t="s">
        <v>100</v>
      </c>
      <c r="U3" s="3" t="s">
        <v>99</v>
      </c>
      <c r="V3" s="3" t="s">
        <v>100</v>
      </c>
      <c r="W3" s="3" t="s">
        <v>92</v>
      </c>
      <c r="X3" s="3" t="s">
        <v>92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98</v>
      </c>
      <c r="T4" s="1" t="s">
        <v>101</v>
      </c>
      <c r="U4" s="1" t="s">
        <v>90</v>
      </c>
      <c r="V4" s="1" t="s">
        <v>103</v>
      </c>
      <c r="W4" s="1" t="s">
        <v>93</v>
      </c>
      <c r="X4" s="1" t="s">
        <v>90</v>
      </c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98</v>
      </c>
      <c r="AM4" s="1" t="s">
        <v>90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2415.982</v>
      </c>
      <c r="F5" s="4">
        <f>SUM(F6:F500)</f>
        <v>4132.2159999999994</v>
      </c>
      <c r="G5" s="7"/>
      <c r="H5" s="1"/>
      <c r="I5" s="1"/>
      <c r="J5" s="1"/>
      <c r="K5" s="4">
        <f t="shared" ref="K5:X5" si="0">SUM(K6:K500)</f>
        <v>3446.7420000000002</v>
      </c>
      <c r="L5" s="4">
        <f t="shared" si="0"/>
        <v>-1030.76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483.19639999999998</v>
      </c>
      <c r="R5" s="4">
        <f t="shared" si="0"/>
        <v>2839.3895999999995</v>
      </c>
      <c r="S5" s="4">
        <f t="shared" si="0"/>
        <v>3069.5107999999991</v>
      </c>
      <c r="T5" s="4">
        <f t="shared" si="0"/>
        <v>3065</v>
      </c>
      <c r="U5" s="4">
        <f t="shared" si="0"/>
        <v>990</v>
      </c>
      <c r="V5" s="4">
        <f t="shared" si="0"/>
        <v>984</v>
      </c>
      <c r="W5" s="4">
        <f t="shared" si="0"/>
        <v>518</v>
      </c>
      <c r="X5" s="4">
        <f t="shared" si="0"/>
        <v>0</v>
      </c>
      <c r="Y5" s="1"/>
      <c r="Z5" s="1"/>
      <c r="AA5" s="4">
        <f t="shared" ref="AA5:AJ5" si="1">SUM(AA6:AA500)</f>
        <v>491.88599999999991</v>
      </c>
      <c r="AB5" s="4">
        <f t="shared" si="1"/>
        <v>558.01999999999987</v>
      </c>
      <c r="AC5" s="4">
        <f t="shared" si="1"/>
        <v>559.98599999999999</v>
      </c>
      <c r="AD5" s="4">
        <f t="shared" si="1"/>
        <v>430.42060000000004</v>
      </c>
      <c r="AE5" s="4">
        <f t="shared" si="1"/>
        <v>432.49839999999995</v>
      </c>
      <c r="AF5" s="4">
        <f t="shared" si="1"/>
        <v>540.87959999999975</v>
      </c>
      <c r="AG5" s="4">
        <f t="shared" si="1"/>
        <v>359.47259999999989</v>
      </c>
      <c r="AH5" s="4">
        <f t="shared" si="1"/>
        <v>466.03420000000006</v>
      </c>
      <c r="AI5" s="4">
        <f t="shared" si="1"/>
        <v>440.05199999999996</v>
      </c>
      <c r="AJ5" s="4">
        <f t="shared" si="1"/>
        <v>293.5243999999999</v>
      </c>
      <c r="AK5" s="1"/>
      <c r="AL5" s="4">
        <f>SUM(AL6:AL500)</f>
        <v>838.37159999999972</v>
      </c>
      <c r="AM5" s="4">
        <f>SUM(AM6:AM500)</f>
        <v>141.39999999999998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58</v>
      </c>
      <c r="D6" s="1"/>
      <c r="E6" s="1">
        <v>3</v>
      </c>
      <c r="F6" s="1">
        <v>55</v>
      </c>
      <c r="G6" s="7">
        <v>5.5E-2</v>
      </c>
      <c r="H6" s="1">
        <v>120</v>
      </c>
      <c r="I6" s="1"/>
      <c r="J6" s="1"/>
      <c r="K6" s="1">
        <v>3</v>
      </c>
      <c r="L6" s="1">
        <f t="shared" ref="L6:L47" si="2">E6-K6</f>
        <v>0</v>
      </c>
      <c r="M6" s="1"/>
      <c r="N6" s="1"/>
      <c r="O6" s="1"/>
      <c r="P6" s="1"/>
      <c r="Q6" s="1">
        <f>E6/5</f>
        <v>0.6</v>
      </c>
      <c r="R6" s="5"/>
      <c r="S6" s="5">
        <f>R6</f>
        <v>0</v>
      </c>
      <c r="T6" s="5"/>
      <c r="U6" s="5"/>
      <c r="V6" s="5"/>
      <c r="W6" s="14"/>
      <c r="X6" s="14"/>
      <c r="Y6" s="1">
        <f>(F6+O6+S6)/Q6</f>
        <v>91.666666666666671</v>
      </c>
      <c r="Z6" s="1">
        <f>(F6+O6)/Q6</f>
        <v>91.666666666666671</v>
      </c>
      <c r="AA6" s="1">
        <v>1.4</v>
      </c>
      <c r="AB6" s="1">
        <v>1</v>
      </c>
      <c r="AC6" s="1">
        <v>0.8</v>
      </c>
      <c r="AD6" s="1">
        <v>3.6</v>
      </c>
      <c r="AE6" s="1">
        <v>3.2</v>
      </c>
      <c r="AF6" s="1">
        <v>3.2</v>
      </c>
      <c r="AG6" s="1">
        <v>0</v>
      </c>
      <c r="AH6" s="1">
        <v>6.4</v>
      </c>
      <c r="AI6" s="1">
        <v>3.2</v>
      </c>
      <c r="AJ6" s="1">
        <v>0</v>
      </c>
      <c r="AK6" s="12" t="s">
        <v>37</v>
      </c>
      <c r="AL6" s="1">
        <f>G6*S6</f>
        <v>0</v>
      </c>
      <c r="AM6" s="1">
        <f>G6*U6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59</v>
      </c>
      <c r="D7" s="1"/>
      <c r="E7" s="1">
        <v>2</v>
      </c>
      <c r="F7" s="1">
        <v>57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ref="Q7:Q47" si="3">E7/5</f>
        <v>0.4</v>
      </c>
      <c r="R7" s="5"/>
      <c r="S7" s="5">
        <f t="shared" ref="S7:S46" si="4">R7</f>
        <v>0</v>
      </c>
      <c r="T7" s="5"/>
      <c r="U7" s="5"/>
      <c r="V7" s="5"/>
      <c r="W7" s="14"/>
      <c r="X7" s="14"/>
      <c r="Y7" s="1">
        <f t="shared" ref="Y7:Y47" si="5">(F7+O7+S7)/Q7</f>
        <v>142.5</v>
      </c>
      <c r="Z7" s="1">
        <f t="shared" ref="Z7:Z47" si="6">(F7+O7)/Q7</f>
        <v>142.5</v>
      </c>
      <c r="AA7" s="1">
        <v>2</v>
      </c>
      <c r="AB7" s="1">
        <v>3.2</v>
      </c>
      <c r="AC7" s="1">
        <v>1.4</v>
      </c>
      <c r="AD7" s="1">
        <v>2</v>
      </c>
      <c r="AE7" s="1">
        <v>6</v>
      </c>
      <c r="AF7" s="1">
        <v>2.6</v>
      </c>
      <c r="AG7" s="1">
        <v>1</v>
      </c>
      <c r="AH7" s="1">
        <v>6</v>
      </c>
      <c r="AI7" s="1">
        <v>3</v>
      </c>
      <c r="AJ7" s="1">
        <v>0</v>
      </c>
      <c r="AK7" s="12" t="s">
        <v>37</v>
      </c>
      <c r="AL7" s="1">
        <f t="shared" ref="AL7:AL47" si="7">G7*S7</f>
        <v>0</v>
      </c>
      <c r="AM7" s="1">
        <f t="shared" ref="AM7:AM47" si="8">G7*U7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0" t="s">
        <v>39</v>
      </c>
      <c r="B8" s="1" t="s">
        <v>36</v>
      </c>
      <c r="C8" s="1">
        <v>9</v>
      </c>
      <c r="D8" s="1">
        <v>24</v>
      </c>
      <c r="E8" s="1">
        <v>9</v>
      </c>
      <c r="F8" s="1">
        <v>24</v>
      </c>
      <c r="G8" s="7">
        <v>0.1</v>
      </c>
      <c r="H8" s="1">
        <v>120</v>
      </c>
      <c r="I8" s="1"/>
      <c r="J8" s="1"/>
      <c r="K8" s="1">
        <v>14</v>
      </c>
      <c r="L8" s="1">
        <f t="shared" si="2"/>
        <v>-5</v>
      </c>
      <c r="M8" s="1"/>
      <c r="N8" s="1"/>
      <c r="O8" s="1">
        <v>24</v>
      </c>
      <c r="P8" s="1"/>
      <c r="Q8" s="1">
        <f t="shared" si="3"/>
        <v>1.8</v>
      </c>
      <c r="R8" s="5"/>
      <c r="S8" s="5">
        <f t="shared" si="4"/>
        <v>0</v>
      </c>
      <c r="T8" s="5"/>
      <c r="U8" s="5"/>
      <c r="V8" s="5"/>
      <c r="W8" s="14"/>
      <c r="X8" s="14"/>
      <c r="Y8" s="1">
        <f t="shared" si="5"/>
        <v>26.666666666666664</v>
      </c>
      <c r="Z8" s="1">
        <f t="shared" si="6"/>
        <v>26.666666666666664</v>
      </c>
      <c r="AA8" s="1">
        <v>3</v>
      </c>
      <c r="AB8" s="1">
        <v>2.4</v>
      </c>
      <c r="AC8" s="1">
        <v>2.2000000000000002</v>
      </c>
      <c r="AD8" s="1">
        <v>1.2</v>
      </c>
      <c r="AE8" s="1">
        <v>3.2</v>
      </c>
      <c r="AF8" s="1">
        <v>1.4</v>
      </c>
      <c r="AG8" s="1">
        <v>3</v>
      </c>
      <c r="AH8" s="1">
        <v>2.2000000000000002</v>
      </c>
      <c r="AI8" s="1">
        <v>2.4</v>
      </c>
      <c r="AJ8" s="1">
        <v>0</v>
      </c>
      <c r="AK8" s="1"/>
      <c r="AL8" s="1">
        <f t="shared" si="7"/>
        <v>0</v>
      </c>
      <c r="AM8" s="1">
        <f t="shared" si="8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0" t="s">
        <v>40</v>
      </c>
      <c r="B9" s="1" t="s">
        <v>41</v>
      </c>
      <c r="C9" s="1">
        <v>33.554000000000002</v>
      </c>
      <c r="D9" s="1">
        <v>53.302</v>
      </c>
      <c r="E9" s="1">
        <v>33.198</v>
      </c>
      <c r="F9" s="1">
        <v>46.033999999999999</v>
      </c>
      <c r="G9" s="7">
        <v>1</v>
      </c>
      <c r="H9" s="1">
        <v>120</v>
      </c>
      <c r="I9" s="1"/>
      <c r="J9" s="1"/>
      <c r="K9" s="1">
        <v>41.292000000000002</v>
      </c>
      <c r="L9" s="1">
        <f t="shared" si="2"/>
        <v>-8.0940000000000012</v>
      </c>
      <c r="M9" s="1"/>
      <c r="N9" s="1"/>
      <c r="O9" s="1">
        <v>60</v>
      </c>
      <c r="P9" s="1"/>
      <c r="Q9" s="1">
        <f t="shared" si="3"/>
        <v>6.6395999999999997</v>
      </c>
      <c r="R9" s="5">
        <f t="shared" ref="R9:R43" si="9">18*Q9-O9-F9</f>
        <v>13.4788</v>
      </c>
      <c r="S9" s="5">
        <f>W9</f>
        <v>40</v>
      </c>
      <c r="T9" s="5">
        <f>VLOOKUP(A9,филиал!A:B,2,0)</f>
        <v>40</v>
      </c>
      <c r="U9" s="5"/>
      <c r="V9" s="5"/>
      <c r="W9" s="14">
        <f>VLOOKUP(A9,[1]Sheet!$A:$S,19,0)</f>
        <v>40</v>
      </c>
      <c r="X9" s="14"/>
      <c r="Y9" s="1">
        <f t="shared" si="5"/>
        <v>21.994397252846557</v>
      </c>
      <c r="Z9" s="1">
        <f t="shared" si="6"/>
        <v>15.969937948069161</v>
      </c>
      <c r="AA9" s="1">
        <v>8.668000000000001</v>
      </c>
      <c r="AB9" s="1">
        <v>7.4079999999999986</v>
      </c>
      <c r="AC9" s="1">
        <v>6.5135999999999994</v>
      </c>
      <c r="AD9" s="1">
        <v>8.3613999999999997</v>
      </c>
      <c r="AE9" s="1">
        <v>5.9184000000000001</v>
      </c>
      <c r="AF9" s="1">
        <v>5.1240000000000014</v>
      </c>
      <c r="AG9" s="1">
        <v>2.4895999999999998</v>
      </c>
      <c r="AH9" s="1">
        <v>4.2826000000000004</v>
      </c>
      <c r="AI9" s="1">
        <v>8.3127999999999993</v>
      </c>
      <c r="AJ9" s="1">
        <v>1.8976</v>
      </c>
      <c r="AK9" s="1"/>
      <c r="AL9" s="1">
        <f t="shared" si="7"/>
        <v>40</v>
      </c>
      <c r="AM9" s="1">
        <f t="shared" si="8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0" t="s">
        <v>42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-5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5">
        <f t="shared" si="4"/>
        <v>12</v>
      </c>
      <c r="T10" s="15">
        <v>0</v>
      </c>
      <c r="U10" s="5"/>
      <c r="V10" s="5"/>
      <c r="W10" s="14"/>
      <c r="X10" s="14"/>
      <c r="Y10" s="1" t="e">
        <f t="shared" si="5"/>
        <v>#DIV/0!</v>
      </c>
      <c r="Z10" s="1" t="e">
        <f t="shared" si="6"/>
        <v>#DIV/0!</v>
      </c>
      <c r="AA10" s="1">
        <v>-0.2</v>
      </c>
      <c r="AB10" s="1">
        <v>0</v>
      </c>
      <c r="AC10" s="1">
        <v>-0.4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</v>
      </c>
      <c r="AJ10" s="1">
        <v>0</v>
      </c>
      <c r="AK10" s="1" t="s">
        <v>104</v>
      </c>
      <c r="AL10" s="1">
        <f t="shared" si="7"/>
        <v>2.16</v>
      </c>
      <c r="AM10" s="1">
        <f t="shared" si="8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0" t="s">
        <v>43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5">
        <f t="shared" si="4"/>
        <v>12</v>
      </c>
      <c r="T11" s="15">
        <v>0</v>
      </c>
      <c r="U11" s="5"/>
      <c r="V11" s="5"/>
      <c r="W11" s="14"/>
      <c r="X11" s="14"/>
      <c r="Y11" s="1" t="e">
        <f t="shared" si="5"/>
        <v>#DIV/0!</v>
      </c>
      <c r="Z11" s="1" t="e">
        <f t="shared" si="6"/>
        <v>#DIV/0!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</v>
      </c>
      <c r="AJ11" s="1">
        <v>0</v>
      </c>
      <c r="AK11" s="1" t="s">
        <v>104</v>
      </c>
      <c r="AL11" s="1">
        <f t="shared" si="7"/>
        <v>2.16</v>
      </c>
      <c r="AM11" s="1">
        <f t="shared" si="8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0" t="s">
        <v>44</v>
      </c>
      <c r="B12" s="1" t="s">
        <v>41</v>
      </c>
      <c r="C12" s="1">
        <v>38.613999999999997</v>
      </c>
      <c r="D12" s="1"/>
      <c r="E12" s="1">
        <v>6.2619999999999996</v>
      </c>
      <c r="F12" s="1">
        <v>29.026</v>
      </c>
      <c r="G12" s="7">
        <v>1</v>
      </c>
      <c r="H12" s="1">
        <v>180</v>
      </c>
      <c r="I12" s="1"/>
      <c r="J12" s="1"/>
      <c r="K12" s="1">
        <v>6.65</v>
      </c>
      <c r="L12" s="1">
        <f t="shared" si="2"/>
        <v>-0.38800000000000079</v>
      </c>
      <c r="M12" s="1"/>
      <c r="N12" s="1"/>
      <c r="O12" s="1"/>
      <c r="P12" s="1"/>
      <c r="Q12" s="1">
        <f t="shared" si="3"/>
        <v>1.2524</v>
      </c>
      <c r="R12" s="5"/>
      <c r="S12" s="5">
        <f>W12</f>
        <v>8</v>
      </c>
      <c r="T12" s="5">
        <f>VLOOKUP(A12,филиал!A:B,2,0)</f>
        <v>16</v>
      </c>
      <c r="U12" s="5"/>
      <c r="V12" s="5"/>
      <c r="W12" s="14">
        <f>VLOOKUP(A12,[1]Sheet!$A:$S,19,0)</f>
        <v>8</v>
      </c>
      <c r="X12" s="14"/>
      <c r="Y12" s="1">
        <f t="shared" si="5"/>
        <v>29.564037048866176</v>
      </c>
      <c r="Z12" s="1">
        <f t="shared" si="6"/>
        <v>23.176301501117855</v>
      </c>
      <c r="AA12" s="1">
        <v>2.61</v>
      </c>
      <c r="AB12" s="1">
        <v>2.4996</v>
      </c>
      <c r="AC12" s="1">
        <v>3.8992</v>
      </c>
      <c r="AD12" s="1">
        <v>1.3051999999999999</v>
      </c>
      <c r="AE12" s="1">
        <v>0.63680000000000003</v>
      </c>
      <c r="AF12" s="1">
        <v>1.2988</v>
      </c>
      <c r="AG12" s="1">
        <v>1.2927999999999999</v>
      </c>
      <c r="AH12" s="1">
        <v>0.72399999999999998</v>
      </c>
      <c r="AI12" s="1">
        <v>1.9139999999999999</v>
      </c>
      <c r="AJ12" s="1">
        <v>0.628</v>
      </c>
      <c r="AK12" s="1"/>
      <c r="AL12" s="1">
        <f t="shared" si="7"/>
        <v>8</v>
      </c>
      <c r="AM12" s="1">
        <f t="shared" si="8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0" t="s">
        <v>45</v>
      </c>
      <c r="B13" s="1" t="s">
        <v>36</v>
      </c>
      <c r="C13" s="1">
        <v>96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5"/>
      <c r="S13" s="5">
        <f t="shared" si="4"/>
        <v>0</v>
      </c>
      <c r="T13" s="5"/>
      <c r="U13" s="5"/>
      <c r="V13" s="5"/>
      <c r="W13" s="14"/>
      <c r="X13" s="14"/>
      <c r="Y13" s="1" t="e">
        <f t="shared" si="5"/>
        <v>#DIV/0!</v>
      </c>
      <c r="Z13" s="1" t="e">
        <f t="shared" si="6"/>
        <v>#DIV/0!</v>
      </c>
      <c r="AA13" s="1">
        <v>0</v>
      </c>
      <c r="AB13" s="1">
        <v>0.8</v>
      </c>
      <c r="AC13" s="1">
        <v>1.4</v>
      </c>
      <c r="AD13" s="1">
        <v>0</v>
      </c>
      <c r="AE13" s="1">
        <v>0.4</v>
      </c>
      <c r="AF13" s="1">
        <v>0</v>
      </c>
      <c r="AG13" s="1">
        <v>0</v>
      </c>
      <c r="AH13" s="1">
        <v>0</v>
      </c>
      <c r="AI13" s="1">
        <v>0.6</v>
      </c>
      <c r="AJ13" s="1">
        <v>0</v>
      </c>
      <c r="AK13" s="12" t="s">
        <v>37</v>
      </c>
      <c r="AL13" s="1">
        <f t="shared" si="7"/>
        <v>0</v>
      </c>
      <c r="AM13" s="1">
        <f t="shared" si="8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0" t="s">
        <v>46</v>
      </c>
      <c r="B14" s="1" t="s">
        <v>36</v>
      </c>
      <c r="C14" s="1">
        <v>52</v>
      </c>
      <c r="D14" s="1">
        <v>300</v>
      </c>
      <c r="E14" s="1">
        <v>53</v>
      </c>
      <c r="F14" s="1">
        <v>182</v>
      </c>
      <c r="G14" s="7">
        <v>0.372</v>
      </c>
      <c r="H14" s="1">
        <v>180</v>
      </c>
      <c r="I14" s="9" t="s">
        <v>90</v>
      </c>
      <c r="J14" s="1"/>
      <c r="K14" s="1">
        <v>193</v>
      </c>
      <c r="L14" s="1">
        <f t="shared" si="2"/>
        <v>-140</v>
      </c>
      <c r="M14" s="1"/>
      <c r="N14" s="1"/>
      <c r="O14" s="1"/>
      <c r="P14" s="1">
        <v>252</v>
      </c>
      <c r="Q14" s="1">
        <f t="shared" si="3"/>
        <v>10.6</v>
      </c>
      <c r="R14" s="5"/>
      <c r="S14" s="5">
        <f t="shared" ref="S14" si="10">W14</f>
        <v>90</v>
      </c>
      <c r="T14" s="5">
        <f>VLOOKUP(A14,филиал!A:B,2,0)</f>
        <v>96</v>
      </c>
      <c r="U14" s="5"/>
      <c r="V14" s="5"/>
      <c r="W14" s="14">
        <f>VLOOKUP(A14,[1]Sheet!$A:$S,19,0)</f>
        <v>90</v>
      </c>
      <c r="X14" s="14"/>
      <c r="Y14" s="1">
        <f t="shared" si="5"/>
        <v>25.660377358490567</v>
      </c>
      <c r="Z14" s="1">
        <f t="shared" si="6"/>
        <v>17.169811320754718</v>
      </c>
      <c r="AA14" s="1">
        <v>17.600000000000001</v>
      </c>
      <c r="AB14" s="1">
        <v>32.4</v>
      </c>
      <c r="AC14" s="1">
        <v>18.600000000000001</v>
      </c>
      <c r="AD14" s="1">
        <v>7.6</v>
      </c>
      <c r="AE14" s="1">
        <v>2.4</v>
      </c>
      <c r="AF14" s="1">
        <v>9.8000000000000007</v>
      </c>
      <c r="AG14" s="1">
        <v>16.2</v>
      </c>
      <c r="AH14" s="1">
        <v>15.2</v>
      </c>
      <c r="AI14" s="1">
        <v>4.5999999999999996</v>
      </c>
      <c r="AJ14" s="1">
        <v>5</v>
      </c>
      <c r="AK14" s="1"/>
      <c r="AL14" s="1">
        <f t="shared" si="7"/>
        <v>33.479999999999997</v>
      </c>
      <c r="AM14" s="1">
        <f t="shared" si="8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0" t="s">
        <v>47</v>
      </c>
      <c r="B15" s="1" t="s">
        <v>36</v>
      </c>
      <c r="C15" s="1">
        <v>187</v>
      </c>
      <c r="D15" s="1">
        <v>48</v>
      </c>
      <c r="E15" s="1">
        <v>27</v>
      </c>
      <c r="F15" s="1">
        <v>196</v>
      </c>
      <c r="G15" s="7">
        <v>0.74399999999999999</v>
      </c>
      <c r="H15" s="1">
        <v>180</v>
      </c>
      <c r="I15" s="1"/>
      <c r="J15" s="1"/>
      <c r="K15" s="1">
        <v>27</v>
      </c>
      <c r="L15" s="1">
        <f t="shared" si="2"/>
        <v>0</v>
      </c>
      <c r="M15" s="1"/>
      <c r="N15" s="1"/>
      <c r="O15" s="1">
        <v>36</v>
      </c>
      <c r="P15" s="1"/>
      <c r="Q15" s="1">
        <f t="shared" si="3"/>
        <v>5.4</v>
      </c>
      <c r="R15" s="5"/>
      <c r="S15" s="5">
        <v>30</v>
      </c>
      <c r="T15" s="5">
        <f>VLOOKUP(A15,филиал!A:B,2,0)</f>
        <v>24</v>
      </c>
      <c r="U15" s="5"/>
      <c r="V15" s="5"/>
      <c r="W15" s="14">
        <f>VLOOKUP(A15,[1]Sheet!$A:$S,19,0)</f>
        <v>70</v>
      </c>
      <c r="X15" s="14"/>
      <c r="Y15" s="1">
        <f t="shared" si="5"/>
        <v>48.518518518518512</v>
      </c>
      <c r="Z15" s="1">
        <f t="shared" si="6"/>
        <v>42.962962962962962</v>
      </c>
      <c r="AA15" s="1">
        <v>2.4</v>
      </c>
      <c r="AB15" s="1">
        <v>4.2</v>
      </c>
      <c r="AC15" s="1">
        <v>0</v>
      </c>
      <c r="AD15" s="1">
        <v>1</v>
      </c>
      <c r="AE15" s="1">
        <v>6.6</v>
      </c>
      <c r="AF15" s="1">
        <v>6.4</v>
      </c>
      <c r="AG15" s="1">
        <v>2.8</v>
      </c>
      <c r="AH15" s="1">
        <v>2.6</v>
      </c>
      <c r="AI15" s="1">
        <v>4</v>
      </c>
      <c r="AJ15" s="1">
        <v>2.6</v>
      </c>
      <c r="AK15" s="13" t="s">
        <v>91</v>
      </c>
      <c r="AL15" s="1">
        <f t="shared" si="7"/>
        <v>22.32</v>
      </c>
      <c r="AM15" s="1">
        <f t="shared" si="8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0" t="s">
        <v>48</v>
      </c>
      <c r="B16" s="1" t="s">
        <v>36</v>
      </c>
      <c r="C16" s="1">
        <v>177</v>
      </c>
      <c r="D16" s="1">
        <v>456</v>
      </c>
      <c r="E16" s="1">
        <v>262</v>
      </c>
      <c r="F16" s="1">
        <v>336</v>
      </c>
      <c r="G16" s="7">
        <v>0.372</v>
      </c>
      <c r="H16" s="1">
        <v>180</v>
      </c>
      <c r="I16" s="9" t="s">
        <v>90</v>
      </c>
      <c r="J16" s="1"/>
      <c r="K16" s="1">
        <v>267</v>
      </c>
      <c r="L16" s="1">
        <f t="shared" si="2"/>
        <v>-5</v>
      </c>
      <c r="M16" s="1"/>
      <c r="N16" s="1"/>
      <c r="O16" s="1"/>
      <c r="P16" s="1">
        <v>204</v>
      </c>
      <c r="Q16" s="1">
        <f t="shared" si="3"/>
        <v>52.4</v>
      </c>
      <c r="R16" s="5">
        <f>15*Q16-O16-F16</f>
        <v>450</v>
      </c>
      <c r="S16" s="5">
        <f t="shared" si="4"/>
        <v>450</v>
      </c>
      <c r="T16" s="5">
        <f>VLOOKUP(A16,филиал!A:B,2,0)</f>
        <v>456</v>
      </c>
      <c r="U16" s="5"/>
      <c r="V16" s="5"/>
      <c r="W16" s="14"/>
      <c r="X16" s="14"/>
      <c r="Y16" s="1">
        <f t="shared" si="5"/>
        <v>15</v>
      </c>
      <c r="Z16" s="1">
        <f t="shared" si="6"/>
        <v>6.4122137404580153</v>
      </c>
      <c r="AA16" s="1">
        <v>13</v>
      </c>
      <c r="AB16" s="1">
        <v>56.6</v>
      </c>
      <c r="AC16" s="1">
        <v>35.200000000000003</v>
      </c>
      <c r="AD16" s="1">
        <v>11.6</v>
      </c>
      <c r="AE16" s="1">
        <v>10.199999999999999</v>
      </c>
      <c r="AF16" s="1">
        <v>16.2</v>
      </c>
      <c r="AG16" s="1">
        <v>7.8</v>
      </c>
      <c r="AH16" s="1">
        <v>15.4</v>
      </c>
      <c r="AI16" s="1">
        <v>15.8</v>
      </c>
      <c r="AJ16" s="1">
        <v>10</v>
      </c>
      <c r="AK16" s="1"/>
      <c r="AL16" s="1">
        <f t="shared" si="7"/>
        <v>167.4</v>
      </c>
      <c r="AM16" s="1">
        <f t="shared" si="8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0" t="s">
        <v>49</v>
      </c>
      <c r="B17" s="1" t="s">
        <v>36</v>
      </c>
      <c r="C17" s="1">
        <v>148</v>
      </c>
      <c r="D17" s="1">
        <v>48</v>
      </c>
      <c r="E17" s="1">
        <v>87</v>
      </c>
      <c r="F17" s="1">
        <v>90</v>
      </c>
      <c r="G17" s="7">
        <v>0.74399999999999999</v>
      </c>
      <c r="H17" s="1">
        <v>180</v>
      </c>
      <c r="I17" s="1"/>
      <c r="J17" s="1"/>
      <c r="K17" s="1">
        <v>97</v>
      </c>
      <c r="L17" s="1">
        <f t="shared" si="2"/>
        <v>-10</v>
      </c>
      <c r="M17" s="1"/>
      <c r="N17" s="1"/>
      <c r="O17" s="1">
        <v>48</v>
      </c>
      <c r="P17" s="1"/>
      <c r="Q17" s="1">
        <f t="shared" si="3"/>
        <v>17.399999999999999</v>
      </c>
      <c r="R17" s="5">
        <f t="shared" si="9"/>
        <v>175.2</v>
      </c>
      <c r="S17" s="5">
        <f t="shared" si="4"/>
        <v>175.2</v>
      </c>
      <c r="T17" s="5">
        <f>VLOOKUP(A17,филиал!A:B,2,0)</f>
        <v>180</v>
      </c>
      <c r="U17" s="5"/>
      <c r="V17" s="5"/>
      <c r="W17" s="14"/>
      <c r="X17" s="14"/>
      <c r="Y17" s="1">
        <f t="shared" si="5"/>
        <v>18</v>
      </c>
      <c r="Z17" s="1">
        <f t="shared" si="6"/>
        <v>7.931034482758621</v>
      </c>
      <c r="AA17" s="1">
        <v>6.4</v>
      </c>
      <c r="AB17" s="1">
        <v>1.6</v>
      </c>
      <c r="AC17" s="1">
        <v>11.8</v>
      </c>
      <c r="AD17" s="1">
        <v>4</v>
      </c>
      <c r="AE17" s="1">
        <v>11</v>
      </c>
      <c r="AF17" s="1">
        <v>8.4</v>
      </c>
      <c r="AG17" s="1">
        <v>3.2</v>
      </c>
      <c r="AH17" s="1">
        <v>12.4</v>
      </c>
      <c r="AI17" s="1">
        <v>1.8</v>
      </c>
      <c r="AJ17" s="1">
        <v>5.8</v>
      </c>
      <c r="AK17" s="1" t="s">
        <v>50</v>
      </c>
      <c r="AL17" s="1">
        <f t="shared" si="7"/>
        <v>130.34879999999998</v>
      </c>
      <c r="AM17" s="1">
        <f t="shared" si="8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0" t="s">
        <v>51</v>
      </c>
      <c r="B18" s="1" t="s">
        <v>36</v>
      </c>
      <c r="C18" s="1">
        <v>39</v>
      </c>
      <c r="D18" s="1">
        <v>48</v>
      </c>
      <c r="E18" s="1">
        <v>33</v>
      </c>
      <c r="F18" s="1">
        <v>42</v>
      </c>
      <c r="G18" s="7">
        <v>0.18</v>
      </c>
      <c r="H18" s="1">
        <v>270</v>
      </c>
      <c r="I18" s="1"/>
      <c r="J18" s="1"/>
      <c r="K18" s="1">
        <v>35</v>
      </c>
      <c r="L18" s="1">
        <f t="shared" si="2"/>
        <v>-2</v>
      </c>
      <c r="M18" s="1"/>
      <c r="N18" s="1"/>
      <c r="O18" s="1">
        <v>16</v>
      </c>
      <c r="P18" s="1"/>
      <c r="Q18" s="1">
        <f t="shared" si="3"/>
        <v>6.6</v>
      </c>
      <c r="R18" s="5">
        <f t="shared" si="9"/>
        <v>60.8</v>
      </c>
      <c r="S18" s="5">
        <f t="shared" ref="S18:S19" si="11">W18</f>
        <v>80</v>
      </c>
      <c r="T18" s="5">
        <f>VLOOKUP(A18,филиал!A:B,2,0)</f>
        <v>80</v>
      </c>
      <c r="U18" s="5"/>
      <c r="V18" s="5"/>
      <c r="W18" s="14">
        <f>VLOOKUP(A18,[1]Sheet!$A:$S,19,0)</f>
        <v>80</v>
      </c>
      <c r="X18" s="14"/>
      <c r="Y18" s="1">
        <f t="shared" si="5"/>
        <v>20.90909090909091</v>
      </c>
      <c r="Z18" s="1">
        <f t="shared" si="6"/>
        <v>8.787878787878789</v>
      </c>
      <c r="AA18" s="1">
        <v>5.2</v>
      </c>
      <c r="AB18" s="1">
        <v>7.2</v>
      </c>
      <c r="AC18" s="1">
        <v>5.8</v>
      </c>
      <c r="AD18" s="1">
        <v>5</v>
      </c>
      <c r="AE18" s="1">
        <v>5.8</v>
      </c>
      <c r="AF18" s="1">
        <v>6.8</v>
      </c>
      <c r="AG18" s="1">
        <v>9</v>
      </c>
      <c r="AH18" s="1">
        <v>5.8</v>
      </c>
      <c r="AI18" s="1">
        <v>4.4000000000000004</v>
      </c>
      <c r="AJ18" s="1">
        <v>2</v>
      </c>
      <c r="AK18" s="1"/>
      <c r="AL18" s="1">
        <f t="shared" si="7"/>
        <v>14.399999999999999</v>
      </c>
      <c r="AM18" s="1">
        <f t="shared" si="8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0" t="s">
        <v>52</v>
      </c>
      <c r="B19" s="1" t="s">
        <v>36</v>
      </c>
      <c r="C19" s="1">
        <v>73</v>
      </c>
      <c r="D19" s="1">
        <v>16</v>
      </c>
      <c r="E19" s="1">
        <v>32</v>
      </c>
      <c r="F19" s="1">
        <v>39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-2</v>
      </c>
      <c r="M19" s="1"/>
      <c r="N19" s="1"/>
      <c r="O19" s="1">
        <v>16</v>
      </c>
      <c r="P19" s="1"/>
      <c r="Q19" s="1">
        <f t="shared" si="3"/>
        <v>6.4</v>
      </c>
      <c r="R19" s="5">
        <f t="shared" si="9"/>
        <v>60.2</v>
      </c>
      <c r="S19" s="5">
        <f t="shared" si="11"/>
        <v>80</v>
      </c>
      <c r="T19" s="5">
        <f>VLOOKUP(A19,филиал!A:B,2,0)</f>
        <v>80</v>
      </c>
      <c r="U19" s="5"/>
      <c r="V19" s="5"/>
      <c r="W19" s="14">
        <f>VLOOKUP(A19,[1]Sheet!$A:$S,19,0)</f>
        <v>80</v>
      </c>
      <c r="X19" s="14"/>
      <c r="Y19" s="1">
        <f t="shared" si="5"/>
        <v>21.09375</v>
      </c>
      <c r="Z19" s="1">
        <f t="shared" si="6"/>
        <v>8.59375</v>
      </c>
      <c r="AA19" s="1">
        <v>3.2</v>
      </c>
      <c r="AB19" s="1">
        <v>6.8</v>
      </c>
      <c r="AC19" s="1">
        <v>7.6</v>
      </c>
      <c r="AD19" s="1">
        <v>4.8</v>
      </c>
      <c r="AE19" s="1">
        <v>5.8</v>
      </c>
      <c r="AF19" s="1">
        <v>5.8</v>
      </c>
      <c r="AG19" s="1">
        <v>9.1999999999999993</v>
      </c>
      <c r="AH19" s="1">
        <v>5.2</v>
      </c>
      <c r="AI19" s="1">
        <v>4.4000000000000004</v>
      </c>
      <c r="AJ19" s="1">
        <v>3.2</v>
      </c>
      <c r="AK19" s="1"/>
      <c r="AL19" s="1">
        <f t="shared" si="7"/>
        <v>14.399999999999999</v>
      </c>
      <c r="AM19" s="1">
        <f t="shared" si="8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0" t="s">
        <v>53</v>
      </c>
      <c r="B20" s="1" t="s">
        <v>36</v>
      </c>
      <c r="C20" s="1">
        <v>160</v>
      </c>
      <c r="D20" s="1">
        <v>355</v>
      </c>
      <c r="E20" s="1">
        <v>237</v>
      </c>
      <c r="F20" s="1">
        <v>176</v>
      </c>
      <c r="G20" s="7">
        <v>0.18</v>
      </c>
      <c r="H20" s="1">
        <v>180</v>
      </c>
      <c r="I20" s="1"/>
      <c r="J20" s="1"/>
      <c r="K20" s="1">
        <v>264</v>
      </c>
      <c r="L20" s="1">
        <f t="shared" si="2"/>
        <v>-27</v>
      </c>
      <c r="M20" s="1"/>
      <c r="N20" s="1"/>
      <c r="O20" s="1">
        <v>270</v>
      </c>
      <c r="P20" s="1"/>
      <c r="Q20" s="1">
        <f t="shared" si="3"/>
        <v>47.4</v>
      </c>
      <c r="R20" s="5">
        <f t="shared" si="9"/>
        <v>407.19999999999993</v>
      </c>
      <c r="S20" s="5">
        <f t="shared" si="4"/>
        <v>407.19999999999993</v>
      </c>
      <c r="T20" s="5">
        <f>VLOOKUP(A20,филиал!A:B,2,0)</f>
        <v>410</v>
      </c>
      <c r="U20" s="5"/>
      <c r="V20" s="5"/>
      <c r="W20" s="14"/>
      <c r="X20" s="14"/>
      <c r="Y20" s="1">
        <f t="shared" si="5"/>
        <v>18</v>
      </c>
      <c r="Z20" s="1">
        <f t="shared" si="6"/>
        <v>9.4092827004219419</v>
      </c>
      <c r="AA20" s="1">
        <v>48.4</v>
      </c>
      <c r="AB20" s="1">
        <v>49</v>
      </c>
      <c r="AC20" s="1">
        <v>39.200000000000003</v>
      </c>
      <c r="AD20" s="1">
        <v>38.6</v>
      </c>
      <c r="AE20" s="1">
        <v>36.6</v>
      </c>
      <c r="AF20" s="1">
        <v>46.2</v>
      </c>
      <c r="AG20" s="1">
        <v>38</v>
      </c>
      <c r="AH20" s="1">
        <v>34</v>
      </c>
      <c r="AI20" s="1">
        <v>30.078800000000001</v>
      </c>
      <c r="AJ20" s="1">
        <v>33.799999999999997</v>
      </c>
      <c r="AK20" s="1"/>
      <c r="AL20" s="1">
        <f t="shared" si="7"/>
        <v>73.295999999999978</v>
      </c>
      <c r="AM20" s="1">
        <f t="shared" si="8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0" t="s">
        <v>54</v>
      </c>
      <c r="B21" s="1" t="s">
        <v>36</v>
      </c>
      <c r="C21" s="1">
        <v>95</v>
      </c>
      <c r="D21" s="1">
        <v>93</v>
      </c>
      <c r="E21" s="1">
        <v>114</v>
      </c>
      <c r="F21" s="1">
        <v>37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-20</v>
      </c>
      <c r="M21" s="1"/>
      <c r="N21" s="1"/>
      <c r="O21" s="1">
        <v>200</v>
      </c>
      <c r="P21" s="1"/>
      <c r="Q21" s="1">
        <f t="shared" si="3"/>
        <v>22.8</v>
      </c>
      <c r="R21" s="5">
        <f t="shared" si="9"/>
        <v>173.40000000000003</v>
      </c>
      <c r="S21" s="5">
        <f t="shared" si="4"/>
        <v>173.40000000000003</v>
      </c>
      <c r="T21" s="5">
        <f>VLOOKUP(A21,филиал!A:B,2,0)</f>
        <v>170</v>
      </c>
      <c r="U21" s="5"/>
      <c r="V21" s="5"/>
      <c r="W21" s="14"/>
      <c r="X21" s="14"/>
      <c r="Y21" s="1">
        <f t="shared" si="5"/>
        <v>18</v>
      </c>
      <c r="Z21" s="1">
        <f t="shared" si="6"/>
        <v>10.394736842105264</v>
      </c>
      <c r="AA21" s="1">
        <v>25</v>
      </c>
      <c r="AB21" s="1">
        <v>21.2</v>
      </c>
      <c r="AC21" s="1">
        <v>20.6</v>
      </c>
      <c r="AD21" s="1">
        <v>19.2</v>
      </c>
      <c r="AE21" s="1">
        <v>15</v>
      </c>
      <c r="AF21" s="1">
        <v>26.6</v>
      </c>
      <c r="AG21" s="1">
        <v>30.6</v>
      </c>
      <c r="AH21" s="1">
        <v>17.600000000000001</v>
      </c>
      <c r="AI21" s="1">
        <v>16.2</v>
      </c>
      <c r="AJ21" s="1">
        <v>9.1999999999999993</v>
      </c>
      <c r="AK21" s="1"/>
      <c r="AL21" s="1">
        <f t="shared" si="7"/>
        <v>31.212000000000003</v>
      </c>
      <c r="AM21" s="1">
        <f t="shared" si="8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0" t="s">
        <v>55</v>
      </c>
      <c r="B22" s="1" t="s">
        <v>36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-11</v>
      </c>
      <c r="M22" s="1"/>
      <c r="N22" s="1"/>
      <c r="O22" s="1">
        <v>16</v>
      </c>
      <c r="P22" s="1"/>
      <c r="Q22" s="1">
        <f t="shared" si="3"/>
        <v>0</v>
      </c>
      <c r="R22" s="5">
        <v>16</v>
      </c>
      <c r="S22" s="5">
        <f t="shared" si="4"/>
        <v>16</v>
      </c>
      <c r="T22" s="5">
        <f>VLOOKUP(A22,филиал!A:B,2,0)</f>
        <v>16</v>
      </c>
      <c r="U22" s="5"/>
      <c r="V22" s="5"/>
      <c r="W22" s="14"/>
      <c r="X22" s="14"/>
      <c r="Y22" s="1" t="e">
        <f t="shared" si="5"/>
        <v>#DIV/0!</v>
      </c>
      <c r="Z22" s="1" t="e">
        <f t="shared" si="6"/>
        <v>#DIV/0!</v>
      </c>
      <c r="AA22" s="1">
        <v>-0.8</v>
      </c>
      <c r="AB22" s="1">
        <v>0</v>
      </c>
      <c r="AC22" s="1">
        <v>-0.4</v>
      </c>
      <c r="AD22" s="1">
        <v>-0.4</v>
      </c>
      <c r="AE22" s="1">
        <v>0</v>
      </c>
      <c r="AF22" s="1">
        <v>0</v>
      </c>
      <c r="AG22" s="1">
        <v>0</v>
      </c>
      <c r="AH22" s="1">
        <v>-0.4</v>
      </c>
      <c r="AI22" s="1">
        <v>0</v>
      </c>
      <c r="AJ22" s="1">
        <v>0.4</v>
      </c>
      <c r="AK22" s="1" t="s">
        <v>56</v>
      </c>
      <c r="AL22" s="1">
        <f t="shared" si="7"/>
        <v>6.4</v>
      </c>
      <c r="AM22" s="1">
        <f t="shared" si="8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0" t="s">
        <v>57</v>
      </c>
      <c r="B23" s="1" t="s">
        <v>36</v>
      </c>
      <c r="C23" s="1">
        <v>33</v>
      </c>
      <c r="D23" s="1">
        <v>31</v>
      </c>
      <c r="E23" s="1">
        <v>7</v>
      </c>
      <c r="F23" s="1">
        <v>53</v>
      </c>
      <c r="G23" s="7">
        <v>0.4</v>
      </c>
      <c r="H23" s="1">
        <v>270</v>
      </c>
      <c r="I23" s="1"/>
      <c r="J23" s="1"/>
      <c r="K23" s="1">
        <v>10</v>
      </c>
      <c r="L23" s="1">
        <f t="shared" si="2"/>
        <v>-3</v>
      </c>
      <c r="M23" s="1"/>
      <c r="N23" s="1"/>
      <c r="O23" s="1"/>
      <c r="P23" s="1"/>
      <c r="Q23" s="1">
        <f t="shared" si="3"/>
        <v>1.4</v>
      </c>
      <c r="R23" s="5"/>
      <c r="S23" s="5">
        <f t="shared" si="4"/>
        <v>0</v>
      </c>
      <c r="T23" s="5"/>
      <c r="U23" s="5"/>
      <c r="V23" s="5"/>
      <c r="W23" s="14"/>
      <c r="X23" s="14"/>
      <c r="Y23" s="1">
        <f t="shared" si="5"/>
        <v>37.857142857142861</v>
      </c>
      <c r="Z23" s="1">
        <f t="shared" si="6"/>
        <v>37.857142857142861</v>
      </c>
      <c r="AA23" s="1">
        <v>1.6</v>
      </c>
      <c r="AB23" s="1">
        <v>1.8</v>
      </c>
      <c r="AC23" s="1">
        <v>1.2</v>
      </c>
      <c r="AD23" s="1">
        <v>0.4</v>
      </c>
      <c r="AE23" s="1">
        <v>2</v>
      </c>
      <c r="AF23" s="1">
        <v>0.6</v>
      </c>
      <c r="AG23" s="1">
        <v>0.4</v>
      </c>
      <c r="AH23" s="1">
        <v>0.4</v>
      </c>
      <c r="AI23" s="1">
        <v>0</v>
      </c>
      <c r="AJ23" s="1">
        <v>0</v>
      </c>
      <c r="AK23" s="11" t="s">
        <v>60</v>
      </c>
      <c r="AL23" s="1">
        <f t="shared" si="7"/>
        <v>0</v>
      </c>
      <c r="AM23" s="1">
        <f t="shared" si="8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0" t="s">
        <v>58</v>
      </c>
      <c r="B24" s="1" t="s">
        <v>36</v>
      </c>
      <c r="C24" s="1">
        <v>87</v>
      </c>
      <c r="D24" s="1">
        <v>210</v>
      </c>
      <c r="E24" s="1">
        <v>79</v>
      </c>
      <c r="F24" s="1">
        <v>211</v>
      </c>
      <c r="G24" s="7">
        <v>0.18</v>
      </c>
      <c r="H24" s="1">
        <v>150</v>
      </c>
      <c r="I24" s="1"/>
      <c r="J24" s="1"/>
      <c r="K24" s="1">
        <v>83</v>
      </c>
      <c r="L24" s="1">
        <f t="shared" si="2"/>
        <v>-4</v>
      </c>
      <c r="M24" s="1"/>
      <c r="N24" s="1"/>
      <c r="O24" s="1"/>
      <c r="P24" s="1"/>
      <c r="Q24" s="1">
        <f t="shared" si="3"/>
        <v>15.8</v>
      </c>
      <c r="R24" s="5">
        <f t="shared" si="9"/>
        <v>73.400000000000034</v>
      </c>
      <c r="S24" s="5">
        <f>W24</f>
        <v>100</v>
      </c>
      <c r="T24" s="5">
        <f>VLOOKUP(A24,филиал!A:B,2,0)</f>
        <v>102</v>
      </c>
      <c r="U24" s="5"/>
      <c r="V24" s="5"/>
      <c r="W24" s="14">
        <f>VLOOKUP(A24,[1]Sheet!$A:$S,19,0)</f>
        <v>100</v>
      </c>
      <c r="X24" s="14"/>
      <c r="Y24" s="1">
        <f t="shared" si="5"/>
        <v>19.683544303797468</v>
      </c>
      <c r="Z24" s="1">
        <f t="shared" si="6"/>
        <v>13.354430379746836</v>
      </c>
      <c r="AA24" s="1">
        <v>14.2</v>
      </c>
      <c r="AB24" s="1">
        <v>26.4</v>
      </c>
      <c r="AC24" s="1">
        <v>17.600000000000001</v>
      </c>
      <c r="AD24" s="1">
        <v>1.6</v>
      </c>
      <c r="AE24" s="1">
        <v>1</v>
      </c>
      <c r="AF24" s="1">
        <v>11.8</v>
      </c>
      <c r="AG24" s="1">
        <v>2.6</v>
      </c>
      <c r="AH24" s="1">
        <v>6.8</v>
      </c>
      <c r="AI24" s="1">
        <v>13.2</v>
      </c>
      <c r="AJ24" s="1">
        <v>10.6</v>
      </c>
      <c r="AK24" s="1"/>
      <c r="AL24" s="1">
        <f t="shared" si="7"/>
        <v>18</v>
      </c>
      <c r="AM24" s="1">
        <f t="shared" si="8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0" t="s">
        <v>59</v>
      </c>
      <c r="B25" s="1" t="s">
        <v>36</v>
      </c>
      <c r="C25" s="1">
        <v>296</v>
      </c>
      <c r="D25" s="1">
        <v>2</v>
      </c>
      <c r="E25" s="1">
        <v>131</v>
      </c>
      <c r="F25" s="1">
        <v>152</v>
      </c>
      <c r="G25" s="7">
        <v>0.1</v>
      </c>
      <c r="H25" s="1">
        <v>90</v>
      </c>
      <c r="I25" s="1"/>
      <c r="J25" s="1"/>
      <c r="K25" s="1">
        <v>138</v>
      </c>
      <c r="L25" s="1">
        <f t="shared" si="2"/>
        <v>-7</v>
      </c>
      <c r="M25" s="1"/>
      <c r="N25" s="1"/>
      <c r="O25" s="1">
        <v>40</v>
      </c>
      <c r="P25" s="1"/>
      <c r="Q25" s="1">
        <f t="shared" si="3"/>
        <v>26.2</v>
      </c>
      <c r="R25" s="5">
        <f>15*Q25-O25-F25</f>
        <v>201</v>
      </c>
      <c r="S25" s="5">
        <f t="shared" si="4"/>
        <v>201</v>
      </c>
      <c r="T25" s="5">
        <f>VLOOKUP(A25,филиал!A:B,2,0)</f>
        <v>200</v>
      </c>
      <c r="U25" s="5">
        <v>260</v>
      </c>
      <c r="V25" s="5">
        <f>VLOOKUP(A25,сети!A:B,2,0)</f>
        <v>256</v>
      </c>
      <c r="W25" s="14"/>
      <c r="X25" s="14" t="s">
        <v>94</v>
      </c>
      <c r="Y25" s="1">
        <f t="shared" si="5"/>
        <v>15</v>
      </c>
      <c r="Z25" s="1">
        <f t="shared" si="6"/>
        <v>7.3282442748091601</v>
      </c>
      <c r="AA25" s="1">
        <v>9.1999999999999993</v>
      </c>
      <c r="AB25" s="1">
        <v>12</v>
      </c>
      <c r="AC25" s="1">
        <v>25</v>
      </c>
      <c r="AD25" s="1">
        <v>22.4</v>
      </c>
      <c r="AE25" s="1">
        <v>14.6</v>
      </c>
      <c r="AF25" s="1">
        <v>17.399999999999999</v>
      </c>
      <c r="AG25" s="1">
        <v>11</v>
      </c>
      <c r="AH25" s="1">
        <v>36.4</v>
      </c>
      <c r="AI25" s="1">
        <v>20</v>
      </c>
      <c r="AJ25" s="1">
        <v>16.2</v>
      </c>
      <c r="AK25" s="1"/>
      <c r="AL25" s="1">
        <f t="shared" si="7"/>
        <v>20.100000000000001</v>
      </c>
      <c r="AM25" s="1">
        <f t="shared" si="8"/>
        <v>26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0" t="s">
        <v>61</v>
      </c>
      <c r="B26" s="1" t="s">
        <v>36</v>
      </c>
      <c r="C26" s="1">
        <v>227</v>
      </c>
      <c r="D26" s="1">
        <v>6</v>
      </c>
      <c r="E26" s="1">
        <v>84</v>
      </c>
      <c r="F26" s="1">
        <v>137</v>
      </c>
      <c r="G26" s="7">
        <v>0.1</v>
      </c>
      <c r="H26" s="1">
        <v>60</v>
      </c>
      <c r="I26" s="1"/>
      <c r="J26" s="1"/>
      <c r="K26" s="1">
        <v>109</v>
      </c>
      <c r="L26" s="1">
        <f t="shared" si="2"/>
        <v>-25</v>
      </c>
      <c r="M26" s="1"/>
      <c r="N26" s="1"/>
      <c r="O26" s="1">
        <v>168</v>
      </c>
      <c r="P26" s="1"/>
      <c r="Q26" s="1">
        <f t="shared" si="3"/>
        <v>16.8</v>
      </c>
      <c r="R26" s="5"/>
      <c r="S26" s="5">
        <f t="shared" si="4"/>
        <v>0</v>
      </c>
      <c r="T26" s="5"/>
      <c r="U26" s="5"/>
      <c r="V26" s="5"/>
      <c r="W26" s="14"/>
      <c r="X26" s="14"/>
      <c r="Y26" s="1">
        <f t="shared" si="5"/>
        <v>18.154761904761905</v>
      </c>
      <c r="Z26" s="1">
        <f t="shared" si="6"/>
        <v>18.154761904761905</v>
      </c>
      <c r="AA26" s="1">
        <v>24.2</v>
      </c>
      <c r="AB26" s="1">
        <v>16</v>
      </c>
      <c r="AC26" s="1">
        <v>27</v>
      </c>
      <c r="AD26" s="1">
        <v>15.8</v>
      </c>
      <c r="AE26" s="1">
        <v>26.2</v>
      </c>
      <c r="AF26" s="1">
        <v>15</v>
      </c>
      <c r="AG26" s="1">
        <v>25.4</v>
      </c>
      <c r="AH26" s="1">
        <v>25.2</v>
      </c>
      <c r="AI26" s="1">
        <v>12.2</v>
      </c>
      <c r="AJ26" s="1">
        <v>6.6</v>
      </c>
      <c r="AK26" s="1"/>
      <c r="AL26" s="1">
        <f t="shared" si="7"/>
        <v>0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0" t="s">
        <v>62</v>
      </c>
      <c r="B27" s="1" t="s">
        <v>36</v>
      </c>
      <c r="C27" s="1">
        <v>153</v>
      </c>
      <c r="D27" s="1">
        <v>3</v>
      </c>
      <c r="E27" s="1">
        <v>71</v>
      </c>
      <c r="F27" s="1">
        <v>73</v>
      </c>
      <c r="G27" s="7">
        <v>0.1</v>
      </c>
      <c r="H27" s="1">
        <v>90</v>
      </c>
      <c r="I27" s="1"/>
      <c r="J27" s="1"/>
      <c r="K27" s="1">
        <v>90</v>
      </c>
      <c r="L27" s="1">
        <f t="shared" si="2"/>
        <v>-19</v>
      </c>
      <c r="M27" s="1"/>
      <c r="N27" s="1"/>
      <c r="O27" s="1">
        <v>152</v>
      </c>
      <c r="P27" s="1"/>
      <c r="Q27" s="1">
        <f t="shared" si="3"/>
        <v>14.2</v>
      </c>
      <c r="R27" s="5">
        <f t="shared" si="9"/>
        <v>30.599999999999994</v>
      </c>
      <c r="S27" s="5">
        <f t="shared" si="4"/>
        <v>30.599999999999994</v>
      </c>
      <c r="T27" s="5">
        <f>VLOOKUP(A27,филиал!A:B,2,0)</f>
        <v>32</v>
      </c>
      <c r="U27" s="5"/>
      <c r="V27" s="5"/>
      <c r="W27" s="14"/>
      <c r="X27" s="14"/>
      <c r="Y27" s="1">
        <f t="shared" si="5"/>
        <v>18</v>
      </c>
      <c r="Z27" s="1">
        <f t="shared" si="6"/>
        <v>15.845070422535212</v>
      </c>
      <c r="AA27" s="1">
        <v>17.8</v>
      </c>
      <c r="AB27" s="1">
        <v>13.4</v>
      </c>
      <c r="AC27" s="1">
        <v>18.399999999999999</v>
      </c>
      <c r="AD27" s="1">
        <v>16.8</v>
      </c>
      <c r="AE27" s="1">
        <v>11.2</v>
      </c>
      <c r="AF27" s="1">
        <v>17.8</v>
      </c>
      <c r="AG27" s="1">
        <v>21</v>
      </c>
      <c r="AH27" s="1">
        <v>16.600000000000001</v>
      </c>
      <c r="AI27" s="1">
        <v>15</v>
      </c>
      <c r="AJ27" s="1">
        <v>13.2</v>
      </c>
      <c r="AK27" s="1"/>
      <c r="AL27" s="1">
        <f t="shared" si="7"/>
        <v>3.0599999999999996</v>
      </c>
      <c r="AM27" s="1">
        <f t="shared" si="8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0" t="s">
        <v>63</v>
      </c>
      <c r="B28" s="1" t="s">
        <v>36</v>
      </c>
      <c r="C28" s="1">
        <v>106</v>
      </c>
      <c r="D28" s="1">
        <v>20</v>
      </c>
      <c r="E28" s="1">
        <v>53</v>
      </c>
      <c r="F28" s="1">
        <v>63</v>
      </c>
      <c r="G28" s="7">
        <v>0.18</v>
      </c>
      <c r="H28" s="1">
        <v>150</v>
      </c>
      <c r="I28" s="1"/>
      <c r="J28" s="1"/>
      <c r="K28" s="1">
        <v>54</v>
      </c>
      <c r="L28" s="1">
        <f t="shared" si="2"/>
        <v>-1</v>
      </c>
      <c r="M28" s="1"/>
      <c r="N28" s="1"/>
      <c r="O28" s="1"/>
      <c r="P28" s="1"/>
      <c r="Q28" s="1">
        <f t="shared" si="3"/>
        <v>10.6</v>
      </c>
      <c r="R28" s="5">
        <f t="shared" si="9"/>
        <v>127.79999999999998</v>
      </c>
      <c r="S28" s="5">
        <f t="shared" si="4"/>
        <v>127.79999999999998</v>
      </c>
      <c r="T28" s="5">
        <f>VLOOKUP(A28,филиал!A:B,2,0)</f>
        <v>130</v>
      </c>
      <c r="U28" s="5"/>
      <c r="V28" s="5"/>
      <c r="W28" s="14"/>
      <c r="X28" s="14"/>
      <c r="Y28" s="1">
        <f t="shared" si="5"/>
        <v>18</v>
      </c>
      <c r="Z28" s="1">
        <f t="shared" si="6"/>
        <v>5.9433962264150946</v>
      </c>
      <c r="AA28" s="1">
        <v>4.8</v>
      </c>
      <c r="AB28" s="1">
        <v>0.2</v>
      </c>
      <c r="AC28" s="1">
        <v>12.4</v>
      </c>
      <c r="AD28" s="1">
        <v>2</v>
      </c>
      <c r="AE28" s="1">
        <v>7</v>
      </c>
      <c r="AF28" s="1">
        <v>19</v>
      </c>
      <c r="AG28" s="1">
        <v>16.2</v>
      </c>
      <c r="AH28" s="1">
        <v>13.8</v>
      </c>
      <c r="AI28" s="1">
        <v>5.2</v>
      </c>
      <c r="AJ28" s="1">
        <v>8.4</v>
      </c>
      <c r="AK28" s="1" t="s">
        <v>64</v>
      </c>
      <c r="AL28" s="1">
        <f t="shared" si="7"/>
        <v>23.003999999999998</v>
      </c>
      <c r="AM28" s="1">
        <f t="shared" si="8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0" t="s">
        <v>65</v>
      </c>
      <c r="B29" s="1" t="s">
        <v>36</v>
      </c>
      <c r="C29" s="1">
        <v>475</v>
      </c>
      <c r="D29" s="1">
        <v>50</v>
      </c>
      <c r="E29" s="1">
        <v>270</v>
      </c>
      <c r="F29" s="1">
        <v>178</v>
      </c>
      <c r="G29" s="7">
        <v>0.18</v>
      </c>
      <c r="H29" s="1">
        <v>150</v>
      </c>
      <c r="I29" s="1"/>
      <c r="J29" s="1"/>
      <c r="K29" s="1">
        <v>270</v>
      </c>
      <c r="L29" s="1">
        <f t="shared" si="2"/>
        <v>0</v>
      </c>
      <c r="M29" s="1"/>
      <c r="N29" s="1"/>
      <c r="O29" s="1">
        <v>450</v>
      </c>
      <c r="P29" s="1"/>
      <c r="Q29" s="1">
        <f t="shared" si="3"/>
        <v>54</v>
      </c>
      <c r="R29" s="5">
        <f t="shared" si="9"/>
        <v>344</v>
      </c>
      <c r="S29" s="5">
        <f t="shared" si="4"/>
        <v>344</v>
      </c>
      <c r="T29" s="5">
        <f>VLOOKUP(A29,филиал!A:B,2,0)</f>
        <v>340</v>
      </c>
      <c r="U29" s="5">
        <v>380</v>
      </c>
      <c r="V29" s="5">
        <f>VLOOKUP(A29,сети!A:B,2,0)</f>
        <v>380</v>
      </c>
      <c r="W29" s="14"/>
      <c r="X29" s="14" t="s">
        <v>95</v>
      </c>
      <c r="Y29" s="1">
        <f t="shared" si="5"/>
        <v>18</v>
      </c>
      <c r="Z29" s="1">
        <f t="shared" si="6"/>
        <v>11.62962962962963</v>
      </c>
      <c r="AA29" s="1">
        <v>65.2</v>
      </c>
      <c r="AB29" s="1">
        <v>54.8</v>
      </c>
      <c r="AC29" s="1">
        <v>71.599999999999994</v>
      </c>
      <c r="AD29" s="1">
        <v>57.6</v>
      </c>
      <c r="AE29" s="1">
        <v>47.8</v>
      </c>
      <c r="AF29" s="1">
        <v>68.599999999999994</v>
      </c>
      <c r="AG29" s="1">
        <v>30</v>
      </c>
      <c r="AH29" s="1">
        <v>58</v>
      </c>
      <c r="AI29" s="1">
        <v>69</v>
      </c>
      <c r="AJ29" s="1">
        <v>36</v>
      </c>
      <c r="AK29" s="1" t="s">
        <v>66</v>
      </c>
      <c r="AL29" s="1">
        <f t="shared" si="7"/>
        <v>61.919999999999995</v>
      </c>
      <c r="AM29" s="1">
        <f t="shared" si="8"/>
        <v>68.399999999999991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0" t="s">
        <v>67</v>
      </c>
      <c r="B30" s="1" t="s">
        <v>36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-27</v>
      </c>
      <c r="M30" s="1"/>
      <c r="N30" s="1"/>
      <c r="O30" s="1">
        <v>40</v>
      </c>
      <c r="P30" s="1"/>
      <c r="Q30" s="1">
        <f t="shared" si="3"/>
        <v>0</v>
      </c>
      <c r="R30" s="5">
        <v>30</v>
      </c>
      <c r="S30" s="5">
        <f t="shared" si="4"/>
        <v>30</v>
      </c>
      <c r="T30" s="5">
        <f>VLOOKUP(A30,филиал!A:B,2,0)</f>
        <v>30</v>
      </c>
      <c r="U30" s="5"/>
      <c r="V30" s="5"/>
      <c r="W30" s="14"/>
      <c r="X30" s="14"/>
      <c r="Y30" s="1" t="e">
        <f t="shared" si="5"/>
        <v>#DIV/0!</v>
      </c>
      <c r="Z30" s="1" t="e">
        <f t="shared" si="6"/>
        <v>#DIV/0!</v>
      </c>
      <c r="AA30" s="1">
        <v>0.4</v>
      </c>
      <c r="AB30" s="1">
        <v>3.4</v>
      </c>
      <c r="AC30" s="1">
        <v>4.4000000000000004</v>
      </c>
      <c r="AD30" s="1">
        <v>4.8</v>
      </c>
      <c r="AE30" s="1">
        <v>6</v>
      </c>
      <c r="AF30" s="1">
        <v>9</v>
      </c>
      <c r="AG30" s="1">
        <v>8.8000000000000007</v>
      </c>
      <c r="AH30" s="1">
        <v>5.6</v>
      </c>
      <c r="AI30" s="1">
        <v>4.5999999999999996</v>
      </c>
      <c r="AJ30" s="1">
        <v>3.4</v>
      </c>
      <c r="AK30" s="1" t="s">
        <v>68</v>
      </c>
      <c r="AL30" s="1">
        <f t="shared" si="7"/>
        <v>5.3999999999999995</v>
      </c>
      <c r="AM30" s="1">
        <f t="shared" si="8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0" t="s">
        <v>69</v>
      </c>
      <c r="B31" s="1" t="s">
        <v>36</v>
      </c>
      <c r="C31" s="1">
        <v>13</v>
      </c>
      <c r="D31" s="1"/>
      <c r="E31" s="1">
        <v>12</v>
      </c>
      <c r="F31" s="1"/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0</v>
      </c>
      <c r="M31" s="1"/>
      <c r="N31" s="1"/>
      <c r="O31" s="1">
        <v>30</v>
      </c>
      <c r="P31" s="1"/>
      <c r="Q31" s="1">
        <f t="shared" si="3"/>
        <v>2.4</v>
      </c>
      <c r="R31" s="5">
        <f t="shared" si="9"/>
        <v>13.199999999999996</v>
      </c>
      <c r="S31" s="5">
        <f t="shared" si="4"/>
        <v>13.199999999999996</v>
      </c>
      <c r="T31" s="5">
        <f>VLOOKUP(A31,филиал!A:B,2,0)</f>
        <v>10</v>
      </c>
      <c r="U31" s="5"/>
      <c r="V31" s="5"/>
      <c r="W31" s="14"/>
      <c r="X31" s="14"/>
      <c r="Y31" s="1">
        <f t="shared" si="5"/>
        <v>18</v>
      </c>
      <c r="Z31" s="1">
        <f t="shared" si="6"/>
        <v>12.5</v>
      </c>
      <c r="AA31" s="1">
        <v>3.8</v>
      </c>
      <c r="AB31" s="1">
        <v>1.8</v>
      </c>
      <c r="AC31" s="1">
        <v>0</v>
      </c>
      <c r="AD31" s="1">
        <v>0.8</v>
      </c>
      <c r="AE31" s="1">
        <v>2.6</v>
      </c>
      <c r="AF31" s="1">
        <v>4.4000000000000004</v>
      </c>
      <c r="AG31" s="1">
        <v>4.4000000000000004</v>
      </c>
      <c r="AH31" s="1">
        <v>2.8</v>
      </c>
      <c r="AI31" s="1">
        <v>2.6</v>
      </c>
      <c r="AJ31" s="1">
        <v>2.6</v>
      </c>
      <c r="AK31" s="1" t="s">
        <v>70</v>
      </c>
      <c r="AL31" s="1">
        <f t="shared" si="7"/>
        <v>2.375999999999999</v>
      </c>
      <c r="AM31" s="1">
        <f t="shared" si="8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0" t="s">
        <v>71</v>
      </c>
      <c r="B32" s="1" t="s">
        <v>36</v>
      </c>
      <c r="C32" s="1">
        <v>316</v>
      </c>
      <c r="D32" s="1">
        <v>592</v>
      </c>
      <c r="E32" s="1">
        <v>224</v>
      </c>
      <c r="F32" s="1">
        <v>412</v>
      </c>
      <c r="G32" s="7">
        <v>0.18</v>
      </c>
      <c r="H32" s="1">
        <v>150</v>
      </c>
      <c r="I32" s="1"/>
      <c r="J32" s="1"/>
      <c r="K32" s="1">
        <v>492</v>
      </c>
      <c r="L32" s="1">
        <f t="shared" si="2"/>
        <v>-268</v>
      </c>
      <c r="M32" s="1"/>
      <c r="N32" s="1"/>
      <c r="O32" s="1">
        <v>870</v>
      </c>
      <c r="P32" s="1"/>
      <c r="Q32" s="1">
        <f t="shared" si="3"/>
        <v>44.8</v>
      </c>
      <c r="R32" s="5"/>
      <c r="S32" s="5">
        <f t="shared" si="4"/>
        <v>0</v>
      </c>
      <c r="T32" s="5"/>
      <c r="U32" s="5"/>
      <c r="V32" s="5"/>
      <c r="W32" s="14"/>
      <c r="X32" s="14"/>
      <c r="Y32" s="1">
        <f t="shared" si="5"/>
        <v>28.616071428571431</v>
      </c>
      <c r="Z32" s="1">
        <f t="shared" si="6"/>
        <v>28.616071428571431</v>
      </c>
      <c r="AA32" s="1">
        <v>95.6</v>
      </c>
      <c r="AB32" s="1">
        <v>75.8</v>
      </c>
      <c r="AC32" s="1">
        <v>75.400000000000006</v>
      </c>
      <c r="AD32" s="1">
        <v>73.2</v>
      </c>
      <c r="AE32" s="1">
        <v>55.8</v>
      </c>
      <c r="AF32" s="1">
        <v>91.6</v>
      </c>
      <c r="AG32" s="1">
        <v>30.8</v>
      </c>
      <c r="AH32" s="1">
        <v>47.2</v>
      </c>
      <c r="AI32" s="1">
        <v>91</v>
      </c>
      <c r="AJ32" s="1">
        <v>44.8</v>
      </c>
      <c r="AK32" s="1"/>
      <c r="AL32" s="1">
        <f t="shared" si="7"/>
        <v>0</v>
      </c>
      <c r="AM32" s="1">
        <f t="shared" si="8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0" t="s">
        <v>72</v>
      </c>
      <c r="B33" s="1" t="s">
        <v>36</v>
      </c>
      <c r="C33" s="1">
        <v>317</v>
      </c>
      <c r="D33" s="1">
        <v>144</v>
      </c>
      <c r="E33" s="1">
        <v>49</v>
      </c>
      <c r="F33" s="1">
        <v>255</v>
      </c>
      <c r="G33" s="7">
        <v>0.18</v>
      </c>
      <c r="H33" s="1">
        <v>150</v>
      </c>
      <c r="I33" s="9" t="s">
        <v>90</v>
      </c>
      <c r="J33" s="1"/>
      <c r="K33" s="1">
        <v>314</v>
      </c>
      <c r="L33" s="1">
        <f t="shared" si="2"/>
        <v>-265</v>
      </c>
      <c r="M33" s="1"/>
      <c r="N33" s="1"/>
      <c r="O33" s="1"/>
      <c r="P33" s="1">
        <v>200</v>
      </c>
      <c r="Q33" s="1">
        <f t="shared" si="3"/>
        <v>9.8000000000000007</v>
      </c>
      <c r="R33" s="5"/>
      <c r="S33" s="5">
        <f t="shared" si="4"/>
        <v>0</v>
      </c>
      <c r="T33" s="5"/>
      <c r="U33" s="5">
        <v>150</v>
      </c>
      <c r="V33" s="5">
        <f>VLOOKUP(A33,сети!A:B,2,0)</f>
        <v>150</v>
      </c>
      <c r="W33" s="14"/>
      <c r="X33" s="14" t="s">
        <v>96</v>
      </c>
      <c r="Y33" s="1">
        <f t="shared" si="5"/>
        <v>26.020408163265305</v>
      </c>
      <c r="Z33" s="1">
        <f t="shared" si="6"/>
        <v>26.020408163265305</v>
      </c>
      <c r="AA33" s="1">
        <v>11</v>
      </c>
      <c r="AB33" s="1">
        <v>9.4</v>
      </c>
      <c r="AC33" s="1">
        <v>10</v>
      </c>
      <c r="AD33" s="1">
        <v>14</v>
      </c>
      <c r="AE33" s="1">
        <v>34</v>
      </c>
      <c r="AF33" s="1">
        <v>14.2</v>
      </c>
      <c r="AG33" s="1">
        <v>8.4</v>
      </c>
      <c r="AH33" s="1">
        <v>6.4</v>
      </c>
      <c r="AI33" s="1">
        <v>5.4</v>
      </c>
      <c r="AJ33" s="1">
        <v>17</v>
      </c>
      <c r="AK33" s="11" t="s">
        <v>60</v>
      </c>
      <c r="AL33" s="1">
        <f t="shared" si="7"/>
        <v>0</v>
      </c>
      <c r="AM33" s="1">
        <f t="shared" si="8"/>
        <v>27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0" t="s">
        <v>73</v>
      </c>
      <c r="B34" s="1" t="s">
        <v>36</v>
      </c>
      <c r="C34" s="1">
        <v>69</v>
      </c>
      <c r="D34" s="1">
        <v>16</v>
      </c>
      <c r="E34" s="1">
        <v>35</v>
      </c>
      <c r="F34" s="1">
        <v>35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-2</v>
      </c>
      <c r="M34" s="1"/>
      <c r="N34" s="1"/>
      <c r="O34" s="1"/>
      <c r="P34" s="1"/>
      <c r="Q34" s="1">
        <f t="shared" si="3"/>
        <v>7</v>
      </c>
      <c r="R34" s="5">
        <f t="shared" si="9"/>
        <v>91</v>
      </c>
      <c r="S34" s="5">
        <f t="shared" si="4"/>
        <v>91</v>
      </c>
      <c r="T34" s="5">
        <f>VLOOKUP(A34,филиал!A:B,2,0)</f>
        <v>96</v>
      </c>
      <c r="U34" s="5"/>
      <c r="V34" s="5"/>
      <c r="W34" s="14"/>
      <c r="X34" s="14"/>
      <c r="Y34" s="1">
        <f t="shared" si="5"/>
        <v>18</v>
      </c>
      <c r="Z34" s="1">
        <f t="shared" si="6"/>
        <v>5</v>
      </c>
      <c r="AA34" s="1">
        <v>2.2000000000000002</v>
      </c>
      <c r="AB34" s="1">
        <v>6.2</v>
      </c>
      <c r="AC34" s="1">
        <v>8.4</v>
      </c>
      <c r="AD34" s="1">
        <v>5.2</v>
      </c>
      <c r="AE34" s="1">
        <v>3</v>
      </c>
      <c r="AF34" s="1">
        <v>7.6</v>
      </c>
      <c r="AG34" s="1">
        <v>9.1999999999999993</v>
      </c>
      <c r="AH34" s="1">
        <v>6.8</v>
      </c>
      <c r="AI34" s="1">
        <v>6</v>
      </c>
      <c r="AJ34" s="1">
        <v>1.6</v>
      </c>
      <c r="AK34" s="1"/>
      <c r="AL34" s="1">
        <f t="shared" si="7"/>
        <v>12.740000000000002</v>
      </c>
      <c r="AM34" s="1">
        <f t="shared" si="8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0" t="s">
        <v>74</v>
      </c>
      <c r="B35" s="1" t="s">
        <v>36</v>
      </c>
      <c r="C35" s="1">
        <v>68</v>
      </c>
      <c r="D35" s="1">
        <v>64</v>
      </c>
      <c r="E35" s="1">
        <v>42</v>
      </c>
      <c r="F35" s="1">
        <v>72</v>
      </c>
      <c r="G35" s="7">
        <v>0.18</v>
      </c>
      <c r="H35" s="1">
        <v>270</v>
      </c>
      <c r="I35" s="1"/>
      <c r="J35" s="1"/>
      <c r="K35" s="1">
        <v>50</v>
      </c>
      <c r="L35" s="1">
        <f t="shared" si="2"/>
        <v>-8</v>
      </c>
      <c r="M35" s="1"/>
      <c r="N35" s="1"/>
      <c r="O35" s="1"/>
      <c r="P35" s="1"/>
      <c r="Q35" s="1">
        <f t="shared" si="3"/>
        <v>8.4</v>
      </c>
      <c r="R35" s="5">
        <f t="shared" si="9"/>
        <v>79.200000000000017</v>
      </c>
      <c r="S35" s="5">
        <f t="shared" si="4"/>
        <v>79.200000000000017</v>
      </c>
      <c r="T35" s="5">
        <f>VLOOKUP(A35,филиал!A:B,2,0)</f>
        <v>80</v>
      </c>
      <c r="U35" s="5"/>
      <c r="V35" s="5"/>
      <c r="W35" s="14"/>
      <c r="X35" s="14"/>
      <c r="Y35" s="1">
        <f t="shared" si="5"/>
        <v>18</v>
      </c>
      <c r="Z35" s="1">
        <f t="shared" si="6"/>
        <v>8.5714285714285712</v>
      </c>
      <c r="AA35" s="1">
        <v>5.4</v>
      </c>
      <c r="AB35" s="1">
        <v>10</v>
      </c>
      <c r="AC35" s="1">
        <v>8.8000000000000007</v>
      </c>
      <c r="AD35" s="1">
        <v>7</v>
      </c>
      <c r="AE35" s="1">
        <v>8</v>
      </c>
      <c r="AF35" s="1">
        <v>8</v>
      </c>
      <c r="AG35" s="1">
        <v>8.1999999999999993</v>
      </c>
      <c r="AH35" s="1">
        <v>9</v>
      </c>
      <c r="AI35" s="1">
        <v>7</v>
      </c>
      <c r="AJ35" s="1">
        <v>5.4</v>
      </c>
      <c r="AK35" s="1"/>
      <c r="AL35" s="1">
        <f t="shared" si="7"/>
        <v>14.256000000000002</v>
      </c>
      <c r="AM35" s="1">
        <f t="shared" si="8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0" t="s">
        <v>75</v>
      </c>
      <c r="B36" s="1" t="s">
        <v>41</v>
      </c>
      <c r="C36" s="1">
        <v>33.450000000000003</v>
      </c>
      <c r="D36" s="1">
        <v>15.93</v>
      </c>
      <c r="E36" s="1">
        <v>26.826000000000001</v>
      </c>
      <c r="F36" s="1">
        <v>22.553999999999998</v>
      </c>
      <c r="G36" s="7">
        <v>1</v>
      </c>
      <c r="H36" s="1">
        <v>180</v>
      </c>
      <c r="I36" s="1"/>
      <c r="J36" s="1"/>
      <c r="K36" s="1">
        <v>29</v>
      </c>
      <c r="L36" s="1">
        <f t="shared" si="2"/>
        <v>-2.1739999999999995</v>
      </c>
      <c r="M36" s="1"/>
      <c r="N36" s="1"/>
      <c r="O36" s="1">
        <v>16</v>
      </c>
      <c r="P36" s="1"/>
      <c r="Q36" s="1">
        <f t="shared" si="3"/>
        <v>5.3651999999999997</v>
      </c>
      <c r="R36" s="5">
        <f t="shared" si="9"/>
        <v>58.019599999999997</v>
      </c>
      <c r="S36" s="5">
        <f t="shared" si="4"/>
        <v>58.019599999999997</v>
      </c>
      <c r="T36" s="5">
        <f>VLOOKUP(A36,филиал!A:B,2,0)</f>
        <v>66</v>
      </c>
      <c r="U36" s="5"/>
      <c r="V36" s="5"/>
      <c r="W36" s="14"/>
      <c r="X36" s="14"/>
      <c r="Y36" s="1">
        <f t="shared" si="5"/>
        <v>18</v>
      </c>
      <c r="Z36" s="1">
        <f t="shared" si="6"/>
        <v>7.1859390143890263</v>
      </c>
      <c r="AA36" s="1">
        <v>3.3832</v>
      </c>
      <c r="AB36" s="1">
        <v>4.6584000000000003</v>
      </c>
      <c r="AC36" s="1">
        <v>2.7492000000000001</v>
      </c>
      <c r="AD36" s="1">
        <v>1.3732</v>
      </c>
      <c r="AE36" s="1">
        <v>2.7864</v>
      </c>
      <c r="AF36" s="1">
        <v>2.1147999999999998</v>
      </c>
      <c r="AG36" s="1">
        <v>0</v>
      </c>
      <c r="AH36" s="1">
        <v>0.76879999999999993</v>
      </c>
      <c r="AI36" s="1">
        <v>2.5832000000000002</v>
      </c>
      <c r="AJ36" s="1">
        <v>0.69920000000000004</v>
      </c>
      <c r="AK36" s="1"/>
      <c r="AL36" s="1">
        <f t="shared" si="7"/>
        <v>58.019599999999997</v>
      </c>
      <c r="AM36" s="1">
        <f t="shared" si="8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0" t="s">
        <v>76</v>
      </c>
      <c r="B37" s="1" t="s">
        <v>41</v>
      </c>
      <c r="C37" s="1">
        <v>16.61</v>
      </c>
      <c r="D37" s="1">
        <v>3.5779999999999998</v>
      </c>
      <c r="E37" s="1">
        <v>3.04</v>
      </c>
      <c r="F37" s="1">
        <v>9.9920000000000009</v>
      </c>
      <c r="G37" s="7">
        <v>1</v>
      </c>
      <c r="H37" s="1">
        <v>180</v>
      </c>
      <c r="I37" s="1"/>
      <c r="J37" s="1"/>
      <c r="K37" s="1">
        <v>10</v>
      </c>
      <c r="L37" s="1">
        <f t="shared" si="2"/>
        <v>-6.96</v>
      </c>
      <c r="M37" s="1"/>
      <c r="N37" s="1"/>
      <c r="O37" s="1">
        <v>33</v>
      </c>
      <c r="P37" s="1"/>
      <c r="Q37" s="1">
        <f t="shared" si="3"/>
        <v>0.60799999999999998</v>
      </c>
      <c r="R37" s="5"/>
      <c r="S37" s="5">
        <f t="shared" si="4"/>
        <v>0</v>
      </c>
      <c r="T37" s="5"/>
      <c r="U37" s="5"/>
      <c r="V37" s="5"/>
      <c r="W37" s="14"/>
      <c r="X37" s="14"/>
      <c r="Y37" s="1">
        <f t="shared" si="5"/>
        <v>70.71052631578948</v>
      </c>
      <c r="Z37" s="1">
        <f t="shared" si="6"/>
        <v>70.71052631578948</v>
      </c>
      <c r="AA37" s="1">
        <v>3.1823999999999999</v>
      </c>
      <c r="AB37" s="1">
        <v>0.65959999999999996</v>
      </c>
      <c r="AC37" s="1">
        <v>1.3371999999999999</v>
      </c>
      <c r="AD37" s="1">
        <v>2.06</v>
      </c>
      <c r="AE37" s="1">
        <v>2.5316000000000001</v>
      </c>
      <c r="AF37" s="1">
        <v>0.67400000000000004</v>
      </c>
      <c r="AG37" s="1">
        <v>1.9556</v>
      </c>
      <c r="AH37" s="1">
        <v>0.49800000000000011</v>
      </c>
      <c r="AI37" s="1">
        <v>3.7759999999999998</v>
      </c>
      <c r="AJ37" s="1">
        <v>0</v>
      </c>
      <c r="AK37" s="1" t="s">
        <v>77</v>
      </c>
      <c r="AL37" s="1">
        <f t="shared" si="7"/>
        <v>0</v>
      </c>
      <c r="AM37" s="1">
        <f t="shared" si="8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0" t="s">
        <v>78</v>
      </c>
      <c r="B38" s="1" t="s">
        <v>41</v>
      </c>
      <c r="C38" s="1">
        <v>48.997999999999998</v>
      </c>
      <c r="D38" s="1"/>
      <c r="E38" s="1">
        <v>18.802</v>
      </c>
      <c r="F38" s="1">
        <v>30.196000000000002</v>
      </c>
      <c r="G38" s="7">
        <v>1</v>
      </c>
      <c r="H38" s="1">
        <v>180</v>
      </c>
      <c r="I38" s="1"/>
      <c r="J38" s="1"/>
      <c r="K38" s="1">
        <v>20.9</v>
      </c>
      <c r="L38" s="1">
        <f t="shared" si="2"/>
        <v>-2.097999999999999</v>
      </c>
      <c r="M38" s="1"/>
      <c r="N38" s="1"/>
      <c r="O38" s="1">
        <v>16</v>
      </c>
      <c r="P38" s="1"/>
      <c r="Q38" s="1">
        <f t="shared" si="3"/>
        <v>3.7603999999999997</v>
      </c>
      <c r="R38" s="5">
        <f t="shared" si="9"/>
        <v>21.491199999999989</v>
      </c>
      <c r="S38" s="5">
        <f t="shared" si="4"/>
        <v>21.491199999999989</v>
      </c>
      <c r="T38" s="5">
        <f>VLOOKUP(A38,филиал!A:B,2,0)</f>
        <v>16</v>
      </c>
      <c r="U38" s="5"/>
      <c r="V38" s="5"/>
      <c r="W38" s="14"/>
      <c r="X38" s="14"/>
      <c r="Y38" s="1">
        <f t="shared" si="5"/>
        <v>18</v>
      </c>
      <c r="Z38" s="1">
        <f t="shared" si="6"/>
        <v>12.284863312413574</v>
      </c>
      <c r="AA38" s="1">
        <v>1.1832</v>
      </c>
      <c r="AB38" s="1">
        <v>6.6988000000000003</v>
      </c>
      <c r="AC38" s="1">
        <v>5.6875999999999998</v>
      </c>
      <c r="AD38" s="1">
        <v>3.0771999999999999</v>
      </c>
      <c r="AE38" s="1">
        <v>4.3231999999999999</v>
      </c>
      <c r="AF38" s="1">
        <v>6.6019999999999994</v>
      </c>
      <c r="AG38" s="1">
        <v>1.9152</v>
      </c>
      <c r="AH38" s="1">
        <v>3.4420000000000002</v>
      </c>
      <c r="AI38" s="1">
        <v>4.5936000000000003</v>
      </c>
      <c r="AJ38" s="1">
        <v>1.9608000000000001</v>
      </c>
      <c r="AK38" s="1"/>
      <c r="AL38" s="1">
        <f t="shared" si="7"/>
        <v>21.491199999999989</v>
      </c>
      <c r="AM38" s="1">
        <f t="shared" si="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0" t="s">
        <v>79</v>
      </c>
      <c r="B39" s="1" t="s">
        <v>41</v>
      </c>
      <c r="C39" s="1">
        <v>98.447999999999993</v>
      </c>
      <c r="D39" s="1"/>
      <c r="E39" s="1">
        <v>6.3460000000000001</v>
      </c>
      <c r="F39" s="1">
        <v>86.373999999999995</v>
      </c>
      <c r="G39" s="7">
        <v>1</v>
      </c>
      <c r="H39" s="1">
        <v>180</v>
      </c>
      <c r="I39" s="1"/>
      <c r="J39" s="1"/>
      <c r="K39" s="1">
        <v>6</v>
      </c>
      <c r="L39" s="1">
        <f t="shared" si="2"/>
        <v>0.34600000000000009</v>
      </c>
      <c r="M39" s="1"/>
      <c r="N39" s="1"/>
      <c r="O39" s="1"/>
      <c r="P39" s="1"/>
      <c r="Q39" s="1">
        <f t="shared" si="3"/>
        <v>1.2692000000000001</v>
      </c>
      <c r="R39" s="5"/>
      <c r="S39" s="5">
        <f t="shared" si="4"/>
        <v>0</v>
      </c>
      <c r="T39" s="5"/>
      <c r="U39" s="5"/>
      <c r="V39" s="5"/>
      <c r="W39" s="14"/>
      <c r="X39" s="14"/>
      <c r="Y39" s="1">
        <f t="shared" si="5"/>
        <v>68.053892215568851</v>
      </c>
      <c r="Z39" s="1">
        <f t="shared" si="6"/>
        <v>68.053892215568851</v>
      </c>
      <c r="AA39" s="1">
        <v>1.8360000000000001</v>
      </c>
      <c r="AB39" s="1">
        <v>2.9596</v>
      </c>
      <c r="AC39" s="1">
        <v>1.1559999999999999</v>
      </c>
      <c r="AD39" s="1">
        <v>0.69520000000000004</v>
      </c>
      <c r="AE39" s="1">
        <v>0.59960000000000002</v>
      </c>
      <c r="AF39" s="1">
        <v>1.1588000000000001</v>
      </c>
      <c r="AG39" s="1">
        <v>0</v>
      </c>
      <c r="AH39" s="1">
        <v>0.61199999999999999</v>
      </c>
      <c r="AI39" s="1">
        <v>2.6760000000000002</v>
      </c>
      <c r="AJ39" s="1">
        <v>0.63880000000000003</v>
      </c>
      <c r="AK39" s="12" t="s">
        <v>37</v>
      </c>
      <c r="AL39" s="1">
        <f t="shared" si="7"/>
        <v>0</v>
      </c>
      <c r="AM39" s="1">
        <f t="shared" si="8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0" t="s">
        <v>80</v>
      </c>
      <c r="B40" s="1" t="s">
        <v>36</v>
      </c>
      <c r="C40" s="1">
        <v>372</v>
      </c>
      <c r="D40" s="1">
        <v>250</v>
      </c>
      <c r="E40" s="1">
        <v>192</v>
      </c>
      <c r="F40" s="1">
        <v>377</v>
      </c>
      <c r="G40" s="7">
        <v>0.1</v>
      </c>
      <c r="H40" s="1">
        <v>60</v>
      </c>
      <c r="I40" s="1"/>
      <c r="J40" s="1"/>
      <c r="K40" s="1">
        <v>226</v>
      </c>
      <c r="L40" s="1">
        <f t="shared" si="2"/>
        <v>-34</v>
      </c>
      <c r="M40" s="1"/>
      <c r="N40" s="1"/>
      <c r="O40" s="1">
        <v>12</v>
      </c>
      <c r="P40" s="1"/>
      <c r="Q40" s="1">
        <f t="shared" si="3"/>
        <v>38.4</v>
      </c>
      <c r="R40" s="5">
        <f t="shared" si="9"/>
        <v>302.19999999999993</v>
      </c>
      <c r="S40" s="5">
        <f t="shared" si="4"/>
        <v>302.19999999999993</v>
      </c>
      <c r="T40" s="5">
        <f>VLOOKUP(A40,филиал!A:B,2,0)</f>
        <v>300</v>
      </c>
      <c r="U40" s="5"/>
      <c r="V40" s="5"/>
      <c r="W40" s="14"/>
      <c r="X40" s="14"/>
      <c r="Y40" s="1">
        <f t="shared" si="5"/>
        <v>18</v>
      </c>
      <c r="Z40" s="1">
        <f t="shared" si="6"/>
        <v>10.130208333333334</v>
      </c>
      <c r="AA40" s="1">
        <v>19.399999999999999</v>
      </c>
      <c r="AB40" s="1">
        <v>44.4</v>
      </c>
      <c r="AC40" s="1">
        <v>47</v>
      </c>
      <c r="AD40" s="1">
        <v>30.2</v>
      </c>
      <c r="AE40" s="1">
        <v>36.6</v>
      </c>
      <c r="AF40" s="1">
        <v>49.2</v>
      </c>
      <c r="AG40" s="1">
        <v>0</v>
      </c>
      <c r="AH40" s="1">
        <v>0.8</v>
      </c>
      <c r="AI40" s="1">
        <v>-0.4</v>
      </c>
      <c r="AJ40" s="1">
        <v>-0.4</v>
      </c>
      <c r="AK40" s="1"/>
      <c r="AL40" s="1">
        <f t="shared" si="7"/>
        <v>30.219999999999995</v>
      </c>
      <c r="AM40" s="1">
        <f t="shared" si="8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0" t="s">
        <v>81</v>
      </c>
      <c r="B41" s="1" t="s">
        <v>36</v>
      </c>
      <c r="C41" s="1">
        <v>123</v>
      </c>
      <c r="D41" s="1">
        <v>330</v>
      </c>
      <c r="E41" s="1">
        <v>115</v>
      </c>
      <c r="F41" s="1">
        <v>258</v>
      </c>
      <c r="G41" s="7">
        <v>0.1</v>
      </c>
      <c r="H41" s="1">
        <v>90</v>
      </c>
      <c r="I41" s="1"/>
      <c r="J41" s="1"/>
      <c r="K41" s="1">
        <v>228</v>
      </c>
      <c r="L41" s="1">
        <f t="shared" si="2"/>
        <v>-113</v>
      </c>
      <c r="M41" s="1"/>
      <c r="N41" s="1"/>
      <c r="O41" s="1">
        <v>450</v>
      </c>
      <c r="P41" s="1"/>
      <c r="Q41" s="1">
        <f t="shared" si="3"/>
        <v>23</v>
      </c>
      <c r="R41" s="5"/>
      <c r="S41" s="5">
        <f t="shared" si="4"/>
        <v>0</v>
      </c>
      <c r="T41" s="5"/>
      <c r="U41" s="5">
        <v>200</v>
      </c>
      <c r="V41" s="5">
        <f>VLOOKUP(A41,сети!A:B,2,0)</f>
        <v>198</v>
      </c>
      <c r="W41" s="14"/>
      <c r="X41" s="14" t="s">
        <v>97</v>
      </c>
      <c r="Y41" s="1">
        <f t="shared" si="5"/>
        <v>30.782608695652176</v>
      </c>
      <c r="Z41" s="1">
        <f t="shared" si="6"/>
        <v>30.782608695652176</v>
      </c>
      <c r="AA41" s="1">
        <v>48.2</v>
      </c>
      <c r="AB41" s="1">
        <v>33.799999999999997</v>
      </c>
      <c r="AC41" s="1">
        <v>32.799999999999997</v>
      </c>
      <c r="AD41" s="1">
        <v>44.8</v>
      </c>
      <c r="AE41" s="1">
        <v>33.799999999999997</v>
      </c>
      <c r="AF41" s="1">
        <v>31.4</v>
      </c>
      <c r="AG41" s="1">
        <v>33.4</v>
      </c>
      <c r="AH41" s="1">
        <v>67</v>
      </c>
      <c r="AI41" s="1">
        <v>49</v>
      </c>
      <c r="AJ41" s="1">
        <v>35.4</v>
      </c>
      <c r="AK41" s="1"/>
      <c r="AL41" s="1">
        <f t="shared" si="7"/>
        <v>0</v>
      </c>
      <c r="AM41" s="1">
        <f t="shared" si="8"/>
        <v>20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0" t="s">
        <v>82</v>
      </c>
      <c r="B42" s="1" t="s">
        <v>41</v>
      </c>
      <c r="C42" s="1">
        <v>8.1560000000000006</v>
      </c>
      <c r="D42" s="1"/>
      <c r="E42" s="1">
        <v>2.3119999999999998</v>
      </c>
      <c r="F42" s="1">
        <v>5.8440000000000003</v>
      </c>
      <c r="G42" s="7">
        <v>1</v>
      </c>
      <c r="H42" s="1"/>
      <c r="I42" s="1"/>
      <c r="J42" s="1"/>
      <c r="K42" s="1">
        <v>2.9</v>
      </c>
      <c r="L42" s="1">
        <f t="shared" si="2"/>
        <v>-0.58800000000000008</v>
      </c>
      <c r="M42" s="1"/>
      <c r="N42" s="1"/>
      <c r="O42" s="1">
        <v>12</v>
      </c>
      <c r="P42" s="1"/>
      <c r="Q42" s="1">
        <f t="shared" si="3"/>
        <v>0.46239999999999998</v>
      </c>
      <c r="R42" s="5"/>
      <c r="S42" s="5">
        <f t="shared" si="4"/>
        <v>0</v>
      </c>
      <c r="T42" s="5"/>
      <c r="U42" s="5"/>
      <c r="V42" s="5"/>
      <c r="W42" s="14"/>
      <c r="X42" s="14"/>
      <c r="Y42" s="1">
        <f t="shared" si="5"/>
        <v>38.589965397923876</v>
      </c>
      <c r="Z42" s="1">
        <f t="shared" si="6"/>
        <v>38.589965397923876</v>
      </c>
      <c r="AA42" s="1">
        <v>1.0915999999999999</v>
      </c>
      <c r="AB42" s="1">
        <v>0.56600000000000006</v>
      </c>
      <c r="AC42" s="1">
        <v>1.2756000000000001</v>
      </c>
      <c r="AD42" s="1">
        <v>0.79279999999999995</v>
      </c>
      <c r="AE42" s="1">
        <v>0</v>
      </c>
      <c r="AF42" s="1">
        <v>0</v>
      </c>
      <c r="AG42" s="1">
        <v>0.24940000000000001</v>
      </c>
      <c r="AH42" s="1">
        <v>0.54160000000000008</v>
      </c>
      <c r="AI42" s="1">
        <v>0</v>
      </c>
      <c r="AJ42" s="1">
        <v>0</v>
      </c>
      <c r="AK42" s="1" t="s">
        <v>83</v>
      </c>
      <c r="AL42" s="1">
        <f t="shared" si="7"/>
        <v>0</v>
      </c>
      <c r="AM42" s="1">
        <f t="shared" si="8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0" t="s">
        <v>84</v>
      </c>
      <c r="B43" s="1" t="s">
        <v>36</v>
      </c>
      <c r="C43" s="1">
        <v>143</v>
      </c>
      <c r="D43" s="1">
        <v>32</v>
      </c>
      <c r="E43" s="1">
        <v>52</v>
      </c>
      <c r="F43" s="1">
        <v>100</v>
      </c>
      <c r="G43" s="7">
        <v>0.14000000000000001</v>
      </c>
      <c r="H43" s="1">
        <v>180</v>
      </c>
      <c r="I43" s="1"/>
      <c r="J43" s="1"/>
      <c r="K43" s="1">
        <v>54</v>
      </c>
      <c r="L43" s="1">
        <f t="shared" si="2"/>
        <v>-2</v>
      </c>
      <c r="M43" s="1"/>
      <c r="N43" s="1"/>
      <c r="O43" s="1"/>
      <c r="P43" s="1"/>
      <c r="Q43" s="1">
        <f t="shared" si="3"/>
        <v>10.4</v>
      </c>
      <c r="R43" s="5">
        <f t="shared" si="9"/>
        <v>87.200000000000017</v>
      </c>
      <c r="S43" s="5">
        <f t="shared" si="4"/>
        <v>87.200000000000017</v>
      </c>
      <c r="T43" s="5">
        <f>VLOOKUP(A43,филиал!A:B,2,0)</f>
        <v>80</v>
      </c>
      <c r="U43" s="5"/>
      <c r="V43" s="5"/>
      <c r="W43" s="14"/>
      <c r="X43" s="14"/>
      <c r="Y43" s="1">
        <f t="shared" si="5"/>
        <v>18</v>
      </c>
      <c r="Z43" s="1">
        <f t="shared" si="6"/>
        <v>9.615384615384615</v>
      </c>
      <c r="AA43" s="1">
        <v>2.8</v>
      </c>
      <c r="AB43" s="1">
        <v>10.8</v>
      </c>
      <c r="AC43" s="1">
        <v>15.2</v>
      </c>
      <c r="AD43" s="1">
        <v>8.1999999999999993</v>
      </c>
      <c r="AE43" s="1">
        <v>8.4</v>
      </c>
      <c r="AF43" s="1">
        <v>12.8</v>
      </c>
      <c r="AG43" s="1">
        <v>12.2</v>
      </c>
      <c r="AH43" s="1">
        <v>14.8</v>
      </c>
      <c r="AI43" s="1">
        <v>10.6</v>
      </c>
      <c r="AJ43" s="1">
        <v>8</v>
      </c>
      <c r="AK43" s="1"/>
      <c r="AL43" s="1">
        <f t="shared" si="7"/>
        <v>12.208000000000004</v>
      </c>
      <c r="AM43" s="1">
        <f t="shared" si="8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0" t="s">
        <v>85</v>
      </c>
      <c r="B44" s="1" t="s">
        <v>36</v>
      </c>
      <c r="C44" s="1">
        <v>40</v>
      </c>
      <c r="D44" s="1">
        <v>60</v>
      </c>
      <c r="E44" s="1">
        <v>22</v>
      </c>
      <c r="F44" s="1">
        <v>76</v>
      </c>
      <c r="G44" s="7">
        <v>0.2</v>
      </c>
      <c r="H44" s="1">
        <v>120</v>
      </c>
      <c r="I44" s="1"/>
      <c r="J44" s="1"/>
      <c r="K44" s="1">
        <v>22</v>
      </c>
      <c r="L44" s="1">
        <f t="shared" si="2"/>
        <v>0</v>
      </c>
      <c r="M44" s="1"/>
      <c r="N44" s="1"/>
      <c r="O44" s="1">
        <v>30</v>
      </c>
      <c r="P44" s="1"/>
      <c r="Q44" s="1">
        <f t="shared" si="3"/>
        <v>4.4000000000000004</v>
      </c>
      <c r="R44" s="5"/>
      <c r="S44" s="5">
        <f t="shared" si="4"/>
        <v>0</v>
      </c>
      <c r="T44" s="5"/>
      <c r="U44" s="5"/>
      <c r="V44" s="5"/>
      <c r="W44" s="14"/>
      <c r="X44" s="14"/>
      <c r="Y44" s="1">
        <f t="shared" si="5"/>
        <v>24.09090909090909</v>
      </c>
      <c r="Z44" s="1">
        <f t="shared" si="6"/>
        <v>24.09090909090909</v>
      </c>
      <c r="AA44" s="1">
        <v>5</v>
      </c>
      <c r="AB44" s="1">
        <v>9</v>
      </c>
      <c r="AC44" s="1">
        <v>7.6</v>
      </c>
      <c r="AD44" s="1">
        <v>2.8</v>
      </c>
      <c r="AE44" s="1">
        <v>4.4000000000000004</v>
      </c>
      <c r="AF44" s="1">
        <v>5.8</v>
      </c>
      <c r="AG44" s="1">
        <v>2.4</v>
      </c>
      <c r="AH44" s="1">
        <v>4</v>
      </c>
      <c r="AI44" s="1">
        <v>1.2</v>
      </c>
      <c r="AJ44" s="1">
        <v>2.4</v>
      </c>
      <c r="AK44" s="1"/>
      <c r="AL44" s="1">
        <f t="shared" si="7"/>
        <v>0</v>
      </c>
      <c r="AM44" s="1">
        <f t="shared" si="8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0" t="s">
        <v>86</v>
      </c>
      <c r="B45" s="1" t="s">
        <v>41</v>
      </c>
      <c r="C45" s="1">
        <v>-1.8</v>
      </c>
      <c r="D45" s="1"/>
      <c r="E45" s="1"/>
      <c r="F45" s="1">
        <v>-1.8</v>
      </c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>
        <f t="shared" si="3"/>
        <v>0</v>
      </c>
      <c r="R45" s="5"/>
      <c r="S45" s="5">
        <f t="shared" si="4"/>
        <v>0</v>
      </c>
      <c r="T45" s="5"/>
      <c r="U45" s="5"/>
      <c r="V45" s="5"/>
      <c r="W45" s="14"/>
      <c r="X45" s="14"/>
      <c r="Y45" s="1" t="e">
        <f t="shared" si="5"/>
        <v>#DIV/0!</v>
      </c>
      <c r="Z45" s="1" t="e">
        <f t="shared" si="6"/>
        <v>#DIV/0!</v>
      </c>
      <c r="AA45" s="1">
        <v>1.3675999999999999</v>
      </c>
      <c r="AB45" s="1">
        <v>1.2427999999999999</v>
      </c>
      <c r="AC45" s="1">
        <v>0.55519999999999992</v>
      </c>
      <c r="AD45" s="1">
        <v>0</v>
      </c>
      <c r="AE45" s="1">
        <v>0</v>
      </c>
      <c r="AF45" s="1">
        <v>0.64680000000000004</v>
      </c>
      <c r="AG45" s="1">
        <v>1.2376</v>
      </c>
      <c r="AH45" s="1">
        <v>0.64039999999999997</v>
      </c>
      <c r="AI45" s="1">
        <v>0</v>
      </c>
      <c r="AJ45" s="1">
        <v>0.67400000000000004</v>
      </c>
      <c r="AK45" s="1" t="s">
        <v>87</v>
      </c>
      <c r="AL45" s="1">
        <f t="shared" si="7"/>
        <v>0</v>
      </c>
      <c r="AM45" s="1">
        <f t="shared" si="8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0" t="s">
        <v>88</v>
      </c>
      <c r="B46" s="1" t="s">
        <v>36</v>
      </c>
      <c r="C46" s="1">
        <v>5</v>
      </c>
      <c r="D46" s="1">
        <v>90</v>
      </c>
      <c r="E46" s="1">
        <v>15</v>
      </c>
      <c r="F46" s="1">
        <v>78</v>
      </c>
      <c r="G46" s="7">
        <v>0.2</v>
      </c>
      <c r="H46" s="1">
        <v>120</v>
      </c>
      <c r="I46" s="1"/>
      <c r="J46" s="1"/>
      <c r="K46" s="1">
        <v>19</v>
      </c>
      <c r="L46" s="1">
        <f t="shared" si="2"/>
        <v>-4</v>
      </c>
      <c r="M46" s="1"/>
      <c r="N46" s="1"/>
      <c r="O46" s="1">
        <v>20</v>
      </c>
      <c r="P46" s="1"/>
      <c r="Q46" s="1">
        <f t="shared" si="3"/>
        <v>3</v>
      </c>
      <c r="R46" s="5"/>
      <c r="S46" s="5">
        <f t="shared" si="4"/>
        <v>0</v>
      </c>
      <c r="T46" s="5"/>
      <c r="U46" s="5"/>
      <c r="V46" s="5"/>
      <c r="W46" s="14"/>
      <c r="X46" s="14"/>
      <c r="Y46" s="1">
        <f t="shared" si="5"/>
        <v>32.666666666666664</v>
      </c>
      <c r="Z46" s="1">
        <f t="shared" si="6"/>
        <v>32.666666666666664</v>
      </c>
      <c r="AA46" s="1">
        <v>8.1999999999999993</v>
      </c>
      <c r="AB46" s="1">
        <v>9.8000000000000007</v>
      </c>
      <c r="AC46" s="1">
        <v>7.4</v>
      </c>
      <c r="AD46" s="1">
        <v>2.2000000000000002</v>
      </c>
      <c r="AE46" s="1">
        <v>4.4000000000000004</v>
      </c>
      <c r="AF46" s="1">
        <v>5</v>
      </c>
      <c r="AG46" s="1">
        <v>4.4000000000000004</v>
      </c>
      <c r="AH46" s="1">
        <v>4.2</v>
      </c>
      <c r="AI46" s="1">
        <v>2.8</v>
      </c>
      <c r="AJ46" s="1">
        <v>2.4</v>
      </c>
      <c r="AK46" s="1"/>
      <c r="AL46" s="1">
        <f t="shared" si="7"/>
        <v>0</v>
      </c>
      <c r="AM46" s="1">
        <f t="shared" si="8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0" t="s">
        <v>89</v>
      </c>
      <c r="B47" s="1" t="s">
        <v>41</v>
      </c>
      <c r="C47" s="1">
        <v>7.1959999999999997</v>
      </c>
      <c r="D47" s="1">
        <v>59.38</v>
      </c>
      <c r="E47" s="1">
        <v>7.1959999999999997</v>
      </c>
      <c r="F47" s="1">
        <v>51.996000000000002</v>
      </c>
      <c r="G47" s="7">
        <v>1</v>
      </c>
      <c r="H47" s="1">
        <v>120</v>
      </c>
      <c r="I47" s="1"/>
      <c r="J47" s="1"/>
      <c r="K47" s="1">
        <v>7</v>
      </c>
      <c r="L47" s="1">
        <f t="shared" si="2"/>
        <v>0.19599999999999973</v>
      </c>
      <c r="M47" s="1"/>
      <c r="N47" s="1"/>
      <c r="O47" s="1">
        <v>45</v>
      </c>
      <c r="P47" s="1"/>
      <c r="Q47" s="1">
        <f t="shared" si="3"/>
        <v>1.4392</v>
      </c>
      <c r="R47" s="5"/>
      <c r="S47" s="5">
        <v>10</v>
      </c>
      <c r="T47" s="5">
        <f>VLOOKUP(A47,филиал!A:B,2,0)</f>
        <v>15</v>
      </c>
      <c r="U47" s="5"/>
      <c r="V47" s="5"/>
      <c r="W47" s="14">
        <f>VLOOKUP(A47,[1]Sheet!$A:$S,19,0)</f>
        <v>50</v>
      </c>
      <c r="X47" s="14"/>
      <c r="Y47" s="1">
        <f t="shared" si="5"/>
        <v>74.344080044469152</v>
      </c>
      <c r="Z47" s="1">
        <f t="shared" si="6"/>
        <v>67.395775430794885</v>
      </c>
      <c r="AA47" s="1">
        <v>2.964</v>
      </c>
      <c r="AB47" s="1">
        <v>5.9272</v>
      </c>
      <c r="AC47" s="1">
        <v>2.8123999999999998</v>
      </c>
      <c r="AD47" s="1">
        <v>4.7555999999999994</v>
      </c>
      <c r="AE47" s="1">
        <v>2.7023999999999999</v>
      </c>
      <c r="AF47" s="1">
        <v>0.66039999999999999</v>
      </c>
      <c r="AG47" s="1">
        <v>0.73239999999999994</v>
      </c>
      <c r="AH47" s="1">
        <v>6.3247999999999998</v>
      </c>
      <c r="AI47" s="1">
        <v>6.3176000000000014</v>
      </c>
      <c r="AJ47" s="1">
        <v>1.4259999999999999</v>
      </c>
      <c r="AK47" s="1"/>
      <c r="AL47" s="1">
        <f t="shared" si="7"/>
        <v>10</v>
      </c>
      <c r="AM47" s="1">
        <f t="shared" si="8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L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02E0-312A-46C2-A8C2-6D29DC6FE64C}">
  <dimension ref="A1:B2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40</v>
      </c>
    </row>
    <row r="2" spans="1:2" x14ac:dyDescent="0.25">
      <c r="A2" t="s">
        <v>42</v>
      </c>
      <c r="B2">
        <v>12</v>
      </c>
    </row>
    <row r="3" spans="1:2" x14ac:dyDescent="0.25">
      <c r="A3" t="s">
        <v>43</v>
      </c>
      <c r="B3">
        <v>12</v>
      </c>
    </row>
    <row r="4" spans="1:2" x14ac:dyDescent="0.25">
      <c r="A4" t="s">
        <v>44</v>
      </c>
      <c r="B4">
        <v>16</v>
      </c>
    </row>
    <row r="5" spans="1:2" x14ac:dyDescent="0.25">
      <c r="A5" t="s">
        <v>46</v>
      </c>
      <c r="B5">
        <v>96</v>
      </c>
    </row>
    <row r="6" spans="1:2" x14ac:dyDescent="0.25">
      <c r="A6" t="s">
        <v>47</v>
      </c>
      <c r="B6">
        <v>24</v>
      </c>
    </row>
    <row r="7" spans="1:2" x14ac:dyDescent="0.25">
      <c r="A7" t="s">
        <v>48</v>
      </c>
      <c r="B7">
        <v>456</v>
      </c>
    </row>
    <row r="8" spans="1:2" x14ac:dyDescent="0.25">
      <c r="A8" t="s">
        <v>49</v>
      </c>
      <c r="B8">
        <v>180</v>
      </c>
    </row>
    <row r="9" spans="1:2" x14ac:dyDescent="0.25">
      <c r="A9" t="s">
        <v>51</v>
      </c>
      <c r="B9">
        <v>80</v>
      </c>
    </row>
    <row r="10" spans="1:2" x14ac:dyDescent="0.25">
      <c r="A10" t="s">
        <v>52</v>
      </c>
      <c r="B10">
        <v>80</v>
      </c>
    </row>
    <row r="11" spans="1:2" x14ac:dyDescent="0.25">
      <c r="A11" t="s">
        <v>53</v>
      </c>
      <c r="B11">
        <v>410</v>
      </c>
    </row>
    <row r="12" spans="1:2" x14ac:dyDescent="0.25">
      <c r="A12" t="s">
        <v>54</v>
      </c>
      <c r="B12">
        <v>170</v>
      </c>
    </row>
    <row r="13" spans="1:2" x14ac:dyDescent="0.25">
      <c r="A13" t="s">
        <v>55</v>
      </c>
      <c r="B13">
        <v>16</v>
      </c>
    </row>
    <row r="14" spans="1:2" x14ac:dyDescent="0.25">
      <c r="A14" t="s">
        <v>58</v>
      </c>
      <c r="B14">
        <v>102</v>
      </c>
    </row>
    <row r="15" spans="1:2" x14ac:dyDescent="0.25">
      <c r="A15" t="s">
        <v>59</v>
      </c>
      <c r="B15">
        <v>200</v>
      </c>
    </row>
    <row r="16" spans="1:2" x14ac:dyDescent="0.25">
      <c r="A16" t="s">
        <v>62</v>
      </c>
      <c r="B16">
        <v>32</v>
      </c>
    </row>
    <row r="17" spans="1:2" x14ac:dyDescent="0.25">
      <c r="A17" t="s">
        <v>63</v>
      </c>
      <c r="B17">
        <v>130</v>
      </c>
    </row>
    <row r="18" spans="1:2" x14ac:dyDescent="0.25">
      <c r="A18" t="s">
        <v>65</v>
      </c>
      <c r="B18">
        <v>340</v>
      </c>
    </row>
    <row r="19" spans="1:2" x14ac:dyDescent="0.25">
      <c r="A19" t="s">
        <v>67</v>
      </c>
      <c r="B19">
        <v>30</v>
      </c>
    </row>
    <row r="20" spans="1:2" x14ac:dyDescent="0.25">
      <c r="A20" t="s">
        <v>69</v>
      </c>
      <c r="B20">
        <v>10</v>
      </c>
    </row>
    <row r="21" spans="1:2" x14ac:dyDescent="0.25">
      <c r="A21" t="s">
        <v>73</v>
      </c>
      <c r="B21">
        <v>96</v>
      </c>
    </row>
    <row r="22" spans="1:2" x14ac:dyDescent="0.25">
      <c r="A22" t="s">
        <v>74</v>
      </c>
      <c r="B22">
        <v>80</v>
      </c>
    </row>
    <row r="23" spans="1:2" x14ac:dyDescent="0.25">
      <c r="A23" t="s">
        <v>75</v>
      </c>
      <c r="B23">
        <v>66</v>
      </c>
    </row>
    <row r="24" spans="1:2" x14ac:dyDescent="0.25">
      <c r="A24" t="s">
        <v>78</v>
      </c>
      <c r="B24">
        <v>16</v>
      </c>
    </row>
    <row r="25" spans="1:2" x14ac:dyDescent="0.25">
      <c r="A25" t="s">
        <v>80</v>
      </c>
      <c r="B25">
        <v>300</v>
      </c>
    </row>
    <row r="26" spans="1:2" x14ac:dyDescent="0.25">
      <c r="A26" t="s">
        <v>84</v>
      </c>
      <c r="B26">
        <v>80</v>
      </c>
    </row>
    <row r="27" spans="1:2" x14ac:dyDescent="0.25">
      <c r="A27" t="s">
        <v>89</v>
      </c>
      <c r="B2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13B1-7C0E-41A3-8F9C-B7AA74946D43}">
  <dimension ref="A1:B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59</v>
      </c>
      <c r="B1">
        <v>256</v>
      </c>
    </row>
    <row r="2" spans="1:2" x14ac:dyDescent="0.25">
      <c r="A2" t="s">
        <v>65</v>
      </c>
      <c r="B2">
        <v>380</v>
      </c>
    </row>
    <row r="3" spans="1:2" x14ac:dyDescent="0.25">
      <c r="A3" t="s">
        <v>72</v>
      </c>
      <c r="B3">
        <v>150</v>
      </c>
    </row>
    <row r="4" spans="1:2" x14ac:dyDescent="0.25">
      <c r="A4" t="s">
        <v>81</v>
      </c>
      <c r="B4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филиал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2026-09-30T16:52:37Z</dcterms:created>
  <dcterms:modified xsi:type="dcterms:W3CDTF">2026-10-02T06:19:39Z</dcterms:modified>
</cp:coreProperties>
</file>