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"/>
    </mc:Choice>
  </mc:AlternateContent>
  <xr:revisionPtr revIDLastSave="0" documentId="13_ncr:1_{694C6F32-D029-454B-BFEA-5613E309567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</sheets>
  <externalReferences>
    <externalReference r:id="rId3"/>
  </externalReferences>
  <definedNames>
    <definedName name="_xlnm._FilterDatabase" localSheetId="0" hidden="1">Sheet!$A$3:$AI$54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10" i="1" l="1"/>
  <c r="T11" i="1"/>
  <c r="T12" i="1"/>
  <c r="T16" i="1"/>
  <c r="T19" i="1"/>
  <c r="T20" i="1"/>
  <c r="T23" i="1"/>
  <c r="T24" i="1"/>
  <c r="T26" i="1"/>
  <c r="T31" i="1"/>
  <c r="T33" i="1"/>
  <c r="T34" i="1"/>
  <c r="T35" i="1"/>
  <c r="T36" i="1"/>
  <c r="T38" i="1"/>
  <c r="T42" i="1"/>
  <c r="T50" i="1"/>
  <c r="T5" i="1"/>
  <c r="Q44" i="1" l="1"/>
  <c r="S7" i="1"/>
  <c r="S8" i="1"/>
  <c r="AI8" i="1" s="1"/>
  <c r="S9" i="1"/>
  <c r="AI9" i="1" s="1"/>
  <c r="S10" i="1"/>
  <c r="AI10" i="1" s="1"/>
  <c r="S11" i="1"/>
  <c r="AI11" i="1" s="1"/>
  <c r="AI12" i="1"/>
  <c r="S13" i="1"/>
  <c r="AI13" i="1" s="1"/>
  <c r="S14" i="1"/>
  <c r="AI14" i="1" s="1"/>
  <c r="S15" i="1"/>
  <c r="AI16" i="1"/>
  <c r="S17" i="1"/>
  <c r="AI17" i="1" s="1"/>
  <c r="S18" i="1"/>
  <c r="AI18" i="1" s="1"/>
  <c r="AI20" i="1"/>
  <c r="S21" i="1"/>
  <c r="S22" i="1"/>
  <c r="AI22" i="1" s="1"/>
  <c r="AI24" i="1"/>
  <c r="S25" i="1"/>
  <c r="AI25" i="1" s="1"/>
  <c r="AI26" i="1"/>
  <c r="S27" i="1"/>
  <c r="S28" i="1"/>
  <c r="AI28" i="1" s="1"/>
  <c r="S29" i="1"/>
  <c r="AI29" i="1" s="1"/>
  <c r="S30" i="1"/>
  <c r="AI30" i="1" s="1"/>
  <c r="S32" i="1"/>
  <c r="AI32" i="1" s="1"/>
  <c r="AI34" i="1"/>
  <c r="AI36" i="1"/>
  <c r="S37" i="1"/>
  <c r="AI38" i="1"/>
  <c r="S39" i="1"/>
  <c r="S40" i="1"/>
  <c r="AI40" i="1" s="1"/>
  <c r="S41" i="1"/>
  <c r="AI42" i="1"/>
  <c r="S43" i="1"/>
  <c r="S44" i="1"/>
  <c r="AI44" i="1" s="1"/>
  <c r="S45" i="1"/>
  <c r="S46" i="1"/>
  <c r="AI46" i="1" s="1"/>
  <c r="S47" i="1"/>
  <c r="S48" i="1"/>
  <c r="AI48" i="1" s="1"/>
  <c r="S49" i="1"/>
  <c r="AI50" i="1"/>
  <c r="S51" i="1"/>
  <c r="S52" i="1"/>
  <c r="AI52" i="1" s="1"/>
  <c r="S53" i="1"/>
  <c r="S54" i="1"/>
  <c r="AI54" i="1" s="1"/>
  <c r="S6" i="1"/>
  <c r="AI6" i="1" s="1"/>
  <c r="AI7" i="1"/>
  <c r="AI15" i="1"/>
  <c r="AI19" i="1"/>
  <c r="AI21" i="1"/>
  <c r="AI23" i="1"/>
  <c r="AI27" i="1"/>
  <c r="AI33" i="1"/>
  <c r="AI37" i="1"/>
  <c r="AI39" i="1"/>
  <c r="AI41" i="1"/>
  <c r="AI43" i="1"/>
  <c r="AI45" i="1"/>
  <c r="AI47" i="1"/>
  <c r="AI49" i="1"/>
  <c r="AI51" i="1"/>
  <c r="AI53" i="1"/>
  <c r="U9" i="1"/>
  <c r="U12" i="1"/>
  <c r="U14" i="1"/>
  <c r="U15" i="1"/>
  <c r="U16" i="1"/>
  <c r="U18" i="1"/>
  <c r="U19" i="1"/>
  <c r="U20" i="1"/>
  <c r="U22" i="1"/>
  <c r="U23" i="1"/>
  <c r="U24" i="1"/>
  <c r="U25" i="1"/>
  <c r="U26" i="1"/>
  <c r="U27" i="1"/>
  <c r="U30" i="1"/>
  <c r="U33" i="1"/>
  <c r="U34" i="1"/>
  <c r="U36" i="1"/>
  <c r="U37" i="1"/>
  <c r="U38" i="1"/>
  <c r="U39" i="1"/>
  <c r="U42" i="1"/>
  <c r="U44" i="1"/>
  <c r="U45" i="1"/>
  <c r="U46" i="1"/>
  <c r="U47" i="1"/>
  <c r="U49" i="1"/>
  <c r="U50" i="1"/>
  <c r="U51" i="1"/>
  <c r="U54" i="1"/>
  <c r="U6" i="1"/>
  <c r="V44" i="1" l="1"/>
  <c r="U5" i="1"/>
  <c r="Q54" i="1" l="1"/>
  <c r="V54" i="1" s="1"/>
  <c r="L54" i="1"/>
  <c r="Q53" i="1"/>
  <c r="V53" i="1" s="1"/>
  <c r="L53" i="1"/>
  <c r="F52" i="1"/>
  <c r="E52" i="1"/>
  <c r="Q52" i="1" s="1"/>
  <c r="Q51" i="1"/>
  <c r="V51" i="1" s="1"/>
  <c r="L51" i="1"/>
  <c r="Q50" i="1"/>
  <c r="L50" i="1"/>
  <c r="Q49" i="1"/>
  <c r="V49" i="1" s="1"/>
  <c r="L49" i="1"/>
  <c r="Q48" i="1"/>
  <c r="L48" i="1"/>
  <c r="Q47" i="1"/>
  <c r="V47" i="1" s="1"/>
  <c r="L47" i="1"/>
  <c r="Q46" i="1"/>
  <c r="L46" i="1"/>
  <c r="Q45" i="1"/>
  <c r="V45" i="1" s="1"/>
  <c r="L45" i="1"/>
  <c r="W44" i="1"/>
  <c r="L44" i="1"/>
  <c r="Q43" i="1"/>
  <c r="V43" i="1" s="1"/>
  <c r="L43" i="1"/>
  <c r="Q42" i="1"/>
  <c r="L42" i="1"/>
  <c r="Q41" i="1"/>
  <c r="V41" i="1" s="1"/>
  <c r="L41" i="1"/>
  <c r="Q40" i="1"/>
  <c r="L40" i="1"/>
  <c r="Q39" i="1"/>
  <c r="V39" i="1" s="1"/>
  <c r="L39" i="1"/>
  <c r="Q38" i="1"/>
  <c r="L38" i="1"/>
  <c r="Q37" i="1"/>
  <c r="V37" i="1" s="1"/>
  <c r="L37" i="1"/>
  <c r="Q36" i="1"/>
  <c r="L36" i="1"/>
  <c r="Q35" i="1"/>
  <c r="L35" i="1"/>
  <c r="Q34" i="1"/>
  <c r="L34" i="1"/>
  <c r="Q33" i="1"/>
  <c r="V33" i="1" s="1"/>
  <c r="L33" i="1"/>
  <c r="Q32" i="1"/>
  <c r="L32" i="1"/>
  <c r="Q31" i="1"/>
  <c r="R31" i="1" s="1"/>
  <c r="S31" i="1" s="1"/>
  <c r="L31" i="1"/>
  <c r="Q30" i="1"/>
  <c r="L30" i="1"/>
  <c r="Q29" i="1"/>
  <c r="V29" i="1" s="1"/>
  <c r="L29" i="1"/>
  <c r="Q28" i="1"/>
  <c r="V28" i="1" s="1"/>
  <c r="L28" i="1"/>
  <c r="Q27" i="1"/>
  <c r="L27" i="1"/>
  <c r="Q26" i="1"/>
  <c r="V26" i="1" s="1"/>
  <c r="L26" i="1"/>
  <c r="Q25" i="1"/>
  <c r="L25" i="1"/>
  <c r="Q24" i="1"/>
  <c r="V24" i="1" s="1"/>
  <c r="L24" i="1"/>
  <c r="Q23" i="1"/>
  <c r="L23" i="1"/>
  <c r="Q22" i="1"/>
  <c r="V22" i="1" s="1"/>
  <c r="L22" i="1"/>
  <c r="Q21" i="1"/>
  <c r="L21" i="1"/>
  <c r="Q20" i="1"/>
  <c r="L20" i="1"/>
  <c r="Q19" i="1"/>
  <c r="L19" i="1"/>
  <c r="Q18" i="1"/>
  <c r="V18" i="1" s="1"/>
  <c r="L18" i="1"/>
  <c r="Q17" i="1"/>
  <c r="L17" i="1"/>
  <c r="Q16" i="1"/>
  <c r="V16" i="1" s="1"/>
  <c r="L16" i="1"/>
  <c r="Q15" i="1"/>
  <c r="L15" i="1"/>
  <c r="Q14" i="1"/>
  <c r="V14" i="1" s="1"/>
  <c r="L14" i="1"/>
  <c r="Q13" i="1"/>
  <c r="L13" i="1"/>
  <c r="Q12" i="1"/>
  <c r="L12" i="1"/>
  <c r="Q11" i="1"/>
  <c r="L11" i="1"/>
  <c r="Q10" i="1"/>
  <c r="V10" i="1" s="1"/>
  <c r="L10" i="1"/>
  <c r="Q9" i="1"/>
  <c r="L9" i="1"/>
  <c r="Q8" i="1"/>
  <c r="V8" i="1" s="1"/>
  <c r="L8" i="1"/>
  <c r="Q7" i="1"/>
  <c r="L7" i="1"/>
  <c r="Q6" i="1"/>
  <c r="V6" i="1" s="1"/>
  <c r="L6" i="1"/>
  <c r="AG5" i="1"/>
  <c r="AF5" i="1"/>
  <c r="AE5" i="1"/>
  <c r="AD5" i="1"/>
  <c r="AC5" i="1"/>
  <c r="AB5" i="1"/>
  <c r="AA5" i="1"/>
  <c r="Z5" i="1"/>
  <c r="Y5" i="1"/>
  <c r="X5" i="1"/>
  <c r="P5" i="1"/>
  <c r="O5" i="1"/>
  <c r="N5" i="1"/>
  <c r="M5" i="1"/>
  <c r="K5" i="1"/>
  <c r="W7" i="1" l="1"/>
  <c r="V7" i="1"/>
  <c r="W9" i="1"/>
  <c r="V9" i="1"/>
  <c r="W11" i="1"/>
  <c r="V11" i="1"/>
  <c r="R12" i="1"/>
  <c r="V12" i="1"/>
  <c r="W13" i="1"/>
  <c r="V13" i="1"/>
  <c r="W15" i="1"/>
  <c r="V15" i="1"/>
  <c r="W17" i="1"/>
  <c r="V17" i="1"/>
  <c r="W19" i="1"/>
  <c r="V19" i="1"/>
  <c r="R20" i="1"/>
  <c r="V20" i="1"/>
  <c r="W21" i="1"/>
  <c r="V21" i="1"/>
  <c r="W23" i="1"/>
  <c r="V23" i="1"/>
  <c r="W25" i="1"/>
  <c r="V25" i="1"/>
  <c r="W27" i="1"/>
  <c r="V27" i="1"/>
  <c r="W30" i="1"/>
  <c r="V30" i="1"/>
  <c r="AI31" i="1"/>
  <c r="V31" i="1"/>
  <c r="W32" i="1"/>
  <c r="V32" i="1"/>
  <c r="W34" i="1"/>
  <c r="V34" i="1"/>
  <c r="W36" i="1"/>
  <c r="V36" i="1"/>
  <c r="W38" i="1"/>
  <c r="V38" i="1"/>
  <c r="W40" i="1"/>
  <c r="V40" i="1"/>
  <c r="W42" i="1"/>
  <c r="V42" i="1"/>
  <c r="W46" i="1"/>
  <c r="V46" i="1"/>
  <c r="W48" i="1"/>
  <c r="V48" i="1"/>
  <c r="W50" i="1"/>
  <c r="V50" i="1"/>
  <c r="F5" i="1"/>
  <c r="V52" i="1"/>
  <c r="R50" i="1"/>
  <c r="E5" i="1"/>
  <c r="R36" i="1"/>
  <c r="R16" i="1"/>
  <c r="R33" i="1"/>
  <c r="R35" i="1"/>
  <c r="S35" i="1" s="1"/>
  <c r="W52" i="1"/>
  <c r="Q5" i="1"/>
  <c r="W6" i="1"/>
  <c r="W8" i="1"/>
  <c r="W10" i="1"/>
  <c r="W12" i="1"/>
  <c r="W14" i="1"/>
  <c r="W16" i="1"/>
  <c r="W18" i="1"/>
  <c r="W20" i="1"/>
  <c r="W22" i="1"/>
  <c r="W24" i="1"/>
  <c r="W26" i="1"/>
  <c r="W28" i="1"/>
  <c r="W29" i="1"/>
  <c r="W31" i="1"/>
  <c r="W33" i="1"/>
  <c r="W35" i="1"/>
  <c r="W37" i="1"/>
  <c r="W39" i="1"/>
  <c r="W41" i="1"/>
  <c r="W43" i="1"/>
  <c r="W45" i="1"/>
  <c r="W47" i="1"/>
  <c r="W49" i="1"/>
  <c r="W51" i="1"/>
  <c r="L52" i="1"/>
  <c r="L5" i="1" s="1"/>
  <c r="W53" i="1"/>
  <c r="W54" i="1"/>
  <c r="AI35" i="1" l="1"/>
  <c r="V35" i="1"/>
  <c r="S5" i="1"/>
  <c r="R5" i="1"/>
  <c r="AI5" i="1" l="1"/>
</calcChain>
</file>

<file path=xl/sharedStrings.xml><?xml version="1.0" encoding="utf-8"?>
<sst xmlns="http://schemas.openxmlformats.org/spreadsheetml/2006/main" count="227" uniqueCount="110">
  <si>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</si>
  <si>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</si>
  <si>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</si>
  <si>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</si>
  <si>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</si>
  <si>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</si>
  <si>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</si>
  <si>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</si>
  <si>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</si>
  <si>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</si>
  <si>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</si>
  <si>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</si>
  <si>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</si>
  <si>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</si>
  <si>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</si>
  <si>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</si>
  <si>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</si>
  <si>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</si>
  <si>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</si>
  <si>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</si>
  <si>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</si>
  <si>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</si>
  <si>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28,09,Бер</t>
  </si>
  <si>
    <t>05,10,</t>
  </si>
  <si>
    <t>06,10,</t>
  </si>
  <si>
    <t>30,09,</t>
  </si>
  <si>
    <t>23,09,</t>
  </si>
  <si>
    <t>16,09,</t>
  </si>
  <si>
    <t>08,09,</t>
  </si>
  <si>
    <t>01,09,</t>
  </si>
  <si>
    <t>25,08,</t>
  </si>
  <si>
    <t>18,08,</t>
  </si>
  <si>
    <t>11,08,</t>
  </si>
  <si>
    <t>04,08,</t>
  </si>
  <si>
    <t>28,07,</t>
  </si>
  <si>
    <t>1103201 Сыр копченый "Косичка" мини ПАПА МОЖЕТ 55г лоток  ОСТАНКИНО</t>
  </si>
  <si>
    <t>шт</t>
  </si>
  <si>
    <t>нужно увеличить продажи / 9шт списано (19,09,26)</t>
  </si>
  <si>
    <t>2103201 БЖП, произведенный по технологии сыра копченый "Косичка" мини Ассорти  ОСТАНКИНО</t>
  </si>
  <si>
    <t>нужно увеличить продажи!!!</t>
  </si>
  <si>
    <t>2105201 БЖП, произведенный по технологии сыра копченый "Балык" резаный 4 вкуса  ОСТАНКИНО</t>
  </si>
  <si>
    <t>нужно увеличить продажи</t>
  </si>
  <si>
    <t>3323 Сыр Российский цилиндр 1/4 пленка ЮКМП м.д.ж. 50%  ОСТАНКИНО</t>
  </si>
  <si>
    <t>кг</t>
  </si>
  <si>
    <t>4421577 Спред растительно-сливочный "Сливочный вкус" 82,5% 180гр  Останкино</t>
  </si>
  <si>
    <t>нет на заводе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</si>
  <si>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</si>
  <si>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</si>
  <si>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</si>
  <si>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72шт списано (19,09,26)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</si>
  <si>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</si>
  <si>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</si>
  <si>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</si>
  <si>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</si>
  <si>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9988421 Творожный Сыр 60 % С маринованными огурчиками и укропом  Останкино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</si>
  <si>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</si>
  <si>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</si>
  <si>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Cыр Перлини со вкусом Васаби 40% 100гр (8шт)  Останкино</t>
  </si>
  <si>
    <t>Масло "Папа может" 82,5% 180гр  Останкино</t>
  </si>
  <si>
    <t>Масло сливочное 72,5 % 180 гр.(10 шт) СЛАВЯНА  Останкино</t>
  </si>
  <si>
    <t>1345шт разовая продажа (11,08,26)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</si>
  <si>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</si>
  <si>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</si>
  <si>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Плавленый сыр "Шоколадный" 30% 180гр Папа Может Останкино</t>
  </si>
  <si>
    <t>Продукт По-Росийски Классический с ЗМЖ 50% 200г Коровино Останкино</t>
  </si>
  <si>
    <t>5шт списано (19,09,26) / 19 списано (16,09,26)</t>
  </si>
  <si>
    <t>Продукт По-Росийски Классический с ЗМЖ 50% ВЕС Коровино Останкино</t>
  </si>
  <si>
    <t>нет потребности</t>
  </si>
  <si>
    <t>нет потребности / 15кг списано (14,09,26)</t>
  </si>
  <si>
    <t>Продукт белково-жировой Сметанковый 50% ВЕС Коровино Останкино</t>
  </si>
  <si>
    <t>Сыр "Пармезан" 40% кусок 180 гр  ОСТАНКИНО</t>
  </si>
  <si>
    <t>60шт списано (22,09,26) / 56шт списано (19,09,26)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</si>
  <si>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</si>
  <si>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</si>
  <si>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</si>
  <si>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</si>
  <si>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77шт списано (22,09,26) / 18шт списано (19,09,26)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</si>
  <si>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</si>
  <si>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</si>
  <si>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121 шт списана (29,08,26 - пересорт)</t>
  </si>
  <si>
    <t>Сыр ПАПА МОЖЕТ "Папин завтрак"  45% 180 г  Останкино</t>
  </si>
  <si>
    <t>34шт списано (22,09,26) / 19шт списано (19,09,26)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</si>
  <si>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</si>
  <si>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</si>
  <si>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Скаморца свежий 100 гр.  ОСТАНКИНО</t>
  </si>
  <si>
    <t>14шт списано (16,09,26)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</si>
  <si>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</si>
  <si>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</si>
  <si>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</si>
  <si>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</si>
  <si>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</si>
  <si>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</si>
  <si>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</si>
  <si>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</si>
  <si>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</si>
  <si>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</si>
  <si>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</si>
  <si>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</si>
  <si>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50% 200г СЗМЖ  ОСТАНКИНО</t>
  </si>
  <si>
    <t>дубль</t>
  </si>
  <si>
    <t>Сыч/Прод Коровино Тильзитер Оригин 50% ВЕС НОВАЯ (5 кг брус) СЗМЖ  ОСТАНКИНО</t>
  </si>
  <si>
    <t>37шт списано (30,09,26)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</si>
  <si>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8кг списано (30,09,26)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</si>
  <si>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не стабильные продажи</t>
    </r>
  </si>
  <si>
    <t>ТЗ 14дн+1нд доставка</t>
  </si>
  <si>
    <t>ТК</t>
  </si>
  <si>
    <t>Титенок</t>
  </si>
  <si>
    <t>итого</t>
  </si>
  <si>
    <t>заказ</t>
  </si>
  <si>
    <t>12,10,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</si>
</sst>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2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2" fontId="0" fillId="0" borderId="0" xfId="0" applyNumberFormat="1" applyBorder="1"/>
    <xf numFmtId="2" fontId="2" fillId="2" borderId="1" xfId="1" applyNumberFormat="1" applyFont="1" applyFill="1"/>
    <xf numFmtId="164" fontId="1" fillId="0" borderId="1" xfId="1" applyNumberFormat="1"/>
    <xf numFmtId="2" fontId="1" fillId="0" borderId="1" xfId="1" applyNumberFormat="1"/>
    <xf numFmtId="164" fontId="1" fillId="0" borderId="2" xfId="1" applyNumberFormat="1" applyBorder="1"/>
    <xf numFmtId="0" fontId="0" fillId="0" borderId="0" xfId="0" applyBorder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4" borderId="1" xfId="1" applyNumberFormat="1" applyFont="1" applyFill="1"/>
    <xf numFmtId="164" fontId="5" fillId="5" borderId="1" xfId="1" applyNumberFormat="1" applyFont="1" applyFill="1"/>
    <xf numFmtId="164" fontId="1" fillId="0" borderId="1" xfId="1" applyNumberFormat="1" applyFill="1"/>
    <xf numFmtId="164" fontId="1" fillId="6" borderId="1" xfId="1" applyNumberFormat="1" applyFill="1"/>
    <xf numFmtId="164" fontId="6" fillId="6" borderId="1" xfId="1" applyNumberFormat="1" applyFont="1" applyFill="1"/>
    <xf numFmtId="164" fontId="4" fillId="0" borderId="1" xfId="1" applyNumberFormat="1" applyFont="1"/>
    <xf numFmtId="164" fontId="4" fillId="6" borderId="1" xfId="1" applyNumberFormat="1" applyFont="1" applyFill="1"/>
    <xf numFmtId="164" fontId="1" fillId="0" borderId="1" xfId="1" applyNumberFormat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2025_05/&#1056;&#1040;&#1041;&#1054;&#1063;&#1048;&#1049;%20&#1057;&#1058;&#1054;&#1051;/&#1088;&#1072;&#1089;&#1095;&#1077;&#1090;&#1099;%20&#1054;&#1089;&#1090;&#1072;&#1085;&#1082;&#1080;&#1085;&#1086;%20&#1057;&#1067;&#1056;&#1067;/_&#1076;&#1074;%2006,10,26%20&#1073;&#1088;&#1088;&#1089;&#1095;%20&#1086;&#1089;&#1090;%20&#1089;&#1099;&#1088;%20(&#1058;&#1080;&#1090;&#1077;&#1085;&#1086;&#108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ср нов</v>
          </cell>
          <cell r="R3" t="str">
            <v>расчет</v>
          </cell>
        </row>
        <row r="4">
          <cell r="O4" t="str">
            <v>28,09,Бер</v>
          </cell>
          <cell r="P4" t="str">
            <v>05,10,</v>
          </cell>
          <cell r="Q4" t="str">
            <v>06,10,</v>
          </cell>
        </row>
        <row r="5">
          <cell r="E5">
            <v>2780.5859999999998</v>
          </cell>
          <cell r="F5">
            <v>3503.3449999999993</v>
          </cell>
          <cell r="K5">
            <v>3246.2400000000002</v>
          </cell>
          <cell r="L5">
            <v>-465.654</v>
          </cell>
          <cell r="M5">
            <v>0</v>
          </cell>
          <cell r="N5">
            <v>0</v>
          </cell>
          <cell r="O5">
            <v>5608</v>
          </cell>
          <cell r="P5">
            <v>5844</v>
          </cell>
          <cell r="Q5">
            <v>556.11720000000003</v>
          </cell>
          <cell r="R5">
            <v>918.54079999999999</v>
          </cell>
          <cell r="S5">
            <v>4840</v>
          </cell>
        </row>
        <row r="6">
          <cell r="A6" t="str">
            <v>1103201 Сыр копченый "Косичка" мини ПАПА МОЖЕТ 55г лоток  ОСТАНКИНО</v>
          </cell>
          <cell r="B6" t="str">
            <v>шт</v>
          </cell>
          <cell r="C6">
            <v>4</v>
          </cell>
          <cell r="D6">
            <v>1</v>
          </cell>
          <cell r="F6">
            <v>5</v>
          </cell>
          <cell r="G6">
            <v>5.5E-2</v>
          </cell>
          <cell r="H6">
            <v>120</v>
          </cell>
          <cell r="L6">
            <v>0</v>
          </cell>
          <cell r="O6">
            <v>24</v>
          </cell>
          <cell r="Q6">
            <v>0</v>
          </cell>
          <cell r="S6">
            <v>70</v>
          </cell>
        </row>
        <row r="7">
          <cell r="A7" t="str">
            <v>2103201 БЖП, произведенный по технологии сыра копченый "Косичка" мини Ассорти  ОСТАНКИНО</v>
          </cell>
          <cell r="B7" t="str">
            <v>шт</v>
          </cell>
          <cell r="C7">
            <v>42</v>
          </cell>
          <cell r="D7">
            <v>28</v>
          </cell>
          <cell r="F7">
            <v>46</v>
          </cell>
          <cell r="G7">
            <v>0.1</v>
          </cell>
          <cell r="H7">
            <v>120</v>
          </cell>
          <cell r="L7">
            <v>0</v>
          </cell>
          <cell r="Q7">
            <v>0</v>
          </cell>
        </row>
        <row r="8">
          <cell r="A8" t="str">
            <v>2105201 БЖП, произведенный по технологии сыра копченый "Балык" резаный 4 вкуса  ОСТАНКИНО</v>
          </cell>
          <cell r="B8" t="str">
            <v>шт</v>
          </cell>
          <cell r="C8">
            <v>15</v>
          </cell>
          <cell r="F8">
            <v>15</v>
          </cell>
          <cell r="G8">
            <v>0.1</v>
          </cell>
          <cell r="H8">
            <v>120</v>
          </cell>
          <cell r="L8">
            <v>0</v>
          </cell>
          <cell r="O8">
            <v>24</v>
          </cell>
          <cell r="Q8">
            <v>0</v>
          </cell>
        </row>
        <row r="9">
          <cell r="A9" t="str">
            <v>3323 Сыр Российский цилиндр 1/4 пленка ЮКМП м.д.ж. 50%  ОСТАНКИНО</v>
          </cell>
          <cell r="B9" t="str">
            <v>кг</v>
          </cell>
          <cell r="C9">
            <v>231.892</v>
          </cell>
          <cell r="D9">
            <v>201.73</v>
          </cell>
          <cell r="E9">
            <v>32.148000000000003</v>
          </cell>
          <cell r="F9">
            <v>199.21600000000001</v>
          </cell>
          <cell r="G9">
            <v>1</v>
          </cell>
          <cell r="H9">
            <v>120</v>
          </cell>
          <cell r="K9">
            <v>34.24</v>
          </cell>
          <cell r="L9">
            <v>-2.0919999999999987</v>
          </cell>
          <cell r="O9">
            <v>50</v>
          </cell>
          <cell r="P9">
            <v>100</v>
          </cell>
          <cell r="Q9">
            <v>6.4296000000000006</v>
          </cell>
          <cell r="S9">
            <v>150</v>
          </cell>
        </row>
        <row r="10">
          <cell r="A10" t="str">
            <v>4421577 Спред растительно-сливочный "Сливочный вкус" 82,5% 180гр  Останкино</v>
          </cell>
          <cell r="B10" t="str">
            <v>шт</v>
          </cell>
          <cell r="G10">
            <v>0.18</v>
          </cell>
          <cell r="H10">
            <v>180</v>
          </cell>
          <cell r="L10">
            <v>0</v>
          </cell>
          <cell r="P10">
            <v>0</v>
          </cell>
          <cell r="Q10">
            <v>0</v>
          </cell>
          <cell r="R10">
            <v>12</v>
          </cell>
        </row>
        <row r="11">
          <cell r="A11" t="str">
            <v>4421584 Спред растительно-сливочный "Сливочный вкус" 72,5% 180гр  Останкино</v>
          </cell>
          <cell r="B11" t="str">
            <v>шт</v>
          </cell>
          <cell r="G11">
            <v>0.18</v>
          </cell>
          <cell r="H11">
            <v>180</v>
          </cell>
          <cell r="L11">
            <v>0</v>
          </cell>
          <cell r="P11">
            <v>0</v>
          </cell>
          <cell r="Q11">
            <v>0</v>
          </cell>
          <cell r="R11">
            <v>12</v>
          </cell>
        </row>
        <row r="12">
          <cell r="A12" t="str">
            <v>4931  Сыр полутвердый "Купеческий" с ароматом топленого молока, с м.д.ж. 50% ОСТАНКИНО</v>
          </cell>
          <cell r="B12" t="str">
            <v>кг</v>
          </cell>
          <cell r="C12">
            <v>41.927999999999997</v>
          </cell>
          <cell r="D12">
            <v>3.1259999999999999</v>
          </cell>
          <cell r="E12">
            <v>41.927999999999997</v>
          </cell>
          <cell r="G12">
            <v>1</v>
          </cell>
          <cell r="H12">
            <v>180</v>
          </cell>
          <cell r="K12">
            <v>54.1</v>
          </cell>
          <cell r="L12">
            <v>-12.172000000000004</v>
          </cell>
          <cell r="O12">
            <v>16</v>
          </cell>
          <cell r="P12">
            <v>66</v>
          </cell>
          <cell r="Q12">
            <v>8.3856000000000002</v>
          </cell>
          <cell r="R12">
            <v>68.940799999999996</v>
          </cell>
          <cell r="S12">
            <v>300</v>
          </cell>
        </row>
        <row r="13">
          <cell r="A13" t="str">
            <v>6948249 Майонезный соус провансаль 824,5гр деликатес.с массовой долей жирн.25% Коровино Останкино</v>
          </cell>
          <cell r="B13" t="str">
            <v>шт</v>
          </cell>
          <cell r="G13">
            <v>0.82450000000000001</v>
          </cell>
          <cell r="H13">
            <v>180</v>
          </cell>
          <cell r="L13">
            <v>0</v>
          </cell>
          <cell r="O13">
            <v>96</v>
          </cell>
          <cell r="P13">
            <v>48</v>
          </cell>
          <cell r="Q13">
            <v>0</v>
          </cell>
        </row>
        <row r="14">
          <cell r="A14" t="str">
            <v>6948256 Майонез провансаль классич.оливковый Папа может 372гр с массовой долей жирн. 67% Останкино</v>
          </cell>
          <cell r="B14" t="str">
            <v>шт</v>
          </cell>
          <cell r="C14">
            <v>371</v>
          </cell>
          <cell r="D14">
            <v>2</v>
          </cell>
          <cell r="E14">
            <v>88</v>
          </cell>
          <cell r="F14">
            <v>277</v>
          </cell>
          <cell r="G14">
            <v>0.372</v>
          </cell>
          <cell r="H14">
            <v>180</v>
          </cell>
          <cell r="K14">
            <v>86</v>
          </cell>
          <cell r="L14">
            <v>2</v>
          </cell>
          <cell r="O14">
            <v>144</v>
          </cell>
          <cell r="P14">
            <v>96</v>
          </cell>
          <cell r="Q14">
            <v>17.600000000000001</v>
          </cell>
          <cell r="S14">
            <v>200</v>
          </cell>
        </row>
        <row r="15">
          <cell r="A15" t="str">
            <v>6948263 Майонез провансаль классич.оливковый Папа может 744гр с массовой долей жирн. 67% Останкино</v>
          </cell>
          <cell r="B15" t="str">
            <v>шт</v>
          </cell>
          <cell r="C15">
            <v>181</v>
          </cell>
          <cell r="E15">
            <v>26</v>
          </cell>
          <cell r="F15">
            <v>152</v>
          </cell>
          <cell r="G15">
            <v>0.74399999999999999</v>
          </cell>
          <cell r="H15">
            <v>180</v>
          </cell>
          <cell r="K15">
            <v>26</v>
          </cell>
          <cell r="L15">
            <v>0</v>
          </cell>
          <cell r="O15">
            <v>216</v>
          </cell>
          <cell r="P15">
            <v>96</v>
          </cell>
          <cell r="Q15">
            <v>5.2</v>
          </cell>
          <cell r="S15">
            <v>200</v>
          </cell>
        </row>
        <row r="16">
          <cell r="A16" t="str">
            <v>6948270 Майонез провансаль классич.Папа может 372гр с массовой долей жирн. 67% Останкино</v>
          </cell>
          <cell r="B16" t="str">
            <v>шт</v>
          </cell>
          <cell r="C16">
            <v>139</v>
          </cell>
          <cell r="D16">
            <v>5</v>
          </cell>
          <cell r="E16">
            <v>139</v>
          </cell>
          <cell r="G16">
            <v>0.372</v>
          </cell>
          <cell r="H16">
            <v>180</v>
          </cell>
          <cell r="K16">
            <v>175</v>
          </cell>
          <cell r="L16">
            <v>-36</v>
          </cell>
          <cell r="O16">
            <v>300</v>
          </cell>
          <cell r="P16">
            <v>96</v>
          </cell>
          <cell r="Q16">
            <v>27.8</v>
          </cell>
          <cell r="R16">
            <v>104.40000000000003</v>
          </cell>
          <cell r="S16">
            <v>250</v>
          </cell>
        </row>
        <row r="17">
          <cell r="A17" t="str">
            <v>6948287 Майонез провансаль классич.Папа может 744гр с массовой долей жирн. 67% Останкино</v>
          </cell>
          <cell r="B17" t="str">
            <v>шт</v>
          </cell>
          <cell r="C17">
            <v>696</v>
          </cell>
          <cell r="D17">
            <v>2</v>
          </cell>
          <cell r="E17">
            <v>130</v>
          </cell>
          <cell r="F17">
            <v>555</v>
          </cell>
          <cell r="G17">
            <v>0.74399999999999999</v>
          </cell>
          <cell r="H17">
            <v>180</v>
          </cell>
          <cell r="K17">
            <v>142</v>
          </cell>
          <cell r="L17">
            <v>-12</v>
          </cell>
          <cell r="O17">
            <v>96</v>
          </cell>
          <cell r="Q17">
            <v>26</v>
          </cell>
        </row>
        <row r="18">
          <cell r="A18" t="str">
            <v>9988421 Творожный Сыр 60 % С маринованными огурчиками и укропом  Останкино</v>
          </cell>
          <cell r="B18" t="str">
            <v>шт</v>
          </cell>
          <cell r="C18">
            <v>21</v>
          </cell>
          <cell r="E18">
            <v>12</v>
          </cell>
          <cell r="F18">
            <v>7</v>
          </cell>
          <cell r="G18">
            <v>0.14000000000000001</v>
          </cell>
          <cell r="H18">
            <v>180</v>
          </cell>
          <cell r="K18">
            <v>13</v>
          </cell>
          <cell r="L18">
            <v>-1</v>
          </cell>
          <cell r="O18">
            <v>16</v>
          </cell>
          <cell r="P18">
            <v>32</v>
          </cell>
          <cell r="Q18">
            <v>2.4</v>
          </cell>
          <cell r="S18">
            <v>50</v>
          </cell>
        </row>
        <row r="19">
          <cell r="A19" t="str">
            <v>9988438 Плавленый Сыр 45% "С ветчиной" СТМ"ПапаМожет" 180гр  Останкино</v>
          </cell>
          <cell r="B19" t="str">
            <v>шт</v>
          </cell>
          <cell r="C19">
            <v>40</v>
          </cell>
          <cell r="D19">
            <v>1</v>
          </cell>
          <cell r="E19">
            <v>40</v>
          </cell>
          <cell r="G19">
            <v>0.18</v>
          </cell>
          <cell r="H19">
            <v>270</v>
          </cell>
          <cell r="K19">
            <v>80</v>
          </cell>
          <cell r="L19">
            <v>-40</v>
          </cell>
          <cell r="O19">
            <v>144</v>
          </cell>
          <cell r="P19">
            <v>32</v>
          </cell>
          <cell r="Q19">
            <v>8</v>
          </cell>
          <cell r="S19">
            <v>50</v>
          </cell>
        </row>
        <row r="20">
          <cell r="A20" t="str">
            <v>9988445 Плавленый Сыр 45%"С грибами" СТМ"ПапаМожет" 180 гр  Останкино</v>
          </cell>
          <cell r="B20" t="str">
            <v>шт</v>
          </cell>
          <cell r="C20">
            <v>184</v>
          </cell>
          <cell r="D20">
            <v>1</v>
          </cell>
          <cell r="E20">
            <v>64</v>
          </cell>
          <cell r="F20">
            <v>105</v>
          </cell>
          <cell r="G20">
            <v>0.18</v>
          </cell>
          <cell r="H20">
            <v>270</v>
          </cell>
          <cell r="K20">
            <v>71</v>
          </cell>
          <cell r="L20">
            <v>-7</v>
          </cell>
          <cell r="O20">
            <v>48</v>
          </cell>
          <cell r="Q20">
            <v>12.8</v>
          </cell>
          <cell r="R20">
            <v>77.400000000000006</v>
          </cell>
          <cell r="S20">
            <v>150</v>
          </cell>
        </row>
        <row r="21">
          <cell r="A21" t="str">
            <v>Cыр Перлини со вкусом Васаби 40% 100гр (8шт)  Останкино</v>
          </cell>
          <cell r="B21" t="str">
            <v>шт</v>
          </cell>
          <cell r="C21">
            <v>37</v>
          </cell>
          <cell r="E21">
            <v>-1</v>
          </cell>
          <cell r="G21">
            <v>0.1</v>
          </cell>
          <cell r="H21">
            <v>60</v>
          </cell>
          <cell r="K21">
            <v>1</v>
          </cell>
          <cell r="L21">
            <v>-2</v>
          </cell>
          <cell r="O21">
            <v>16</v>
          </cell>
          <cell r="P21">
            <v>40</v>
          </cell>
          <cell r="Q21">
            <v>-0.2</v>
          </cell>
        </row>
        <row r="22">
          <cell r="A22" t="str">
            <v>Масло "Папа может" 82,5% 180гр  Останкино</v>
          </cell>
          <cell r="B22" t="str">
            <v>шт</v>
          </cell>
          <cell r="C22">
            <v>745</v>
          </cell>
          <cell r="D22">
            <v>342</v>
          </cell>
          <cell r="E22">
            <v>438</v>
          </cell>
          <cell r="F22">
            <v>284</v>
          </cell>
          <cell r="G22">
            <v>0.18</v>
          </cell>
          <cell r="H22">
            <v>180</v>
          </cell>
          <cell r="K22">
            <v>458</v>
          </cell>
          <cell r="L22">
            <v>-20</v>
          </cell>
          <cell r="O22">
            <v>1000</v>
          </cell>
          <cell r="P22">
            <v>1200</v>
          </cell>
          <cell r="Q22">
            <v>87.6</v>
          </cell>
          <cell r="S22">
            <v>500</v>
          </cell>
        </row>
        <row r="23">
          <cell r="A23" t="str">
            <v>Масло сливочное 72,5 % 180 гр.(10 шт) СЛАВЯНА  Останкино</v>
          </cell>
          <cell r="B23" t="str">
            <v>шт</v>
          </cell>
          <cell r="C23">
            <v>705</v>
          </cell>
          <cell r="D23">
            <v>212</v>
          </cell>
          <cell r="E23">
            <v>524</v>
          </cell>
          <cell r="F23">
            <v>164</v>
          </cell>
          <cell r="G23">
            <v>0.18</v>
          </cell>
          <cell r="H23">
            <v>180</v>
          </cell>
          <cell r="K23">
            <v>545</v>
          </cell>
          <cell r="L23">
            <v>-21</v>
          </cell>
          <cell r="O23">
            <v>1000</v>
          </cell>
          <cell r="P23">
            <v>1000</v>
          </cell>
          <cell r="Q23">
            <v>104.8</v>
          </cell>
          <cell r="S23">
            <v>500</v>
          </cell>
        </row>
        <row r="24">
          <cell r="A24" t="str">
            <v>Плавленый Сыр колбасный копченый 40% СТМ"ПапаМожет"400гр  Останкино</v>
          </cell>
          <cell r="B24" t="str">
            <v>шт</v>
          </cell>
          <cell r="C24">
            <v>18</v>
          </cell>
          <cell r="E24">
            <v>2</v>
          </cell>
          <cell r="F24">
            <v>12</v>
          </cell>
          <cell r="G24">
            <v>0.4</v>
          </cell>
          <cell r="H24">
            <v>270</v>
          </cell>
          <cell r="K24">
            <v>2</v>
          </cell>
          <cell r="L24">
            <v>0</v>
          </cell>
          <cell r="Q24">
            <v>0.4</v>
          </cell>
          <cell r="S24">
            <v>50</v>
          </cell>
        </row>
        <row r="25">
          <cell r="A25" t="str">
            <v>Плавленый продукт с Сыром колбасный копченый 40% СТМ "Коровино" 400гр  Останкино</v>
          </cell>
          <cell r="B25" t="str">
            <v>шт</v>
          </cell>
          <cell r="C25">
            <v>81</v>
          </cell>
          <cell r="E25">
            <v>3</v>
          </cell>
          <cell r="F25">
            <v>76</v>
          </cell>
          <cell r="G25">
            <v>0.4</v>
          </cell>
          <cell r="H25">
            <v>270</v>
          </cell>
          <cell r="K25">
            <v>3</v>
          </cell>
          <cell r="L25">
            <v>0</v>
          </cell>
          <cell r="Q25">
            <v>0.6</v>
          </cell>
          <cell r="S25">
            <v>50</v>
          </cell>
        </row>
        <row r="26">
          <cell r="A26" t="str">
            <v>Плавленый сыр "Шоколадный" 30% 180гр Папа Может Останкино</v>
          </cell>
          <cell r="B26" t="str">
            <v>шт</v>
          </cell>
          <cell r="C26">
            <v>130</v>
          </cell>
          <cell r="E26">
            <v>25</v>
          </cell>
          <cell r="F26">
            <v>104</v>
          </cell>
          <cell r="G26">
            <v>0.18</v>
          </cell>
          <cell r="H26">
            <v>270</v>
          </cell>
          <cell r="K26">
            <v>25</v>
          </cell>
          <cell r="L26">
            <v>0</v>
          </cell>
          <cell r="Q26">
            <v>5</v>
          </cell>
          <cell r="S26">
            <v>50</v>
          </cell>
        </row>
        <row r="27">
          <cell r="A27" t="str">
            <v>Продукт По-Росийски Классический с ЗМЖ 50% 200г Коровино Останкино</v>
          </cell>
          <cell r="B27" t="str">
            <v>шт</v>
          </cell>
          <cell r="G27">
            <v>0.2</v>
          </cell>
          <cell r="H27">
            <v>120</v>
          </cell>
          <cell r="L27">
            <v>0</v>
          </cell>
          <cell r="P27">
            <v>48</v>
          </cell>
          <cell r="Q27">
            <v>0</v>
          </cell>
          <cell r="S27">
            <v>50</v>
          </cell>
        </row>
        <row r="28">
          <cell r="A28" t="str">
            <v>Продукт По-Росийски Классический с ЗМЖ 50% ВЕС Коровино Останкино</v>
          </cell>
          <cell r="B28" t="str">
            <v>кг</v>
          </cell>
          <cell r="G28">
            <v>0</v>
          </cell>
          <cell r="H28">
            <v>180</v>
          </cell>
          <cell r="I28" t="str">
            <v>нет потребности</v>
          </cell>
          <cell r="L28">
            <v>0</v>
          </cell>
          <cell r="Q28">
            <v>0</v>
          </cell>
        </row>
        <row r="29">
          <cell r="A29" t="str">
            <v>Продукт белково-жировой Сметанковый 50% ВЕС Коровино Останкино</v>
          </cell>
          <cell r="B29" t="str">
            <v>кг</v>
          </cell>
          <cell r="C29">
            <v>56.725000000000001</v>
          </cell>
          <cell r="F29">
            <v>48.97</v>
          </cell>
          <cell r="G29">
            <v>1</v>
          </cell>
          <cell r="H29">
            <v>180</v>
          </cell>
          <cell r="L29">
            <v>0</v>
          </cell>
          <cell r="Q29">
            <v>0</v>
          </cell>
        </row>
        <row r="30">
          <cell r="A30" t="str">
            <v>Сыр "Пармезан" 40% кусок 180 гр  ОСТАНКИНО</v>
          </cell>
          <cell r="B30" t="str">
            <v>шт</v>
          </cell>
          <cell r="G30">
            <v>0.18</v>
          </cell>
          <cell r="H30">
            <v>150</v>
          </cell>
          <cell r="L30">
            <v>0</v>
          </cell>
          <cell r="O30">
            <v>78</v>
          </cell>
          <cell r="P30">
            <v>102</v>
          </cell>
          <cell r="Q30">
            <v>0</v>
          </cell>
          <cell r="S30">
            <v>70</v>
          </cell>
        </row>
        <row r="31">
          <cell r="A31" t="str">
            <v>Сыр Боккончини копченый 40% 100 гр.  ОСТАНКИНО</v>
          </cell>
          <cell r="B31" t="str">
            <v>шт</v>
          </cell>
          <cell r="C31">
            <v>90</v>
          </cell>
          <cell r="D31">
            <v>46</v>
          </cell>
          <cell r="E31">
            <v>45</v>
          </cell>
          <cell r="F31">
            <v>43</v>
          </cell>
          <cell r="G31">
            <v>0.1</v>
          </cell>
          <cell r="H31">
            <v>90</v>
          </cell>
          <cell r="K31">
            <v>45</v>
          </cell>
          <cell r="L31">
            <v>0</v>
          </cell>
          <cell r="P31">
            <v>112</v>
          </cell>
          <cell r="Q31">
            <v>9</v>
          </cell>
          <cell r="R31">
            <v>7</v>
          </cell>
        </row>
        <row r="32">
          <cell r="A32" t="str">
            <v>Сыр Косичка сырная 45% 100г/8шт Папа Может Останкино</v>
          </cell>
          <cell r="B32" t="str">
            <v>шт</v>
          </cell>
          <cell r="C32">
            <v>298</v>
          </cell>
          <cell r="D32">
            <v>89</v>
          </cell>
          <cell r="E32">
            <v>83</v>
          </cell>
          <cell r="F32">
            <v>282</v>
          </cell>
          <cell r="G32">
            <v>0.1</v>
          </cell>
          <cell r="H32">
            <v>60</v>
          </cell>
          <cell r="K32">
            <v>86</v>
          </cell>
          <cell r="L32">
            <v>-3</v>
          </cell>
          <cell r="P32">
            <v>80</v>
          </cell>
          <cell r="Q32">
            <v>16.600000000000001</v>
          </cell>
        </row>
        <row r="33">
          <cell r="A33" t="str">
            <v>Сыр Косичка сырная копченая 43% 100г/8шт Папа Может Останкино</v>
          </cell>
          <cell r="B33" t="str">
            <v>шт</v>
          </cell>
          <cell r="C33">
            <v>339</v>
          </cell>
          <cell r="E33">
            <v>99</v>
          </cell>
          <cell r="F33">
            <v>216</v>
          </cell>
          <cell r="G33">
            <v>0.1</v>
          </cell>
          <cell r="H33">
            <v>90</v>
          </cell>
          <cell r="K33">
            <v>92</v>
          </cell>
          <cell r="L33">
            <v>7</v>
          </cell>
          <cell r="O33">
            <v>48</v>
          </cell>
          <cell r="P33">
            <v>48</v>
          </cell>
          <cell r="Q33">
            <v>19.8</v>
          </cell>
          <cell r="R33">
            <v>44.400000000000034</v>
          </cell>
          <cell r="S33">
            <v>100</v>
          </cell>
        </row>
        <row r="34">
          <cell r="A34" t="str">
            <v>Сыр ПАПА МОЖЕТ "Гауда Голд" 45 % 180 гр (10шт) Останкино</v>
          </cell>
          <cell r="B34" t="str">
            <v>шт</v>
          </cell>
          <cell r="G34">
            <v>0.18</v>
          </cell>
          <cell r="H34">
            <v>150</v>
          </cell>
          <cell r="K34">
            <v>12</v>
          </cell>
          <cell r="L34">
            <v>-12</v>
          </cell>
          <cell r="O34">
            <v>200</v>
          </cell>
          <cell r="P34">
            <v>100</v>
          </cell>
          <cell r="Q34">
            <v>0</v>
          </cell>
          <cell r="S34">
            <v>150</v>
          </cell>
        </row>
        <row r="35">
          <cell r="A35" t="str">
            <v>Сыр ПАПА МОЖЕТ "Голландский традиционный" 45% 180 гр (10шт)  Останкино</v>
          </cell>
          <cell r="B35" t="str">
            <v>шт</v>
          </cell>
          <cell r="C35">
            <v>576</v>
          </cell>
          <cell r="E35">
            <v>261</v>
          </cell>
          <cell r="F35">
            <v>294</v>
          </cell>
          <cell r="G35">
            <v>0.18</v>
          </cell>
          <cell r="H35">
            <v>150</v>
          </cell>
          <cell r="K35">
            <v>261</v>
          </cell>
          <cell r="L35">
            <v>0</v>
          </cell>
          <cell r="O35">
            <v>100</v>
          </cell>
          <cell r="Q35">
            <v>52.2</v>
          </cell>
          <cell r="R35">
            <v>545.6</v>
          </cell>
        </row>
        <row r="36">
          <cell r="A36" t="str">
            <v>Сыр ПАПА МОЖЕТ "Министерский" 180 г фасованный массовая  Останкино</v>
          </cell>
          <cell r="B36" t="str">
            <v>шт</v>
          </cell>
          <cell r="C36">
            <v>48</v>
          </cell>
          <cell r="E36">
            <v>48</v>
          </cell>
          <cell r="G36">
            <v>0.18</v>
          </cell>
          <cell r="H36">
            <v>150</v>
          </cell>
          <cell r="K36">
            <v>67</v>
          </cell>
          <cell r="L36">
            <v>-19</v>
          </cell>
          <cell r="O36">
            <v>50</v>
          </cell>
          <cell r="P36">
            <v>100</v>
          </cell>
          <cell r="Q36">
            <v>9.6</v>
          </cell>
          <cell r="R36">
            <v>22.799999999999983</v>
          </cell>
          <cell r="S36">
            <v>150</v>
          </cell>
        </row>
        <row r="37">
          <cell r="A37" t="str">
            <v>Сыр ПАПА МОЖЕТ "Папин завтрак"  45% 180 г  Останкино</v>
          </cell>
          <cell r="B37" t="str">
            <v>шт</v>
          </cell>
          <cell r="G37">
            <v>0.18</v>
          </cell>
          <cell r="H37">
            <v>150</v>
          </cell>
          <cell r="K37">
            <v>12</v>
          </cell>
          <cell r="L37">
            <v>-12</v>
          </cell>
          <cell r="O37">
            <v>120</v>
          </cell>
          <cell r="P37">
            <v>100</v>
          </cell>
          <cell r="Q37">
            <v>0</v>
          </cell>
          <cell r="S37">
            <v>150</v>
          </cell>
        </row>
        <row r="38">
          <cell r="A38" t="str">
            <v>Сыр ПАПА МОЖЕТ "Российский традиционный"45 % 180 г Останкино</v>
          </cell>
          <cell r="B38" t="str">
            <v>шт</v>
          </cell>
          <cell r="C38">
            <v>274</v>
          </cell>
          <cell r="D38">
            <v>8</v>
          </cell>
          <cell r="E38">
            <v>281</v>
          </cell>
          <cell r="G38">
            <v>0.18</v>
          </cell>
          <cell r="H38">
            <v>150</v>
          </cell>
          <cell r="K38">
            <v>295</v>
          </cell>
          <cell r="L38">
            <v>-14</v>
          </cell>
          <cell r="O38">
            <v>500</v>
          </cell>
          <cell r="P38">
            <v>600</v>
          </cell>
          <cell r="Q38">
            <v>56.2</v>
          </cell>
          <cell r="S38">
            <v>200</v>
          </cell>
        </row>
        <row r="39">
          <cell r="A39" t="str">
            <v>Сыр ПАПА МОЖЕТ "Тильзитер" фасованный массовая доля жира в сухом веществе 45%, 180г  Останкино</v>
          </cell>
          <cell r="B39" t="str">
            <v>шт</v>
          </cell>
          <cell r="C39">
            <v>-1</v>
          </cell>
          <cell r="D39">
            <v>6</v>
          </cell>
          <cell r="E39">
            <v>1</v>
          </cell>
          <cell r="G39">
            <v>0.18</v>
          </cell>
          <cell r="H39">
            <v>150</v>
          </cell>
          <cell r="K39">
            <v>51</v>
          </cell>
          <cell r="L39">
            <v>-50</v>
          </cell>
          <cell r="O39">
            <v>200</v>
          </cell>
          <cell r="P39">
            <v>200</v>
          </cell>
          <cell r="Q39">
            <v>0.2</v>
          </cell>
          <cell r="S39">
            <v>200</v>
          </cell>
        </row>
        <row r="40">
          <cell r="A40" t="str">
            <v>Сыр Скаморца свежий 100 гр.  ОСТАНКИНО</v>
          </cell>
          <cell r="B40" t="str">
            <v>шт</v>
          </cell>
          <cell r="C40">
            <v>8</v>
          </cell>
          <cell r="D40">
            <v>2</v>
          </cell>
          <cell r="F40">
            <v>8</v>
          </cell>
          <cell r="G40">
            <v>0.1</v>
          </cell>
          <cell r="H40">
            <v>60</v>
          </cell>
          <cell r="K40">
            <v>2</v>
          </cell>
          <cell r="L40">
            <v>-2</v>
          </cell>
          <cell r="O40">
            <v>8</v>
          </cell>
          <cell r="Q40">
            <v>0</v>
          </cell>
        </row>
        <row r="41">
          <cell r="A41" t="str">
            <v>Сыр Творожный с зеленью 60% Папа может 140 гр.  Останкино</v>
          </cell>
          <cell r="B41" t="str">
            <v>шт</v>
          </cell>
          <cell r="G41">
            <v>0.14000000000000001</v>
          </cell>
          <cell r="H41">
            <v>180</v>
          </cell>
          <cell r="K41">
            <v>19</v>
          </cell>
          <cell r="L41">
            <v>-19</v>
          </cell>
          <cell r="O41">
            <v>96</v>
          </cell>
          <cell r="P41">
            <v>80</v>
          </cell>
          <cell r="Q41">
            <v>0</v>
          </cell>
        </row>
        <row r="42">
          <cell r="A42" t="str">
            <v>Сыр плавленный Сливочный ж.45% 180г ТМ Папа может (16шт)  Останкино</v>
          </cell>
          <cell r="B42" t="str">
            <v>шт</v>
          </cell>
          <cell r="C42">
            <v>245</v>
          </cell>
          <cell r="D42">
            <v>154</v>
          </cell>
          <cell r="E42">
            <v>92</v>
          </cell>
          <cell r="F42">
            <v>146</v>
          </cell>
          <cell r="G42">
            <v>0.18</v>
          </cell>
          <cell r="H42">
            <v>270</v>
          </cell>
          <cell r="K42">
            <v>92</v>
          </cell>
          <cell r="L42">
            <v>0</v>
          </cell>
          <cell r="O42">
            <v>128</v>
          </cell>
          <cell r="P42">
            <v>80</v>
          </cell>
          <cell r="Q42">
            <v>18.399999999999999</v>
          </cell>
          <cell r="S42">
            <v>200</v>
          </cell>
        </row>
        <row r="43">
          <cell r="A43" t="str">
            <v>Сыр полутвердый "Гауда" с массовой долей жира в пересчете на сухое вещество 45%,   Останкино</v>
          </cell>
          <cell r="B43" t="str">
            <v>кг</v>
          </cell>
          <cell r="C43">
            <v>85.037999999999997</v>
          </cell>
          <cell r="E43">
            <v>6.5659999999999998</v>
          </cell>
          <cell r="F43">
            <v>68.855999999999995</v>
          </cell>
          <cell r="G43">
            <v>1</v>
          </cell>
          <cell r="H43">
            <v>180</v>
          </cell>
          <cell r="I43" t="str">
            <v>ВНИМАНИЕ</v>
          </cell>
          <cell r="K43">
            <v>7</v>
          </cell>
          <cell r="L43">
            <v>-0.43400000000000016</v>
          </cell>
          <cell r="Q43">
            <v>1.3131999999999999</v>
          </cell>
        </row>
        <row r="44">
          <cell r="A44" t="str">
            <v>Сыр полутвердый "Голландский" с массовой долей жира в пересчете на сухое  Останкино</v>
          </cell>
          <cell r="B44" t="str">
            <v>кг</v>
          </cell>
          <cell r="C44">
            <v>18.454000000000001</v>
          </cell>
          <cell r="E44">
            <v>12.686</v>
          </cell>
          <cell r="F44">
            <v>5.7679999999999998</v>
          </cell>
          <cell r="G44">
            <v>1</v>
          </cell>
          <cell r="H44">
            <v>180</v>
          </cell>
          <cell r="K44">
            <v>14</v>
          </cell>
          <cell r="L44">
            <v>-1.3140000000000001</v>
          </cell>
          <cell r="O44">
            <v>16</v>
          </cell>
          <cell r="P44">
            <v>99</v>
          </cell>
          <cell r="Q44">
            <v>2.5371999999999999</v>
          </cell>
          <cell r="S44">
            <v>150</v>
          </cell>
        </row>
        <row r="45">
          <cell r="A45" t="str">
            <v>Сыр полутвердый "Сметанковый", с масс долей жира в пересчете на сухое вещес50%, брус  Останкино</v>
          </cell>
          <cell r="B45" t="str">
            <v>кг</v>
          </cell>
          <cell r="G45">
            <v>1</v>
          </cell>
          <cell r="H45">
            <v>180</v>
          </cell>
          <cell r="K45">
            <v>3.5</v>
          </cell>
          <cell r="L45">
            <v>-3.5</v>
          </cell>
          <cell r="O45">
            <v>50</v>
          </cell>
          <cell r="P45">
            <v>82</v>
          </cell>
          <cell r="Q45">
            <v>0</v>
          </cell>
          <cell r="S45">
            <v>200</v>
          </cell>
        </row>
        <row r="46">
          <cell r="A46" t="str">
            <v>Сыр полутвердый "Тильзитер" с массовой долей жира в пересчете на сухое вещество 45%. 1/5  Останкино</v>
          </cell>
          <cell r="B46" t="str">
            <v>кг</v>
          </cell>
          <cell r="C46">
            <v>44.136000000000003</v>
          </cell>
          <cell r="E46">
            <v>10.334</v>
          </cell>
          <cell r="F46">
            <v>30.594000000000001</v>
          </cell>
          <cell r="G46">
            <v>1</v>
          </cell>
          <cell r="H46">
            <v>180</v>
          </cell>
          <cell r="K46">
            <v>9.9</v>
          </cell>
          <cell r="L46">
            <v>0.43399999999999928</v>
          </cell>
          <cell r="P46">
            <v>33</v>
          </cell>
          <cell r="Q46">
            <v>2.0667999999999997</v>
          </cell>
          <cell r="S46">
            <v>100</v>
          </cell>
        </row>
        <row r="47">
          <cell r="A47" t="str">
            <v>Сыр рассольный жирный Чечил 45% 100 гр  ОСТАНКИНО</v>
          </cell>
          <cell r="B47" t="str">
            <v>шт</v>
          </cell>
          <cell r="C47">
            <v>107</v>
          </cell>
          <cell r="E47">
            <v>106</v>
          </cell>
          <cell r="G47">
            <v>0.1</v>
          </cell>
          <cell r="H47">
            <v>60</v>
          </cell>
          <cell r="K47">
            <v>234</v>
          </cell>
          <cell r="L47">
            <v>-128</v>
          </cell>
          <cell r="O47">
            <v>420</v>
          </cell>
          <cell r="P47">
            <v>348</v>
          </cell>
          <cell r="Q47">
            <v>21.2</v>
          </cell>
          <cell r="S47">
            <v>200</v>
          </cell>
        </row>
        <row r="48">
          <cell r="A48" t="str">
            <v>Сыр рассольный жирный Чечил копченый 43% 100 гр  Останкино</v>
          </cell>
          <cell r="B48" t="str">
            <v>шт</v>
          </cell>
          <cell r="C48">
            <v>70</v>
          </cell>
          <cell r="E48">
            <v>62</v>
          </cell>
          <cell r="G48">
            <v>0.1</v>
          </cell>
          <cell r="H48">
            <v>90</v>
          </cell>
          <cell r="K48">
            <v>114</v>
          </cell>
          <cell r="L48">
            <v>-52</v>
          </cell>
          <cell r="O48">
            <v>252</v>
          </cell>
          <cell r="P48">
            <v>402</v>
          </cell>
          <cell r="Q48">
            <v>12.4</v>
          </cell>
        </row>
        <row r="49">
          <cell r="A49" t="str">
            <v>Сыр творожный Сливочный 140 гр.  Останкино</v>
          </cell>
          <cell r="B49" t="str">
            <v>шт</v>
          </cell>
          <cell r="C49">
            <v>25</v>
          </cell>
          <cell r="D49">
            <v>3</v>
          </cell>
          <cell r="E49">
            <v>25</v>
          </cell>
          <cell r="G49">
            <v>0.14000000000000001</v>
          </cell>
          <cell r="H49">
            <v>180</v>
          </cell>
          <cell r="K49">
            <v>39</v>
          </cell>
          <cell r="L49">
            <v>-14</v>
          </cell>
          <cell r="O49">
            <v>112</v>
          </cell>
          <cell r="P49">
            <v>64</v>
          </cell>
          <cell r="Q49">
            <v>5</v>
          </cell>
          <cell r="S49">
            <v>50</v>
          </cell>
        </row>
        <row r="50">
          <cell r="A50" t="str">
            <v>Сыч/Прод Коровино Российский 50% 200г НОВАЯ СЗМЖ  ОСТАНКИНО</v>
          </cell>
          <cell r="B50" t="str">
            <v>шт</v>
          </cell>
          <cell r="C50">
            <v>37</v>
          </cell>
          <cell r="E50">
            <v>35</v>
          </cell>
          <cell r="F50">
            <v>2</v>
          </cell>
          <cell r="G50">
            <v>0.2</v>
          </cell>
          <cell r="H50">
            <v>120</v>
          </cell>
          <cell r="K50">
            <v>35</v>
          </cell>
          <cell r="L50">
            <v>0</v>
          </cell>
          <cell r="O50">
            <v>30</v>
          </cell>
          <cell r="P50">
            <v>70</v>
          </cell>
          <cell r="Q50">
            <v>7</v>
          </cell>
          <cell r="R50">
            <v>24</v>
          </cell>
          <cell r="S50">
            <v>100</v>
          </cell>
        </row>
        <row r="51">
          <cell r="A51" t="str">
            <v>Сыч/Прод Коровино Российский Оригин 50% ВЕС НОВАЯ (3,5 кг)  ОСТАНКИНО</v>
          </cell>
          <cell r="B51" t="str">
            <v>кг</v>
          </cell>
          <cell r="C51">
            <v>167.11</v>
          </cell>
          <cell r="D51">
            <v>56.04</v>
          </cell>
          <cell r="E51">
            <v>3.1680000000000001</v>
          </cell>
          <cell r="F51">
            <v>163.94200000000001</v>
          </cell>
          <cell r="G51">
            <v>1</v>
          </cell>
          <cell r="H51">
            <v>120</v>
          </cell>
          <cell r="I51" t="str">
            <v>ВНИМАНИЕ</v>
          </cell>
          <cell r="K51">
            <v>3.5</v>
          </cell>
          <cell r="L51">
            <v>-0.33199999999999985</v>
          </cell>
          <cell r="P51">
            <v>45</v>
          </cell>
          <cell r="Q51">
            <v>0.63360000000000005</v>
          </cell>
          <cell r="S51">
            <v>100</v>
          </cell>
        </row>
        <row r="52">
          <cell r="A52" t="str">
            <v>Сыч/Прод Коровино Тильзитер 50% 200г НОВАЯ СЗМЖ  ОСТАНКИНО</v>
          </cell>
          <cell r="B52" t="str">
            <v>шт</v>
          </cell>
          <cell r="C52">
            <v>50</v>
          </cell>
          <cell r="E52">
            <v>9</v>
          </cell>
          <cell r="F52">
            <v>38</v>
          </cell>
          <cell r="G52">
            <v>0.2</v>
          </cell>
          <cell r="H52">
            <v>120</v>
          </cell>
          <cell r="K52">
            <v>3</v>
          </cell>
          <cell r="L52">
            <v>6</v>
          </cell>
          <cell r="O52">
            <v>10</v>
          </cell>
          <cell r="P52">
            <v>50</v>
          </cell>
          <cell r="Q52">
            <v>1.8</v>
          </cell>
        </row>
        <row r="53">
          <cell r="A53" t="str">
            <v>Сыч/Прод Коровино Тильзитер 50% 200г СЗМЖ  ОСТАНКИНО</v>
          </cell>
          <cell r="B53" t="str">
            <v>шт</v>
          </cell>
          <cell r="C53">
            <v>-3</v>
          </cell>
          <cell r="D53">
            <v>47</v>
          </cell>
          <cell r="E53">
            <v>6</v>
          </cell>
          <cell r="F53">
            <v>38</v>
          </cell>
          <cell r="G53">
            <v>0</v>
          </cell>
          <cell r="I53" t="str">
            <v>дубль</v>
          </cell>
          <cell r="J53" t="str">
            <v>Сыч/Прод Коровино Тильзитер 50% 200г НОВАЯ СЗМЖ  ОСТАНКИНО</v>
          </cell>
          <cell r="K53">
            <v>6</v>
          </cell>
          <cell r="L53">
            <v>0</v>
          </cell>
          <cell r="Q53">
            <v>1.2</v>
          </cell>
        </row>
        <row r="54">
          <cell r="A54" t="str">
            <v>Сыч/Прод Коровино Тильзитер Оригин 50% ВЕС НОВАЯ (5 кг брус) СЗМЖ  ОСТАНКИНО</v>
          </cell>
          <cell r="B54" t="str">
            <v>кг</v>
          </cell>
          <cell r="C54">
            <v>146.85499999999999</v>
          </cell>
          <cell r="D54">
            <v>76.436999999999998</v>
          </cell>
          <cell r="E54">
            <v>30.756</v>
          </cell>
          <cell r="F54">
            <v>116.999</v>
          </cell>
          <cell r="G54">
            <v>1</v>
          </cell>
          <cell r="H54">
            <v>120</v>
          </cell>
          <cell r="K54">
            <v>28</v>
          </cell>
          <cell r="L54">
            <v>2.7560000000000002</v>
          </cell>
          <cell r="P54">
            <v>195</v>
          </cell>
          <cell r="Q54">
            <v>6.1512000000000002</v>
          </cell>
          <cell r="S54">
            <v>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E2" sqref="AE2"/>
    </sheetView>
  </sheetViews>
  <sheetFormatPr defaultRowHeight="15" x14ac:dyDescent="0.25"/>
  <cols>
    <col min="1" max="1" width="60" style="9" customWidth="1"/>
    <col min="2" max="2" width="3" style="9" customWidth="1"/>
    <col min="3" max="4" width="6" style="9" customWidth="1"/>
    <col min="5" max="6" width="7" style="9" customWidth="1"/>
    <col min="7" max="7" width="5" style="4" customWidth="1"/>
    <col min="8" max="8" width="5" style="9" customWidth="1"/>
    <col min="9" max="9" width="10.85546875" style="9" customWidth="1"/>
    <col min="10" max="10" width="1" style="9" customWidth="1"/>
    <col min="11" max="12" width="7" style="9" customWidth="1"/>
    <col min="13" max="14" width="0.5703125" style="9" customWidth="1"/>
    <col min="15" max="20" width="7" style="9" customWidth="1"/>
    <col min="21" max="21" width="7" style="21" customWidth="1"/>
    <col min="22" max="23" width="5" style="9" customWidth="1"/>
    <col min="24" max="33" width="6" style="9" customWidth="1"/>
    <col min="34" max="34" width="49.7109375" style="9" customWidth="1"/>
    <col min="35" max="35" width="7" style="9" customWidth="1"/>
    <col min="36" max="52" width="8" style="9" customWidth="1"/>
  </cols>
  <sheetData>
    <row r="1" spans="1:52" x14ac:dyDescent="0.25">
      <c r="A1" s="6"/>
      <c r="B1" s="6"/>
      <c r="C1" s="6"/>
      <c r="D1" s="6"/>
      <c r="E1" s="6"/>
      <c r="F1" s="6"/>
      <c r="G1" s="7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 spans="1:52" x14ac:dyDescent="0.25">
      <c r="A2" s="6"/>
      <c r="B2" s="6"/>
      <c r="C2" s="6"/>
      <c r="D2" s="6"/>
      <c r="E2" s="6"/>
      <c r="F2" s="6"/>
      <c r="G2" s="7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 spans="1:52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5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15</v>
      </c>
      <c r="R3" s="2" t="s">
        <v>16</v>
      </c>
      <c r="S3" s="2" t="s">
        <v>107</v>
      </c>
      <c r="T3" s="2" t="s">
        <v>108</v>
      </c>
      <c r="U3" s="2" t="s">
        <v>105</v>
      </c>
      <c r="V3" s="1" t="s">
        <v>17</v>
      </c>
      <c r="W3" s="1" t="s">
        <v>18</v>
      </c>
      <c r="X3" s="1" t="s">
        <v>19</v>
      </c>
      <c r="Y3" s="1" t="s">
        <v>19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19</v>
      </c>
      <c r="AG3" s="1" t="s">
        <v>19</v>
      </c>
      <c r="AH3" s="1" t="s">
        <v>20</v>
      </c>
      <c r="AI3" s="1" t="s">
        <v>21</v>
      </c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 spans="1:52" x14ac:dyDescent="0.25">
      <c r="A4" s="6"/>
      <c r="B4" s="6"/>
      <c r="C4" s="6"/>
      <c r="D4" s="6"/>
      <c r="E4" s="6"/>
      <c r="F4" s="6"/>
      <c r="G4" s="7"/>
      <c r="H4" s="6"/>
      <c r="I4" s="6"/>
      <c r="J4" s="6"/>
      <c r="K4" s="6"/>
      <c r="L4" s="6"/>
      <c r="M4" s="6"/>
      <c r="N4" s="6"/>
      <c r="O4" s="6" t="s">
        <v>22</v>
      </c>
      <c r="P4" s="6" t="s">
        <v>23</v>
      </c>
      <c r="Q4" s="6" t="s">
        <v>24</v>
      </c>
      <c r="R4" s="6"/>
      <c r="S4" s="6"/>
      <c r="T4" s="6" t="s">
        <v>109</v>
      </c>
      <c r="U4" s="6" t="s">
        <v>106</v>
      </c>
      <c r="V4" s="6"/>
      <c r="W4" s="6"/>
      <c r="X4" s="6" t="s">
        <v>25</v>
      </c>
      <c r="Y4" s="6" t="s">
        <v>26</v>
      </c>
      <c r="Z4" s="6" t="s">
        <v>27</v>
      </c>
      <c r="AA4" s="6" t="s">
        <v>28</v>
      </c>
      <c r="AB4" s="6" t="s">
        <v>29</v>
      </c>
      <c r="AC4" s="6" t="s">
        <v>30</v>
      </c>
      <c r="AD4" s="6" t="s">
        <v>31</v>
      </c>
      <c r="AE4" s="6" t="s">
        <v>32</v>
      </c>
      <c r="AF4" s="6" t="s">
        <v>33</v>
      </c>
      <c r="AG4" s="6" t="s">
        <v>34</v>
      </c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 spans="1:52" x14ac:dyDescent="0.25">
      <c r="A5" s="6"/>
      <c r="B5" s="6"/>
      <c r="C5" s="6"/>
      <c r="D5" s="6"/>
      <c r="E5" s="3">
        <f>SUM(E6:E499)</f>
        <v>2780.5859999999998</v>
      </c>
      <c r="F5" s="3">
        <f>SUM(F6:F499)</f>
        <v>3503.3449999999993</v>
      </c>
      <c r="G5" s="7"/>
      <c r="H5" s="6"/>
      <c r="I5" s="6"/>
      <c r="J5" s="6"/>
      <c r="K5" s="3">
        <f t="shared" ref="K5:U5" si="0">SUM(K6:K499)</f>
        <v>3246.2400000000002</v>
      </c>
      <c r="L5" s="3">
        <f t="shared" si="0"/>
        <v>-465.654</v>
      </c>
      <c r="M5" s="3">
        <f t="shared" si="0"/>
        <v>0</v>
      </c>
      <c r="N5" s="3">
        <f t="shared" si="0"/>
        <v>0</v>
      </c>
      <c r="O5" s="3">
        <f t="shared" si="0"/>
        <v>5608</v>
      </c>
      <c r="P5" s="3">
        <f t="shared" si="0"/>
        <v>5844</v>
      </c>
      <c r="Q5" s="3">
        <f t="shared" si="0"/>
        <v>556.11720000000003</v>
      </c>
      <c r="R5" s="3">
        <f t="shared" si="0"/>
        <v>918.54079999999999</v>
      </c>
      <c r="S5" s="3">
        <f t="shared" si="0"/>
        <v>1646.6</v>
      </c>
      <c r="T5" s="3">
        <f t="shared" si="0"/>
        <v>1633</v>
      </c>
      <c r="U5" s="3">
        <f t="shared" si="0"/>
        <v>4840</v>
      </c>
      <c r="V5" s="6"/>
      <c r="W5" s="6"/>
      <c r="X5" s="3">
        <f t="shared" ref="X5:AG5" si="1">SUM(X6:X499)</f>
        <v>481.44800000000009</v>
      </c>
      <c r="Y5" s="3">
        <f t="shared" si="1"/>
        <v>688.80179999999984</v>
      </c>
      <c r="Z5" s="3">
        <f t="shared" si="1"/>
        <v>535.40820000000008</v>
      </c>
      <c r="AA5" s="3">
        <f t="shared" si="1"/>
        <v>485.86180000000007</v>
      </c>
      <c r="AB5" s="3">
        <f t="shared" si="1"/>
        <v>809.21119999999996</v>
      </c>
      <c r="AC5" s="3">
        <f t="shared" si="1"/>
        <v>613.03380000000004</v>
      </c>
      <c r="AD5" s="3">
        <f t="shared" si="1"/>
        <v>553.48760000000016</v>
      </c>
      <c r="AE5" s="3">
        <f t="shared" si="1"/>
        <v>802.63360000000011</v>
      </c>
      <c r="AF5" s="3">
        <f t="shared" si="1"/>
        <v>614.32119999999998</v>
      </c>
      <c r="AG5" s="3">
        <f t="shared" si="1"/>
        <v>721.4165999999999</v>
      </c>
      <c r="AH5" s="6"/>
      <c r="AI5" s="3">
        <f>SUM(AI6:AI499)</f>
        <v>403.22800000000001</v>
      </c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 spans="1:52" x14ac:dyDescent="0.25">
      <c r="A6" s="6" t="s">
        <v>35</v>
      </c>
      <c r="B6" s="6" t="s">
        <v>36</v>
      </c>
      <c r="C6" s="6">
        <v>4</v>
      </c>
      <c r="D6" s="6">
        <v>1</v>
      </c>
      <c r="E6" s="6"/>
      <c r="F6" s="6">
        <v>5</v>
      </c>
      <c r="G6" s="7">
        <v>5.5E-2</v>
      </c>
      <c r="H6" s="6">
        <v>120</v>
      </c>
      <c r="I6" s="6"/>
      <c r="J6" s="6"/>
      <c r="K6" s="6"/>
      <c r="L6" s="6">
        <f t="shared" ref="L6:L37" si="2">E6-K6</f>
        <v>0</v>
      </c>
      <c r="M6" s="6"/>
      <c r="N6" s="6"/>
      <c r="O6" s="6">
        <v>24</v>
      </c>
      <c r="P6" s="6"/>
      <c r="Q6" s="6">
        <f t="shared" ref="Q6:Q37" si="3">E6/5</f>
        <v>0</v>
      </c>
      <c r="R6" s="8"/>
      <c r="S6" s="8">
        <f>R6</f>
        <v>0</v>
      </c>
      <c r="T6" s="8"/>
      <c r="U6" s="20">
        <f>VLOOKUP(A6,[1]Sheet!$A:$S,19,0)</f>
        <v>70</v>
      </c>
      <c r="V6" s="6" t="e">
        <f>(F6+O6+P6+S6)/Q6</f>
        <v>#DIV/0!</v>
      </c>
      <c r="W6" s="6" t="e">
        <f t="shared" ref="W6:W37" si="4">(F6+O6+P6)/Q6</f>
        <v>#DIV/0!</v>
      </c>
      <c r="X6" s="6">
        <v>0.4</v>
      </c>
      <c r="Y6" s="6">
        <v>1.4</v>
      </c>
      <c r="Z6" s="6">
        <v>0.2</v>
      </c>
      <c r="AA6" s="6">
        <v>0.6</v>
      </c>
      <c r="AB6" s="6">
        <v>0</v>
      </c>
      <c r="AC6" s="6">
        <v>0.4</v>
      </c>
      <c r="AD6" s="6">
        <v>1.2</v>
      </c>
      <c r="AE6" s="6">
        <v>1</v>
      </c>
      <c r="AF6" s="6">
        <v>1</v>
      </c>
      <c r="AG6" s="6">
        <v>0</v>
      </c>
      <c r="AH6" s="16" t="s">
        <v>37</v>
      </c>
      <c r="AI6" s="6">
        <f>G6*S6</f>
        <v>0</v>
      </c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 spans="1:52" x14ac:dyDescent="0.25">
      <c r="A7" s="6" t="s">
        <v>38</v>
      </c>
      <c r="B7" s="6" t="s">
        <v>36</v>
      </c>
      <c r="C7" s="6">
        <v>42</v>
      </c>
      <c r="D7" s="6">
        <v>28</v>
      </c>
      <c r="E7" s="6"/>
      <c r="F7" s="6">
        <v>46</v>
      </c>
      <c r="G7" s="7">
        <v>0.1</v>
      </c>
      <c r="H7" s="6">
        <v>120</v>
      </c>
      <c r="I7" s="6"/>
      <c r="J7" s="6"/>
      <c r="K7" s="6"/>
      <c r="L7" s="6">
        <f t="shared" si="2"/>
        <v>0</v>
      </c>
      <c r="M7" s="6"/>
      <c r="N7" s="6"/>
      <c r="O7" s="6"/>
      <c r="P7" s="6"/>
      <c r="Q7" s="6">
        <f t="shared" si="3"/>
        <v>0</v>
      </c>
      <c r="R7" s="8"/>
      <c r="S7" s="8">
        <f t="shared" ref="S7:S54" si="5">R7</f>
        <v>0</v>
      </c>
      <c r="T7" s="8"/>
      <c r="U7" s="20"/>
      <c r="V7" s="6" t="e">
        <f t="shared" ref="V7:V54" si="6">(F7+O7+P7+S7)/Q7</f>
        <v>#DIV/0!</v>
      </c>
      <c r="W7" s="6" t="e">
        <f t="shared" si="4"/>
        <v>#DIV/0!</v>
      </c>
      <c r="X7" s="6">
        <v>1</v>
      </c>
      <c r="Y7" s="6">
        <v>1.2</v>
      </c>
      <c r="Z7" s="6">
        <v>1.4</v>
      </c>
      <c r="AA7" s="6">
        <v>0.2</v>
      </c>
      <c r="AB7" s="6">
        <v>0</v>
      </c>
      <c r="AC7" s="6">
        <v>0.4</v>
      </c>
      <c r="AD7" s="6">
        <v>1.6</v>
      </c>
      <c r="AE7" s="6">
        <v>1.2</v>
      </c>
      <c r="AF7" s="6">
        <v>1.2</v>
      </c>
      <c r="AG7" s="6">
        <v>0</v>
      </c>
      <c r="AH7" s="17" t="s">
        <v>39</v>
      </c>
      <c r="AI7" s="6">
        <f t="shared" ref="AI7:AI54" si="7">G7*S7</f>
        <v>0</v>
      </c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 spans="1:52" x14ac:dyDescent="0.25">
      <c r="A8" s="6" t="s">
        <v>40</v>
      </c>
      <c r="B8" s="6" t="s">
        <v>36</v>
      </c>
      <c r="C8" s="6">
        <v>15</v>
      </c>
      <c r="D8" s="6"/>
      <c r="E8" s="6"/>
      <c r="F8" s="6">
        <v>15</v>
      </c>
      <c r="G8" s="7">
        <v>0.1</v>
      </c>
      <c r="H8" s="6">
        <v>120</v>
      </c>
      <c r="I8" s="6"/>
      <c r="J8" s="6"/>
      <c r="K8" s="6"/>
      <c r="L8" s="6">
        <f t="shared" si="2"/>
        <v>0</v>
      </c>
      <c r="M8" s="6"/>
      <c r="N8" s="6"/>
      <c r="O8" s="6">
        <v>24</v>
      </c>
      <c r="P8" s="6"/>
      <c r="Q8" s="6">
        <f t="shared" si="3"/>
        <v>0</v>
      </c>
      <c r="R8" s="8"/>
      <c r="S8" s="8">
        <f t="shared" si="5"/>
        <v>0</v>
      </c>
      <c r="T8" s="8"/>
      <c r="U8" s="20"/>
      <c r="V8" s="6" t="e">
        <f t="shared" si="6"/>
        <v>#DIV/0!</v>
      </c>
      <c r="W8" s="6" t="e">
        <f t="shared" si="4"/>
        <v>#DIV/0!</v>
      </c>
      <c r="X8" s="6">
        <v>1</v>
      </c>
      <c r="Y8" s="6">
        <v>1</v>
      </c>
      <c r="Z8" s="6">
        <v>0</v>
      </c>
      <c r="AA8" s="6">
        <v>0.8</v>
      </c>
      <c r="AB8" s="6">
        <v>0</v>
      </c>
      <c r="AC8" s="6">
        <v>0</v>
      </c>
      <c r="AD8" s="6">
        <v>0.8</v>
      </c>
      <c r="AE8" s="6">
        <v>1.2</v>
      </c>
      <c r="AF8" s="6">
        <v>1.6</v>
      </c>
      <c r="AG8" s="6">
        <v>0</v>
      </c>
      <c r="AH8" s="17" t="s">
        <v>39</v>
      </c>
      <c r="AI8" s="6">
        <f t="shared" si="7"/>
        <v>0</v>
      </c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 spans="1:52" x14ac:dyDescent="0.25">
      <c r="A9" s="6" t="s">
        <v>42</v>
      </c>
      <c r="B9" s="6" t="s">
        <v>43</v>
      </c>
      <c r="C9" s="6">
        <v>231.892</v>
      </c>
      <c r="D9" s="6">
        <v>201.73</v>
      </c>
      <c r="E9" s="6">
        <v>32.148000000000003</v>
      </c>
      <c r="F9" s="6">
        <v>199.21600000000001</v>
      </c>
      <c r="G9" s="7">
        <v>1</v>
      </c>
      <c r="H9" s="6">
        <v>120</v>
      </c>
      <c r="I9" s="6" t="s">
        <v>104</v>
      </c>
      <c r="J9" s="6"/>
      <c r="K9" s="6">
        <v>34.24</v>
      </c>
      <c r="L9" s="6">
        <f t="shared" si="2"/>
        <v>-2.0919999999999987</v>
      </c>
      <c r="M9" s="6"/>
      <c r="N9" s="6"/>
      <c r="O9" s="6">
        <v>50</v>
      </c>
      <c r="P9" s="6">
        <v>100</v>
      </c>
      <c r="Q9" s="6">
        <f t="shared" si="3"/>
        <v>6.4296000000000006</v>
      </c>
      <c r="R9" s="8"/>
      <c r="S9" s="8">
        <f t="shared" si="5"/>
        <v>0</v>
      </c>
      <c r="T9" s="8"/>
      <c r="U9" s="20">
        <f>VLOOKUP(A9,[1]Sheet!$A:$S,19,0)</f>
        <v>150</v>
      </c>
      <c r="V9" s="6">
        <f t="shared" si="6"/>
        <v>54.313798681099911</v>
      </c>
      <c r="W9" s="6">
        <f t="shared" si="4"/>
        <v>54.313798681099911</v>
      </c>
      <c r="X9" s="6">
        <v>6.2531999999999996</v>
      </c>
      <c r="Y9" s="6">
        <v>9.1048000000000009</v>
      </c>
      <c r="Z9" s="6">
        <v>18.5504</v>
      </c>
      <c r="AA9" s="6">
        <v>11.003</v>
      </c>
      <c r="AB9" s="6">
        <v>11.139200000000001</v>
      </c>
      <c r="AC9" s="6">
        <v>9.8320000000000007</v>
      </c>
      <c r="AD9" s="6">
        <v>7.8068</v>
      </c>
      <c r="AE9" s="6">
        <v>12.0304</v>
      </c>
      <c r="AF9" s="6">
        <v>13.2544</v>
      </c>
      <c r="AG9" s="6">
        <v>23.414999999999999</v>
      </c>
      <c r="AH9" s="17" t="s">
        <v>39</v>
      </c>
      <c r="AI9" s="6">
        <f t="shared" si="7"/>
        <v>0</v>
      </c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 spans="1:52" x14ac:dyDescent="0.25">
      <c r="A10" s="6" t="s">
        <v>44</v>
      </c>
      <c r="B10" s="6" t="s">
        <v>36</v>
      </c>
      <c r="C10" s="6"/>
      <c r="D10" s="6"/>
      <c r="E10" s="6"/>
      <c r="F10" s="6"/>
      <c r="G10" s="7">
        <v>0.18</v>
      </c>
      <c r="H10" s="6">
        <v>180</v>
      </c>
      <c r="I10" s="6" t="s">
        <v>104</v>
      </c>
      <c r="J10" s="6"/>
      <c r="K10" s="6"/>
      <c r="L10" s="6">
        <f t="shared" si="2"/>
        <v>0</v>
      </c>
      <c r="M10" s="6"/>
      <c r="N10" s="6"/>
      <c r="O10" s="6"/>
      <c r="P10" s="6">
        <v>0</v>
      </c>
      <c r="Q10" s="6">
        <f t="shared" si="3"/>
        <v>0</v>
      </c>
      <c r="R10" s="8">
        <v>12</v>
      </c>
      <c r="S10" s="8">
        <f t="shared" si="5"/>
        <v>12</v>
      </c>
      <c r="T10" s="8">
        <f>VLOOKUP(A10,заказ!A:B,2,0)</f>
        <v>12</v>
      </c>
      <c r="U10" s="20"/>
      <c r="V10" s="6" t="e">
        <f t="shared" si="6"/>
        <v>#DIV/0!</v>
      </c>
      <c r="W10" s="6" t="e">
        <f t="shared" si="4"/>
        <v>#DIV/0!</v>
      </c>
      <c r="X10" s="6">
        <v>0</v>
      </c>
      <c r="Y10" s="6">
        <v>0</v>
      </c>
      <c r="Z10" s="6">
        <v>0</v>
      </c>
      <c r="AA10" s="6">
        <v>-9.6</v>
      </c>
      <c r="AB10" s="6">
        <v>-12.6</v>
      </c>
      <c r="AC10" s="6">
        <v>118.8</v>
      </c>
      <c r="AD10" s="6">
        <v>0.6</v>
      </c>
      <c r="AE10" s="6">
        <v>-0.4</v>
      </c>
      <c r="AF10" s="6">
        <v>0</v>
      </c>
      <c r="AG10" s="6">
        <v>2.4</v>
      </c>
      <c r="AH10" s="6" t="s">
        <v>45</v>
      </c>
      <c r="AI10" s="6">
        <f t="shared" si="7"/>
        <v>2.16</v>
      </c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 spans="1:52" x14ac:dyDescent="0.25">
      <c r="A11" s="6" t="s">
        <v>46</v>
      </c>
      <c r="B11" s="6" t="s">
        <v>36</v>
      </c>
      <c r="C11" s="6"/>
      <c r="D11" s="6"/>
      <c r="E11" s="6"/>
      <c r="F11" s="6"/>
      <c r="G11" s="7">
        <v>0.18</v>
      </c>
      <c r="H11" s="6">
        <v>180</v>
      </c>
      <c r="I11" s="6" t="s">
        <v>104</v>
      </c>
      <c r="J11" s="6"/>
      <c r="K11" s="6"/>
      <c r="L11" s="6">
        <f t="shared" si="2"/>
        <v>0</v>
      </c>
      <c r="M11" s="6"/>
      <c r="N11" s="6"/>
      <c r="O11" s="6"/>
      <c r="P11" s="6">
        <v>0</v>
      </c>
      <c r="Q11" s="6">
        <f t="shared" si="3"/>
        <v>0</v>
      </c>
      <c r="R11" s="8">
        <v>12</v>
      </c>
      <c r="S11" s="8">
        <f t="shared" si="5"/>
        <v>12</v>
      </c>
      <c r="T11" s="8">
        <f>VLOOKUP(A11,заказ!A:B,2,0)</f>
        <v>12</v>
      </c>
      <c r="U11" s="20"/>
      <c r="V11" s="6" t="e">
        <f t="shared" si="6"/>
        <v>#DIV/0!</v>
      </c>
      <c r="W11" s="6" t="e">
        <f t="shared" si="4"/>
        <v>#DIV/0!</v>
      </c>
      <c r="X11" s="6">
        <v>0</v>
      </c>
      <c r="Y11" s="6">
        <v>0</v>
      </c>
      <c r="Z11" s="6">
        <v>0</v>
      </c>
      <c r="AA11" s="6">
        <v>-0.2</v>
      </c>
      <c r="AB11" s="6">
        <v>2.8</v>
      </c>
      <c r="AC11" s="6">
        <v>-0.2</v>
      </c>
      <c r="AD11" s="6">
        <v>1.2</v>
      </c>
      <c r="AE11" s="6">
        <v>23.4</v>
      </c>
      <c r="AF11" s="6">
        <v>-0.4</v>
      </c>
      <c r="AG11" s="6">
        <v>-1.2</v>
      </c>
      <c r="AH11" s="6" t="s">
        <v>45</v>
      </c>
      <c r="AI11" s="6">
        <f t="shared" si="7"/>
        <v>2.16</v>
      </c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 spans="1:52" x14ac:dyDescent="0.25">
      <c r="A12" s="6" t="s">
        <v>47</v>
      </c>
      <c r="B12" s="6" t="s">
        <v>43</v>
      </c>
      <c r="C12" s="6">
        <v>41.927999999999997</v>
      </c>
      <c r="D12" s="6">
        <v>3.1259999999999999</v>
      </c>
      <c r="E12" s="6">
        <v>41.927999999999997</v>
      </c>
      <c r="F12" s="6"/>
      <c r="G12" s="7">
        <v>1</v>
      </c>
      <c r="H12" s="6">
        <v>180</v>
      </c>
      <c r="I12" s="6" t="s">
        <v>104</v>
      </c>
      <c r="J12" s="6"/>
      <c r="K12" s="6">
        <v>54.1</v>
      </c>
      <c r="L12" s="6">
        <f t="shared" si="2"/>
        <v>-12.172000000000004</v>
      </c>
      <c r="M12" s="6"/>
      <c r="N12" s="6"/>
      <c r="O12" s="6">
        <v>16</v>
      </c>
      <c r="P12" s="6">
        <v>66</v>
      </c>
      <c r="Q12" s="6">
        <f t="shared" si="3"/>
        <v>8.3856000000000002</v>
      </c>
      <c r="R12" s="8">
        <f t="shared" ref="R12:R20" si="8">18*Q12-P12-O12-F12</f>
        <v>68.940799999999996</v>
      </c>
      <c r="S12" s="8">
        <v>100</v>
      </c>
      <c r="T12" s="8">
        <f>VLOOKUP(A12,заказ!A:B,2,0)</f>
        <v>99</v>
      </c>
      <c r="U12" s="20">
        <f>VLOOKUP(A12,[1]Sheet!$A:$S,19,0)</f>
        <v>300</v>
      </c>
      <c r="V12" s="6">
        <f t="shared" si="6"/>
        <v>21.703873306620874</v>
      </c>
      <c r="W12" s="6">
        <f t="shared" si="4"/>
        <v>9.7786681930929209</v>
      </c>
      <c r="X12" s="6">
        <v>1.9</v>
      </c>
      <c r="Y12" s="6">
        <v>1.3184</v>
      </c>
      <c r="Z12" s="6">
        <v>3.1696</v>
      </c>
      <c r="AA12" s="6">
        <v>1.2887999999999999</v>
      </c>
      <c r="AB12" s="6">
        <v>0.63559999999999994</v>
      </c>
      <c r="AC12" s="6">
        <v>1.2452000000000001</v>
      </c>
      <c r="AD12" s="6">
        <v>0.61959999999999993</v>
      </c>
      <c r="AE12" s="6">
        <v>2.4516</v>
      </c>
      <c r="AF12" s="6">
        <v>3.2412000000000001</v>
      </c>
      <c r="AG12" s="6">
        <v>0</v>
      </c>
      <c r="AH12" s="6"/>
      <c r="AI12" s="6">
        <f t="shared" si="7"/>
        <v>100</v>
      </c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 spans="1:52" x14ac:dyDescent="0.25">
      <c r="A13" s="6" t="s">
        <v>48</v>
      </c>
      <c r="B13" s="6" t="s">
        <v>36</v>
      </c>
      <c r="C13" s="6"/>
      <c r="D13" s="6"/>
      <c r="E13" s="6"/>
      <c r="F13" s="6"/>
      <c r="G13" s="7">
        <v>0.82450000000000001</v>
      </c>
      <c r="H13" s="6">
        <v>180</v>
      </c>
      <c r="I13" s="6" t="s">
        <v>104</v>
      </c>
      <c r="J13" s="6"/>
      <c r="K13" s="6"/>
      <c r="L13" s="6">
        <f t="shared" si="2"/>
        <v>0</v>
      </c>
      <c r="M13" s="6"/>
      <c r="N13" s="6"/>
      <c r="O13" s="6">
        <v>96</v>
      </c>
      <c r="P13" s="6">
        <v>48</v>
      </c>
      <c r="Q13" s="6">
        <f t="shared" si="3"/>
        <v>0</v>
      </c>
      <c r="R13" s="8"/>
      <c r="S13" s="8">
        <f t="shared" si="5"/>
        <v>0</v>
      </c>
      <c r="T13" s="8"/>
      <c r="U13" s="20"/>
      <c r="V13" s="6" t="e">
        <f t="shared" si="6"/>
        <v>#DIV/0!</v>
      </c>
      <c r="W13" s="6" t="e">
        <f t="shared" si="4"/>
        <v>#DIV/0!</v>
      </c>
      <c r="X13" s="6">
        <v>0</v>
      </c>
      <c r="Y13" s="6">
        <v>0.4</v>
      </c>
      <c r="Z13" s="6">
        <v>0.8</v>
      </c>
      <c r="AA13" s="6">
        <v>0.4</v>
      </c>
      <c r="AB13" s="6">
        <v>0</v>
      </c>
      <c r="AC13" s="6">
        <v>0.2</v>
      </c>
      <c r="AD13" s="6">
        <v>9.6</v>
      </c>
      <c r="AE13" s="6">
        <v>0.4</v>
      </c>
      <c r="AF13" s="6">
        <v>0.6</v>
      </c>
      <c r="AG13" s="6">
        <v>0</v>
      </c>
      <c r="AH13" s="6" t="s">
        <v>49</v>
      </c>
      <c r="AI13" s="6">
        <f t="shared" si="7"/>
        <v>0</v>
      </c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 spans="1:52" x14ac:dyDescent="0.25">
      <c r="A14" s="6" t="s">
        <v>50</v>
      </c>
      <c r="B14" s="6" t="s">
        <v>36</v>
      </c>
      <c r="C14" s="6">
        <v>371</v>
      </c>
      <c r="D14" s="6">
        <v>2</v>
      </c>
      <c r="E14" s="6">
        <v>88</v>
      </c>
      <c r="F14" s="6">
        <v>277</v>
      </c>
      <c r="G14" s="7">
        <v>0.372</v>
      </c>
      <c r="H14" s="6">
        <v>180</v>
      </c>
      <c r="I14" s="6" t="s">
        <v>104</v>
      </c>
      <c r="J14" s="6"/>
      <c r="K14" s="6">
        <v>86</v>
      </c>
      <c r="L14" s="6">
        <f t="shared" si="2"/>
        <v>2</v>
      </c>
      <c r="M14" s="6"/>
      <c r="N14" s="6"/>
      <c r="O14" s="6">
        <v>144</v>
      </c>
      <c r="P14" s="6">
        <v>96</v>
      </c>
      <c r="Q14" s="6">
        <f t="shared" si="3"/>
        <v>17.600000000000001</v>
      </c>
      <c r="R14" s="8"/>
      <c r="S14" s="8">
        <f t="shared" si="5"/>
        <v>0</v>
      </c>
      <c r="T14" s="8"/>
      <c r="U14" s="20">
        <f>VLOOKUP(A14,[1]Sheet!$A:$S,19,0)</f>
        <v>200</v>
      </c>
      <c r="V14" s="6">
        <f t="shared" si="6"/>
        <v>29.374999999999996</v>
      </c>
      <c r="W14" s="6">
        <f t="shared" si="4"/>
        <v>29.374999999999996</v>
      </c>
      <c r="X14" s="6">
        <v>9.8000000000000007</v>
      </c>
      <c r="Y14" s="6">
        <v>18.600000000000001</v>
      </c>
      <c r="Z14" s="6">
        <v>27.4</v>
      </c>
      <c r="AA14" s="6">
        <v>18</v>
      </c>
      <c r="AB14" s="6">
        <v>35.4</v>
      </c>
      <c r="AC14" s="6">
        <v>16.2</v>
      </c>
      <c r="AD14" s="6">
        <v>25.8</v>
      </c>
      <c r="AE14" s="6">
        <v>10</v>
      </c>
      <c r="AF14" s="6">
        <v>15.2</v>
      </c>
      <c r="AG14" s="6">
        <v>29</v>
      </c>
      <c r="AH14" s="17" t="s">
        <v>39</v>
      </c>
      <c r="AI14" s="6">
        <f t="shared" si="7"/>
        <v>0</v>
      </c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 spans="1:52" x14ac:dyDescent="0.25">
      <c r="A15" s="6" t="s">
        <v>51</v>
      </c>
      <c r="B15" s="6" t="s">
        <v>36</v>
      </c>
      <c r="C15" s="6">
        <v>181</v>
      </c>
      <c r="D15" s="6"/>
      <c r="E15" s="6">
        <v>26</v>
      </c>
      <c r="F15" s="6">
        <v>152</v>
      </c>
      <c r="G15" s="7">
        <v>0.74399999999999999</v>
      </c>
      <c r="H15" s="6">
        <v>180</v>
      </c>
      <c r="I15" s="6" t="s">
        <v>104</v>
      </c>
      <c r="J15" s="6"/>
      <c r="K15" s="6">
        <v>26</v>
      </c>
      <c r="L15" s="6">
        <f t="shared" si="2"/>
        <v>0</v>
      </c>
      <c r="M15" s="6"/>
      <c r="N15" s="6"/>
      <c r="O15" s="6">
        <v>216</v>
      </c>
      <c r="P15" s="6">
        <v>96</v>
      </c>
      <c r="Q15" s="6">
        <f t="shared" si="3"/>
        <v>5.2</v>
      </c>
      <c r="R15" s="8"/>
      <c r="S15" s="8">
        <f t="shared" si="5"/>
        <v>0</v>
      </c>
      <c r="T15" s="8"/>
      <c r="U15" s="20">
        <f>VLOOKUP(A15,[1]Sheet!$A:$S,19,0)</f>
        <v>200</v>
      </c>
      <c r="V15" s="6">
        <f t="shared" si="6"/>
        <v>89.230769230769226</v>
      </c>
      <c r="W15" s="6">
        <f t="shared" si="4"/>
        <v>89.230769230769226</v>
      </c>
      <c r="X15" s="6">
        <v>-5.8</v>
      </c>
      <c r="Y15" s="6">
        <v>29.4</v>
      </c>
      <c r="Z15" s="6">
        <v>18.2</v>
      </c>
      <c r="AA15" s="6">
        <v>11.4</v>
      </c>
      <c r="AB15" s="6">
        <v>27.6</v>
      </c>
      <c r="AC15" s="6">
        <v>7.6</v>
      </c>
      <c r="AD15" s="6">
        <v>7.4</v>
      </c>
      <c r="AE15" s="6">
        <v>3.2</v>
      </c>
      <c r="AF15" s="6">
        <v>21.8</v>
      </c>
      <c r="AG15" s="6">
        <v>17.8</v>
      </c>
      <c r="AH15" s="17" t="s">
        <v>39</v>
      </c>
      <c r="AI15" s="6">
        <f t="shared" si="7"/>
        <v>0</v>
      </c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 spans="1:52" x14ac:dyDescent="0.25">
      <c r="A16" s="6" t="s">
        <v>52</v>
      </c>
      <c r="B16" s="6" t="s">
        <v>36</v>
      </c>
      <c r="C16" s="6">
        <v>139</v>
      </c>
      <c r="D16" s="6">
        <v>5</v>
      </c>
      <c r="E16" s="6">
        <v>139</v>
      </c>
      <c r="F16" s="6"/>
      <c r="G16" s="7">
        <v>0.372</v>
      </c>
      <c r="H16" s="6">
        <v>180</v>
      </c>
      <c r="I16" s="6" t="s">
        <v>104</v>
      </c>
      <c r="J16" s="6"/>
      <c r="K16" s="6">
        <v>175</v>
      </c>
      <c r="L16" s="6">
        <f t="shared" si="2"/>
        <v>-36</v>
      </c>
      <c r="M16" s="6"/>
      <c r="N16" s="6"/>
      <c r="O16" s="6">
        <v>300</v>
      </c>
      <c r="P16" s="6">
        <v>96</v>
      </c>
      <c r="Q16" s="6">
        <f t="shared" si="3"/>
        <v>27.8</v>
      </c>
      <c r="R16" s="8">
        <f t="shared" si="8"/>
        <v>104.40000000000003</v>
      </c>
      <c r="S16" s="8">
        <v>150</v>
      </c>
      <c r="T16" s="8">
        <f>VLOOKUP(A16,заказ!A:B,2,0)</f>
        <v>144</v>
      </c>
      <c r="U16" s="20">
        <f>VLOOKUP(A16,[1]Sheet!$A:$S,19,0)</f>
        <v>250</v>
      </c>
      <c r="V16" s="6">
        <f t="shared" si="6"/>
        <v>19.640287769784173</v>
      </c>
      <c r="W16" s="6">
        <f t="shared" si="4"/>
        <v>14.244604316546763</v>
      </c>
      <c r="X16" s="6">
        <v>4.8</v>
      </c>
      <c r="Y16" s="6">
        <v>37.200000000000003</v>
      </c>
      <c r="Z16" s="6">
        <v>22.2</v>
      </c>
      <c r="AA16" s="6">
        <v>25</v>
      </c>
      <c r="AB16" s="6">
        <v>53.2</v>
      </c>
      <c r="AC16" s="6">
        <v>26.4</v>
      </c>
      <c r="AD16" s="6">
        <v>39</v>
      </c>
      <c r="AE16" s="6">
        <v>23</v>
      </c>
      <c r="AF16" s="6">
        <v>32.6</v>
      </c>
      <c r="AG16" s="6">
        <v>49.6</v>
      </c>
      <c r="AH16" s="6"/>
      <c r="AI16" s="6">
        <f t="shared" si="7"/>
        <v>55.8</v>
      </c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 spans="1:52" x14ac:dyDescent="0.25">
      <c r="A17" s="6" t="s">
        <v>53</v>
      </c>
      <c r="B17" s="6" t="s">
        <v>36</v>
      </c>
      <c r="C17" s="6">
        <v>696</v>
      </c>
      <c r="D17" s="6">
        <v>2</v>
      </c>
      <c r="E17" s="6">
        <v>130</v>
      </c>
      <c r="F17" s="6">
        <v>555</v>
      </c>
      <c r="G17" s="7">
        <v>0.74399999999999999</v>
      </c>
      <c r="H17" s="6">
        <v>180</v>
      </c>
      <c r="I17" s="6" t="s">
        <v>104</v>
      </c>
      <c r="J17" s="6"/>
      <c r="K17" s="6">
        <v>142</v>
      </c>
      <c r="L17" s="6">
        <f t="shared" si="2"/>
        <v>-12</v>
      </c>
      <c r="M17" s="6"/>
      <c r="N17" s="6"/>
      <c r="O17" s="6">
        <v>96</v>
      </c>
      <c r="P17" s="6"/>
      <c r="Q17" s="6">
        <f t="shared" si="3"/>
        <v>26</v>
      </c>
      <c r="R17" s="8"/>
      <c r="S17" s="8">
        <f t="shared" si="5"/>
        <v>0</v>
      </c>
      <c r="T17" s="8"/>
      <c r="U17" s="20"/>
      <c r="V17" s="6">
        <f t="shared" si="6"/>
        <v>25.03846153846154</v>
      </c>
      <c r="W17" s="6">
        <f t="shared" si="4"/>
        <v>25.03846153846154</v>
      </c>
      <c r="X17" s="6">
        <v>15.2</v>
      </c>
      <c r="Y17" s="6">
        <v>37.200000000000003</v>
      </c>
      <c r="Z17" s="6">
        <v>50.4</v>
      </c>
      <c r="AA17" s="6">
        <v>33.799999999999997</v>
      </c>
      <c r="AB17" s="6">
        <v>43</v>
      </c>
      <c r="AC17" s="6">
        <v>35.4</v>
      </c>
      <c r="AD17" s="6">
        <v>38.799999999999997</v>
      </c>
      <c r="AE17" s="6">
        <v>30.8</v>
      </c>
      <c r="AF17" s="6">
        <v>20.6</v>
      </c>
      <c r="AG17" s="6">
        <v>48</v>
      </c>
      <c r="AH17" s="19" t="s">
        <v>41</v>
      </c>
      <c r="AI17" s="6">
        <f t="shared" si="7"/>
        <v>0</v>
      </c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 spans="1:52" x14ac:dyDescent="0.25">
      <c r="A18" s="6" t="s">
        <v>54</v>
      </c>
      <c r="B18" s="6" t="s">
        <v>36</v>
      </c>
      <c r="C18" s="6">
        <v>21</v>
      </c>
      <c r="D18" s="6"/>
      <c r="E18" s="6">
        <v>12</v>
      </c>
      <c r="F18" s="6">
        <v>7</v>
      </c>
      <c r="G18" s="7">
        <v>0.14000000000000001</v>
      </c>
      <c r="H18" s="6">
        <v>180</v>
      </c>
      <c r="I18" s="6"/>
      <c r="J18" s="6"/>
      <c r="K18" s="6">
        <v>13</v>
      </c>
      <c r="L18" s="6">
        <f t="shared" si="2"/>
        <v>-1</v>
      </c>
      <c r="M18" s="6"/>
      <c r="N18" s="6"/>
      <c r="O18" s="6">
        <v>16</v>
      </c>
      <c r="P18" s="6">
        <v>32</v>
      </c>
      <c r="Q18" s="6">
        <f t="shared" si="3"/>
        <v>2.4</v>
      </c>
      <c r="R18" s="8"/>
      <c r="S18" s="8">
        <f t="shared" si="5"/>
        <v>0</v>
      </c>
      <c r="T18" s="8"/>
      <c r="U18" s="20">
        <f>VLOOKUP(A18,[1]Sheet!$A:$S,19,0)</f>
        <v>50</v>
      </c>
      <c r="V18" s="6">
        <f t="shared" si="6"/>
        <v>22.916666666666668</v>
      </c>
      <c r="W18" s="6">
        <f t="shared" si="4"/>
        <v>22.916666666666668</v>
      </c>
      <c r="X18" s="6">
        <v>2</v>
      </c>
      <c r="Y18" s="6">
        <v>2.6</v>
      </c>
      <c r="Z18" s="6">
        <v>0.4</v>
      </c>
      <c r="AA18" s="6">
        <v>3</v>
      </c>
      <c r="AB18" s="6">
        <v>5.8</v>
      </c>
      <c r="AC18" s="6">
        <v>2.8</v>
      </c>
      <c r="AD18" s="6">
        <v>3.6</v>
      </c>
      <c r="AE18" s="6">
        <v>0.8</v>
      </c>
      <c r="AF18" s="6">
        <v>3.8</v>
      </c>
      <c r="AG18" s="6">
        <v>3.8</v>
      </c>
      <c r="AH18" s="6"/>
      <c r="AI18" s="6">
        <f t="shared" si="7"/>
        <v>0</v>
      </c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 spans="1:52" x14ac:dyDescent="0.25">
      <c r="A19" s="6" t="s">
        <v>55</v>
      </c>
      <c r="B19" s="6" t="s">
        <v>36</v>
      </c>
      <c r="C19" s="6">
        <v>40</v>
      </c>
      <c r="D19" s="6">
        <v>1</v>
      </c>
      <c r="E19" s="6">
        <v>40</v>
      </c>
      <c r="F19" s="6"/>
      <c r="G19" s="7">
        <v>0.18</v>
      </c>
      <c r="H19" s="6">
        <v>270</v>
      </c>
      <c r="I19" s="6" t="s">
        <v>104</v>
      </c>
      <c r="J19" s="6"/>
      <c r="K19" s="6">
        <v>80</v>
      </c>
      <c r="L19" s="6">
        <f t="shared" si="2"/>
        <v>-40</v>
      </c>
      <c r="M19" s="6"/>
      <c r="N19" s="6"/>
      <c r="O19" s="6">
        <v>144</v>
      </c>
      <c r="P19" s="6">
        <v>32</v>
      </c>
      <c r="Q19" s="6">
        <f t="shared" si="3"/>
        <v>8</v>
      </c>
      <c r="R19" s="8"/>
      <c r="S19" s="8">
        <v>20</v>
      </c>
      <c r="T19" s="8">
        <f>VLOOKUP(A19,заказ!A:B,2,0)</f>
        <v>16</v>
      </c>
      <c r="U19" s="20">
        <f>VLOOKUP(A19,[1]Sheet!$A:$S,19,0)</f>
        <v>50</v>
      </c>
      <c r="V19" s="6">
        <f t="shared" si="6"/>
        <v>24.5</v>
      </c>
      <c r="W19" s="6">
        <f t="shared" si="4"/>
        <v>22</v>
      </c>
      <c r="X19" s="6">
        <v>3.6</v>
      </c>
      <c r="Y19" s="6">
        <v>10</v>
      </c>
      <c r="Z19" s="6">
        <v>4.5999999999999996</v>
      </c>
      <c r="AA19" s="6">
        <v>0.4</v>
      </c>
      <c r="AB19" s="6">
        <v>14.8</v>
      </c>
      <c r="AC19" s="6">
        <v>1</v>
      </c>
      <c r="AD19" s="6">
        <v>3.2</v>
      </c>
      <c r="AE19" s="6">
        <v>11</v>
      </c>
      <c r="AF19" s="6">
        <v>2.6</v>
      </c>
      <c r="AG19" s="6">
        <v>0</v>
      </c>
      <c r="AH19" s="6"/>
      <c r="AI19" s="6">
        <f t="shared" si="7"/>
        <v>3.5999999999999996</v>
      </c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 spans="1:52" x14ac:dyDescent="0.25">
      <c r="A20" s="6" t="s">
        <v>56</v>
      </c>
      <c r="B20" s="6" t="s">
        <v>36</v>
      </c>
      <c r="C20" s="6">
        <v>184</v>
      </c>
      <c r="D20" s="6">
        <v>1</v>
      </c>
      <c r="E20" s="6">
        <v>64</v>
      </c>
      <c r="F20" s="6">
        <v>105</v>
      </c>
      <c r="G20" s="7">
        <v>0.18</v>
      </c>
      <c r="H20" s="6">
        <v>270</v>
      </c>
      <c r="I20" s="6" t="s">
        <v>104</v>
      </c>
      <c r="J20" s="6"/>
      <c r="K20" s="6">
        <v>71</v>
      </c>
      <c r="L20" s="6">
        <f t="shared" si="2"/>
        <v>-7</v>
      </c>
      <c r="M20" s="6"/>
      <c r="N20" s="6"/>
      <c r="O20" s="6">
        <v>48</v>
      </c>
      <c r="P20" s="6"/>
      <c r="Q20" s="6">
        <f t="shared" si="3"/>
        <v>12.8</v>
      </c>
      <c r="R20" s="8">
        <f t="shared" si="8"/>
        <v>77.400000000000006</v>
      </c>
      <c r="S20" s="8">
        <v>100</v>
      </c>
      <c r="T20" s="8">
        <f>VLOOKUP(A20,заказ!A:B,2,0)</f>
        <v>96</v>
      </c>
      <c r="U20" s="20">
        <f>VLOOKUP(A20,[1]Sheet!$A:$S,19,0)</f>
        <v>150</v>
      </c>
      <c r="V20" s="6">
        <f t="shared" si="6"/>
        <v>19.765625</v>
      </c>
      <c r="W20" s="6">
        <f t="shared" si="4"/>
        <v>11.953125</v>
      </c>
      <c r="X20" s="6">
        <v>5.8</v>
      </c>
      <c r="Y20" s="6">
        <v>14</v>
      </c>
      <c r="Z20" s="6">
        <v>12.2</v>
      </c>
      <c r="AA20" s="6">
        <v>3.4</v>
      </c>
      <c r="AB20" s="6">
        <v>12.4</v>
      </c>
      <c r="AC20" s="6">
        <v>12.2</v>
      </c>
      <c r="AD20" s="6">
        <v>8</v>
      </c>
      <c r="AE20" s="6">
        <v>9.6</v>
      </c>
      <c r="AF20" s="6">
        <v>11</v>
      </c>
      <c r="AG20" s="6">
        <v>7.4</v>
      </c>
      <c r="AH20" s="6"/>
      <c r="AI20" s="6">
        <f t="shared" si="7"/>
        <v>18</v>
      </c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 spans="1:52" x14ac:dyDescent="0.25">
      <c r="A21" s="6" t="s">
        <v>57</v>
      </c>
      <c r="B21" s="6" t="s">
        <v>36</v>
      </c>
      <c r="C21" s="6">
        <v>37</v>
      </c>
      <c r="D21" s="6"/>
      <c r="E21" s="6">
        <v>-1</v>
      </c>
      <c r="F21" s="6"/>
      <c r="G21" s="7">
        <v>0.1</v>
      </c>
      <c r="H21" s="6">
        <v>60</v>
      </c>
      <c r="I21" s="6"/>
      <c r="J21" s="6"/>
      <c r="K21" s="6">
        <v>1</v>
      </c>
      <c r="L21" s="6">
        <f t="shared" si="2"/>
        <v>-2</v>
      </c>
      <c r="M21" s="6"/>
      <c r="N21" s="6"/>
      <c r="O21" s="6">
        <v>16</v>
      </c>
      <c r="P21" s="6">
        <v>40</v>
      </c>
      <c r="Q21" s="6">
        <f t="shared" si="3"/>
        <v>-0.2</v>
      </c>
      <c r="R21" s="8"/>
      <c r="S21" s="8">
        <f t="shared" si="5"/>
        <v>0</v>
      </c>
      <c r="T21" s="8"/>
      <c r="U21" s="20"/>
      <c r="V21" s="6">
        <f t="shared" si="6"/>
        <v>-280</v>
      </c>
      <c r="W21" s="6">
        <f t="shared" si="4"/>
        <v>-280</v>
      </c>
      <c r="X21" s="6">
        <v>0.4</v>
      </c>
      <c r="Y21" s="6">
        <v>3.8</v>
      </c>
      <c r="Z21" s="6">
        <v>-0.4</v>
      </c>
      <c r="AA21" s="6">
        <v>1.8</v>
      </c>
      <c r="AB21" s="6">
        <v>2</v>
      </c>
      <c r="AC21" s="6">
        <v>2.4</v>
      </c>
      <c r="AD21" s="6">
        <v>4</v>
      </c>
      <c r="AE21" s="6">
        <v>2.6</v>
      </c>
      <c r="AF21" s="6">
        <v>-0.6</v>
      </c>
      <c r="AG21" s="6">
        <v>4.5999999999999996</v>
      </c>
      <c r="AH21" s="18" t="s">
        <v>101</v>
      </c>
      <c r="AI21" s="6">
        <f t="shared" si="7"/>
        <v>0</v>
      </c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 spans="1:52" x14ac:dyDescent="0.25">
      <c r="A22" s="6" t="s">
        <v>58</v>
      </c>
      <c r="B22" s="6" t="s">
        <v>36</v>
      </c>
      <c r="C22" s="6">
        <v>745</v>
      </c>
      <c r="D22" s="6">
        <v>342</v>
      </c>
      <c r="E22" s="6">
        <v>438</v>
      </c>
      <c r="F22" s="6">
        <v>284</v>
      </c>
      <c r="G22" s="7">
        <v>0.18</v>
      </c>
      <c r="H22" s="6">
        <v>180</v>
      </c>
      <c r="I22" s="6" t="s">
        <v>104</v>
      </c>
      <c r="J22" s="6"/>
      <c r="K22" s="6">
        <v>458</v>
      </c>
      <c r="L22" s="6">
        <f t="shared" si="2"/>
        <v>-20</v>
      </c>
      <c r="M22" s="6"/>
      <c r="N22" s="6"/>
      <c r="O22" s="6">
        <v>1000</v>
      </c>
      <c r="P22" s="6">
        <v>1200</v>
      </c>
      <c r="Q22" s="6">
        <f t="shared" si="3"/>
        <v>87.6</v>
      </c>
      <c r="R22" s="8"/>
      <c r="S22" s="8">
        <f t="shared" si="5"/>
        <v>0</v>
      </c>
      <c r="T22" s="8"/>
      <c r="U22" s="20">
        <f>VLOOKUP(A22,[1]Sheet!$A:$S,19,0)</f>
        <v>500</v>
      </c>
      <c r="V22" s="6">
        <f t="shared" si="6"/>
        <v>28.356164383561644</v>
      </c>
      <c r="W22" s="6">
        <f t="shared" si="4"/>
        <v>28.356164383561644</v>
      </c>
      <c r="X22" s="6">
        <v>117</v>
      </c>
      <c r="Y22" s="6">
        <v>117.2</v>
      </c>
      <c r="Z22" s="6">
        <v>40</v>
      </c>
      <c r="AA22" s="6">
        <v>85.8</v>
      </c>
      <c r="AB22" s="6">
        <v>89.8</v>
      </c>
      <c r="AC22" s="6">
        <v>60.2</v>
      </c>
      <c r="AD22" s="6">
        <v>74.599999999999994</v>
      </c>
      <c r="AE22" s="6">
        <v>55.2</v>
      </c>
      <c r="AF22" s="6">
        <v>65.8</v>
      </c>
      <c r="AG22" s="6">
        <v>79</v>
      </c>
      <c r="AH22" s="6"/>
      <c r="AI22" s="6">
        <f t="shared" si="7"/>
        <v>0</v>
      </c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 spans="1:52" x14ac:dyDescent="0.25">
      <c r="A23" s="6" t="s">
        <v>59</v>
      </c>
      <c r="B23" s="6" t="s">
        <v>36</v>
      </c>
      <c r="C23" s="6">
        <v>705</v>
      </c>
      <c r="D23" s="6">
        <v>212</v>
      </c>
      <c r="E23" s="6">
        <v>524</v>
      </c>
      <c r="F23" s="6">
        <v>164</v>
      </c>
      <c r="G23" s="7">
        <v>0.18</v>
      </c>
      <c r="H23" s="6">
        <v>180</v>
      </c>
      <c r="I23" s="6" t="s">
        <v>104</v>
      </c>
      <c r="J23" s="6"/>
      <c r="K23" s="6">
        <v>545</v>
      </c>
      <c r="L23" s="6">
        <f t="shared" si="2"/>
        <v>-21</v>
      </c>
      <c r="M23" s="6"/>
      <c r="N23" s="6"/>
      <c r="O23" s="6">
        <v>1000</v>
      </c>
      <c r="P23" s="6">
        <v>1000</v>
      </c>
      <c r="Q23" s="6">
        <f t="shared" si="3"/>
        <v>104.8</v>
      </c>
      <c r="R23" s="8"/>
      <c r="S23" s="8">
        <v>300</v>
      </c>
      <c r="T23" s="8">
        <f>VLOOKUP(A23,заказ!A:B,2,0)</f>
        <v>300</v>
      </c>
      <c r="U23" s="20">
        <f>VLOOKUP(A23,[1]Sheet!$A:$S,19,0)</f>
        <v>500</v>
      </c>
      <c r="V23" s="6">
        <f t="shared" si="6"/>
        <v>23.511450381679388</v>
      </c>
      <c r="W23" s="6">
        <f t="shared" si="4"/>
        <v>20.648854961832061</v>
      </c>
      <c r="X23" s="6">
        <v>50.2</v>
      </c>
      <c r="Y23" s="6">
        <v>84.2</v>
      </c>
      <c r="Z23" s="6">
        <v>38.4</v>
      </c>
      <c r="AA23" s="6">
        <v>42</v>
      </c>
      <c r="AB23" s="6">
        <v>110</v>
      </c>
      <c r="AC23" s="6">
        <v>7.4</v>
      </c>
      <c r="AD23" s="6">
        <v>1.6</v>
      </c>
      <c r="AE23" s="6">
        <v>330.4</v>
      </c>
      <c r="AF23" s="6">
        <v>83.4</v>
      </c>
      <c r="AG23" s="6">
        <v>102.2</v>
      </c>
      <c r="AH23" s="6" t="s">
        <v>60</v>
      </c>
      <c r="AI23" s="6">
        <f t="shared" si="7"/>
        <v>54</v>
      </c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 spans="1:52" x14ac:dyDescent="0.25">
      <c r="A24" s="6" t="s">
        <v>61</v>
      </c>
      <c r="B24" s="6" t="s">
        <v>36</v>
      </c>
      <c r="C24" s="6">
        <v>18</v>
      </c>
      <c r="D24" s="6"/>
      <c r="E24" s="6">
        <v>2</v>
      </c>
      <c r="F24" s="6">
        <v>12</v>
      </c>
      <c r="G24" s="7">
        <v>0.4</v>
      </c>
      <c r="H24" s="6">
        <v>270</v>
      </c>
      <c r="I24" s="6" t="s">
        <v>104</v>
      </c>
      <c r="J24" s="6"/>
      <c r="K24" s="6">
        <v>2</v>
      </c>
      <c r="L24" s="6">
        <f t="shared" si="2"/>
        <v>0</v>
      </c>
      <c r="M24" s="6"/>
      <c r="N24" s="6"/>
      <c r="O24" s="6"/>
      <c r="P24" s="6"/>
      <c r="Q24" s="6">
        <f t="shared" si="3"/>
        <v>0.4</v>
      </c>
      <c r="R24" s="8"/>
      <c r="S24" s="8">
        <v>10</v>
      </c>
      <c r="T24" s="8">
        <f>VLOOKUP(A24,заказ!A:B,2,0)</f>
        <v>8</v>
      </c>
      <c r="U24" s="20">
        <f>VLOOKUP(A24,[1]Sheet!$A:$S,19,0)</f>
        <v>50</v>
      </c>
      <c r="V24" s="6">
        <f t="shared" si="6"/>
        <v>55</v>
      </c>
      <c r="W24" s="6">
        <f t="shared" si="4"/>
        <v>30</v>
      </c>
      <c r="X24" s="6">
        <v>1</v>
      </c>
      <c r="Y24" s="6">
        <v>1.4</v>
      </c>
      <c r="Z24" s="6">
        <v>0.2</v>
      </c>
      <c r="AA24" s="6">
        <v>1.2</v>
      </c>
      <c r="AB24" s="6">
        <v>1.2</v>
      </c>
      <c r="AC24" s="6">
        <v>1</v>
      </c>
      <c r="AD24" s="6">
        <v>-0.2</v>
      </c>
      <c r="AE24" s="6">
        <v>1.2</v>
      </c>
      <c r="AF24" s="6">
        <v>0.6</v>
      </c>
      <c r="AG24" s="6">
        <v>1</v>
      </c>
      <c r="AH24" s="19" t="s">
        <v>41</v>
      </c>
      <c r="AI24" s="6">
        <f t="shared" si="7"/>
        <v>4</v>
      </c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 spans="1:52" x14ac:dyDescent="0.25">
      <c r="A25" s="6" t="s">
        <v>62</v>
      </c>
      <c r="B25" s="6" t="s">
        <v>36</v>
      </c>
      <c r="C25" s="6">
        <v>81</v>
      </c>
      <c r="D25" s="6"/>
      <c r="E25" s="6">
        <v>3</v>
      </c>
      <c r="F25" s="6">
        <v>76</v>
      </c>
      <c r="G25" s="7">
        <v>0.4</v>
      </c>
      <c r="H25" s="6">
        <v>270</v>
      </c>
      <c r="I25" s="6" t="s">
        <v>104</v>
      </c>
      <c r="J25" s="6"/>
      <c r="K25" s="6">
        <v>3</v>
      </c>
      <c r="L25" s="6">
        <f t="shared" si="2"/>
        <v>0</v>
      </c>
      <c r="M25" s="6"/>
      <c r="N25" s="6"/>
      <c r="O25" s="6"/>
      <c r="P25" s="6"/>
      <c r="Q25" s="6">
        <f t="shared" si="3"/>
        <v>0.6</v>
      </c>
      <c r="R25" s="8"/>
      <c r="S25" s="8">
        <f t="shared" si="5"/>
        <v>0</v>
      </c>
      <c r="T25" s="8"/>
      <c r="U25" s="20">
        <f>VLOOKUP(A25,[1]Sheet!$A:$S,19,0)</f>
        <v>50</v>
      </c>
      <c r="V25" s="6">
        <f t="shared" si="6"/>
        <v>126.66666666666667</v>
      </c>
      <c r="W25" s="6">
        <f t="shared" si="4"/>
        <v>126.66666666666667</v>
      </c>
      <c r="X25" s="6">
        <v>0.2</v>
      </c>
      <c r="Y25" s="6">
        <v>0</v>
      </c>
      <c r="Z25" s="6">
        <v>0.4</v>
      </c>
      <c r="AA25" s="6">
        <v>0</v>
      </c>
      <c r="AB25" s="6">
        <v>0</v>
      </c>
      <c r="AC25" s="6">
        <v>0</v>
      </c>
      <c r="AD25" s="6">
        <v>0</v>
      </c>
      <c r="AE25" s="6">
        <v>0</v>
      </c>
      <c r="AF25" s="6">
        <v>0</v>
      </c>
      <c r="AG25" s="6">
        <v>0</v>
      </c>
      <c r="AH25" s="17" t="s">
        <v>39</v>
      </c>
      <c r="AI25" s="6">
        <f t="shared" si="7"/>
        <v>0</v>
      </c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 spans="1:52" x14ac:dyDescent="0.25">
      <c r="A26" s="15" t="s">
        <v>63</v>
      </c>
      <c r="B26" s="6" t="s">
        <v>36</v>
      </c>
      <c r="C26" s="6">
        <v>130</v>
      </c>
      <c r="D26" s="6"/>
      <c r="E26" s="6">
        <v>25</v>
      </c>
      <c r="F26" s="6">
        <v>104</v>
      </c>
      <c r="G26" s="7">
        <v>0.18</v>
      </c>
      <c r="H26" s="6">
        <v>270</v>
      </c>
      <c r="I26" s="6" t="s">
        <v>104</v>
      </c>
      <c r="J26" s="6"/>
      <c r="K26" s="6">
        <v>25</v>
      </c>
      <c r="L26" s="6">
        <f t="shared" si="2"/>
        <v>0</v>
      </c>
      <c r="M26" s="6"/>
      <c r="N26" s="6"/>
      <c r="O26" s="6"/>
      <c r="P26" s="6"/>
      <c r="Q26" s="6">
        <f t="shared" si="3"/>
        <v>5</v>
      </c>
      <c r="R26" s="8"/>
      <c r="S26" s="8">
        <v>10</v>
      </c>
      <c r="T26" s="8">
        <f>VLOOKUP(A26,заказ!A:B,2,0)</f>
        <v>16</v>
      </c>
      <c r="U26" s="20">
        <f>VLOOKUP(A26,[1]Sheet!$A:$S,19,0)</f>
        <v>50</v>
      </c>
      <c r="V26" s="6">
        <f t="shared" si="6"/>
        <v>22.8</v>
      </c>
      <c r="W26" s="6">
        <f t="shared" si="4"/>
        <v>20.8</v>
      </c>
      <c r="X26" s="6">
        <v>0.4</v>
      </c>
      <c r="Y26" s="6">
        <v>0.6</v>
      </c>
      <c r="Z26" s="6">
        <v>1.8</v>
      </c>
      <c r="AA26" s="6">
        <v>0.4</v>
      </c>
      <c r="AB26" s="6">
        <v>3.2</v>
      </c>
      <c r="AC26" s="6">
        <v>0.2</v>
      </c>
      <c r="AD26" s="6">
        <v>19.600000000000001</v>
      </c>
      <c r="AE26" s="6">
        <v>1.4</v>
      </c>
      <c r="AF26" s="6">
        <v>1</v>
      </c>
      <c r="AG26" s="6">
        <v>0.2</v>
      </c>
      <c r="AH26" s="17" t="s">
        <v>39</v>
      </c>
      <c r="AI26" s="6">
        <f t="shared" si="7"/>
        <v>1.7999999999999998</v>
      </c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 spans="1:52" x14ac:dyDescent="0.25">
      <c r="A27" s="15" t="s">
        <v>64</v>
      </c>
      <c r="B27" s="6" t="s">
        <v>36</v>
      </c>
      <c r="C27" s="6"/>
      <c r="D27" s="6"/>
      <c r="E27" s="6"/>
      <c r="F27" s="6"/>
      <c r="G27" s="7">
        <v>0.2</v>
      </c>
      <c r="H27" s="6">
        <v>120</v>
      </c>
      <c r="I27" s="6"/>
      <c r="J27" s="6"/>
      <c r="K27" s="6"/>
      <c r="L27" s="6">
        <f t="shared" si="2"/>
        <v>0</v>
      </c>
      <c r="M27" s="6"/>
      <c r="N27" s="6"/>
      <c r="O27" s="6"/>
      <c r="P27" s="6">
        <v>48</v>
      </c>
      <c r="Q27" s="6">
        <f t="shared" si="3"/>
        <v>0</v>
      </c>
      <c r="R27" s="8"/>
      <c r="S27" s="8">
        <f t="shared" si="5"/>
        <v>0</v>
      </c>
      <c r="T27" s="8"/>
      <c r="U27" s="20">
        <f>VLOOKUP(A27,[1]Sheet!$A:$S,19,0)</f>
        <v>50</v>
      </c>
      <c r="V27" s="6" t="e">
        <f t="shared" si="6"/>
        <v>#DIV/0!</v>
      </c>
      <c r="W27" s="6" t="e">
        <f t="shared" si="4"/>
        <v>#DIV/0!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 t="s">
        <v>65</v>
      </c>
      <c r="AI27" s="6">
        <f t="shared" si="7"/>
        <v>0</v>
      </c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 spans="1:52" x14ac:dyDescent="0.25">
      <c r="A28" s="10" t="s">
        <v>66</v>
      </c>
      <c r="B28" s="10" t="s">
        <v>43</v>
      </c>
      <c r="C28" s="10"/>
      <c r="D28" s="10"/>
      <c r="E28" s="10"/>
      <c r="F28" s="10"/>
      <c r="G28" s="11">
        <v>0</v>
      </c>
      <c r="H28" s="10">
        <v>180</v>
      </c>
      <c r="I28" s="13" t="s">
        <v>67</v>
      </c>
      <c r="J28" s="10"/>
      <c r="K28" s="10"/>
      <c r="L28" s="10">
        <f t="shared" si="2"/>
        <v>0</v>
      </c>
      <c r="M28" s="10"/>
      <c r="N28" s="10"/>
      <c r="O28" s="10"/>
      <c r="P28" s="10"/>
      <c r="Q28" s="10">
        <f t="shared" si="3"/>
        <v>0</v>
      </c>
      <c r="R28" s="12"/>
      <c r="S28" s="8">
        <f t="shared" si="5"/>
        <v>0</v>
      </c>
      <c r="T28" s="8"/>
      <c r="U28" s="20"/>
      <c r="V28" s="6" t="e">
        <f t="shared" si="6"/>
        <v>#DIV/0!</v>
      </c>
      <c r="W28" s="10" t="e">
        <f t="shared" si="4"/>
        <v>#DIV/0!</v>
      </c>
      <c r="X28" s="10">
        <v>0</v>
      </c>
      <c r="Y28" s="10">
        <v>0</v>
      </c>
      <c r="Z28" s="10">
        <v>0</v>
      </c>
      <c r="AA28" s="10">
        <v>0</v>
      </c>
      <c r="AB28" s="10">
        <v>-0.36159999999999998</v>
      </c>
      <c r="AC28" s="10">
        <v>0</v>
      </c>
      <c r="AD28" s="10">
        <v>0</v>
      </c>
      <c r="AE28" s="10">
        <v>0</v>
      </c>
      <c r="AF28" s="10">
        <v>0</v>
      </c>
      <c r="AG28" s="10">
        <v>0.46300000000000002</v>
      </c>
      <c r="AH28" s="10" t="s">
        <v>68</v>
      </c>
      <c r="AI28" s="6">
        <f t="shared" si="7"/>
        <v>0</v>
      </c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 spans="1:52" x14ac:dyDescent="0.25">
      <c r="A29" s="15" t="s">
        <v>69</v>
      </c>
      <c r="B29" s="6" t="s">
        <v>43</v>
      </c>
      <c r="C29" s="6">
        <v>56.725000000000001</v>
      </c>
      <c r="D29" s="6"/>
      <c r="E29" s="6"/>
      <c r="F29" s="6">
        <v>48.97</v>
      </c>
      <c r="G29" s="7">
        <v>1</v>
      </c>
      <c r="H29" s="6">
        <v>180</v>
      </c>
      <c r="I29" s="6" t="s">
        <v>104</v>
      </c>
      <c r="J29" s="6"/>
      <c r="K29" s="6"/>
      <c r="L29" s="6">
        <f t="shared" si="2"/>
        <v>0</v>
      </c>
      <c r="M29" s="6"/>
      <c r="N29" s="6"/>
      <c r="O29" s="6"/>
      <c r="P29" s="6"/>
      <c r="Q29" s="6">
        <f t="shared" si="3"/>
        <v>0</v>
      </c>
      <c r="R29" s="8"/>
      <c r="S29" s="8">
        <f t="shared" si="5"/>
        <v>0</v>
      </c>
      <c r="T29" s="8"/>
      <c r="U29" s="20"/>
      <c r="V29" s="6" t="e">
        <f t="shared" si="6"/>
        <v>#DIV/0!</v>
      </c>
      <c r="W29" s="6" t="e">
        <f t="shared" si="4"/>
        <v>#DIV/0!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19" t="s">
        <v>102</v>
      </c>
      <c r="AI29" s="6">
        <f t="shared" si="7"/>
        <v>0</v>
      </c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 spans="1:52" x14ac:dyDescent="0.25">
      <c r="A30" s="15" t="s">
        <v>70</v>
      </c>
      <c r="B30" s="6" t="s">
        <v>36</v>
      </c>
      <c r="C30" s="6"/>
      <c r="D30" s="6"/>
      <c r="E30" s="6"/>
      <c r="F30" s="6"/>
      <c r="G30" s="7">
        <v>0.18</v>
      </c>
      <c r="H30" s="6">
        <v>150</v>
      </c>
      <c r="I30" s="6" t="s">
        <v>104</v>
      </c>
      <c r="J30" s="6"/>
      <c r="K30" s="6"/>
      <c r="L30" s="6">
        <f t="shared" si="2"/>
        <v>0</v>
      </c>
      <c r="M30" s="6"/>
      <c r="N30" s="6"/>
      <c r="O30" s="6">
        <v>78</v>
      </c>
      <c r="P30" s="6">
        <v>102</v>
      </c>
      <c r="Q30" s="6">
        <f t="shared" si="3"/>
        <v>0</v>
      </c>
      <c r="R30" s="8"/>
      <c r="S30" s="8">
        <f t="shared" si="5"/>
        <v>0</v>
      </c>
      <c r="T30" s="8"/>
      <c r="U30" s="20">
        <f>VLOOKUP(A30,[1]Sheet!$A:$S,19,0)</f>
        <v>70</v>
      </c>
      <c r="V30" s="6" t="e">
        <f t="shared" si="6"/>
        <v>#DIV/0!</v>
      </c>
      <c r="W30" s="6" t="e">
        <f t="shared" si="4"/>
        <v>#DIV/0!</v>
      </c>
      <c r="X30" s="6">
        <v>0</v>
      </c>
      <c r="Y30" s="6">
        <v>0</v>
      </c>
      <c r="Z30" s="6">
        <v>-0.4</v>
      </c>
      <c r="AA30" s="6">
        <v>-0.8</v>
      </c>
      <c r="AB30" s="6">
        <v>0</v>
      </c>
      <c r="AC30" s="6">
        <v>0</v>
      </c>
      <c r="AD30" s="6">
        <v>2.8</v>
      </c>
      <c r="AE30" s="6">
        <v>4.8</v>
      </c>
      <c r="AF30" s="6">
        <v>8.4</v>
      </c>
      <c r="AG30" s="6">
        <v>7.2</v>
      </c>
      <c r="AH30" s="6" t="s">
        <v>71</v>
      </c>
      <c r="AI30" s="6">
        <f t="shared" si="7"/>
        <v>0</v>
      </c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 spans="1:52" x14ac:dyDescent="0.25">
      <c r="A31" s="15" t="s">
        <v>72</v>
      </c>
      <c r="B31" s="6" t="s">
        <v>36</v>
      </c>
      <c r="C31" s="6">
        <v>90</v>
      </c>
      <c r="D31" s="6">
        <v>46</v>
      </c>
      <c r="E31" s="6">
        <v>45</v>
      </c>
      <c r="F31" s="6">
        <v>43</v>
      </c>
      <c r="G31" s="7">
        <v>0.1</v>
      </c>
      <c r="H31" s="6">
        <v>90</v>
      </c>
      <c r="I31" s="6"/>
      <c r="J31" s="6"/>
      <c r="K31" s="6">
        <v>45</v>
      </c>
      <c r="L31" s="6">
        <f t="shared" si="2"/>
        <v>0</v>
      </c>
      <c r="M31" s="6"/>
      <c r="N31" s="6"/>
      <c r="O31" s="6"/>
      <c r="P31" s="6">
        <v>112</v>
      </c>
      <c r="Q31" s="6">
        <f t="shared" si="3"/>
        <v>9</v>
      </c>
      <c r="R31" s="8">
        <f t="shared" ref="R31:R50" si="9">18*Q31-P31-O31-F31</f>
        <v>7</v>
      </c>
      <c r="S31" s="8">
        <f t="shared" si="5"/>
        <v>7</v>
      </c>
      <c r="T31" s="8">
        <f>VLOOKUP(A31,заказ!A:B,2,0)</f>
        <v>8</v>
      </c>
      <c r="U31" s="20"/>
      <c r="V31" s="6">
        <f t="shared" si="6"/>
        <v>18</v>
      </c>
      <c r="W31" s="6">
        <f t="shared" si="4"/>
        <v>17.222222222222221</v>
      </c>
      <c r="X31" s="6">
        <v>9</v>
      </c>
      <c r="Y31" s="6">
        <v>7.8</v>
      </c>
      <c r="Z31" s="6">
        <v>7.2</v>
      </c>
      <c r="AA31" s="6">
        <v>21.4</v>
      </c>
      <c r="AB31" s="6">
        <v>16.2</v>
      </c>
      <c r="AC31" s="6">
        <v>9</v>
      </c>
      <c r="AD31" s="6">
        <v>9.1999999999999993</v>
      </c>
      <c r="AE31" s="6">
        <v>12.4</v>
      </c>
      <c r="AF31" s="6">
        <v>18.600000000000001</v>
      </c>
      <c r="AG31" s="6">
        <v>6</v>
      </c>
      <c r="AH31" s="6"/>
      <c r="AI31" s="6">
        <f t="shared" si="7"/>
        <v>0.70000000000000007</v>
      </c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 spans="1:52" x14ac:dyDescent="0.25">
      <c r="A32" s="15" t="s">
        <v>73</v>
      </c>
      <c r="B32" s="6" t="s">
        <v>36</v>
      </c>
      <c r="C32" s="6">
        <v>298</v>
      </c>
      <c r="D32" s="6">
        <v>89</v>
      </c>
      <c r="E32" s="6">
        <v>83</v>
      </c>
      <c r="F32" s="6">
        <v>282</v>
      </c>
      <c r="G32" s="7">
        <v>0.1</v>
      </c>
      <c r="H32" s="6">
        <v>60</v>
      </c>
      <c r="I32" s="6"/>
      <c r="J32" s="6"/>
      <c r="K32" s="6">
        <v>86</v>
      </c>
      <c r="L32" s="6">
        <f t="shared" si="2"/>
        <v>-3</v>
      </c>
      <c r="M32" s="6"/>
      <c r="N32" s="6"/>
      <c r="O32" s="6"/>
      <c r="P32" s="6">
        <v>80</v>
      </c>
      <c r="Q32" s="6">
        <f t="shared" si="3"/>
        <v>16.600000000000001</v>
      </c>
      <c r="R32" s="8"/>
      <c r="S32" s="8">
        <f t="shared" si="5"/>
        <v>0</v>
      </c>
      <c r="T32" s="8"/>
      <c r="U32" s="20"/>
      <c r="V32" s="6">
        <f t="shared" si="6"/>
        <v>21.807228915662648</v>
      </c>
      <c r="W32" s="6">
        <f t="shared" si="4"/>
        <v>21.807228915662648</v>
      </c>
      <c r="X32" s="6">
        <v>16.399999999999999</v>
      </c>
      <c r="Y32" s="6">
        <v>17.399999999999999</v>
      </c>
      <c r="Z32" s="6">
        <v>30.8</v>
      </c>
      <c r="AA32" s="6">
        <v>13.6</v>
      </c>
      <c r="AB32" s="6">
        <v>37.200000000000003</v>
      </c>
      <c r="AC32" s="6">
        <v>35.4</v>
      </c>
      <c r="AD32" s="6">
        <v>27</v>
      </c>
      <c r="AE32" s="6">
        <v>16.2</v>
      </c>
      <c r="AF32" s="6">
        <v>21.6</v>
      </c>
      <c r="AG32" s="6">
        <v>43.4</v>
      </c>
      <c r="AH32" s="6"/>
      <c r="AI32" s="6">
        <f t="shared" si="7"/>
        <v>0</v>
      </c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 spans="1:52" x14ac:dyDescent="0.25">
      <c r="A33" s="15" t="s">
        <v>74</v>
      </c>
      <c r="B33" s="6" t="s">
        <v>36</v>
      </c>
      <c r="C33" s="6">
        <v>339</v>
      </c>
      <c r="D33" s="6"/>
      <c r="E33" s="6">
        <v>99</v>
      </c>
      <c r="F33" s="6">
        <v>216</v>
      </c>
      <c r="G33" s="7">
        <v>0.1</v>
      </c>
      <c r="H33" s="6">
        <v>90</v>
      </c>
      <c r="I33" s="6"/>
      <c r="J33" s="6"/>
      <c r="K33" s="6">
        <v>92</v>
      </c>
      <c r="L33" s="6">
        <f t="shared" si="2"/>
        <v>7</v>
      </c>
      <c r="M33" s="6"/>
      <c r="N33" s="6"/>
      <c r="O33" s="6">
        <v>48</v>
      </c>
      <c r="P33" s="6">
        <v>48</v>
      </c>
      <c r="Q33" s="6">
        <f t="shared" si="3"/>
        <v>19.8</v>
      </c>
      <c r="R33" s="8">
        <f t="shared" si="9"/>
        <v>44.400000000000034</v>
      </c>
      <c r="S33" s="8">
        <v>80</v>
      </c>
      <c r="T33" s="8">
        <f>VLOOKUP(A33,заказ!A:B,2,0)</f>
        <v>80</v>
      </c>
      <c r="U33" s="20">
        <f>VLOOKUP(A33,[1]Sheet!$A:$S,19,0)</f>
        <v>100</v>
      </c>
      <c r="V33" s="6">
        <f t="shared" si="6"/>
        <v>19.797979797979796</v>
      </c>
      <c r="W33" s="6">
        <f t="shared" si="4"/>
        <v>15.757575757575758</v>
      </c>
      <c r="X33" s="6">
        <v>13.6</v>
      </c>
      <c r="Y33" s="6">
        <v>14.4</v>
      </c>
      <c r="Z33" s="6">
        <v>26</v>
      </c>
      <c r="AA33" s="6">
        <v>15.8</v>
      </c>
      <c r="AB33" s="6">
        <v>20.8</v>
      </c>
      <c r="AC33" s="6">
        <v>22.6</v>
      </c>
      <c r="AD33" s="6">
        <v>23.8</v>
      </c>
      <c r="AE33" s="6">
        <v>16.600000000000001</v>
      </c>
      <c r="AF33" s="6">
        <v>13.8</v>
      </c>
      <c r="AG33" s="6">
        <v>35.6</v>
      </c>
      <c r="AH33" s="6"/>
      <c r="AI33" s="6">
        <f t="shared" si="7"/>
        <v>8</v>
      </c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 spans="1:52" x14ac:dyDescent="0.25">
      <c r="A34" s="15" t="s">
        <v>75</v>
      </c>
      <c r="B34" s="6" t="s">
        <v>36</v>
      </c>
      <c r="C34" s="6"/>
      <c r="D34" s="6"/>
      <c r="E34" s="6"/>
      <c r="F34" s="6"/>
      <c r="G34" s="7">
        <v>0.18</v>
      </c>
      <c r="H34" s="6">
        <v>150</v>
      </c>
      <c r="I34" s="6" t="s">
        <v>104</v>
      </c>
      <c r="J34" s="6"/>
      <c r="K34" s="6">
        <v>12</v>
      </c>
      <c r="L34" s="6">
        <f t="shared" si="2"/>
        <v>-12</v>
      </c>
      <c r="M34" s="6"/>
      <c r="N34" s="6"/>
      <c r="O34" s="6">
        <v>200</v>
      </c>
      <c r="P34" s="6">
        <v>100</v>
      </c>
      <c r="Q34" s="6">
        <f t="shared" si="3"/>
        <v>0</v>
      </c>
      <c r="R34" s="8"/>
      <c r="S34" s="8">
        <v>50</v>
      </c>
      <c r="T34" s="8">
        <f>VLOOKUP(A34,заказ!A:B,2,0)</f>
        <v>50</v>
      </c>
      <c r="U34" s="20">
        <f>VLOOKUP(A34,[1]Sheet!$A:$S,19,0)</f>
        <v>150</v>
      </c>
      <c r="V34" s="6" t="e">
        <f t="shared" si="6"/>
        <v>#DIV/0!</v>
      </c>
      <c r="W34" s="6" t="e">
        <f t="shared" si="4"/>
        <v>#DIV/0!</v>
      </c>
      <c r="X34" s="6">
        <v>-0.2</v>
      </c>
      <c r="Y34" s="6">
        <v>0</v>
      </c>
      <c r="Z34" s="6">
        <v>-0.2</v>
      </c>
      <c r="AA34" s="6">
        <v>-1</v>
      </c>
      <c r="AB34" s="6">
        <v>-0.6</v>
      </c>
      <c r="AC34" s="6">
        <v>-0.8</v>
      </c>
      <c r="AD34" s="6">
        <v>-2.8</v>
      </c>
      <c r="AE34" s="6">
        <v>6</v>
      </c>
      <c r="AF34" s="6">
        <v>34.799999999999997</v>
      </c>
      <c r="AG34" s="6">
        <v>21.2</v>
      </c>
      <c r="AH34" s="6" t="s">
        <v>76</v>
      </c>
      <c r="AI34" s="6">
        <f t="shared" si="7"/>
        <v>9</v>
      </c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 spans="1:52" x14ac:dyDescent="0.25">
      <c r="A35" s="15" t="s">
        <v>77</v>
      </c>
      <c r="B35" s="6" t="s">
        <v>36</v>
      </c>
      <c r="C35" s="6">
        <v>576</v>
      </c>
      <c r="D35" s="6"/>
      <c r="E35" s="6">
        <v>261</v>
      </c>
      <c r="F35" s="6">
        <v>294</v>
      </c>
      <c r="G35" s="7">
        <v>0.18</v>
      </c>
      <c r="H35" s="6">
        <v>150</v>
      </c>
      <c r="I35" s="6" t="s">
        <v>104</v>
      </c>
      <c r="J35" s="6"/>
      <c r="K35" s="6">
        <v>261</v>
      </c>
      <c r="L35" s="6">
        <f t="shared" si="2"/>
        <v>0</v>
      </c>
      <c r="M35" s="6"/>
      <c r="N35" s="6"/>
      <c r="O35" s="6">
        <v>100</v>
      </c>
      <c r="P35" s="6"/>
      <c r="Q35" s="6">
        <f t="shared" si="3"/>
        <v>52.2</v>
      </c>
      <c r="R35" s="8">
        <f t="shared" si="9"/>
        <v>545.6</v>
      </c>
      <c r="S35" s="8">
        <f t="shared" si="5"/>
        <v>545.6</v>
      </c>
      <c r="T35" s="8">
        <f>VLOOKUP(A35,заказ!A:B,2,0)</f>
        <v>550</v>
      </c>
      <c r="U35" s="20"/>
      <c r="V35" s="6">
        <f t="shared" si="6"/>
        <v>18</v>
      </c>
      <c r="W35" s="6">
        <f t="shared" si="4"/>
        <v>7.5478927203065131</v>
      </c>
      <c r="X35" s="6">
        <v>21.6</v>
      </c>
      <c r="Y35" s="6">
        <v>13.4</v>
      </c>
      <c r="Z35" s="6">
        <v>50.6</v>
      </c>
      <c r="AA35" s="6">
        <v>14.8</v>
      </c>
      <c r="AB35" s="6">
        <v>37.799999999999997</v>
      </c>
      <c r="AC35" s="6">
        <v>36.799999999999997</v>
      </c>
      <c r="AD35" s="6">
        <v>32</v>
      </c>
      <c r="AE35" s="6">
        <v>29.2</v>
      </c>
      <c r="AF35" s="6">
        <v>29.2</v>
      </c>
      <c r="AG35" s="6">
        <v>55.6</v>
      </c>
      <c r="AH35" s="6"/>
      <c r="AI35" s="6">
        <f t="shared" si="7"/>
        <v>98.207999999999998</v>
      </c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 spans="1:52" x14ac:dyDescent="0.25">
      <c r="A36" s="15" t="s">
        <v>78</v>
      </c>
      <c r="B36" s="6" t="s">
        <v>36</v>
      </c>
      <c r="C36" s="6">
        <v>48</v>
      </c>
      <c r="D36" s="6"/>
      <c r="E36" s="6">
        <v>48</v>
      </c>
      <c r="F36" s="6"/>
      <c r="G36" s="7">
        <v>0.18</v>
      </c>
      <c r="H36" s="6">
        <v>150</v>
      </c>
      <c r="I36" s="6" t="s">
        <v>104</v>
      </c>
      <c r="J36" s="6"/>
      <c r="K36" s="6">
        <v>67</v>
      </c>
      <c r="L36" s="6">
        <f t="shared" si="2"/>
        <v>-19</v>
      </c>
      <c r="M36" s="6"/>
      <c r="N36" s="6"/>
      <c r="O36" s="6">
        <v>50</v>
      </c>
      <c r="P36" s="6">
        <v>100</v>
      </c>
      <c r="Q36" s="6">
        <f t="shared" si="3"/>
        <v>9.6</v>
      </c>
      <c r="R36" s="8">
        <f t="shared" si="9"/>
        <v>22.799999999999983</v>
      </c>
      <c r="S36" s="8">
        <v>70</v>
      </c>
      <c r="T36" s="8">
        <f>VLOOKUP(A36,заказ!A:B,2,0)</f>
        <v>70</v>
      </c>
      <c r="U36" s="20">
        <f>VLOOKUP(A36,[1]Sheet!$A:$S,19,0)</f>
        <v>150</v>
      </c>
      <c r="V36" s="6">
        <f t="shared" si="6"/>
        <v>22.916666666666668</v>
      </c>
      <c r="W36" s="6">
        <f t="shared" si="4"/>
        <v>15.625</v>
      </c>
      <c r="X36" s="6">
        <v>5.8</v>
      </c>
      <c r="Y36" s="6">
        <v>0</v>
      </c>
      <c r="Z36" s="6">
        <v>0</v>
      </c>
      <c r="AA36" s="6">
        <v>0</v>
      </c>
      <c r="AB36" s="6">
        <v>0</v>
      </c>
      <c r="AC36" s="6">
        <v>0</v>
      </c>
      <c r="AD36" s="6">
        <v>0</v>
      </c>
      <c r="AE36" s="6">
        <v>-0.2</v>
      </c>
      <c r="AF36" s="6">
        <v>0</v>
      </c>
      <c r="AG36" s="6">
        <v>0</v>
      </c>
      <c r="AH36" s="6" t="s">
        <v>79</v>
      </c>
      <c r="AI36" s="6">
        <f t="shared" si="7"/>
        <v>12.6</v>
      </c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 spans="1:52" x14ac:dyDescent="0.25">
      <c r="A37" s="15" t="s">
        <v>80</v>
      </c>
      <c r="B37" s="6" t="s">
        <v>36</v>
      </c>
      <c r="C37" s="6"/>
      <c r="D37" s="6"/>
      <c r="E37" s="6"/>
      <c r="F37" s="6"/>
      <c r="G37" s="7">
        <v>0.18</v>
      </c>
      <c r="H37" s="6">
        <v>150</v>
      </c>
      <c r="I37" s="6" t="s">
        <v>104</v>
      </c>
      <c r="J37" s="6"/>
      <c r="K37" s="6">
        <v>12</v>
      </c>
      <c r="L37" s="6">
        <f t="shared" si="2"/>
        <v>-12</v>
      </c>
      <c r="M37" s="6"/>
      <c r="N37" s="6"/>
      <c r="O37" s="6">
        <v>120</v>
      </c>
      <c r="P37" s="6">
        <v>100</v>
      </c>
      <c r="Q37" s="6">
        <f t="shared" si="3"/>
        <v>0</v>
      </c>
      <c r="R37" s="8"/>
      <c r="S37" s="8">
        <f t="shared" si="5"/>
        <v>0</v>
      </c>
      <c r="T37" s="8"/>
      <c r="U37" s="20">
        <f>VLOOKUP(A37,[1]Sheet!$A:$S,19,0)</f>
        <v>150</v>
      </c>
      <c r="V37" s="6" t="e">
        <f t="shared" si="6"/>
        <v>#DIV/0!</v>
      </c>
      <c r="W37" s="6" t="e">
        <f t="shared" si="4"/>
        <v>#DIV/0!</v>
      </c>
      <c r="X37" s="6">
        <v>2</v>
      </c>
      <c r="Y37" s="6">
        <v>9.1999999999999993</v>
      </c>
      <c r="Z37" s="6">
        <v>1</v>
      </c>
      <c r="AA37" s="6">
        <v>6.6</v>
      </c>
      <c r="AB37" s="6">
        <v>11.8</v>
      </c>
      <c r="AC37" s="6">
        <v>8</v>
      </c>
      <c r="AD37" s="6">
        <v>3.8</v>
      </c>
      <c r="AE37" s="6">
        <v>5</v>
      </c>
      <c r="AF37" s="6">
        <v>7.2</v>
      </c>
      <c r="AG37" s="6">
        <v>9</v>
      </c>
      <c r="AH37" s="6" t="s">
        <v>81</v>
      </c>
      <c r="AI37" s="6">
        <f t="shared" si="7"/>
        <v>0</v>
      </c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 spans="1:52" x14ac:dyDescent="0.25">
      <c r="A38" s="15" t="s">
        <v>82</v>
      </c>
      <c r="B38" s="6" t="s">
        <v>36</v>
      </c>
      <c r="C38" s="6">
        <v>274</v>
      </c>
      <c r="D38" s="6">
        <v>8</v>
      </c>
      <c r="E38" s="6">
        <v>281</v>
      </c>
      <c r="F38" s="6"/>
      <c r="G38" s="7">
        <v>0.18</v>
      </c>
      <c r="H38" s="6">
        <v>150</v>
      </c>
      <c r="I38" s="6" t="s">
        <v>104</v>
      </c>
      <c r="J38" s="6"/>
      <c r="K38" s="6">
        <v>295</v>
      </c>
      <c r="L38" s="6">
        <f t="shared" ref="L38:L54" si="10">E38-K38</f>
        <v>-14</v>
      </c>
      <c r="M38" s="6"/>
      <c r="N38" s="6"/>
      <c r="O38" s="6">
        <v>500</v>
      </c>
      <c r="P38" s="6">
        <v>600</v>
      </c>
      <c r="Q38" s="6">
        <f t="shared" ref="Q38:Q54" si="11">E38/5</f>
        <v>56.2</v>
      </c>
      <c r="R38" s="8"/>
      <c r="S38" s="8">
        <v>100</v>
      </c>
      <c r="T38" s="8">
        <f>VLOOKUP(A38,заказ!A:B,2,0)</f>
        <v>100</v>
      </c>
      <c r="U38" s="20">
        <f>VLOOKUP(A38,[1]Sheet!$A:$S,19,0)</f>
        <v>200</v>
      </c>
      <c r="V38" s="6">
        <f t="shared" si="6"/>
        <v>21.352313167259787</v>
      </c>
      <c r="W38" s="6">
        <f t="shared" ref="W38:W54" si="12">(F38+O38+P38)/Q38</f>
        <v>19.572953736654803</v>
      </c>
      <c r="X38" s="6">
        <v>60.4</v>
      </c>
      <c r="Y38" s="6">
        <v>60.4</v>
      </c>
      <c r="Z38" s="6">
        <v>47</v>
      </c>
      <c r="AA38" s="6">
        <v>29.4</v>
      </c>
      <c r="AB38" s="6">
        <v>71.8</v>
      </c>
      <c r="AC38" s="6">
        <v>65.8</v>
      </c>
      <c r="AD38" s="6">
        <v>47.8</v>
      </c>
      <c r="AE38" s="6">
        <v>28.6</v>
      </c>
      <c r="AF38" s="6">
        <v>50.4</v>
      </c>
      <c r="AG38" s="6">
        <v>52.6</v>
      </c>
      <c r="AH38" s="6"/>
      <c r="AI38" s="6">
        <f t="shared" si="7"/>
        <v>18</v>
      </c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 spans="1:52" x14ac:dyDescent="0.25">
      <c r="A39" s="15" t="s">
        <v>83</v>
      </c>
      <c r="B39" s="6" t="s">
        <v>36</v>
      </c>
      <c r="C39" s="6">
        <v>-1</v>
      </c>
      <c r="D39" s="6">
        <v>6</v>
      </c>
      <c r="E39" s="6">
        <v>1</v>
      </c>
      <c r="F39" s="6"/>
      <c r="G39" s="7">
        <v>0.18</v>
      </c>
      <c r="H39" s="6">
        <v>150</v>
      </c>
      <c r="I39" s="6" t="s">
        <v>104</v>
      </c>
      <c r="J39" s="6"/>
      <c r="K39" s="6">
        <v>51</v>
      </c>
      <c r="L39" s="6">
        <f t="shared" si="10"/>
        <v>-50</v>
      </c>
      <c r="M39" s="6"/>
      <c r="N39" s="6"/>
      <c r="O39" s="6">
        <v>200</v>
      </c>
      <c r="P39" s="6">
        <v>200</v>
      </c>
      <c r="Q39" s="6">
        <f t="shared" si="11"/>
        <v>0.2</v>
      </c>
      <c r="R39" s="8"/>
      <c r="S39" s="8">
        <f t="shared" si="5"/>
        <v>0</v>
      </c>
      <c r="T39" s="8"/>
      <c r="U39" s="20">
        <f>VLOOKUP(A39,[1]Sheet!$A:$S,19,0)</f>
        <v>200</v>
      </c>
      <c r="V39" s="6">
        <f t="shared" si="6"/>
        <v>2000</v>
      </c>
      <c r="W39" s="6">
        <f t="shared" si="12"/>
        <v>2000</v>
      </c>
      <c r="X39" s="6">
        <v>16.8</v>
      </c>
      <c r="Y39" s="6">
        <v>16.600000000000001</v>
      </c>
      <c r="Z39" s="6">
        <v>13</v>
      </c>
      <c r="AA39" s="6">
        <v>5.8</v>
      </c>
      <c r="AB39" s="6">
        <v>33.200000000000003</v>
      </c>
      <c r="AC39" s="6">
        <v>16.600000000000001</v>
      </c>
      <c r="AD39" s="6">
        <v>11.2</v>
      </c>
      <c r="AE39" s="6">
        <v>12.2</v>
      </c>
      <c r="AF39" s="6">
        <v>15.8</v>
      </c>
      <c r="AG39" s="6">
        <v>13</v>
      </c>
      <c r="AH39" s="6"/>
      <c r="AI39" s="6">
        <f t="shared" si="7"/>
        <v>0</v>
      </c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 spans="1:52" x14ac:dyDescent="0.25">
      <c r="A40" s="15" t="s">
        <v>84</v>
      </c>
      <c r="B40" s="6" t="s">
        <v>36</v>
      </c>
      <c r="C40" s="6">
        <v>8</v>
      </c>
      <c r="D40" s="6">
        <v>2</v>
      </c>
      <c r="E40" s="6"/>
      <c r="F40" s="6">
        <v>8</v>
      </c>
      <c r="G40" s="7">
        <v>0.1</v>
      </c>
      <c r="H40" s="6">
        <v>60</v>
      </c>
      <c r="I40" s="6"/>
      <c r="J40" s="6"/>
      <c r="K40" s="6">
        <v>2</v>
      </c>
      <c r="L40" s="6">
        <f t="shared" si="10"/>
        <v>-2</v>
      </c>
      <c r="M40" s="6"/>
      <c r="N40" s="6"/>
      <c r="O40" s="6">
        <v>8</v>
      </c>
      <c r="P40" s="6"/>
      <c r="Q40" s="6">
        <f t="shared" si="11"/>
        <v>0</v>
      </c>
      <c r="R40" s="8"/>
      <c r="S40" s="8">
        <f t="shared" si="5"/>
        <v>0</v>
      </c>
      <c r="T40" s="8"/>
      <c r="U40" s="20"/>
      <c r="V40" s="6" t="e">
        <f t="shared" si="6"/>
        <v>#DIV/0!</v>
      </c>
      <c r="W40" s="6" t="e">
        <f t="shared" si="12"/>
        <v>#DIV/0!</v>
      </c>
      <c r="X40" s="6">
        <v>-0.2</v>
      </c>
      <c r="Y40" s="6">
        <v>0.8</v>
      </c>
      <c r="Z40" s="6">
        <v>0.6</v>
      </c>
      <c r="AA40" s="6">
        <v>0.2</v>
      </c>
      <c r="AB40" s="6">
        <v>0.8</v>
      </c>
      <c r="AC40" s="6">
        <v>2.2000000000000002</v>
      </c>
      <c r="AD40" s="6">
        <v>0.2</v>
      </c>
      <c r="AE40" s="6">
        <v>2</v>
      </c>
      <c r="AF40" s="6">
        <v>-0.4</v>
      </c>
      <c r="AG40" s="6">
        <v>-0.2</v>
      </c>
      <c r="AH40" s="6" t="s">
        <v>85</v>
      </c>
      <c r="AI40" s="6">
        <f t="shared" si="7"/>
        <v>0</v>
      </c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 spans="1:52" x14ac:dyDescent="0.25">
      <c r="A41" s="15" t="s">
        <v>86</v>
      </c>
      <c r="B41" s="6" t="s">
        <v>36</v>
      </c>
      <c r="C41" s="6"/>
      <c r="D41" s="6"/>
      <c r="E41" s="6"/>
      <c r="F41" s="6"/>
      <c r="G41" s="7">
        <v>0.14000000000000001</v>
      </c>
      <c r="H41" s="6">
        <v>180</v>
      </c>
      <c r="I41" s="6"/>
      <c r="J41" s="6"/>
      <c r="K41" s="6">
        <v>19</v>
      </c>
      <c r="L41" s="6">
        <f t="shared" si="10"/>
        <v>-19</v>
      </c>
      <c r="M41" s="6"/>
      <c r="N41" s="6"/>
      <c r="O41" s="6">
        <v>96</v>
      </c>
      <c r="P41" s="6">
        <v>80</v>
      </c>
      <c r="Q41" s="6">
        <f t="shared" si="11"/>
        <v>0</v>
      </c>
      <c r="R41" s="8"/>
      <c r="S41" s="8">
        <f t="shared" si="5"/>
        <v>0</v>
      </c>
      <c r="T41" s="8"/>
      <c r="U41" s="20"/>
      <c r="V41" s="6" t="e">
        <f t="shared" si="6"/>
        <v>#DIV/0!</v>
      </c>
      <c r="W41" s="6" t="e">
        <f t="shared" si="12"/>
        <v>#DIV/0!</v>
      </c>
      <c r="X41" s="6">
        <v>2</v>
      </c>
      <c r="Y41" s="6">
        <v>6.4</v>
      </c>
      <c r="Z41" s="6">
        <v>1</v>
      </c>
      <c r="AA41" s="6">
        <v>2.4</v>
      </c>
      <c r="AB41" s="6">
        <v>7.8</v>
      </c>
      <c r="AC41" s="6">
        <v>4</v>
      </c>
      <c r="AD41" s="6">
        <v>4.5999999999999996</v>
      </c>
      <c r="AE41" s="6">
        <v>1.6</v>
      </c>
      <c r="AF41" s="6">
        <v>4.5999999999999996</v>
      </c>
      <c r="AG41" s="6">
        <v>5.8</v>
      </c>
      <c r="AH41" s="6"/>
      <c r="AI41" s="6">
        <f t="shared" si="7"/>
        <v>0</v>
      </c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 spans="1:52" x14ac:dyDescent="0.25">
      <c r="A42" s="15" t="s">
        <v>87</v>
      </c>
      <c r="B42" s="6" t="s">
        <v>36</v>
      </c>
      <c r="C42" s="6">
        <v>245</v>
      </c>
      <c r="D42" s="6">
        <v>154</v>
      </c>
      <c r="E42" s="6">
        <v>92</v>
      </c>
      <c r="F42" s="6">
        <v>146</v>
      </c>
      <c r="G42" s="7">
        <v>0.18</v>
      </c>
      <c r="H42" s="6">
        <v>270</v>
      </c>
      <c r="I42" s="6" t="s">
        <v>104</v>
      </c>
      <c r="J42" s="6"/>
      <c r="K42" s="6">
        <v>92</v>
      </c>
      <c r="L42" s="6">
        <f t="shared" si="10"/>
        <v>0</v>
      </c>
      <c r="M42" s="6"/>
      <c r="N42" s="6"/>
      <c r="O42" s="6">
        <v>128</v>
      </c>
      <c r="P42" s="6">
        <v>80</v>
      </c>
      <c r="Q42" s="6">
        <f t="shared" si="11"/>
        <v>18.399999999999999</v>
      </c>
      <c r="R42" s="8"/>
      <c r="S42" s="8">
        <v>40</v>
      </c>
      <c r="T42" s="8">
        <f>VLOOKUP(A42,заказ!A:B,2,0)</f>
        <v>32</v>
      </c>
      <c r="U42" s="20">
        <f>VLOOKUP(A42,[1]Sheet!$A:$S,19,0)</f>
        <v>200</v>
      </c>
      <c r="V42" s="6">
        <f t="shared" si="6"/>
        <v>21.413043478260871</v>
      </c>
      <c r="W42" s="6">
        <f t="shared" si="12"/>
        <v>19.239130434782609</v>
      </c>
      <c r="X42" s="6">
        <v>10.6</v>
      </c>
      <c r="Y42" s="6">
        <v>22</v>
      </c>
      <c r="Z42" s="6">
        <v>23</v>
      </c>
      <c r="AA42" s="6">
        <v>6.8</v>
      </c>
      <c r="AB42" s="6">
        <v>23.6</v>
      </c>
      <c r="AC42" s="6">
        <v>19.2</v>
      </c>
      <c r="AD42" s="6">
        <v>10.8</v>
      </c>
      <c r="AE42" s="6">
        <v>12.8</v>
      </c>
      <c r="AF42" s="6">
        <v>18</v>
      </c>
      <c r="AG42" s="6">
        <v>20</v>
      </c>
      <c r="AH42" s="6"/>
      <c r="AI42" s="6">
        <f t="shared" si="7"/>
        <v>7.1999999999999993</v>
      </c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 spans="1:52" x14ac:dyDescent="0.25">
      <c r="A43" s="15" t="s">
        <v>88</v>
      </c>
      <c r="B43" s="6" t="s">
        <v>43</v>
      </c>
      <c r="C43" s="6">
        <v>85.037999999999997</v>
      </c>
      <c r="D43" s="6"/>
      <c r="E43" s="6">
        <v>6.5659999999999998</v>
      </c>
      <c r="F43" s="6">
        <v>68.855999999999995</v>
      </c>
      <c r="G43" s="7">
        <v>1</v>
      </c>
      <c r="H43" s="6">
        <v>180</v>
      </c>
      <c r="I43" s="6" t="s">
        <v>104</v>
      </c>
      <c r="J43" s="6"/>
      <c r="K43" s="6">
        <v>7</v>
      </c>
      <c r="L43" s="6">
        <f t="shared" si="10"/>
        <v>-0.43400000000000016</v>
      </c>
      <c r="M43" s="6"/>
      <c r="N43" s="6"/>
      <c r="O43" s="6"/>
      <c r="P43" s="6"/>
      <c r="Q43" s="6">
        <f t="shared" si="11"/>
        <v>1.3131999999999999</v>
      </c>
      <c r="R43" s="8"/>
      <c r="S43" s="8">
        <f t="shared" si="5"/>
        <v>0</v>
      </c>
      <c r="T43" s="8"/>
      <c r="U43" s="20"/>
      <c r="V43" s="6">
        <f t="shared" si="6"/>
        <v>52.433749619250683</v>
      </c>
      <c r="W43" s="6">
        <f t="shared" si="12"/>
        <v>52.433749619250683</v>
      </c>
      <c r="X43" s="6">
        <v>2.9767999999999999</v>
      </c>
      <c r="Y43" s="6">
        <v>0</v>
      </c>
      <c r="Z43" s="6">
        <v>2.524</v>
      </c>
      <c r="AA43" s="6">
        <v>1.3311999999999999</v>
      </c>
      <c r="AB43" s="6">
        <v>0</v>
      </c>
      <c r="AC43" s="6">
        <v>1.2927999999999999</v>
      </c>
      <c r="AD43" s="6">
        <v>17.328800000000001</v>
      </c>
      <c r="AE43" s="6">
        <v>2.5156000000000001</v>
      </c>
      <c r="AF43" s="6">
        <v>2.64</v>
      </c>
      <c r="AG43" s="6">
        <v>1.3726</v>
      </c>
      <c r="AH43" s="19" t="s">
        <v>103</v>
      </c>
      <c r="AI43" s="6">
        <f t="shared" si="7"/>
        <v>0</v>
      </c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 spans="1:52" x14ac:dyDescent="0.25">
      <c r="A44" s="15" t="s">
        <v>89</v>
      </c>
      <c r="B44" s="6" t="s">
        <v>43</v>
      </c>
      <c r="C44" s="6">
        <v>18.454000000000001</v>
      </c>
      <c r="D44" s="6"/>
      <c r="E44" s="6">
        <v>12.686</v>
      </c>
      <c r="F44" s="6">
        <v>5.7679999999999998</v>
      </c>
      <c r="G44" s="7">
        <v>1</v>
      </c>
      <c r="H44" s="6">
        <v>180</v>
      </c>
      <c r="I44" s="6" t="s">
        <v>104</v>
      </c>
      <c r="J44" s="6"/>
      <c r="K44" s="6">
        <v>14</v>
      </c>
      <c r="L44" s="6">
        <f t="shared" si="10"/>
        <v>-1.3140000000000001</v>
      </c>
      <c r="M44" s="6"/>
      <c r="N44" s="6"/>
      <c r="O44" s="6">
        <v>16</v>
      </c>
      <c r="P44" s="6">
        <v>99</v>
      </c>
      <c r="Q44" s="6">
        <f t="shared" si="11"/>
        <v>2.5371999999999999</v>
      </c>
      <c r="R44" s="8"/>
      <c r="S44" s="8">
        <f t="shared" si="5"/>
        <v>0</v>
      </c>
      <c r="T44" s="8"/>
      <c r="U44" s="20">
        <f>VLOOKUP(A44,[1]Sheet!$A:$S,19,0)</f>
        <v>150</v>
      </c>
      <c r="V44" s="6">
        <f t="shared" si="6"/>
        <v>47.598927952073154</v>
      </c>
      <c r="W44" s="6">
        <f t="shared" si="12"/>
        <v>47.598927952073154</v>
      </c>
      <c r="X44" s="6">
        <v>4.7944000000000004</v>
      </c>
      <c r="Y44" s="6">
        <v>2.5684</v>
      </c>
      <c r="Z44" s="6">
        <v>1.9352</v>
      </c>
      <c r="AA44" s="6">
        <v>2.67</v>
      </c>
      <c r="AB44" s="6">
        <v>7.628400000000001</v>
      </c>
      <c r="AC44" s="6">
        <v>3.3647999999999998</v>
      </c>
      <c r="AD44" s="6">
        <v>1.3460000000000001</v>
      </c>
      <c r="AE44" s="6">
        <v>2.5680000000000001</v>
      </c>
      <c r="AF44" s="6">
        <v>5.9256000000000002</v>
      </c>
      <c r="AG44" s="6">
        <v>2.5728</v>
      </c>
      <c r="AH44" s="6"/>
      <c r="AI44" s="6">
        <f t="shared" si="7"/>
        <v>0</v>
      </c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 spans="1:52" x14ac:dyDescent="0.25">
      <c r="A45" s="15" t="s">
        <v>90</v>
      </c>
      <c r="B45" s="6" t="s">
        <v>43</v>
      </c>
      <c r="C45" s="6"/>
      <c r="D45" s="6"/>
      <c r="E45" s="6"/>
      <c r="F45" s="6"/>
      <c r="G45" s="7">
        <v>1</v>
      </c>
      <c r="H45" s="6">
        <v>180</v>
      </c>
      <c r="I45" s="6" t="s">
        <v>104</v>
      </c>
      <c r="J45" s="6"/>
      <c r="K45" s="6">
        <v>3.5</v>
      </c>
      <c r="L45" s="6">
        <f t="shared" si="10"/>
        <v>-3.5</v>
      </c>
      <c r="M45" s="6"/>
      <c r="N45" s="6"/>
      <c r="O45" s="6">
        <v>50</v>
      </c>
      <c r="P45" s="6">
        <v>82</v>
      </c>
      <c r="Q45" s="6">
        <f t="shared" si="11"/>
        <v>0</v>
      </c>
      <c r="R45" s="8"/>
      <c r="S45" s="8">
        <f t="shared" si="5"/>
        <v>0</v>
      </c>
      <c r="T45" s="8"/>
      <c r="U45" s="20">
        <f>VLOOKUP(A45,[1]Sheet!$A:$S,19,0)</f>
        <v>200</v>
      </c>
      <c r="V45" s="6" t="e">
        <f t="shared" si="6"/>
        <v>#DIV/0!</v>
      </c>
      <c r="W45" s="6" t="e">
        <f t="shared" si="12"/>
        <v>#DIV/0!</v>
      </c>
      <c r="X45" s="6">
        <v>0.7</v>
      </c>
      <c r="Y45" s="6">
        <v>12.469799999999999</v>
      </c>
      <c r="Z45" s="6">
        <v>16.026800000000001</v>
      </c>
      <c r="AA45" s="6">
        <v>8.2444000000000006</v>
      </c>
      <c r="AB45" s="6">
        <v>13.1412</v>
      </c>
      <c r="AC45" s="6">
        <v>13.5068</v>
      </c>
      <c r="AD45" s="6">
        <v>9.5599999999999987</v>
      </c>
      <c r="AE45" s="6">
        <v>6.8563999999999989</v>
      </c>
      <c r="AF45" s="6">
        <v>12.1096</v>
      </c>
      <c r="AG45" s="6">
        <v>9.7519999999999989</v>
      </c>
      <c r="AH45" s="6"/>
      <c r="AI45" s="6">
        <f t="shared" si="7"/>
        <v>0</v>
      </c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 spans="1:52" x14ac:dyDescent="0.25">
      <c r="A46" s="15" t="s">
        <v>91</v>
      </c>
      <c r="B46" s="6" t="s">
        <v>43</v>
      </c>
      <c r="C46" s="6">
        <v>44.136000000000003</v>
      </c>
      <c r="D46" s="6"/>
      <c r="E46" s="6">
        <v>10.334</v>
      </c>
      <c r="F46" s="6">
        <v>30.594000000000001</v>
      </c>
      <c r="G46" s="7">
        <v>1</v>
      </c>
      <c r="H46" s="6">
        <v>180</v>
      </c>
      <c r="I46" s="6" t="s">
        <v>104</v>
      </c>
      <c r="J46" s="6"/>
      <c r="K46" s="6">
        <v>9.9</v>
      </c>
      <c r="L46" s="6">
        <f t="shared" si="10"/>
        <v>0.43399999999999928</v>
      </c>
      <c r="M46" s="6"/>
      <c r="N46" s="6"/>
      <c r="O46" s="6"/>
      <c r="P46" s="6">
        <v>33</v>
      </c>
      <c r="Q46" s="6">
        <f t="shared" si="11"/>
        <v>2.0667999999999997</v>
      </c>
      <c r="R46" s="8"/>
      <c r="S46" s="8">
        <f t="shared" si="5"/>
        <v>0</v>
      </c>
      <c r="T46" s="8"/>
      <c r="U46" s="20">
        <f>VLOOKUP(A46,[1]Sheet!$A:$S,19,0)</f>
        <v>100</v>
      </c>
      <c r="V46" s="6">
        <f t="shared" si="6"/>
        <v>30.769305206115739</v>
      </c>
      <c r="W46" s="6">
        <f t="shared" si="12"/>
        <v>30.769305206115739</v>
      </c>
      <c r="X46" s="6">
        <v>2.6816</v>
      </c>
      <c r="Y46" s="6">
        <v>0.60240000000000005</v>
      </c>
      <c r="Z46" s="6">
        <v>0</v>
      </c>
      <c r="AA46" s="6">
        <v>1.3008</v>
      </c>
      <c r="AB46" s="6">
        <v>0</v>
      </c>
      <c r="AC46" s="6">
        <v>1.274</v>
      </c>
      <c r="AD46" s="6">
        <v>3.7267999999999999</v>
      </c>
      <c r="AE46" s="6">
        <v>3.8944000000000001</v>
      </c>
      <c r="AF46" s="6">
        <v>3.7183999999999999</v>
      </c>
      <c r="AG46" s="6">
        <v>2.5583999999999998</v>
      </c>
      <c r="AH46" s="19" t="s">
        <v>41</v>
      </c>
      <c r="AI46" s="6">
        <f t="shared" si="7"/>
        <v>0</v>
      </c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 spans="1:52" x14ac:dyDescent="0.25">
      <c r="A47" s="6" t="s">
        <v>92</v>
      </c>
      <c r="B47" s="6" t="s">
        <v>36</v>
      </c>
      <c r="C47" s="6">
        <v>107</v>
      </c>
      <c r="D47" s="6"/>
      <c r="E47" s="6">
        <v>106</v>
      </c>
      <c r="F47" s="6"/>
      <c r="G47" s="7">
        <v>0.1</v>
      </c>
      <c r="H47" s="6">
        <v>60</v>
      </c>
      <c r="I47" s="6"/>
      <c r="J47" s="6"/>
      <c r="K47" s="6">
        <v>234</v>
      </c>
      <c r="L47" s="6">
        <f t="shared" si="10"/>
        <v>-128</v>
      </c>
      <c r="M47" s="6"/>
      <c r="N47" s="6"/>
      <c r="O47" s="6">
        <v>420</v>
      </c>
      <c r="P47" s="6">
        <v>348</v>
      </c>
      <c r="Q47" s="6">
        <f t="shared" si="11"/>
        <v>21.2</v>
      </c>
      <c r="R47" s="8"/>
      <c r="S47" s="8">
        <f t="shared" si="5"/>
        <v>0</v>
      </c>
      <c r="T47" s="8"/>
      <c r="U47" s="20">
        <f>VLOOKUP(A47,[1]Sheet!$A:$S,19,0)</f>
        <v>200</v>
      </c>
      <c r="V47" s="6">
        <f t="shared" si="6"/>
        <v>36.226415094339622</v>
      </c>
      <c r="W47" s="6">
        <f t="shared" si="12"/>
        <v>36.226415094339622</v>
      </c>
      <c r="X47" s="6">
        <v>38.4</v>
      </c>
      <c r="Y47" s="6">
        <v>64.599999999999994</v>
      </c>
      <c r="Z47" s="6">
        <v>21.8</v>
      </c>
      <c r="AA47" s="6">
        <v>57</v>
      </c>
      <c r="AB47" s="6">
        <v>62.8</v>
      </c>
      <c r="AC47" s="6">
        <v>4.8</v>
      </c>
      <c r="AD47" s="6">
        <v>45.8</v>
      </c>
      <c r="AE47" s="6">
        <v>54</v>
      </c>
      <c r="AF47" s="6">
        <v>18.8</v>
      </c>
      <c r="AG47" s="6">
        <v>3.8</v>
      </c>
      <c r="AH47" s="6"/>
      <c r="AI47" s="6">
        <f t="shared" si="7"/>
        <v>0</v>
      </c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 spans="1:52" x14ac:dyDescent="0.25">
      <c r="A48" s="6" t="s">
        <v>93</v>
      </c>
      <c r="B48" s="6" t="s">
        <v>36</v>
      </c>
      <c r="C48" s="6">
        <v>70</v>
      </c>
      <c r="D48" s="6"/>
      <c r="E48" s="6">
        <v>62</v>
      </c>
      <c r="F48" s="6"/>
      <c r="G48" s="7">
        <v>0.1</v>
      </c>
      <c r="H48" s="6">
        <v>90</v>
      </c>
      <c r="I48" s="6"/>
      <c r="J48" s="6"/>
      <c r="K48" s="6">
        <v>114</v>
      </c>
      <c r="L48" s="6">
        <f t="shared" si="10"/>
        <v>-52</v>
      </c>
      <c r="M48" s="6"/>
      <c r="N48" s="6"/>
      <c r="O48" s="6">
        <v>252</v>
      </c>
      <c r="P48" s="6">
        <v>402</v>
      </c>
      <c r="Q48" s="6">
        <f t="shared" si="11"/>
        <v>12.4</v>
      </c>
      <c r="R48" s="8"/>
      <c r="S48" s="8">
        <f t="shared" si="5"/>
        <v>0</v>
      </c>
      <c r="T48" s="8"/>
      <c r="U48" s="20"/>
      <c r="V48" s="6">
        <f t="shared" si="6"/>
        <v>52.741935483870968</v>
      </c>
      <c r="W48" s="6">
        <f t="shared" si="12"/>
        <v>52.741935483870968</v>
      </c>
      <c r="X48" s="6">
        <v>29.6</v>
      </c>
      <c r="Y48" s="6">
        <v>40.4</v>
      </c>
      <c r="Z48" s="6">
        <v>24.6</v>
      </c>
      <c r="AA48" s="6">
        <v>41.8</v>
      </c>
      <c r="AB48" s="6">
        <v>47</v>
      </c>
      <c r="AC48" s="6">
        <v>33.4</v>
      </c>
      <c r="AD48" s="6">
        <v>34</v>
      </c>
      <c r="AE48" s="6">
        <v>30</v>
      </c>
      <c r="AF48" s="6">
        <v>49.2</v>
      </c>
      <c r="AG48" s="6">
        <v>36.4</v>
      </c>
      <c r="AH48" s="6"/>
      <c r="AI48" s="6">
        <f t="shared" si="7"/>
        <v>0</v>
      </c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 spans="1:52" x14ac:dyDescent="0.25">
      <c r="A49" s="6" t="s">
        <v>94</v>
      </c>
      <c r="B49" s="6" t="s">
        <v>36</v>
      </c>
      <c r="C49" s="6">
        <v>25</v>
      </c>
      <c r="D49" s="6">
        <v>3</v>
      </c>
      <c r="E49" s="6">
        <v>25</v>
      </c>
      <c r="F49" s="6"/>
      <c r="G49" s="7">
        <v>0.14000000000000001</v>
      </c>
      <c r="H49" s="6">
        <v>180</v>
      </c>
      <c r="I49" s="6"/>
      <c r="J49" s="6"/>
      <c r="K49" s="6">
        <v>39</v>
      </c>
      <c r="L49" s="6">
        <f t="shared" si="10"/>
        <v>-14</v>
      </c>
      <c r="M49" s="6"/>
      <c r="N49" s="6"/>
      <c r="O49" s="6">
        <v>112</v>
      </c>
      <c r="P49" s="6">
        <v>64</v>
      </c>
      <c r="Q49" s="6">
        <f t="shared" si="11"/>
        <v>5</v>
      </c>
      <c r="R49" s="8"/>
      <c r="S49" s="8">
        <f t="shared" si="5"/>
        <v>0</v>
      </c>
      <c r="T49" s="8"/>
      <c r="U49" s="20">
        <f>VLOOKUP(A49,[1]Sheet!$A:$S,19,0)</f>
        <v>50</v>
      </c>
      <c r="V49" s="6">
        <f t="shared" si="6"/>
        <v>35.200000000000003</v>
      </c>
      <c r="W49" s="6">
        <f t="shared" si="12"/>
        <v>35.200000000000003</v>
      </c>
      <c r="X49" s="6">
        <v>7.6</v>
      </c>
      <c r="Y49" s="6">
        <v>11.8</v>
      </c>
      <c r="Z49" s="6">
        <v>5.6</v>
      </c>
      <c r="AA49" s="6">
        <v>8</v>
      </c>
      <c r="AB49" s="6">
        <v>8.1999999999999993</v>
      </c>
      <c r="AC49" s="6">
        <v>6.6</v>
      </c>
      <c r="AD49" s="6">
        <v>6.2</v>
      </c>
      <c r="AE49" s="6">
        <v>3.2</v>
      </c>
      <c r="AF49" s="6">
        <v>8.4</v>
      </c>
      <c r="AG49" s="6">
        <v>8.1999999999999993</v>
      </c>
      <c r="AH49" s="6"/>
      <c r="AI49" s="6">
        <f t="shared" si="7"/>
        <v>0</v>
      </c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 spans="1:52" x14ac:dyDescent="0.25">
      <c r="A50" s="6" t="s">
        <v>95</v>
      </c>
      <c r="B50" s="6" t="s">
        <v>36</v>
      </c>
      <c r="C50" s="6">
        <v>37</v>
      </c>
      <c r="D50" s="6"/>
      <c r="E50" s="6">
        <v>35</v>
      </c>
      <c r="F50" s="6">
        <v>2</v>
      </c>
      <c r="G50" s="7">
        <v>0.2</v>
      </c>
      <c r="H50" s="6">
        <v>120</v>
      </c>
      <c r="I50" s="6"/>
      <c r="J50" s="6"/>
      <c r="K50" s="6">
        <v>35</v>
      </c>
      <c r="L50" s="6">
        <f t="shared" si="10"/>
        <v>0</v>
      </c>
      <c r="M50" s="6"/>
      <c r="N50" s="6"/>
      <c r="O50" s="6">
        <v>30</v>
      </c>
      <c r="P50" s="6">
        <v>70</v>
      </c>
      <c r="Q50" s="6">
        <f t="shared" si="11"/>
        <v>7</v>
      </c>
      <c r="R50" s="8">
        <f t="shared" si="9"/>
        <v>24</v>
      </c>
      <c r="S50" s="8">
        <v>40</v>
      </c>
      <c r="T50" s="8">
        <f>VLOOKUP(A50,заказ!A:B,2,0)</f>
        <v>40</v>
      </c>
      <c r="U50" s="20">
        <f>VLOOKUP(A50,[1]Sheet!$A:$S,19,0)</f>
        <v>100</v>
      </c>
      <c r="V50" s="6">
        <f t="shared" si="6"/>
        <v>20.285714285714285</v>
      </c>
      <c r="W50" s="6">
        <f t="shared" si="12"/>
        <v>14.571428571428571</v>
      </c>
      <c r="X50" s="6">
        <v>2</v>
      </c>
      <c r="Y50" s="6">
        <v>5.4</v>
      </c>
      <c r="Z50" s="6">
        <v>5.2</v>
      </c>
      <c r="AA50" s="6">
        <v>2.6</v>
      </c>
      <c r="AB50" s="6">
        <v>1</v>
      </c>
      <c r="AC50" s="6">
        <v>8.1999999999999993</v>
      </c>
      <c r="AD50" s="6">
        <v>3.6</v>
      </c>
      <c r="AE50" s="6">
        <v>4</v>
      </c>
      <c r="AF50" s="6">
        <v>1.6</v>
      </c>
      <c r="AG50" s="6">
        <v>3.4</v>
      </c>
      <c r="AH50" s="6"/>
      <c r="AI50" s="6">
        <f t="shared" si="7"/>
        <v>8</v>
      </c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 spans="1:52" x14ac:dyDescent="0.25">
      <c r="A51" s="6" t="s">
        <v>96</v>
      </c>
      <c r="B51" s="6" t="s">
        <v>43</v>
      </c>
      <c r="C51" s="6">
        <v>167.11</v>
      </c>
      <c r="D51" s="6">
        <v>56.04</v>
      </c>
      <c r="E51" s="6">
        <v>3.1680000000000001</v>
      </c>
      <c r="F51" s="6">
        <v>163.94200000000001</v>
      </c>
      <c r="G51" s="7">
        <v>1</v>
      </c>
      <c r="H51" s="6">
        <v>120</v>
      </c>
      <c r="I51" s="6" t="s">
        <v>104</v>
      </c>
      <c r="J51" s="6"/>
      <c r="K51" s="6">
        <v>3.5</v>
      </c>
      <c r="L51" s="6">
        <f t="shared" si="10"/>
        <v>-0.33199999999999985</v>
      </c>
      <c r="M51" s="6"/>
      <c r="N51" s="6"/>
      <c r="O51" s="6"/>
      <c r="P51" s="6">
        <v>45</v>
      </c>
      <c r="Q51" s="6">
        <f t="shared" si="11"/>
        <v>0.63360000000000005</v>
      </c>
      <c r="R51" s="8"/>
      <c r="S51" s="8">
        <f t="shared" si="5"/>
        <v>0</v>
      </c>
      <c r="T51" s="8"/>
      <c r="U51" s="20">
        <f>VLOOKUP(A51,[1]Sheet!$A:$S,19,0)</f>
        <v>100</v>
      </c>
      <c r="V51" s="6">
        <f t="shared" si="6"/>
        <v>329.76957070707067</v>
      </c>
      <c r="W51" s="6">
        <f t="shared" si="12"/>
        <v>329.76957070707067</v>
      </c>
      <c r="X51" s="6">
        <v>0</v>
      </c>
      <c r="Y51" s="6">
        <v>2.5788000000000002</v>
      </c>
      <c r="Z51" s="6">
        <v>10.383800000000001</v>
      </c>
      <c r="AA51" s="6">
        <v>0</v>
      </c>
      <c r="AB51" s="6">
        <v>0</v>
      </c>
      <c r="AC51" s="6">
        <v>0.83499999999999996</v>
      </c>
      <c r="AD51" s="6">
        <v>0</v>
      </c>
      <c r="AE51" s="6">
        <v>15.537599999999999</v>
      </c>
      <c r="AF51" s="6">
        <v>0.63040000000000007</v>
      </c>
      <c r="AG51" s="6">
        <v>0</v>
      </c>
      <c r="AH51" s="19" t="s">
        <v>103</v>
      </c>
      <c r="AI51" s="6">
        <f t="shared" si="7"/>
        <v>0</v>
      </c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 spans="1:52" x14ac:dyDescent="0.25">
      <c r="A52" s="6" t="s">
        <v>97</v>
      </c>
      <c r="B52" s="6" t="s">
        <v>36</v>
      </c>
      <c r="C52" s="6">
        <v>50</v>
      </c>
      <c r="D52" s="6"/>
      <c r="E52" s="14">
        <f>3+E53</f>
        <v>9</v>
      </c>
      <c r="F52" s="14">
        <f>0+F53</f>
        <v>38</v>
      </c>
      <c r="G52" s="7">
        <v>0.2</v>
      </c>
      <c r="H52" s="6">
        <v>120</v>
      </c>
      <c r="I52" s="6"/>
      <c r="J52" s="6"/>
      <c r="K52" s="6">
        <v>3</v>
      </c>
      <c r="L52" s="6">
        <f t="shared" si="10"/>
        <v>6</v>
      </c>
      <c r="M52" s="6"/>
      <c r="N52" s="6"/>
      <c r="O52" s="6">
        <v>10</v>
      </c>
      <c r="P52" s="6">
        <v>50</v>
      </c>
      <c r="Q52" s="6">
        <f t="shared" si="11"/>
        <v>1.8</v>
      </c>
      <c r="R52" s="8"/>
      <c r="S52" s="8">
        <f t="shared" si="5"/>
        <v>0</v>
      </c>
      <c r="T52" s="8"/>
      <c r="U52" s="20"/>
      <c r="V52" s="6">
        <f t="shared" si="6"/>
        <v>54.444444444444443</v>
      </c>
      <c r="W52" s="6">
        <f t="shared" si="12"/>
        <v>54.444444444444443</v>
      </c>
      <c r="X52" s="6">
        <v>6</v>
      </c>
      <c r="Y52" s="6">
        <v>4.8</v>
      </c>
      <c r="Z52" s="6">
        <v>5.6</v>
      </c>
      <c r="AA52" s="6">
        <v>1.8</v>
      </c>
      <c r="AB52" s="6">
        <v>3.4</v>
      </c>
      <c r="AC52" s="6">
        <v>8.6</v>
      </c>
      <c r="AD52" s="6">
        <v>3.6</v>
      </c>
      <c r="AE52" s="6">
        <v>3.2</v>
      </c>
      <c r="AF52" s="6">
        <v>5.4</v>
      </c>
      <c r="AG52" s="6">
        <v>3.2</v>
      </c>
      <c r="AH52" s="17" t="s">
        <v>39</v>
      </c>
      <c r="AI52" s="6">
        <f t="shared" si="7"/>
        <v>0</v>
      </c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 spans="1:52" x14ac:dyDescent="0.25">
      <c r="A53" s="10" t="s">
        <v>98</v>
      </c>
      <c r="B53" s="10" t="s">
        <v>36</v>
      </c>
      <c r="C53" s="10">
        <v>-3</v>
      </c>
      <c r="D53" s="10">
        <v>47</v>
      </c>
      <c r="E53" s="14">
        <v>6</v>
      </c>
      <c r="F53" s="14">
        <v>38</v>
      </c>
      <c r="G53" s="11">
        <v>0</v>
      </c>
      <c r="H53" s="10"/>
      <c r="I53" s="10" t="s">
        <v>99</v>
      </c>
      <c r="J53" s="10" t="s">
        <v>97</v>
      </c>
      <c r="K53" s="10">
        <v>6</v>
      </c>
      <c r="L53" s="10">
        <f t="shared" si="10"/>
        <v>0</v>
      </c>
      <c r="M53" s="10"/>
      <c r="N53" s="10"/>
      <c r="O53" s="10"/>
      <c r="P53" s="10"/>
      <c r="Q53" s="10">
        <f t="shared" si="11"/>
        <v>1.2</v>
      </c>
      <c r="R53" s="12"/>
      <c r="S53" s="8">
        <f t="shared" si="5"/>
        <v>0</v>
      </c>
      <c r="T53" s="8"/>
      <c r="U53" s="20"/>
      <c r="V53" s="6">
        <f t="shared" si="6"/>
        <v>31.666666666666668</v>
      </c>
      <c r="W53" s="10">
        <f t="shared" si="12"/>
        <v>31.666666666666668</v>
      </c>
      <c r="X53" s="10">
        <v>0.6</v>
      </c>
      <c r="Y53" s="10">
        <v>0</v>
      </c>
      <c r="Z53" s="10">
        <v>0.8</v>
      </c>
      <c r="AA53" s="10">
        <v>0</v>
      </c>
      <c r="AB53" s="10">
        <v>0.2</v>
      </c>
      <c r="AC53" s="10">
        <v>2.8</v>
      </c>
      <c r="AD53" s="10">
        <v>0</v>
      </c>
      <c r="AE53" s="10">
        <v>0</v>
      </c>
      <c r="AF53" s="10">
        <v>0</v>
      </c>
      <c r="AG53" s="10">
        <v>0</v>
      </c>
      <c r="AH53" s="10"/>
      <c r="AI53" s="6">
        <f t="shared" si="7"/>
        <v>0</v>
      </c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 spans="1:52" x14ac:dyDescent="0.25">
      <c r="A54" s="6" t="s">
        <v>100</v>
      </c>
      <c r="B54" s="6" t="s">
        <v>43</v>
      </c>
      <c r="C54" s="6">
        <v>146.85499999999999</v>
      </c>
      <c r="D54" s="6">
        <v>76.436999999999998</v>
      </c>
      <c r="E54" s="6">
        <v>30.756</v>
      </c>
      <c r="F54" s="6">
        <v>116.999</v>
      </c>
      <c r="G54" s="7">
        <v>1</v>
      </c>
      <c r="H54" s="6">
        <v>120</v>
      </c>
      <c r="I54" s="6" t="s">
        <v>104</v>
      </c>
      <c r="J54" s="6"/>
      <c r="K54" s="6">
        <v>28</v>
      </c>
      <c r="L54" s="6">
        <f t="shared" si="10"/>
        <v>2.7560000000000002</v>
      </c>
      <c r="M54" s="6"/>
      <c r="N54" s="6"/>
      <c r="O54" s="6"/>
      <c r="P54" s="6">
        <v>195</v>
      </c>
      <c r="Q54" s="6">
        <f t="shared" si="11"/>
        <v>6.1512000000000002</v>
      </c>
      <c r="R54" s="8"/>
      <c r="S54" s="8">
        <f t="shared" si="5"/>
        <v>0</v>
      </c>
      <c r="T54" s="8"/>
      <c r="U54" s="20">
        <f>VLOOKUP(A54,[1]Sheet!$A:$S,19,0)</f>
        <v>100</v>
      </c>
      <c r="V54" s="6">
        <f t="shared" si="6"/>
        <v>50.721647808557684</v>
      </c>
      <c r="W54" s="6">
        <f t="shared" si="12"/>
        <v>50.721647808557684</v>
      </c>
      <c r="X54" s="6">
        <v>13.141999999999999</v>
      </c>
      <c r="Y54" s="6">
        <v>4.5591999999999997</v>
      </c>
      <c r="Z54" s="6">
        <v>1.4184000000000001</v>
      </c>
      <c r="AA54" s="6">
        <v>15.4236</v>
      </c>
      <c r="AB54" s="6">
        <v>5.4283999999999999</v>
      </c>
      <c r="AC54" s="6">
        <v>6.0831999999999997</v>
      </c>
      <c r="AD54" s="6">
        <v>9.0995999999999988</v>
      </c>
      <c r="AE54" s="6">
        <v>9.1796000000000006</v>
      </c>
      <c r="AF54" s="6">
        <v>5.6015999999999986</v>
      </c>
      <c r="AG54" s="6">
        <v>13.2828</v>
      </c>
      <c r="AH54" s="17" t="s">
        <v>39</v>
      </c>
      <c r="AI54" s="6">
        <f t="shared" si="7"/>
        <v>0</v>
      </c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 spans="1:52" x14ac:dyDescent="0.25">
      <c r="A55" s="6"/>
      <c r="B55" s="6"/>
      <c r="C55" s="6"/>
      <c r="D55" s="6"/>
      <c r="E55" s="6"/>
      <c r="F55" s="6"/>
      <c r="G55" s="7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 spans="1:52" x14ac:dyDescent="0.25">
      <c r="A56" s="6"/>
      <c r="B56" s="6"/>
      <c r="C56" s="6"/>
      <c r="D56" s="6"/>
      <c r="E56" s="6"/>
      <c r="F56" s="6"/>
      <c r="G56" s="7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 spans="1:52" x14ac:dyDescent="0.25">
      <c r="A57" s="6"/>
      <c r="B57" s="6"/>
      <c r="C57" s="6"/>
      <c r="D57" s="6"/>
      <c r="E57" s="6"/>
      <c r="F57" s="6"/>
      <c r="G57" s="7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 spans="1:52" x14ac:dyDescent="0.25">
      <c r="A58" s="6"/>
      <c r="B58" s="6"/>
      <c r="C58" s="6"/>
      <c r="D58" s="6"/>
      <c r="E58" s="6"/>
      <c r="F58" s="6"/>
      <c r="G58" s="7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 spans="1:52" x14ac:dyDescent="0.25">
      <c r="A59" s="6"/>
      <c r="B59" s="6"/>
      <c r="C59" s="6"/>
      <c r="D59" s="6"/>
      <c r="E59" s="6"/>
      <c r="F59" s="6"/>
      <c r="G59" s="7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 spans="1:52" x14ac:dyDescent="0.25">
      <c r="A60" s="6"/>
      <c r="B60" s="6"/>
      <c r="C60" s="6"/>
      <c r="D60" s="6"/>
      <c r="E60" s="6"/>
      <c r="F60" s="6"/>
      <c r="G60" s="7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 spans="1:52" x14ac:dyDescent="0.25">
      <c r="A61" s="6"/>
      <c r="B61" s="6"/>
      <c r="C61" s="6"/>
      <c r="D61" s="6"/>
      <c r="E61" s="6"/>
      <c r="F61" s="6"/>
      <c r="G61" s="7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 spans="1:52" x14ac:dyDescent="0.25">
      <c r="A62" s="6"/>
      <c r="B62" s="6"/>
      <c r="C62" s="6"/>
      <c r="D62" s="6"/>
      <c r="E62" s="6"/>
      <c r="F62" s="6"/>
      <c r="G62" s="7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 spans="1:52" x14ac:dyDescent="0.25">
      <c r="A63" s="6"/>
      <c r="B63" s="6"/>
      <c r="C63" s="6"/>
      <c r="D63" s="6"/>
      <c r="E63" s="6"/>
      <c r="F63" s="6"/>
      <c r="G63" s="7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 spans="1:52" x14ac:dyDescent="0.25">
      <c r="A64" s="6"/>
      <c r="B64" s="6"/>
      <c r="C64" s="6"/>
      <c r="D64" s="6"/>
      <c r="E64" s="6"/>
      <c r="F64" s="6"/>
      <c r="G64" s="7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 spans="1:52" x14ac:dyDescent="0.25">
      <c r="A65" s="6"/>
      <c r="B65" s="6"/>
      <c r="C65" s="6"/>
      <c r="D65" s="6"/>
      <c r="E65" s="6"/>
      <c r="F65" s="6"/>
      <c r="G65" s="7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 spans="1:52" x14ac:dyDescent="0.25">
      <c r="A66" s="6"/>
      <c r="B66" s="6"/>
      <c r="C66" s="6"/>
      <c r="D66" s="6"/>
      <c r="E66" s="6"/>
      <c r="F66" s="6"/>
      <c r="G66" s="7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 spans="1:52" x14ac:dyDescent="0.25">
      <c r="A67" s="6"/>
      <c r="B67" s="6"/>
      <c r="C67" s="6"/>
      <c r="D67" s="6"/>
      <c r="E67" s="6"/>
      <c r="F67" s="6"/>
      <c r="G67" s="7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 spans="1:52" x14ac:dyDescent="0.25">
      <c r="A68" s="6"/>
      <c r="B68" s="6"/>
      <c r="C68" s="6"/>
      <c r="D68" s="6"/>
      <c r="E68" s="6"/>
      <c r="F68" s="6"/>
      <c r="G68" s="7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 spans="1:52" x14ac:dyDescent="0.25">
      <c r="A69" s="6"/>
      <c r="B69" s="6"/>
      <c r="C69" s="6"/>
      <c r="D69" s="6"/>
      <c r="E69" s="6"/>
      <c r="F69" s="6"/>
      <c r="G69" s="7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 spans="1:52" x14ac:dyDescent="0.25">
      <c r="A70" s="6"/>
      <c r="B70" s="6"/>
      <c r="C70" s="6"/>
      <c r="D70" s="6"/>
      <c r="E70" s="6"/>
      <c r="F70" s="6"/>
      <c r="G70" s="7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 spans="1:52" x14ac:dyDescent="0.25">
      <c r="A71" s="6"/>
      <c r="B71" s="6"/>
      <c r="C71" s="6"/>
      <c r="D71" s="6"/>
      <c r="E71" s="6"/>
      <c r="F71" s="6"/>
      <c r="G71" s="7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 spans="1:52" x14ac:dyDescent="0.25">
      <c r="A72" s="6"/>
      <c r="B72" s="6"/>
      <c r="C72" s="6"/>
      <c r="D72" s="6"/>
      <c r="E72" s="6"/>
      <c r="F72" s="6"/>
      <c r="G72" s="7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 spans="1:52" x14ac:dyDescent="0.25">
      <c r="A73" s="6"/>
      <c r="B73" s="6"/>
      <c r="C73" s="6"/>
      <c r="D73" s="6"/>
      <c r="E73" s="6"/>
      <c r="F73" s="6"/>
      <c r="G73" s="7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 spans="1:52" x14ac:dyDescent="0.25">
      <c r="A74" s="6"/>
      <c r="B74" s="6"/>
      <c r="C74" s="6"/>
      <c r="D74" s="6"/>
      <c r="E74" s="6"/>
      <c r="F74" s="6"/>
      <c r="G74" s="7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 spans="1:52" x14ac:dyDescent="0.25">
      <c r="A75" s="6"/>
      <c r="B75" s="6"/>
      <c r="C75" s="6"/>
      <c r="D75" s="6"/>
      <c r="E75" s="6"/>
      <c r="F75" s="6"/>
      <c r="G75" s="7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 spans="1:52" x14ac:dyDescent="0.25">
      <c r="A76" s="6"/>
      <c r="B76" s="6"/>
      <c r="C76" s="6"/>
      <c r="D76" s="6"/>
      <c r="E76" s="6"/>
      <c r="F76" s="6"/>
      <c r="G76" s="7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 spans="1:52" x14ac:dyDescent="0.25">
      <c r="A77" s="6"/>
      <c r="B77" s="6"/>
      <c r="C77" s="6"/>
      <c r="D77" s="6"/>
      <c r="E77" s="6"/>
      <c r="F77" s="6"/>
      <c r="G77" s="7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 spans="1:52" x14ac:dyDescent="0.25">
      <c r="A78" s="6"/>
      <c r="B78" s="6"/>
      <c r="C78" s="6"/>
      <c r="D78" s="6"/>
      <c r="E78" s="6"/>
      <c r="F78" s="6"/>
      <c r="G78" s="7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 spans="1:52" x14ac:dyDescent="0.25">
      <c r="A79" s="6"/>
      <c r="B79" s="6"/>
      <c r="C79" s="6"/>
      <c r="D79" s="6"/>
      <c r="E79" s="6"/>
      <c r="F79" s="6"/>
      <c r="G79" s="7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 spans="1:52" x14ac:dyDescent="0.25">
      <c r="A80" s="6"/>
      <c r="B80" s="6"/>
      <c r="C80" s="6"/>
      <c r="D80" s="6"/>
      <c r="E80" s="6"/>
      <c r="F80" s="6"/>
      <c r="G80" s="7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 spans="1:52" x14ac:dyDescent="0.25">
      <c r="A81" s="6"/>
      <c r="B81" s="6"/>
      <c r="C81" s="6"/>
      <c r="D81" s="6"/>
      <c r="E81" s="6"/>
      <c r="F81" s="6"/>
      <c r="G81" s="7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 spans="1:52" x14ac:dyDescent="0.25">
      <c r="A82" s="6"/>
      <c r="B82" s="6"/>
      <c r="C82" s="6"/>
      <c r="D82" s="6"/>
      <c r="E82" s="6"/>
      <c r="F82" s="6"/>
      <c r="G82" s="7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 spans="1:52" x14ac:dyDescent="0.25">
      <c r="A83" s="6"/>
      <c r="B83" s="6"/>
      <c r="C83" s="6"/>
      <c r="D83" s="6"/>
      <c r="E83" s="6"/>
      <c r="F83" s="6"/>
      <c r="G83" s="7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 spans="1:52" x14ac:dyDescent="0.25">
      <c r="A84" s="6"/>
      <c r="B84" s="6"/>
      <c r="C84" s="6"/>
      <c r="D84" s="6"/>
      <c r="E84" s="6"/>
      <c r="F84" s="6"/>
      <c r="G84" s="7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 spans="1:52" x14ac:dyDescent="0.25">
      <c r="A85" s="6"/>
      <c r="B85" s="6"/>
      <c r="C85" s="6"/>
      <c r="D85" s="6"/>
      <c r="E85" s="6"/>
      <c r="F85" s="6"/>
      <c r="G85" s="7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 spans="1:52" x14ac:dyDescent="0.25">
      <c r="A86" s="6"/>
      <c r="B86" s="6"/>
      <c r="C86" s="6"/>
      <c r="D86" s="6"/>
      <c r="E86" s="6"/>
      <c r="F86" s="6"/>
      <c r="G86" s="7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 spans="1:52" x14ac:dyDescent="0.25">
      <c r="A87" s="6"/>
      <c r="B87" s="6"/>
      <c r="C87" s="6"/>
      <c r="D87" s="6"/>
      <c r="E87" s="6"/>
      <c r="F87" s="6"/>
      <c r="G87" s="7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 spans="1:52" x14ac:dyDescent="0.25">
      <c r="A88" s="6"/>
      <c r="B88" s="6"/>
      <c r="C88" s="6"/>
      <c r="D88" s="6"/>
      <c r="E88" s="6"/>
      <c r="F88" s="6"/>
      <c r="G88" s="7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 spans="1:52" x14ac:dyDescent="0.25">
      <c r="A89" s="6"/>
      <c r="B89" s="6"/>
      <c r="C89" s="6"/>
      <c r="D89" s="6"/>
      <c r="E89" s="6"/>
      <c r="F89" s="6"/>
      <c r="G89" s="7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 spans="1:52" x14ac:dyDescent="0.25">
      <c r="A90" s="6"/>
      <c r="B90" s="6"/>
      <c r="C90" s="6"/>
      <c r="D90" s="6"/>
      <c r="E90" s="6"/>
      <c r="F90" s="6"/>
      <c r="G90" s="7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 spans="1:52" x14ac:dyDescent="0.25">
      <c r="A91" s="6"/>
      <c r="B91" s="6"/>
      <c r="C91" s="6"/>
      <c r="D91" s="6"/>
      <c r="E91" s="6"/>
      <c r="F91" s="6"/>
      <c r="G91" s="7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 spans="1:52" x14ac:dyDescent="0.25">
      <c r="A92" s="6"/>
      <c r="B92" s="6"/>
      <c r="C92" s="6"/>
      <c r="D92" s="6"/>
      <c r="E92" s="6"/>
      <c r="F92" s="6"/>
      <c r="G92" s="7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 spans="1:52" x14ac:dyDescent="0.25">
      <c r="A93" s="6"/>
      <c r="B93" s="6"/>
      <c r="C93" s="6"/>
      <c r="D93" s="6"/>
      <c r="E93" s="6"/>
      <c r="F93" s="6"/>
      <c r="G93" s="7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 spans="1:52" x14ac:dyDescent="0.25">
      <c r="A94" s="6"/>
      <c r="B94" s="6"/>
      <c r="C94" s="6"/>
      <c r="D94" s="6"/>
      <c r="E94" s="6"/>
      <c r="F94" s="6"/>
      <c r="G94" s="7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 spans="1:52" x14ac:dyDescent="0.25">
      <c r="A95" s="6"/>
      <c r="B95" s="6"/>
      <c r="C95" s="6"/>
      <c r="D95" s="6"/>
      <c r="E95" s="6"/>
      <c r="F95" s="6"/>
      <c r="G95" s="7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 spans="1:52" x14ac:dyDescent="0.25">
      <c r="A96" s="6"/>
      <c r="B96" s="6"/>
      <c r="C96" s="6"/>
      <c r="D96" s="6"/>
      <c r="E96" s="6"/>
      <c r="F96" s="6"/>
      <c r="G96" s="7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 spans="1:52" x14ac:dyDescent="0.25">
      <c r="A97" s="6"/>
      <c r="B97" s="6"/>
      <c r="C97" s="6"/>
      <c r="D97" s="6"/>
      <c r="E97" s="6"/>
      <c r="F97" s="6"/>
      <c r="G97" s="7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 spans="1:52" x14ac:dyDescent="0.25">
      <c r="A98" s="6"/>
      <c r="B98" s="6"/>
      <c r="C98" s="6"/>
      <c r="D98" s="6"/>
      <c r="E98" s="6"/>
      <c r="F98" s="6"/>
      <c r="G98" s="7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 spans="1:52" x14ac:dyDescent="0.25">
      <c r="A99" s="6"/>
      <c r="B99" s="6"/>
      <c r="C99" s="6"/>
      <c r="D99" s="6"/>
      <c r="E99" s="6"/>
      <c r="F99" s="6"/>
      <c r="G99" s="7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 spans="1:52" x14ac:dyDescent="0.25">
      <c r="A100" s="6"/>
      <c r="B100" s="6"/>
      <c r="C100" s="6"/>
      <c r="D100" s="6"/>
      <c r="E100" s="6"/>
      <c r="F100" s="6"/>
      <c r="G100" s="7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 spans="1:52" x14ac:dyDescent="0.25">
      <c r="A101" s="6"/>
      <c r="B101" s="6"/>
      <c r="C101" s="6"/>
      <c r="D101" s="6"/>
      <c r="E101" s="6"/>
      <c r="F101" s="6"/>
      <c r="G101" s="7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 spans="1:52" x14ac:dyDescent="0.25">
      <c r="A102" s="6"/>
      <c r="B102" s="6"/>
      <c r="C102" s="6"/>
      <c r="D102" s="6"/>
      <c r="E102" s="6"/>
      <c r="F102" s="6"/>
      <c r="G102" s="7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 spans="1:52" x14ac:dyDescent="0.25">
      <c r="A103" s="6"/>
      <c r="B103" s="6"/>
      <c r="C103" s="6"/>
      <c r="D103" s="6"/>
      <c r="E103" s="6"/>
      <c r="F103" s="6"/>
      <c r="G103" s="7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 spans="1:52" x14ac:dyDescent="0.25">
      <c r="A104" s="6"/>
      <c r="B104" s="6"/>
      <c r="C104" s="6"/>
      <c r="D104" s="6"/>
      <c r="E104" s="6"/>
      <c r="F104" s="6"/>
      <c r="G104" s="7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 spans="1:52" x14ac:dyDescent="0.25">
      <c r="A105" s="6"/>
      <c r="B105" s="6"/>
      <c r="C105" s="6"/>
      <c r="D105" s="6"/>
      <c r="E105" s="6"/>
      <c r="F105" s="6"/>
      <c r="G105" s="7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 spans="1:52" x14ac:dyDescent="0.25">
      <c r="A106" s="6"/>
      <c r="B106" s="6"/>
      <c r="C106" s="6"/>
      <c r="D106" s="6"/>
      <c r="E106" s="6"/>
      <c r="F106" s="6"/>
      <c r="G106" s="7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 spans="1:52" x14ac:dyDescent="0.25">
      <c r="A107" s="6"/>
      <c r="B107" s="6"/>
      <c r="C107" s="6"/>
      <c r="D107" s="6"/>
      <c r="E107" s="6"/>
      <c r="F107" s="6"/>
      <c r="G107" s="7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 spans="1:52" x14ac:dyDescent="0.25">
      <c r="A108" s="6"/>
      <c r="B108" s="6"/>
      <c r="C108" s="6"/>
      <c r="D108" s="6"/>
      <c r="E108" s="6"/>
      <c r="F108" s="6"/>
      <c r="G108" s="7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 spans="1:52" x14ac:dyDescent="0.25">
      <c r="A109" s="6"/>
      <c r="B109" s="6"/>
      <c r="C109" s="6"/>
      <c r="D109" s="6"/>
      <c r="E109" s="6"/>
      <c r="F109" s="6"/>
      <c r="G109" s="7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 spans="1:52" x14ac:dyDescent="0.25">
      <c r="A110" s="6"/>
      <c r="B110" s="6"/>
      <c r="C110" s="6"/>
      <c r="D110" s="6"/>
      <c r="E110" s="6"/>
      <c r="F110" s="6"/>
      <c r="G110" s="7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 spans="1:52" x14ac:dyDescent="0.25">
      <c r="A111" s="6"/>
      <c r="B111" s="6"/>
      <c r="C111" s="6"/>
      <c r="D111" s="6"/>
      <c r="E111" s="6"/>
      <c r="F111" s="6"/>
      <c r="G111" s="7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 spans="1:52" x14ac:dyDescent="0.25">
      <c r="A112" s="6"/>
      <c r="B112" s="6"/>
      <c r="C112" s="6"/>
      <c r="D112" s="6"/>
      <c r="E112" s="6"/>
      <c r="F112" s="6"/>
      <c r="G112" s="7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 spans="1:52" x14ac:dyDescent="0.25">
      <c r="A113" s="6"/>
      <c r="B113" s="6"/>
      <c r="C113" s="6"/>
      <c r="D113" s="6"/>
      <c r="E113" s="6"/>
      <c r="F113" s="6"/>
      <c r="G113" s="7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 spans="1:52" x14ac:dyDescent="0.25">
      <c r="A114" s="6"/>
      <c r="B114" s="6"/>
      <c r="C114" s="6"/>
      <c r="D114" s="6"/>
      <c r="E114" s="6"/>
      <c r="F114" s="6"/>
      <c r="G114" s="7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 spans="1:52" x14ac:dyDescent="0.25">
      <c r="A115" s="6"/>
      <c r="B115" s="6"/>
      <c r="C115" s="6"/>
      <c r="D115" s="6"/>
      <c r="E115" s="6"/>
      <c r="F115" s="6"/>
      <c r="G115" s="7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 spans="1:52" x14ac:dyDescent="0.25">
      <c r="A116" s="6"/>
      <c r="B116" s="6"/>
      <c r="C116" s="6"/>
      <c r="D116" s="6"/>
      <c r="E116" s="6"/>
      <c r="F116" s="6"/>
      <c r="G116" s="7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 spans="1:52" x14ac:dyDescent="0.25">
      <c r="A117" s="6"/>
      <c r="B117" s="6"/>
      <c r="C117" s="6"/>
      <c r="D117" s="6"/>
      <c r="E117" s="6"/>
      <c r="F117" s="6"/>
      <c r="G117" s="7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 spans="1:52" x14ac:dyDescent="0.25">
      <c r="A118" s="6"/>
      <c r="B118" s="6"/>
      <c r="C118" s="6"/>
      <c r="D118" s="6"/>
      <c r="E118" s="6"/>
      <c r="F118" s="6"/>
      <c r="G118" s="7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 spans="1:52" x14ac:dyDescent="0.25">
      <c r="A119" s="6"/>
      <c r="B119" s="6"/>
      <c r="C119" s="6"/>
      <c r="D119" s="6"/>
      <c r="E119" s="6"/>
      <c r="F119" s="6"/>
      <c r="G119" s="7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 spans="1:52" x14ac:dyDescent="0.25">
      <c r="A120" s="6"/>
      <c r="B120" s="6"/>
      <c r="C120" s="6"/>
      <c r="D120" s="6"/>
      <c r="E120" s="6"/>
      <c r="F120" s="6"/>
      <c r="G120" s="7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 spans="1:52" x14ac:dyDescent="0.25">
      <c r="A121" s="6"/>
      <c r="B121" s="6"/>
      <c r="C121" s="6"/>
      <c r="D121" s="6"/>
      <c r="E121" s="6"/>
      <c r="F121" s="6"/>
      <c r="G121" s="7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 spans="1:52" x14ac:dyDescent="0.25">
      <c r="A122" s="6"/>
      <c r="B122" s="6"/>
      <c r="C122" s="6"/>
      <c r="D122" s="6"/>
      <c r="E122" s="6"/>
      <c r="F122" s="6"/>
      <c r="G122" s="7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 spans="1:52" x14ac:dyDescent="0.25">
      <c r="A123" s="6"/>
      <c r="B123" s="6"/>
      <c r="C123" s="6"/>
      <c r="D123" s="6"/>
      <c r="E123" s="6"/>
      <c r="F123" s="6"/>
      <c r="G123" s="7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 spans="1:52" x14ac:dyDescent="0.25">
      <c r="A124" s="6"/>
      <c r="B124" s="6"/>
      <c r="C124" s="6"/>
      <c r="D124" s="6"/>
      <c r="E124" s="6"/>
      <c r="F124" s="6"/>
      <c r="G124" s="7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 spans="1:52" x14ac:dyDescent="0.25">
      <c r="A125" s="6"/>
      <c r="B125" s="6"/>
      <c r="C125" s="6"/>
      <c r="D125" s="6"/>
      <c r="E125" s="6"/>
      <c r="F125" s="6"/>
      <c r="G125" s="7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 spans="1:52" x14ac:dyDescent="0.25">
      <c r="A126" s="6"/>
      <c r="B126" s="6"/>
      <c r="C126" s="6"/>
      <c r="D126" s="6"/>
      <c r="E126" s="6"/>
      <c r="F126" s="6"/>
      <c r="G126" s="7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 spans="1:52" x14ac:dyDescent="0.25">
      <c r="A127" s="6"/>
      <c r="B127" s="6"/>
      <c r="C127" s="6"/>
      <c r="D127" s="6"/>
      <c r="E127" s="6"/>
      <c r="F127" s="6"/>
      <c r="G127" s="7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 spans="1:52" x14ac:dyDescent="0.25">
      <c r="A128" s="6"/>
      <c r="B128" s="6"/>
      <c r="C128" s="6"/>
      <c r="D128" s="6"/>
      <c r="E128" s="6"/>
      <c r="F128" s="6"/>
      <c r="G128" s="7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 spans="1:52" x14ac:dyDescent="0.25">
      <c r="A129" s="6"/>
      <c r="B129" s="6"/>
      <c r="C129" s="6"/>
      <c r="D129" s="6"/>
      <c r="E129" s="6"/>
      <c r="F129" s="6"/>
      <c r="G129" s="7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 spans="1:52" x14ac:dyDescent="0.25">
      <c r="A130" s="6"/>
      <c r="B130" s="6"/>
      <c r="C130" s="6"/>
      <c r="D130" s="6"/>
      <c r="E130" s="6"/>
      <c r="F130" s="6"/>
      <c r="G130" s="7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 spans="1:52" x14ac:dyDescent="0.25">
      <c r="A131" s="6"/>
      <c r="B131" s="6"/>
      <c r="C131" s="6"/>
      <c r="D131" s="6"/>
      <c r="E131" s="6"/>
      <c r="F131" s="6"/>
      <c r="G131" s="7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 spans="1:52" x14ac:dyDescent="0.25">
      <c r="A132" s="6"/>
      <c r="B132" s="6"/>
      <c r="C132" s="6"/>
      <c r="D132" s="6"/>
      <c r="E132" s="6"/>
      <c r="F132" s="6"/>
      <c r="G132" s="7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 spans="1:52" x14ac:dyDescent="0.25">
      <c r="A133" s="6"/>
      <c r="B133" s="6"/>
      <c r="C133" s="6"/>
      <c r="D133" s="6"/>
      <c r="E133" s="6"/>
      <c r="F133" s="6"/>
      <c r="G133" s="7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 spans="1:52" x14ac:dyDescent="0.25">
      <c r="A134" s="6"/>
      <c r="B134" s="6"/>
      <c r="C134" s="6"/>
      <c r="D134" s="6"/>
      <c r="E134" s="6"/>
      <c r="F134" s="6"/>
      <c r="G134" s="7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 spans="1:52" x14ac:dyDescent="0.25">
      <c r="A135" s="6"/>
      <c r="B135" s="6"/>
      <c r="C135" s="6"/>
      <c r="D135" s="6"/>
      <c r="E135" s="6"/>
      <c r="F135" s="6"/>
      <c r="G135" s="7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 spans="1:52" x14ac:dyDescent="0.25">
      <c r="A136" s="6"/>
      <c r="B136" s="6"/>
      <c r="C136" s="6"/>
      <c r="D136" s="6"/>
      <c r="E136" s="6"/>
      <c r="F136" s="6"/>
      <c r="G136" s="7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 spans="1:52" x14ac:dyDescent="0.25">
      <c r="A137" s="6"/>
      <c r="B137" s="6"/>
      <c r="C137" s="6"/>
      <c r="D137" s="6"/>
      <c r="E137" s="6"/>
      <c r="F137" s="6"/>
      <c r="G137" s="7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 spans="1:52" x14ac:dyDescent="0.25">
      <c r="A138" s="6"/>
      <c r="B138" s="6"/>
      <c r="C138" s="6"/>
      <c r="D138" s="6"/>
      <c r="E138" s="6"/>
      <c r="F138" s="6"/>
      <c r="G138" s="7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 spans="1:52" x14ac:dyDescent="0.25">
      <c r="A139" s="6"/>
      <c r="B139" s="6"/>
      <c r="C139" s="6"/>
      <c r="D139" s="6"/>
      <c r="E139" s="6"/>
      <c r="F139" s="6"/>
      <c r="G139" s="7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 spans="1:52" x14ac:dyDescent="0.25">
      <c r="A140" s="6"/>
      <c r="B140" s="6"/>
      <c r="C140" s="6"/>
      <c r="D140" s="6"/>
      <c r="E140" s="6"/>
      <c r="F140" s="6"/>
      <c r="G140" s="7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 spans="1:52" x14ac:dyDescent="0.25">
      <c r="A141" s="6"/>
      <c r="B141" s="6"/>
      <c r="C141" s="6"/>
      <c r="D141" s="6"/>
      <c r="E141" s="6"/>
      <c r="F141" s="6"/>
      <c r="G141" s="7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 spans="1:52" x14ac:dyDescent="0.25">
      <c r="A142" s="6"/>
      <c r="B142" s="6"/>
      <c r="C142" s="6"/>
      <c r="D142" s="6"/>
      <c r="E142" s="6"/>
      <c r="F142" s="6"/>
      <c r="G142" s="7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 spans="1:52" x14ac:dyDescent="0.25">
      <c r="A143" s="6"/>
      <c r="B143" s="6"/>
      <c r="C143" s="6"/>
      <c r="D143" s="6"/>
      <c r="E143" s="6"/>
      <c r="F143" s="6"/>
      <c r="G143" s="7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 spans="1:52" x14ac:dyDescent="0.25">
      <c r="A144" s="6"/>
      <c r="B144" s="6"/>
      <c r="C144" s="6"/>
      <c r="D144" s="6"/>
      <c r="E144" s="6"/>
      <c r="F144" s="6"/>
      <c r="G144" s="7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 spans="1:52" x14ac:dyDescent="0.25">
      <c r="A145" s="6"/>
      <c r="B145" s="6"/>
      <c r="C145" s="6"/>
      <c r="D145" s="6"/>
      <c r="E145" s="6"/>
      <c r="F145" s="6"/>
      <c r="G145" s="7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 spans="1:52" x14ac:dyDescent="0.25">
      <c r="A146" s="6"/>
      <c r="B146" s="6"/>
      <c r="C146" s="6"/>
      <c r="D146" s="6"/>
      <c r="E146" s="6"/>
      <c r="F146" s="6"/>
      <c r="G146" s="7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 spans="1:52" x14ac:dyDescent="0.25">
      <c r="A147" s="6"/>
      <c r="B147" s="6"/>
      <c r="C147" s="6"/>
      <c r="D147" s="6"/>
      <c r="E147" s="6"/>
      <c r="F147" s="6"/>
      <c r="G147" s="7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 spans="1:52" x14ac:dyDescent="0.25">
      <c r="A148" s="6"/>
      <c r="B148" s="6"/>
      <c r="C148" s="6"/>
      <c r="D148" s="6"/>
      <c r="E148" s="6"/>
      <c r="F148" s="6"/>
      <c r="G148" s="7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 spans="1:52" x14ac:dyDescent="0.25">
      <c r="A149" s="6"/>
      <c r="B149" s="6"/>
      <c r="C149" s="6"/>
      <c r="D149" s="6"/>
      <c r="E149" s="6"/>
      <c r="F149" s="6"/>
      <c r="G149" s="7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 spans="1:52" x14ac:dyDescent="0.25">
      <c r="A150" s="6"/>
      <c r="B150" s="6"/>
      <c r="C150" s="6"/>
      <c r="D150" s="6"/>
      <c r="E150" s="6"/>
      <c r="F150" s="6"/>
      <c r="G150" s="7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 spans="1:52" x14ac:dyDescent="0.25">
      <c r="A151" s="6"/>
      <c r="B151" s="6"/>
      <c r="C151" s="6"/>
      <c r="D151" s="6"/>
      <c r="E151" s="6"/>
      <c r="F151" s="6"/>
      <c r="G151" s="7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 spans="1:52" x14ac:dyDescent="0.25">
      <c r="A152" s="6"/>
      <c r="B152" s="6"/>
      <c r="C152" s="6"/>
      <c r="D152" s="6"/>
      <c r="E152" s="6"/>
      <c r="F152" s="6"/>
      <c r="G152" s="7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 spans="1:52" x14ac:dyDescent="0.25">
      <c r="A153" s="6"/>
      <c r="B153" s="6"/>
      <c r="C153" s="6"/>
      <c r="D153" s="6"/>
      <c r="E153" s="6"/>
      <c r="F153" s="6"/>
      <c r="G153" s="7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 spans="1:52" x14ac:dyDescent="0.25">
      <c r="A154" s="6"/>
      <c r="B154" s="6"/>
      <c r="C154" s="6"/>
      <c r="D154" s="6"/>
      <c r="E154" s="6"/>
      <c r="F154" s="6"/>
      <c r="G154" s="7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 spans="1:52" x14ac:dyDescent="0.25">
      <c r="A155" s="6"/>
      <c r="B155" s="6"/>
      <c r="C155" s="6"/>
      <c r="D155" s="6"/>
      <c r="E155" s="6"/>
      <c r="F155" s="6"/>
      <c r="G155" s="7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 spans="1:52" x14ac:dyDescent="0.25">
      <c r="A156" s="6"/>
      <c r="B156" s="6"/>
      <c r="C156" s="6"/>
      <c r="D156" s="6"/>
      <c r="E156" s="6"/>
      <c r="F156" s="6"/>
      <c r="G156" s="7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 spans="1:52" x14ac:dyDescent="0.25">
      <c r="A157" s="6"/>
      <c r="B157" s="6"/>
      <c r="C157" s="6"/>
      <c r="D157" s="6"/>
      <c r="E157" s="6"/>
      <c r="F157" s="6"/>
      <c r="G157" s="7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 spans="1:52" x14ac:dyDescent="0.25">
      <c r="A158" s="6"/>
      <c r="B158" s="6"/>
      <c r="C158" s="6"/>
      <c r="D158" s="6"/>
      <c r="E158" s="6"/>
      <c r="F158" s="6"/>
      <c r="G158" s="7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 spans="1:52" x14ac:dyDescent="0.25">
      <c r="A159" s="6"/>
      <c r="B159" s="6"/>
      <c r="C159" s="6"/>
      <c r="D159" s="6"/>
      <c r="E159" s="6"/>
      <c r="F159" s="6"/>
      <c r="G159" s="7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 spans="1:52" x14ac:dyDescent="0.25">
      <c r="A160" s="6"/>
      <c r="B160" s="6"/>
      <c r="C160" s="6"/>
      <c r="D160" s="6"/>
      <c r="E160" s="6"/>
      <c r="F160" s="6"/>
      <c r="G160" s="7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 spans="1:52" x14ac:dyDescent="0.25">
      <c r="A161" s="6"/>
      <c r="B161" s="6"/>
      <c r="C161" s="6"/>
      <c r="D161" s="6"/>
      <c r="E161" s="6"/>
      <c r="F161" s="6"/>
      <c r="G161" s="7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 spans="1:52" x14ac:dyDescent="0.25">
      <c r="A162" s="6"/>
      <c r="B162" s="6"/>
      <c r="C162" s="6"/>
      <c r="D162" s="6"/>
      <c r="E162" s="6"/>
      <c r="F162" s="6"/>
      <c r="G162" s="7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 spans="1:52" x14ac:dyDescent="0.25">
      <c r="A163" s="6"/>
      <c r="B163" s="6"/>
      <c r="C163" s="6"/>
      <c r="D163" s="6"/>
      <c r="E163" s="6"/>
      <c r="F163" s="6"/>
      <c r="G163" s="7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 spans="1:52" x14ac:dyDescent="0.25">
      <c r="A164" s="6"/>
      <c r="B164" s="6"/>
      <c r="C164" s="6"/>
      <c r="D164" s="6"/>
      <c r="E164" s="6"/>
      <c r="F164" s="6"/>
      <c r="G164" s="7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 spans="1:52" x14ac:dyDescent="0.25">
      <c r="A165" s="6"/>
      <c r="B165" s="6"/>
      <c r="C165" s="6"/>
      <c r="D165" s="6"/>
      <c r="E165" s="6"/>
      <c r="F165" s="6"/>
      <c r="G165" s="7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 spans="1:52" x14ac:dyDescent="0.25">
      <c r="A166" s="6"/>
      <c r="B166" s="6"/>
      <c r="C166" s="6"/>
      <c r="D166" s="6"/>
      <c r="E166" s="6"/>
      <c r="F166" s="6"/>
      <c r="G166" s="7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 spans="1:52" x14ac:dyDescent="0.25">
      <c r="A167" s="6"/>
      <c r="B167" s="6"/>
      <c r="C167" s="6"/>
      <c r="D167" s="6"/>
      <c r="E167" s="6"/>
      <c r="F167" s="6"/>
      <c r="G167" s="7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 spans="1:52" x14ac:dyDescent="0.25">
      <c r="A168" s="6"/>
      <c r="B168" s="6"/>
      <c r="C168" s="6"/>
      <c r="D168" s="6"/>
      <c r="E168" s="6"/>
      <c r="F168" s="6"/>
      <c r="G168" s="7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 spans="1:52" x14ac:dyDescent="0.25">
      <c r="A169" s="6"/>
      <c r="B169" s="6"/>
      <c r="C169" s="6"/>
      <c r="D169" s="6"/>
      <c r="E169" s="6"/>
      <c r="F169" s="6"/>
      <c r="G169" s="7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 spans="1:52" x14ac:dyDescent="0.25">
      <c r="A170" s="6"/>
      <c r="B170" s="6"/>
      <c r="C170" s="6"/>
      <c r="D170" s="6"/>
      <c r="E170" s="6"/>
      <c r="F170" s="6"/>
      <c r="G170" s="7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 spans="1:52" x14ac:dyDescent="0.25">
      <c r="A171" s="6"/>
      <c r="B171" s="6"/>
      <c r="C171" s="6"/>
      <c r="D171" s="6"/>
      <c r="E171" s="6"/>
      <c r="F171" s="6"/>
      <c r="G171" s="7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 spans="1:52" x14ac:dyDescent="0.25">
      <c r="A172" s="6"/>
      <c r="B172" s="6"/>
      <c r="C172" s="6"/>
      <c r="D172" s="6"/>
      <c r="E172" s="6"/>
      <c r="F172" s="6"/>
      <c r="G172" s="7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 spans="1:52" x14ac:dyDescent="0.25">
      <c r="A173" s="6"/>
      <c r="B173" s="6"/>
      <c r="C173" s="6"/>
      <c r="D173" s="6"/>
      <c r="E173" s="6"/>
      <c r="F173" s="6"/>
      <c r="G173" s="7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 spans="1:52" x14ac:dyDescent="0.25">
      <c r="A174" s="6"/>
      <c r="B174" s="6"/>
      <c r="C174" s="6"/>
      <c r="D174" s="6"/>
      <c r="E174" s="6"/>
      <c r="F174" s="6"/>
      <c r="G174" s="7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 spans="1:52" x14ac:dyDescent="0.25">
      <c r="A175" s="6"/>
      <c r="B175" s="6"/>
      <c r="C175" s="6"/>
      <c r="D175" s="6"/>
      <c r="E175" s="6"/>
      <c r="F175" s="6"/>
      <c r="G175" s="7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 spans="1:52" x14ac:dyDescent="0.25">
      <c r="A176" s="6"/>
      <c r="B176" s="6"/>
      <c r="C176" s="6"/>
      <c r="D176" s="6"/>
      <c r="E176" s="6"/>
      <c r="F176" s="6"/>
      <c r="G176" s="7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 spans="1:52" x14ac:dyDescent="0.25">
      <c r="A177" s="6"/>
      <c r="B177" s="6"/>
      <c r="C177" s="6"/>
      <c r="D177" s="6"/>
      <c r="E177" s="6"/>
      <c r="F177" s="6"/>
      <c r="G177" s="7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 spans="1:52" x14ac:dyDescent="0.25">
      <c r="A178" s="6"/>
      <c r="B178" s="6"/>
      <c r="C178" s="6"/>
      <c r="D178" s="6"/>
      <c r="E178" s="6"/>
      <c r="F178" s="6"/>
      <c r="G178" s="7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 spans="1:52" x14ac:dyDescent="0.25">
      <c r="A179" s="6"/>
      <c r="B179" s="6"/>
      <c r="C179" s="6"/>
      <c r="D179" s="6"/>
      <c r="E179" s="6"/>
      <c r="F179" s="6"/>
      <c r="G179" s="7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 spans="1:52" x14ac:dyDescent="0.25">
      <c r="A180" s="6"/>
      <c r="B180" s="6"/>
      <c r="C180" s="6"/>
      <c r="D180" s="6"/>
      <c r="E180" s="6"/>
      <c r="F180" s="6"/>
      <c r="G180" s="7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 spans="1:52" x14ac:dyDescent="0.25">
      <c r="A181" s="6"/>
      <c r="B181" s="6"/>
      <c r="C181" s="6"/>
      <c r="D181" s="6"/>
      <c r="E181" s="6"/>
      <c r="F181" s="6"/>
      <c r="G181" s="7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 spans="1:52" x14ac:dyDescent="0.25">
      <c r="A182" s="6"/>
      <c r="B182" s="6"/>
      <c r="C182" s="6"/>
      <c r="D182" s="6"/>
      <c r="E182" s="6"/>
      <c r="F182" s="6"/>
      <c r="G182" s="7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 spans="1:52" x14ac:dyDescent="0.25">
      <c r="A183" s="6"/>
      <c r="B183" s="6"/>
      <c r="C183" s="6"/>
      <c r="D183" s="6"/>
      <c r="E183" s="6"/>
      <c r="F183" s="6"/>
      <c r="G183" s="7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 spans="1:52" x14ac:dyDescent="0.25">
      <c r="A184" s="6"/>
      <c r="B184" s="6"/>
      <c r="C184" s="6"/>
      <c r="D184" s="6"/>
      <c r="E184" s="6"/>
      <c r="F184" s="6"/>
      <c r="G184" s="7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 spans="1:52" x14ac:dyDescent="0.25">
      <c r="A185" s="6"/>
      <c r="B185" s="6"/>
      <c r="C185" s="6"/>
      <c r="D185" s="6"/>
      <c r="E185" s="6"/>
      <c r="F185" s="6"/>
      <c r="G185" s="7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 spans="1:52" x14ac:dyDescent="0.25">
      <c r="A186" s="6"/>
      <c r="B186" s="6"/>
      <c r="C186" s="6"/>
      <c r="D186" s="6"/>
      <c r="E186" s="6"/>
      <c r="F186" s="6"/>
      <c r="G186" s="7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 spans="1:52" x14ac:dyDescent="0.25">
      <c r="A187" s="6"/>
      <c r="B187" s="6"/>
      <c r="C187" s="6"/>
      <c r="D187" s="6"/>
      <c r="E187" s="6"/>
      <c r="F187" s="6"/>
      <c r="G187" s="7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 spans="1:52" x14ac:dyDescent="0.25">
      <c r="A188" s="6"/>
      <c r="B188" s="6"/>
      <c r="C188" s="6"/>
      <c r="D188" s="6"/>
      <c r="E188" s="6"/>
      <c r="F188" s="6"/>
      <c r="G188" s="7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 spans="1:52" x14ac:dyDescent="0.25">
      <c r="A189" s="6"/>
      <c r="B189" s="6"/>
      <c r="C189" s="6"/>
      <c r="D189" s="6"/>
      <c r="E189" s="6"/>
      <c r="F189" s="6"/>
      <c r="G189" s="7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 spans="1:52" x14ac:dyDescent="0.25">
      <c r="A190" s="6"/>
      <c r="B190" s="6"/>
      <c r="C190" s="6"/>
      <c r="D190" s="6"/>
      <c r="E190" s="6"/>
      <c r="F190" s="6"/>
      <c r="G190" s="7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 spans="1:52" x14ac:dyDescent="0.25">
      <c r="A191" s="6"/>
      <c r="B191" s="6"/>
      <c r="C191" s="6"/>
      <c r="D191" s="6"/>
      <c r="E191" s="6"/>
      <c r="F191" s="6"/>
      <c r="G191" s="7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 spans="1:52" x14ac:dyDescent="0.25">
      <c r="A192" s="6"/>
      <c r="B192" s="6"/>
      <c r="C192" s="6"/>
      <c r="D192" s="6"/>
      <c r="E192" s="6"/>
      <c r="F192" s="6"/>
      <c r="G192" s="7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 spans="1:52" x14ac:dyDescent="0.25">
      <c r="A193" s="6"/>
      <c r="B193" s="6"/>
      <c r="C193" s="6"/>
      <c r="D193" s="6"/>
      <c r="E193" s="6"/>
      <c r="F193" s="6"/>
      <c r="G193" s="7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 spans="1:52" x14ac:dyDescent="0.25">
      <c r="A194" s="6"/>
      <c r="B194" s="6"/>
      <c r="C194" s="6"/>
      <c r="D194" s="6"/>
      <c r="E194" s="6"/>
      <c r="F194" s="6"/>
      <c r="G194" s="7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 spans="1:52" x14ac:dyDescent="0.25">
      <c r="A195" s="6"/>
      <c r="B195" s="6"/>
      <c r="C195" s="6"/>
      <c r="D195" s="6"/>
      <c r="E195" s="6"/>
      <c r="F195" s="6"/>
      <c r="G195" s="7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 spans="1:52" x14ac:dyDescent="0.25">
      <c r="A196" s="6"/>
      <c r="B196" s="6"/>
      <c r="C196" s="6"/>
      <c r="D196" s="6"/>
      <c r="E196" s="6"/>
      <c r="F196" s="6"/>
      <c r="G196" s="7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 spans="1:52" x14ac:dyDescent="0.25">
      <c r="A197" s="6"/>
      <c r="B197" s="6"/>
      <c r="C197" s="6"/>
      <c r="D197" s="6"/>
      <c r="E197" s="6"/>
      <c r="F197" s="6"/>
      <c r="G197" s="7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 spans="1:52" x14ac:dyDescent="0.25">
      <c r="A198" s="6"/>
      <c r="B198" s="6"/>
      <c r="C198" s="6"/>
      <c r="D198" s="6"/>
      <c r="E198" s="6"/>
      <c r="F198" s="6"/>
      <c r="G198" s="7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 spans="1:52" x14ac:dyDescent="0.25">
      <c r="A199" s="6"/>
      <c r="B199" s="6"/>
      <c r="C199" s="6"/>
      <c r="D199" s="6"/>
      <c r="E199" s="6"/>
      <c r="F199" s="6"/>
      <c r="G199" s="7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 spans="1:52" x14ac:dyDescent="0.25">
      <c r="A200" s="6"/>
      <c r="B200" s="6"/>
      <c r="C200" s="6"/>
      <c r="D200" s="6"/>
      <c r="E200" s="6"/>
      <c r="F200" s="6"/>
      <c r="G200" s="7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 spans="1:52" x14ac:dyDescent="0.25">
      <c r="A201" s="6"/>
      <c r="B201" s="6"/>
      <c r="C201" s="6"/>
      <c r="D201" s="6"/>
      <c r="E201" s="6"/>
      <c r="F201" s="6"/>
      <c r="G201" s="7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 spans="1:52" x14ac:dyDescent="0.25">
      <c r="A202" s="6"/>
      <c r="B202" s="6"/>
      <c r="C202" s="6"/>
      <c r="D202" s="6"/>
      <c r="E202" s="6"/>
      <c r="F202" s="6"/>
      <c r="G202" s="7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 spans="1:52" x14ac:dyDescent="0.25">
      <c r="A203" s="6"/>
      <c r="B203" s="6"/>
      <c r="C203" s="6"/>
      <c r="D203" s="6"/>
      <c r="E203" s="6"/>
      <c r="F203" s="6"/>
      <c r="G203" s="7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 spans="1:52" x14ac:dyDescent="0.25">
      <c r="A204" s="6"/>
      <c r="B204" s="6"/>
      <c r="C204" s="6"/>
      <c r="D204" s="6"/>
      <c r="E204" s="6"/>
      <c r="F204" s="6"/>
      <c r="G204" s="7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 spans="1:52" x14ac:dyDescent="0.25">
      <c r="A205" s="6"/>
      <c r="B205" s="6"/>
      <c r="C205" s="6"/>
      <c r="D205" s="6"/>
      <c r="E205" s="6"/>
      <c r="F205" s="6"/>
      <c r="G205" s="7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 spans="1:52" x14ac:dyDescent="0.25">
      <c r="A206" s="6"/>
      <c r="B206" s="6"/>
      <c r="C206" s="6"/>
      <c r="D206" s="6"/>
      <c r="E206" s="6"/>
      <c r="F206" s="6"/>
      <c r="G206" s="7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 spans="1:52" x14ac:dyDescent="0.25">
      <c r="A207" s="6"/>
      <c r="B207" s="6"/>
      <c r="C207" s="6"/>
      <c r="D207" s="6"/>
      <c r="E207" s="6"/>
      <c r="F207" s="6"/>
      <c r="G207" s="7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 spans="1:52" x14ac:dyDescent="0.25">
      <c r="A208" s="6"/>
      <c r="B208" s="6"/>
      <c r="C208" s="6"/>
      <c r="D208" s="6"/>
      <c r="E208" s="6"/>
      <c r="F208" s="6"/>
      <c r="G208" s="7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 spans="1:52" x14ac:dyDescent="0.25">
      <c r="A209" s="6"/>
      <c r="B209" s="6"/>
      <c r="C209" s="6"/>
      <c r="D209" s="6"/>
      <c r="E209" s="6"/>
      <c r="F209" s="6"/>
      <c r="G209" s="7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 spans="1:52" x14ac:dyDescent="0.25">
      <c r="A210" s="6"/>
      <c r="B210" s="6"/>
      <c r="C210" s="6"/>
      <c r="D210" s="6"/>
      <c r="E210" s="6"/>
      <c r="F210" s="6"/>
      <c r="G210" s="7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 spans="1:52" x14ac:dyDescent="0.25">
      <c r="A211" s="6"/>
      <c r="B211" s="6"/>
      <c r="C211" s="6"/>
      <c r="D211" s="6"/>
      <c r="E211" s="6"/>
      <c r="F211" s="6"/>
      <c r="G211" s="7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 spans="1:52" x14ac:dyDescent="0.25">
      <c r="A212" s="6"/>
      <c r="B212" s="6"/>
      <c r="C212" s="6"/>
      <c r="D212" s="6"/>
      <c r="E212" s="6"/>
      <c r="F212" s="6"/>
      <c r="G212" s="7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 spans="1:52" x14ac:dyDescent="0.25">
      <c r="A213" s="6"/>
      <c r="B213" s="6"/>
      <c r="C213" s="6"/>
      <c r="D213" s="6"/>
      <c r="E213" s="6"/>
      <c r="F213" s="6"/>
      <c r="G213" s="7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 spans="1:52" x14ac:dyDescent="0.25">
      <c r="A214" s="6"/>
      <c r="B214" s="6"/>
      <c r="C214" s="6"/>
      <c r="D214" s="6"/>
      <c r="E214" s="6"/>
      <c r="F214" s="6"/>
      <c r="G214" s="7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 spans="1:52" x14ac:dyDescent="0.25">
      <c r="A215" s="6"/>
      <c r="B215" s="6"/>
      <c r="C215" s="6"/>
      <c r="D215" s="6"/>
      <c r="E215" s="6"/>
      <c r="F215" s="6"/>
      <c r="G215" s="7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 spans="1:52" x14ac:dyDescent="0.25">
      <c r="A216" s="6"/>
      <c r="B216" s="6"/>
      <c r="C216" s="6"/>
      <c r="D216" s="6"/>
      <c r="E216" s="6"/>
      <c r="F216" s="6"/>
      <c r="G216" s="7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 spans="1:52" x14ac:dyDescent="0.25">
      <c r="A217" s="6"/>
      <c r="B217" s="6"/>
      <c r="C217" s="6"/>
      <c r="D217" s="6"/>
      <c r="E217" s="6"/>
      <c r="F217" s="6"/>
      <c r="G217" s="7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 spans="1:52" x14ac:dyDescent="0.25">
      <c r="A218" s="6"/>
      <c r="B218" s="6"/>
      <c r="C218" s="6"/>
      <c r="D218" s="6"/>
      <c r="E218" s="6"/>
      <c r="F218" s="6"/>
      <c r="G218" s="7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 spans="1:52" x14ac:dyDescent="0.25">
      <c r="A219" s="6"/>
      <c r="B219" s="6"/>
      <c r="C219" s="6"/>
      <c r="D219" s="6"/>
      <c r="E219" s="6"/>
      <c r="F219" s="6"/>
      <c r="G219" s="7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 spans="1:52" x14ac:dyDescent="0.25">
      <c r="A220" s="6"/>
      <c r="B220" s="6"/>
      <c r="C220" s="6"/>
      <c r="D220" s="6"/>
      <c r="E220" s="6"/>
      <c r="F220" s="6"/>
      <c r="G220" s="7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 spans="1:52" x14ac:dyDescent="0.25">
      <c r="A221" s="6"/>
      <c r="B221" s="6"/>
      <c r="C221" s="6"/>
      <c r="D221" s="6"/>
      <c r="E221" s="6"/>
      <c r="F221" s="6"/>
      <c r="G221" s="7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 spans="1:52" x14ac:dyDescent="0.25">
      <c r="A222" s="6"/>
      <c r="B222" s="6"/>
      <c r="C222" s="6"/>
      <c r="D222" s="6"/>
      <c r="E222" s="6"/>
      <c r="F222" s="6"/>
      <c r="G222" s="7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 spans="1:52" x14ac:dyDescent="0.25">
      <c r="A223" s="6"/>
      <c r="B223" s="6"/>
      <c r="C223" s="6"/>
      <c r="D223" s="6"/>
      <c r="E223" s="6"/>
      <c r="F223" s="6"/>
      <c r="G223" s="7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 spans="1:52" x14ac:dyDescent="0.25">
      <c r="A224" s="6"/>
      <c r="B224" s="6"/>
      <c r="C224" s="6"/>
      <c r="D224" s="6"/>
      <c r="E224" s="6"/>
      <c r="F224" s="6"/>
      <c r="G224" s="7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 spans="1:52" x14ac:dyDescent="0.25">
      <c r="A225" s="6"/>
      <c r="B225" s="6"/>
      <c r="C225" s="6"/>
      <c r="D225" s="6"/>
      <c r="E225" s="6"/>
      <c r="F225" s="6"/>
      <c r="G225" s="7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 spans="1:52" x14ac:dyDescent="0.25">
      <c r="A226" s="6"/>
      <c r="B226" s="6"/>
      <c r="C226" s="6"/>
      <c r="D226" s="6"/>
      <c r="E226" s="6"/>
      <c r="F226" s="6"/>
      <c r="G226" s="7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 spans="1:52" x14ac:dyDescent="0.25">
      <c r="A227" s="6"/>
      <c r="B227" s="6"/>
      <c r="C227" s="6"/>
      <c r="D227" s="6"/>
      <c r="E227" s="6"/>
      <c r="F227" s="6"/>
      <c r="G227" s="7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 spans="1:52" x14ac:dyDescent="0.25">
      <c r="A228" s="6"/>
      <c r="B228" s="6"/>
      <c r="C228" s="6"/>
      <c r="D228" s="6"/>
      <c r="E228" s="6"/>
      <c r="F228" s="6"/>
      <c r="G228" s="7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 spans="1:52" x14ac:dyDescent="0.25">
      <c r="A229" s="6"/>
      <c r="B229" s="6"/>
      <c r="C229" s="6"/>
      <c r="D229" s="6"/>
      <c r="E229" s="6"/>
      <c r="F229" s="6"/>
      <c r="G229" s="7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 spans="1:52" x14ac:dyDescent="0.25">
      <c r="A230" s="6"/>
      <c r="B230" s="6"/>
      <c r="C230" s="6"/>
      <c r="D230" s="6"/>
      <c r="E230" s="6"/>
      <c r="F230" s="6"/>
      <c r="G230" s="7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 spans="1:52" x14ac:dyDescent="0.25">
      <c r="A231" s="6"/>
      <c r="B231" s="6"/>
      <c r="C231" s="6"/>
      <c r="D231" s="6"/>
      <c r="E231" s="6"/>
      <c r="F231" s="6"/>
      <c r="G231" s="7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 spans="1:52" x14ac:dyDescent="0.25">
      <c r="A232" s="6"/>
      <c r="B232" s="6"/>
      <c r="C232" s="6"/>
      <c r="D232" s="6"/>
      <c r="E232" s="6"/>
      <c r="F232" s="6"/>
      <c r="G232" s="7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 spans="1:52" x14ac:dyDescent="0.25">
      <c r="A233" s="6"/>
      <c r="B233" s="6"/>
      <c r="C233" s="6"/>
      <c r="D233" s="6"/>
      <c r="E233" s="6"/>
      <c r="F233" s="6"/>
      <c r="G233" s="7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 spans="1:52" x14ac:dyDescent="0.25">
      <c r="A234" s="6"/>
      <c r="B234" s="6"/>
      <c r="C234" s="6"/>
      <c r="D234" s="6"/>
      <c r="E234" s="6"/>
      <c r="F234" s="6"/>
      <c r="G234" s="7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 spans="1:52" x14ac:dyDescent="0.25">
      <c r="A235" s="6"/>
      <c r="B235" s="6"/>
      <c r="C235" s="6"/>
      <c r="D235" s="6"/>
      <c r="E235" s="6"/>
      <c r="F235" s="6"/>
      <c r="G235" s="7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 spans="1:52" x14ac:dyDescent="0.25">
      <c r="A236" s="6"/>
      <c r="B236" s="6"/>
      <c r="C236" s="6"/>
      <c r="D236" s="6"/>
      <c r="E236" s="6"/>
      <c r="F236" s="6"/>
      <c r="G236" s="7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 spans="1:52" x14ac:dyDescent="0.25">
      <c r="A237" s="6"/>
      <c r="B237" s="6"/>
      <c r="C237" s="6"/>
      <c r="D237" s="6"/>
      <c r="E237" s="6"/>
      <c r="F237" s="6"/>
      <c r="G237" s="7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 spans="1:52" x14ac:dyDescent="0.25">
      <c r="A238" s="6"/>
      <c r="B238" s="6"/>
      <c r="C238" s="6"/>
      <c r="D238" s="6"/>
      <c r="E238" s="6"/>
      <c r="F238" s="6"/>
      <c r="G238" s="7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 spans="1:52" x14ac:dyDescent="0.25">
      <c r="A239" s="6"/>
      <c r="B239" s="6"/>
      <c r="C239" s="6"/>
      <c r="D239" s="6"/>
      <c r="E239" s="6"/>
      <c r="F239" s="6"/>
      <c r="G239" s="7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 spans="1:52" x14ac:dyDescent="0.25">
      <c r="A240" s="6"/>
      <c r="B240" s="6"/>
      <c r="C240" s="6"/>
      <c r="D240" s="6"/>
      <c r="E240" s="6"/>
      <c r="F240" s="6"/>
      <c r="G240" s="7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 spans="1:52" x14ac:dyDescent="0.25">
      <c r="A241" s="6"/>
      <c r="B241" s="6"/>
      <c r="C241" s="6"/>
      <c r="D241" s="6"/>
      <c r="E241" s="6"/>
      <c r="F241" s="6"/>
      <c r="G241" s="7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 spans="1:52" x14ac:dyDescent="0.25">
      <c r="A242" s="6"/>
      <c r="B242" s="6"/>
      <c r="C242" s="6"/>
      <c r="D242" s="6"/>
      <c r="E242" s="6"/>
      <c r="F242" s="6"/>
      <c r="G242" s="7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 spans="1:52" x14ac:dyDescent="0.25">
      <c r="A243" s="6"/>
      <c r="B243" s="6"/>
      <c r="C243" s="6"/>
      <c r="D243" s="6"/>
      <c r="E243" s="6"/>
      <c r="F243" s="6"/>
      <c r="G243" s="7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 spans="1:52" x14ac:dyDescent="0.25">
      <c r="A244" s="6"/>
      <c r="B244" s="6"/>
      <c r="C244" s="6"/>
      <c r="D244" s="6"/>
      <c r="E244" s="6"/>
      <c r="F244" s="6"/>
      <c r="G244" s="7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 spans="1:52" x14ac:dyDescent="0.25">
      <c r="A245" s="6"/>
      <c r="B245" s="6"/>
      <c r="C245" s="6"/>
      <c r="D245" s="6"/>
      <c r="E245" s="6"/>
      <c r="F245" s="6"/>
      <c r="G245" s="7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 spans="1:52" x14ac:dyDescent="0.25">
      <c r="A246" s="6"/>
      <c r="B246" s="6"/>
      <c r="C246" s="6"/>
      <c r="D246" s="6"/>
      <c r="E246" s="6"/>
      <c r="F246" s="6"/>
      <c r="G246" s="7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 spans="1:52" x14ac:dyDescent="0.25">
      <c r="A247" s="6"/>
      <c r="B247" s="6"/>
      <c r="C247" s="6"/>
      <c r="D247" s="6"/>
      <c r="E247" s="6"/>
      <c r="F247" s="6"/>
      <c r="G247" s="7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 spans="1:52" x14ac:dyDescent="0.25">
      <c r="A248" s="6"/>
      <c r="B248" s="6"/>
      <c r="C248" s="6"/>
      <c r="D248" s="6"/>
      <c r="E248" s="6"/>
      <c r="F248" s="6"/>
      <c r="G248" s="7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 spans="1:52" x14ac:dyDescent="0.25">
      <c r="A249" s="6"/>
      <c r="B249" s="6"/>
      <c r="C249" s="6"/>
      <c r="D249" s="6"/>
      <c r="E249" s="6"/>
      <c r="F249" s="6"/>
      <c r="G249" s="7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 spans="1:52" x14ac:dyDescent="0.25">
      <c r="A250" s="6"/>
      <c r="B250" s="6"/>
      <c r="C250" s="6"/>
      <c r="D250" s="6"/>
      <c r="E250" s="6"/>
      <c r="F250" s="6"/>
      <c r="G250" s="7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 spans="1:52" x14ac:dyDescent="0.25">
      <c r="A251" s="6"/>
      <c r="B251" s="6"/>
      <c r="C251" s="6"/>
      <c r="D251" s="6"/>
      <c r="E251" s="6"/>
      <c r="F251" s="6"/>
      <c r="G251" s="7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 spans="1:52" x14ac:dyDescent="0.25">
      <c r="A252" s="6"/>
      <c r="B252" s="6"/>
      <c r="C252" s="6"/>
      <c r="D252" s="6"/>
      <c r="E252" s="6"/>
      <c r="F252" s="6"/>
      <c r="G252" s="7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 spans="1:52" x14ac:dyDescent="0.25">
      <c r="A253" s="6"/>
      <c r="B253" s="6"/>
      <c r="C253" s="6"/>
      <c r="D253" s="6"/>
      <c r="E253" s="6"/>
      <c r="F253" s="6"/>
      <c r="G253" s="7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 spans="1:52" x14ac:dyDescent="0.25">
      <c r="A254" s="6"/>
      <c r="B254" s="6"/>
      <c r="C254" s="6"/>
      <c r="D254" s="6"/>
      <c r="E254" s="6"/>
      <c r="F254" s="6"/>
      <c r="G254" s="7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 spans="1:52" x14ac:dyDescent="0.25">
      <c r="A255" s="6"/>
      <c r="B255" s="6"/>
      <c r="C255" s="6"/>
      <c r="D255" s="6"/>
      <c r="E255" s="6"/>
      <c r="F255" s="6"/>
      <c r="G255" s="7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 spans="1:52" x14ac:dyDescent="0.25">
      <c r="A256" s="6"/>
      <c r="B256" s="6"/>
      <c r="C256" s="6"/>
      <c r="D256" s="6"/>
      <c r="E256" s="6"/>
      <c r="F256" s="6"/>
      <c r="G256" s="7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 spans="1:52" x14ac:dyDescent="0.25">
      <c r="A257" s="6"/>
      <c r="B257" s="6"/>
      <c r="C257" s="6"/>
      <c r="D257" s="6"/>
      <c r="E257" s="6"/>
      <c r="F257" s="6"/>
      <c r="G257" s="7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 spans="1:52" x14ac:dyDescent="0.25">
      <c r="A258" s="6"/>
      <c r="B258" s="6"/>
      <c r="C258" s="6"/>
      <c r="D258" s="6"/>
      <c r="E258" s="6"/>
      <c r="F258" s="6"/>
      <c r="G258" s="7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 spans="1:52" x14ac:dyDescent="0.25">
      <c r="A259" s="6"/>
      <c r="B259" s="6"/>
      <c r="C259" s="6"/>
      <c r="D259" s="6"/>
      <c r="E259" s="6"/>
      <c r="F259" s="6"/>
      <c r="G259" s="7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 spans="1:52" x14ac:dyDescent="0.25">
      <c r="A260" s="6"/>
      <c r="B260" s="6"/>
      <c r="C260" s="6"/>
      <c r="D260" s="6"/>
      <c r="E260" s="6"/>
      <c r="F260" s="6"/>
      <c r="G260" s="7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 spans="1:52" x14ac:dyDescent="0.25">
      <c r="A261" s="6"/>
      <c r="B261" s="6"/>
      <c r="C261" s="6"/>
      <c r="D261" s="6"/>
      <c r="E261" s="6"/>
      <c r="F261" s="6"/>
      <c r="G261" s="7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 spans="1:52" x14ac:dyDescent="0.25">
      <c r="A262" s="6"/>
      <c r="B262" s="6"/>
      <c r="C262" s="6"/>
      <c r="D262" s="6"/>
      <c r="E262" s="6"/>
      <c r="F262" s="6"/>
      <c r="G262" s="7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 spans="1:52" x14ac:dyDescent="0.25">
      <c r="A263" s="6"/>
      <c r="B263" s="6"/>
      <c r="C263" s="6"/>
      <c r="D263" s="6"/>
      <c r="E263" s="6"/>
      <c r="F263" s="6"/>
      <c r="G263" s="7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 spans="1:52" x14ac:dyDescent="0.25">
      <c r="A264" s="6"/>
      <c r="B264" s="6"/>
      <c r="C264" s="6"/>
      <c r="D264" s="6"/>
      <c r="E264" s="6"/>
      <c r="F264" s="6"/>
      <c r="G264" s="7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 spans="1:52" x14ac:dyDescent="0.25">
      <c r="A265" s="6"/>
      <c r="B265" s="6"/>
      <c r="C265" s="6"/>
      <c r="D265" s="6"/>
      <c r="E265" s="6"/>
      <c r="F265" s="6"/>
      <c r="G265" s="7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 spans="1:52" x14ac:dyDescent="0.25">
      <c r="A266" s="6"/>
      <c r="B266" s="6"/>
      <c r="C266" s="6"/>
      <c r="D266" s="6"/>
      <c r="E266" s="6"/>
      <c r="F266" s="6"/>
      <c r="G266" s="7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 spans="1:52" x14ac:dyDescent="0.25">
      <c r="A267" s="6"/>
      <c r="B267" s="6"/>
      <c r="C267" s="6"/>
      <c r="D267" s="6"/>
      <c r="E267" s="6"/>
      <c r="F267" s="6"/>
      <c r="G267" s="7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 spans="1:52" x14ac:dyDescent="0.25">
      <c r="A268" s="6"/>
      <c r="B268" s="6"/>
      <c r="C268" s="6"/>
      <c r="D268" s="6"/>
      <c r="E268" s="6"/>
      <c r="F268" s="6"/>
      <c r="G268" s="7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 spans="1:52" x14ac:dyDescent="0.25">
      <c r="A269" s="6"/>
      <c r="B269" s="6"/>
      <c r="C269" s="6"/>
      <c r="D269" s="6"/>
      <c r="E269" s="6"/>
      <c r="F269" s="6"/>
      <c r="G269" s="7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 spans="1:52" x14ac:dyDescent="0.25">
      <c r="A270" s="6"/>
      <c r="B270" s="6"/>
      <c r="C270" s="6"/>
      <c r="D270" s="6"/>
      <c r="E270" s="6"/>
      <c r="F270" s="6"/>
      <c r="G270" s="7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 spans="1:52" x14ac:dyDescent="0.25">
      <c r="A271" s="6"/>
      <c r="B271" s="6"/>
      <c r="C271" s="6"/>
      <c r="D271" s="6"/>
      <c r="E271" s="6"/>
      <c r="F271" s="6"/>
      <c r="G271" s="7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 spans="1:52" x14ac:dyDescent="0.25">
      <c r="A272" s="6"/>
      <c r="B272" s="6"/>
      <c r="C272" s="6"/>
      <c r="D272" s="6"/>
      <c r="E272" s="6"/>
      <c r="F272" s="6"/>
      <c r="G272" s="7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 spans="1:52" x14ac:dyDescent="0.25">
      <c r="A273" s="6"/>
      <c r="B273" s="6"/>
      <c r="C273" s="6"/>
      <c r="D273" s="6"/>
      <c r="E273" s="6"/>
      <c r="F273" s="6"/>
      <c r="G273" s="7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 spans="1:52" x14ac:dyDescent="0.25">
      <c r="A274" s="6"/>
      <c r="B274" s="6"/>
      <c r="C274" s="6"/>
      <c r="D274" s="6"/>
      <c r="E274" s="6"/>
      <c r="F274" s="6"/>
      <c r="G274" s="7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 spans="1:52" x14ac:dyDescent="0.25">
      <c r="A275" s="6"/>
      <c r="B275" s="6"/>
      <c r="C275" s="6"/>
      <c r="D275" s="6"/>
      <c r="E275" s="6"/>
      <c r="F275" s="6"/>
      <c r="G275" s="7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 spans="1:52" x14ac:dyDescent="0.25">
      <c r="A276" s="6"/>
      <c r="B276" s="6"/>
      <c r="C276" s="6"/>
      <c r="D276" s="6"/>
      <c r="E276" s="6"/>
      <c r="F276" s="6"/>
      <c r="G276" s="7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 spans="1:52" x14ac:dyDescent="0.25">
      <c r="A277" s="6"/>
      <c r="B277" s="6"/>
      <c r="C277" s="6"/>
      <c r="D277" s="6"/>
      <c r="E277" s="6"/>
      <c r="F277" s="6"/>
      <c r="G277" s="7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 spans="1:52" x14ac:dyDescent="0.25">
      <c r="A278" s="6"/>
      <c r="B278" s="6"/>
      <c r="C278" s="6"/>
      <c r="D278" s="6"/>
      <c r="E278" s="6"/>
      <c r="F278" s="6"/>
      <c r="G278" s="7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 spans="1:52" x14ac:dyDescent="0.25">
      <c r="A279" s="6"/>
      <c r="B279" s="6"/>
      <c r="C279" s="6"/>
      <c r="D279" s="6"/>
      <c r="E279" s="6"/>
      <c r="F279" s="6"/>
      <c r="G279" s="7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 spans="1:52" x14ac:dyDescent="0.25">
      <c r="A280" s="6"/>
      <c r="B280" s="6"/>
      <c r="C280" s="6"/>
      <c r="D280" s="6"/>
      <c r="E280" s="6"/>
      <c r="F280" s="6"/>
      <c r="G280" s="7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 spans="1:52" x14ac:dyDescent="0.25">
      <c r="A281" s="6"/>
      <c r="B281" s="6"/>
      <c r="C281" s="6"/>
      <c r="D281" s="6"/>
      <c r="E281" s="6"/>
      <c r="F281" s="6"/>
      <c r="G281" s="7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 spans="1:52" x14ac:dyDescent="0.25">
      <c r="A282" s="6"/>
      <c r="B282" s="6"/>
      <c r="C282" s="6"/>
      <c r="D282" s="6"/>
      <c r="E282" s="6"/>
      <c r="F282" s="6"/>
      <c r="G282" s="7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 spans="1:52" x14ac:dyDescent="0.25">
      <c r="A283" s="6"/>
      <c r="B283" s="6"/>
      <c r="C283" s="6"/>
      <c r="D283" s="6"/>
      <c r="E283" s="6"/>
      <c r="F283" s="6"/>
      <c r="G283" s="7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 spans="1:52" x14ac:dyDescent="0.25">
      <c r="A284" s="6"/>
      <c r="B284" s="6"/>
      <c r="C284" s="6"/>
      <c r="D284" s="6"/>
      <c r="E284" s="6"/>
      <c r="F284" s="6"/>
      <c r="G284" s="7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 spans="1:52" x14ac:dyDescent="0.25">
      <c r="A285" s="6"/>
      <c r="B285" s="6"/>
      <c r="C285" s="6"/>
      <c r="D285" s="6"/>
      <c r="E285" s="6"/>
      <c r="F285" s="6"/>
      <c r="G285" s="7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 spans="1:52" x14ac:dyDescent="0.25">
      <c r="A286" s="6"/>
      <c r="B286" s="6"/>
      <c r="C286" s="6"/>
      <c r="D286" s="6"/>
      <c r="E286" s="6"/>
      <c r="F286" s="6"/>
      <c r="G286" s="7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 spans="1:52" x14ac:dyDescent="0.25">
      <c r="A287" s="6"/>
      <c r="B287" s="6"/>
      <c r="C287" s="6"/>
      <c r="D287" s="6"/>
      <c r="E287" s="6"/>
      <c r="F287" s="6"/>
      <c r="G287" s="7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 spans="1:52" x14ac:dyDescent="0.25">
      <c r="A288" s="6"/>
      <c r="B288" s="6"/>
      <c r="C288" s="6"/>
      <c r="D288" s="6"/>
      <c r="E288" s="6"/>
      <c r="F288" s="6"/>
      <c r="G288" s="7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 spans="1:52" x14ac:dyDescent="0.25">
      <c r="A289" s="6"/>
      <c r="B289" s="6"/>
      <c r="C289" s="6"/>
      <c r="D289" s="6"/>
      <c r="E289" s="6"/>
      <c r="F289" s="6"/>
      <c r="G289" s="7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 spans="1:52" x14ac:dyDescent="0.25">
      <c r="A290" s="6"/>
      <c r="B290" s="6"/>
      <c r="C290" s="6"/>
      <c r="D290" s="6"/>
      <c r="E290" s="6"/>
      <c r="F290" s="6"/>
      <c r="G290" s="7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 spans="1:52" x14ac:dyDescent="0.25">
      <c r="A291" s="6"/>
      <c r="B291" s="6"/>
      <c r="C291" s="6"/>
      <c r="D291" s="6"/>
      <c r="E291" s="6"/>
      <c r="F291" s="6"/>
      <c r="G291" s="7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 spans="1:52" x14ac:dyDescent="0.25">
      <c r="A292" s="6"/>
      <c r="B292" s="6"/>
      <c r="C292" s="6"/>
      <c r="D292" s="6"/>
      <c r="E292" s="6"/>
      <c r="F292" s="6"/>
      <c r="G292" s="7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 spans="1:52" x14ac:dyDescent="0.25">
      <c r="A293" s="6"/>
      <c r="B293" s="6"/>
      <c r="C293" s="6"/>
      <c r="D293" s="6"/>
      <c r="E293" s="6"/>
      <c r="F293" s="6"/>
      <c r="G293" s="7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 spans="1:52" x14ac:dyDescent="0.25">
      <c r="A294" s="6"/>
      <c r="B294" s="6"/>
      <c r="C294" s="6"/>
      <c r="D294" s="6"/>
      <c r="E294" s="6"/>
      <c r="F294" s="6"/>
      <c r="G294" s="7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 spans="1:52" x14ac:dyDescent="0.25">
      <c r="A295" s="6"/>
      <c r="B295" s="6"/>
      <c r="C295" s="6"/>
      <c r="D295" s="6"/>
      <c r="E295" s="6"/>
      <c r="F295" s="6"/>
      <c r="G295" s="7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 spans="1:52" x14ac:dyDescent="0.25">
      <c r="A296" s="6"/>
      <c r="B296" s="6"/>
      <c r="C296" s="6"/>
      <c r="D296" s="6"/>
      <c r="E296" s="6"/>
      <c r="F296" s="6"/>
      <c r="G296" s="7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 spans="1:52" x14ac:dyDescent="0.25">
      <c r="A297" s="6"/>
      <c r="B297" s="6"/>
      <c r="C297" s="6"/>
      <c r="D297" s="6"/>
      <c r="E297" s="6"/>
      <c r="F297" s="6"/>
      <c r="G297" s="7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 spans="1:52" x14ac:dyDescent="0.25">
      <c r="A298" s="6"/>
      <c r="B298" s="6"/>
      <c r="C298" s="6"/>
      <c r="D298" s="6"/>
      <c r="E298" s="6"/>
      <c r="F298" s="6"/>
      <c r="G298" s="7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 spans="1:52" x14ac:dyDescent="0.25">
      <c r="A299" s="6"/>
      <c r="B299" s="6"/>
      <c r="C299" s="6"/>
      <c r="D299" s="6"/>
      <c r="E299" s="6"/>
      <c r="F299" s="6"/>
      <c r="G299" s="7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 spans="1:52" x14ac:dyDescent="0.25">
      <c r="A300" s="6"/>
      <c r="B300" s="6"/>
      <c r="C300" s="6"/>
      <c r="D300" s="6"/>
      <c r="E300" s="6"/>
      <c r="F300" s="6"/>
      <c r="G300" s="7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 spans="1:52" x14ac:dyDescent="0.25">
      <c r="A301" s="6"/>
      <c r="B301" s="6"/>
      <c r="C301" s="6"/>
      <c r="D301" s="6"/>
      <c r="E301" s="6"/>
      <c r="F301" s="6"/>
      <c r="G301" s="7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 spans="1:52" x14ac:dyDescent="0.25">
      <c r="A302" s="6"/>
      <c r="B302" s="6"/>
      <c r="C302" s="6"/>
      <c r="D302" s="6"/>
      <c r="E302" s="6"/>
      <c r="F302" s="6"/>
      <c r="G302" s="7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 spans="1:52" x14ac:dyDescent="0.25">
      <c r="A303" s="6"/>
      <c r="B303" s="6"/>
      <c r="C303" s="6"/>
      <c r="D303" s="6"/>
      <c r="E303" s="6"/>
      <c r="F303" s="6"/>
      <c r="G303" s="7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 spans="1:52" x14ac:dyDescent="0.25">
      <c r="A304" s="6"/>
      <c r="B304" s="6"/>
      <c r="C304" s="6"/>
      <c r="D304" s="6"/>
      <c r="E304" s="6"/>
      <c r="F304" s="6"/>
      <c r="G304" s="7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 spans="1:52" x14ac:dyDescent="0.25">
      <c r="A305" s="6"/>
      <c r="B305" s="6"/>
      <c r="C305" s="6"/>
      <c r="D305" s="6"/>
      <c r="E305" s="6"/>
      <c r="F305" s="6"/>
      <c r="G305" s="7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 spans="1:52" x14ac:dyDescent="0.25">
      <c r="A306" s="6"/>
      <c r="B306" s="6"/>
      <c r="C306" s="6"/>
      <c r="D306" s="6"/>
      <c r="E306" s="6"/>
      <c r="F306" s="6"/>
      <c r="G306" s="7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 spans="1:52" x14ac:dyDescent="0.25">
      <c r="A307" s="6"/>
      <c r="B307" s="6"/>
      <c r="C307" s="6"/>
      <c r="D307" s="6"/>
      <c r="E307" s="6"/>
      <c r="F307" s="6"/>
      <c r="G307" s="7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 spans="1:52" x14ac:dyDescent="0.25">
      <c r="A308" s="6"/>
      <c r="B308" s="6"/>
      <c r="C308" s="6"/>
      <c r="D308" s="6"/>
      <c r="E308" s="6"/>
      <c r="F308" s="6"/>
      <c r="G308" s="7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 spans="1:52" x14ac:dyDescent="0.25">
      <c r="A309" s="6"/>
      <c r="B309" s="6"/>
      <c r="C309" s="6"/>
      <c r="D309" s="6"/>
      <c r="E309" s="6"/>
      <c r="F309" s="6"/>
      <c r="G309" s="7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 spans="1:52" x14ac:dyDescent="0.25">
      <c r="A310" s="6"/>
      <c r="B310" s="6"/>
      <c r="C310" s="6"/>
      <c r="D310" s="6"/>
      <c r="E310" s="6"/>
      <c r="F310" s="6"/>
      <c r="G310" s="7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 spans="1:52" x14ac:dyDescent="0.25">
      <c r="A311" s="6"/>
      <c r="B311" s="6"/>
      <c r="C311" s="6"/>
      <c r="D311" s="6"/>
      <c r="E311" s="6"/>
      <c r="F311" s="6"/>
      <c r="G311" s="7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 spans="1:52" x14ac:dyDescent="0.25">
      <c r="A312" s="6"/>
      <c r="B312" s="6"/>
      <c r="C312" s="6"/>
      <c r="D312" s="6"/>
      <c r="E312" s="6"/>
      <c r="F312" s="6"/>
      <c r="G312" s="7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 spans="1:52" x14ac:dyDescent="0.25">
      <c r="A313" s="6"/>
      <c r="B313" s="6"/>
      <c r="C313" s="6"/>
      <c r="D313" s="6"/>
      <c r="E313" s="6"/>
      <c r="F313" s="6"/>
      <c r="G313" s="7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 spans="1:52" x14ac:dyDescent="0.25">
      <c r="A314" s="6"/>
      <c r="B314" s="6"/>
      <c r="C314" s="6"/>
      <c r="D314" s="6"/>
      <c r="E314" s="6"/>
      <c r="F314" s="6"/>
      <c r="G314" s="7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 spans="1:52" x14ac:dyDescent="0.25">
      <c r="A315" s="6"/>
      <c r="B315" s="6"/>
      <c r="C315" s="6"/>
      <c r="D315" s="6"/>
      <c r="E315" s="6"/>
      <c r="F315" s="6"/>
      <c r="G315" s="7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 spans="1:52" x14ac:dyDescent="0.25">
      <c r="A316" s="6"/>
      <c r="B316" s="6"/>
      <c r="C316" s="6"/>
      <c r="D316" s="6"/>
      <c r="E316" s="6"/>
      <c r="F316" s="6"/>
      <c r="G316" s="7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 spans="1:52" x14ac:dyDescent="0.25">
      <c r="A317" s="6"/>
      <c r="B317" s="6"/>
      <c r="C317" s="6"/>
      <c r="D317" s="6"/>
      <c r="E317" s="6"/>
      <c r="F317" s="6"/>
      <c r="G317" s="7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 spans="1:52" x14ac:dyDescent="0.25">
      <c r="A318" s="6"/>
      <c r="B318" s="6"/>
      <c r="C318" s="6"/>
      <c r="D318" s="6"/>
      <c r="E318" s="6"/>
      <c r="F318" s="6"/>
      <c r="G318" s="7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 spans="1:52" x14ac:dyDescent="0.25">
      <c r="A319" s="6"/>
      <c r="B319" s="6"/>
      <c r="C319" s="6"/>
      <c r="D319" s="6"/>
      <c r="E319" s="6"/>
      <c r="F319" s="6"/>
      <c r="G319" s="7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 spans="1:52" x14ac:dyDescent="0.25">
      <c r="A320" s="6"/>
      <c r="B320" s="6"/>
      <c r="C320" s="6"/>
      <c r="D320" s="6"/>
      <c r="E320" s="6"/>
      <c r="F320" s="6"/>
      <c r="G320" s="7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 spans="1:52" x14ac:dyDescent="0.25">
      <c r="A321" s="6"/>
      <c r="B321" s="6"/>
      <c r="C321" s="6"/>
      <c r="D321" s="6"/>
      <c r="E321" s="6"/>
      <c r="F321" s="6"/>
      <c r="G321" s="7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 spans="1:52" x14ac:dyDescent="0.25">
      <c r="A322" s="6"/>
      <c r="B322" s="6"/>
      <c r="C322" s="6"/>
      <c r="D322" s="6"/>
      <c r="E322" s="6"/>
      <c r="F322" s="6"/>
      <c r="G322" s="7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 spans="1:52" x14ac:dyDescent="0.25">
      <c r="A323" s="6"/>
      <c r="B323" s="6"/>
      <c r="C323" s="6"/>
      <c r="D323" s="6"/>
      <c r="E323" s="6"/>
      <c r="F323" s="6"/>
      <c r="G323" s="7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 spans="1:52" x14ac:dyDescent="0.25">
      <c r="A324" s="6"/>
      <c r="B324" s="6"/>
      <c r="C324" s="6"/>
      <c r="D324" s="6"/>
      <c r="E324" s="6"/>
      <c r="F324" s="6"/>
      <c r="G324" s="7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 spans="1:52" x14ac:dyDescent="0.25">
      <c r="A325" s="6"/>
      <c r="B325" s="6"/>
      <c r="C325" s="6"/>
      <c r="D325" s="6"/>
      <c r="E325" s="6"/>
      <c r="F325" s="6"/>
      <c r="G325" s="7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 spans="1:52" x14ac:dyDescent="0.25">
      <c r="A326" s="6"/>
      <c r="B326" s="6"/>
      <c r="C326" s="6"/>
      <c r="D326" s="6"/>
      <c r="E326" s="6"/>
      <c r="F326" s="6"/>
      <c r="G326" s="7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 spans="1:52" x14ac:dyDescent="0.25">
      <c r="A327" s="6"/>
      <c r="B327" s="6"/>
      <c r="C327" s="6"/>
      <c r="D327" s="6"/>
      <c r="E327" s="6"/>
      <c r="F327" s="6"/>
      <c r="G327" s="7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 spans="1:52" x14ac:dyDescent="0.25">
      <c r="A328" s="6"/>
      <c r="B328" s="6"/>
      <c r="C328" s="6"/>
      <c r="D328" s="6"/>
      <c r="E328" s="6"/>
      <c r="F328" s="6"/>
      <c r="G328" s="7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 spans="1:52" x14ac:dyDescent="0.25">
      <c r="A329" s="6"/>
      <c r="B329" s="6"/>
      <c r="C329" s="6"/>
      <c r="D329" s="6"/>
      <c r="E329" s="6"/>
      <c r="F329" s="6"/>
      <c r="G329" s="7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 spans="1:52" x14ac:dyDescent="0.25">
      <c r="A330" s="6"/>
      <c r="B330" s="6"/>
      <c r="C330" s="6"/>
      <c r="D330" s="6"/>
      <c r="E330" s="6"/>
      <c r="F330" s="6"/>
      <c r="G330" s="7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 spans="1:52" x14ac:dyDescent="0.25">
      <c r="A331" s="6"/>
      <c r="B331" s="6"/>
      <c r="C331" s="6"/>
      <c r="D331" s="6"/>
      <c r="E331" s="6"/>
      <c r="F331" s="6"/>
      <c r="G331" s="7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 spans="1:52" x14ac:dyDescent="0.25">
      <c r="A332" s="6"/>
      <c r="B332" s="6"/>
      <c r="C332" s="6"/>
      <c r="D332" s="6"/>
      <c r="E332" s="6"/>
      <c r="F332" s="6"/>
      <c r="G332" s="7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 spans="1:52" x14ac:dyDescent="0.25">
      <c r="A333" s="6"/>
      <c r="B333" s="6"/>
      <c r="C333" s="6"/>
      <c r="D333" s="6"/>
      <c r="E333" s="6"/>
      <c r="F333" s="6"/>
      <c r="G333" s="7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 spans="1:52" x14ac:dyDescent="0.25">
      <c r="A334" s="6"/>
      <c r="B334" s="6"/>
      <c r="C334" s="6"/>
      <c r="D334" s="6"/>
      <c r="E334" s="6"/>
      <c r="F334" s="6"/>
      <c r="G334" s="7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 spans="1:52" x14ac:dyDescent="0.25">
      <c r="A335" s="6"/>
      <c r="B335" s="6"/>
      <c r="C335" s="6"/>
      <c r="D335" s="6"/>
      <c r="E335" s="6"/>
      <c r="F335" s="6"/>
      <c r="G335" s="7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 spans="1:52" x14ac:dyDescent="0.25">
      <c r="A336" s="6"/>
      <c r="B336" s="6"/>
      <c r="C336" s="6"/>
      <c r="D336" s="6"/>
      <c r="E336" s="6"/>
      <c r="F336" s="6"/>
      <c r="G336" s="7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 spans="1:52" x14ac:dyDescent="0.25">
      <c r="A337" s="6"/>
      <c r="B337" s="6"/>
      <c r="C337" s="6"/>
      <c r="D337" s="6"/>
      <c r="E337" s="6"/>
      <c r="F337" s="6"/>
      <c r="G337" s="7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 spans="1:52" x14ac:dyDescent="0.25">
      <c r="A338" s="6"/>
      <c r="B338" s="6"/>
      <c r="C338" s="6"/>
      <c r="D338" s="6"/>
      <c r="E338" s="6"/>
      <c r="F338" s="6"/>
      <c r="G338" s="7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 spans="1:52" x14ac:dyDescent="0.25">
      <c r="A339" s="6"/>
      <c r="B339" s="6"/>
      <c r="C339" s="6"/>
      <c r="D339" s="6"/>
      <c r="E339" s="6"/>
      <c r="F339" s="6"/>
      <c r="G339" s="7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 spans="1:52" x14ac:dyDescent="0.25">
      <c r="A340" s="6"/>
      <c r="B340" s="6"/>
      <c r="C340" s="6"/>
      <c r="D340" s="6"/>
      <c r="E340" s="6"/>
      <c r="F340" s="6"/>
      <c r="G340" s="7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 spans="1:52" x14ac:dyDescent="0.25">
      <c r="A341" s="6"/>
      <c r="B341" s="6"/>
      <c r="C341" s="6"/>
      <c r="D341" s="6"/>
      <c r="E341" s="6"/>
      <c r="F341" s="6"/>
      <c r="G341" s="7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 spans="1:52" x14ac:dyDescent="0.25">
      <c r="A342" s="6"/>
      <c r="B342" s="6"/>
      <c r="C342" s="6"/>
      <c r="D342" s="6"/>
      <c r="E342" s="6"/>
      <c r="F342" s="6"/>
      <c r="G342" s="7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 spans="1:52" x14ac:dyDescent="0.25">
      <c r="A343" s="6"/>
      <c r="B343" s="6"/>
      <c r="C343" s="6"/>
      <c r="D343" s="6"/>
      <c r="E343" s="6"/>
      <c r="F343" s="6"/>
      <c r="G343" s="7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 spans="1:52" x14ac:dyDescent="0.25">
      <c r="A344" s="6"/>
      <c r="B344" s="6"/>
      <c r="C344" s="6"/>
      <c r="D344" s="6"/>
      <c r="E344" s="6"/>
      <c r="F344" s="6"/>
      <c r="G344" s="7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 spans="1:52" x14ac:dyDescent="0.25">
      <c r="A345" s="6"/>
      <c r="B345" s="6"/>
      <c r="C345" s="6"/>
      <c r="D345" s="6"/>
      <c r="E345" s="6"/>
      <c r="F345" s="6"/>
      <c r="G345" s="7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 spans="1:52" x14ac:dyDescent="0.25">
      <c r="A346" s="6"/>
      <c r="B346" s="6"/>
      <c r="C346" s="6"/>
      <c r="D346" s="6"/>
      <c r="E346" s="6"/>
      <c r="F346" s="6"/>
      <c r="G346" s="7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 spans="1:52" x14ac:dyDescent="0.25">
      <c r="A347" s="6"/>
      <c r="B347" s="6"/>
      <c r="C347" s="6"/>
      <c r="D347" s="6"/>
      <c r="E347" s="6"/>
      <c r="F347" s="6"/>
      <c r="G347" s="7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 spans="1:52" x14ac:dyDescent="0.25">
      <c r="A348" s="6"/>
      <c r="B348" s="6"/>
      <c r="C348" s="6"/>
      <c r="D348" s="6"/>
      <c r="E348" s="6"/>
      <c r="F348" s="6"/>
      <c r="G348" s="7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 spans="1:52" x14ac:dyDescent="0.25">
      <c r="A349" s="6"/>
      <c r="B349" s="6"/>
      <c r="C349" s="6"/>
      <c r="D349" s="6"/>
      <c r="E349" s="6"/>
      <c r="F349" s="6"/>
      <c r="G349" s="7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 spans="1:52" x14ac:dyDescent="0.25">
      <c r="A350" s="6"/>
      <c r="B350" s="6"/>
      <c r="C350" s="6"/>
      <c r="D350" s="6"/>
      <c r="E350" s="6"/>
      <c r="F350" s="6"/>
      <c r="G350" s="7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 spans="1:52" x14ac:dyDescent="0.25">
      <c r="A351" s="6"/>
      <c r="B351" s="6"/>
      <c r="C351" s="6"/>
      <c r="D351" s="6"/>
      <c r="E351" s="6"/>
      <c r="F351" s="6"/>
      <c r="G351" s="7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 spans="1:52" x14ac:dyDescent="0.25">
      <c r="A352" s="6"/>
      <c r="B352" s="6"/>
      <c r="C352" s="6"/>
      <c r="D352" s="6"/>
      <c r="E352" s="6"/>
      <c r="F352" s="6"/>
      <c r="G352" s="7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 spans="1:52" x14ac:dyDescent="0.25">
      <c r="A353" s="6"/>
      <c r="B353" s="6"/>
      <c r="C353" s="6"/>
      <c r="D353" s="6"/>
      <c r="E353" s="6"/>
      <c r="F353" s="6"/>
      <c r="G353" s="7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 spans="1:52" x14ac:dyDescent="0.25">
      <c r="A354" s="6"/>
      <c r="B354" s="6"/>
      <c r="C354" s="6"/>
      <c r="D354" s="6"/>
      <c r="E354" s="6"/>
      <c r="F354" s="6"/>
      <c r="G354" s="7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 spans="1:52" x14ac:dyDescent="0.25">
      <c r="A355" s="6"/>
      <c r="B355" s="6"/>
      <c r="C355" s="6"/>
      <c r="D355" s="6"/>
      <c r="E355" s="6"/>
      <c r="F355" s="6"/>
      <c r="G355" s="7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 spans="1:52" x14ac:dyDescent="0.25">
      <c r="A356" s="6"/>
      <c r="B356" s="6"/>
      <c r="C356" s="6"/>
      <c r="D356" s="6"/>
      <c r="E356" s="6"/>
      <c r="F356" s="6"/>
      <c r="G356" s="7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 spans="1:52" x14ac:dyDescent="0.25">
      <c r="A357" s="6"/>
      <c r="B357" s="6"/>
      <c r="C357" s="6"/>
      <c r="D357" s="6"/>
      <c r="E357" s="6"/>
      <c r="F357" s="6"/>
      <c r="G357" s="7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 spans="1:52" x14ac:dyDescent="0.25">
      <c r="A358" s="6"/>
      <c r="B358" s="6"/>
      <c r="C358" s="6"/>
      <c r="D358" s="6"/>
      <c r="E358" s="6"/>
      <c r="F358" s="6"/>
      <c r="G358" s="7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 spans="1:52" x14ac:dyDescent="0.25">
      <c r="A359" s="6"/>
      <c r="B359" s="6"/>
      <c r="C359" s="6"/>
      <c r="D359" s="6"/>
      <c r="E359" s="6"/>
      <c r="F359" s="6"/>
      <c r="G359" s="7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 spans="1:52" x14ac:dyDescent="0.25">
      <c r="A360" s="6"/>
      <c r="B360" s="6"/>
      <c r="C360" s="6"/>
      <c r="D360" s="6"/>
      <c r="E360" s="6"/>
      <c r="F360" s="6"/>
      <c r="G360" s="7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 spans="1:52" x14ac:dyDescent="0.25">
      <c r="A361" s="6"/>
      <c r="B361" s="6"/>
      <c r="C361" s="6"/>
      <c r="D361" s="6"/>
      <c r="E361" s="6"/>
      <c r="F361" s="6"/>
      <c r="G361" s="7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 spans="1:52" x14ac:dyDescent="0.25">
      <c r="A362" s="6"/>
      <c r="B362" s="6"/>
      <c r="C362" s="6"/>
      <c r="D362" s="6"/>
      <c r="E362" s="6"/>
      <c r="F362" s="6"/>
      <c r="G362" s="7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 spans="1:52" x14ac:dyDescent="0.25">
      <c r="A363" s="6"/>
      <c r="B363" s="6"/>
      <c r="C363" s="6"/>
      <c r="D363" s="6"/>
      <c r="E363" s="6"/>
      <c r="F363" s="6"/>
      <c r="G363" s="7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 spans="1:52" x14ac:dyDescent="0.25">
      <c r="A364" s="6"/>
      <c r="B364" s="6"/>
      <c r="C364" s="6"/>
      <c r="D364" s="6"/>
      <c r="E364" s="6"/>
      <c r="F364" s="6"/>
      <c r="G364" s="7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 spans="1:52" x14ac:dyDescent="0.25">
      <c r="A365" s="6"/>
      <c r="B365" s="6"/>
      <c r="C365" s="6"/>
      <c r="D365" s="6"/>
      <c r="E365" s="6"/>
      <c r="F365" s="6"/>
      <c r="G365" s="7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 spans="1:52" x14ac:dyDescent="0.25">
      <c r="A366" s="6"/>
      <c r="B366" s="6"/>
      <c r="C366" s="6"/>
      <c r="D366" s="6"/>
      <c r="E366" s="6"/>
      <c r="F366" s="6"/>
      <c r="G366" s="7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 spans="1:52" x14ac:dyDescent="0.25">
      <c r="A367" s="6"/>
      <c r="B367" s="6"/>
      <c r="C367" s="6"/>
      <c r="D367" s="6"/>
      <c r="E367" s="6"/>
      <c r="F367" s="6"/>
      <c r="G367" s="7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 spans="1:52" x14ac:dyDescent="0.25">
      <c r="A368" s="6"/>
      <c r="B368" s="6"/>
      <c r="C368" s="6"/>
      <c r="D368" s="6"/>
      <c r="E368" s="6"/>
      <c r="F368" s="6"/>
      <c r="G368" s="7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 spans="1:52" x14ac:dyDescent="0.25">
      <c r="A369" s="6"/>
      <c r="B369" s="6"/>
      <c r="C369" s="6"/>
      <c r="D369" s="6"/>
      <c r="E369" s="6"/>
      <c r="F369" s="6"/>
      <c r="G369" s="7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 spans="1:52" x14ac:dyDescent="0.25">
      <c r="A370" s="6"/>
      <c r="B370" s="6"/>
      <c r="C370" s="6"/>
      <c r="D370" s="6"/>
      <c r="E370" s="6"/>
      <c r="F370" s="6"/>
      <c r="G370" s="7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 spans="1:52" x14ac:dyDescent="0.25">
      <c r="A371" s="6"/>
      <c r="B371" s="6"/>
      <c r="C371" s="6"/>
      <c r="D371" s="6"/>
      <c r="E371" s="6"/>
      <c r="F371" s="6"/>
      <c r="G371" s="7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 spans="1:52" x14ac:dyDescent="0.25">
      <c r="A372" s="6"/>
      <c r="B372" s="6"/>
      <c r="C372" s="6"/>
      <c r="D372" s="6"/>
      <c r="E372" s="6"/>
      <c r="F372" s="6"/>
      <c r="G372" s="7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 spans="1:52" x14ac:dyDescent="0.25">
      <c r="A373" s="6"/>
      <c r="B373" s="6"/>
      <c r="C373" s="6"/>
      <c r="D373" s="6"/>
      <c r="E373" s="6"/>
      <c r="F373" s="6"/>
      <c r="G373" s="7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 spans="1:52" x14ac:dyDescent="0.25">
      <c r="A374" s="6"/>
      <c r="B374" s="6"/>
      <c r="C374" s="6"/>
      <c r="D374" s="6"/>
      <c r="E374" s="6"/>
      <c r="F374" s="6"/>
      <c r="G374" s="7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 spans="1:52" x14ac:dyDescent="0.25">
      <c r="A375" s="6"/>
      <c r="B375" s="6"/>
      <c r="C375" s="6"/>
      <c r="D375" s="6"/>
      <c r="E375" s="6"/>
      <c r="F375" s="6"/>
      <c r="G375" s="7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 spans="1:52" x14ac:dyDescent="0.25">
      <c r="A376" s="6"/>
      <c r="B376" s="6"/>
      <c r="C376" s="6"/>
      <c r="D376" s="6"/>
      <c r="E376" s="6"/>
      <c r="F376" s="6"/>
      <c r="G376" s="7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 spans="1:52" x14ac:dyDescent="0.25">
      <c r="A377" s="6"/>
      <c r="B377" s="6"/>
      <c r="C377" s="6"/>
      <c r="D377" s="6"/>
      <c r="E377" s="6"/>
      <c r="F377" s="6"/>
      <c r="G377" s="7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 spans="1:52" x14ac:dyDescent="0.25">
      <c r="A378" s="6"/>
      <c r="B378" s="6"/>
      <c r="C378" s="6"/>
      <c r="D378" s="6"/>
      <c r="E378" s="6"/>
      <c r="F378" s="6"/>
      <c r="G378" s="7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 spans="1:52" x14ac:dyDescent="0.25">
      <c r="A379" s="6"/>
      <c r="B379" s="6"/>
      <c r="C379" s="6"/>
      <c r="D379" s="6"/>
      <c r="E379" s="6"/>
      <c r="F379" s="6"/>
      <c r="G379" s="7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 spans="1:52" x14ac:dyDescent="0.25">
      <c r="A380" s="6"/>
      <c r="B380" s="6"/>
      <c r="C380" s="6"/>
      <c r="D380" s="6"/>
      <c r="E380" s="6"/>
      <c r="F380" s="6"/>
      <c r="G380" s="7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 spans="1:52" x14ac:dyDescent="0.25">
      <c r="A381" s="6"/>
      <c r="B381" s="6"/>
      <c r="C381" s="6"/>
      <c r="D381" s="6"/>
      <c r="E381" s="6"/>
      <c r="F381" s="6"/>
      <c r="G381" s="7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 spans="1:52" x14ac:dyDescent="0.25">
      <c r="A382" s="6"/>
      <c r="B382" s="6"/>
      <c r="C382" s="6"/>
      <c r="D382" s="6"/>
      <c r="E382" s="6"/>
      <c r="F382" s="6"/>
      <c r="G382" s="7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 spans="1:52" x14ac:dyDescent="0.25">
      <c r="A383" s="6"/>
      <c r="B383" s="6"/>
      <c r="C383" s="6"/>
      <c r="D383" s="6"/>
      <c r="E383" s="6"/>
      <c r="F383" s="6"/>
      <c r="G383" s="7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 spans="1:52" x14ac:dyDescent="0.25">
      <c r="A384" s="6"/>
      <c r="B384" s="6"/>
      <c r="C384" s="6"/>
      <c r="D384" s="6"/>
      <c r="E384" s="6"/>
      <c r="F384" s="6"/>
      <c r="G384" s="7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 spans="1:52" x14ac:dyDescent="0.25">
      <c r="A385" s="6"/>
      <c r="B385" s="6"/>
      <c r="C385" s="6"/>
      <c r="D385" s="6"/>
      <c r="E385" s="6"/>
      <c r="F385" s="6"/>
      <c r="G385" s="7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 spans="1:52" x14ac:dyDescent="0.25">
      <c r="A386" s="6"/>
      <c r="B386" s="6"/>
      <c r="C386" s="6"/>
      <c r="D386" s="6"/>
      <c r="E386" s="6"/>
      <c r="F386" s="6"/>
      <c r="G386" s="7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 spans="1:52" x14ac:dyDescent="0.25">
      <c r="A387" s="6"/>
      <c r="B387" s="6"/>
      <c r="C387" s="6"/>
      <c r="D387" s="6"/>
      <c r="E387" s="6"/>
      <c r="F387" s="6"/>
      <c r="G387" s="7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 spans="1:52" x14ac:dyDescent="0.25">
      <c r="A388" s="6"/>
      <c r="B388" s="6"/>
      <c r="C388" s="6"/>
      <c r="D388" s="6"/>
      <c r="E388" s="6"/>
      <c r="F388" s="6"/>
      <c r="G388" s="7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 spans="1:52" x14ac:dyDescent="0.25">
      <c r="A389" s="6"/>
      <c r="B389" s="6"/>
      <c r="C389" s="6"/>
      <c r="D389" s="6"/>
      <c r="E389" s="6"/>
      <c r="F389" s="6"/>
      <c r="G389" s="7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 spans="1:52" x14ac:dyDescent="0.25">
      <c r="A390" s="6"/>
      <c r="B390" s="6"/>
      <c r="C390" s="6"/>
      <c r="D390" s="6"/>
      <c r="E390" s="6"/>
      <c r="F390" s="6"/>
      <c r="G390" s="7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 spans="1:52" x14ac:dyDescent="0.25">
      <c r="A391" s="6"/>
      <c r="B391" s="6"/>
      <c r="C391" s="6"/>
      <c r="D391" s="6"/>
      <c r="E391" s="6"/>
      <c r="F391" s="6"/>
      <c r="G391" s="7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 spans="1:52" x14ac:dyDescent="0.25">
      <c r="A392" s="6"/>
      <c r="B392" s="6"/>
      <c r="C392" s="6"/>
      <c r="D392" s="6"/>
      <c r="E392" s="6"/>
      <c r="F392" s="6"/>
      <c r="G392" s="7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 spans="1:52" x14ac:dyDescent="0.25">
      <c r="A393" s="6"/>
      <c r="B393" s="6"/>
      <c r="C393" s="6"/>
      <c r="D393" s="6"/>
      <c r="E393" s="6"/>
      <c r="F393" s="6"/>
      <c r="G393" s="7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 spans="1:52" x14ac:dyDescent="0.25">
      <c r="A394" s="6"/>
      <c r="B394" s="6"/>
      <c r="C394" s="6"/>
      <c r="D394" s="6"/>
      <c r="E394" s="6"/>
      <c r="F394" s="6"/>
      <c r="G394" s="7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 spans="1:52" x14ac:dyDescent="0.25">
      <c r="A395" s="6"/>
      <c r="B395" s="6"/>
      <c r="C395" s="6"/>
      <c r="D395" s="6"/>
      <c r="E395" s="6"/>
      <c r="F395" s="6"/>
      <c r="G395" s="7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 spans="1:52" x14ac:dyDescent="0.25">
      <c r="A396" s="6"/>
      <c r="B396" s="6"/>
      <c r="C396" s="6"/>
      <c r="D396" s="6"/>
      <c r="E396" s="6"/>
      <c r="F396" s="6"/>
      <c r="G396" s="7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 spans="1:52" x14ac:dyDescent="0.25">
      <c r="A397" s="6"/>
      <c r="B397" s="6"/>
      <c r="C397" s="6"/>
      <c r="D397" s="6"/>
      <c r="E397" s="6"/>
      <c r="F397" s="6"/>
      <c r="G397" s="7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 spans="1:52" x14ac:dyDescent="0.25">
      <c r="A398" s="6"/>
      <c r="B398" s="6"/>
      <c r="C398" s="6"/>
      <c r="D398" s="6"/>
      <c r="E398" s="6"/>
      <c r="F398" s="6"/>
      <c r="G398" s="7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 spans="1:52" x14ac:dyDescent="0.25">
      <c r="A399" s="6"/>
      <c r="B399" s="6"/>
      <c r="C399" s="6"/>
      <c r="D399" s="6"/>
      <c r="E399" s="6"/>
      <c r="F399" s="6"/>
      <c r="G399" s="7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 spans="1:52" x14ac:dyDescent="0.25">
      <c r="A400" s="6"/>
      <c r="B400" s="6"/>
      <c r="C400" s="6"/>
      <c r="D400" s="6"/>
      <c r="E400" s="6"/>
      <c r="F400" s="6"/>
      <c r="G400" s="7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 spans="1:52" x14ac:dyDescent="0.25">
      <c r="A401" s="6"/>
      <c r="B401" s="6"/>
      <c r="C401" s="6"/>
      <c r="D401" s="6"/>
      <c r="E401" s="6"/>
      <c r="F401" s="6"/>
      <c r="G401" s="7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 spans="1:52" x14ac:dyDescent="0.25">
      <c r="A402" s="6"/>
      <c r="B402" s="6"/>
      <c r="C402" s="6"/>
      <c r="D402" s="6"/>
      <c r="E402" s="6"/>
      <c r="F402" s="6"/>
      <c r="G402" s="7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 spans="1:52" x14ac:dyDescent="0.25">
      <c r="A403" s="6"/>
      <c r="B403" s="6"/>
      <c r="C403" s="6"/>
      <c r="D403" s="6"/>
      <c r="E403" s="6"/>
      <c r="F403" s="6"/>
      <c r="G403" s="7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 spans="1:52" x14ac:dyDescent="0.25">
      <c r="A404" s="6"/>
      <c r="B404" s="6"/>
      <c r="C404" s="6"/>
      <c r="D404" s="6"/>
      <c r="E404" s="6"/>
      <c r="F404" s="6"/>
      <c r="G404" s="7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 spans="1:52" x14ac:dyDescent="0.25">
      <c r="A405" s="6"/>
      <c r="B405" s="6"/>
      <c r="C405" s="6"/>
      <c r="D405" s="6"/>
      <c r="E405" s="6"/>
      <c r="F405" s="6"/>
      <c r="G405" s="7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 spans="1:52" x14ac:dyDescent="0.25">
      <c r="A406" s="6"/>
      <c r="B406" s="6"/>
      <c r="C406" s="6"/>
      <c r="D406" s="6"/>
      <c r="E406" s="6"/>
      <c r="F406" s="6"/>
      <c r="G406" s="7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 spans="1:52" x14ac:dyDescent="0.25">
      <c r="A407" s="6"/>
      <c r="B407" s="6"/>
      <c r="C407" s="6"/>
      <c r="D407" s="6"/>
      <c r="E407" s="6"/>
      <c r="F407" s="6"/>
      <c r="G407" s="7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 spans="1:52" x14ac:dyDescent="0.25">
      <c r="A408" s="6"/>
      <c r="B408" s="6"/>
      <c r="C408" s="6"/>
      <c r="D408" s="6"/>
      <c r="E408" s="6"/>
      <c r="F408" s="6"/>
      <c r="G408" s="7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 spans="1:52" x14ac:dyDescent="0.25">
      <c r="A409" s="6"/>
      <c r="B409" s="6"/>
      <c r="C409" s="6"/>
      <c r="D409" s="6"/>
      <c r="E409" s="6"/>
      <c r="F409" s="6"/>
      <c r="G409" s="7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 spans="1:52" x14ac:dyDescent="0.25">
      <c r="A410" s="6"/>
      <c r="B410" s="6"/>
      <c r="C410" s="6"/>
      <c r="D410" s="6"/>
      <c r="E410" s="6"/>
      <c r="F410" s="6"/>
      <c r="G410" s="7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 spans="1:52" x14ac:dyDescent="0.25">
      <c r="A411" s="6"/>
      <c r="B411" s="6"/>
      <c r="C411" s="6"/>
      <c r="D411" s="6"/>
      <c r="E411" s="6"/>
      <c r="F411" s="6"/>
      <c r="G411" s="7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 spans="1:52" x14ac:dyDescent="0.25">
      <c r="A412" s="6"/>
      <c r="B412" s="6"/>
      <c r="C412" s="6"/>
      <c r="D412" s="6"/>
      <c r="E412" s="6"/>
      <c r="F412" s="6"/>
      <c r="G412" s="7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 spans="1:52" x14ac:dyDescent="0.25">
      <c r="A413" s="6"/>
      <c r="B413" s="6"/>
      <c r="C413" s="6"/>
      <c r="D413" s="6"/>
      <c r="E413" s="6"/>
      <c r="F413" s="6"/>
      <c r="G413" s="7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 spans="1:52" x14ac:dyDescent="0.25">
      <c r="A414" s="6"/>
      <c r="B414" s="6"/>
      <c r="C414" s="6"/>
      <c r="D414" s="6"/>
      <c r="E414" s="6"/>
      <c r="F414" s="6"/>
      <c r="G414" s="7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 spans="1:52" x14ac:dyDescent="0.25">
      <c r="A415" s="6"/>
      <c r="B415" s="6"/>
      <c r="C415" s="6"/>
      <c r="D415" s="6"/>
      <c r="E415" s="6"/>
      <c r="F415" s="6"/>
      <c r="G415" s="7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 spans="1:52" x14ac:dyDescent="0.25">
      <c r="A416" s="6"/>
      <c r="B416" s="6"/>
      <c r="C416" s="6"/>
      <c r="D416" s="6"/>
      <c r="E416" s="6"/>
      <c r="F416" s="6"/>
      <c r="G416" s="7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 spans="1:52" x14ac:dyDescent="0.25">
      <c r="A417" s="6"/>
      <c r="B417" s="6"/>
      <c r="C417" s="6"/>
      <c r="D417" s="6"/>
      <c r="E417" s="6"/>
      <c r="F417" s="6"/>
      <c r="G417" s="7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 spans="1:52" x14ac:dyDescent="0.25">
      <c r="A418" s="6"/>
      <c r="B418" s="6"/>
      <c r="C418" s="6"/>
      <c r="D418" s="6"/>
      <c r="E418" s="6"/>
      <c r="F418" s="6"/>
      <c r="G418" s="7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 spans="1:52" x14ac:dyDescent="0.25">
      <c r="A419" s="6"/>
      <c r="B419" s="6"/>
      <c r="C419" s="6"/>
      <c r="D419" s="6"/>
      <c r="E419" s="6"/>
      <c r="F419" s="6"/>
      <c r="G419" s="7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 spans="1:52" x14ac:dyDescent="0.25">
      <c r="A420" s="6"/>
      <c r="B420" s="6"/>
      <c r="C420" s="6"/>
      <c r="D420" s="6"/>
      <c r="E420" s="6"/>
      <c r="F420" s="6"/>
      <c r="G420" s="7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 spans="1:52" x14ac:dyDescent="0.25">
      <c r="A421" s="6"/>
      <c r="B421" s="6"/>
      <c r="C421" s="6"/>
      <c r="D421" s="6"/>
      <c r="E421" s="6"/>
      <c r="F421" s="6"/>
      <c r="G421" s="7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 spans="1:52" x14ac:dyDescent="0.25">
      <c r="A422" s="6"/>
      <c r="B422" s="6"/>
      <c r="C422" s="6"/>
      <c r="D422" s="6"/>
      <c r="E422" s="6"/>
      <c r="F422" s="6"/>
      <c r="G422" s="7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 spans="1:52" x14ac:dyDescent="0.25">
      <c r="A423" s="6"/>
      <c r="B423" s="6"/>
      <c r="C423" s="6"/>
      <c r="D423" s="6"/>
      <c r="E423" s="6"/>
      <c r="F423" s="6"/>
      <c r="G423" s="7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 spans="1:52" x14ac:dyDescent="0.25">
      <c r="A424" s="6"/>
      <c r="B424" s="6"/>
      <c r="C424" s="6"/>
      <c r="D424" s="6"/>
      <c r="E424" s="6"/>
      <c r="F424" s="6"/>
      <c r="G424" s="7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 spans="1:52" x14ac:dyDescent="0.25">
      <c r="A425" s="6"/>
      <c r="B425" s="6"/>
      <c r="C425" s="6"/>
      <c r="D425" s="6"/>
      <c r="E425" s="6"/>
      <c r="F425" s="6"/>
      <c r="G425" s="7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 spans="1:52" x14ac:dyDescent="0.25">
      <c r="A426" s="6"/>
      <c r="B426" s="6"/>
      <c r="C426" s="6"/>
      <c r="D426" s="6"/>
      <c r="E426" s="6"/>
      <c r="F426" s="6"/>
      <c r="G426" s="7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 spans="1:52" x14ac:dyDescent="0.25">
      <c r="A427" s="6"/>
      <c r="B427" s="6"/>
      <c r="C427" s="6"/>
      <c r="D427" s="6"/>
      <c r="E427" s="6"/>
      <c r="F427" s="6"/>
      <c r="G427" s="7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 spans="1:52" x14ac:dyDescent="0.25">
      <c r="A428" s="6"/>
      <c r="B428" s="6"/>
      <c r="C428" s="6"/>
      <c r="D428" s="6"/>
      <c r="E428" s="6"/>
      <c r="F428" s="6"/>
      <c r="G428" s="7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 spans="1:52" x14ac:dyDescent="0.25">
      <c r="A429" s="6"/>
      <c r="B429" s="6"/>
      <c r="C429" s="6"/>
      <c r="D429" s="6"/>
      <c r="E429" s="6"/>
      <c r="F429" s="6"/>
      <c r="G429" s="7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 spans="1:52" x14ac:dyDescent="0.25">
      <c r="A430" s="6"/>
      <c r="B430" s="6"/>
      <c r="C430" s="6"/>
      <c r="D430" s="6"/>
      <c r="E430" s="6"/>
      <c r="F430" s="6"/>
      <c r="G430" s="7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 spans="1:52" x14ac:dyDescent="0.25">
      <c r="A431" s="6"/>
      <c r="B431" s="6"/>
      <c r="C431" s="6"/>
      <c r="D431" s="6"/>
      <c r="E431" s="6"/>
      <c r="F431" s="6"/>
      <c r="G431" s="7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 spans="1:52" x14ac:dyDescent="0.25">
      <c r="A432" s="6"/>
      <c r="B432" s="6"/>
      <c r="C432" s="6"/>
      <c r="D432" s="6"/>
      <c r="E432" s="6"/>
      <c r="F432" s="6"/>
      <c r="G432" s="7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 spans="1:52" x14ac:dyDescent="0.25">
      <c r="A433" s="6"/>
      <c r="B433" s="6"/>
      <c r="C433" s="6"/>
      <c r="D433" s="6"/>
      <c r="E433" s="6"/>
      <c r="F433" s="6"/>
      <c r="G433" s="7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 spans="1:52" x14ac:dyDescent="0.25">
      <c r="A434" s="6"/>
      <c r="B434" s="6"/>
      <c r="C434" s="6"/>
      <c r="D434" s="6"/>
      <c r="E434" s="6"/>
      <c r="F434" s="6"/>
      <c r="G434" s="7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 spans="1:52" x14ac:dyDescent="0.25">
      <c r="A435" s="6"/>
      <c r="B435" s="6"/>
      <c r="C435" s="6"/>
      <c r="D435" s="6"/>
      <c r="E435" s="6"/>
      <c r="F435" s="6"/>
      <c r="G435" s="7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 spans="1:52" x14ac:dyDescent="0.25">
      <c r="A436" s="6"/>
      <c r="B436" s="6"/>
      <c r="C436" s="6"/>
      <c r="D436" s="6"/>
      <c r="E436" s="6"/>
      <c r="F436" s="6"/>
      <c r="G436" s="7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 spans="1:52" x14ac:dyDescent="0.25">
      <c r="A437" s="6"/>
      <c r="B437" s="6"/>
      <c r="C437" s="6"/>
      <c r="D437" s="6"/>
      <c r="E437" s="6"/>
      <c r="F437" s="6"/>
      <c r="G437" s="7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 spans="1:52" x14ac:dyDescent="0.25">
      <c r="A438" s="6"/>
      <c r="B438" s="6"/>
      <c r="C438" s="6"/>
      <c r="D438" s="6"/>
      <c r="E438" s="6"/>
      <c r="F438" s="6"/>
      <c r="G438" s="7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 spans="1:52" x14ac:dyDescent="0.25">
      <c r="A439" s="6"/>
      <c r="B439" s="6"/>
      <c r="C439" s="6"/>
      <c r="D439" s="6"/>
      <c r="E439" s="6"/>
      <c r="F439" s="6"/>
      <c r="G439" s="7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 spans="1:52" x14ac:dyDescent="0.25">
      <c r="A440" s="6"/>
      <c r="B440" s="6"/>
      <c r="C440" s="6"/>
      <c r="D440" s="6"/>
      <c r="E440" s="6"/>
      <c r="F440" s="6"/>
      <c r="G440" s="7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 spans="1:52" x14ac:dyDescent="0.25">
      <c r="A441" s="6"/>
      <c r="B441" s="6"/>
      <c r="C441" s="6"/>
      <c r="D441" s="6"/>
      <c r="E441" s="6"/>
      <c r="F441" s="6"/>
      <c r="G441" s="7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 spans="1:52" x14ac:dyDescent="0.25">
      <c r="A442" s="6"/>
      <c r="B442" s="6"/>
      <c r="C442" s="6"/>
      <c r="D442" s="6"/>
      <c r="E442" s="6"/>
      <c r="F442" s="6"/>
      <c r="G442" s="7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 spans="1:52" x14ac:dyDescent="0.25">
      <c r="A443" s="6"/>
      <c r="B443" s="6"/>
      <c r="C443" s="6"/>
      <c r="D443" s="6"/>
      <c r="E443" s="6"/>
      <c r="F443" s="6"/>
      <c r="G443" s="7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 spans="1:52" x14ac:dyDescent="0.25">
      <c r="A444" s="6"/>
      <c r="B444" s="6"/>
      <c r="C444" s="6"/>
      <c r="D444" s="6"/>
      <c r="E444" s="6"/>
      <c r="F444" s="6"/>
      <c r="G444" s="7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 spans="1:52" x14ac:dyDescent="0.25">
      <c r="A445" s="6"/>
      <c r="B445" s="6"/>
      <c r="C445" s="6"/>
      <c r="D445" s="6"/>
      <c r="E445" s="6"/>
      <c r="F445" s="6"/>
      <c r="G445" s="7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 spans="1:52" x14ac:dyDescent="0.25">
      <c r="A446" s="6"/>
      <c r="B446" s="6"/>
      <c r="C446" s="6"/>
      <c r="D446" s="6"/>
      <c r="E446" s="6"/>
      <c r="F446" s="6"/>
      <c r="G446" s="7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 spans="1:52" x14ac:dyDescent="0.25">
      <c r="A447" s="6"/>
      <c r="B447" s="6"/>
      <c r="C447" s="6"/>
      <c r="D447" s="6"/>
      <c r="E447" s="6"/>
      <c r="F447" s="6"/>
      <c r="G447" s="7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 spans="1:52" x14ac:dyDescent="0.25">
      <c r="A448" s="6"/>
      <c r="B448" s="6"/>
      <c r="C448" s="6"/>
      <c r="D448" s="6"/>
      <c r="E448" s="6"/>
      <c r="F448" s="6"/>
      <c r="G448" s="7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 spans="1:52" x14ac:dyDescent="0.25">
      <c r="A449" s="6"/>
      <c r="B449" s="6"/>
      <c r="C449" s="6"/>
      <c r="D449" s="6"/>
      <c r="E449" s="6"/>
      <c r="F449" s="6"/>
      <c r="G449" s="7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 spans="1:52" x14ac:dyDescent="0.25">
      <c r="A450" s="6"/>
      <c r="B450" s="6"/>
      <c r="C450" s="6"/>
      <c r="D450" s="6"/>
      <c r="E450" s="6"/>
      <c r="F450" s="6"/>
      <c r="G450" s="7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 spans="1:52" x14ac:dyDescent="0.25">
      <c r="A451" s="6"/>
      <c r="B451" s="6"/>
      <c r="C451" s="6"/>
      <c r="D451" s="6"/>
      <c r="E451" s="6"/>
      <c r="F451" s="6"/>
      <c r="G451" s="7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 spans="1:52" x14ac:dyDescent="0.25">
      <c r="A452" s="6"/>
      <c r="B452" s="6"/>
      <c r="C452" s="6"/>
      <c r="D452" s="6"/>
      <c r="E452" s="6"/>
      <c r="F452" s="6"/>
      <c r="G452" s="7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 spans="1:52" x14ac:dyDescent="0.25">
      <c r="A453" s="6"/>
      <c r="B453" s="6"/>
      <c r="C453" s="6"/>
      <c r="D453" s="6"/>
      <c r="E453" s="6"/>
      <c r="F453" s="6"/>
      <c r="G453" s="7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 spans="1:52" x14ac:dyDescent="0.25">
      <c r="A454" s="6"/>
      <c r="B454" s="6"/>
      <c r="C454" s="6"/>
      <c r="D454" s="6"/>
      <c r="E454" s="6"/>
      <c r="F454" s="6"/>
      <c r="G454" s="7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 spans="1:52" x14ac:dyDescent="0.25">
      <c r="A455" s="6"/>
      <c r="B455" s="6"/>
      <c r="C455" s="6"/>
      <c r="D455" s="6"/>
      <c r="E455" s="6"/>
      <c r="F455" s="6"/>
      <c r="G455" s="7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 spans="1:52" x14ac:dyDescent="0.25">
      <c r="A456" s="6"/>
      <c r="B456" s="6"/>
      <c r="C456" s="6"/>
      <c r="D456" s="6"/>
      <c r="E456" s="6"/>
      <c r="F456" s="6"/>
      <c r="G456" s="7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 spans="1:52" x14ac:dyDescent="0.25">
      <c r="A457" s="6"/>
      <c r="B457" s="6"/>
      <c r="C457" s="6"/>
      <c r="D457" s="6"/>
      <c r="E457" s="6"/>
      <c r="F457" s="6"/>
      <c r="G457" s="7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 spans="1:52" x14ac:dyDescent="0.25">
      <c r="A458" s="6"/>
      <c r="B458" s="6"/>
      <c r="C458" s="6"/>
      <c r="D458" s="6"/>
      <c r="E458" s="6"/>
      <c r="F458" s="6"/>
      <c r="G458" s="7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 spans="1:52" x14ac:dyDescent="0.25">
      <c r="A459" s="6"/>
      <c r="B459" s="6"/>
      <c r="C459" s="6"/>
      <c r="D459" s="6"/>
      <c r="E459" s="6"/>
      <c r="F459" s="6"/>
      <c r="G459" s="7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 spans="1:52" x14ac:dyDescent="0.25">
      <c r="A460" s="6"/>
      <c r="B460" s="6"/>
      <c r="C460" s="6"/>
      <c r="D460" s="6"/>
      <c r="E460" s="6"/>
      <c r="F460" s="6"/>
      <c r="G460" s="7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 spans="1:52" x14ac:dyDescent="0.25">
      <c r="A461" s="6"/>
      <c r="B461" s="6"/>
      <c r="C461" s="6"/>
      <c r="D461" s="6"/>
      <c r="E461" s="6"/>
      <c r="F461" s="6"/>
      <c r="G461" s="7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 spans="1:52" x14ac:dyDescent="0.25">
      <c r="A462" s="6"/>
      <c r="B462" s="6"/>
      <c r="C462" s="6"/>
      <c r="D462" s="6"/>
      <c r="E462" s="6"/>
      <c r="F462" s="6"/>
      <c r="G462" s="7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 spans="1:52" x14ac:dyDescent="0.25">
      <c r="A463" s="6"/>
      <c r="B463" s="6"/>
      <c r="C463" s="6"/>
      <c r="D463" s="6"/>
      <c r="E463" s="6"/>
      <c r="F463" s="6"/>
      <c r="G463" s="7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 spans="1:52" x14ac:dyDescent="0.25">
      <c r="A464" s="6"/>
      <c r="B464" s="6"/>
      <c r="C464" s="6"/>
      <c r="D464" s="6"/>
      <c r="E464" s="6"/>
      <c r="F464" s="6"/>
      <c r="G464" s="7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 spans="1:52" x14ac:dyDescent="0.25">
      <c r="A465" s="6"/>
      <c r="B465" s="6"/>
      <c r="C465" s="6"/>
      <c r="D465" s="6"/>
      <c r="E465" s="6"/>
      <c r="F465" s="6"/>
      <c r="G465" s="7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 spans="1:52" x14ac:dyDescent="0.25">
      <c r="A466" s="6"/>
      <c r="B466" s="6"/>
      <c r="C466" s="6"/>
      <c r="D466" s="6"/>
      <c r="E466" s="6"/>
      <c r="F466" s="6"/>
      <c r="G466" s="7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 spans="1:52" x14ac:dyDescent="0.25">
      <c r="A467" s="6"/>
      <c r="B467" s="6"/>
      <c r="C467" s="6"/>
      <c r="D467" s="6"/>
      <c r="E467" s="6"/>
      <c r="F467" s="6"/>
      <c r="G467" s="7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 spans="1:52" x14ac:dyDescent="0.25">
      <c r="A468" s="6"/>
      <c r="B468" s="6"/>
      <c r="C468" s="6"/>
      <c r="D468" s="6"/>
      <c r="E468" s="6"/>
      <c r="F468" s="6"/>
      <c r="G468" s="7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 spans="1:52" x14ac:dyDescent="0.25">
      <c r="A469" s="6"/>
      <c r="B469" s="6"/>
      <c r="C469" s="6"/>
      <c r="D469" s="6"/>
      <c r="E469" s="6"/>
      <c r="F469" s="6"/>
      <c r="G469" s="7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 spans="1:52" x14ac:dyDescent="0.25">
      <c r="A470" s="6"/>
      <c r="B470" s="6"/>
      <c r="C470" s="6"/>
      <c r="D470" s="6"/>
      <c r="E470" s="6"/>
      <c r="F470" s="6"/>
      <c r="G470" s="7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 spans="1:52" x14ac:dyDescent="0.25">
      <c r="A471" s="6"/>
      <c r="B471" s="6"/>
      <c r="C471" s="6"/>
      <c r="D471" s="6"/>
      <c r="E471" s="6"/>
      <c r="F471" s="6"/>
      <c r="G471" s="7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 spans="1:52" x14ac:dyDescent="0.25">
      <c r="A472" s="6"/>
      <c r="B472" s="6"/>
      <c r="C472" s="6"/>
      <c r="D472" s="6"/>
      <c r="E472" s="6"/>
      <c r="F472" s="6"/>
      <c r="G472" s="7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 spans="1:52" x14ac:dyDescent="0.25">
      <c r="A473" s="6"/>
      <c r="B473" s="6"/>
      <c r="C473" s="6"/>
      <c r="D473" s="6"/>
      <c r="E473" s="6"/>
      <c r="F473" s="6"/>
      <c r="G473" s="7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 spans="1:52" x14ac:dyDescent="0.25">
      <c r="A474" s="6"/>
      <c r="B474" s="6"/>
      <c r="C474" s="6"/>
      <c r="D474" s="6"/>
      <c r="E474" s="6"/>
      <c r="F474" s="6"/>
      <c r="G474" s="7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 spans="1:52" x14ac:dyDescent="0.25">
      <c r="A475" s="6"/>
      <c r="B475" s="6"/>
      <c r="C475" s="6"/>
      <c r="D475" s="6"/>
      <c r="E475" s="6"/>
      <c r="F475" s="6"/>
      <c r="G475" s="7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 spans="1:52" x14ac:dyDescent="0.25">
      <c r="A476" s="6"/>
      <c r="B476" s="6"/>
      <c r="C476" s="6"/>
      <c r="D476" s="6"/>
      <c r="E476" s="6"/>
      <c r="F476" s="6"/>
      <c r="G476" s="7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 spans="1:52" x14ac:dyDescent="0.25">
      <c r="A477" s="6"/>
      <c r="B477" s="6"/>
      <c r="C477" s="6"/>
      <c r="D477" s="6"/>
      <c r="E477" s="6"/>
      <c r="F477" s="6"/>
      <c r="G477" s="7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 spans="1:52" x14ac:dyDescent="0.25">
      <c r="A478" s="6"/>
      <c r="B478" s="6"/>
      <c r="C478" s="6"/>
      <c r="D478" s="6"/>
      <c r="E478" s="6"/>
      <c r="F478" s="6"/>
      <c r="G478" s="7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 spans="1:52" x14ac:dyDescent="0.25">
      <c r="A479" s="6"/>
      <c r="B479" s="6"/>
      <c r="C479" s="6"/>
      <c r="D479" s="6"/>
      <c r="E479" s="6"/>
      <c r="F479" s="6"/>
      <c r="G479" s="7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 spans="1:52" x14ac:dyDescent="0.25">
      <c r="A480" s="6"/>
      <c r="B480" s="6"/>
      <c r="C480" s="6"/>
      <c r="D480" s="6"/>
      <c r="E480" s="6"/>
      <c r="F480" s="6"/>
      <c r="G480" s="7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 spans="1:52" x14ac:dyDescent="0.25">
      <c r="A481" s="6"/>
      <c r="B481" s="6"/>
      <c r="C481" s="6"/>
      <c r="D481" s="6"/>
      <c r="E481" s="6"/>
      <c r="F481" s="6"/>
      <c r="G481" s="7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 spans="1:52" x14ac:dyDescent="0.25">
      <c r="A482" s="6"/>
      <c r="B482" s="6"/>
      <c r="C482" s="6"/>
      <c r="D482" s="6"/>
      <c r="E482" s="6"/>
      <c r="F482" s="6"/>
      <c r="G482" s="7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 spans="1:52" x14ac:dyDescent="0.25">
      <c r="A483" s="6"/>
      <c r="B483" s="6"/>
      <c r="C483" s="6"/>
      <c r="D483" s="6"/>
      <c r="E483" s="6"/>
      <c r="F483" s="6"/>
      <c r="G483" s="7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 spans="1:52" x14ac:dyDescent="0.25">
      <c r="A484" s="6"/>
      <c r="B484" s="6"/>
      <c r="C484" s="6"/>
      <c r="D484" s="6"/>
      <c r="E484" s="6"/>
      <c r="F484" s="6"/>
      <c r="G484" s="7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 spans="1:52" x14ac:dyDescent="0.25">
      <c r="A485" s="6"/>
      <c r="B485" s="6"/>
      <c r="C485" s="6"/>
      <c r="D485" s="6"/>
      <c r="E485" s="6"/>
      <c r="F485" s="6"/>
      <c r="G485" s="7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 spans="1:52" x14ac:dyDescent="0.25">
      <c r="A486" s="6"/>
      <c r="B486" s="6"/>
      <c r="C486" s="6"/>
      <c r="D486" s="6"/>
      <c r="E486" s="6"/>
      <c r="F486" s="6"/>
      <c r="G486" s="7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 spans="1:52" x14ac:dyDescent="0.25">
      <c r="A487" s="6"/>
      <c r="B487" s="6"/>
      <c r="C487" s="6"/>
      <c r="D487" s="6"/>
      <c r="E487" s="6"/>
      <c r="F487" s="6"/>
      <c r="G487" s="7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 spans="1:52" x14ac:dyDescent="0.25">
      <c r="A488" s="6"/>
      <c r="B488" s="6"/>
      <c r="C488" s="6"/>
      <c r="D488" s="6"/>
      <c r="E488" s="6"/>
      <c r="F488" s="6"/>
      <c r="G488" s="7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 spans="1:52" x14ac:dyDescent="0.25">
      <c r="A489" s="6"/>
      <c r="B489" s="6"/>
      <c r="C489" s="6"/>
      <c r="D489" s="6"/>
      <c r="E489" s="6"/>
      <c r="F489" s="6"/>
      <c r="G489" s="7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 spans="1:52" x14ac:dyDescent="0.25">
      <c r="A490" s="6"/>
      <c r="B490" s="6"/>
      <c r="C490" s="6"/>
      <c r="D490" s="6"/>
      <c r="E490" s="6"/>
      <c r="F490" s="6"/>
      <c r="G490" s="7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 spans="1:52" x14ac:dyDescent="0.25">
      <c r="A491" s="6"/>
      <c r="B491" s="6"/>
      <c r="C491" s="6"/>
      <c r="D491" s="6"/>
      <c r="E491" s="6"/>
      <c r="F491" s="6"/>
      <c r="G491" s="7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 spans="1:52" x14ac:dyDescent="0.25">
      <c r="A492" s="6"/>
      <c r="B492" s="6"/>
      <c r="C492" s="6"/>
      <c r="D492" s="6"/>
      <c r="E492" s="6"/>
      <c r="F492" s="6"/>
      <c r="G492" s="7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 spans="1:52" x14ac:dyDescent="0.25">
      <c r="A493" s="6"/>
      <c r="B493" s="6"/>
      <c r="C493" s="6"/>
      <c r="D493" s="6"/>
      <c r="E493" s="6"/>
      <c r="F493" s="6"/>
      <c r="G493" s="7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 spans="1:52" x14ac:dyDescent="0.25">
      <c r="A494" s="6"/>
      <c r="B494" s="6"/>
      <c r="C494" s="6"/>
      <c r="D494" s="6"/>
      <c r="E494" s="6"/>
      <c r="F494" s="6"/>
      <c r="G494" s="7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 spans="1:52" x14ac:dyDescent="0.25">
      <c r="A495" s="6"/>
      <c r="B495" s="6"/>
      <c r="C495" s="6"/>
      <c r="D495" s="6"/>
      <c r="E495" s="6"/>
      <c r="F495" s="6"/>
      <c r="G495" s="7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 spans="1:52" x14ac:dyDescent="0.25">
      <c r="A496" s="6"/>
      <c r="B496" s="6"/>
      <c r="C496" s="6"/>
      <c r="D496" s="6"/>
      <c r="E496" s="6"/>
      <c r="F496" s="6"/>
      <c r="G496" s="7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 spans="1:52" x14ac:dyDescent="0.25">
      <c r="A497" s="6"/>
      <c r="B497" s="6"/>
      <c r="C497" s="6"/>
      <c r="D497" s="6"/>
      <c r="E497" s="6"/>
      <c r="F497" s="6"/>
      <c r="G497" s="7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 spans="1:52" x14ac:dyDescent="0.25">
      <c r="A498" s="6"/>
      <c r="B498" s="6"/>
      <c r="C498" s="6"/>
      <c r="D498" s="6"/>
      <c r="E498" s="6"/>
      <c r="F498" s="6"/>
      <c r="G498" s="7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 spans="1:52" x14ac:dyDescent="0.25">
      <c r="A499" s="6"/>
      <c r="B499" s="6"/>
      <c r="C499" s="6"/>
      <c r="D499" s="6"/>
      <c r="E499" s="6"/>
      <c r="F499" s="6"/>
      <c r="G499" s="7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</sheetData>
  <autoFilter ref="A3:AI54" xr:uid="{00000000-0009-0000-0000-000000000000}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7B58E-B78C-4809-8723-E3BD4923CC54}">
  <dimension ref="A1:B17"/>
  <sheetViews>
    <sheetView workbookViewId="0">
      <selection activeCell="C1" sqref="C1"/>
    </sheetView>
  </sheetViews>
  <sheetFormatPr defaultRowHeight="15" x14ac:dyDescent="0.25"/>
  <sheetData>
    <row r="1" spans="1:2" x14ac:dyDescent="0.25">
      <c r="A1" t="s">
        <v>44</v>
      </c>
      <c r="B1">
        <v>12</v>
      </c>
    </row>
    <row r="2" spans="1:2" x14ac:dyDescent="0.25">
      <c r="A2" t="s">
        <v>46</v>
      </c>
      <c r="B2">
        <v>12</v>
      </c>
    </row>
    <row r="3" spans="1:2" x14ac:dyDescent="0.25">
      <c r="A3" t="s">
        <v>47</v>
      </c>
      <c r="B3">
        <v>99</v>
      </c>
    </row>
    <row r="4" spans="1:2" x14ac:dyDescent="0.25">
      <c r="A4" t="s">
        <v>52</v>
      </c>
      <c r="B4">
        <v>144</v>
      </c>
    </row>
    <row r="5" spans="1:2" x14ac:dyDescent="0.25">
      <c r="A5" t="s">
        <v>55</v>
      </c>
      <c r="B5">
        <v>16</v>
      </c>
    </row>
    <row r="6" spans="1:2" x14ac:dyDescent="0.25">
      <c r="A6" t="s">
        <v>56</v>
      </c>
      <c r="B6">
        <v>96</v>
      </c>
    </row>
    <row r="7" spans="1:2" x14ac:dyDescent="0.25">
      <c r="A7" t="s">
        <v>59</v>
      </c>
      <c r="B7">
        <v>300</v>
      </c>
    </row>
    <row r="8" spans="1:2" x14ac:dyDescent="0.25">
      <c r="A8" t="s">
        <v>61</v>
      </c>
      <c r="B8">
        <v>8</v>
      </c>
    </row>
    <row r="9" spans="1:2" x14ac:dyDescent="0.25">
      <c r="A9" t="s">
        <v>63</v>
      </c>
      <c r="B9">
        <v>16</v>
      </c>
    </row>
    <row r="10" spans="1:2" x14ac:dyDescent="0.25">
      <c r="A10" t="s">
        <v>72</v>
      </c>
      <c r="B10">
        <v>8</v>
      </c>
    </row>
    <row r="11" spans="1:2" x14ac:dyDescent="0.25">
      <c r="A11" t="s">
        <v>74</v>
      </c>
      <c r="B11">
        <v>80</v>
      </c>
    </row>
    <row r="12" spans="1:2" x14ac:dyDescent="0.25">
      <c r="A12" t="s">
        <v>75</v>
      </c>
      <c r="B12">
        <v>50</v>
      </c>
    </row>
    <row r="13" spans="1:2" x14ac:dyDescent="0.25">
      <c r="A13" t="s">
        <v>77</v>
      </c>
      <c r="B13">
        <v>550</v>
      </c>
    </row>
    <row r="14" spans="1:2" x14ac:dyDescent="0.25">
      <c r="A14" t="s">
        <v>78</v>
      </c>
      <c r="B14">
        <v>70</v>
      </c>
    </row>
    <row r="15" spans="1:2" x14ac:dyDescent="0.25">
      <c r="A15" t="s">
        <v>82</v>
      </c>
      <c r="B15">
        <v>100</v>
      </c>
    </row>
    <row r="16" spans="1:2" x14ac:dyDescent="0.25">
      <c r="A16" t="s">
        <v>87</v>
      </c>
      <c r="B16">
        <v>32</v>
      </c>
    </row>
    <row r="17" spans="1:2" x14ac:dyDescent="0.25">
      <c r="A17" t="s">
        <v>95</v>
      </c>
      <c r="B17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2026-10-06T13:14:42Z</dcterms:created>
  <dcterms:modified xsi:type="dcterms:W3CDTF">2026-10-08T08:46:15Z</dcterms:modified>
</cp:coreProperties>
</file>