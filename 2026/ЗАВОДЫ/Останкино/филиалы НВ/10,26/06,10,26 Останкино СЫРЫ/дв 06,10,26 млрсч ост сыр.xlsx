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507F075-A2E3-4325-8B99-DD69332E667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5" i="1" s="1"/>
  <c r="T12" i="1"/>
  <c r="T14" i="1"/>
  <c r="T20" i="1"/>
  <c r="T21" i="1"/>
  <c r="T24" i="1"/>
  <c r="T25" i="1"/>
  <c r="T30" i="1"/>
  <c r="T32" i="1"/>
  <c r="T33" i="1"/>
  <c r="T35" i="1"/>
  <c r="T36" i="1"/>
  <c r="T37" i="1"/>
  <c r="T40" i="1"/>
  <c r="T41" i="1"/>
  <c r="T46" i="1"/>
  <c r="T49" i="1"/>
  <c r="S7" i="1" l="1"/>
  <c r="AI7" i="1" s="1"/>
  <c r="S8" i="1"/>
  <c r="S9" i="1"/>
  <c r="AI9" i="1" s="1"/>
  <c r="S10" i="1"/>
  <c r="S11" i="1"/>
  <c r="AI11" i="1" s="1"/>
  <c r="S13" i="1"/>
  <c r="S15" i="1"/>
  <c r="AI15" i="1" s="1"/>
  <c r="S16" i="1"/>
  <c r="S17" i="1"/>
  <c r="AI17" i="1" s="1"/>
  <c r="S18" i="1"/>
  <c r="S19" i="1"/>
  <c r="AI19" i="1" s="1"/>
  <c r="S22" i="1"/>
  <c r="S23" i="1"/>
  <c r="AI23" i="1" s="1"/>
  <c r="S26" i="1"/>
  <c r="S27" i="1"/>
  <c r="AI27" i="1" s="1"/>
  <c r="S28" i="1"/>
  <c r="S29" i="1"/>
  <c r="AI29" i="1" s="1"/>
  <c r="S31" i="1"/>
  <c r="S34" i="1"/>
  <c r="S38" i="1"/>
  <c r="S39" i="1"/>
  <c r="AI39" i="1" s="1"/>
  <c r="S42" i="1"/>
  <c r="S43" i="1"/>
  <c r="AI43" i="1" s="1"/>
  <c r="S44" i="1"/>
  <c r="S45" i="1"/>
  <c r="AI45" i="1" s="1"/>
  <c r="S47" i="1"/>
  <c r="S48" i="1"/>
  <c r="AI48" i="1" s="1"/>
  <c r="S50" i="1"/>
  <c r="S51" i="1"/>
  <c r="AI51" i="1" s="1"/>
  <c r="S6" i="1"/>
  <c r="AI8" i="1"/>
  <c r="AI10" i="1"/>
  <c r="AI12" i="1"/>
  <c r="AI13" i="1"/>
  <c r="AI14" i="1"/>
  <c r="AI16" i="1"/>
  <c r="AI18" i="1"/>
  <c r="AI20" i="1"/>
  <c r="AI21" i="1"/>
  <c r="AI22" i="1"/>
  <c r="AI24" i="1"/>
  <c r="AI25" i="1"/>
  <c r="AI26" i="1"/>
  <c r="AI28" i="1"/>
  <c r="AI30" i="1"/>
  <c r="AI31" i="1"/>
  <c r="AI32" i="1"/>
  <c r="AI33" i="1"/>
  <c r="AI34" i="1"/>
  <c r="AI35" i="1"/>
  <c r="AI36" i="1"/>
  <c r="AI37" i="1"/>
  <c r="AI38" i="1"/>
  <c r="AI40" i="1"/>
  <c r="AI41" i="1"/>
  <c r="AI42" i="1"/>
  <c r="AI44" i="1"/>
  <c r="AI46" i="1"/>
  <c r="AI47" i="1"/>
  <c r="AI50" i="1"/>
  <c r="AI6" i="1"/>
  <c r="U9" i="1"/>
  <c r="U10" i="1"/>
  <c r="U11" i="1"/>
  <c r="U12" i="1"/>
  <c r="U13" i="1"/>
  <c r="U14" i="1"/>
  <c r="U16" i="1"/>
  <c r="U20" i="1"/>
  <c r="U21" i="1"/>
  <c r="U24" i="1"/>
  <c r="U25" i="1"/>
  <c r="U26" i="1"/>
  <c r="U28" i="1"/>
  <c r="U29" i="1"/>
  <c r="U30" i="1"/>
  <c r="U32" i="1"/>
  <c r="U33" i="1"/>
  <c r="U34" i="1"/>
  <c r="U35" i="1"/>
  <c r="U36" i="1"/>
  <c r="U37" i="1"/>
  <c r="U39" i="1"/>
  <c r="U40" i="1"/>
  <c r="U41" i="1"/>
  <c r="U42" i="1"/>
  <c r="U43" i="1"/>
  <c r="U44" i="1"/>
  <c r="U45" i="1"/>
  <c r="U46" i="1"/>
  <c r="U47" i="1"/>
  <c r="U48" i="1"/>
  <c r="U49" i="1"/>
  <c r="U51" i="1"/>
  <c r="U6" i="1"/>
  <c r="U5" i="1" l="1"/>
  <c r="Q51" i="1" l="1"/>
  <c r="L51" i="1"/>
  <c r="Q50" i="1"/>
  <c r="V50" i="1" s="1"/>
  <c r="L50" i="1"/>
  <c r="Q49" i="1"/>
  <c r="L49" i="1"/>
  <c r="F49" i="1"/>
  <c r="Q48" i="1"/>
  <c r="V48" i="1" s="1"/>
  <c r="L48" i="1"/>
  <c r="Q47" i="1"/>
  <c r="L47" i="1"/>
  <c r="Q46" i="1"/>
  <c r="L46" i="1"/>
  <c r="Q45" i="1"/>
  <c r="L45" i="1"/>
  <c r="Q44" i="1"/>
  <c r="V44" i="1" s="1"/>
  <c r="L44" i="1"/>
  <c r="Q43" i="1"/>
  <c r="L43" i="1"/>
  <c r="Q42" i="1"/>
  <c r="V42" i="1" s="1"/>
  <c r="L42" i="1"/>
  <c r="Q41" i="1"/>
  <c r="L41" i="1"/>
  <c r="Q40" i="1"/>
  <c r="L40" i="1"/>
  <c r="Q39" i="1"/>
  <c r="L39" i="1"/>
  <c r="Q38" i="1"/>
  <c r="V38" i="1" s="1"/>
  <c r="L38" i="1"/>
  <c r="Q37" i="1"/>
  <c r="L37" i="1"/>
  <c r="Q36" i="1"/>
  <c r="L36" i="1"/>
  <c r="Q35" i="1"/>
  <c r="L35" i="1"/>
  <c r="Q34" i="1"/>
  <c r="V34" i="1" s="1"/>
  <c r="L34" i="1"/>
  <c r="Q33" i="1"/>
  <c r="L33" i="1"/>
  <c r="Q32" i="1"/>
  <c r="L32" i="1"/>
  <c r="Q31" i="1"/>
  <c r="L31" i="1"/>
  <c r="Q30" i="1"/>
  <c r="V30" i="1" s="1"/>
  <c r="L30" i="1"/>
  <c r="Q29" i="1"/>
  <c r="L29" i="1"/>
  <c r="Q28" i="1"/>
  <c r="V28" i="1" s="1"/>
  <c r="L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L21" i="1"/>
  <c r="Q20" i="1"/>
  <c r="L20" i="1"/>
  <c r="Q19" i="1"/>
  <c r="L19" i="1"/>
  <c r="Q18" i="1"/>
  <c r="L18" i="1"/>
  <c r="Q17" i="1"/>
  <c r="V17" i="1" s="1"/>
  <c r="L17" i="1"/>
  <c r="Q16" i="1"/>
  <c r="L16" i="1"/>
  <c r="Q15" i="1"/>
  <c r="L15" i="1"/>
  <c r="Q14" i="1"/>
  <c r="L14" i="1"/>
  <c r="Q13" i="1"/>
  <c r="V13" i="1" s="1"/>
  <c r="L13" i="1"/>
  <c r="Q12" i="1"/>
  <c r="L12" i="1"/>
  <c r="Q11" i="1"/>
  <c r="V11" i="1" s="1"/>
  <c r="L11" i="1"/>
  <c r="Q10" i="1"/>
  <c r="L10" i="1"/>
  <c r="Q9" i="1"/>
  <c r="L9" i="1"/>
  <c r="Q8" i="1"/>
  <c r="L8" i="1"/>
  <c r="Q7" i="1"/>
  <c r="V7" i="1" s="1"/>
  <c r="L7" i="1"/>
  <c r="Q6" i="1"/>
  <c r="V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E5" i="1"/>
  <c r="W8" i="1" l="1"/>
  <c r="V8" i="1"/>
  <c r="W9" i="1"/>
  <c r="V9" i="1"/>
  <c r="W10" i="1"/>
  <c r="V10" i="1"/>
  <c r="W12" i="1"/>
  <c r="V12" i="1"/>
  <c r="W14" i="1"/>
  <c r="V14" i="1"/>
  <c r="W15" i="1"/>
  <c r="V15" i="1"/>
  <c r="W16" i="1"/>
  <c r="V16" i="1"/>
  <c r="W18" i="1"/>
  <c r="V18" i="1"/>
  <c r="W19" i="1"/>
  <c r="V19" i="1"/>
  <c r="W20" i="1"/>
  <c r="V20" i="1"/>
  <c r="R21" i="1"/>
  <c r="V21" i="1"/>
  <c r="W22" i="1"/>
  <c r="V22" i="1"/>
  <c r="W24" i="1"/>
  <c r="V24" i="1"/>
  <c r="W26" i="1"/>
  <c r="V26" i="1"/>
  <c r="W29" i="1"/>
  <c r="V29" i="1"/>
  <c r="W31" i="1"/>
  <c r="V31" i="1"/>
  <c r="R32" i="1"/>
  <c r="V32" i="1"/>
  <c r="W33" i="1"/>
  <c r="V33" i="1"/>
  <c r="W35" i="1"/>
  <c r="V35" i="1"/>
  <c r="R36" i="1"/>
  <c r="V36" i="1"/>
  <c r="W37" i="1"/>
  <c r="V37" i="1"/>
  <c r="W39" i="1"/>
  <c r="V39" i="1"/>
  <c r="R40" i="1"/>
  <c r="V40" i="1"/>
  <c r="W41" i="1"/>
  <c r="V41" i="1"/>
  <c r="W43" i="1"/>
  <c r="V43" i="1"/>
  <c r="W45" i="1"/>
  <c r="V45" i="1"/>
  <c r="R46" i="1"/>
  <c r="V46" i="1"/>
  <c r="W47" i="1"/>
  <c r="V47" i="1"/>
  <c r="F5" i="1"/>
  <c r="W51" i="1"/>
  <c r="V51" i="1"/>
  <c r="R25" i="1"/>
  <c r="R49" i="1"/>
  <c r="S49" i="1" s="1"/>
  <c r="W44" i="1"/>
  <c r="R35" i="1"/>
  <c r="W32" i="1"/>
  <c r="L5" i="1"/>
  <c r="R14" i="1"/>
  <c r="R37" i="1"/>
  <c r="R20" i="1"/>
  <c r="W50" i="1"/>
  <c r="W17" i="1"/>
  <c r="W40" i="1"/>
  <c r="W28" i="1"/>
  <c r="W23" i="1"/>
  <c r="W13" i="1"/>
  <c r="W48" i="1"/>
  <c r="W36" i="1"/>
  <c r="W25" i="1"/>
  <c r="W11" i="1"/>
  <c r="Q5" i="1"/>
  <c r="W21" i="1"/>
  <c r="W7" i="1"/>
  <c r="W27" i="1"/>
  <c r="W49" i="1"/>
  <c r="W30" i="1"/>
  <c r="W34" i="1"/>
  <c r="W38" i="1"/>
  <c r="W42" i="1"/>
  <c r="W46" i="1"/>
  <c r="W6" i="1"/>
  <c r="AI49" i="1" l="1"/>
  <c r="S5" i="1"/>
  <c r="V49" i="1"/>
  <c r="R5" i="1"/>
  <c r="AI5" i="1"/>
</calcChain>
</file>

<file path=xl/sharedStrings.xml><?xml version="1.0" encoding="utf-8"?>
<sst xmlns="http://schemas.openxmlformats.org/spreadsheetml/2006/main" count="190" uniqueCount="102">
  <si>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</si>
  <si>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</si>
  <si>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</si>
  <si>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</si>
  <si>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</si>
  <si>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</si>
  <si>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</si>
  <si>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</si>
  <si>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</si>
  <si>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</si>
  <si>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</si>
  <si>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</si>
  <si>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</si>
  <si>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</si>
  <si>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</si>
  <si>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</si>
  <si>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</si>
  <si>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</si>
  <si>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</si>
  <si>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</si>
  <si>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</si>
  <si>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</si>
  <si>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</si>
  <si>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</si>
  <si>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</si>
  <si>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</si>
  <si>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</si>
  <si>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</si>
  <si>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</si>
  <si>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</si>
  <si>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</si>
  <si>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</si>
  <si>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</si>
  <si>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</si>
  <si>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</si>
  <si>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</si>
  <si>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</si>
  <si>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</si>
  <si>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</si>
  <si>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</si>
  <si>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</si>
  <si>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</si>
  <si>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</si>
  <si>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</si>
  <si>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</si>
  <si>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</si>
  <si>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</si>
  <si>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</si>
  <si>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</si>
  <si>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</si>
  <si>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</si>
  <si>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</si>
  <si>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</si>
  <si>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</si>
  <si>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</si>
  <si>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</si>
  <si>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</si>
  <si>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</si>
  <si>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</si>
  <si>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</si>
  <si>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</si>
  <si>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</si>
  <si>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</si>
  <si>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</si>
  <si>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</si>
  <si>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</si>
  <si>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</si>
  <si>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</si>
  <si>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</si>
  <si>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</si>
  <si>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</si>
  <si>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</si>
  <si>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</si>
  <si>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</si>
  <si>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</si>
  <si>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</si>
  <si>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</si>
  <si>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</si>
  <si>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</si>
  <si>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</si>
  <si>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</si>
  <si>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</si>
  <si>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</si>
  <si>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</si>
  <si>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</si>
  <si>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</si>
  <si>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</si>
  <si>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</si>
  <si>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</si>
  <si>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</si>
  <si>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</si>
  <si>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(3,5 кг брус) СЗМЖ  Останкино</t>
  </si>
  <si>
    <t>43кг списано (12,09,26 инвенторизация)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</si>
  <si>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219шт в уценку (04,08,26)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</si>
  <si>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</si>
  <si>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58шт в уценку (16,09,26)</t>
  </si>
  <si>
    <t>102кг перемещение в Крым (24,09,26)</t>
  </si>
  <si>
    <t>итого</t>
  </si>
  <si>
    <t>ТК</t>
  </si>
  <si>
    <t>Титенок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</si>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</sst>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06,10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28,09,</v>
          </cell>
          <cell r="P4" t="str">
            <v>05,10,</v>
          </cell>
          <cell r="Q4" t="str">
            <v>06,10,</v>
          </cell>
        </row>
        <row r="5">
          <cell r="E5">
            <v>2689.8740000000003</v>
          </cell>
          <cell r="F5">
            <v>3230.3509999999997</v>
          </cell>
          <cell r="K5">
            <v>3029.9</v>
          </cell>
          <cell r="L5">
            <v>-340.02599999999995</v>
          </cell>
          <cell r="M5">
            <v>0</v>
          </cell>
          <cell r="N5">
            <v>0</v>
          </cell>
          <cell r="O5">
            <v>3415</v>
          </cell>
          <cell r="P5">
            <v>3061</v>
          </cell>
          <cell r="Q5">
            <v>537.97480000000007</v>
          </cell>
          <cell r="R5">
            <v>2806.1530000000002</v>
          </cell>
          <cell r="S5">
            <v>7160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185.89400000000001</v>
          </cell>
          <cell r="D6">
            <v>1.236</v>
          </cell>
          <cell r="E6">
            <v>29.277999999999999</v>
          </cell>
          <cell r="F6">
            <v>142.05799999999999</v>
          </cell>
          <cell r="G6">
            <v>1</v>
          </cell>
          <cell r="H6">
            <v>120</v>
          </cell>
          <cell r="K6">
            <v>25.4</v>
          </cell>
          <cell r="L6">
            <v>3.8780000000000001</v>
          </cell>
          <cell r="Q6">
            <v>5.8555999999999999</v>
          </cell>
          <cell r="S6">
            <v>100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G7">
            <v>0.18</v>
          </cell>
          <cell r="H7">
            <v>180</v>
          </cell>
          <cell r="L7">
            <v>0</v>
          </cell>
          <cell r="O7">
            <v>0</v>
          </cell>
          <cell r="P7">
            <v>0</v>
          </cell>
          <cell r="Q7">
            <v>0</v>
          </cell>
          <cell r="R7">
            <v>12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G8">
            <v>0.18</v>
          </cell>
          <cell r="H8">
            <v>180</v>
          </cell>
          <cell r="L8">
            <v>0</v>
          </cell>
          <cell r="O8">
            <v>0</v>
          </cell>
          <cell r="P8">
            <v>0</v>
          </cell>
          <cell r="Q8">
            <v>0</v>
          </cell>
          <cell r="R8">
            <v>12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39.828000000000003</v>
          </cell>
          <cell r="E9">
            <v>6.1980000000000004</v>
          </cell>
          <cell r="F9">
            <v>30.187999999999999</v>
          </cell>
          <cell r="G9">
            <v>1</v>
          </cell>
          <cell r="H9">
            <v>180</v>
          </cell>
          <cell r="K9">
            <v>8</v>
          </cell>
          <cell r="L9">
            <v>-1.8019999999999996</v>
          </cell>
          <cell r="O9">
            <v>16</v>
          </cell>
          <cell r="Q9">
            <v>1.2396</v>
          </cell>
          <cell r="S9">
            <v>100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148</v>
          </cell>
          <cell r="E10">
            <v>3</v>
          </cell>
          <cell r="F10">
            <v>145</v>
          </cell>
          <cell r="G10">
            <v>0.82450000000000001</v>
          </cell>
          <cell r="H10">
            <v>180</v>
          </cell>
          <cell r="K10">
            <v>3</v>
          </cell>
          <cell r="L10">
            <v>0</v>
          </cell>
          <cell r="Q10">
            <v>0.6</v>
          </cell>
          <cell r="S10">
            <v>120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202</v>
          </cell>
          <cell r="D11">
            <v>6</v>
          </cell>
          <cell r="E11">
            <v>18</v>
          </cell>
          <cell r="F11">
            <v>169</v>
          </cell>
          <cell r="G11">
            <v>0.372</v>
          </cell>
          <cell r="H11">
            <v>180</v>
          </cell>
          <cell r="K11">
            <v>19</v>
          </cell>
          <cell r="L11">
            <v>-1</v>
          </cell>
          <cell r="Q11">
            <v>3.6</v>
          </cell>
          <cell r="S11">
            <v>120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C12">
            <v>192</v>
          </cell>
          <cell r="G12">
            <v>0.74399999999999999</v>
          </cell>
          <cell r="H12">
            <v>180</v>
          </cell>
          <cell r="L12">
            <v>0</v>
          </cell>
          <cell r="P12">
            <v>132</v>
          </cell>
          <cell r="Q12">
            <v>0</v>
          </cell>
          <cell r="S12">
            <v>150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140</v>
          </cell>
          <cell r="D13">
            <v>6</v>
          </cell>
          <cell r="E13">
            <v>48</v>
          </cell>
          <cell r="F13">
            <v>58</v>
          </cell>
          <cell r="G13">
            <v>0.372</v>
          </cell>
          <cell r="H13">
            <v>180</v>
          </cell>
          <cell r="K13">
            <v>47</v>
          </cell>
          <cell r="L13">
            <v>1</v>
          </cell>
          <cell r="O13">
            <v>204</v>
          </cell>
          <cell r="P13">
            <v>60</v>
          </cell>
          <cell r="Q13">
            <v>9.6</v>
          </cell>
          <cell r="S13">
            <v>150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271</v>
          </cell>
          <cell r="D14">
            <v>6</v>
          </cell>
          <cell r="E14">
            <v>74</v>
          </cell>
          <cell r="F14">
            <v>132</v>
          </cell>
          <cell r="G14">
            <v>0.74399999999999999</v>
          </cell>
          <cell r="H14">
            <v>180</v>
          </cell>
          <cell r="K14">
            <v>73</v>
          </cell>
          <cell r="L14">
            <v>1</v>
          </cell>
          <cell r="P14">
            <v>48</v>
          </cell>
          <cell r="Q14">
            <v>14.8</v>
          </cell>
          <cell r="R14">
            <v>86.400000000000034</v>
          </cell>
          <cell r="S14">
            <v>250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49</v>
          </cell>
          <cell r="D15">
            <v>5</v>
          </cell>
          <cell r="E15">
            <v>4</v>
          </cell>
          <cell r="F15">
            <v>42</v>
          </cell>
          <cell r="G15">
            <v>0.14000000000000001</v>
          </cell>
          <cell r="H15">
            <v>180</v>
          </cell>
          <cell r="K15">
            <v>9</v>
          </cell>
          <cell r="L15">
            <v>-5</v>
          </cell>
          <cell r="P15">
            <v>80</v>
          </cell>
          <cell r="Q15">
            <v>0.8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61</v>
          </cell>
          <cell r="D16">
            <v>5</v>
          </cell>
          <cell r="E16">
            <v>41</v>
          </cell>
          <cell r="F16">
            <v>9</v>
          </cell>
          <cell r="G16">
            <v>0.18</v>
          </cell>
          <cell r="H16">
            <v>270</v>
          </cell>
          <cell r="K16">
            <v>46</v>
          </cell>
          <cell r="L16">
            <v>-5</v>
          </cell>
          <cell r="O16">
            <v>48</v>
          </cell>
          <cell r="P16">
            <v>256</v>
          </cell>
          <cell r="Q16">
            <v>8.1999999999999993</v>
          </cell>
          <cell r="S16">
            <v>100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83</v>
          </cell>
          <cell r="D17">
            <v>5</v>
          </cell>
          <cell r="E17">
            <v>41</v>
          </cell>
          <cell r="F17">
            <v>36</v>
          </cell>
          <cell r="G17">
            <v>0.18</v>
          </cell>
          <cell r="H17">
            <v>270</v>
          </cell>
          <cell r="K17">
            <v>46</v>
          </cell>
          <cell r="L17">
            <v>-5</v>
          </cell>
          <cell r="O17">
            <v>16</v>
          </cell>
          <cell r="P17">
            <v>256</v>
          </cell>
          <cell r="Q17">
            <v>8.1999999999999993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85</v>
          </cell>
          <cell r="F18">
            <v>80</v>
          </cell>
          <cell r="G18">
            <v>0.1</v>
          </cell>
          <cell r="K18">
            <v>1</v>
          </cell>
          <cell r="L18">
            <v>-1</v>
          </cell>
          <cell r="Q18">
            <v>0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25</v>
          </cell>
          <cell r="E19">
            <v>-1</v>
          </cell>
          <cell r="F19">
            <v>21</v>
          </cell>
          <cell r="G19">
            <v>0.1</v>
          </cell>
          <cell r="H19">
            <v>60</v>
          </cell>
          <cell r="L19">
            <v>-1</v>
          </cell>
          <cell r="P19">
            <v>8</v>
          </cell>
          <cell r="Q19">
            <v>-0.2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1611</v>
          </cell>
          <cell r="D20">
            <v>130</v>
          </cell>
          <cell r="E20">
            <v>782</v>
          </cell>
          <cell r="F20">
            <v>543</v>
          </cell>
          <cell r="G20">
            <v>0.18</v>
          </cell>
          <cell r="H20">
            <v>180</v>
          </cell>
          <cell r="K20">
            <v>902</v>
          </cell>
          <cell r="L20">
            <v>-120</v>
          </cell>
          <cell r="O20">
            <v>1000</v>
          </cell>
          <cell r="P20">
            <v>300</v>
          </cell>
          <cell r="Q20">
            <v>156.4</v>
          </cell>
          <cell r="R20">
            <v>972.20000000000027</v>
          </cell>
          <cell r="S20">
            <v>1500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948</v>
          </cell>
          <cell r="D21">
            <v>150</v>
          </cell>
          <cell r="E21">
            <v>860</v>
          </cell>
          <cell r="F21">
            <v>33</v>
          </cell>
          <cell r="G21">
            <v>0.18</v>
          </cell>
          <cell r="H21">
            <v>180</v>
          </cell>
          <cell r="K21">
            <v>985</v>
          </cell>
          <cell r="L21">
            <v>-125</v>
          </cell>
          <cell r="O21">
            <v>1500</v>
          </cell>
          <cell r="P21">
            <v>500</v>
          </cell>
          <cell r="Q21">
            <v>172</v>
          </cell>
          <cell r="R21">
            <v>1063</v>
          </cell>
          <cell r="S21">
            <v>1800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37</v>
          </cell>
          <cell r="D22">
            <v>2</v>
          </cell>
          <cell r="E22">
            <v>9</v>
          </cell>
          <cell r="F22">
            <v>21</v>
          </cell>
          <cell r="G22">
            <v>0.4</v>
          </cell>
          <cell r="H22">
            <v>270</v>
          </cell>
          <cell r="K22">
            <v>12</v>
          </cell>
          <cell r="L22">
            <v>-3</v>
          </cell>
          <cell r="P22">
            <v>32</v>
          </cell>
          <cell r="Q22">
            <v>1.8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28</v>
          </cell>
          <cell r="E23">
            <v>8</v>
          </cell>
          <cell r="F23">
            <v>20</v>
          </cell>
          <cell r="G23">
            <v>0.4</v>
          </cell>
          <cell r="H23">
            <v>270</v>
          </cell>
          <cell r="K23">
            <v>8</v>
          </cell>
          <cell r="L23">
            <v>0</v>
          </cell>
          <cell r="O23">
            <v>28</v>
          </cell>
          <cell r="P23">
            <v>28</v>
          </cell>
          <cell r="Q23">
            <v>1.6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42</v>
          </cell>
          <cell r="E24">
            <v>6</v>
          </cell>
          <cell r="F24">
            <v>36</v>
          </cell>
          <cell r="G24">
            <v>0.18</v>
          </cell>
          <cell r="H24">
            <v>270</v>
          </cell>
          <cell r="K24">
            <v>6</v>
          </cell>
          <cell r="L24">
            <v>0</v>
          </cell>
          <cell r="P24">
            <v>0</v>
          </cell>
          <cell r="Q24">
            <v>1.2</v>
          </cell>
          <cell r="S24">
            <v>30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61</v>
          </cell>
          <cell r="E25">
            <v>22</v>
          </cell>
          <cell r="F25">
            <v>36</v>
          </cell>
          <cell r="G25">
            <v>0.2</v>
          </cell>
          <cell r="H25">
            <v>120</v>
          </cell>
          <cell r="K25">
            <v>22</v>
          </cell>
          <cell r="L25">
            <v>0</v>
          </cell>
          <cell r="Q25">
            <v>4.4000000000000004</v>
          </cell>
          <cell r="R25">
            <v>34.400000000000006</v>
          </cell>
          <cell r="S25">
            <v>100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Q26">
            <v>0</v>
          </cell>
          <cell r="S26">
            <v>200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G27">
            <v>0</v>
          </cell>
          <cell r="H27">
            <v>180</v>
          </cell>
          <cell r="L27">
            <v>0</v>
          </cell>
          <cell r="Q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88</v>
          </cell>
          <cell r="E28">
            <v>5</v>
          </cell>
          <cell r="F28">
            <v>75</v>
          </cell>
          <cell r="G28">
            <v>0.18</v>
          </cell>
          <cell r="H28">
            <v>150</v>
          </cell>
          <cell r="K28">
            <v>10</v>
          </cell>
          <cell r="L28">
            <v>-5</v>
          </cell>
          <cell r="P28">
            <v>18</v>
          </cell>
          <cell r="Q28">
            <v>1</v>
          </cell>
          <cell r="S28">
            <v>20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74</v>
          </cell>
          <cell r="E29">
            <v>1</v>
          </cell>
          <cell r="F29">
            <v>70</v>
          </cell>
          <cell r="G29">
            <v>0.1</v>
          </cell>
          <cell r="H29">
            <v>90</v>
          </cell>
          <cell r="K29">
            <v>1</v>
          </cell>
          <cell r="L29">
            <v>0</v>
          </cell>
          <cell r="P29">
            <v>8</v>
          </cell>
          <cell r="Q29">
            <v>0.2</v>
          </cell>
          <cell r="S29">
            <v>20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40</v>
          </cell>
          <cell r="E30">
            <v>10</v>
          </cell>
          <cell r="F30">
            <v>30</v>
          </cell>
          <cell r="G30">
            <v>0.1</v>
          </cell>
          <cell r="H30">
            <v>60</v>
          </cell>
          <cell r="K30">
            <v>10</v>
          </cell>
          <cell r="L30">
            <v>0</v>
          </cell>
          <cell r="P30">
            <v>8</v>
          </cell>
          <cell r="Q30">
            <v>2</v>
          </cell>
          <cell r="S30">
            <v>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119</v>
          </cell>
          <cell r="E31">
            <v>8</v>
          </cell>
          <cell r="F31">
            <v>111</v>
          </cell>
          <cell r="G31">
            <v>0.1</v>
          </cell>
          <cell r="H31">
            <v>90</v>
          </cell>
          <cell r="K31">
            <v>8</v>
          </cell>
          <cell r="L31">
            <v>0</v>
          </cell>
          <cell r="Q31">
            <v>1.6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100</v>
          </cell>
          <cell r="E32">
            <v>44</v>
          </cell>
          <cell r="F32">
            <v>40</v>
          </cell>
          <cell r="G32">
            <v>0.18</v>
          </cell>
          <cell r="H32">
            <v>150</v>
          </cell>
          <cell r="K32">
            <v>46</v>
          </cell>
          <cell r="L32">
            <v>-2</v>
          </cell>
          <cell r="Q32">
            <v>8.8000000000000007</v>
          </cell>
          <cell r="R32">
            <v>118.4</v>
          </cell>
          <cell r="S32">
            <v>220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157</v>
          </cell>
          <cell r="D33">
            <v>6</v>
          </cell>
          <cell r="E33">
            <v>70</v>
          </cell>
          <cell r="F33">
            <v>65</v>
          </cell>
          <cell r="G33">
            <v>0.18</v>
          </cell>
          <cell r="H33">
            <v>150</v>
          </cell>
          <cell r="K33">
            <v>72</v>
          </cell>
          <cell r="L33">
            <v>-2</v>
          </cell>
          <cell r="O33">
            <v>200</v>
          </cell>
          <cell r="Q33">
            <v>14</v>
          </cell>
          <cell r="S33">
            <v>120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274</v>
          </cell>
          <cell r="D34">
            <v>9</v>
          </cell>
          <cell r="E34">
            <v>38</v>
          </cell>
          <cell r="F34">
            <v>196</v>
          </cell>
          <cell r="G34">
            <v>0.18</v>
          </cell>
          <cell r="H34">
            <v>150</v>
          </cell>
          <cell r="K34">
            <v>42</v>
          </cell>
          <cell r="L34">
            <v>-4</v>
          </cell>
          <cell r="Q34">
            <v>7.6</v>
          </cell>
          <cell r="S34">
            <v>40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165</v>
          </cell>
          <cell r="D35">
            <v>8</v>
          </cell>
          <cell r="E35">
            <v>49</v>
          </cell>
          <cell r="F35">
            <v>87</v>
          </cell>
          <cell r="G35">
            <v>0.18</v>
          </cell>
          <cell r="H35">
            <v>150</v>
          </cell>
          <cell r="K35">
            <v>52</v>
          </cell>
          <cell r="L35">
            <v>-3</v>
          </cell>
          <cell r="O35">
            <v>20</v>
          </cell>
          <cell r="P35">
            <v>10</v>
          </cell>
          <cell r="Q35">
            <v>9.8000000000000007</v>
          </cell>
          <cell r="R35">
            <v>59.400000000000006</v>
          </cell>
          <cell r="S35">
            <v>150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373</v>
          </cell>
          <cell r="D36">
            <v>9</v>
          </cell>
          <cell r="E36">
            <v>130</v>
          </cell>
          <cell r="F36">
            <v>200</v>
          </cell>
          <cell r="G36">
            <v>0.18</v>
          </cell>
          <cell r="H36">
            <v>150</v>
          </cell>
          <cell r="K36">
            <v>136</v>
          </cell>
          <cell r="L36">
            <v>-6</v>
          </cell>
          <cell r="O36">
            <v>20</v>
          </cell>
          <cell r="Q36">
            <v>26</v>
          </cell>
          <cell r="R36">
            <v>248</v>
          </cell>
          <cell r="S36">
            <v>350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195</v>
          </cell>
          <cell r="D37">
            <v>4</v>
          </cell>
          <cell r="E37">
            <v>38</v>
          </cell>
          <cell r="F37">
            <v>127</v>
          </cell>
          <cell r="G37">
            <v>0.18</v>
          </cell>
          <cell r="H37">
            <v>150</v>
          </cell>
          <cell r="K37">
            <v>39</v>
          </cell>
          <cell r="L37">
            <v>-1</v>
          </cell>
          <cell r="Q37">
            <v>7.6</v>
          </cell>
          <cell r="R37">
            <v>9.7999999999999829</v>
          </cell>
          <cell r="S37">
            <v>100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68</v>
          </cell>
          <cell r="E38">
            <v>7</v>
          </cell>
          <cell r="F38">
            <v>58</v>
          </cell>
          <cell r="G38">
            <v>0.14000000000000001</v>
          </cell>
          <cell r="H38">
            <v>180</v>
          </cell>
          <cell r="K38">
            <v>7</v>
          </cell>
          <cell r="L38">
            <v>0</v>
          </cell>
          <cell r="P38">
            <v>128</v>
          </cell>
          <cell r="Q38">
            <v>1.4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248</v>
          </cell>
          <cell r="D39">
            <v>5</v>
          </cell>
          <cell r="E39">
            <v>52</v>
          </cell>
          <cell r="F39">
            <v>179</v>
          </cell>
          <cell r="G39">
            <v>0.18</v>
          </cell>
          <cell r="H39">
            <v>270</v>
          </cell>
          <cell r="K39">
            <v>57</v>
          </cell>
          <cell r="L39">
            <v>-5</v>
          </cell>
          <cell r="P39">
            <v>192</v>
          </cell>
          <cell r="Q39">
            <v>10.4</v>
          </cell>
          <cell r="S39">
            <v>150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146.94300000000001</v>
          </cell>
          <cell r="E40">
            <v>22.85</v>
          </cell>
          <cell r="F40">
            <v>58.966999999999999</v>
          </cell>
          <cell r="G40">
            <v>1</v>
          </cell>
          <cell r="H40">
            <v>180</v>
          </cell>
          <cell r="K40">
            <v>24</v>
          </cell>
          <cell r="L40">
            <v>-1.1499999999999986</v>
          </cell>
          <cell r="Q40">
            <v>4.57</v>
          </cell>
          <cell r="R40">
            <v>14.153000000000006</v>
          </cell>
          <cell r="S40">
            <v>100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60.93</v>
          </cell>
          <cell r="E41">
            <v>33.268000000000001</v>
          </cell>
          <cell r="F41">
            <v>17.64</v>
          </cell>
          <cell r="G41">
            <v>1</v>
          </cell>
          <cell r="H41">
            <v>180</v>
          </cell>
          <cell r="K41">
            <v>29.5</v>
          </cell>
          <cell r="L41">
            <v>3.7680000000000007</v>
          </cell>
          <cell r="P41">
            <v>99</v>
          </cell>
          <cell r="Q41">
            <v>6.6536</v>
          </cell>
          <cell r="R41">
            <v>6</v>
          </cell>
          <cell r="S41">
            <v>100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15.984</v>
          </cell>
          <cell r="E42">
            <v>2.972</v>
          </cell>
          <cell r="F42">
            <v>9.89</v>
          </cell>
          <cell r="G42">
            <v>1</v>
          </cell>
          <cell r="H42">
            <v>180</v>
          </cell>
          <cell r="K42">
            <v>3.5</v>
          </cell>
          <cell r="L42">
            <v>-0.52800000000000002</v>
          </cell>
          <cell r="P42">
            <v>99</v>
          </cell>
          <cell r="Q42">
            <v>0.59440000000000004</v>
          </cell>
          <cell r="S42">
            <v>100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30.704000000000001</v>
          </cell>
          <cell r="E43">
            <v>19.55</v>
          </cell>
          <cell r="F43">
            <v>11.154</v>
          </cell>
          <cell r="G43">
            <v>1</v>
          </cell>
          <cell r="H43">
            <v>180</v>
          </cell>
          <cell r="K43">
            <v>16.5</v>
          </cell>
          <cell r="L43">
            <v>3.0500000000000007</v>
          </cell>
          <cell r="P43">
            <v>82</v>
          </cell>
          <cell r="Q43">
            <v>3.91</v>
          </cell>
          <cell r="S43">
            <v>100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157</v>
          </cell>
          <cell r="E44">
            <v>28</v>
          </cell>
          <cell r="F44">
            <v>123</v>
          </cell>
          <cell r="G44">
            <v>0.1</v>
          </cell>
          <cell r="H44">
            <v>60</v>
          </cell>
          <cell r="K44">
            <v>36</v>
          </cell>
          <cell r="L44">
            <v>-8</v>
          </cell>
          <cell r="Q44">
            <v>5.6</v>
          </cell>
          <cell r="S44">
            <v>150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137</v>
          </cell>
          <cell r="E45">
            <v>25</v>
          </cell>
          <cell r="F45">
            <v>112</v>
          </cell>
          <cell r="G45">
            <v>0.1</v>
          </cell>
          <cell r="H45">
            <v>90</v>
          </cell>
          <cell r="K45">
            <v>30</v>
          </cell>
          <cell r="L45">
            <v>-5</v>
          </cell>
          <cell r="Q45">
            <v>5</v>
          </cell>
          <cell r="S45">
            <v>50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73</v>
          </cell>
          <cell r="E46">
            <v>37</v>
          </cell>
          <cell r="F46">
            <v>32</v>
          </cell>
          <cell r="G46">
            <v>0.14000000000000001</v>
          </cell>
          <cell r="H46">
            <v>180</v>
          </cell>
          <cell r="K46">
            <v>33</v>
          </cell>
          <cell r="L46">
            <v>4</v>
          </cell>
          <cell r="O46">
            <v>48</v>
          </cell>
          <cell r="P46">
            <v>32</v>
          </cell>
          <cell r="Q46">
            <v>7.4</v>
          </cell>
          <cell r="R46">
            <v>21.200000000000017</v>
          </cell>
          <cell r="S46">
            <v>100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30</v>
          </cell>
          <cell r="E47">
            <v>30</v>
          </cell>
          <cell r="G47">
            <v>0.2</v>
          </cell>
          <cell r="H47">
            <v>120</v>
          </cell>
          <cell r="K47">
            <v>60</v>
          </cell>
          <cell r="L47">
            <v>-30</v>
          </cell>
          <cell r="O47">
            <v>130</v>
          </cell>
          <cell r="P47">
            <v>300</v>
          </cell>
          <cell r="Q47">
            <v>6</v>
          </cell>
          <cell r="S47">
            <v>100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43.165999999999997</v>
          </cell>
          <cell r="E48">
            <v>29.39</v>
          </cell>
          <cell r="F48">
            <v>10.69</v>
          </cell>
          <cell r="G48">
            <v>1</v>
          </cell>
          <cell r="H48">
            <v>120</v>
          </cell>
          <cell r="K48">
            <v>28</v>
          </cell>
          <cell r="L48">
            <v>1.3900000000000006</v>
          </cell>
          <cell r="O48">
            <v>15</v>
          </cell>
          <cell r="P48">
            <v>120</v>
          </cell>
          <cell r="Q48">
            <v>5.8780000000000001</v>
          </cell>
          <cell r="S48">
            <v>100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47</v>
          </cell>
          <cell r="E49">
            <v>42</v>
          </cell>
          <cell r="F49">
            <v>2</v>
          </cell>
          <cell r="G49">
            <v>0.2</v>
          </cell>
          <cell r="H49">
            <v>120</v>
          </cell>
          <cell r="K49">
            <v>60</v>
          </cell>
          <cell r="L49">
            <v>-18</v>
          </cell>
          <cell r="Q49">
            <v>8.4</v>
          </cell>
          <cell r="R49">
            <v>149.20000000000002</v>
          </cell>
          <cell r="S49">
            <v>250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</v>
          </cell>
          <cell r="F50">
            <v>-3</v>
          </cell>
          <cell r="G50">
            <v>0</v>
          </cell>
          <cell r="H50">
            <v>120</v>
          </cell>
          <cell r="I50" t="str">
            <v>дубль</v>
          </cell>
          <cell r="J50" t="str">
            <v>Сыч/Прод Коровино Тильзитер 50% 200г НОВАЯ СЗМЖ  ОСТАНКИНО</v>
          </cell>
          <cell r="L50">
            <v>0</v>
          </cell>
          <cell r="O50">
            <v>170</v>
          </cell>
          <cell r="P50">
            <v>250</v>
          </cell>
          <cell r="Q50">
            <v>0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79.183999999999997</v>
          </cell>
          <cell r="E51">
            <v>17.367999999999999</v>
          </cell>
          <cell r="F51">
            <v>47.694000000000003</v>
          </cell>
          <cell r="G51">
            <v>1</v>
          </cell>
          <cell r="H51">
            <v>120</v>
          </cell>
          <cell r="K51">
            <v>17</v>
          </cell>
          <cell r="L51">
            <v>0.36799999999999855</v>
          </cell>
          <cell r="P51">
            <v>15</v>
          </cell>
          <cell r="Q51">
            <v>3.4735999999999998</v>
          </cell>
          <cell r="S51">
            <v>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20" width="7" customWidth="1"/>
    <col min="21" max="21" width="7" style="19" customWidth="1"/>
    <col min="22" max="23" width="5" customWidth="1"/>
    <col min="24" max="33" width="6" customWidth="1"/>
    <col min="34" max="34" width="44.5703125" customWidth="1"/>
    <col min="35" max="35" width="7" customWidth="1"/>
    <col min="36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97</v>
      </c>
      <c r="T3" s="3" t="s">
        <v>100</v>
      </c>
      <c r="U3" s="3" t="s">
        <v>98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101</v>
      </c>
      <c r="U4" s="1" t="s">
        <v>99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2689.8740000000003</v>
      </c>
      <c r="F5" s="4">
        <f>SUM(F6:F500)</f>
        <v>3230.3509999999997</v>
      </c>
      <c r="G5" s="7"/>
      <c r="H5" s="1"/>
      <c r="I5" s="1"/>
      <c r="J5" s="1"/>
      <c r="K5" s="4">
        <f t="shared" ref="K5:U5" si="0">SUM(K6:K500)</f>
        <v>3029.9</v>
      </c>
      <c r="L5" s="4">
        <f t="shared" si="0"/>
        <v>-340.02599999999995</v>
      </c>
      <c r="M5" s="4">
        <f t="shared" si="0"/>
        <v>0</v>
      </c>
      <c r="N5" s="4">
        <f t="shared" si="0"/>
        <v>0</v>
      </c>
      <c r="O5" s="4">
        <f t="shared" si="0"/>
        <v>3415</v>
      </c>
      <c r="P5" s="4">
        <f t="shared" si="0"/>
        <v>3061</v>
      </c>
      <c r="Q5" s="4">
        <f t="shared" si="0"/>
        <v>537.97480000000007</v>
      </c>
      <c r="R5" s="4">
        <f t="shared" si="0"/>
        <v>2806.1530000000002</v>
      </c>
      <c r="S5" s="4">
        <f t="shared" si="0"/>
        <v>3806.2</v>
      </c>
      <c r="T5" s="4">
        <f t="shared" si="0"/>
        <v>3799</v>
      </c>
      <c r="U5" s="4">
        <f t="shared" si="0"/>
        <v>7160</v>
      </c>
      <c r="V5" s="1"/>
      <c r="W5" s="1"/>
      <c r="X5" s="4">
        <f t="shared" ref="X5:AG5" si="1">SUM(X6:X500)</f>
        <v>431.55439999999999</v>
      </c>
      <c r="Y5" s="4">
        <f t="shared" si="1"/>
        <v>461.428</v>
      </c>
      <c r="Z5" s="4">
        <f t="shared" si="1"/>
        <v>581.45000000000027</v>
      </c>
      <c r="AA5" s="4">
        <f t="shared" si="1"/>
        <v>298.04300000000001</v>
      </c>
      <c r="AB5" s="4">
        <f t="shared" si="1"/>
        <v>685.64299999999992</v>
      </c>
      <c r="AC5" s="4">
        <f t="shared" si="1"/>
        <v>442.04200000000003</v>
      </c>
      <c r="AD5" s="4">
        <f t="shared" si="1"/>
        <v>538.97160000000008</v>
      </c>
      <c r="AE5" s="4">
        <f t="shared" si="1"/>
        <v>474.34359999999998</v>
      </c>
      <c r="AF5" s="4">
        <f t="shared" si="1"/>
        <v>818.0404000000002</v>
      </c>
      <c r="AG5" s="4">
        <f t="shared" si="1"/>
        <v>429.74199999999996</v>
      </c>
      <c r="AH5" s="1"/>
      <c r="AI5" s="4">
        <f>SUM(AI6:AI500)</f>
        <v>836.56000000000006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185.89400000000001</v>
      </c>
      <c r="D6" s="1">
        <v>1.236</v>
      </c>
      <c r="E6" s="1">
        <v>29.277999999999999</v>
      </c>
      <c r="F6" s="1">
        <v>142.05799999999999</v>
      </c>
      <c r="G6" s="7">
        <v>1</v>
      </c>
      <c r="H6" s="1">
        <v>120</v>
      </c>
      <c r="I6" s="1"/>
      <c r="J6" s="1"/>
      <c r="K6" s="1">
        <v>25.4</v>
      </c>
      <c r="L6" s="1">
        <f t="shared" ref="L6:L51" si="2">E6-K6</f>
        <v>3.8780000000000001</v>
      </c>
      <c r="M6" s="1"/>
      <c r="N6" s="1"/>
      <c r="O6" s="1"/>
      <c r="P6" s="1"/>
      <c r="Q6" s="1">
        <f t="shared" ref="Q6:Q51" si="3">E6/5</f>
        <v>5.8555999999999999</v>
      </c>
      <c r="R6" s="5"/>
      <c r="S6" s="5">
        <f>R6</f>
        <v>0</v>
      </c>
      <c r="T6" s="5"/>
      <c r="U6" s="18">
        <f>VLOOKUP(A6,[1]Sheet!$A:$S,19,0)</f>
        <v>100</v>
      </c>
      <c r="V6" s="1">
        <f>(F6+O6+P6+S6)/Q6</f>
        <v>24.260195368536102</v>
      </c>
      <c r="W6" s="1">
        <f t="shared" ref="W6:W51" si="4">(F6+O6+P6)/Q6</f>
        <v>24.260195368536102</v>
      </c>
      <c r="X6" s="1">
        <v>5.9771999999999998</v>
      </c>
      <c r="Y6" s="1">
        <v>2.7707999999999999</v>
      </c>
      <c r="Z6" s="1">
        <v>12.927199999999999</v>
      </c>
      <c r="AA6" s="1">
        <v>2.9577499999999999</v>
      </c>
      <c r="AB6" s="1">
        <v>5.5456000000000003</v>
      </c>
      <c r="AC6" s="1">
        <v>0.79279999999999995</v>
      </c>
      <c r="AD6" s="1">
        <v>15.164400000000001</v>
      </c>
      <c r="AE6" s="1">
        <v>6.3544</v>
      </c>
      <c r="AF6" s="1">
        <v>6.45</v>
      </c>
      <c r="AG6" s="1">
        <v>4.4615999999999998</v>
      </c>
      <c r="AH6" s="15" t="s">
        <v>43</v>
      </c>
      <c r="AI6" s="1">
        <f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3" t="s">
        <v>38</v>
      </c>
      <c r="B7" s="1" t="s">
        <v>39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v>0</v>
      </c>
      <c r="Q7" s="1">
        <f t="shared" si="3"/>
        <v>0</v>
      </c>
      <c r="R7" s="5">
        <v>12</v>
      </c>
      <c r="S7" s="5">
        <f t="shared" ref="S7:S51" si="5">R7</f>
        <v>12</v>
      </c>
      <c r="T7" s="5">
        <f>VLOOKUP(A7,заказ!A:B,2,0)</f>
        <v>12</v>
      </c>
      <c r="U7" s="18"/>
      <c r="V7" s="1" t="e">
        <f t="shared" ref="V7:V51" si="6">(F7+O7+P7+S7)/Q7</f>
        <v>#DIV/0!</v>
      </c>
      <c r="W7" s="1" t="e">
        <f t="shared" si="4"/>
        <v>#DIV/0!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-2.4</v>
      </c>
      <c r="AD7" s="1">
        <v>0</v>
      </c>
      <c r="AE7" s="1">
        <v>-1.8</v>
      </c>
      <c r="AF7" s="1">
        <v>0</v>
      </c>
      <c r="AG7" s="1">
        <v>0</v>
      </c>
      <c r="AH7" s="1" t="s">
        <v>40</v>
      </c>
      <c r="AI7" s="1">
        <f t="shared" ref="AI7:AI51" si="7">G7*S7</f>
        <v>2.16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3" t="s">
        <v>41</v>
      </c>
      <c r="B8" s="1" t="s">
        <v>39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0</v>
      </c>
      <c r="P8" s="1">
        <v>0</v>
      </c>
      <c r="Q8" s="1">
        <f t="shared" si="3"/>
        <v>0</v>
      </c>
      <c r="R8" s="5">
        <v>12</v>
      </c>
      <c r="S8" s="5">
        <f t="shared" si="5"/>
        <v>12</v>
      </c>
      <c r="T8" s="5">
        <f>VLOOKUP(A8,заказ!A:B,2,0)</f>
        <v>12</v>
      </c>
      <c r="U8" s="18"/>
      <c r="V8" s="1" t="e">
        <f t="shared" si="6"/>
        <v>#DIV/0!</v>
      </c>
      <c r="W8" s="1" t="e">
        <f t="shared" si="4"/>
        <v>#DIV/0!</v>
      </c>
      <c r="X8" s="1">
        <v>-0.4</v>
      </c>
      <c r="Y8" s="1">
        <v>0</v>
      </c>
      <c r="Z8" s="1">
        <v>0</v>
      </c>
      <c r="AA8" s="1">
        <v>-1.375</v>
      </c>
      <c r="AB8" s="1">
        <v>0</v>
      </c>
      <c r="AC8" s="1">
        <v>-2.4</v>
      </c>
      <c r="AD8" s="1">
        <v>-0.4</v>
      </c>
      <c r="AE8" s="1">
        <v>-2.2000000000000002</v>
      </c>
      <c r="AF8" s="1">
        <v>0</v>
      </c>
      <c r="AG8" s="1">
        <v>-4</v>
      </c>
      <c r="AH8" s="1" t="s">
        <v>40</v>
      </c>
      <c r="AI8" s="1">
        <f t="shared" si="7"/>
        <v>2.16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3" t="s">
        <v>42</v>
      </c>
      <c r="B9" s="1" t="s">
        <v>36</v>
      </c>
      <c r="C9" s="1">
        <v>39.828000000000003</v>
      </c>
      <c r="D9" s="1"/>
      <c r="E9" s="1">
        <v>6.1980000000000004</v>
      </c>
      <c r="F9" s="1">
        <v>30.187999999999999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-1.8019999999999996</v>
      </c>
      <c r="M9" s="1"/>
      <c r="N9" s="1"/>
      <c r="O9" s="1">
        <v>16</v>
      </c>
      <c r="P9" s="1"/>
      <c r="Q9" s="1">
        <f t="shared" si="3"/>
        <v>1.2396</v>
      </c>
      <c r="R9" s="5"/>
      <c r="S9" s="5">
        <f t="shared" si="5"/>
        <v>0</v>
      </c>
      <c r="T9" s="5"/>
      <c r="U9" s="18">
        <f>VLOOKUP(A9,[1]Sheet!$A:$S,19,0)</f>
        <v>100</v>
      </c>
      <c r="V9" s="1">
        <f t="shared" si="6"/>
        <v>37.260406582768638</v>
      </c>
      <c r="W9" s="1">
        <f t="shared" si="4"/>
        <v>37.260406582768638</v>
      </c>
      <c r="X9" s="1">
        <v>0.61</v>
      </c>
      <c r="Y9" s="1">
        <v>1.9416</v>
      </c>
      <c r="Z9" s="1">
        <v>1.9372</v>
      </c>
      <c r="AA9" s="1">
        <v>0.40425</v>
      </c>
      <c r="AB9" s="1">
        <v>0.65439999999999998</v>
      </c>
      <c r="AC9" s="1">
        <v>3.2088000000000001</v>
      </c>
      <c r="AD9" s="1">
        <v>3.1692</v>
      </c>
      <c r="AE9" s="1">
        <v>0</v>
      </c>
      <c r="AF9" s="1">
        <v>2.6052</v>
      </c>
      <c r="AG9" s="1">
        <v>1.2527999999999999</v>
      </c>
      <c r="AH9" s="15" t="s">
        <v>43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39</v>
      </c>
      <c r="C10" s="1">
        <v>148</v>
      </c>
      <c r="D10" s="1"/>
      <c r="E10" s="1">
        <v>3</v>
      </c>
      <c r="F10" s="1">
        <v>145</v>
      </c>
      <c r="G10" s="7">
        <v>0.82450000000000001</v>
      </c>
      <c r="H10" s="1">
        <v>180</v>
      </c>
      <c r="I10" s="1"/>
      <c r="J10" s="1"/>
      <c r="K10" s="1">
        <v>3</v>
      </c>
      <c r="L10" s="1">
        <f t="shared" si="2"/>
        <v>0</v>
      </c>
      <c r="M10" s="1"/>
      <c r="N10" s="1"/>
      <c r="O10" s="1"/>
      <c r="P10" s="1"/>
      <c r="Q10" s="1">
        <f t="shared" si="3"/>
        <v>0.6</v>
      </c>
      <c r="R10" s="5"/>
      <c r="S10" s="5">
        <f t="shared" si="5"/>
        <v>0</v>
      </c>
      <c r="T10" s="5"/>
      <c r="U10" s="18">
        <f>VLOOKUP(A10,[1]Sheet!$A:$S,19,0)</f>
        <v>120</v>
      </c>
      <c r="V10" s="1">
        <f t="shared" si="6"/>
        <v>241.66666666666669</v>
      </c>
      <c r="W10" s="1">
        <f t="shared" si="4"/>
        <v>241.66666666666669</v>
      </c>
      <c r="X10" s="1">
        <v>0.2</v>
      </c>
      <c r="Y10" s="1">
        <v>0</v>
      </c>
      <c r="Z10" s="1">
        <v>0.4</v>
      </c>
      <c r="AA10" s="1">
        <v>0</v>
      </c>
      <c r="AB10" s="1">
        <v>2.4</v>
      </c>
      <c r="AC10" s="1">
        <v>0</v>
      </c>
      <c r="AD10" s="1">
        <v>1</v>
      </c>
      <c r="AE10" s="1">
        <v>0.2</v>
      </c>
      <c r="AF10" s="1">
        <v>4.8</v>
      </c>
      <c r="AG10" s="1">
        <v>0</v>
      </c>
      <c r="AH10" s="15" t="s">
        <v>43</v>
      </c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39</v>
      </c>
      <c r="C11" s="1">
        <v>202</v>
      </c>
      <c r="D11" s="1">
        <v>6</v>
      </c>
      <c r="E11" s="1">
        <v>18</v>
      </c>
      <c r="F11" s="1">
        <v>169</v>
      </c>
      <c r="G11" s="7">
        <v>0.372</v>
      </c>
      <c r="H11" s="1">
        <v>180</v>
      </c>
      <c r="I11" s="1"/>
      <c r="J11" s="1"/>
      <c r="K11" s="1">
        <v>19</v>
      </c>
      <c r="L11" s="1">
        <f t="shared" si="2"/>
        <v>-1</v>
      </c>
      <c r="M11" s="1"/>
      <c r="N11" s="1"/>
      <c r="O11" s="1"/>
      <c r="P11" s="1"/>
      <c r="Q11" s="1">
        <f t="shared" si="3"/>
        <v>3.6</v>
      </c>
      <c r="R11" s="5"/>
      <c r="S11" s="5">
        <f t="shared" si="5"/>
        <v>0</v>
      </c>
      <c r="T11" s="5"/>
      <c r="U11" s="18">
        <f>VLOOKUP(A11,[1]Sheet!$A:$S,19,0)</f>
        <v>120</v>
      </c>
      <c r="V11" s="1">
        <f t="shared" si="6"/>
        <v>46.944444444444443</v>
      </c>
      <c r="W11" s="1">
        <f t="shared" si="4"/>
        <v>46.944444444444443</v>
      </c>
      <c r="X11" s="1">
        <v>3.2</v>
      </c>
      <c r="Y11" s="1">
        <v>0</v>
      </c>
      <c r="Z11" s="1">
        <v>13.2</v>
      </c>
      <c r="AA11" s="1">
        <v>7.375</v>
      </c>
      <c r="AB11" s="1">
        <v>16.8</v>
      </c>
      <c r="AC11" s="1">
        <v>11.2</v>
      </c>
      <c r="AD11" s="1">
        <v>17.399999999999999</v>
      </c>
      <c r="AE11" s="1">
        <v>5.8</v>
      </c>
      <c r="AF11" s="1">
        <v>33.4</v>
      </c>
      <c r="AG11" s="1">
        <v>12.8</v>
      </c>
      <c r="AH11" s="15" t="s">
        <v>43</v>
      </c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39</v>
      </c>
      <c r="C12" s="1">
        <v>192</v>
      </c>
      <c r="D12" s="1"/>
      <c r="E12" s="1"/>
      <c r="F12" s="1"/>
      <c r="G12" s="7">
        <v>0.74399999999999999</v>
      </c>
      <c r="H12" s="1">
        <v>180</v>
      </c>
      <c r="I12" s="1"/>
      <c r="J12" s="1"/>
      <c r="K12" s="1"/>
      <c r="L12" s="1">
        <f t="shared" si="2"/>
        <v>0</v>
      </c>
      <c r="M12" s="1"/>
      <c r="N12" s="1"/>
      <c r="O12" s="1"/>
      <c r="P12" s="1">
        <v>132</v>
      </c>
      <c r="Q12" s="1">
        <f t="shared" si="3"/>
        <v>0</v>
      </c>
      <c r="R12" s="5"/>
      <c r="S12" s="5">
        <v>50</v>
      </c>
      <c r="T12" s="5">
        <f>VLOOKUP(A12,заказ!A:B,2,0)</f>
        <v>48</v>
      </c>
      <c r="U12" s="18">
        <f>VLOOKUP(A12,[1]Sheet!$A:$S,19,0)</f>
        <v>150</v>
      </c>
      <c r="V12" s="1" t="e">
        <f t="shared" si="6"/>
        <v>#DIV/0!</v>
      </c>
      <c r="W12" s="1" t="e">
        <f t="shared" si="4"/>
        <v>#DIV/0!</v>
      </c>
      <c r="X12" s="1">
        <v>2.8</v>
      </c>
      <c r="Y12" s="1">
        <v>2.4</v>
      </c>
      <c r="Z12" s="1">
        <v>13.8</v>
      </c>
      <c r="AA12" s="1">
        <v>4.75</v>
      </c>
      <c r="AB12" s="1">
        <v>9.1999999999999993</v>
      </c>
      <c r="AC12" s="1">
        <v>1.2</v>
      </c>
      <c r="AD12" s="1">
        <v>10.6</v>
      </c>
      <c r="AE12" s="1">
        <v>1.6</v>
      </c>
      <c r="AF12" s="1">
        <v>31.6</v>
      </c>
      <c r="AG12" s="1">
        <v>4.2</v>
      </c>
      <c r="AH12" s="1" t="s">
        <v>47</v>
      </c>
      <c r="AI12" s="1">
        <f t="shared" si="7"/>
        <v>37.200000000000003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39</v>
      </c>
      <c r="C13" s="1">
        <v>140</v>
      </c>
      <c r="D13" s="1">
        <v>6</v>
      </c>
      <c r="E13" s="1">
        <v>48</v>
      </c>
      <c r="F13" s="1">
        <v>58</v>
      </c>
      <c r="G13" s="7">
        <v>0.372</v>
      </c>
      <c r="H13" s="1">
        <v>180</v>
      </c>
      <c r="I13" s="1"/>
      <c r="J13" s="1"/>
      <c r="K13" s="1">
        <v>47</v>
      </c>
      <c r="L13" s="1">
        <f t="shared" si="2"/>
        <v>1</v>
      </c>
      <c r="M13" s="1"/>
      <c r="N13" s="1"/>
      <c r="O13" s="1">
        <v>204</v>
      </c>
      <c r="P13" s="1">
        <v>60</v>
      </c>
      <c r="Q13" s="1">
        <f t="shared" si="3"/>
        <v>9.6</v>
      </c>
      <c r="R13" s="5"/>
      <c r="S13" s="5">
        <f t="shared" si="5"/>
        <v>0</v>
      </c>
      <c r="T13" s="5"/>
      <c r="U13" s="18">
        <f>VLOOKUP(A13,[1]Sheet!$A:$S,19,0)</f>
        <v>150</v>
      </c>
      <c r="V13" s="1">
        <f t="shared" si="6"/>
        <v>33.541666666666671</v>
      </c>
      <c r="W13" s="1">
        <f t="shared" si="4"/>
        <v>33.541666666666671</v>
      </c>
      <c r="X13" s="1">
        <v>8.8000000000000007</v>
      </c>
      <c r="Y13" s="1">
        <v>17.2</v>
      </c>
      <c r="Z13" s="1">
        <v>17.399999999999999</v>
      </c>
      <c r="AA13" s="1">
        <v>12.75</v>
      </c>
      <c r="AB13" s="1">
        <v>37.4</v>
      </c>
      <c r="AC13" s="1">
        <v>17</v>
      </c>
      <c r="AD13" s="1">
        <v>25.8</v>
      </c>
      <c r="AE13" s="1">
        <v>26.8</v>
      </c>
      <c r="AF13" s="1">
        <v>39.4</v>
      </c>
      <c r="AG13" s="1">
        <v>30.6</v>
      </c>
      <c r="AH13" s="14" t="s">
        <v>37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39</v>
      </c>
      <c r="C14" s="1">
        <v>271</v>
      </c>
      <c r="D14" s="1">
        <v>6</v>
      </c>
      <c r="E14" s="1">
        <v>74</v>
      </c>
      <c r="F14" s="1">
        <v>132</v>
      </c>
      <c r="G14" s="7">
        <v>0.74399999999999999</v>
      </c>
      <c r="H14" s="1">
        <v>180</v>
      </c>
      <c r="I14" s="1"/>
      <c r="J14" s="1"/>
      <c r="K14" s="1">
        <v>73</v>
      </c>
      <c r="L14" s="1">
        <f t="shared" si="2"/>
        <v>1</v>
      </c>
      <c r="M14" s="1"/>
      <c r="N14" s="1"/>
      <c r="O14" s="1"/>
      <c r="P14" s="1">
        <v>48</v>
      </c>
      <c r="Q14" s="1">
        <f t="shared" si="3"/>
        <v>14.8</v>
      </c>
      <c r="R14" s="5">
        <f t="shared" ref="R14:R21" si="8">18*Q14-P14-O14-F14</f>
        <v>86.400000000000034</v>
      </c>
      <c r="S14" s="5">
        <v>150</v>
      </c>
      <c r="T14" s="5">
        <f>VLOOKUP(A14,заказ!A:B,2,0)</f>
        <v>144</v>
      </c>
      <c r="U14" s="18">
        <f>VLOOKUP(A14,[1]Sheet!$A:$S,19,0)</f>
        <v>250</v>
      </c>
      <c r="V14" s="1">
        <f t="shared" si="6"/>
        <v>22.297297297297295</v>
      </c>
      <c r="W14" s="1">
        <f t="shared" si="4"/>
        <v>12.162162162162161</v>
      </c>
      <c r="X14" s="1">
        <v>11.8</v>
      </c>
      <c r="Y14" s="1">
        <v>3.4</v>
      </c>
      <c r="Z14" s="1">
        <v>20.2</v>
      </c>
      <c r="AA14" s="1">
        <v>17.375</v>
      </c>
      <c r="AB14" s="1">
        <v>29.4</v>
      </c>
      <c r="AC14" s="1">
        <v>8</v>
      </c>
      <c r="AD14" s="1">
        <v>16</v>
      </c>
      <c r="AE14" s="1">
        <v>5.6</v>
      </c>
      <c r="AF14" s="1">
        <v>42.6</v>
      </c>
      <c r="AG14" s="1">
        <v>39.799999999999997</v>
      </c>
      <c r="AH14" s="1"/>
      <c r="AI14" s="1">
        <f t="shared" si="7"/>
        <v>111.6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39</v>
      </c>
      <c r="C15" s="1">
        <v>49</v>
      </c>
      <c r="D15" s="1">
        <v>5</v>
      </c>
      <c r="E15" s="1">
        <v>4</v>
      </c>
      <c r="F15" s="1">
        <v>42</v>
      </c>
      <c r="G15" s="7">
        <v>0.14000000000000001</v>
      </c>
      <c r="H15" s="1">
        <v>180</v>
      </c>
      <c r="I15" s="1"/>
      <c r="J15" s="1"/>
      <c r="K15" s="1">
        <v>9</v>
      </c>
      <c r="L15" s="1">
        <f t="shared" si="2"/>
        <v>-5</v>
      </c>
      <c r="M15" s="1"/>
      <c r="N15" s="1"/>
      <c r="O15" s="1"/>
      <c r="P15" s="1">
        <v>80</v>
      </c>
      <c r="Q15" s="1">
        <f t="shared" si="3"/>
        <v>0.8</v>
      </c>
      <c r="R15" s="5"/>
      <c r="S15" s="5">
        <f t="shared" si="5"/>
        <v>0</v>
      </c>
      <c r="T15" s="5"/>
      <c r="U15" s="18"/>
      <c r="V15" s="1">
        <f t="shared" si="6"/>
        <v>152.5</v>
      </c>
      <c r="W15" s="1">
        <f t="shared" si="4"/>
        <v>152.5</v>
      </c>
      <c r="X15" s="1">
        <v>5</v>
      </c>
      <c r="Y15" s="1">
        <v>3</v>
      </c>
      <c r="Z15" s="1">
        <v>4</v>
      </c>
      <c r="AA15" s="1">
        <v>0</v>
      </c>
      <c r="AB15" s="1">
        <v>3</v>
      </c>
      <c r="AC15" s="1">
        <v>3</v>
      </c>
      <c r="AD15" s="1">
        <v>0</v>
      </c>
      <c r="AE15" s="1">
        <v>1.8</v>
      </c>
      <c r="AF15" s="1">
        <v>11</v>
      </c>
      <c r="AG15" s="1">
        <v>2</v>
      </c>
      <c r="AH15" s="17" t="s">
        <v>93</v>
      </c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39</v>
      </c>
      <c r="C16" s="1">
        <v>61</v>
      </c>
      <c r="D16" s="1">
        <v>5</v>
      </c>
      <c r="E16" s="1">
        <v>41</v>
      </c>
      <c r="F16" s="1">
        <v>9</v>
      </c>
      <c r="G16" s="7">
        <v>0.18</v>
      </c>
      <c r="H16" s="1">
        <v>270</v>
      </c>
      <c r="I16" s="1"/>
      <c r="J16" s="1"/>
      <c r="K16" s="1">
        <v>46</v>
      </c>
      <c r="L16" s="1">
        <f t="shared" si="2"/>
        <v>-5</v>
      </c>
      <c r="M16" s="1"/>
      <c r="N16" s="1"/>
      <c r="O16" s="1">
        <v>48</v>
      </c>
      <c r="P16" s="1">
        <v>256</v>
      </c>
      <c r="Q16" s="1">
        <f t="shared" si="3"/>
        <v>8.1999999999999993</v>
      </c>
      <c r="R16" s="5"/>
      <c r="S16" s="5">
        <f t="shared" si="5"/>
        <v>0</v>
      </c>
      <c r="T16" s="5"/>
      <c r="U16" s="18">
        <f>VLOOKUP(A16,[1]Sheet!$A:$S,19,0)</f>
        <v>100</v>
      </c>
      <c r="V16" s="1">
        <f t="shared" si="6"/>
        <v>38.170731707317074</v>
      </c>
      <c r="W16" s="1">
        <f t="shared" si="4"/>
        <v>38.170731707317074</v>
      </c>
      <c r="X16" s="1">
        <v>15</v>
      </c>
      <c r="Y16" s="1">
        <v>7.4</v>
      </c>
      <c r="Z16" s="1">
        <v>2.4</v>
      </c>
      <c r="AA16" s="1">
        <v>12.125</v>
      </c>
      <c r="AB16" s="1">
        <v>13.8</v>
      </c>
      <c r="AC16" s="1">
        <v>13.4</v>
      </c>
      <c r="AD16" s="1">
        <v>15</v>
      </c>
      <c r="AE16" s="1">
        <v>11.6</v>
      </c>
      <c r="AF16" s="1">
        <v>15.8</v>
      </c>
      <c r="AG16" s="1">
        <v>9.1999999999999993</v>
      </c>
      <c r="AH16" s="1"/>
      <c r="AI16" s="1">
        <f t="shared" si="7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39</v>
      </c>
      <c r="C17" s="1">
        <v>83</v>
      </c>
      <c r="D17" s="1">
        <v>5</v>
      </c>
      <c r="E17" s="1">
        <v>41</v>
      </c>
      <c r="F17" s="1">
        <v>36</v>
      </c>
      <c r="G17" s="7">
        <v>0.18</v>
      </c>
      <c r="H17" s="1">
        <v>270</v>
      </c>
      <c r="I17" s="1"/>
      <c r="J17" s="1"/>
      <c r="K17" s="1">
        <v>46</v>
      </c>
      <c r="L17" s="1">
        <f t="shared" si="2"/>
        <v>-5</v>
      </c>
      <c r="M17" s="1"/>
      <c r="N17" s="1"/>
      <c r="O17" s="1">
        <v>16</v>
      </c>
      <c r="P17" s="1">
        <v>256</v>
      </c>
      <c r="Q17" s="1">
        <f t="shared" si="3"/>
        <v>8.1999999999999993</v>
      </c>
      <c r="R17" s="5"/>
      <c r="S17" s="5">
        <f t="shared" si="5"/>
        <v>0</v>
      </c>
      <c r="T17" s="5"/>
      <c r="U17" s="18"/>
      <c r="V17" s="1">
        <f t="shared" si="6"/>
        <v>37.560975609756099</v>
      </c>
      <c r="W17" s="1">
        <f t="shared" si="4"/>
        <v>37.560975609756099</v>
      </c>
      <c r="X17" s="1">
        <v>14.8</v>
      </c>
      <c r="Y17" s="1">
        <v>7</v>
      </c>
      <c r="Z17" s="1">
        <v>1.4</v>
      </c>
      <c r="AA17" s="1">
        <v>12.625</v>
      </c>
      <c r="AB17" s="1">
        <v>14.2</v>
      </c>
      <c r="AC17" s="1">
        <v>13.2</v>
      </c>
      <c r="AD17" s="1">
        <v>11.8</v>
      </c>
      <c r="AE17" s="1">
        <v>7.4</v>
      </c>
      <c r="AF17" s="1">
        <v>18</v>
      </c>
      <c r="AG17" s="1">
        <v>11.4</v>
      </c>
      <c r="AH17" s="1"/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39</v>
      </c>
      <c r="C18" s="1">
        <v>85</v>
      </c>
      <c r="D18" s="1"/>
      <c r="E18" s="1"/>
      <c r="F18" s="1">
        <v>80</v>
      </c>
      <c r="G18" s="7">
        <v>0.1</v>
      </c>
      <c r="H18" s="1"/>
      <c r="I18" s="1"/>
      <c r="J18" s="1"/>
      <c r="K18" s="1">
        <v>1</v>
      </c>
      <c r="L18" s="1">
        <f t="shared" si="2"/>
        <v>-1</v>
      </c>
      <c r="M18" s="1"/>
      <c r="N18" s="1"/>
      <c r="O18" s="1"/>
      <c r="P18" s="1"/>
      <c r="Q18" s="1">
        <f t="shared" si="3"/>
        <v>0</v>
      </c>
      <c r="R18" s="5"/>
      <c r="S18" s="5">
        <f t="shared" si="5"/>
        <v>0</v>
      </c>
      <c r="T18" s="5"/>
      <c r="U18" s="18"/>
      <c r="V18" s="1" t="e">
        <f t="shared" si="6"/>
        <v>#DIV/0!</v>
      </c>
      <c r="W18" s="1" t="e">
        <f t="shared" si="4"/>
        <v>#DIV/0!</v>
      </c>
      <c r="X18" s="1">
        <v>1.6</v>
      </c>
      <c r="Y18" s="1">
        <v>0.4</v>
      </c>
      <c r="Z18" s="1">
        <v>5.4</v>
      </c>
      <c r="AA18" s="1">
        <v>1.5</v>
      </c>
      <c r="AB18" s="1">
        <v>3.2</v>
      </c>
      <c r="AC18" s="1">
        <v>3.4</v>
      </c>
      <c r="AD18" s="1">
        <v>13.2</v>
      </c>
      <c r="AE18" s="1">
        <v>2</v>
      </c>
      <c r="AF18" s="1">
        <v>0</v>
      </c>
      <c r="AG18" s="1">
        <v>1.8</v>
      </c>
      <c r="AH18" s="15" t="s">
        <v>43</v>
      </c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39</v>
      </c>
      <c r="C19" s="1">
        <v>25</v>
      </c>
      <c r="D19" s="1"/>
      <c r="E19" s="1">
        <v>-1</v>
      </c>
      <c r="F19" s="1">
        <v>21</v>
      </c>
      <c r="G19" s="7">
        <v>0.1</v>
      </c>
      <c r="H19" s="1">
        <v>60</v>
      </c>
      <c r="I19" s="1"/>
      <c r="J19" s="1"/>
      <c r="K19" s="1"/>
      <c r="L19" s="1">
        <f t="shared" si="2"/>
        <v>-1</v>
      </c>
      <c r="M19" s="1"/>
      <c r="N19" s="1"/>
      <c r="O19" s="1"/>
      <c r="P19" s="1">
        <v>8</v>
      </c>
      <c r="Q19" s="1">
        <f t="shared" si="3"/>
        <v>-0.2</v>
      </c>
      <c r="R19" s="5"/>
      <c r="S19" s="5">
        <f t="shared" si="5"/>
        <v>0</v>
      </c>
      <c r="T19" s="5"/>
      <c r="U19" s="18"/>
      <c r="V19" s="1">
        <f t="shared" si="6"/>
        <v>-145</v>
      </c>
      <c r="W19" s="1">
        <f t="shared" si="4"/>
        <v>-145</v>
      </c>
      <c r="X19" s="1">
        <v>1.8</v>
      </c>
      <c r="Y19" s="1">
        <v>0.6</v>
      </c>
      <c r="Z19" s="1">
        <v>2.4</v>
      </c>
      <c r="AA19" s="1">
        <v>1.75</v>
      </c>
      <c r="AB19" s="1">
        <v>3.2</v>
      </c>
      <c r="AC19" s="1">
        <v>2.6</v>
      </c>
      <c r="AD19" s="1">
        <v>0</v>
      </c>
      <c r="AE19" s="1">
        <v>2.2000000000000002</v>
      </c>
      <c r="AF19" s="1">
        <v>3.2</v>
      </c>
      <c r="AG19" s="1">
        <v>1.6</v>
      </c>
      <c r="AH19" s="15" t="s">
        <v>43</v>
      </c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39</v>
      </c>
      <c r="C20" s="1">
        <v>1611</v>
      </c>
      <c r="D20" s="1">
        <v>130</v>
      </c>
      <c r="E20" s="1">
        <v>782</v>
      </c>
      <c r="F20" s="1">
        <v>543</v>
      </c>
      <c r="G20" s="7">
        <v>0.18</v>
      </c>
      <c r="H20" s="1">
        <v>180</v>
      </c>
      <c r="I20" s="1"/>
      <c r="J20" s="1"/>
      <c r="K20" s="1">
        <v>902</v>
      </c>
      <c r="L20" s="1">
        <f t="shared" si="2"/>
        <v>-120</v>
      </c>
      <c r="M20" s="1"/>
      <c r="N20" s="1"/>
      <c r="O20" s="1">
        <v>1000</v>
      </c>
      <c r="P20" s="1">
        <v>300</v>
      </c>
      <c r="Q20" s="1">
        <f t="shared" si="3"/>
        <v>156.4</v>
      </c>
      <c r="R20" s="5">
        <f t="shared" si="8"/>
        <v>972.20000000000027</v>
      </c>
      <c r="S20" s="5">
        <v>1300</v>
      </c>
      <c r="T20" s="5">
        <f>VLOOKUP(A20,заказ!A:B,2,0)</f>
        <v>1300</v>
      </c>
      <c r="U20" s="18">
        <f>VLOOKUP(A20,[1]Sheet!$A:$S,19,0)</f>
        <v>1500</v>
      </c>
      <c r="V20" s="1">
        <f t="shared" si="6"/>
        <v>20.095907928388748</v>
      </c>
      <c r="W20" s="1">
        <f t="shared" si="4"/>
        <v>11.78388746803069</v>
      </c>
      <c r="X20" s="1">
        <v>66.599999999999994</v>
      </c>
      <c r="Y20" s="1">
        <v>99</v>
      </c>
      <c r="Z20" s="1">
        <v>135.80000000000001</v>
      </c>
      <c r="AA20" s="1">
        <v>26.625</v>
      </c>
      <c r="AB20" s="1">
        <v>99.6</v>
      </c>
      <c r="AC20" s="1">
        <v>81.599999999999994</v>
      </c>
      <c r="AD20" s="1">
        <v>48</v>
      </c>
      <c r="AE20" s="1">
        <v>74.8</v>
      </c>
      <c r="AF20" s="1">
        <v>25.2</v>
      </c>
      <c r="AG20" s="1">
        <v>7.4</v>
      </c>
      <c r="AH20" s="1"/>
      <c r="AI20" s="1">
        <f t="shared" si="7"/>
        <v>234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56</v>
      </c>
      <c r="B21" s="1" t="s">
        <v>39</v>
      </c>
      <c r="C21" s="1">
        <v>948</v>
      </c>
      <c r="D21" s="1">
        <v>150</v>
      </c>
      <c r="E21" s="1">
        <v>860</v>
      </c>
      <c r="F21" s="1">
        <v>33</v>
      </c>
      <c r="G21" s="7">
        <v>0.18</v>
      </c>
      <c r="H21" s="1">
        <v>180</v>
      </c>
      <c r="I21" s="1"/>
      <c r="J21" s="1"/>
      <c r="K21" s="1">
        <v>985</v>
      </c>
      <c r="L21" s="1">
        <f t="shared" si="2"/>
        <v>-125</v>
      </c>
      <c r="M21" s="1"/>
      <c r="N21" s="1"/>
      <c r="O21" s="1">
        <v>1500</v>
      </c>
      <c r="P21" s="1">
        <v>500</v>
      </c>
      <c r="Q21" s="1">
        <f t="shared" si="3"/>
        <v>172</v>
      </c>
      <c r="R21" s="5">
        <f t="shared" si="8"/>
        <v>1063</v>
      </c>
      <c r="S21" s="5">
        <v>1400</v>
      </c>
      <c r="T21" s="5">
        <f>VLOOKUP(A21,заказ!A:B,2,0)</f>
        <v>1400</v>
      </c>
      <c r="U21" s="18">
        <f>VLOOKUP(A21,[1]Sheet!$A:$S,19,0)</f>
        <v>1800</v>
      </c>
      <c r="V21" s="1">
        <f t="shared" si="6"/>
        <v>19.959302325581394</v>
      </c>
      <c r="W21" s="1">
        <f t="shared" si="4"/>
        <v>11.819767441860465</v>
      </c>
      <c r="X21" s="1">
        <v>89.4</v>
      </c>
      <c r="Y21" s="1">
        <v>103.4</v>
      </c>
      <c r="Z21" s="1">
        <v>66.2</v>
      </c>
      <c r="AA21" s="1">
        <v>45.625</v>
      </c>
      <c r="AB21" s="1">
        <v>116</v>
      </c>
      <c r="AC21" s="1">
        <v>16.2</v>
      </c>
      <c r="AD21" s="1">
        <v>42.8</v>
      </c>
      <c r="AE21" s="1">
        <v>110.8</v>
      </c>
      <c r="AF21" s="1">
        <v>32.4</v>
      </c>
      <c r="AG21" s="1">
        <v>-2.2000000000000002</v>
      </c>
      <c r="AH21" s="1"/>
      <c r="AI21" s="1">
        <f t="shared" si="7"/>
        <v>252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39</v>
      </c>
      <c r="C22" s="1">
        <v>37</v>
      </c>
      <c r="D22" s="1">
        <v>2</v>
      </c>
      <c r="E22" s="1">
        <v>9</v>
      </c>
      <c r="F22" s="1">
        <v>21</v>
      </c>
      <c r="G22" s="7">
        <v>0.4</v>
      </c>
      <c r="H22" s="1">
        <v>270</v>
      </c>
      <c r="I22" s="1"/>
      <c r="J22" s="1"/>
      <c r="K22" s="1">
        <v>12</v>
      </c>
      <c r="L22" s="1">
        <f t="shared" si="2"/>
        <v>-3</v>
      </c>
      <c r="M22" s="1"/>
      <c r="N22" s="1"/>
      <c r="O22" s="1"/>
      <c r="P22" s="1">
        <v>32</v>
      </c>
      <c r="Q22" s="1">
        <f t="shared" si="3"/>
        <v>1.8</v>
      </c>
      <c r="R22" s="5"/>
      <c r="S22" s="5">
        <f t="shared" si="5"/>
        <v>0</v>
      </c>
      <c r="T22" s="5"/>
      <c r="U22" s="18"/>
      <c r="V22" s="1">
        <f t="shared" si="6"/>
        <v>29.444444444444443</v>
      </c>
      <c r="W22" s="1">
        <f t="shared" si="4"/>
        <v>29.444444444444443</v>
      </c>
      <c r="X22" s="1">
        <v>1.8</v>
      </c>
      <c r="Y22" s="1">
        <v>0.8</v>
      </c>
      <c r="Z22" s="1">
        <v>2.8</v>
      </c>
      <c r="AA22" s="1">
        <v>2.375</v>
      </c>
      <c r="AB22" s="1">
        <v>1</v>
      </c>
      <c r="AC22" s="1">
        <v>5.2</v>
      </c>
      <c r="AD22" s="1">
        <v>7</v>
      </c>
      <c r="AE22" s="1">
        <v>1.6</v>
      </c>
      <c r="AF22" s="1">
        <v>0.8</v>
      </c>
      <c r="AG22" s="1">
        <v>1.8</v>
      </c>
      <c r="AH22" s="1"/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58</v>
      </c>
      <c r="B23" s="1" t="s">
        <v>39</v>
      </c>
      <c r="C23" s="1">
        <v>28</v>
      </c>
      <c r="D23" s="1"/>
      <c r="E23" s="1">
        <v>8</v>
      </c>
      <c r="F23" s="1">
        <v>20</v>
      </c>
      <c r="G23" s="7">
        <v>0.4</v>
      </c>
      <c r="H23" s="1">
        <v>270</v>
      </c>
      <c r="I23" s="1"/>
      <c r="J23" s="1"/>
      <c r="K23" s="1">
        <v>8</v>
      </c>
      <c r="L23" s="1">
        <f t="shared" si="2"/>
        <v>0</v>
      </c>
      <c r="M23" s="1"/>
      <c r="N23" s="1"/>
      <c r="O23" s="1">
        <v>28</v>
      </c>
      <c r="P23" s="1">
        <v>28</v>
      </c>
      <c r="Q23" s="1">
        <f t="shared" si="3"/>
        <v>1.6</v>
      </c>
      <c r="R23" s="5"/>
      <c r="S23" s="5">
        <f t="shared" si="5"/>
        <v>0</v>
      </c>
      <c r="T23" s="5"/>
      <c r="U23" s="18"/>
      <c r="V23" s="1">
        <f t="shared" si="6"/>
        <v>47.5</v>
      </c>
      <c r="W23" s="1">
        <f t="shared" si="4"/>
        <v>47.5</v>
      </c>
      <c r="X23" s="1">
        <v>1.2</v>
      </c>
      <c r="Y23" s="1">
        <v>4</v>
      </c>
      <c r="Z23" s="1">
        <v>2.6</v>
      </c>
      <c r="AA23" s="1">
        <v>3.5</v>
      </c>
      <c r="AB23" s="1">
        <v>3</v>
      </c>
      <c r="AC23" s="1">
        <v>3</v>
      </c>
      <c r="AD23" s="1">
        <v>0</v>
      </c>
      <c r="AE23" s="1">
        <v>3.8</v>
      </c>
      <c r="AF23" s="1">
        <v>1</v>
      </c>
      <c r="AG23" s="1">
        <v>2.2000000000000002</v>
      </c>
      <c r="AH23" s="14" t="s">
        <v>37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59</v>
      </c>
      <c r="B24" s="1" t="s">
        <v>39</v>
      </c>
      <c r="C24" s="1">
        <v>42</v>
      </c>
      <c r="D24" s="1"/>
      <c r="E24" s="1">
        <v>6</v>
      </c>
      <c r="F24" s="1">
        <v>36</v>
      </c>
      <c r="G24" s="7">
        <v>0.18</v>
      </c>
      <c r="H24" s="1">
        <v>270</v>
      </c>
      <c r="I24" s="1"/>
      <c r="J24" s="1"/>
      <c r="K24" s="1">
        <v>6</v>
      </c>
      <c r="L24" s="1">
        <f t="shared" si="2"/>
        <v>0</v>
      </c>
      <c r="M24" s="1"/>
      <c r="N24" s="1"/>
      <c r="O24" s="1"/>
      <c r="P24" s="1">
        <v>0</v>
      </c>
      <c r="Q24" s="1">
        <f t="shared" si="3"/>
        <v>1.2</v>
      </c>
      <c r="R24" s="5"/>
      <c r="S24" s="5">
        <v>10</v>
      </c>
      <c r="T24" s="5">
        <f>VLOOKUP(A24,заказ!A:B,2,0)</f>
        <v>16</v>
      </c>
      <c r="U24" s="18">
        <f>VLOOKUP(A24,[1]Sheet!$A:$S,19,0)</f>
        <v>30</v>
      </c>
      <c r="V24" s="1">
        <f t="shared" si="6"/>
        <v>38.333333333333336</v>
      </c>
      <c r="W24" s="1">
        <f t="shared" si="4"/>
        <v>30</v>
      </c>
      <c r="X24" s="1">
        <v>3.6</v>
      </c>
      <c r="Y24" s="1">
        <v>0</v>
      </c>
      <c r="Z24" s="1">
        <v>3.8</v>
      </c>
      <c r="AA24" s="1">
        <v>3.25</v>
      </c>
      <c r="AB24" s="1">
        <v>1.8</v>
      </c>
      <c r="AC24" s="1">
        <v>5.2</v>
      </c>
      <c r="AD24" s="1">
        <v>7</v>
      </c>
      <c r="AE24" s="1">
        <v>5</v>
      </c>
      <c r="AF24" s="1">
        <v>3.2</v>
      </c>
      <c r="AG24" s="1">
        <v>5.2</v>
      </c>
      <c r="AH24" s="1" t="s">
        <v>40</v>
      </c>
      <c r="AI24" s="1">
        <f t="shared" si="7"/>
        <v>1.7999999999999998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60</v>
      </c>
      <c r="B25" s="1" t="s">
        <v>39</v>
      </c>
      <c r="C25" s="1">
        <v>61</v>
      </c>
      <c r="D25" s="1"/>
      <c r="E25" s="1">
        <v>22</v>
      </c>
      <c r="F25" s="1">
        <v>36</v>
      </c>
      <c r="G25" s="7">
        <v>0.2</v>
      </c>
      <c r="H25" s="1">
        <v>120</v>
      </c>
      <c r="I25" s="1"/>
      <c r="J25" s="1"/>
      <c r="K25" s="1">
        <v>22</v>
      </c>
      <c r="L25" s="1">
        <f t="shared" si="2"/>
        <v>0</v>
      </c>
      <c r="M25" s="1"/>
      <c r="N25" s="1"/>
      <c r="O25" s="1"/>
      <c r="P25" s="1"/>
      <c r="Q25" s="1">
        <f t="shared" si="3"/>
        <v>4.4000000000000004</v>
      </c>
      <c r="R25" s="5">
        <f>16*Q25-P25-O25-F25</f>
        <v>34.400000000000006</v>
      </c>
      <c r="S25" s="5">
        <v>50</v>
      </c>
      <c r="T25" s="5">
        <f>VLOOKUP(A25,заказ!A:B,2,0)</f>
        <v>48</v>
      </c>
      <c r="U25" s="18">
        <f>VLOOKUP(A25,[1]Sheet!$A:$S,19,0)</f>
        <v>100</v>
      </c>
      <c r="V25" s="1">
        <f t="shared" si="6"/>
        <v>19.545454545454543</v>
      </c>
      <c r="W25" s="1">
        <f t="shared" si="4"/>
        <v>8.1818181818181817</v>
      </c>
      <c r="X25" s="1">
        <v>0</v>
      </c>
      <c r="Y25" s="1">
        <v>1.6</v>
      </c>
      <c r="Z25" s="1">
        <v>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14.4</v>
      </c>
      <c r="AG25" s="1">
        <v>0</v>
      </c>
      <c r="AH25" s="16" t="s">
        <v>95</v>
      </c>
      <c r="AI25" s="1">
        <f t="shared" si="7"/>
        <v>10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61</v>
      </c>
      <c r="B26" s="1" t="s">
        <v>36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5">
        <f t="shared" si="5"/>
        <v>0</v>
      </c>
      <c r="T26" s="5"/>
      <c r="U26" s="18">
        <f>VLOOKUP(A26,[1]Sheet!$A:$S,19,0)</f>
        <v>200</v>
      </c>
      <c r="V26" s="1" t="e">
        <f t="shared" si="6"/>
        <v>#DIV/0!</v>
      </c>
      <c r="W26" s="1" t="e">
        <f t="shared" si="4"/>
        <v>#DIV/0!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7" t="s">
        <v>94</v>
      </c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9" t="s">
        <v>62</v>
      </c>
      <c r="B27" s="9" t="s">
        <v>36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/>
      <c r="Q27" s="9">
        <f t="shared" si="3"/>
        <v>0</v>
      </c>
      <c r="R27" s="11"/>
      <c r="S27" s="5">
        <f t="shared" si="5"/>
        <v>0</v>
      </c>
      <c r="T27" s="5"/>
      <c r="U27" s="18"/>
      <c r="V27" s="1" t="e">
        <f t="shared" si="6"/>
        <v>#DIV/0!</v>
      </c>
      <c r="W27" s="9" t="e">
        <f t="shared" si="4"/>
        <v>#DIV/0!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 t="s">
        <v>63</v>
      </c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64</v>
      </c>
      <c r="B28" s="1" t="s">
        <v>39</v>
      </c>
      <c r="C28" s="1">
        <v>88</v>
      </c>
      <c r="D28" s="1"/>
      <c r="E28" s="1">
        <v>5</v>
      </c>
      <c r="F28" s="1">
        <v>75</v>
      </c>
      <c r="G28" s="7">
        <v>0.18</v>
      </c>
      <c r="H28" s="1">
        <v>150</v>
      </c>
      <c r="I28" s="1"/>
      <c r="J28" s="1"/>
      <c r="K28" s="1">
        <v>10</v>
      </c>
      <c r="L28" s="1">
        <f t="shared" si="2"/>
        <v>-5</v>
      </c>
      <c r="M28" s="1"/>
      <c r="N28" s="1"/>
      <c r="O28" s="1"/>
      <c r="P28" s="1">
        <v>18</v>
      </c>
      <c r="Q28" s="1">
        <f t="shared" si="3"/>
        <v>1</v>
      </c>
      <c r="R28" s="5"/>
      <c r="S28" s="5">
        <f t="shared" si="5"/>
        <v>0</v>
      </c>
      <c r="T28" s="5"/>
      <c r="U28" s="18">
        <f>VLOOKUP(A28,[1]Sheet!$A:$S,19,0)</f>
        <v>20</v>
      </c>
      <c r="V28" s="1">
        <f t="shared" si="6"/>
        <v>93</v>
      </c>
      <c r="W28" s="1">
        <f t="shared" si="4"/>
        <v>93</v>
      </c>
      <c r="X28" s="1">
        <v>3</v>
      </c>
      <c r="Y28" s="1">
        <v>6</v>
      </c>
      <c r="Z28" s="1">
        <v>11.2</v>
      </c>
      <c r="AA28" s="1">
        <v>3.5</v>
      </c>
      <c r="AB28" s="1">
        <v>15.6</v>
      </c>
      <c r="AC28" s="1">
        <v>4.5999999999999996</v>
      </c>
      <c r="AD28" s="1">
        <v>1.2</v>
      </c>
      <c r="AE28" s="1">
        <v>0.8</v>
      </c>
      <c r="AF28" s="1">
        <v>24.6</v>
      </c>
      <c r="AG28" s="1">
        <v>3.4</v>
      </c>
      <c r="AH28" s="15" t="s">
        <v>43</v>
      </c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65</v>
      </c>
      <c r="B29" s="1" t="s">
        <v>39</v>
      </c>
      <c r="C29" s="1">
        <v>74</v>
      </c>
      <c r="D29" s="1"/>
      <c r="E29" s="1">
        <v>1</v>
      </c>
      <c r="F29" s="1">
        <v>70</v>
      </c>
      <c r="G29" s="7">
        <v>0.1</v>
      </c>
      <c r="H29" s="1">
        <v>90</v>
      </c>
      <c r="I29" s="1"/>
      <c r="J29" s="1"/>
      <c r="K29" s="1">
        <v>1</v>
      </c>
      <c r="L29" s="1">
        <f t="shared" si="2"/>
        <v>0</v>
      </c>
      <c r="M29" s="1"/>
      <c r="N29" s="1"/>
      <c r="O29" s="1"/>
      <c r="P29" s="1">
        <v>8</v>
      </c>
      <c r="Q29" s="1">
        <f t="shared" si="3"/>
        <v>0.2</v>
      </c>
      <c r="R29" s="5"/>
      <c r="S29" s="5">
        <f t="shared" si="5"/>
        <v>0</v>
      </c>
      <c r="T29" s="5"/>
      <c r="U29" s="18">
        <f>VLOOKUP(A29,[1]Sheet!$A:$S,19,0)</f>
        <v>20</v>
      </c>
      <c r="V29" s="1">
        <f t="shared" si="6"/>
        <v>390</v>
      </c>
      <c r="W29" s="1">
        <f t="shared" si="4"/>
        <v>390</v>
      </c>
      <c r="X29" s="1">
        <v>1.8</v>
      </c>
      <c r="Y29" s="1">
        <v>-0.2</v>
      </c>
      <c r="Z29" s="1">
        <v>8.6</v>
      </c>
      <c r="AA29" s="1">
        <v>1.375</v>
      </c>
      <c r="AB29" s="1">
        <v>2.6</v>
      </c>
      <c r="AC29" s="1">
        <v>3.8</v>
      </c>
      <c r="AD29" s="1">
        <v>1</v>
      </c>
      <c r="AE29" s="1">
        <v>0.4</v>
      </c>
      <c r="AF29" s="1">
        <v>8.6</v>
      </c>
      <c r="AG29" s="1">
        <v>2</v>
      </c>
      <c r="AH29" s="15" t="s">
        <v>43</v>
      </c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66</v>
      </c>
      <c r="B30" s="1" t="s">
        <v>39</v>
      </c>
      <c r="C30" s="1">
        <v>40</v>
      </c>
      <c r="D30" s="1"/>
      <c r="E30" s="1">
        <v>10</v>
      </c>
      <c r="F30" s="1">
        <v>30</v>
      </c>
      <c r="G30" s="7">
        <v>0.1</v>
      </c>
      <c r="H30" s="1">
        <v>60</v>
      </c>
      <c r="I30" s="1"/>
      <c r="J30" s="1"/>
      <c r="K30" s="1">
        <v>10</v>
      </c>
      <c r="L30" s="1">
        <f t="shared" si="2"/>
        <v>0</v>
      </c>
      <c r="M30" s="1"/>
      <c r="N30" s="1"/>
      <c r="O30" s="1"/>
      <c r="P30" s="1">
        <v>8</v>
      </c>
      <c r="Q30" s="1">
        <f t="shared" si="3"/>
        <v>2</v>
      </c>
      <c r="R30" s="5"/>
      <c r="S30" s="5">
        <v>8</v>
      </c>
      <c r="T30" s="5">
        <f>VLOOKUP(A30,заказ!A:B,2,0)</f>
        <v>8</v>
      </c>
      <c r="U30" s="18">
        <f>VLOOKUP(A30,[1]Sheet!$A:$S,19,0)</f>
        <v>50</v>
      </c>
      <c r="V30" s="1">
        <f t="shared" si="6"/>
        <v>23</v>
      </c>
      <c r="W30" s="1">
        <f t="shared" si="4"/>
        <v>19</v>
      </c>
      <c r="X30" s="1">
        <v>2.2000000000000002</v>
      </c>
      <c r="Y30" s="1">
        <v>2.2000000000000002</v>
      </c>
      <c r="Z30" s="1">
        <v>3.2</v>
      </c>
      <c r="AA30" s="1">
        <v>0.375</v>
      </c>
      <c r="AB30" s="1">
        <v>6.4</v>
      </c>
      <c r="AC30" s="1">
        <v>1.6</v>
      </c>
      <c r="AD30" s="1">
        <v>1.6</v>
      </c>
      <c r="AE30" s="1">
        <v>4.8</v>
      </c>
      <c r="AF30" s="1">
        <v>0</v>
      </c>
      <c r="AG30" s="1">
        <v>1.6</v>
      </c>
      <c r="AH30" s="1"/>
      <c r="AI30" s="1">
        <f t="shared" si="7"/>
        <v>0.8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67</v>
      </c>
      <c r="B31" s="1" t="s">
        <v>39</v>
      </c>
      <c r="C31" s="1">
        <v>119</v>
      </c>
      <c r="D31" s="1"/>
      <c r="E31" s="1">
        <v>8</v>
      </c>
      <c r="F31" s="1">
        <v>111</v>
      </c>
      <c r="G31" s="7">
        <v>0.1</v>
      </c>
      <c r="H31" s="1">
        <v>90</v>
      </c>
      <c r="I31" s="1"/>
      <c r="J31" s="1"/>
      <c r="K31" s="1">
        <v>8</v>
      </c>
      <c r="L31" s="1">
        <f t="shared" si="2"/>
        <v>0</v>
      </c>
      <c r="M31" s="1"/>
      <c r="N31" s="1"/>
      <c r="O31" s="1"/>
      <c r="P31" s="1"/>
      <c r="Q31" s="1">
        <f t="shared" si="3"/>
        <v>1.6</v>
      </c>
      <c r="R31" s="5"/>
      <c r="S31" s="5">
        <f t="shared" si="5"/>
        <v>0</v>
      </c>
      <c r="T31" s="5"/>
      <c r="U31" s="18"/>
      <c r="V31" s="1">
        <f t="shared" si="6"/>
        <v>69.375</v>
      </c>
      <c r="W31" s="1">
        <f t="shared" si="4"/>
        <v>69.375</v>
      </c>
      <c r="X31" s="1">
        <v>3.8</v>
      </c>
      <c r="Y31" s="1">
        <v>6.2</v>
      </c>
      <c r="Z31" s="1">
        <v>14.4</v>
      </c>
      <c r="AA31" s="1">
        <v>3</v>
      </c>
      <c r="AB31" s="1">
        <v>4.5999999999999996</v>
      </c>
      <c r="AC31" s="1">
        <v>0</v>
      </c>
      <c r="AD31" s="1">
        <v>14.8</v>
      </c>
      <c r="AE31" s="1">
        <v>10.8</v>
      </c>
      <c r="AF31" s="1">
        <v>1</v>
      </c>
      <c r="AG31" s="1">
        <v>2</v>
      </c>
      <c r="AH31" s="15" t="s">
        <v>43</v>
      </c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68</v>
      </c>
      <c r="B32" s="1" t="s">
        <v>39</v>
      </c>
      <c r="C32" s="1">
        <v>100</v>
      </c>
      <c r="D32" s="1"/>
      <c r="E32" s="1">
        <v>44</v>
      </c>
      <c r="F32" s="1">
        <v>40</v>
      </c>
      <c r="G32" s="7">
        <v>0.18</v>
      </c>
      <c r="H32" s="1">
        <v>150</v>
      </c>
      <c r="I32" s="1"/>
      <c r="J32" s="1"/>
      <c r="K32" s="1">
        <v>46</v>
      </c>
      <c r="L32" s="1">
        <f t="shared" si="2"/>
        <v>-2</v>
      </c>
      <c r="M32" s="1"/>
      <c r="N32" s="1"/>
      <c r="O32" s="1"/>
      <c r="P32" s="1"/>
      <c r="Q32" s="1">
        <f t="shared" si="3"/>
        <v>8.8000000000000007</v>
      </c>
      <c r="R32" s="5">
        <f t="shared" ref="R32:R49" si="9">18*Q32-P32-O32-F32</f>
        <v>118.4</v>
      </c>
      <c r="S32" s="5">
        <v>140</v>
      </c>
      <c r="T32" s="5">
        <f>VLOOKUP(A32,заказ!A:B,2,0)</f>
        <v>140</v>
      </c>
      <c r="U32" s="18">
        <f>VLOOKUP(A32,[1]Sheet!$A:$S,19,0)</f>
        <v>220</v>
      </c>
      <c r="V32" s="1">
        <f t="shared" si="6"/>
        <v>20.454545454545453</v>
      </c>
      <c r="W32" s="1">
        <f t="shared" si="4"/>
        <v>4.545454545454545</v>
      </c>
      <c r="X32" s="1">
        <v>-2.2000000000000002</v>
      </c>
      <c r="Y32" s="1">
        <v>0</v>
      </c>
      <c r="Z32" s="1">
        <v>1.6</v>
      </c>
      <c r="AA32" s="1">
        <v>3.75</v>
      </c>
      <c r="AB32" s="1">
        <v>-1.6</v>
      </c>
      <c r="AC32" s="1">
        <v>17.8</v>
      </c>
      <c r="AD32" s="1">
        <v>20.399999999999999</v>
      </c>
      <c r="AE32" s="1">
        <v>18.399999999999999</v>
      </c>
      <c r="AF32" s="1">
        <v>52.2</v>
      </c>
      <c r="AG32" s="1">
        <v>37.6</v>
      </c>
      <c r="AH32" s="1" t="s">
        <v>69</v>
      </c>
      <c r="AI32" s="1">
        <f t="shared" si="7"/>
        <v>25.2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70</v>
      </c>
      <c r="B33" s="1" t="s">
        <v>39</v>
      </c>
      <c r="C33" s="1">
        <v>157</v>
      </c>
      <c r="D33" s="1">
        <v>6</v>
      </c>
      <c r="E33" s="1">
        <v>70</v>
      </c>
      <c r="F33" s="1">
        <v>65</v>
      </c>
      <c r="G33" s="7">
        <v>0.18</v>
      </c>
      <c r="H33" s="1">
        <v>150</v>
      </c>
      <c r="I33" s="1"/>
      <c r="J33" s="1"/>
      <c r="K33" s="1">
        <v>72</v>
      </c>
      <c r="L33" s="1">
        <f t="shared" si="2"/>
        <v>-2</v>
      </c>
      <c r="M33" s="1"/>
      <c r="N33" s="1"/>
      <c r="O33" s="1">
        <v>200</v>
      </c>
      <c r="P33" s="1"/>
      <c r="Q33" s="1">
        <f t="shared" si="3"/>
        <v>14</v>
      </c>
      <c r="R33" s="5"/>
      <c r="S33" s="5">
        <v>20</v>
      </c>
      <c r="T33" s="5">
        <f>VLOOKUP(A33,заказ!A:B,2,0)</f>
        <v>20</v>
      </c>
      <c r="U33" s="18">
        <f>VLOOKUP(A33,[1]Sheet!$A:$S,19,0)</f>
        <v>120</v>
      </c>
      <c r="V33" s="1">
        <f t="shared" si="6"/>
        <v>20.357142857142858</v>
      </c>
      <c r="W33" s="1">
        <f t="shared" si="4"/>
        <v>18.928571428571427</v>
      </c>
      <c r="X33" s="1">
        <v>14.2</v>
      </c>
      <c r="Y33" s="1">
        <v>20</v>
      </c>
      <c r="Z33" s="1">
        <v>24.2</v>
      </c>
      <c r="AA33" s="1">
        <v>13.625</v>
      </c>
      <c r="AB33" s="1">
        <v>37</v>
      </c>
      <c r="AC33" s="1">
        <v>34.4</v>
      </c>
      <c r="AD33" s="1">
        <v>28.6</v>
      </c>
      <c r="AE33" s="1">
        <v>23.2</v>
      </c>
      <c r="AF33" s="1">
        <v>62</v>
      </c>
      <c r="AG33" s="1">
        <v>43.2</v>
      </c>
      <c r="AH33" s="1"/>
      <c r="AI33" s="1">
        <f t="shared" si="7"/>
        <v>3.5999999999999996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71</v>
      </c>
      <c r="B34" s="1" t="s">
        <v>39</v>
      </c>
      <c r="C34" s="1">
        <v>274</v>
      </c>
      <c r="D34" s="1">
        <v>9</v>
      </c>
      <c r="E34" s="1">
        <v>38</v>
      </c>
      <c r="F34" s="1">
        <v>196</v>
      </c>
      <c r="G34" s="7">
        <v>0.18</v>
      </c>
      <c r="H34" s="1">
        <v>150</v>
      </c>
      <c r="I34" s="1"/>
      <c r="J34" s="1"/>
      <c r="K34" s="1">
        <v>42</v>
      </c>
      <c r="L34" s="1">
        <f t="shared" si="2"/>
        <v>-4</v>
      </c>
      <c r="M34" s="1"/>
      <c r="N34" s="1"/>
      <c r="O34" s="1"/>
      <c r="P34" s="1"/>
      <c r="Q34" s="1">
        <f t="shared" si="3"/>
        <v>7.6</v>
      </c>
      <c r="R34" s="5"/>
      <c r="S34" s="5">
        <f t="shared" si="5"/>
        <v>0</v>
      </c>
      <c r="T34" s="5"/>
      <c r="U34" s="18">
        <f>VLOOKUP(A34,[1]Sheet!$A:$S,19,0)</f>
        <v>40</v>
      </c>
      <c r="V34" s="1">
        <f t="shared" si="6"/>
        <v>25.789473684210527</v>
      </c>
      <c r="W34" s="1">
        <f t="shared" si="4"/>
        <v>25.789473684210527</v>
      </c>
      <c r="X34" s="1">
        <v>11</v>
      </c>
      <c r="Y34" s="1">
        <v>10.4</v>
      </c>
      <c r="Z34" s="1">
        <v>23</v>
      </c>
      <c r="AA34" s="1">
        <v>5.625</v>
      </c>
      <c r="AB34" s="1">
        <v>25.4</v>
      </c>
      <c r="AC34" s="1">
        <v>21.8</v>
      </c>
      <c r="AD34" s="1">
        <v>18.8</v>
      </c>
      <c r="AE34" s="1">
        <v>15.2</v>
      </c>
      <c r="AF34" s="1">
        <v>39.4</v>
      </c>
      <c r="AG34" s="1">
        <v>20.8</v>
      </c>
      <c r="AH34" s="15" t="s">
        <v>43</v>
      </c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72</v>
      </c>
      <c r="B35" s="1" t="s">
        <v>39</v>
      </c>
      <c r="C35" s="1">
        <v>165</v>
      </c>
      <c r="D35" s="1">
        <v>8</v>
      </c>
      <c r="E35" s="1">
        <v>49</v>
      </c>
      <c r="F35" s="1">
        <v>87</v>
      </c>
      <c r="G35" s="7">
        <v>0.18</v>
      </c>
      <c r="H35" s="1">
        <v>150</v>
      </c>
      <c r="I35" s="1"/>
      <c r="J35" s="1"/>
      <c r="K35" s="1">
        <v>52</v>
      </c>
      <c r="L35" s="1">
        <f t="shared" si="2"/>
        <v>-3</v>
      </c>
      <c r="M35" s="1"/>
      <c r="N35" s="1"/>
      <c r="O35" s="1">
        <v>20</v>
      </c>
      <c r="P35" s="1">
        <v>10</v>
      </c>
      <c r="Q35" s="1">
        <f t="shared" si="3"/>
        <v>9.8000000000000007</v>
      </c>
      <c r="R35" s="5">
        <f t="shared" si="9"/>
        <v>59.400000000000006</v>
      </c>
      <c r="S35" s="5">
        <v>80</v>
      </c>
      <c r="T35" s="5">
        <f>VLOOKUP(A35,заказ!A:B,2,0)</f>
        <v>80</v>
      </c>
      <c r="U35" s="18">
        <f>VLOOKUP(A35,[1]Sheet!$A:$S,19,0)</f>
        <v>150</v>
      </c>
      <c r="V35" s="1">
        <f t="shared" si="6"/>
        <v>20.102040816326529</v>
      </c>
      <c r="W35" s="1">
        <f t="shared" si="4"/>
        <v>11.938775510204081</v>
      </c>
      <c r="X35" s="1">
        <v>10.199999999999999</v>
      </c>
      <c r="Y35" s="1">
        <v>9.8000000000000007</v>
      </c>
      <c r="Z35" s="1">
        <v>16.8</v>
      </c>
      <c r="AA35" s="1">
        <v>5.125</v>
      </c>
      <c r="AB35" s="1">
        <v>25</v>
      </c>
      <c r="AC35" s="1">
        <v>14.4</v>
      </c>
      <c r="AD35" s="1">
        <v>19.2</v>
      </c>
      <c r="AE35" s="1">
        <v>15</v>
      </c>
      <c r="AF35" s="1">
        <v>36.200000000000003</v>
      </c>
      <c r="AG35" s="1">
        <v>10.6</v>
      </c>
      <c r="AH35" s="1"/>
      <c r="AI35" s="1">
        <f t="shared" si="7"/>
        <v>14.399999999999999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73</v>
      </c>
      <c r="B36" s="1" t="s">
        <v>39</v>
      </c>
      <c r="C36" s="1">
        <v>373</v>
      </c>
      <c r="D36" s="1">
        <v>9</v>
      </c>
      <c r="E36" s="1">
        <v>130</v>
      </c>
      <c r="F36" s="1">
        <v>200</v>
      </c>
      <c r="G36" s="7">
        <v>0.18</v>
      </c>
      <c r="H36" s="1">
        <v>150</v>
      </c>
      <c r="I36" s="1"/>
      <c r="J36" s="1"/>
      <c r="K36" s="1">
        <v>136</v>
      </c>
      <c r="L36" s="1">
        <f t="shared" si="2"/>
        <v>-6</v>
      </c>
      <c r="M36" s="1"/>
      <c r="N36" s="1"/>
      <c r="O36" s="1">
        <v>20</v>
      </c>
      <c r="P36" s="1"/>
      <c r="Q36" s="1">
        <f t="shared" si="3"/>
        <v>26</v>
      </c>
      <c r="R36" s="5">
        <f t="shared" si="9"/>
        <v>248</v>
      </c>
      <c r="S36" s="5">
        <v>300</v>
      </c>
      <c r="T36" s="5">
        <f>VLOOKUP(A36,заказ!A:B,2,0)</f>
        <v>300</v>
      </c>
      <c r="U36" s="18">
        <f>VLOOKUP(A36,[1]Sheet!$A:$S,19,0)</f>
        <v>350</v>
      </c>
      <c r="V36" s="1">
        <f>(F36+O36+P36+S36)/Q36</f>
        <v>20</v>
      </c>
      <c r="W36" s="1">
        <f t="shared" si="4"/>
        <v>8.4615384615384617</v>
      </c>
      <c r="X36" s="1">
        <v>19.600000000000001</v>
      </c>
      <c r="Y36" s="1">
        <v>31.4</v>
      </c>
      <c r="Z36" s="1">
        <v>36.200000000000003</v>
      </c>
      <c r="AA36" s="1">
        <v>11.5</v>
      </c>
      <c r="AB36" s="1">
        <v>44.2</v>
      </c>
      <c r="AC36" s="1">
        <v>43</v>
      </c>
      <c r="AD36" s="1">
        <v>37</v>
      </c>
      <c r="AE36" s="1">
        <v>32.200000000000003</v>
      </c>
      <c r="AF36" s="1">
        <v>64.599999999999994</v>
      </c>
      <c r="AG36" s="1">
        <v>52.6</v>
      </c>
      <c r="AH36" s="1"/>
      <c r="AI36" s="1">
        <f t="shared" si="7"/>
        <v>54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74</v>
      </c>
      <c r="B37" s="1" t="s">
        <v>39</v>
      </c>
      <c r="C37" s="1">
        <v>195</v>
      </c>
      <c r="D37" s="1">
        <v>4</v>
      </c>
      <c r="E37" s="1">
        <v>38</v>
      </c>
      <c r="F37" s="1">
        <v>127</v>
      </c>
      <c r="G37" s="7">
        <v>0.18</v>
      </c>
      <c r="H37" s="1">
        <v>150</v>
      </c>
      <c r="I37" s="1"/>
      <c r="J37" s="1"/>
      <c r="K37" s="1">
        <v>39</v>
      </c>
      <c r="L37" s="1">
        <f t="shared" si="2"/>
        <v>-1</v>
      </c>
      <c r="M37" s="1"/>
      <c r="N37" s="1"/>
      <c r="O37" s="1"/>
      <c r="P37" s="1"/>
      <c r="Q37" s="1">
        <f t="shared" si="3"/>
        <v>7.6</v>
      </c>
      <c r="R37" s="5">
        <f t="shared" si="9"/>
        <v>9.7999999999999829</v>
      </c>
      <c r="S37" s="5">
        <v>40</v>
      </c>
      <c r="T37" s="5">
        <f>VLOOKUP(A37,заказ!A:B,2,0)</f>
        <v>40</v>
      </c>
      <c r="U37" s="18">
        <f>VLOOKUP(A37,[1]Sheet!$A:$S,19,0)</f>
        <v>100</v>
      </c>
      <c r="V37" s="1">
        <f t="shared" si="6"/>
        <v>21.973684210526315</v>
      </c>
      <c r="W37" s="1">
        <f t="shared" si="4"/>
        <v>16.710526315789476</v>
      </c>
      <c r="X37" s="1">
        <v>6</v>
      </c>
      <c r="Y37" s="1">
        <v>10.8</v>
      </c>
      <c r="Z37" s="1">
        <v>17.600000000000001</v>
      </c>
      <c r="AA37" s="1">
        <v>5.625</v>
      </c>
      <c r="AB37" s="1">
        <v>29</v>
      </c>
      <c r="AC37" s="1">
        <v>22.6</v>
      </c>
      <c r="AD37" s="1">
        <v>3.4</v>
      </c>
      <c r="AE37" s="1">
        <v>8.6</v>
      </c>
      <c r="AF37" s="1">
        <v>39.6</v>
      </c>
      <c r="AG37" s="1">
        <v>19</v>
      </c>
      <c r="AH37" s="1" t="s">
        <v>75</v>
      </c>
      <c r="AI37" s="1">
        <f t="shared" si="7"/>
        <v>7.1999999999999993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76</v>
      </c>
      <c r="B38" s="1" t="s">
        <v>39</v>
      </c>
      <c r="C38" s="1">
        <v>68</v>
      </c>
      <c r="D38" s="1"/>
      <c r="E38" s="1">
        <v>7</v>
      </c>
      <c r="F38" s="1">
        <v>58</v>
      </c>
      <c r="G38" s="7">
        <v>0.14000000000000001</v>
      </c>
      <c r="H38" s="1">
        <v>180</v>
      </c>
      <c r="I38" s="1"/>
      <c r="J38" s="1"/>
      <c r="K38" s="1">
        <v>7</v>
      </c>
      <c r="L38" s="1">
        <f t="shared" si="2"/>
        <v>0</v>
      </c>
      <c r="M38" s="1"/>
      <c r="N38" s="1"/>
      <c r="O38" s="1"/>
      <c r="P38" s="1">
        <v>128</v>
      </c>
      <c r="Q38" s="1">
        <f t="shared" si="3"/>
        <v>1.4</v>
      </c>
      <c r="R38" s="5"/>
      <c r="S38" s="5">
        <f t="shared" si="5"/>
        <v>0</v>
      </c>
      <c r="T38" s="5"/>
      <c r="U38" s="18"/>
      <c r="V38" s="1">
        <f t="shared" si="6"/>
        <v>132.85714285714286</v>
      </c>
      <c r="W38" s="1">
        <f t="shared" si="4"/>
        <v>132.85714285714286</v>
      </c>
      <c r="X38" s="1">
        <v>7.6</v>
      </c>
      <c r="Y38" s="1">
        <v>5.6</v>
      </c>
      <c r="Z38" s="1">
        <v>8.8000000000000007</v>
      </c>
      <c r="AA38" s="1">
        <v>7.5</v>
      </c>
      <c r="AB38" s="1">
        <v>11.8</v>
      </c>
      <c r="AC38" s="1">
        <v>6.6</v>
      </c>
      <c r="AD38" s="1">
        <v>9.6</v>
      </c>
      <c r="AE38" s="1">
        <v>3.6</v>
      </c>
      <c r="AF38" s="1">
        <v>17.2</v>
      </c>
      <c r="AG38" s="1">
        <v>5</v>
      </c>
      <c r="AH38" s="15" t="s">
        <v>43</v>
      </c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77</v>
      </c>
      <c r="B39" s="1" t="s">
        <v>39</v>
      </c>
      <c r="C39" s="1">
        <v>248</v>
      </c>
      <c r="D39" s="1">
        <v>5</v>
      </c>
      <c r="E39" s="1">
        <v>52</v>
      </c>
      <c r="F39" s="1">
        <v>179</v>
      </c>
      <c r="G39" s="7">
        <v>0.18</v>
      </c>
      <c r="H39" s="1">
        <v>270</v>
      </c>
      <c r="I39" s="1"/>
      <c r="J39" s="1"/>
      <c r="K39" s="1">
        <v>57</v>
      </c>
      <c r="L39" s="1">
        <f t="shared" si="2"/>
        <v>-5</v>
      </c>
      <c r="M39" s="1"/>
      <c r="N39" s="1"/>
      <c r="O39" s="1"/>
      <c r="P39" s="1">
        <v>192</v>
      </c>
      <c r="Q39" s="1">
        <f t="shared" si="3"/>
        <v>10.4</v>
      </c>
      <c r="R39" s="5"/>
      <c r="S39" s="5">
        <f t="shared" si="5"/>
        <v>0</v>
      </c>
      <c r="T39" s="5"/>
      <c r="U39" s="18">
        <f>VLOOKUP(A39,[1]Sheet!$A:$S,19,0)</f>
        <v>150</v>
      </c>
      <c r="V39" s="1">
        <f t="shared" si="6"/>
        <v>35.67307692307692</v>
      </c>
      <c r="W39" s="1">
        <f t="shared" si="4"/>
        <v>35.67307692307692</v>
      </c>
      <c r="X39" s="1">
        <v>18.2</v>
      </c>
      <c r="Y39" s="1">
        <v>15.6</v>
      </c>
      <c r="Z39" s="1">
        <v>30.2</v>
      </c>
      <c r="AA39" s="1">
        <v>12.625</v>
      </c>
      <c r="AB39" s="1">
        <v>23.8</v>
      </c>
      <c r="AC39" s="1">
        <v>17</v>
      </c>
      <c r="AD39" s="1">
        <v>16.8</v>
      </c>
      <c r="AE39" s="1">
        <v>12</v>
      </c>
      <c r="AF39" s="1">
        <v>63.2</v>
      </c>
      <c r="AG39" s="1">
        <v>16</v>
      </c>
      <c r="AH39" s="14" t="s">
        <v>37</v>
      </c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78</v>
      </c>
      <c r="B40" s="1" t="s">
        <v>36</v>
      </c>
      <c r="C40" s="1">
        <v>146.94300000000001</v>
      </c>
      <c r="D40" s="1"/>
      <c r="E40" s="1">
        <v>22.85</v>
      </c>
      <c r="F40" s="1">
        <v>58.966999999999999</v>
      </c>
      <c r="G40" s="7">
        <v>1</v>
      </c>
      <c r="H40" s="1">
        <v>180</v>
      </c>
      <c r="I40" s="1"/>
      <c r="J40" s="1"/>
      <c r="K40" s="1">
        <v>24</v>
      </c>
      <c r="L40" s="1">
        <f t="shared" si="2"/>
        <v>-1.1499999999999986</v>
      </c>
      <c r="M40" s="1"/>
      <c r="N40" s="1"/>
      <c r="O40" s="1"/>
      <c r="P40" s="1"/>
      <c r="Q40" s="1">
        <f t="shared" si="3"/>
        <v>4.57</v>
      </c>
      <c r="R40" s="5">
        <f>16*Q40-P40-O40-F40</f>
        <v>14.153000000000006</v>
      </c>
      <c r="S40" s="5">
        <v>25</v>
      </c>
      <c r="T40" s="5">
        <f>VLOOKUP(A40,заказ!A:B,2,0)</f>
        <v>33</v>
      </c>
      <c r="U40" s="18">
        <f>VLOOKUP(A40,[1]Sheet!$A:$S,19,0)</f>
        <v>100</v>
      </c>
      <c r="V40" s="1">
        <f t="shared" si="6"/>
        <v>18.373522975929976</v>
      </c>
      <c r="W40" s="1">
        <f t="shared" si="4"/>
        <v>12.903063457330415</v>
      </c>
      <c r="X40" s="1">
        <v>2.021600000000003</v>
      </c>
      <c r="Y40" s="1">
        <v>4.7628000000000004</v>
      </c>
      <c r="Z40" s="1">
        <v>3.9140000000000001</v>
      </c>
      <c r="AA40" s="1">
        <v>-0.14599999999999999</v>
      </c>
      <c r="AB40" s="1">
        <v>1.9807999999999999</v>
      </c>
      <c r="AC40" s="1">
        <v>5.8959999999999999</v>
      </c>
      <c r="AD40" s="1">
        <v>11.202400000000001</v>
      </c>
      <c r="AE40" s="1">
        <v>0.59640000000000004</v>
      </c>
      <c r="AF40" s="1">
        <v>4.7052000000000023</v>
      </c>
      <c r="AG40" s="1">
        <v>2.4363999999999999</v>
      </c>
      <c r="AH40" s="16" t="s">
        <v>96</v>
      </c>
      <c r="AI40" s="1">
        <f t="shared" si="7"/>
        <v>25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79</v>
      </c>
      <c r="B41" s="1" t="s">
        <v>36</v>
      </c>
      <c r="C41" s="1">
        <v>60.93</v>
      </c>
      <c r="D41" s="1"/>
      <c r="E41" s="1">
        <v>33.268000000000001</v>
      </c>
      <c r="F41" s="1">
        <v>17.64</v>
      </c>
      <c r="G41" s="7">
        <v>1</v>
      </c>
      <c r="H41" s="1">
        <v>180</v>
      </c>
      <c r="I41" s="1"/>
      <c r="J41" s="1"/>
      <c r="K41" s="1">
        <v>29.5</v>
      </c>
      <c r="L41" s="1">
        <f t="shared" si="2"/>
        <v>3.7680000000000007</v>
      </c>
      <c r="M41" s="1"/>
      <c r="N41" s="1"/>
      <c r="O41" s="1"/>
      <c r="P41" s="1">
        <v>99</v>
      </c>
      <c r="Q41" s="1">
        <f t="shared" si="3"/>
        <v>6.6536</v>
      </c>
      <c r="R41" s="5">
        <v>6</v>
      </c>
      <c r="S41" s="5">
        <v>20</v>
      </c>
      <c r="T41" s="5">
        <f>VLOOKUP(A41,заказ!A:B,2,0)</f>
        <v>16</v>
      </c>
      <c r="U41" s="18">
        <f>VLOOKUP(A41,[1]Sheet!$A:$S,19,0)</f>
        <v>100</v>
      </c>
      <c r="V41" s="1">
        <f t="shared" si="6"/>
        <v>20.536251052062038</v>
      </c>
      <c r="W41" s="1">
        <f t="shared" si="4"/>
        <v>17.530359504629072</v>
      </c>
      <c r="X41" s="1">
        <v>7.4028000000000009</v>
      </c>
      <c r="Y41" s="1">
        <v>2.5592000000000001</v>
      </c>
      <c r="Z41" s="1">
        <v>4.2371999999999996</v>
      </c>
      <c r="AA41" s="1">
        <v>0.37724999999999997</v>
      </c>
      <c r="AB41" s="1">
        <v>2.8822000000000001</v>
      </c>
      <c r="AC41" s="1">
        <v>3.1503999999999999</v>
      </c>
      <c r="AD41" s="1">
        <v>11.279199999999999</v>
      </c>
      <c r="AE41" s="1">
        <v>0.66520000000000001</v>
      </c>
      <c r="AF41" s="1">
        <v>3.1896</v>
      </c>
      <c r="AG41" s="1">
        <v>1.9787999999999999</v>
      </c>
      <c r="AH41" s="1"/>
      <c r="AI41" s="1">
        <f t="shared" si="7"/>
        <v>20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80</v>
      </c>
      <c r="B42" s="1" t="s">
        <v>36</v>
      </c>
      <c r="C42" s="1">
        <v>15.984</v>
      </c>
      <c r="D42" s="1"/>
      <c r="E42" s="1">
        <v>2.972</v>
      </c>
      <c r="F42" s="1">
        <v>9.89</v>
      </c>
      <c r="G42" s="7">
        <v>1</v>
      </c>
      <c r="H42" s="1">
        <v>180</v>
      </c>
      <c r="I42" s="1"/>
      <c r="J42" s="1"/>
      <c r="K42" s="1">
        <v>3.5</v>
      </c>
      <c r="L42" s="1">
        <f t="shared" si="2"/>
        <v>-0.52800000000000002</v>
      </c>
      <c r="M42" s="1"/>
      <c r="N42" s="1"/>
      <c r="O42" s="1"/>
      <c r="P42" s="1">
        <v>99</v>
      </c>
      <c r="Q42" s="1">
        <f t="shared" si="3"/>
        <v>0.59440000000000004</v>
      </c>
      <c r="R42" s="5"/>
      <c r="S42" s="5">
        <f t="shared" si="5"/>
        <v>0</v>
      </c>
      <c r="T42" s="5"/>
      <c r="U42" s="18">
        <f>VLOOKUP(A42,[1]Sheet!$A:$S,19,0)</f>
        <v>100</v>
      </c>
      <c r="V42" s="1">
        <f t="shared" si="6"/>
        <v>183.19313593539704</v>
      </c>
      <c r="W42" s="1">
        <f t="shared" si="4"/>
        <v>183.19313593539704</v>
      </c>
      <c r="X42" s="1">
        <v>6.9052000000000007</v>
      </c>
      <c r="Y42" s="1">
        <v>8.6327999999999996</v>
      </c>
      <c r="Z42" s="1">
        <v>15.0528</v>
      </c>
      <c r="AA42" s="1">
        <v>7.5694999999999997</v>
      </c>
      <c r="AB42" s="1">
        <v>8.8867999999999991</v>
      </c>
      <c r="AC42" s="1">
        <v>15.4922</v>
      </c>
      <c r="AD42" s="1">
        <v>22.800799999999999</v>
      </c>
      <c r="AE42" s="1">
        <v>6.4355999999999991</v>
      </c>
      <c r="AF42" s="1">
        <v>19.065200000000001</v>
      </c>
      <c r="AG42" s="1">
        <v>13.9216</v>
      </c>
      <c r="AH42" s="14" t="s">
        <v>37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81</v>
      </c>
      <c r="B43" s="1" t="s">
        <v>36</v>
      </c>
      <c r="C43" s="1">
        <v>30.704000000000001</v>
      </c>
      <c r="D43" s="1"/>
      <c r="E43" s="1">
        <v>19.55</v>
      </c>
      <c r="F43" s="1">
        <v>11.154</v>
      </c>
      <c r="G43" s="7">
        <v>1</v>
      </c>
      <c r="H43" s="1">
        <v>180</v>
      </c>
      <c r="I43" s="1"/>
      <c r="J43" s="1"/>
      <c r="K43" s="1">
        <v>16.5</v>
      </c>
      <c r="L43" s="1">
        <f t="shared" si="2"/>
        <v>3.0500000000000007</v>
      </c>
      <c r="M43" s="1"/>
      <c r="N43" s="1"/>
      <c r="O43" s="1"/>
      <c r="P43" s="1">
        <v>82</v>
      </c>
      <c r="Q43" s="1">
        <f t="shared" si="3"/>
        <v>3.91</v>
      </c>
      <c r="R43" s="5"/>
      <c r="S43" s="5">
        <f t="shared" si="5"/>
        <v>0</v>
      </c>
      <c r="T43" s="5"/>
      <c r="U43" s="18">
        <f>VLOOKUP(A43,[1]Sheet!$A:$S,19,0)</f>
        <v>100</v>
      </c>
      <c r="V43" s="1">
        <f t="shared" si="6"/>
        <v>23.824552429667516</v>
      </c>
      <c r="W43" s="1">
        <f t="shared" si="4"/>
        <v>23.824552429667516</v>
      </c>
      <c r="X43" s="1">
        <v>5.1079999999999997</v>
      </c>
      <c r="Y43" s="1">
        <v>1.2136</v>
      </c>
      <c r="Z43" s="1">
        <v>3.7988</v>
      </c>
      <c r="AA43" s="1">
        <v>1.1657500000000001</v>
      </c>
      <c r="AB43" s="1">
        <v>1.1679999999999999</v>
      </c>
      <c r="AC43" s="1">
        <v>2.3679999999999999</v>
      </c>
      <c r="AD43" s="1">
        <v>10.242800000000001</v>
      </c>
      <c r="AE43" s="1">
        <v>0.70119999999999993</v>
      </c>
      <c r="AF43" s="1">
        <v>2.5988000000000002</v>
      </c>
      <c r="AG43" s="1">
        <v>1.3056000000000001</v>
      </c>
      <c r="AH43" s="1"/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82</v>
      </c>
      <c r="B44" s="1" t="s">
        <v>39</v>
      </c>
      <c r="C44" s="1">
        <v>157</v>
      </c>
      <c r="D44" s="1"/>
      <c r="E44" s="1">
        <v>28</v>
      </c>
      <c r="F44" s="1">
        <v>123</v>
      </c>
      <c r="G44" s="7">
        <v>0.1</v>
      </c>
      <c r="H44" s="1">
        <v>60</v>
      </c>
      <c r="I44" s="1"/>
      <c r="J44" s="1"/>
      <c r="K44" s="1">
        <v>36</v>
      </c>
      <c r="L44" s="1">
        <f t="shared" si="2"/>
        <v>-8</v>
      </c>
      <c r="M44" s="1"/>
      <c r="N44" s="1"/>
      <c r="O44" s="1"/>
      <c r="P44" s="1"/>
      <c r="Q44" s="1">
        <f t="shared" si="3"/>
        <v>5.6</v>
      </c>
      <c r="R44" s="5"/>
      <c r="S44" s="5">
        <f t="shared" si="5"/>
        <v>0</v>
      </c>
      <c r="T44" s="5"/>
      <c r="U44" s="18">
        <f>VLOOKUP(A44,[1]Sheet!$A:$S,19,0)</f>
        <v>150</v>
      </c>
      <c r="V44" s="1">
        <f t="shared" si="6"/>
        <v>21.964285714285715</v>
      </c>
      <c r="W44" s="1">
        <f t="shared" si="4"/>
        <v>21.964285714285715</v>
      </c>
      <c r="X44" s="1">
        <v>-0.2</v>
      </c>
      <c r="Y44" s="1">
        <v>-0.2</v>
      </c>
      <c r="Z44" s="1">
        <v>12.6</v>
      </c>
      <c r="AA44" s="1">
        <v>7.375</v>
      </c>
      <c r="AB44" s="1">
        <v>6.8</v>
      </c>
      <c r="AC44" s="1">
        <v>4.5999999999999996</v>
      </c>
      <c r="AD44" s="1">
        <v>21.2</v>
      </c>
      <c r="AE44" s="1">
        <v>5</v>
      </c>
      <c r="AF44" s="1">
        <v>14.2</v>
      </c>
      <c r="AG44" s="1">
        <v>13</v>
      </c>
      <c r="AH44" s="1" t="s">
        <v>83</v>
      </c>
      <c r="AI44" s="1">
        <f t="shared" si="7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39</v>
      </c>
      <c r="C45" s="1">
        <v>137</v>
      </c>
      <c r="D45" s="1"/>
      <c r="E45" s="1">
        <v>25</v>
      </c>
      <c r="F45" s="1">
        <v>112</v>
      </c>
      <c r="G45" s="7">
        <v>0.1</v>
      </c>
      <c r="H45" s="1">
        <v>90</v>
      </c>
      <c r="I45" s="1"/>
      <c r="J45" s="1"/>
      <c r="K45" s="1">
        <v>30</v>
      </c>
      <c r="L45" s="1">
        <f t="shared" si="2"/>
        <v>-5</v>
      </c>
      <c r="M45" s="1"/>
      <c r="N45" s="1"/>
      <c r="O45" s="1"/>
      <c r="P45" s="1"/>
      <c r="Q45" s="1">
        <f t="shared" si="3"/>
        <v>5</v>
      </c>
      <c r="R45" s="5"/>
      <c r="S45" s="5">
        <f t="shared" si="5"/>
        <v>0</v>
      </c>
      <c r="T45" s="5"/>
      <c r="U45" s="18">
        <f>VLOOKUP(A45,[1]Sheet!$A:$S,19,0)</f>
        <v>50</v>
      </c>
      <c r="V45" s="1">
        <f t="shared" si="6"/>
        <v>22.4</v>
      </c>
      <c r="W45" s="1">
        <f t="shared" si="4"/>
        <v>22.4</v>
      </c>
      <c r="X45" s="1">
        <v>5.6</v>
      </c>
      <c r="Y45" s="1">
        <v>6.6</v>
      </c>
      <c r="Z45" s="1">
        <v>14.2</v>
      </c>
      <c r="AA45" s="1">
        <v>7.625</v>
      </c>
      <c r="AB45" s="1">
        <v>8</v>
      </c>
      <c r="AC45" s="1">
        <v>3.4</v>
      </c>
      <c r="AD45" s="1">
        <v>19.600000000000001</v>
      </c>
      <c r="AE45" s="1">
        <v>4.2</v>
      </c>
      <c r="AF45" s="1">
        <v>14.8</v>
      </c>
      <c r="AG45" s="1">
        <v>12</v>
      </c>
      <c r="AH45" s="1"/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39</v>
      </c>
      <c r="C46" s="1">
        <v>73</v>
      </c>
      <c r="D46" s="1"/>
      <c r="E46" s="1">
        <v>37</v>
      </c>
      <c r="F46" s="1">
        <v>32</v>
      </c>
      <c r="G46" s="7">
        <v>0.14000000000000001</v>
      </c>
      <c r="H46" s="1">
        <v>180</v>
      </c>
      <c r="I46" s="1"/>
      <c r="J46" s="1"/>
      <c r="K46" s="1">
        <v>33</v>
      </c>
      <c r="L46" s="1">
        <f t="shared" si="2"/>
        <v>4</v>
      </c>
      <c r="M46" s="1"/>
      <c r="N46" s="1"/>
      <c r="O46" s="1">
        <v>48</v>
      </c>
      <c r="P46" s="1">
        <v>32</v>
      </c>
      <c r="Q46" s="1">
        <f t="shared" si="3"/>
        <v>7.4</v>
      </c>
      <c r="R46" s="5">
        <f t="shared" si="9"/>
        <v>21.200000000000017</v>
      </c>
      <c r="S46" s="5">
        <v>40</v>
      </c>
      <c r="T46" s="5">
        <f>VLOOKUP(A46,заказ!A:B,2,0)</f>
        <v>32</v>
      </c>
      <c r="U46" s="18">
        <f>VLOOKUP(A46,[1]Sheet!$A:$S,19,0)</f>
        <v>100</v>
      </c>
      <c r="V46" s="1">
        <f t="shared" si="6"/>
        <v>20.54054054054054</v>
      </c>
      <c r="W46" s="1">
        <f t="shared" si="4"/>
        <v>15.135135135135135</v>
      </c>
      <c r="X46" s="1">
        <v>7</v>
      </c>
      <c r="Y46" s="1">
        <v>10</v>
      </c>
      <c r="Z46" s="1">
        <v>10.6</v>
      </c>
      <c r="AA46" s="1">
        <v>11.125</v>
      </c>
      <c r="AB46" s="1">
        <v>14.4</v>
      </c>
      <c r="AC46" s="1">
        <v>6</v>
      </c>
      <c r="AD46" s="1">
        <v>15.6</v>
      </c>
      <c r="AE46" s="1">
        <v>12.4</v>
      </c>
      <c r="AF46" s="1">
        <v>8</v>
      </c>
      <c r="AG46" s="1">
        <v>6.8</v>
      </c>
      <c r="AH46" s="1"/>
      <c r="AI46" s="1">
        <f t="shared" si="7"/>
        <v>5.6000000000000005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39</v>
      </c>
      <c r="C47" s="1">
        <v>30</v>
      </c>
      <c r="D47" s="1"/>
      <c r="E47" s="1">
        <v>30</v>
      </c>
      <c r="F47" s="1"/>
      <c r="G47" s="7">
        <v>0.2</v>
      </c>
      <c r="H47" s="1">
        <v>120</v>
      </c>
      <c r="I47" s="1"/>
      <c r="J47" s="1"/>
      <c r="K47" s="1">
        <v>60</v>
      </c>
      <c r="L47" s="1">
        <f t="shared" si="2"/>
        <v>-30</v>
      </c>
      <c r="M47" s="1"/>
      <c r="N47" s="1"/>
      <c r="O47" s="1">
        <v>130</v>
      </c>
      <c r="P47" s="1">
        <v>300</v>
      </c>
      <c r="Q47" s="1">
        <f t="shared" si="3"/>
        <v>6</v>
      </c>
      <c r="R47" s="5"/>
      <c r="S47" s="5">
        <f t="shared" si="5"/>
        <v>0</v>
      </c>
      <c r="T47" s="5"/>
      <c r="U47" s="18">
        <f>VLOOKUP(A47,[1]Sheet!$A:$S,19,0)</f>
        <v>100</v>
      </c>
      <c r="V47" s="1">
        <f t="shared" si="6"/>
        <v>71.666666666666671</v>
      </c>
      <c r="W47" s="1">
        <f t="shared" si="4"/>
        <v>71.666666666666671</v>
      </c>
      <c r="X47" s="1">
        <v>19</v>
      </c>
      <c r="Y47" s="1">
        <v>13</v>
      </c>
      <c r="Z47" s="1">
        <v>0</v>
      </c>
      <c r="AA47" s="1">
        <v>11</v>
      </c>
      <c r="AB47" s="1">
        <v>14.8</v>
      </c>
      <c r="AC47" s="1">
        <v>11</v>
      </c>
      <c r="AD47" s="1">
        <v>10.199999999999999</v>
      </c>
      <c r="AE47" s="1">
        <v>13.8</v>
      </c>
      <c r="AF47" s="1">
        <v>12.6</v>
      </c>
      <c r="AG47" s="1">
        <v>11.2</v>
      </c>
      <c r="AH47" s="1"/>
      <c r="AI47" s="1">
        <f t="shared" si="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87</v>
      </c>
      <c r="B48" s="1" t="s">
        <v>36</v>
      </c>
      <c r="C48" s="1">
        <v>43.165999999999997</v>
      </c>
      <c r="D48" s="1"/>
      <c r="E48" s="1">
        <v>29.39</v>
      </c>
      <c r="F48" s="1">
        <v>10.69</v>
      </c>
      <c r="G48" s="7">
        <v>1</v>
      </c>
      <c r="H48" s="1">
        <v>120</v>
      </c>
      <c r="I48" s="1"/>
      <c r="J48" s="1"/>
      <c r="K48" s="1">
        <v>28</v>
      </c>
      <c r="L48" s="1">
        <f t="shared" si="2"/>
        <v>1.3900000000000006</v>
      </c>
      <c r="M48" s="1"/>
      <c r="N48" s="1"/>
      <c r="O48" s="1">
        <v>15</v>
      </c>
      <c r="P48" s="1">
        <v>120</v>
      </c>
      <c r="Q48" s="1">
        <f t="shared" si="3"/>
        <v>5.8780000000000001</v>
      </c>
      <c r="R48" s="5"/>
      <c r="S48" s="5">
        <f t="shared" si="5"/>
        <v>0</v>
      </c>
      <c r="T48" s="5"/>
      <c r="U48" s="18">
        <f>VLOOKUP(A48,[1]Sheet!$A:$S,19,0)</f>
        <v>100</v>
      </c>
      <c r="V48" s="1">
        <f t="shared" si="6"/>
        <v>24.785641374617217</v>
      </c>
      <c r="W48" s="1">
        <f t="shared" si="4"/>
        <v>24.785641374617217</v>
      </c>
      <c r="X48" s="1">
        <v>8.1620000000000008</v>
      </c>
      <c r="Y48" s="1">
        <v>8.3360000000000003</v>
      </c>
      <c r="Z48" s="1">
        <v>3.8024</v>
      </c>
      <c r="AA48" s="1">
        <v>0</v>
      </c>
      <c r="AB48" s="1">
        <v>13.5252</v>
      </c>
      <c r="AC48" s="1">
        <v>4.6395999999999997</v>
      </c>
      <c r="AD48" s="1">
        <v>0</v>
      </c>
      <c r="AE48" s="1">
        <v>0</v>
      </c>
      <c r="AF48" s="1">
        <v>15.441599999999999</v>
      </c>
      <c r="AG48" s="1">
        <v>3.9432</v>
      </c>
      <c r="AH48" s="1"/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39</v>
      </c>
      <c r="C49" s="1">
        <v>47</v>
      </c>
      <c r="D49" s="1"/>
      <c r="E49" s="1">
        <v>42</v>
      </c>
      <c r="F49" s="12">
        <f>5+F50</f>
        <v>2</v>
      </c>
      <c r="G49" s="7">
        <v>0.2</v>
      </c>
      <c r="H49" s="1">
        <v>120</v>
      </c>
      <c r="I49" s="1"/>
      <c r="J49" s="1"/>
      <c r="K49" s="1">
        <v>60</v>
      </c>
      <c r="L49" s="1">
        <f t="shared" si="2"/>
        <v>-18</v>
      </c>
      <c r="M49" s="1"/>
      <c r="N49" s="1"/>
      <c r="O49" s="1"/>
      <c r="P49" s="1"/>
      <c r="Q49" s="1">
        <f t="shared" si="3"/>
        <v>8.4</v>
      </c>
      <c r="R49" s="5">
        <f t="shared" si="9"/>
        <v>149.20000000000002</v>
      </c>
      <c r="S49" s="5">
        <f t="shared" si="5"/>
        <v>149.20000000000002</v>
      </c>
      <c r="T49" s="5">
        <f>VLOOKUP(A49,заказ!A:B,2,0)</f>
        <v>150</v>
      </c>
      <c r="U49" s="18">
        <f>VLOOKUP(A49,[1]Sheet!$A:$S,19,0)</f>
        <v>250</v>
      </c>
      <c r="V49" s="1">
        <f t="shared" si="6"/>
        <v>18</v>
      </c>
      <c r="W49" s="1">
        <f t="shared" si="4"/>
        <v>0.23809523809523808</v>
      </c>
      <c r="X49" s="1">
        <v>19</v>
      </c>
      <c r="Y49" s="1">
        <v>16.2</v>
      </c>
      <c r="Z49" s="1">
        <v>0</v>
      </c>
      <c r="AA49" s="1">
        <v>11.5</v>
      </c>
      <c r="AB49" s="1">
        <v>14.6</v>
      </c>
      <c r="AC49" s="1">
        <v>4.5999999999999996</v>
      </c>
      <c r="AD49" s="1">
        <v>0.6</v>
      </c>
      <c r="AE49" s="1">
        <v>8.4</v>
      </c>
      <c r="AF49" s="1">
        <v>12.6</v>
      </c>
      <c r="AG49" s="1">
        <v>5</v>
      </c>
      <c r="AH49" s="1"/>
      <c r="AI49" s="1">
        <f t="shared" si="7"/>
        <v>29.840000000000003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9" t="s">
        <v>89</v>
      </c>
      <c r="B50" s="9" t="s">
        <v>39</v>
      </c>
      <c r="C50" s="9">
        <v>-3</v>
      </c>
      <c r="D50" s="9"/>
      <c r="E50" s="9"/>
      <c r="F50" s="12">
        <v>-3</v>
      </c>
      <c r="G50" s="10">
        <v>0</v>
      </c>
      <c r="H50" s="9">
        <v>120</v>
      </c>
      <c r="I50" s="9" t="s">
        <v>90</v>
      </c>
      <c r="J50" s="9" t="s">
        <v>88</v>
      </c>
      <c r="K50" s="9"/>
      <c r="L50" s="9">
        <f t="shared" si="2"/>
        <v>0</v>
      </c>
      <c r="M50" s="9"/>
      <c r="N50" s="9"/>
      <c r="O50" s="9">
        <v>170</v>
      </c>
      <c r="P50" s="9">
        <v>250</v>
      </c>
      <c r="Q50" s="9">
        <f t="shared" si="3"/>
        <v>0</v>
      </c>
      <c r="R50" s="11"/>
      <c r="S50" s="5">
        <f t="shared" si="5"/>
        <v>0</v>
      </c>
      <c r="T50" s="5"/>
      <c r="U50" s="18"/>
      <c r="V50" s="1" t="e">
        <f t="shared" si="6"/>
        <v>#DIV/0!</v>
      </c>
      <c r="W50" s="9" t="e">
        <f t="shared" si="4"/>
        <v>#DIV/0!</v>
      </c>
      <c r="X50" s="9">
        <v>19</v>
      </c>
      <c r="Y50" s="9">
        <v>16.2</v>
      </c>
      <c r="Z50" s="9">
        <v>1</v>
      </c>
      <c r="AA50" s="9">
        <v>11.5</v>
      </c>
      <c r="AB50" s="9">
        <v>14.6</v>
      </c>
      <c r="AC50" s="9">
        <v>4.5999999999999996</v>
      </c>
      <c r="AD50" s="9">
        <v>0.6</v>
      </c>
      <c r="AE50" s="9">
        <v>8.4</v>
      </c>
      <c r="AF50" s="9">
        <v>16.600000000000001</v>
      </c>
      <c r="AG50" s="9">
        <v>5</v>
      </c>
      <c r="AH50" s="9"/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36</v>
      </c>
      <c r="C51" s="1">
        <v>79.183999999999997</v>
      </c>
      <c r="D51" s="1"/>
      <c r="E51" s="1">
        <v>17.367999999999999</v>
      </c>
      <c r="F51" s="1">
        <v>47.694000000000003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0.36799999999999855</v>
      </c>
      <c r="M51" s="1"/>
      <c r="N51" s="1"/>
      <c r="O51" s="1"/>
      <c r="P51" s="1">
        <v>15</v>
      </c>
      <c r="Q51" s="1">
        <f t="shared" si="3"/>
        <v>3.4735999999999998</v>
      </c>
      <c r="R51" s="5"/>
      <c r="S51" s="5">
        <f t="shared" si="5"/>
        <v>0</v>
      </c>
      <c r="T51" s="5"/>
      <c r="U51" s="18">
        <f>VLOOKUP(A51,[1]Sheet!$A:$S,19,0)</f>
        <v>70</v>
      </c>
      <c r="V51" s="1">
        <f t="shared" si="6"/>
        <v>18.048710271764165</v>
      </c>
      <c r="W51" s="1">
        <f t="shared" si="4"/>
        <v>18.048710271764165</v>
      </c>
      <c r="X51" s="1">
        <v>3.3675999999999999</v>
      </c>
      <c r="Y51" s="1">
        <v>1.4112</v>
      </c>
      <c r="Z51" s="1">
        <v>6.7804000000000002</v>
      </c>
      <c r="AA51" s="1">
        <v>1.7144999999999999</v>
      </c>
      <c r="AB51" s="1">
        <v>0</v>
      </c>
      <c r="AC51" s="1">
        <v>5.2942</v>
      </c>
      <c r="AD51" s="1">
        <v>9.7127999999999997</v>
      </c>
      <c r="AE51" s="1">
        <v>5.3907999999999996</v>
      </c>
      <c r="AF51" s="1">
        <v>-0.2151999999999987</v>
      </c>
      <c r="AG51" s="1">
        <v>9.8420000000000005</v>
      </c>
      <c r="AH51" s="1" t="s">
        <v>92</v>
      </c>
      <c r="AI51" s="1">
        <f t="shared" si="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I51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CAD6-5B0B-43FD-9213-08505A143C24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12</v>
      </c>
    </row>
    <row r="2" spans="1:2" x14ac:dyDescent="0.25">
      <c r="A2" t="s">
        <v>41</v>
      </c>
      <c r="B2">
        <v>12</v>
      </c>
    </row>
    <row r="3" spans="1:2" x14ac:dyDescent="0.25">
      <c r="A3" t="s">
        <v>46</v>
      </c>
      <c r="B3">
        <v>48</v>
      </c>
    </row>
    <row r="4" spans="1:2" x14ac:dyDescent="0.25">
      <c r="A4" t="s">
        <v>49</v>
      </c>
      <c r="B4">
        <v>144</v>
      </c>
    </row>
    <row r="5" spans="1:2" x14ac:dyDescent="0.25">
      <c r="A5" t="s">
        <v>55</v>
      </c>
      <c r="B5">
        <v>1300</v>
      </c>
    </row>
    <row r="6" spans="1:2" x14ac:dyDescent="0.25">
      <c r="A6" t="s">
        <v>56</v>
      </c>
      <c r="B6">
        <v>1400</v>
      </c>
    </row>
    <row r="7" spans="1:2" x14ac:dyDescent="0.25">
      <c r="A7" t="s">
        <v>59</v>
      </c>
      <c r="B7">
        <v>16</v>
      </c>
    </row>
    <row r="8" spans="1:2" x14ac:dyDescent="0.25">
      <c r="A8" t="s">
        <v>60</v>
      </c>
      <c r="B8">
        <v>48</v>
      </c>
    </row>
    <row r="9" spans="1:2" x14ac:dyDescent="0.25">
      <c r="A9" t="s">
        <v>66</v>
      </c>
      <c r="B9">
        <v>8</v>
      </c>
    </row>
    <row r="10" spans="1:2" x14ac:dyDescent="0.25">
      <c r="A10" t="s">
        <v>68</v>
      </c>
      <c r="B10">
        <v>140</v>
      </c>
    </row>
    <row r="11" spans="1:2" x14ac:dyDescent="0.25">
      <c r="A11" t="s">
        <v>70</v>
      </c>
      <c r="B11">
        <v>20</v>
      </c>
    </row>
    <row r="12" spans="1:2" x14ac:dyDescent="0.25">
      <c r="A12" t="s">
        <v>72</v>
      </c>
      <c r="B12">
        <v>80</v>
      </c>
    </row>
    <row r="13" spans="1:2" x14ac:dyDescent="0.25">
      <c r="A13" t="s">
        <v>73</v>
      </c>
      <c r="B13">
        <v>300</v>
      </c>
    </row>
    <row r="14" spans="1:2" x14ac:dyDescent="0.25">
      <c r="A14" t="s">
        <v>74</v>
      </c>
      <c r="B14">
        <v>40</v>
      </c>
    </row>
    <row r="15" spans="1:2" x14ac:dyDescent="0.25">
      <c r="A15" t="s">
        <v>78</v>
      </c>
      <c r="B15">
        <v>33</v>
      </c>
    </row>
    <row r="16" spans="1:2" x14ac:dyDescent="0.25">
      <c r="A16" t="s">
        <v>79</v>
      </c>
      <c r="B16">
        <v>16</v>
      </c>
    </row>
    <row r="17" spans="1:2" x14ac:dyDescent="0.25">
      <c r="A17" t="s">
        <v>85</v>
      </c>
      <c r="B17">
        <v>32</v>
      </c>
    </row>
    <row r="18" spans="1:2" x14ac:dyDescent="0.25">
      <c r="A18" t="s">
        <v>88</v>
      </c>
      <c r="B1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2026-10-06T16:14:28Z</dcterms:created>
  <dcterms:modified xsi:type="dcterms:W3CDTF">2026-10-08T08:50:15Z</dcterms:modified>
</cp:coreProperties>
</file>