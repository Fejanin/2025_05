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10,26\12,10,26 Останкино КИ и ЗПФ\"/>
    </mc:Choice>
  </mc:AlternateContent>
  <xr:revisionPtr revIDLastSave="0" documentId="13_ncr:1_{8D6C5E68-F1B0-4B6C-8736-00E81AA00A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Лист1!$A$1:$G$20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1" l="1"/>
  <c r="G3" i="1" l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C17" i="1" l="1"/>
  <c r="C20" i="1" s="1"/>
  <c r="D17" i="1"/>
  <c r="D20" i="1" s="1"/>
  <c r="E17" i="1"/>
  <c r="E20" i="1" s="1"/>
  <c r="B17" i="1"/>
  <c r="G17" i="1" l="1"/>
</calcChain>
</file>

<file path=xl/sharedStrings.xml><?xml version="1.0" encoding="utf-8"?>
<sst xmlns="http://schemas.openxmlformats.org/spreadsheetml/2006/main" count="35" uniqueCount="31">
  <si>
    <t>Бердянск</t>
  </si>
  <si>
    <t>Донецк</t>
  </si>
  <si>
    <t>Луганск</t>
  </si>
  <si>
    <t>Мелитополь</t>
  </si>
  <si>
    <t>ПРС ЛП</t>
  </si>
  <si>
    <t>ПОЛУЧАТЕЛЬ</t>
  </si>
  <si>
    <t>ОБЩИИЙ ВЕС</t>
  </si>
  <si>
    <t>Остаток</t>
  </si>
  <si>
    <t>Количество паллет</t>
  </si>
  <si>
    <t>ИТОГОВЫЕ ДАННЫЕ</t>
  </si>
  <si>
    <t>Бердянск ЗПФ</t>
  </si>
  <si>
    <t>Донецк ЗПФ</t>
  </si>
  <si>
    <t>Луганск ЗПФ</t>
  </si>
  <si>
    <t>Мелитополь ЗПФ</t>
  </si>
  <si>
    <t>одним заказом на пн</t>
  </si>
  <si>
    <t>во вторую машину Крыма</t>
  </si>
  <si>
    <t>в первую машину Крыма</t>
  </si>
  <si>
    <t>вс</t>
  </si>
  <si>
    <t>пн</t>
  </si>
  <si>
    <t>вт</t>
  </si>
  <si>
    <t>Мариуполь</t>
  </si>
  <si>
    <t>в третью машину Крыма</t>
  </si>
  <si>
    <t>САП 18,10</t>
  </si>
  <si>
    <t>САП 19,10</t>
  </si>
  <si>
    <t>САП 20,10</t>
  </si>
  <si>
    <t>САП 21,10</t>
  </si>
  <si>
    <t>Байдерман</t>
  </si>
  <si>
    <t>Баранова_Карлов_Кафанова</t>
  </si>
  <si>
    <t>Малахутин</t>
  </si>
  <si>
    <t>ПРС ЛП ЗПФ</t>
  </si>
  <si>
    <t>Мариуполь ЗПФ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</si>
</sst>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5" borderId="1" xfId="0" applyFill="1" applyBorder="1"/>
    <xf numFmtId="0" fontId="0" fillId="5" borderId="0" xfId="0" applyFill="1"/>
    <xf numFmtId="0" fontId="0" fillId="2" borderId="0" xfId="0" applyFill="1" applyBorder="1" applyAlignment="1">
      <alignment horizontal="center"/>
    </xf>
    <xf numFmtId="0" fontId="0" fillId="0" borderId="0" xfId="0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K21" sqref="K21"/>
    </sheetView>
  </sheetViews>
  <sheetFormatPr defaultRowHeight="15" x14ac:dyDescent="0.25"/>
  <cols>
    <col min="1" max="1" width="28.42578125" customWidth="1"/>
    <col min="2" max="2" width="13.7109375" bestFit="1" customWidth="1"/>
    <col min="3" max="5" width="9.85546875" bestFit="1" customWidth="1"/>
    <col min="6" max="6" width="9.85546875" customWidth="1"/>
    <col min="7" max="7" width="8.140625" bestFit="1" customWidth="1"/>
    <col min="8" max="8" width="26.85546875" customWidth="1"/>
  </cols>
  <sheetData>
    <row r="1" spans="1:8" x14ac:dyDescent="0.25">
      <c r="A1" s="5" t="s">
        <v>5</v>
      </c>
      <c r="B1" s="5" t="s">
        <v>6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7</v>
      </c>
    </row>
    <row r="2" spans="1:8" x14ac:dyDescent="0.25">
      <c r="A2" s="8" t="s">
        <v>26</v>
      </c>
      <c r="B2" s="8">
        <v>6652</v>
      </c>
      <c r="C2" s="8"/>
      <c r="D2" s="8">
        <v>6652</v>
      </c>
      <c r="E2" s="8"/>
      <c r="F2" s="8"/>
      <c r="G2" s="8">
        <f>B2-C2-D2-E2-F2</f>
        <v>0</v>
      </c>
      <c r="H2" s="9" t="s">
        <v>16</v>
      </c>
    </row>
    <row r="3" spans="1:8" x14ac:dyDescent="0.25">
      <c r="A3" s="2" t="s">
        <v>4</v>
      </c>
      <c r="B3" s="2">
        <v>2279</v>
      </c>
      <c r="C3" s="2">
        <v>2279</v>
      </c>
      <c r="D3" s="2"/>
      <c r="E3" s="2"/>
      <c r="F3" s="2"/>
      <c r="G3" s="2">
        <f t="shared" ref="G3:G16" si="0">B3-C3-D3-E3-F3</f>
        <v>0</v>
      </c>
    </row>
    <row r="4" spans="1:8" x14ac:dyDescent="0.25">
      <c r="A4" s="2" t="s">
        <v>29</v>
      </c>
      <c r="B4" s="2">
        <v>1528</v>
      </c>
      <c r="C4" s="2"/>
      <c r="D4" s="2">
        <v>1528</v>
      </c>
      <c r="E4" s="2"/>
      <c r="F4" s="2"/>
      <c r="G4" s="2">
        <f t="shared" si="0"/>
        <v>0</v>
      </c>
    </row>
    <row r="5" spans="1:8" x14ac:dyDescent="0.25">
      <c r="A5" s="6" t="s">
        <v>0</v>
      </c>
      <c r="B5" s="6">
        <v>2894</v>
      </c>
      <c r="C5" s="6"/>
      <c r="D5" s="6"/>
      <c r="E5" s="6">
        <v>2894</v>
      </c>
      <c r="F5" s="6"/>
      <c r="G5" s="6">
        <f t="shared" si="0"/>
        <v>0</v>
      </c>
      <c r="H5" s="7" t="s">
        <v>15</v>
      </c>
    </row>
    <row r="6" spans="1:8" x14ac:dyDescent="0.25">
      <c r="A6" s="6" t="s">
        <v>10</v>
      </c>
      <c r="B6" s="6">
        <v>101</v>
      </c>
      <c r="C6" s="6"/>
      <c r="D6" s="6"/>
      <c r="E6" s="6">
        <v>101</v>
      </c>
      <c r="F6" s="6"/>
      <c r="G6" s="6">
        <f t="shared" si="0"/>
        <v>0</v>
      </c>
      <c r="H6" s="7" t="s">
        <v>15</v>
      </c>
    </row>
    <row r="7" spans="1:8" x14ac:dyDescent="0.25">
      <c r="A7" s="10" t="s">
        <v>20</v>
      </c>
      <c r="B7" s="10">
        <v>1363</v>
      </c>
      <c r="C7" s="10"/>
      <c r="D7" s="10"/>
      <c r="E7" s="10"/>
      <c r="F7" s="10">
        <v>1363</v>
      </c>
      <c r="G7" s="10">
        <f t="shared" si="0"/>
        <v>0</v>
      </c>
      <c r="H7" s="11" t="s">
        <v>21</v>
      </c>
    </row>
    <row r="8" spans="1:8" x14ac:dyDescent="0.25">
      <c r="A8" s="10" t="s">
        <v>30</v>
      </c>
      <c r="B8" s="10">
        <v>81</v>
      </c>
      <c r="C8" s="10"/>
      <c r="D8" s="10"/>
      <c r="E8" s="10"/>
      <c r="F8" s="10">
        <v>81</v>
      </c>
      <c r="G8" s="10">
        <f t="shared" si="0"/>
        <v>0</v>
      </c>
      <c r="H8" s="11" t="s">
        <v>21</v>
      </c>
    </row>
    <row r="9" spans="1:8" x14ac:dyDescent="0.25">
      <c r="A9" s="2" t="s">
        <v>1</v>
      </c>
      <c r="B9" s="2">
        <v>7211</v>
      </c>
      <c r="C9" s="2">
        <v>3656</v>
      </c>
      <c r="D9" s="2">
        <v>3555</v>
      </c>
      <c r="E9" s="2"/>
      <c r="F9" s="2"/>
      <c r="G9" s="2">
        <f t="shared" si="0"/>
        <v>0</v>
      </c>
    </row>
    <row r="10" spans="1:8" x14ac:dyDescent="0.25">
      <c r="A10" s="2" t="s">
        <v>11</v>
      </c>
      <c r="B10" s="2">
        <v>52</v>
      </c>
      <c r="C10" s="2"/>
      <c r="D10" s="2">
        <v>52</v>
      </c>
      <c r="E10" s="2"/>
      <c r="F10" s="2"/>
      <c r="G10" s="2">
        <f t="shared" si="0"/>
        <v>0</v>
      </c>
    </row>
    <row r="11" spans="1:8" x14ac:dyDescent="0.25">
      <c r="A11" s="2" t="s">
        <v>2</v>
      </c>
      <c r="B11" s="2">
        <v>3689</v>
      </c>
      <c r="C11" s="2"/>
      <c r="D11" s="2">
        <v>3689</v>
      </c>
      <c r="E11" s="2"/>
      <c r="F11" s="2"/>
      <c r="G11" s="2">
        <f t="shared" si="0"/>
        <v>0</v>
      </c>
      <c r="H11" t="s">
        <v>14</v>
      </c>
    </row>
    <row r="12" spans="1:8" x14ac:dyDescent="0.25">
      <c r="A12" s="2" t="s">
        <v>12</v>
      </c>
      <c r="B12" s="2">
        <v>649</v>
      </c>
      <c r="C12" s="2"/>
      <c r="D12" s="2">
        <v>649</v>
      </c>
      <c r="E12" s="2"/>
      <c r="F12" s="2"/>
      <c r="G12" s="2">
        <f t="shared" si="0"/>
        <v>0</v>
      </c>
    </row>
    <row r="13" spans="1:8" x14ac:dyDescent="0.25">
      <c r="A13" s="8" t="s">
        <v>3</v>
      </c>
      <c r="B13" s="8">
        <v>5578</v>
      </c>
      <c r="C13" s="8"/>
      <c r="D13" s="8">
        <v>5578</v>
      </c>
      <c r="E13" s="8"/>
      <c r="F13" s="8"/>
      <c r="G13" s="8">
        <f t="shared" si="0"/>
        <v>0</v>
      </c>
      <c r="H13" s="9" t="s">
        <v>16</v>
      </c>
    </row>
    <row r="14" spans="1:8" x14ac:dyDescent="0.25">
      <c r="A14" s="8" t="s">
        <v>13</v>
      </c>
      <c r="B14" s="8">
        <v>331</v>
      </c>
      <c r="C14" s="8"/>
      <c r="D14" s="8">
        <v>331</v>
      </c>
      <c r="E14" s="8"/>
      <c r="F14" s="8"/>
      <c r="G14" s="8">
        <f t="shared" si="0"/>
        <v>0</v>
      </c>
      <c r="H14" s="9" t="s">
        <v>16</v>
      </c>
    </row>
    <row r="15" spans="1:8" x14ac:dyDescent="0.25">
      <c r="A15" s="2" t="s">
        <v>27</v>
      </c>
      <c r="B15" s="2">
        <v>2816</v>
      </c>
      <c r="C15" s="2">
        <v>2816</v>
      </c>
      <c r="D15" s="2"/>
      <c r="E15" s="2"/>
      <c r="F15" s="2"/>
      <c r="G15" s="2">
        <f t="shared" si="0"/>
        <v>0</v>
      </c>
    </row>
    <row r="16" spans="1:8" x14ac:dyDescent="0.25">
      <c r="A16" s="2" t="s">
        <v>28</v>
      </c>
      <c r="B16" s="2">
        <v>1084</v>
      </c>
      <c r="C16" s="2">
        <v>1084</v>
      </c>
      <c r="D16" s="2"/>
      <c r="E16" s="2"/>
      <c r="F16" s="2"/>
      <c r="G16" s="2">
        <f t="shared" si="0"/>
        <v>0</v>
      </c>
    </row>
    <row r="17" spans="1:7" s="1" customFormat="1" x14ac:dyDescent="0.25">
      <c r="A17" s="4" t="s">
        <v>9</v>
      </c>
      <c r="B17" s="4">
        <f>SUM(B2:B16)</f>
        <v>36308</v>
      </c>
      <c r="C17" s="4">
        <f>SUM(C2:C16)</f>
        <v>9835</v>
      </c>
      <c r="D17" s="4">
        <f>SUM(D2:D16)</f>
        <v>22034</v>
      </c>
      <c r="E17" s="4">
        <f>SUM(E2:E16)</f>
        <v>2995</v>
      </c>
      <c r="F17" s="4"/>
      <c r="G17" s="4">
        <f>SUM(G2:G16)</f>
        <v>0</v>
      </c>
    </row>
    <row r="18" spans="1:7" ht="15.75" thickBot="1" x14ac:dyDescent="0.3">
      <c r="C18" t="s">
        <v>17</v>
      </c>
      <c r="D18" t="s">
        <v>18</v>
      </c>
      <c r="E18" t="s">
        <v>19</v>
      </c>
    </row>
    <row r="19" spans="1:7" ht="15.75" thickBot="1" x14ac:dyDescent="0.3">
      <c r="C19" s="14" t="s">
        <v>8</v>
      </c>
      <c r="D19" s="15"/>
      <c r="E19" s="16"/>
      <c r="F19" s="12"/>
    </row>
    <row r="20" spans="1:7" x14ac:dyDescent="0.25">
      <c r="C20" s="3">
        <f>IF(ROUNDUP(C17/500,0)&gt;32,32,ROUNDUP(C17/500,0))</f>
        <v>20</v>
      </c>
      <c r="D20" s="3">
        <f t="shared" ref="D20:E20" si="1">IF(ROUNDUP(D17/500,0)&gt;32,32,ROUNDUP(D17/500,0))</f>
        <v>32</v>
      </c>
      <c r="E20" s="3">
        <f t="shared" si="1"/>
        <v>6</v>
      </c>
      <c r="F20" s="13"/>
    </row>
  </sheetData>
  <autoFilter ref="A1:G20" xr:uid="{48F57757-815D-4339-B327-3C53318A928F}"/>
  <mergeCells count="1">
    <mergeCell ref="C19:E1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2026-10-15T10:32:54Z</dcterms:modified>
</cp:coreProperties>
</file>