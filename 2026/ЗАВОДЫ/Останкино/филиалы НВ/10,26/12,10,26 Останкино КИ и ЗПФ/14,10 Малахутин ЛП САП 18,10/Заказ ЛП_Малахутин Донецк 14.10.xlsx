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14,10 Малахутин ЛП САП 18,10\"/>
    </mc:Choice>
  </mc:AlternateContent>
  <xr:revisionPtr revIDLastSave="0" documentId="13_ncr:1_{66A99614-155F-4067-9B97-E85C810C75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6" i="1" l="1"/>
  <c r="G107" i="1" l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G12" i="1"/>
  <c r="G186" i="1" s="1"/>
  <c r="G21" i="1"/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<sst xmlns="http://schemas.openxmlformats.org/spreadsheetml/2006/main" count="724" uniqueCount="243">
  <si>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</si>
  <si>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</si>
  <si>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</si>
  <si>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</si>
  <si>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</si>
  <si>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</si>
  <si>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</si>
  <si>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</si>
  <si>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</si>
  <si>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</si>
  <si>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</si>
  <si>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</si>
  <si>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</si>
  <si>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</si>
  <si>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</si>
  <si>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</si>
  <si>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</si>
  <si>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</si>
  <si>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</si>
  <si>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</si>
  <si>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</si>
  <si>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</si>
  <si>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</si>
  <si>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</si>
  <si>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</si>
  <si>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</si>
  <si>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</si>
  <si>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</si>
  <si>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</si>
  <si>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</si>
  <si>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</si>
  <si>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</si>
  <si>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</si>
  <si>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</si>
  <si>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</si>
  <si>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</si>
  <si>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</si>
  <si>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</si>
  <si>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</si>
  <si>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</si>
  <si>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</si>
  <si>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</si>
  <si>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</si>
  <si>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</si>
  <si>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</si>
  <si>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</si>
  <si>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</si>
  <si>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</si>
  <si>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</si>
  <si>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</si>
  <si>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</si>
  <si>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</si>
  <si>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</si>
  <si>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</si>
  <si>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</si>
  <si>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</si>
  <si>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</si>
  <si>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</si>
  <si>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</si>
  <si>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</si>
  <si>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</si>
  <si>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</si>
  <si>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</si>
  <si>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</si>
  <si>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</si>
  <si>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</si>
  <si>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</si>
  <si>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</si>
  <si>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</si>
  <si>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</si>
  <si>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</si>
  <si>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</si>
  <si>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</si>
  <si>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</si>
  <si>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</si>
  <si>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</si>
  <si>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</si>
  <si>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</si>
  <si>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</si>
  <si>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</si>
  <si>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</si>
  <si>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</si>
  <si>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</si>
  <si>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</si>
  <si>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</si>
  <si>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</si>
  <si>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</si>
  <si>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</si>
  <si>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</si>
  <si>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</si>
  <si>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</si>
  <si>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</si>
  <si>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</si>
  <si>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</si>
  <si>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</si>
  <si>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</si>
  <si>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</si>
  <si>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</si>
  <si>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</si>
  <si>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</si>
  <si>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</si>
  <si>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</si>
  <si>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</si>
  <si>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</si>
  <si>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</si>
  <si>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</si>
  <si>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</si>
  <si>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</si>
  <si>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</si>
  <si>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</si>
  <si>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</si>
  <si>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</si>
  <si>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</si>
  <si>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</si>
  <si>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</si>
  <si>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</si>
  <si>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</si>
  <si>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</si>
  <si>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</si>
  <si>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</si>
  <si>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</si>
  <si>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</si>
  <si>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</si>
  <si>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</si>
  <si>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</si>
  <si>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</si>
  <si>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</si>
  <si>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</si>
  <si>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</si>
  <si>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</si>
  <si>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</si>
  <si>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</si>
  <si>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</si>
  <si>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</si>
  <si>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</si>
  <si>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</si>
  <si>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</si>
  <si>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</si>
  <si>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</si>
  <si>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</si>
  <si>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</si>
  <si>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</si>
  <si>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</si>
  <si>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</si>
  <si>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</si>
  <si>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</si>
  <si>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</si>
  <si>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</si>
  <si>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</si>
  <si>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</si>
  <si>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</si>
  <si>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</si>
  <si>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</si>
  <si>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</si>
  <si>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</si>
  <si>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</si>
  <si>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</si>
  <si>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</si>
  <si>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</si>
  <si>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</si>
  <si>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</si>
  <si>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</si>
  <si>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</si>
  <si>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</si>
  <si>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</si>
  <si>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</si>
  <si>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</si>
  <si>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</si>
  <si>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</si>
  <si>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</si>
  <si>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</si>
  <si>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</si>
  <si>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</si>
  <si>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</si>
  <si>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</si>
  <si>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</si>
  <si>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</si>
  <si>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</si>
  <si>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</si>
  <si>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</si>
  <si>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</si>
  <si>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</si>
  <si>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</si>
  <si>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</si>
  <si>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</si>
  <si>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</si>
  <si>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</si>
  <si>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</si>
  <si>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</si>
  <si>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</si>
  <si>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</si>
  <si>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</si>
  <si>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</si>
  <si>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</si>
  <si>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</si>
  <si>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</si>
  <si>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</si>
  <si>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</si>
  <si>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</si>
  <si>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</si>
  <si>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</si>
  <si>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</si>
  <si>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</si>
  <si>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</si>
  <si>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</si>
  <si>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</si>
  <si>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</si>
  <si>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</si>
  <si>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</si>
  <si>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</si>
  <si>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</si>
  <si>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</si>
  <si>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</si>
  <si>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</si>
  <si>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</si>
  <si>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</si>
  <si>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</si>
  <si>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</si>
  <si>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</si>
  <si>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</si>
  <si>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</si>
  <si>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</si>
  <si>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</si>
  <si>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</si>
  <si>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</si>
  <si>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</si>
  <si>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</si>
  <si>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</si>
  <si>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</si>
  <si>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</si>
  <si>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</si>
  <si>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</si>
  <si>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</si>
  <si>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</si>
  <si>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</si>
  <si>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</si>
  <si>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</si>
  <si>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</si>
  <si>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</si>
  <si>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</si>
  <si>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</si>
  <si>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</si>
  <si>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г. Донецк л. Чаадаева 1 Малахутин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</si>
</sst>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3" borderId="0" xfId="0" applyFont="1" applyFill="1"/>
    <xf numFmtId="1" fontId="32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85" zoomScaleNormal="85" workbookViewId="0">
      <pane ySplit="9" topLeftCell="A128" activePane="bottomLeft" state="frozen"/>
      <selection pane="bottomLeft" activeCell="H191" sqref="H191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130439106</v>
      </c>
      <c r="E1" s="187" t="s">
        <v>206</v>
      </c>
      <c r="F1" s="188"/>
      <c r="G1" s="188"/>
      <c r="H1" s="188"/>
      <c r="I1" s="188"/>
      <c r="J1" s="189"/>
      <c r="K1" s="116">
        <v>130438384</v>
      </c>
      <c r="L1" s="112" t="s">
        <v>166</v>
      </c>
    </row>
    <row r="2" spans="1:67" ht="16.5" customHeight="1" thickTop="1" thickBot="1" x14ac:dyDescent="0.3">
      <c r="K2" s="116">
        <v>130438644</v>
      </c>
      <c r="L2" s="112" t="s">
        <v>167</v>
      </c>
    </row>
    <row r="3" spans="1:67" ht="19.5" customHeight="1" thickTop="1" thickBot="1" x14ac:dyDescent="0.3">
      <c r="B3" s="32"/>
      <c r="C3" s="7" t="s">
        <v>1</v>
      </c>
      <c r="D3" s="54">
        <v>46313</v>
      </c>
      <c r="E3" s="7" t="s">
        <v>2</v>
      </c>
      <c r="F3" s="54">
        <f>D3+3</f>
        <v>46316</v>
      </c>
      <c r="G3" s="190" t="s">
        <v>242</v>
      </c>
      <c r="H3" s="188"/>
      <c r="I3" s="188"/>
      <c r="J3" s="189"/>
      <c r="K3" s="116">
        <v>130439106</v>
      </c>
      <c r="L3" s="112" t="s">
        <v>186</v>
      </c>
    </row>
    <row r="4" spans="1:67" ht="15.75" customHeight="1" thickTop="1" x14ac:dyDescent="0.25">
      <c r="K4" s="137">
        <v>130439107</v>
      </c>
      <c r="L4" s="112" t="s">
        <v>187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hidden="1" customHeight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customHeight="1" thickTop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>
        <v>60</v>
      </c>
      <c r="F13" s="23">
        <v>1.35</v>
      </c>
      <c r="G13" s="23">
        <f t="shared" ref="G13:G20" si="1">E13</f>
        <v>60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>
        <v>60</v>
      </c>
      <c r="F14" s="23">
        <v>1.35</v>
      </c>
      <c r="G14" s="23">
        <f t="shared" si="1"/>
        <v>60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hidden="1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170</v>
      </c>
      <c r="F16" s="23">
        <v>1.35</v>
      </c>
      <c r="G16" s="23">
        <f t="shared" si="1"/>
        <v>170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>
        <v>60</v>
      </c>
      <c r="F17" s="23">
        <v>1.35</v>
      </c>
      <c r="G17" s="23">
        <f t="shared" si="1"/>
        <v>60</v>
      </c>
      <c r="H17" s="14">
        <v>4.05</v>
      </c>
      <c r="I17" s="14">
        <v>60</v>
      </c>
      <c r="J17" s="29"/>
      <c r="L17" s="115"/>
    </row>
    <row r="18" spans="1:67" ht="16.5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>
        <v>60</v>
      </c>
      <c r="F18" s="23">
        <v>1</v>
      </c>
      <c r="G18" s="23">
        <f t="shared" si="1"/>
        <v>60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15"/>
    </row>
    <row r="21" spans="1:67" ht="16.5" customHeight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>
        <v>24</v>
      </c>
      <c r="F21" s="23">
        <v>0.35</v>
      </c>
      <c r="G21" s="23">
        <f>E21*F21</f>
        <v>8.3999999999999986</v>
      </c>
      <c r="H21" s="14">
        <v>2.8</v>
      </c>
      <c r="I21" s="14">
        <v>60</v>
      </c>
      <c r="J21" s="60"/>
      <c r="L21" s="115"/>
    </row>
    <row r="22" spans="1:67" ht="16.5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>
        <v>30</v>
      </c>
      <c r="F22" s="23">
        <v>0.4</v>
      </c>
      <c r="G22" s="23">
        <f t="shared" ref="G22:G23" si="2">E22*F22</f>
        <v>12</v>
      </c>
      <c r="H22" s="14">
        <v>3.2</v>
      </c>
      <c r="I22" s="14">
        <v>60</v>
      </c>
      <c r="J22" s="29"/>
      <c r="L22" s="115"/>
    </row>
    <row r="23" spans="1:67" ht="16.5" hidden="1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3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hidden="1" customHeight="1" x14ac:dyDescent="0.25">
      <c r="A25" s="146">
        <v>7632</v>
      </c>
      <c r="B25" s="55" t="s">
        <v>188</v>
      </c>
      <c r="C25" s="56" t="s">
        <v>20</v>
      </c>
      <c r="D25" s="58">
        <v>1001012507632</v>
      </c>
      <c r="E25" s="24"/>
      <c r="F25" s="59">
        <v>0.4</v>
      </c>
      <c r="G25" s="23">
        <f t="shared" ref="G25:G35" si="4">E25*F25</f>
        <v>0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>
        <v>42</v>
      </c>
      <c r="F26" s="59">
        <v>0.4</v>
      </c>
      <c r="G26" s="23">
        <f t="shared" si="4"/>
        <v>16.8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4"/>
        <v>0</v>
      </c>
      <c r="H27" s="144">
        <v>4</v>
      </c>
      <c r="I27" s="144">
        <v>60</v>
      </c>
      <c r="J27" s="144" t="s">
        <v>200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4"/>
        <v>0</v>
      </c>
      <c r="H28" s="144">
        <v>4</v>
      </c>
      <c r="I28" s="144">
        <v>60</v>
      </c>
      <c r="J28" s="144" t="s">
        <v>200</v>
      </c>
      <c r="L28" s="115"/>
    </row>
    <row r="29" spans="1:67" ht="16.5" hidden="1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/>
      <c r="F29" s="23">
        <v>0.4</v>
      </c>
      <c r="G29" s="23">
        <f t="shared" si="4"/>
        <v>0</v>
      </c>
      <c r="H29" s="14">
        <v>3.2</v>
      </c>
      <c r="I29" s="14">
        <v>60</v>
      </c>
      <c r="J29" s="60"/>
      <c r="L29" s="115"/>
    </row>
    <row r="30" spans="1:67" ht="16.5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>
        <v>30</v>
      </c>
      <c r="F30" s="23">
        <v>0.4</v>
      </c>
      <c r="G30" s="23">
        <f t="shared" si="4"/>
        <v>12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15"/>
    </row>
    <row r="32" spans="1:67" s="61" customFormat="1" ht="16.5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>
        <v>30</v>
      </c>
      <c r="F32" s="59">
        <v>0.4</v>
      </c>
      <c r="G32" s="23">
        <f t="shared" si="4"/>
        <v>12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hidden="1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/>
      <c r="F33" s="59">
        <v>0.3</v>
      </c>
      <c r="G33" s="23">
        <f t="shared" si="4"/>
        <v>0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hidden="1" customHeight="1" x14ac:dyDescent="0.25">
      <c r="A34" s="149">
        <v>7514</v>
      </c>
      <c r="B34" s="150" t="s">
        <v>208</v>
      </c>
      <c r="C34" s="56" t="s">
        <v>20</v>
      </c>
      <c r="D34" s="70">
        <v>1001017557514</v>
      </c>
      <c r="E34" s="24"/>
      <c r="F34" s="151">
        <v>1.6</v>
      </c>
      <c r="G34" s="23">
        <f t="shared" si="4"/>
        <v>0</v>
      </c>
      <c r="H34" s="60">
        <v>6.4</v>
      </c>
      <c r="I34" s="60">
        <v>30</v>
      </c>
      <c r="J34" s="152" t="s">
        <v>190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25">
      <c r="A35" s="149">
        <v>7518</v>
      </c>
      <c r="B35" s="150" t="s">
        <v>209</v>
      </c>
      <c r="C35" s="56" t="s">
        <v>20</v>
      </c>
      <c r="D35" s="70">
        <v>1001017567518</v>
      </c>
      <c r="E35" s="24"/>
      <c r="F35" s="151">
        <v>1.35</v>
      </c>
      <c r="G35" s="23">
        <f t="shared" si="4"/>
        <v>0</v>
      </c>
      <c r="H35" s="60">
        <v>2.7</v>
      </c>
      <c r="I35" s="60">
        <v>30</v>
      </c>
      <c r="J35" s="152" t="s">
        <v>190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hidden="1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5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5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hidden="1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5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hidden="1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/>
      <c r="F40" s="59">
        <v>1.5</v>
      </c>
      <c r="G40" s="23">
        <f t="shared" si="5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5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5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>
        <v>70</v>
      </c>
      <c r="F43" s="59">
        <v>2.1</v>
      </c>
      <c r="G43" s="23">
        <f t="shared" si="5"/>
        <v>70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>
        <v>60</v>
      </c>
      <c r="F44" s="59">
        <v>1.5</v>
      </c>
      <c r="G44" s="23">
        <f t="shared" si="5"/>
        <v>60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180</v>
      </c>
      <c r="C45" s="56" t="s">
        <v>22</v>
      </c>
      <c r="D45" s="70">
        <v>1001022657076</v>
      </c>
      <c r="E45" s="24"/>
      <c r="F45" s="59">
        <v>1.5</v>
      </c>
      <c r="G45" s="23">
        <f t="shared" si="5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hidden="1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/>
      <c r="F46" s="59">
        <v>1.5</v>
      </c>
      <c r="G46" s="23">
        <f t="shared" si="5"/>
        <v>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>
        <v>80</v>
      </c>
      <c r="F47" s="59">
        <v>1.5</v>
      </c>
      <c r="G47" s="23">
        <f t="shared" si="5"/>
        <v>80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hidden="1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5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6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hidden="1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6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hidden="1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/>
      <c r="F51" s="59">
        <v>0.36</v>
      </c>
      <c r="G51" s="23">
        <f t="shared" si="6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6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hidden="1" customHeight="1" x14ac:dyDescent="0.25">
      <c r="A53" s="57">
        <v>7123</v>
      </c>
      <c r="B53" s="55" t="s">
        <v>181</v>
      </c>
      <c r="C53" s="56" t="s">
        <v>20</v>
      </c>
      <c r="D53" s="70">
        <v>1001020867123</v>
      </c>
      <c r="E53" s="24"/>
      <c r="F53" s="59">
        <v>0.3</v>
      </c>
      <c r="G53" s="23">
        <f t="shared" si="6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hidden="1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6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hidden="1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/>
      <c r="F55" s="59">
        <v>0.4</v>
      </c>
      <c r="G55" s="23">
        <f t="shared" si="6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182</v>
      </c>
      <c r="C56" s="140" t="s">
        <v>20</v>
      </c>
      <c r="D56" s="145">
        <v>1001025767284</v>
      </c>
      <c r="E56" s="142"/>
      <c r="F56" s="143">
        <v>0.33</v>
      </c>
      <c r="G56" s="143">
        <f t="shared" si="6"/>
        <v>0</v>
      </c>
      <c r="H56" s="144">
        <v>1.98</v>
      </c>
      <c r="I56" s="144">
        <v>30</v>
      </c>
      <c r="J56" s="144" t="s">
        <v>200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customHeight="1" x14ac:dyDescent="0.25">
      <c r="A57" s="146">
        <v>7461</v>
      </c>
      <c r="B57" s="55" t="s">
        <v>184</v>
      </c>
      <c r="C57" s="56" t="s">
        <v>20</v>
      </c>
      <c r="D57" s="70">
        <v>1001025767461</v>
      </c>
      <c r="E57" s="24">
        <v>42</v>
      </c>
      <c r="F57" s="59">
        <v>0.33</v>
      </c>
      <c r="G57" s="23">
        <f>E57*F57</f>
        <v>13.860000000000001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183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6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185</v>
      </c>
      <c r="C59" s="140" t="s">
        <v>20</v>
      </c>
      <c r="D59" s="145">
        <v>1001026947371</v>
      </c>
      <c r="E59" s="142"/>
      <c r="F59" s="143">
        <v>0.3</v>
      </c>
      <c r="G59" s="143">
        <f t="shared" si="6"/>
        <v>0</v>
      </c>
      <c r="H59" s="144">
        <v>2.4</v>
      </c>
      <c r="I59" s="144">
        <v>45</v>
      </c>
      <c r="J59" s="144" t="s">
        <v>200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hidden="1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/>
      <c r="F60" s="59">
        <v>0.4</v>
      </c>
      <c r="G60" s="23">
        <f t="shared" si="6"/>
        <v>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hidden="1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  <c r="L61" s="115"/>
    </row>
    <row r="62" spans="1:67" ht="16.5" hidden="1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6"/>
        <v>0</v>
      </c>
      <c r="H62" s="14">
        <v>4.0999999999999996</v>
      </c>
      <c r="I62" s="14">
        <v>45</v>
      </c>
      <c r="J62" s="29"/>
      <c r="L62" s="115"/>
    </row>
    <row r="63" spans="1:67" ht="16.5" hidden="1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/>
      <c r="F63" s="23">
        <v>0.41</v>
      </c>
      <c r="G63" s="23">
        <f t="shared" si="6"/>
        <v>0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210</v>
      </c>
      <c r="L64" s="115"/>
    </row>
    <row r="65" spans="1:12" ht="16.5" hidden="1" customHeight="1" x14ac:dyDescent="0.25">
      <c r="A65" s="57">
        <v>7490</v>
      </c>
      <c r="B65" s="161" t="s">
        <v>211</v>
      </c>
      <c r="C65" s="56" t="s">
        <v>20</v>
      </c>
      <c r="D65" s="162">
        <v>1001027417490</v>
      </c>
      <c r="E65" s="163"/>
      <c r="F65" s="164">
        <v>0.41</v>
      </c>
      <c r="G65" s="165">
        <f>E65*F65</f>
        <v>0</v>
      </c>
      <c r="H65" s="166">
        <v>3.28</v>
      </c>
      <c r="I65" s="167">
        <v>45</v>
      </c>
      <c r="J65" s="168" t="s">
        <v>212</v>
      </c>
      <c r="L65" s="115"/>
    </row>
    <row r="66" spans="1:12" ht="16.5" hidden="1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/>
      <c r="F66" s="23">
        <v>0.4</v>
      </c>
      <c r="G66" s="23">
        <f t="shared" si="6"/>
        <v>0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6"/>
        <v>0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6">
        <v>7040</v>
      </c>
      <c r="B68" s="55" t="s">
        <v>204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205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207</v>
      </c>
      <c r="L69" s="115"/>
    </row>
    <row r="70" spans="1:12" ht="16.5" hidden="1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6"/>
        <v>0</v>
      </c>
      <c r="H70" s="14">
        <v>2.8</v>
      </c>
      <c r="I70" s="14">
        <v>50</v>
      </c>
      <c r="J70" s="29"/>
      <c r="L70" s="115"/>
    </row>
    <row r="71" spans="1:12" ht="16.5" hidden="1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6"/>
        <v>0</v>
      </c>
      <c r="H71" s="14">
        <v>2.1</v>
      </c>
      <c r="I71" s="14">
        <v>50</v>
      </c>
      <c r="J71" s="29"/>
      <c r="L71" s="115"/>
    </row>
    <row r="72" spans="1:12" ht="16.5" hidden="1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/>
      <c r="F72" s="23">
        <v>0.3</v>
      </c>
      <c r="G72" s="23">
        <f t="shared" si="6"/>
        <v>0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25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6"/>
        <v>0</v>
      </c>
      <c r="H74" s="144">
        <v>2.64</v>
      </c>
      <c r="I74" s="144">
        <v>45</v>
      </c>
      <c r="J74" s="144" t="s">
        <v>200</v>
      </c>
      <c r="L74" s="115"/>
    </row>
    <row r="75" spans="1:12" ht="16.5" hidden="1" customHeight="1" thickBot="1" x14ac:dyDescent="0.25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6"/>
        <v>0</v>
      </c>
      <c r="H75" s="144">
        <v>2.64</v>
      </c>
      <c r="I75" s="144">
        <v>45</v>
      </c>
      <c r="J75" s="144" t="s">
        <v>200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7">E77</f>
        <v>0</v>
      </c>
      <c r="H77" s="60">
        <v>3</v>
      </c>
      <c r="I77" s="60">
        <v>45</v>
      </c>
      <c r="J77" s="60"/>
      <c r="L77" s="115"/>
    </row>
    <row r="78" spans="1:12" ht="16.5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>
        <v>20</v>
      </c>
      <c r="F78" s="23">
        <v>1</v>
      </c>
      <c r="G78" s="23">
        <f t="shared" si="7"/>
        <v>20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178</v>
      </c>
      <c r="C79" s="51" t="s">
        <v>22</v>
      </c>
      <c r="D79" s="52">
        <v>1001032736549</v>
      </c>
      <c r="E79" s="24"/>
      <c r="F79" s="23">
        <v>1</v>
      </c>
      <c r="G79" s="23">
        <f t="shared" si="7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7"/>
        <v>0</v>
      </c>
      <c r="H80" s="14">
        <v>3</v>
      </c>
      <c r="I80" s="14">
        <v>45</v>
      </c>
      <c r="J80" s="29"/>
      <c r="L80" s="115"/>
    </row>
    <row r="81" spans="1:12" ht="16.5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>
        <v>40</v>
      </c>
      <c r="F81" s="23">
        <v>1</v>
      </c>
      <c r="G81" s="23">
        <f t="shared" si="7"/>
        <v>40</v>
      </c>
      <c r="H81" s="14">
        <v>3</v>
      </c>
      <c r="I81" s="14">
        <v>45</v>
      </c>
      <c r="J81" s="29"/>
      <c r="L81" s="115"/>
    </row>
    <row r="82" spans="1:12" ht="16.5" hidden="1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8">E82*F82</f>
        <v>0</v>
      </c>
      <c r="H82" s="14">
        <v>2.4</v>
      </c>
      <c r="I82" s="14">
        <v>60</v>
      </c>
      <c r="J82" s="29"/>
      <c r="L82" s="115"/>
    </row>
    <row r="83" spans="1:12" ht="16.5" hidden="1" customHeight="1" thickBot="1" x14ac:dyDescent="0.25">
      <c r="A83" s="57">
        <v>6609</v>
      </c>
      <c r="B83" s="105" t="s">
        <v>153</v>
      </c>
      <c r="C83" s="51" t="s">
        <v>20</v>
      </c>
      <c r="D83" s="52">
        <v>1001033856609</v>
      </c>
      <c r="E83" s="24"/>
      <c r="F83" s="23">
        <v>0.4</v>
      </c>
      <c r="G83" s="23">
        <f t="shared" si="8"/>
        <v>0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9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9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173</v>
      </c>
      <c r="C87" s="56" t="s">
        <v>22</v>
      </c>
      <c r="D87" s="58">
        <v>1001300456946</v>
      </c>
      <c r="E87" s="24"/>
      <c r="F87" s="23">
        <v>0.84</v>
      </c>
      <c r="G87" s="23">
        <f t="shared" si="9"/>
        <v>0</v>
      </c>
      <c r="H87" s="14">
        <v>5.04</v>
      </c>
      <c r="I87" s="14">
        <v>45</v>
      </c>
      <c r="J87" s="29"/>
      <c r="L87" s="115"/>
    </row>
    <row r="88" spans="1:12" ht="16.5" hidden="1" customHeight="1" x14ac:dyDescent="0.25">
      <c r="A88" s="57">
        <v>7132</v>
      </c>
      <c r="B88" s="55" t="s">
        <v>174</v>
      </c>
      <c r="C88" s="56" t="s">
        <v>22</v>
      </c>
      <c r="D88" s="58">
        <v>1001300517132</v>
      </c>
      <c r="E88" s="24"/>
      <c r="F88" s="59">
        <v>0.84</v>
      </c>
      <c r="G88" s="23">
        <f t="shared" si="9"/>
        <v>0</v>
      </c>
      <c r="H88" s="60">
        <v>5.04</v>
      </c>
      <c r="I88" s="60">
        <v>45</v>
      </c>
      <c r="J88" s="60"/>
      <c r="L88" s="115"/>
    </row>
    <row r="89" spans="1:12" ht="16.5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>
        <v>60</v>
      </c>
      <c r="F89" s="59">
        <v>0.81</v>
      </c>
      <c r="G89" s="23">
        <f t="shared" si="9"/>
        <v>60</v>
      </c>
      <c r="H89" s="60">
        <v>4.8600000000000003</v>
      </c>
      <c r="I89" s="60">
        <v>45</v>
      </c>
      <c r="J89" s="60"/>
      <c r="L89" s="115"/>
    </row>
    <row r="90" spans="1:12" ht="16.5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>
        <v>20</v>
      </c>
      <c r="F90" s="59">
        <v>0.84</v>
      </c>
      <c r="G90" s="23">
        <f>E90*F90</f>
        <v>16.8</v>
      </c>
      <c r="H90" s="60">
        <v>5.04</v>
      </c>
      <c r="I90" s="60">
        <v>50</v>
      </c>
      <c r="J90" s="60"/>
      <c r="L90" s="115"/>
    </row>
    <row r="91" spans="1:12" ht="16.5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>
        <v>50</v>
      </c>
      <c r="F91" s="59">
        <v>0.63</v>
      </c>
      <c r="G91" s="23">
        <f t="shared" ref="G91:G92" si="10">E91</f>
        <v>50</v>
      </c>
      <c r="H91" s="60">
        <v>5.04</v>
      </c>
      <c r="I91" s="60">
        <v>50</v>
      </c>
      <c r="J91" s="60"/>
      <c r="L91" s="115"/>
    </row>
    <row r="92" spans="1:12" ht="16.5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>
        <v>70</v>
      </c>
      <c r="F92" s="59">
        <v>0.7</v>
      </c>
      <c r="G92" s="23">
        <f t="shared" si="10"/>
        <v>70</v>
      </c>
      <c r="H92" s="60">
        <v>5.6</v>
      </c>
      <c r="I92" s="60">
        <v>50</v>
      </c>
      <c r="J92" s="60"/>
      <c r="L92" s="115"/>
    </row>
    <row r="93" spans="1:12" ht="16.5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>
        <v>56</v>
      </c>
      <c r="F93" s="23">
        <v>0.33</v>
      </c>
      <c r="G93" s="23">
        <f t="shared" ref="G93:G115" si="11">E93*F93</f>
        <v>18.48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203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207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1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1"/>
        <v>0</v>
      </c>
      <c r="H96" s="14">
        <v>2.64</v>
      </c>
      <c r="I96" s="14">
        <v>45</v>
      </c>
      <c r="J96" s="29"/>
      <c r="L96" s="115"/>
    </row>
    <row r="97" spans="1:12" ht="16.5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>
        <v>50</v>
      </c>
      <c r="F97" s="23">
        <v>0.35</v>
      </c>
      <c r="G97" s="23">
        <f t="shared" si="11"/>
        <v>17.5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44</v>
      </c>
      <c r="F98" s="23">
        <v>0.35</v>
      </c>
      <c r="G98" s="23">
        <f t="shared" si="11"/>
        <v>15.399999999999999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175</v>
      </c>
      <c r="C99" s="51" t="s">
        <v>20</v>
      </c>
      <c r="D99" s="52">
        <v>1001303637233</v>
      </c>
      <c r="E99" s="24"/>
      <c r="F99" s="23">
        <v>0.31</v>
      </c>
      <c r="G99" s="23">
        <f t="shared" si="11"/>
        <v>0</v>
      </c>
      <c r="H99" s="14">
        <v>2.48</v>
      </c>
      <c r="I99" s="14">
        <v>45</v>
      </c>
      <c r="J99" s="29"/>
      <c r="L99" s="115"/>
    </row>
    <row r="100" spans="1:12" ht="15.75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>
        <v>30</v>
      </c>
      <c r="F100" s="23">
        <v>0.28000000000000003</v>
      </c>
      <c r="G100" s="23">
        <f t="shared" si="11"/>
        <v>8.4</v>
      </c>
      <c r="H100" s="14">
        <v>2.2400000000000002</v>
      </c>
      <c r="I100" s="14">
        <v>45</v>
      </c>
      <c r="J100" s="50"/>
      <c r="L100" s="115"/>
    </row>
    <row r="101" spans="1:12" ht="15.75" hidden="1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/>
      <c r="F101" s="23">
        <v>0.35</v>
      </c>
      <c r="G101" s="23">
        <f t="shared" si="11"/>
        <v>0</v>
      </c>
      <c r="H101" s="14">
        <v>2.8</v>
      </c>
      <c r="I101" s="14">
        <v>50</v>
      </c>
      <c r="J101" s="50"/>
      <c r="L101" s="115"/>
    </row>
    <row r="102" spans="1:12" ht="15.75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>
        <v>24</v>
      </c>
      <c r="F102" s="23">
        <v>0.28000000000000003</v>
      </c>
      <c r="G102" s="23">
        <f t="shared" si="11"/>
        <v>6.7200000000000006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9">
        <v>7156</v>
      </c>
      <c r="B103" s="186" t="s">
        <v>237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190</v>
      </c>
      <c r="L103" s="115"/>
    </row>
    <row r="104" spans="1:12" ht="15.75" hidden="1" customHeight="1" x14ac:dyDescent="0.25">
      <c r="A104" s="149">
        <v>7710</v>
      </c>
      <c r="B104" s="186" t="s">
        <v>238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190</v>
      </c>
      <c r="L104" s="115"/>
    </row>
    <row r="105" spans="1:12" ht="15.75" hidden="1" customHeight="1" x14ac:dyDescent="0.25">
      <c r="A105" s="149">
        <v>7562</v>
      </c>
      <c r="B105" s="186" t="s">
        <v>239</v>
      </c>
      <c r="C105" s="56" t="s">
        <v>22</v>
      </c>
      <c r="D105" s="58">
        <v>1001307587562</v>
      </c>
      <c r="E105" s="24"/>
      <c r="F105" s="170">
        <v>0.35</v>
      </c>
      <c r="G105" s="23">
        <f>E105</f>
        <v>0</v>
      </c>
      <c r="H105" s="14">
        <v>2.8</v>
      </c>
      <c r="I105" s="14">
        <v>45</v>
      </c>
      <c r="J105" s="152" t="s">
        <v>190</v>
      </c>
      <c r="L105" s="115"/>
    </row>
    <row r="106" spans="1:12" ht="15.75" hidden="1" customHeight="1" x14ac:dyDescent="0.25">
      <c r="A106" s="149">
        <v>7516</v>
      </c>
      <c r="B106" s="186" t="s">
        <v>240</v>
      </c>
      <c r="C106" s="56" t="s">
        <v>20</v>
      </c>
      <c r="D106" s="58">
        <v>1001307107516</v>
      </c>
      <c r="E106" s="24"/>
      <c r="F106" s="170">
        <v>0.31</v>
      </c>
      <c r="G106" s="23">
        <f t="shared" ref="G106:G107" si="12">E106*F106</f>
        <v>0</v>
      </c>
      <c r="H106" s="14">
        <v>2.48</v>
      </c>
      <c r="I106" s="14">
        <v>45</v>
      </c>
      <c r="J106" s="152" t="s">
        <v>190</v>
      </c>
      <c r="L106" s="115"/>
    </row>
    <row r="107" spans="1:12" ht="15.75" hidden="1" customHeight="1" x14ac:dyDescent="0.25">
      <c r="A107" s="149">
        <v>7513</v>
      </c>
      <c r="B107" s="186" t="s">
        <v>241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2"/>
        <v>0</v>
      </c>
      <c r="H107" s="14">
        <v>2.08</v>
      </c>
      <c r="I107" s="14">
        <v>45</v>
      </c>
      <c r="J107" s="152" t="s">
        <v>190</v>
      </c>
      <c r="L107" s="115"/>
    </row>
    <row r="108" spans="1:12" ht="15.75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>
        <v>96</v>
      </c>
      <c r="F108" s="23">
        <v>0.35</v>
      </c>
      <c r="G108" s="23">
        <f t="shared" si="11"/>
        <v>33.599999999999994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1"/>
        <v>0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1"/>
        <v>0</v>
      </c>
      <c r="H110" s="144">
        <v>2.2400000000000002</v>
      </c>
      <c r="I110" s="144">
        <v>45</v>
      </c>
      <c r="J110" s="144" t="s">
        <v>200</v>
      </c>
      <c r="L110" s="115"/>
    </row>
    <row r="111" spans="1:12" ht="15.75" hidden="1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/>
      <c r="F111" s="23">
        <v>0.28000000000000003</v>
      </c>
      <c r="G111" s="23">
        <f t="shared" si="11"/>
        <v>0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1"/>
        <v>0</v>
      </c>
      <c r="H112" s="144">
        <v>2.2400000000000002</v>
      </c>
      <c r="I112" s="144">
        <v>50</v>
      </c>
      <c r="J112" s="160" t="s">
        <v>216</v>
      </c>
      <c r="L112" s="115"/>
    </row>
    <row r="113" spans="1:67" ht="15.75" hidden="1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1"/>
        <v>0</v>
      </c>
      <c r="H113" s="144">
        <v>2.2400000000000002</v>
      </c>
      <c r="I113" s="144">
        <v>50</v>
      </c>
      <c r="J113" s="160" t="s">
        <v>216</v>
      </c>
      <c r="L113" s="115"/>
    </row>
    <row r="114" spans="1:67" ht="15.75" hidden="1" customHeight="1" x14ac:dyDescent="0.25">
      <c r="A114" s="146">
        <v>7608</v>
      </c>
      <c r="B114" s="55" t="s">
        <v>198</v>
      </c>
      <c r="C114" s="51" t="s">
        <v>20</v>
      </c>
      <c r="D114" s="52">
        <v>1001304197608</v>
      </c>
      <c r="E114" s="24"/>
      <c r="F114" s="23">
        <v>0.1</v>
      </c>
      <c r="G114" s="23">
        <f t="shared" si="11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25">
      <c r="A115" s="138">
        <v>7610</v>
      </c>
      <c r="B115" s="139" t="s">
        <v>199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1"/>
        <v>0</v>
      </c>
      <c r="H115" s="144">
        <v>1</v>
      </c>
      <c r="I115" s="144">
        <v>45</v>
      </c>
      <c r="J115" s="160" t="s">
        <v>220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hidden="1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3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hidden="1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/>
      <c r="F118" s="59">
        <v>0.48799999999999999</v>
      </c>
      <c r="G118" s="23">
        <f t="shared" si="13"/>
        <v>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hidden="1" customHeight="1" x14ac:dyDescent="0.25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217</v>
      </c>
      <c r="L119" s="115"/>
    </row>
    <row r="120" spans="1:67" ht="16.5" hidden="1" customHeight="1" x14ac:dyDescent="0.25">
      <c r="A120" s="174">
        <v>7700</v>
      </c>
      <c r="B120" s="161" t="s">
        <v>218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219</v>
      </c>
      <c r="L120" s="115"/>
    </row>
    <row r="121" spans="1:67" ht="16.5" hidden="1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3"/>
        <v>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4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4"/>
        <v>0</v>
      </c>
      <c r="H123" s="14">
        <v>3.78</v>
      </c>
      <c r="I123" s="14">
        <v>120</v>
      </c>
      <c r="J123" s="29"/>
      <c r="L123" s="115"/>
    </row>
    <row r="124" spans="1:67" ht="16.5" hidden="1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4"/>
        <v>0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25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216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4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4"/>
        <v>0</v>
      </c>
      <c r="H127" s="14">
        <v>2.16</v>
      </c>
      <c r="I127" s="14">
        <v>120</v>
      </c>
      <c r="J127" s="29"/>
      <c r="L127" s="115"/>
    </row>
    <row r="128" spans="1:67" ht="16.5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>
        <v>24</v>
      </c>
      <c r="F128" s="23">
        <v>0.25</v>
      </c>
      <c r="G128" s="23">
        <f t="shared" si="14"/>
        <v>6</v>
      </c>
      <c r="H128" s="14">
        <v>2</v>
      </c>
      <c r="I128" s="14">
        <v>120</v>
      </c>
      <c r="J128" s="29"/>
      <c r="L128" s="115"/>
    </row>
    <row r="129" spans="1:12" ht="16.5" hidden="1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4"/>
        <v>0</v>
      </c>
      <c r="H129" s="14">
        <v>1.76</v>
      </c>
      <c r="I129" s="14">
        <v>90</v>
      </c>
      <c r="J129" s="29"/>
      <c r="L129" s="115"/>
    </row>
    <row r="130" spans="1:12" ht="16.5" hidden="1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4"/>
        <v>0</v>
      </c>
      <c r="H130" s="14">
        <v>1.76</v>
      </c>
      <c r="I130" s="14">
        <v>90</v>
      </c>
      <c r="J130" s="29"/>
      <c r="L130" s="115"/>
    </row>
    <row r="131" spans="1:12" ht="16.5" hidden="1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/>
      <c r="F131" s="23">
        <v>0.25</v>
      </c>
      <c r="G131" s="23">
        <f t="shared" si="14"/>
        <v>0</v>
      </c>
      <c r="H131" s="14">
        <v>2</v>
      </c>
      <c r="I131" s="14">
        <v>120</v>
      </c>
      <c r="J131" s="29"/>
      <c r="L131" s="115"/>
    </row>
    <row r="132" spans="1:12" ht="16.5" hidden="1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/>
      <c r="F132" s="23">
        <v>0.25</v>
      </c>
      <c r="G132" s="23">
        <f t="shared" si="14"/>
        <v>0</v>
      </c>
      <c r="H132" s="14">
        <v>2</v>
      </c>
      <c r="I132" s="14">
        <v>120</v>
      </c>
      <c r="J132" s="29"/>
      <c r="L132" s="115"/>
    </row>
    <row r="133" spans="1:12" ht="16.5" hidden="1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4"/>
        <v>0</v>
      </c>
      <c r="H133" s="14">
        <v>2</v>
      </c>
      <c r="I133" s="14">
        <v>120</v>
      </c>
      <c r="J133" s="29"/>
      <c r="L133" s="115"/>
    </row>
    <row r="134" spans="1:12" ht="16.5" hidden="1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/>
      <c r="F134" s="23">
        <v>0.25</v>
      </c>
      <c r="G134" s="23">
        <f t="shared" si="14"/>
        <v>0</v>
      </c>
      <c r="H134" s="14">
        <v>2</v>
      </c>
      <c r="I134" s="14">
        <v>120</v>
      </c>
      <c r="J134" s="29"/>
      <c r="L134" s="115"/>
    </row>
    <row r="135" spans="1:12" ht="16.5" hidden="1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/>
      <c r="F135" s="23">
        <v>0.22</v>
      </c>
      <c r="G135" s="23">
        <f t="shared" si="14"/>
        <v>0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5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5"/>
        <v>0</v>
      </c>
      <c r="H137" s="14">
        <v>2.15</v>
      </c>
      <c r="I137" s="14">
        <v>30</v>
      </c>
      <c r="J137" s="29"/>
      <c r="L137" s="115"/>
    </row>
    <row r="138" spans="1:12" ht="16.5" hidden="1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16">E138*F138</f>
        <v>0</v>
      </c>
      <c r="H138" s="14">
        <v>1.35</v>
      </c>
      <c r="I138" s="14">
        <v>90</v>
      </c>
      <c r="J138" s="29"/>
      <c r="L138" s="115"/>
    </row>
    <row r="139" spans="1:12" ht="16.5" hidden="1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/>
      <c r="F139" s="23">
        <v>0.15</v>
      </c>
      <c r="G139" s="23">
        <f t="shared" si="16"/>
        <v>0</v>
      </c>
      <c r="H139" s="14">
        <v>1.2</v>
      </c>
      <c r="I139" s="14">
        <v>60</v>
      </c>
      <c r="J139" s="29"/>
      <c r="L139" s="115"/>
    </row>
    <row r="140" spans="1:12" ht="16.5" hidden="1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/>
      <c r="F140" s="23">
        <v>0.12</v>
      </c>
      <c r="G140" s="23">
        <f t="shared" si="16"/>
        <v>0</v>
      </c>
      <c r="H140" s="14">
        <v>0.96</v>
      </c>
      <c r="I140" s="14">
        <v>60</v>
      </c>
      <c r="J140" s="29"/>
      <c r="L140" s="115"/>
    </row>
    <row r="141" spans="1:12" ht="16.5" customHeight="1" x14ac:dyDescent="0.25">
      <c r="A141" s="146">
        <v>7613</v>
      </c>
      <c r="B141" s="55" t="s">
        <v>196</v>
      </c>
      <c r="C141" s="51" t="s">
        <v>20</v>
      </c>
      <c r="D141" s="52">
        <v>1001061977613</v>
      </c>
      <c r="E141" s="24">
        <v>20</v>
      </c>
      <c r="F141" s="23">
        <v>0.1</v>
      </c>
      <c r="G141" s="23">
        <f t="shared" si="16"/>
        <v>2</v>
      </c>
      <c r="H141" s="14">
        <v>1</v>
      </c>
      <c r="I141" s="14">
        <v>60</v>
      </c>
      <c r="J141" s="60"/>
      <c r="L141" s="115"/>
    </row>
    <row r="142" spans="1:12" ht="16.5" hidden="1" customHeight="1" x14ac:dyDescent="0.25">
      <c r="A142" s="146">
        <v>7616</v>
      </c>
      <c r="B142" s="55" t="s">
        <v>197</v>
      </c>
      <c r="C142" s="51" t="s">
        <v>20</v>
      </c>
      <c r="D142" s="52">
        <v>1001062507616</v>
      </c>
      <c r="E142" s="24"/>
      <c r="F142" s="23">
        <v>0.1</v>
      </c>
      <c r="G142" s="23">
        <f t="shared" si="16"/>
        <v>0</v>
      </c>
      <c r="H142" s="14">
        <v>1.4</v>
      </c>
      <c r="I142" s="14">
        <v>60</v>
      </c>
      <c r="J142" s="60"/>
      <c r="L142" s="115"/>
    </row>
    <row r="143" spans="1:12" ht="16.5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>
        <v>14</v>
      </c>
      <c r="F143" s="23">
        <v>0.09</v>
      </c>
      <c r="G143" s="23">
        <f t="shared" si="16"/>
        <v>1.26</v>
      </c>
      <c r="H143" s="14">
        <v>0.9</v>
      </c>
      <c r="I143" s="14">
        <v>60</v>
      </c>
      <c r="J143" s="29"/>
      <c r="L143" s="115"/>
    </row>
    <row r="144" spans="1:12" ht="16.5" hidden="1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/>
      <c r="F144" s="23">
        <v>0.09</v>
      </c>
      <c r="G144" s="23">
        <f t="shared" si="16"/>
        <v>0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6"/>
        <v>0</v>
      </c>
      <c r="H145" s="144">
        <v>1</v>
      </c>
      <c r="I145" s="144">
        <v>60</v>
      </c>
      <c r="J145" s="144" t="s">
        <v>195</v>
      </c>
      <c r="L145" s="115"/>
    </row>
    <row r="146" spans="1:67" ht="16.5" hidden="1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6"/>
        <v>0</v>
      </c>
      <c r="H146" s="144">
        <v>0.98</v>
      </c>
      <c r="I146" s="144">
        <v>60</v>
      </c>
      <c r="J146" s="144" t="s">
        <v>195</v>
      </c>
      <c r="L146" s="115"/>
    </row>
    <row r="147" spans="1:67" ht="16.5" hidden="1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6"/>
        <v>0</v>
      </c>
      <c r="H147" s="144">
        <v>1</v>
      </c>
      <c r="I147" s="144">
        <v>60</v>
      </c>
      <c r="J147" s="144" t="s">
        <v>195</v>
      </c>
      <c r="L147" s="115"/>
    </row>
    <row r="148" spans="1:67" ht="16.5" hidden="1" customHeight="1" thickBot="1" x14ac:dyDescent="0.25">
      <c r="A148" s="146">
        <v>7626</v>
      </c>
      <c r="B148" s="55" t="s">
        <v>194</v>
      </c>
      <c r="C148" s="51" t="s">
        <v>20</v>
      </c>
      <c r="D148" s="52">
        <v>1001066607626</v>
      </c>
      <c r="E148" s="24"/>
      <c r="F148" s="23">
        <v>0.1</v>
      </c>
      <c r="G148" s="23">
        <f t="shared" si="16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25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224</v>
      </c>
      <c r="L150" s="115"/>
    </row>
    <row r="151" spans="1:67" ht="16.149999999999999" hidden="1" customHeight="1" x14ac:dyDescent="0.25">
      <c r="A151" s="174">
        <v>7726</v>
      </c>
      <c r="B151" s="161" t="s">
        <v>225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226</v>
      </c>
      <c r="L151" s="115"/>
    </row>
    <row r="152" spans="1:67" s="61" customFormat="1" ht="16.149999999999999" hidden="1" customHeight="1" x14ac:dyDescent="0.25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221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hidden="1" customHeight="1" x14ac:dyDescent="0.25">
      <c r="A153" s="174">
        <v>7725</v>
      </c>
      <c r="B153" s="161" t="s">
        <v>222</v>
      </c>
      <c r="C153" s="175" t="s">
        <v>20</v>
      </c>
      <c r="D153" s="162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223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hidden="1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/>
      <c r="F154" s="59">
        <v>1.35</v>
      </c>
      <c r="G154" s="23">
        <f t="shared" ref="G154:G157" si="17">E154</f>
        <v>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hidden="1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 t="shared" si="17"/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7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25">
      <c r="A157" s="57">
        <v>4584</v>
      </c>
      <c r="B157" s="55" t="s">
        <v>169</v>
      </c>
      <c r="C157" s="56" t="s">
        <v>22</v>
      </c>
      <c r="D157" s="70">
        <v>1001092674584</v>
      </c>
      <c r="E157" s="24"/>
      <c r="F157" s="59">
        <v>2.5</v>
      </c>
      <c r="G157" s="23">
        <f t="shared" si="17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hidden="1" customHeight="1" x14ac:dyDescent="0.25">
      <c r="A158" s="57">
        <v>3215</v>
      </c>
      <c r="B158" s="55" t="s">
        <v>170</v>
      </c>
      <c r="C158" s="56" t="s">
        <v>20</v>
      </c>
      <c r="D158" s="108">
        <v>1001094053215</v>
      </c>
      <c r="E158" s="24"/>
      <c r="F158" s="59">
        <v>0.4</v>
      </c>
      <c r="G158" s="23">
        <f t="shared" ref="G158:G166" si="18">E158*F158</f>
        <v>0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customHeight="1" x14ac:dyDescent="0.25">
      <c r="A159" s="57">
        <v>5495</v>
      </c>
      <c r="B159" s="55" t="s">
        <v>94</v>
      </c>
      <c r="C159" s="56" t="s">
        <v>20</v>
      </c>
      <c r="D159" s="108">
        <v>1001093345495</v>
      </c>
      <c r="E159" s="24">
        <v>42</v>
      </c>
      <c r="F159" s="59">
        <v>0.4</v>
      </c>
      <c r="G159" s="23">
        <f t="shared" si="18"/>
        <v>16.8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25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8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25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8"/>
        <v>0</v>
      </c>
      <c r="H161" s="144">
        <v>4.8</v>
      </c>
      <c r="I161" s="144">
        <v>45</v>
      </c>
      <c r="J161" s="160" t="s">
        <v>227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hidden="1" customHeight="1" x14ac:dyDescent="0.25">
      <c r="A162" s="183">
        <v>7723</v>
      </c>
      <c r="B162" s="150" t="s">
        <v>228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18"/>
        <v>0</v>
      </c>
      <c r="H162" s="60">
        <v>4.8</v>
      </c>
      <c r="I162" s="60">
        <v>62</v>
      </c>
      <c r="J162" s="168" t="s">
        <v>229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25">
      <c r="A163" s="171">
        <v>7647</v>
      </c>
      <c r="B163" s="153" t="s">
        <v>189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8"/>
        <v>0</v>
      </c>
      <c r="H163" s="157">
        <v>0.8</v>
      </c>
      <c r="I163" s="173">
        <v>30</v>
      </c>
      <c r="J163" s="160" t="s">
        <v>230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hidden="1" customHeight="1" x14ac:dyDescent="0.25">
      <c r="A164" s="174">
        <v>7730</v>
      </c>
      <c r="B164" s="161" t="s">
        <v>231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8"/>
        <v>0</v>
      </c>
      <c r="H164" s="176">
        <v>0.8</v>
      </c>
      <c r="I164" s="184">
        <v>62</v>
      </c>
      <c r="J164" s="168" t="s">
        <v>232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25">
      <c r="A165" s="171">
        <v>7651</v>
      </c>
      <c r="B165" s="153" t="s">
        <v>191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8"/>
        <v>0</v>
      </c>
      <c r="H165" s="157">
        <v>0.8</v>
      </c>
      <c r="I165" s="173">
        <v>30</v>
      </c>
      <c r="J165" s="160" t="s">
        <v>233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25">
      <c r="A166" s="174">
        <v>7731</v>
      </c>
      <c r="B166" s="161" t="s">
        <v>234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8"/>
        <v>0</v>
      </c>
      <c r="H166" s="166">
        <v>0.8</v>
      </c>
      <c r="I166" s="167">
        <v>62</v>
      </c>
      <c r="J166" s="168" t="s">
        <v>235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201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25">
      <c r="A168" s="146">
        <v>7485</v>
      </c>
      <c r="B168" s="35" t="s">
        <v>202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hidden="1" customHeight="1" thickTop="1" x14ac:dyDescent="0.25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hidden="1" customHeight="1" x14ac:dyDescent="0.25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9">E171*F171</f>
        <v>0</v>
      </c>
      <c r="H171" s="14">
        <v>1.8</v>
      </c>
      <c r="I171" s="14">
        <v>50</v>
      </c>
      <c r="J171" s="29"/>
      <c r="L171" s="115"/>
    </row>
    <row r="172" spans="1:67" ht="16.5" hidden="1" customHeight="1" x14ac:dyDescent="0.25">
      <c r="A172" s="146">
        <v>6008</v>
      </c>
      <c r="B172" s="35" t="s">
        <v>192</v>
      </c>
      <c r="C172" s="51" t="s">
        <v>22</v>
      </c>
      <c r="D172" s="52">
        <v>1001084856008</v>
      </c>
      <c r="E172" s="24"/>
      <c r="F172" s="23">
        <v>0.3</v>
      </c>
      <c r="G172" s="23">
        <f t="shared" si="19"/>
        <v>0</v>
      </c>
      <c r="H172" s="14">
        <v>1.8</v>
      </c>
      <c r="I172" s="14">
        <v>40</v>
      </c>
      <c r="J172" s="60"/>
      <c r="L172" s="115"/>
    </row>
    <row r="173" spans="1:67" ht="16.5" customHeight="1" thickBot="1" x14ac:dyDescent="0.3">
      <c r="A173" s="57">
        <v>7090</v>
      </c>
      <c r="B173" s="35" t="s">
        <v>100</v>
      </c>
      <c r="C173" s="51" t="s">
        <v>20</v>
      </c>
      <c r="D173" s="52">
        <v>1001084217090</v>
      </c>
      <c r="E173" s="24">
        <v>20</v>
      </c>
      <c r="F173" s="23">
        <v>0.3</v>
      </c>
      <c r="G173" s="23">
        <f t="shared" si="19"/>
        <v>6</v>
      </c>
      <c r="H173" s="14">
        <v>1.8</v>
      </c>
      <c r="I173" s="14">
        <v>50</v>
      </c>
      <c r="J173" s="29"/>
      <c r="L173" s="115"/>
    </row>
    <row r="174" spans="1:67" ht="16.5" hidden="1" customHeight="1" x14ac:dyDescent="0.3">
      <c r="A174" s="57">
        <v>7103</v>
      </c>
      <c r="B174" s="35" t="s">
        <v>171</v>
      </c>
      <c r="C174" s="51" t="s">
        <v>20</v>
      </c>
      <c r="D174" s="52">
        <v>1001223297103</v>
      </c>
      <c r="E174" s="24"/>
      <c r="F174" s="23">
        <v>0.18</v>
      </c>
      <c r="G174" s="23">
        <f t="shared" si="19"/>
        <v>0</v>
      </c>
      <c r="H174" s="14">
        <v>1.8</v>
      </c>
      <c r="I174" s="14">
        <v>50</v>
      </c>
      <c r="J174" s="29"/>
      <c r="L174" s="115"/>
    </row>
    <row r="175" spans="1:67" ht="16.5" hidden="1" customHeight="1" x14ac:dyDescent="0.3">
      <c r="A175" s="57">
        <v>6279</v>
      </c>
      <c r="B175" s="35" t="s">
        <v>98</v>
      </c>
      <c r="C175" s="51" t="s">
        <v>20</v>
      </c>
      <c r="D175" s="52">
        <v>1001220286279</v>
      </c>
      <c r="E175" s="24"/>
      <c r="F175" s="23">
        <v>0.15</v>
      </c>
      <c r="G175" s="23">
        <f t="shared" si="19"/>
        <v>0</v>
      </c>
      <c r="H175" s="14">
        <v>1.2</v>
      </c>
      <c r="I175" s="14">
        <v>45</v>
      </c>
      <c r="J175" s="29"/>
      <c r="L175" s="115"/>
    </row>
    <row r="176" spans="1:67" ht="16.5" hidden="1" customHeight="1" x14ac:dyDescent="0.3">
      <c r="A176" s="149">
        <v>6929</v>
      </c>
      <c r="B176" s="169" t="s">
        <v>236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190</v>
      </c>
      <c r="L176" s="115"/>
    </row>
    <row r="177" spans="1:12" ht="16.5" hidden="1" customHeight="1" x14ac:dyDescent="0.3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9"/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3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9"/>
        <v>0</v>
      </c>
      <c r="H178" s="144">
        <v>1</v>
      </c>
      <c r="I178" s="144">
        <v>45</v>
      </c>
      <c r="J178" s="160" t="s">
        <v>216</v>
      </c>
      <c r="L178" s="115"/>
    </row>
    <row r="179" spans="1:12" ht="16.5" hidden="1" customHeight="1" x14ac:dyDescent="0.3">
      <c r="A179" s="57">
        <v>6754</v>
      </c>
      <c r="B179" s="35" t="s">
        <v>172</v>
      </c>
      <c r="C179" s="51" t="s">
        <v>20</v>
      </c>
      <c r="D179" s="52">
        <v>1001225406754</v>
      </c>
      <c r="E179" s="24"/>
      <c r="F179" s="23">
        <v>0.09</v>
      </c>
      <c r="G179" s="23">
        <f t="shared" si="19"/>
        <v>0</v>
      </c>
      <c r="H179" s="14">
        <v>0.72</v>
      </c>
      <c r="I179" s="14">
        <v>60</v>
      </c>
      <c r="J179" s="29"/>
      <c r="L179" s="115"/>
    </row>
    <row r="180" spans="1:12" ht="16.5" hidden="1" customHeight="1" x14ac:dyDescent="0.3">
      <c r="A180" s="57">
        <v>6208</v>
      </c>
      <c r="B180" s="35" t="s">
        <v>99</v>
      </c>
      <c r="C180" s="51" t="s">
        <v>20</v>
      </c>
      <c r="D180" s="52">
        <v>1001220226208</v>
      </c>
      <c r="E180" s="24"/>
      <c r="F180" s="23">
        <v>0.15</v>
      </c>
      <c r="G180" s="23">
        <f t="shared" si="19"/>
        <v>0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3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9"/>
        <v>0</v>
      </c>
      <c r="H181" s="14">
        <v>0.9</v>
      </c>
      <c r="I181" s="14">
        <v>45</v>
      </c>
      <c r="J181" s="29"/>
      <c r="L181" s="115"/>
    </row>
    <row r="182" spans="1:12" ht="16.5" hidden="1" customHeight="1" thickBot="1" x14ac:dyDescent="0.3">
      <c r="A182" s="146">
        <v>7612</v>
      </c>
      <c r="B182" s="147" t="s">
        <v>193</v>
      </c>
      <c r="C182" s="51" t="s">
        <v>20</v>
      </c>
      <c r="D182" s="52">
        <v>1001453907612</v>
      </c>
      <c r="E182" s="24"/>
      <c r="F182" s="23">
        <v>0.1</v>
      </c>
      <c r="G182" s="23">
        <f t="shared" si="19"/>
        <v>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213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hidden="1" customHeight="1" thickTop="1" x14ac:dyDescent="0.3">
      <c r="A184" s="149">
        <v>7344</v>
      </c>
      <c r="B184" s="169" t="s">
        <v>214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190</v>
      </c>
      <c r="L184" s="115"/>
    </row>
    <row r="185" spans="1:12" ht="16.5" hidden="1" customHeight="1" thickBot="1" x14ac:dyDescent="0.3">
      <c r="A185" s="149">
        <v>7345</v>
      </c>
      <c r="B185" s="169" t="s">
        <v>215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190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1498</v>
      </c>
      <c r="F186" s="17"/>
      <c r="G186" s="17">
        <f>SUM(G11:G185)</f>
        <v>1084.02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168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169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170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171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172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173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174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175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176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177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178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179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180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181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182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183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184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185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2026-10-14T11:39:50Z</dcterms:modified>
</cp:coreProperties>
</file>