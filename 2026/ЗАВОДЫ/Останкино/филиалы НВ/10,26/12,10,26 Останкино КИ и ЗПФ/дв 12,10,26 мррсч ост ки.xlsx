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4561D35-F9E3-4CC2-82EB-09AF034F46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Sheet!$A$3:$Y$109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" i="1" l="1"/>
  <c r="R10" i="1"/>
  <c r="R11" i="1"/>
  <c r="R12" i="1"/>
  <c r="R14" i="1"/>
  <c r="R15" i="1"/>
  <c r="Y15" i="1" s="1"/>
  <c r="R16" i="1"/>
  <c r="R17" i="1"/>
  <c r="R20" i="1"/>
  <c r="R21" i="1"/>
  <c r="Y21" i="1" s="1"/>
  <c r="R23" i="1"/>
  <c r="R27" i="1"/>
  <c r="Y27" i="1" s="1"/>
  <c r="R28" i="1"/>
  <c r="R29" i="1"/>
  <c r="R31" i="1"/>
  <c r="R32" i="1"/>
  <c r="R33" i="1"/>
  <c r="R34" i="1"/>
  <c r="R35" i="1"/>
  <c r="R36" i="1"/>
  <c r="R37" i="1"/>
  <c r="R38" i="1"/>
  <c r="R40" i="1"/>
  <c r="R41" i="1"/>
  <c r="Y41" i="1" s="1"/>
  <c r="R42" i="1"/>
  <c r="R43" i="1"/>
  <c r="R47" i="1"/>
  <c r="R48" i="1"/>
  <c r="R50" i="1"/>
  <c r="R51" i="1"/>
  <c r="R52" i="1"/>
  <c r="R53" i="1"/>
  <c r="Y53" i="1" s="1"/>
  <c r="R54" i="1"/>
  <c r="R55" i="1"/>
  <c r="R56" i="1"/>
  <c r="R58" i="1"/>
  <c r="R61" i="1"/>
  <c r="R62" i="1"/>
  <c r="R64" i="1"/>
  <c r="R66" i="1"/>
  <c r="R67" i="1"/>
  <c r="R68" i="1"/>
  <c r="R69" i="1"/>
  <c r="R70" i="1"/>
  <c r="R71" i="1"/>
  <c r="R72" i="1"/>
  <c r="R74" i="1"/>
  <c r="R76" i="1"/>
  <c r="Y76" i="1" s="1"/>
  <c r="R78" i="1"/>
  <c r="Y78" i="1" s="1"/>
  <c r="R79" i="1"/>
  <c r="Y79" i="1" s="1"/>
  <c r="R80" i="1"/>
  <c r="Y80" i="1" s="1"/>
  <c r="R81" i="1"/>
  <c r="R82" i="1"/>
  <c r="Y82" i="1" s="1"/>
  <c r="R84" i="1"/>
  <c r="Y84" i="1" s="1"/>
  <c r="R87" i="1"/>
  <c r="R88" i="1"/>
  <c r="Y88" i="1" s="1"/>
  <c r="R92" i="1"/>
  <c r="Y92" i="1" s="1"/>
  <c r="R94" i="1"/>
  <c r="Y94" i="1" s="1"/>
  <c r="R95" i="1"/>
  <c r="R96" i="1"/>
  <c r="Y96" i="1" s="1"/>
  <c r="R100" i="1"/>
  <c r="Y100" i="1" s="1"/>
  <c r="R101" i="1"/>
  <c r="Y101" i="1" s="1"/>
  <c r="R102" i="1"/>
  <c r="Y102" i="1" s="1"/>
  <c r="R103" i="1"/>
  <c r="R105" i="1"/>
  <c r="R106" i="1"/>
  <c r="Y106" i="1" s="1"/>
  <c r="R107" i="1"/>
  <c r="R108" i="1"/>
  <c r="Y108" i="1" s="1"/>
  <c r="R109" i="1"/>
  <c r="Y11" i="1"/>
  <c r="Y17" i="1"/>
  <c r="Y23" i="1"/>
  <c r="Y29" i="1"/>
  <c r="Y31" i="1"/>
  <c r="Y33" i="1"/>
  <c r="Y35" i="1"/>
  <c r="Y37" i="1"/>
  <c r="Y43" i="1"/>
  <c r="Y47" i="1"/>
  <c r="Y51" i="1"/>
  <c r="Y55" i="1"/>
  <c r="Y61" i="1"/>
  <c r="Y67" i="1"/>
  <c r="Y69" i="1"/>
  <c r="Y71" i="1"/>
  <c r="Y81" i="1"/>
  <c r="Y87" i="1"/>
  <c r="Y95" i="1"/>
  <c r="Y103" i="1"/>
  <c r="Y105" i="1"/>
  <c r="Y107" i="1"/>
  <c r="Y109" i="1"/>
  <c r="Y6" i="1"/>
  <c r="R6" i="1"/>
  <c r="S7" i="1"/>
  <c r="S9" i="1"/>
  <c r="S11" i="1"/>
  <c r="S18" i="1"/>
  <c r="S22" i="1"/>
  <c r="S26" i="1"/>
  <c r="S104" i="1"/>
  <c r="Y74" i="1" l="1"/>
  <c r="Y72" i="1"/>
  <c r="Y70" i="1"/>
  <c r="Y68" i="1"/>
  <c r="Y66" i="1"/>
  <c r="Y64" i="1"/>
  <c r="Y62" i="1"/>
  <c r="Y58" i="1"/>
  <c r="Y56" i="1"/>
  <c r="Y54" i="1"/>
  <c r="Y52" i="1"/>
  <c r="Y50" i="1"/>
  <c r="Y48" i="1"/>
  <c r="Y42" i="1"/>
  <c r="Y40" i="1"/>
  <c r="Y38" i="1"/>
  <c r="Y36" i="1"/>
  <c r="Y34" i="1"/>
  <c r="Y32" i="1"/>
  <c r="Y28" i="1"/>
  <c r="Y26" i="1"/>
  <c r="Y22" i="1"/>
  <c r="Y20" i="1"/>
  <c r="Y18" i="1"/>
  <c r="Y16" i="1"/>
  <c r="Y14" i="1"/>
  <c r="Y12" i="1"/>
  <c r="Y10" i="1"/>
  <c r="Y8" i="1"/>
  <c r="S5" i="1"/>
  <c r="P109" i="1" l="1"/>
  <c r="P108" i="1"/>
  <c r="T108" i="1" s="1"/>
  <c r="P107" i="1"/>
  <c r="U107" i="1" l="1"/>
  <c r="T107" i="1"/>
  <c r="U109" i="1"/>
  <c r="T109" i="1"/>
  <c r="U108" i="1"/>
  <c r="P106" i="1" l="1"/>
  <c r="L106" i="1"/>
  <c r="P105" i="1"/>
  <c r="L105" i="1"/>
  <c r="F104" i="1"/>
  <c r="E104" i="1"/>
  <c r="P104" i="1" s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L99" i="1"/>
  <c r="P98" i="1"/>
  <c r="L98" i="1"/>
  <c r="P97" i="1"/>
  <c r="L97" i="1"/>
  <c r="P96" i="1"/>
  <c r="T96" i="1" s="1"/>
  <c r="L96" i="1"/>
  <c r="P95" i="1"/>
  <c r="T95" i="1" s="1"/>
  <c r="L95" i="1"/>
  <c r="P94" i="1"/>
  <c r="T94" i="1" s="1"/>
  <c r="L94" i="1"/>
  <c r="P93" i="1"/>
  <c r="L93" i="1"/>
  <c r="P92" i="1"/>
  <c r="T92" i="1" s="1"/>
  <c r="L92" i="1"/>
  <c r="P91" i="1"/>
  <c r="L91" i="1"/>
  <c r="P90" i="1"/>
  <c r="L90" i="1"/>
  <c r="P89" i="1"/>
  <c r="L89" i="1"/>
  <c r="F88" i="1"/>
  <c r="E88" i="1"/>
  <c r="L88" i="1" s="1"/>
  <c r="P87" i="1"/>
  <c r="T87" i="1" s="1"/>
  <c r="L87" i="1"/>
  <c r="P86" i="1"/>
  <c r="L86" i="1"/>
  <c r="P85" i="1"/>
  <c r="L85" i="1"/>
  <c r="P84" i="1"/>
  <c r="T84" i="1" s="1"/>
  <c r="L84" i="1"/>
  <c r="P83" i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L65" i="1"/>
  <c r="P64" i="1"/>
  <c r="T64" i="1" s="1"/>
  <c r="L64" i="1"/>
  <c r="P63" i="1"/>
  <c r="Q63" i="1" s="1"/>
  <c r="R63" i="1" s="1"/>
  <c r="L63" i="1"/>
  <c r="P62" i="1"/>
  <c r="T62" i="1" s="1"/>
  <c r="L62" i="1"/>
  <c r="P61" i="1"/>
  <c r="T61" i="1" s="1"/>
  <c r="L61" i="1"/>
  <c r="P60" i="1"/>
  <c r="L60" i="1"/>
  <c r="P59" i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T47" i="1" s="1"/>
  <c r="L47" i="1"/>
  <c r="P46" i="1"/>
  <c r="L46" i="1"/>
  <c r="P45" i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Q39" i="1" s="1"/>
  <c r="R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L34" i="1"/>
  <c r="P33" i="1"/>
  <c r="L33" i="1"/>
  <c r="P32" i="1"/>
  <c r="T32" i="1" s="1"/>
  <c r="L32" i="1"/>
  <c r="P31" i="1"/>
  <c r="T31" i="1" s="1"/>
  <c r="L31" i="1"/>
  <c r="P30" i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T8" i="1" s="1"/>
  <c r="L8" i="1"/>
  <c r="P7" i="1"/>
  <c r="L7" i="1"/>
  <c r="P6" i="1"/>
  <c r="T6" i="1" s="1"/>
  <c r="L6" i="1"/>
  <c r="W5" i="1"/>
  <c r="V5" i="1"/>
  <c r="O5" i="1"/>
  <c r="N5" i="1"/>
  <c r="M5" i="1"/>
  <c r="K5" i="1"/>
  <c r="U33" i="1" l="1"/>
  <c r="T33" i="1"/>
  <c r="U34" i="1"/>
  <c r="T34" i="1"/>
  <c r="U37" i="1"/>
  <c r="T37" i="1"/>
  <c r="T39" i="1"/>
  <c r="Y39" i="1"/>
  <c r="U53" i="1"/>
  <c r="T53" i="1"/>
  <c r="T63" i="1"/>
  <c r="Y63" i="1"/>
  <c r="U67" i="1"/>
  <c r="T67" i="1"/>
  <c r="F5" i="1"/>
  <c r="T104" i="1"/>
  <c r="U105" i="1"/>
  <c r="T105" i="1"/>
  <c r="U106" i="1"/>
  <c r="T106" i="1"/>
  <c r="Q104" i="1"/>
  <c r="Y104" i="1" s="1"/>
  <c r="Q57" i="1"/>
  <c r="R57" i="1" s="1"/>
  <c r="U69" i="1"/>
  <c r="U94" i="1"/>
  <c r="U15" i="1"/>
  <c r="U10" i="1"/>
  <c r="U61" i="1"/>
  <c r="U68" i="1"/>
  <c r="U74" i="1"/>
  <c r="U42" i="1"/>
  <c r="Q49" i="1"/>
  <c r="R49" i="1" s="1"/>
  <c r="U56" i="1"/>
  <c r="P88" i="1"/>
  <c r="T88" i="1" s="1"/>
  <c r="U28" i="1"/>
  <c r="U22" i="1"/>
  <c r="U75" i="1"/>
  <c r="Q75" i="1"/>
  <c r="R75" i="1" s="1"/>
  <c r="U82" i="1"/>
  <c r="U95" i="1"/>
  <c r="U41" i="1"/>
  <c r="U81" i="1"/>
  <c r="U11" i="1"/>
  <c r="U23" i="1"/>
  <c r="U30" i="1"/>
  <c r="Q30" i="1"/>
  <c r="R30" i="1" s="1"/>
  <c r="U50" i="1"/>
  <c r="Q89" i="1"/>
  <c r="R89" i="1" s="1"/>
  <c r="U102" i="1"/>
  <c r="U83" i="1"/>
  <c r="Q83" i="1"/>
  <c r="R83" i="1" s="1"/>
  <c r="U96" i="1"/>
  <c r="U24" i="1"/>
  <c r="Q24" i="1"/>
  <c r="R24" i="1" s="1"/>
  <c r="Q44" i="1"/>
  <c r="R44" i="1" s="1"/>
  <c r="U57" i="1"/>
  <c r="U63" i="1"/>
  <c r="U18" i="1"/>
  <c r="U38" i="1"/>
  <c r="U31" i="1"/>
  <c r="U70" i="1"/>
  <c r="U90" i="1"/>
  <c r="Q90" i="1"/>
  <c r="R90" i="1" s="1"/>
  <c r="U103" i="1"/>
  <c r="Q9" i="1"/>
  <c r="U16" i="1"/>
  <c r="U77" i="1"/>
  <c r="Q77" i="1"/>
  <c r="R77" i="1" s="1"/>
  <c r="Q97" i="1"/>
  <c r="R97" i="1" s="1"/>
  <c r="U87" i="1"/>
  <c r="Q45" i="1"/>
  <c r="R45" i="1" s="1"/>
  <c r="U64" i="1"/>
  <c r="U97" i="1"/>
  <c r="U100" i="1"/>
  <c r="Q25" i="1"/>
  <c r="R25" i="1" s="1"/>
  <c r="U71" i="1"/>
  <c r="U91" i="1"/>
  <c r="Q91" i="1"/>
  <c r="R91" i="1" s="1"/>
  <c r="U13" i="1"/>
  <c r="Q13" i="1"/>
  <c r="R13" i="1" s="1"/>
  <c r="U39" i="1"/>
  <c r="U78" i="1"/>
  <c r="U85" i="1"/>
  <c r="Q85" i="1"/>
  <c r="R85" i="1" s="1"/>
  <c r="U46" i="1"/>
  <c r="Q46" i="1"/>
  <c r="R46" i="1" s="1"/>
  <c r="U59" i="1"/>
  <c r="Q59" i="1"/>
  <c r="R59" i="1" s="1"/>
  <c r="U65" i="1"/>
  <c r="Q65" i="1"/>
  <c r="R65" i="1" s="1"/>
  <c r="U98" i="1"/>
  <c r="Q98" i="1"/>
  <c r="R98" i="1" s="1"/>
  <c r="U12" i="1"/>
  <c r="U92" i="1"/>
  <c r="U19" i="1"/>
  <c r="Q19" i="1"/>
  <c r="R19" i="1" s="1"/>
  <c r="U8" i="1"/>
  <c r="U20" i="1"/>
  <c r="U40" i="1"/>
  <c r="U79" i="1"/>
  <c r="U86" i="1"/>
  <c r="Q86" i="1"/>
  <c r="R86" i="1" s="1"/>
  <c r="U14" i="1"/>
  <c r="U27" i="1"/>
  <c r="U60" i="1"/>
  <c r="Q60" i="1"/>
  <c r="R60" i="1" s="1"/>
  <c r="U99" i="1"/>
  <c r="Q99" i="1"/>
  <c r="R99" i="1" s="1"/>
  <c r="U55" i="1"/>
  <c r="U36" i="1"/>
  <c r="U6" i="1"/>
  <c r="Q7" i="1"/>
  <c r="U26" i="1"/>
  <c r="E5" i="1"/>
  <c r="U35" i="1"/>
  <c r="Q73" i="1"/>
  <c r="R73" i="1" s="1"/>
  <c r="Q93" i="1"/>
  <c r="R93" i="1" s="1"/>
  <c r="U32" i="1"/>
  <c r="U43" i="1"/>
  <c r="U73" i="1"/>
  <c r="U84" i="1"/>
  <c r="U89" i="1"/>
  <c r="U101" i="1"/>
  <c r="U51" i="1"/>
  <c r="U80" i="1"/>
  <c r="U76" i="1"/>
  <c r="U47" i="1"/>
  <c r="U93" i="1"/>
  <c r="U72" i="1"/>
  <c r="U104" i="1"/>
  <c r="U45" i="1"/>
  <c r="U49" i="1"/>
  <c r="U9" i="1"/>
  <c r="U17" i="1"/>
  <c r="U21" i="1"/>
  <c r="U25" i="1"/>
  <c r="U29" i="1"/>
  <c r="U54" i="1"/>
  <c r="U58" i="1"/>
  <c r="U62" i="1"/>
  <c r="U66" i="1"/>
  <c r="L104" i="1"/>
  <c r="L5" i="1" s="1"/>
  <c r="U44" i="1"/>
  <c r="U48" i="1"/>
  <c r="U52" i="1"/>
  <c r="U7" i="1"/>
  <c r="Y93" i="1" l="1"/>
  <c r="T93" i="1"/>
  <c r="Y25" i="1"/>
  <c r="T25" i="1"/>
  <c r="Y45" i="1"/>
  <c r="T45" i="1"/>
  <c r="Y97" i="1"/>
  <c r="T97" i="1"/>
  <c r="Y9" i="1"/>
  <c r="T9" i="1"/>
  <c r="Y90" i="1"/>
  <c r="T90" i="1"/>
  <c r="Y44" i="1"/>
  <c r="T44" i="1"/>
  <c r="T83" i="1"/>
  <c r="Y83" i="1"/>
  <c r="Y57" i="1"/>
  <c r="T57" i="1"/>
  <c r="Y73" i="1"/>
  <c r="T73" i="1"/>
  <c r="T7" i="1"/>
  <c r="Y7" i="1"/>
  <c r="R5" i="1"/>
  <c r="T99" i="1"/>
  <c r="Y99" i="1"/>
  <c r="Y60" i="1"/>
  <c r="T60" i="1"/>
  <c r="Y86" i="1"/>
  <c r="T86" i="1"/>
  <c r="T19" i="1"/>
  <c r="Y19" i="1"/>
  <c r="Y98" i="1"/>
  <c r="T98" i="1"/>
  <c r="Y65" i="1"/>
  <c r="T65" i="1"/>
  <c r="T59" i="1"/>
  <c r="Y59" i="1"/>
  <c r="Y46" i="1"/>
  <c r="T46" i="1"/>
  <c r="Y85" i="1"/>
  <c r="T85" i="1"/>
  <c r="Y13" i="1"/>
  <c r="T13" i="1"/>
  <c r="T91" i="1"/>
  <c r="Y91" i="1"/>
  <c r="Y77" i="1"/>
  <c r="T77" i="1"/>
  <c r="Y24" i="1"/>
  <c r="T24" i="1"/>
  <c r="Y89" i="1"/>
  <c r="T89" i="1"/>
  <c r="Y30" i="1"/>
  <c r="T30" i="1"/>
  <c r="T75" i="1"/>
  <c r="Y75" i="1"/>
  <c r="Y49" i="1"/>
  <c r="T49" i="1"/>
  <c r="P5" i="1"/>
  <c r="U88" i="1"/>
  <c r="Q5" i="1"/>
  <c r="Y5" i="1" l="1"/>
</calcChain>
</file>

<file path=xl/sharedStrings.xml><?xml version="1.0" encoding="utf-8"?>
<sst xmlns="http://schemas.openxmlformats.org/spreadsheetml/2006/main" count="373" uniqueCount="154">
  <si>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</si>
  <si>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</si>
  <si>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</si>
  <si>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</si>
  <si>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</si>
  <si>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</si>
  <si>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</si>
  <si>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</si>
  <si>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</si>
  <si>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</si>
  <si>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</si>
  <si>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</si>
  <si>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</si>
  <si>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</si>
  <si>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</si>
  <si>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</si>
  <si>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</si>
  <si>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</si>
  <si>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</si>
  <si>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</si>
  <si>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</si>
  <si>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</si>
  <si>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</si>
  <si>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</si>
  <si>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</si>
  <si>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</si>
  <si>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</si>
  <si>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</si>
  <si>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</si>
  <si>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</si>
  <si>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</si>
  <si>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</si>
  <si>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</si>
  <si>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</si>
  <si>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</si>
  <si>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</si>
  <si>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</si>
  <si>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</si>
  <si>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</si>
  <si>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</si>
  <si>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</si>
  <si>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</si>
  <si>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</si>
  <si>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</si>
  <si>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</si>
  <si>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</si>
  <si>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</si>
  <si>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</si>
  <si>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</si>
  <si>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</si>
  <si>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</si>
  <si>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</si>
  <si>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</si>
  <si>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</si>
  <si>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</si>
  <si>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</si>
  <si>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</si>
  <si>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</si>
  <si>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</si>
  <si>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</si>
  <si>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</si>
  <si>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</si>
  <si>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</si>
  <si>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</si>
  <si>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</si>
  <si>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</si>
  <si>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</si>
  <si>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</si>
  <si>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</si>
  <si>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</si>
  <si>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</si>
  <si>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</si>
  <si>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</si>
  <si>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</si>
  <si>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</si>
  <si>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</si>
  <si>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</si>
  <si>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</si>
  <si>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</si>
  <si>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</si>
  <si>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</si>
  <si>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</si>
  <si>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</si>
  <si>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</si>
  <si>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</si>
  <si>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</si>
  <si>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</si>
  <si>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</si>
  <si>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</si>
  <si>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</si>
  <si>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</si>
  <si>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</si>
  <si>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</si>
  <si>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</si>
  <si>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</si>
  <si>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</si>
  <si>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</si>
  <si>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</si>
  <si>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</si>
  <si>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</si>
  <si>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</si>
  <si>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</si>
  <si>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</si>
  <si>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</si>
  <si>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</si>
  <si>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</si>
  <si>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</si>
  <si>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</si>
  <si>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</si>
  <si>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</si>
  <si>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</si>
  <si>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</si>
  <si>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</si>
  <si>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</si>
  <si>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</si>
  <si>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</si>
  <si>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</si>
  <si>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</si>
  <si>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</si>
  <si>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</si>
  <si>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</si>
  <si>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</si>
  <si>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</si>
  <si>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</si>
  <si>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</si>
  <si>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</si>
  <si>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</si>
  <si>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</si>
  <si>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</si>
  <si>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</si>
  <si>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</si>
  <si>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</si>
  <si>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</si>
  <si>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</si>
  <si>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</si>
  <si>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</si>
  <si>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</si>
  <si>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</si>
  <si>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</si>
  <si>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</si>
  <si>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</si>
  <si>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</si>
  <si>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</si>
  <si>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</si>
  <si>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</si>
  <si>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</si>
  <si>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</si>
  <si>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завод не отгрузил 06,10,26</t>
  </si>
  <si>
    <t>44шт списано (09,10,26)</t>
  </si>
  <si>
    <t>43шт списано (09,10,26)</t>
  </si>
  <si>
    <t>ТК</t>
  </si>
  <si>
    <t>Титенок</t>
  </si>
  <si>
    <t>заказ</t>
  </si>
  <si>
    <t>21,10,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</si>
</sst>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E5">
            <v>5363.6630000000005</v>
          </cell>
          <cell r="F5">
            <v>13014.439999999999</v>
          </cell>
          <cell r="K5">
            <v>8045.9199999999992</v>
          </cell>
          <cell r="L5">
            <v>-2682.2570000000001</v>
          </cell>
          <cell r="M5">
            <v>0</v>
          </cell>
          <cell r="N5">
            <v>0</v>
          </cell>
          <cell r="O5">
            <v>6555</v>
          </cell>
          <cell r="P5">
            <v>1072.7326</v>
          </cell>
          <cell r="Q5">
            <v>3671.9460000000004</v>
          </cell>
          <cell r="R5">
            <v>575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48.381999999999998</v>
          </cell>
          <cell r="E6">
            <v>2.7120000000000002</v>
          </cell>
          <cell r="F6">
            <v>42.399000000000001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3</v>
          </cell>
          <cell r="L6">
            <v>-0.28799999999999981</v>
          </cell>
          <cell r="O6">
            <v>0</v>
          </cell>
          <cell r="P6">
            <v>0.54239999999999999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150</v>
          </cell>
          <cell r="D7">
            <v>371</v>
          </cell>
          <cell r="E7">
            <v>124</v>
          </cell>
          <cell r="F7">
            <v>321</v>
          </cell>
          <cell r="G7">
            <v>0.4</v>
          </cell>
          <cell r="H7">
            <v>60</v>
          </cell>
          <cell r="I7" t="str">
            <v>матрица</v>
          </cell>
          <cell r="K7">
            <v>127</v>
          </cell>
          <cell r="L7">
            <v>-3</v>
          </cell>
          <cell r="O7">
            <v>20</v>
          </cell>
          <cell r="P7">
            <v>24.8</v>
          </cell>
          <cell r="Q7">
            <v>31</v>
          </cell>
          <cell r="R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0.46500000000000002</v>
          </cell>
          <cell r="D8">
            <v>69.254999999999995</v>
          </cell>
          <cell r="E8">
            <v>5.5350000000000001</v>
          </cell>
          <cell r="F8">
            <v>60.338999999999999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6.5</v>
          </cell>
          <cell r="L8">
            <v>-0.96499999999999986</v>
          </cell>
          <cell r="O8">
            <v>50</v>
          </cell>
          <cell r="P8">
            <v>1.107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193</v>
          </cell>
          <cell r="D9">
            <v>121</v>
          </cell>
          <cell r="E9">
            <v>82</v>
          </cell>
          <cell r="F9">
            <v>120</v>
          </cell>
          <cell r="G9">
            <v>0.25</v>
          </cell>
          <cell r="H9">
            <v>120</v>
          </cell>
          <cell r="I9" t="str">
            <v>матрица</v>
          </cell>
          <cell r="K9">
            <v>86</v>
          </cell>
          <cell r="L9">
            <v>-4</v>
          </cell>
          <cell r="O9">
            <v>120</v>
          </cell>
          <cell r="P9">
            <v>16.399999999999999</v>
          </cell>
          <cell r="Q9">
            <v>5.9999999999999716</v>
          </cell>
          <cell r="R9">
            <v>40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14.673</v>
          </cell>
          <cell r="D10">
            <v>438.279</v>
          </cell>
          <cell r="E10">
            <v>116.47499999999999</v>
          </cell>
          <cell r="F10">
            <v>280.33999999999997</v>
          </cell>
          <cell r="G10">
            <v>1</v>
          </cell>
          <cell r="H10">
            <v>60</v>
          </cell>
          <cell r="I10" t="str">
            <v>матрица</v>
          </cell>
          <cell r="K10">
            <v>120.9</v>
          </cell>
          <cell r="L10">
            <v>-4.4250000000000114</v>
          </cell>
          <cell r="O10">
            <v>80</v>
          </cell>
          <cell r="P10">
            <v>23.294999999999998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-7.7229999999999999</v>
          </cell>
          <cell r="D11">
            <v>117.88200000000001</v>
          </cell>
          <cell r="E11">
            <v>3.5590000000000002</v>
          </cell>
          <cell r="F11">
            <v>105.58199999999999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3.5</v>
          </cell>
          <cell r="L11">
            <v>5.9000000000000163E-2</v>
          </cell>
          <cell r="O11">
            <v>20</v>
          </cell>
          <cell r="P11">
            <v>0.71179999999999999</v>
          </cell>
          <cell r="R11">
            <v>25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D12">
            <v>140.209</v>
          </cell>
          <cell r="E12">
            <v>33.674999999999997</v>
          </cell>
          <cell r="F12">
            <v>68.69</v>
          </cell>
          <cell r="G12">
            <v>1</v>
          </cell>
          <cell r="H12">
            <v>60</v>
          </cell>
          <cell r="I12" t="str">
            <v>матрица</v>
          </cell>
          <cell r="K12">
            <v>35.4</v>
          </cell>
          <cell r="L12">
            <v>-1.7250000000000014</v>
          </cell>
          <cell r="O12">
            <v>50</v>
          </cell>
          <cell r="P12">
            <v>6.7349999999999994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109.282</v>
          </cell>
          <cell r="D13">
            <v>306.173</v>
          </cell>
          <cell r="E13">
            <v>167.17</v>
          </cell>
          <cell r="F13">
            <v>198.613</v>
          </cell>
          <cell r="G13">
            <v>1</v>
          </cell>
          <cell r="H13">
            <v>60</v>
          </cell>
          <cell r="I13" t="str">
            <v>матрица</v>
          </cell>
          <cell r="K13">
            <v>165.5</v>
          </cell>
          <cell r="L13">
            <v>1.6699999999999875</v>
          </cell>
          <cell r="O13">
            <v>100</v>
          </cell>
          <cell r="P13">
            <v>33.433999999999997</v>
          </cell>
          <cell r="Q13">
            <v>202.89699999999999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34</v>
          </cell>
          <cell r="D14">
            <v>252</v>
          </cell>
          <cell r="E14">
            <v>79</v>
          </cell>
          <cell r="F14">
            <v>197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114</v>
          </cell>
          <cell r="L14">
            <v>-35</v>
          </cell>
          <cell r="O14">
            <v>50</v>
          </cell>
          <cell r="P14">
            <v>15.8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6.0000000000000001E-3</v>
          </cell>
          <cell r="D15">
            <v>127.51</v>
          </cell>
          <cell r="F15">
            <v>115.30800000000001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53.3</v>
          </cell>
          <cell r="L15">
            <v>-53.3</v>
          </cell>
          <cell r="O15">
            <v>70</v>
          </cell>
          <cell r="P15">
            <v>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214</v>
          </cell>
          <cell r="D16">
            <v>244</v>
          </cell>
          <cell r="E16">
            <v>90</v>
          </cell>
          <cell r="F16">
            <v>262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100</v>
          </cell>
          <cell r="L16">
            <v>-10</v>
          </cell>
          <cell r="O16">
            <v>100</v>
          </cell>
          <cell r="P16">
            <v>18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69</v>
          </cell>
          <cell r="D17">
            <v>135</v>
          </cell>
          <cell r="E17">
            <v>30</v>
          </cell>
          <cell r="F17">
            <v>102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30</v>
          </cell>
          <cell r="L17">
            <v>0</v>
          </cell>
          <cell r="O17">
            <v>100</v>
          </cell>
          <cell r="P17">
            <v>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82.585999999999999</v>
          </cell>
          <cell r="D18">
            <v>336.286</v>
          </cell>
          <cell r="E18">
            <v>92.26</v>
          </cell>
          <cell r="F18">
            <v>234.55799999999999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92.6</v>
          </cell>
          <cell r="L18">
            <v>-0.3399999999999892</v>
          </cell>
          <cell r="O18">
            <v>100</v>
          </cell>
          <cell r="P18">
            <v>18.452000000000002</v>
          </cell>
          <cell r="R18">
            <v>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-2E-3</v>
          </cell>
          <cell r="D19">
            <v>10.005000000000001</v>
          </cell>
          <cell r="E19">
            <v>4.9889999999999999</v>
          </cell>
          <cell r="F19">
            <v>0.50600000000000001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5</v>
          </cell>
          <cell r="L19">
            <v>-1.1000000000000121E-2</v>
          </cell>
          <cell r="O19">
            <v>0</v>
          </cell>
          <cell r="P19">
            <v>0.99780000000000002</v>
          </cell>
          <cell r="Q19">
            <v>14.461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774</v>
          </cell>
          <cell r="E20">
            <v>145</v>
          </cell>
          <cell r="F20">
            <v>440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145</v>
          </cell>
          <cell r="L20">
            <v>0</v>
          </cell>
          <cell r="O20">
            <v>0</v>
          </cell>
          <cell r="P20">
            <v>29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19.974</v>
          </cell>
          <cell r="D21">
            <v>170.09800000000001</v>
          </cell>
          <cell r="E21">
            <v>80.265000000000001</v>
          </cell>
          <cell r="F21">
            <v>78.75</v>
          </cell>
          <cell r="G21">
            <v>1</v>
          </cell>
          <cell r="H21">
            <v>60</v>
          </cell>
          <cell r="I21" t="str">
            <v>матрица</v>
          </cell>
          <cell r="K21">
            <v>77.400000000000006</v>
          </cell>
          <cell r="L21">
            <v>2.8649999999999949</v>
          </cell>
          <cell r="O21">
            <v>180</v>
          </cell>
          <cell r="P21">
            <v>16.053000000000001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-45</v>
          </cell>
          <cell r="D22">
            <v>46</v>
          </cell>
          <cell r="E22">
            <v>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137</v>
          </cell>
          <cell r="L22">
            <v>-136</v>
          </cell>
          <cell r="O22">
            <v>250</v>
          </cell>
          <cell r="P22">
            <v>0.2</v>
          </cell>
          <cell r="Q22">
            <v>60</v>
          </cell>
          <cell r="R22">
            <v>140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D23">
            <v>45.764000000000003</v>
          </cell>
          <cell r="E23">
            <v>3.8319999999999999</v>
          </cell>
          <cell r="F23">
            <v>40.814</v>
          </cell>
          <cell r="G23">
            <v>1</v>
          </cell>
          <cell r="H23">
            <v>40</v>
          </cell>
          <cell r="I23" t="str">
            <v>матрица</v>
          </cell>
          <cell r="K23">
            <v>4.8</v>
          </cell>
          <cell r="L23">
            <v>-0.96799999999999997</v>
          </cell>
          <cell r="O23">
            <v>0</v>
          </cell>
          <cell r="P23">
            <v>0.76639999999999997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23.251999999999999</v>
          </cell>
          <cell r="D24">
            <v>111.77500000000001</v>
          </cell>
          <cell r="E24">
            <v>38.911999999999999</v>
          </cell>
          <cell r="F24">
            <v>57.005000000000003</v>
          </cell>
          <cell r="G24">
            <v>1</v>
          </cell>
          <cell r="H24">
            <v>60</v>
          </cell>
          <cell r="I24" t="str">
            <v>матрица</v>
          </cell>
          <cell r="K24">
            <v>42.1</v>
          </cell>
          <cell r="L24">
            <v>-3.1880000000000024</v>
          </cell>
          <cell r="O24">
            <v>50</v>
          </cell>
          <cell r="P24">
            <v>7.7824</v>
          </cell>
          <cell r="Q24">
            <v>9.7310000000000016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-1</v>
          </cell>
          <cell r="D25">
            <v>306</v>
          </cell>
          <cell r="E25">
            <v>151</v>
          </cell>
          <cell r="F25">
            <v>133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161</v>
          </cell>
          <cell r="L25">
            <v>-10</v>
          </cell>
          <cell r="O25">
            <v>100</v>
          </cell>
          <cell r="P25">
            <v>30.2</v>
          </cell>
          <cell r="Q25">
            <v>220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D26">
            <v>211</v>
          </cell>
          <cell r="E26">
            <v>36</v>
          </cell>
          <cell r="F26">
            <v>163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41</v>
          </cell>
          <cell r="L26">
            <v>-5</v>
          </cell>
          <cell r="O26">
            <v>50</v>
          </cell>
          <cell r="P26">
            <v>7.2</v>
          </cell>
          <cell r="R26">
            <v>70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D27">
            <v>83</v>
          </cell>
          <cell r="E27">
            <v>3</v>
          </cell>
          <cell r="F27">
            <v>77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3</v>
          </cell>
          <cell r="L27">
            <v>0</v>
          </cell>
          <cell r="O27">
            <v>50</v>
          </cell>
          <cell r="P27">
            <v>0.6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44.213999999999999</v>
          </cell>
          <cell r="D28">
            <v>869.92700000000002</v>
          </cell>
          <cell r="E28">
            <v>27.088999999999999</v>
          </cell>
          <cell r="F28">
            <v>526.13099999999997</v>
          </cell>
          <cell r="G28">
            <v>1</v>
          </cell>
          <cell r="H28">
            <v>45</v>
          </cell>
          <cell r="I28" t="str">
            <v>матрица</v>
          </cell>
          <cell r="K28">
            <v>26.5</v>
          </cell>
          <cell r="L28">
            <v>0.58899999999999864</v>
          </cell>
          <cell r="O28">
            <v>0</v>
          </cell>
          <cell r="P28">
            <v>5.4177999999999997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34</v>
          </cell>
          <cell r="D29">
            <v>75</v>
          </cell>
          <cell r="E29">
            <v>46</v>
          </cell>
          <cell r="F29">
            <v>43</v>
          </cell>
          <cell r="G29">
            <v>0.4</v>
          </cell>
          <cell r="H29">
            <v>60</v>
          </cell>
          <cell r="I29" t="str">
            <v>матрица</v>
          </cell>
          <cell r="K29">
            <v>51</v>
          </cell>
          <cell r="L29">
            <v>-5</v>
          </cell>
          <cell r="O29">
            <v>134</v>
          </cell>
          <cell r="P29">
            <v>9.1999999999999993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94.977000000000004</v>
          </cell>
          <cell r="D30">
            <v>528.02300000000002</v>
          </cell>
          <cell r="E30">
            <v>184</v>
          </cell>
          <cell r="F30">
            <v>404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206</v>
          </cell>
          <cell r="L30">
            <v>-22</v>
          </cell>
          <cell r="O30">
            <v>0</v>
          </cell>
          <cell r="P30">
            <v>36.799999999999997</v>
          </cell>
          <cell r="Q30">
            <v>148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-23.027000000000001</v>
          </cell>
          <cell r="D31">
            <v>584.02700000000004</v>
          </cell>
          <cell r="E31">
            <v>161</v>
          </cell>
          <cell r="F31">
            <v>394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173</v>
          </cell>
          <cell r="L31">
            <v>-12</v>
          </cell>
          <cell r="O31">
            <v>195</v>
          </cell>
          <cell r="P31">
            <v>32.200000000000003</v>
          </cell>
        </row>
        <row r="32">
          <cell r="A32" t="str">
            <v>6470 ВЕТЧ.МРАМОРНАЯ в/у_45с  ОСТАНКИНО</v>
          </cell>
          <cell r="B32" t="str">
            <v>кг</v>
          </cell>
          <cell r="C32">
            <v>-14.827999999999999</v>
          </cell>
          <cell r="D32">
            <v>14.827999999999999</v>
          </cell>
          <cell r="G32">
            <v>0</v>
          </cell>
          <cell r="H32">
            <v>45</v>
          </cell>
          <cell r="I32" t="str">
            <v>не в матрице</v>
          </cell>
          <cell r="K32">
            <v>12.5</v>
          </cell>
          <cell r="L32">
            <v>-12.5</v>
          </cell>
          <cell r="O32">
            <v>0</v>
          </cell>
          <cell r="P32">
            <v>0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-24</v>
          </cell>
          <cell r="D33">
            <v>24</v>
          </cell>
          <cell r="G33">
            <v>0</v>
          </cell>
          <cell r="I33" t="str">
            <v>не в матрице</v>
          </cell>
          <cell r="K33">
            <v>47</v>
          </cell>
          <cell r="L33">
            <v>-47</v>
          </cell>
          <cell r="O33">
            <v>0</v>
          </cell>
          <cell r="P33">
            <v>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10</v>
          </cell>
          <cell r="D34">
            <v>6</v>
          </cell>
          <cell r="E34">
            <v>16</v>
          </cell>
          <cell r="F34">
            <v>-1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33</v>
          </cell>
          <cell r="L34">
            <v>-17</v>
          </cell>
          <cell r="O34">
            <v>20</v>
          </cell>
          <cell r="P34">
            <v>3.2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253.51300000000001</v>
          </cell>
          <cell r="D35">
            <v>29.22</v>
          </cell>
          <cell r="E35">
            <v>49.314</v>
          </cell>
          <cell r="F35">
            <v>167.917</v>
          </cell>
          <cell r="G35">
            <v>1</v>
          </cell>
          <cell r="H35">
            <v>60</v>
          </cell>
          <cell r="I35" t="str">
            <v>матрица</v>
          </cell>
          <cell r="K35">
            <v>58</v>
          </cell>
          <cell r="L35">
            <v>-8.6859999999999999</v>
          </cell>
          <cell r="O35">
            <v>0</v>
          </cell>
          <cell r="P35">
            <v>9.8628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17.922999999999998</v>
          </cell>
          <cell r="D36">
            <v>65.171000000000006</v>
          </cell>
          <cell r="E36">
            <v>4.2240000000000002</v>
          </cell>
          <cell r="F36">
            <v>64.105000000000004</v>
          </cell>
          <cell r="G36">
            <v>1</v>
          </cell>
          <cell r="H36">
            <v>45</v>
          </cell>
          <cell r="I36" t="str">
            <v>матрица</v>
          </cell>
          <cell r="K36">
            <v>5</v>
          </cell>
          <cell r="L36">
            <v>-0.7759999999999998</v>
          </cell>
          <cell r="O36">
            <v>0</v>
          </cell>
          <cell r="P36">
            <v>0.8448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1.0049999999999999</v>
          </cell>
          <cell r="D37">
            <v>120.158</v>
          </cell>
          <cell r="E37">
            <v>1.026</v>
          </cell>
          <cell r="F37">
            <v>111.748</v>
          </cell>
          <cell r="G37">
            <v>1</v>
          </cell>
          <cell r="H37">
            <v>45</v>
          </cell>
          <cell r="I37" t="str">
            <v>матрица</v>
          </cell>
          <cell r="K37">
            <v>33</v>
          </cell>
          <cell r="L37">
            <v>-31.974</v>
          </cell>
          <cell r="O37">
            <v>0</v>
          </cell>
          <cell r="P37">
            <v>0.20519999999999999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5.5E-2</v>
          </cell>
          <cell r="D38">
            <v>75.531999999999996</v>
          </cell>
          <cell r="E38">
            <v>5.351</v>
          </cell>
          <cell r="F38">
            <v>65.971000000000004</v>
          </cell>
          <cell r="G38">
            <v>1</v>
          </cell>
          <cell r="H38">
            <v>45</v>
          </cell>
          <cell r="I38" t="str">
            <v>матрица</v>
          </cell>
          <cell r="K38">
            <v>9</v>
          </cell>
          <cell r="L38">
            <v>-3.649</v>
          </cell>
          <cell r="O38">
            <v>0</v>
          </cell>
          <cell r="P38">
            <v>1.0702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40</v>
          </cell>
          <cell r="D39">
            <v>292</v>
          </cell>
          <cell r="E39">
            <v>133</v>
          </cell>
          <cell r="F39">
            <v>148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153</v>
          </cell>
          <cell r="L39">
            <v>-20</v>
          </cell>
          <cell r="O39">
            <v>7</v>
          </cell>
          <cell r="P39">
            <v>26.6</v>
          </cell>
          <cell r="Q39">
            <v>244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D40">
            <v>108.703</v>
          </cell>
          <cell r="E40">
            <v>4.46</v>
          </cell>
          <cell r="F40">
            <v>63.287999999999997</v>
          </cell>
          <cell r="G40">
            <v>1</v>
          </cell>
          <cell r="I40" t="str">
            <v>матрица</v>
          </cell>
          <cell r="K40">
            <v>4.5</v>
          </cell>
          <cell r="L40">
            <v>-4.0000000000000036E-2</v>
          </cell>
          <cell r="O40">
            <v>0</v>
          </cell>
          <cell r="P40">
            <v>0.89200000000000002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-12.545</v>
          </cell>
          <cell r="D41">
            <v>357.87200000000001</v>
          </cell>
          <cell r="E41">
            <v>3.0529999999999999</v>
          </cell>
          <cell r="F41">
            <v>224.85300000000001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3</v>
          </cell>
          <cell r="L41">
            <v>5.2999999999999936E-2</v>
          </cell>
          <cell r="O41">
            <v>0</v>
          </cell>
          <cell r="P41">
            <v>0.61060000000000003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26</v>
          </cell>
          <cell r="D42">
            <v>683</v>
          </cell>
          <cell r="E42">
            <v>281</v>
          </cell>
          <cell r="F42">
            <v>378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362</v>
          </cell>
          <cell r="L42">
            <v>-81</v>
          </cell>
          <cell r="O42">
            <v>552</v>
          </cell>
          <cell r="P42">
            <v>56.2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D43">
            <v>65</v>
          </cell>
          <cell r="E43">
            <v>47</v>
          </cell>
          <cell r="F43">
            <v>-1</v>
          </cell>
          <cell r="G43">
            <v>0</v>
          </cell>
          <cell r="H43">
            <v>45</v>
          </cell>
          <cell r="I43" t="str">
            <v>вывод</v>
          </cell>
          <cell r="J43" t="str">
            <v>7490 СОЧНЫЙ ГРИЛЬ сос ц/о мгс 0.41кг_Даблпак  ОСТАНКИНО</v>
          </cell>
          <cell r="K43">
            <v>182</v>
          </cell>
          <cell r="L43">
            <v>-135</v>
          </cell>
          <cell r="O43">
            <v>0</v>
          </cell>
          <cell r="P43">
            <v>9.4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-23</v>
          </cell>
          <cell r="D44">
            <v>388</v>
          </cell>
          <cell r="E44">
            <v>92</v>
          </cell>
          <cell r="F44">
            <v>225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96</v>
          </cell>
          <cell r="L44">
            <v>-4</v>
          </cell>
          <cell r="O44">
            <v>0</v>
          </cell>
          <cell r="P44">
            <v>18.399999999999999</v>
          </cell>
          <cell r="Q44">
            <v>51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D45">
            <v>42</v>
          </cell>
          <cell r="E45">
            <v>27</v>
          </cell>
          <cell r="F45">
            <v>12</v>
          </cell>
          <cell r="G45">
            <v>0.36</v>
          </cell>
          <cell r="H45">
            <v>45</v>
          </cell>
          <cell r="I45" t="str">
            <v>матрица</v>
          </cell>
          <cell r="K45">
            <v>28</v>
          </cell>
          <cell r="L45">
            <v>-1</v>
          </cell>
          <cell r="O45">
            <v>0</v>
          </cell>
          <cell r="P45">
            <v>5.4</v>
          </cell>
          <cell r="Q45">
            <v>69</v>
          </cell>
        </row>
        <row r="46">
          <cell r="A46" t="str">
            <v>6787 СЕРВЕЛАТ КРЕМЛЕВСКИЙ в/к в/у 0,33кг 8шт  Останкино</v>
          </cell>
          <cell r="B46" t="str">
            <v>шт</v>
          </cell>
          <cell r="C46">
            <v>1</v>
          </cell>
          <cell r="D46">
            <v>82</v>
          </cell>
          <cell r="E46">
            <v>24</v>
          </cell>
          <cell r="F46">
            <v>54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34</v>
          </cell>
          <cell r="L46">
            <v>-10</v>
          </cell>
          <cell r="O46">
            <v>0</v>
          </cell>
          <cell r="P46">
            <v>4.8</v>
          </cell>
          <cell r="Q46">
            <v>18</v>
          </cell>
        </row>
        <row r="47">
          <cell r="A47" t="str">
            <v>6797 С ИНДЕЙКОЙ Папа может вар п/о 0,4кг 8шт. ОСТАНКИНО</v>
          </cell>
          <cell r="B47" t="str">
            <v>шт</v>
          </cell>
          <cell r="C47">
            <v>62</v>
          </cell>
          <cell r="D47">
            <v>72</v>
          </cell>
          <cell r="E47">
            <v>42</v>
          </cell>
          <cell r="F47">
            <v>69</v>
          </cell>
          <cell r="G47">
            <v>0.4</v>
          </cell>
          <cell r="H47">
            <v>60</v>
          </cell>
          <cell r="I47" t="str">
            <v>матрица</v>
          </cell>
          <cell r="K47">
            <v>43</v>
          </cell>
          <cell r="L47">
            <v>-1</v>
          </cell>
          <cell r="O47">
            <v>76</v>
          </cell>
          <cell r="P47">
            <v>8.4</v>
          </cell>
        </row>
        <row r="48">
          <cell r="A48" t="str">
            <v>6807 СЕРВЕЛАТ ЕВРОПЕЙСКИЙ в/к в/у 0,33кг 8шт  Останкино</v>
          </cell>
          <cell r="B48" t="str">
            <v>шт</v>
          </cell>
          <cell r="D48">
            <v>16</v>
          </cell>
          <cell r="F48">
            <v>16</v>
          </cell>
          <cell r="G48">
            <v>0.33</v>
          </cell>
          <cell r="H48">
            <v>45</v>
          </cell>
          <cell r="I48" t="str">
            <v>матрица</v>
          </cell>
          <cell r="K48">
            <v>5</v>
          </cell>
          <cell r="L48">
            <v>-5</v>
          </cell>
          <cell r="O48">
            <v>0</v>
          </cell>
          <cell r="P48">
            <v>0</v>
          </cell>
        </row>
        <row r="49">
          <cell r="A49" t="str">
            <v>6829  МОЛОЧНЫЕ КЛАССИЧЕСКИЕ сос п/о мгс 2*4 С  Останккино</v>
          </cell>
          <cell r="B49" t="str">
            <v>кг</v>
          </cell>
          <cell r="C49">
            <v>40.866999999999997</v>
          </cell>
          <cell r="D49">
            <v>8.0779999999999994</v>
          </cell>
          <cell r="E49">
            <v>46.884999999999998</v>
          </cell>
          <cell r="G49">
            <v>1</v>
          </cell>
          <cell r="H49">
            <v>45</v>
          </cell>
          <cell r="I49" t="str">
            <v>матрица</v>
          </cell>
          <cell r="K49">
            <v>62</v>
          </cell>
          <cell r="L49">
            <v>-15.115000000000002</v>
          </cell>
          <cell r="O49">
            <v>44</v>
          </cell>
          <cell r="P49">
            <v>9.3769999999999989</v>
          </cell>
          <cell r="Q49">
            <v>96.654999999999973</v>
          </cell>
        </row>
        <row r="50">
          <cell r="A50" t="str">
            <v>6837 ФИЛЕЙНЫЕ Папа Может сос ц/о мгс 0,4кг  Останкино</v>
          </cell>
          <cell r="B50" t="str">
            <v>шт</v>
          </cell>
          <cell r="C50">
            <v>-12</v>
          </cell>
          <cell r="D50">
            <v>285</v>
          </cell>
          <cell r="E50">
            <v>24</v>
          </cell>
          <cell r="F50">
            <v>246</v>
          </cell>
          <cell r="G50">
            <v>0.4</v>
          </cell>
          <cell r="H50">
            <v>45</v>
          </cell>
          <cell r="I50" t="str">
            <v>матрица</v>
          </cell>
          <cell r="K50">
            <v>25</v>
          </cell>
          <cell r="L50">
            <v>-1</v>
          </cell>
          <cell r="O50">
            <v>0</v>
          </cell>
          <cell r="P50">
            <v>4.8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-6.11</v>
          </cell>
          <cell r="D51">
            <v>66.314999999999998</v>
          </cell>
          <cell r="E51">
            <v>9.0749999999999993</v>
          </cell>
          <cell r="F51">
            <v>43.634999999999998</v>
          </cell>
          <cell r="G51">
            <v>1</v>
          </cell>
          <cell r="H51">
            <v>60</v>
          </cell>
          <cell r="I51" t="str">
            <v>матрица</v>
          </cell>
          <cell r="K51">
            <v>10.5</v>
          </cell>
          <cell r="L51">
            <v>-1.4250000000000007</v>
          </cell>
          <cell r="O51">
            <v>0</v>
          </cell>
          <cell r="P51">
            <v>1.8149999999999999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D52">
            <v>116.97799999999999</v>
          </cell>
          <cell r="E52">
            <v>1.194</v>
          </cell>
          <cell r="F52">
            <v>113.592</v>
          </cell>
          <cell r="G52">
            <v>1</v>
          </cell>
          <cell r="H52">
            <v>45</v>
          </cell>
          <cell r="I52" t="str">
            <v>матрица</v>
          </cell>
          <cell r="K52">
            <v>2</v>
          </cell>
          <cell r="L52">
            <v>-0.80600000000000005</v>
          </cell>
          <cell r="O52">
            <v>0</v>
          </cell>
          <cell r="P52">
            <v>0.23879999999999998</v>
          </cell>
        </row>
        <row r="53">
          <cell r="A53" t="str">
            <v>6937 САЛЯМИ Папа может с/к в/у 1/250 8шт  Останкино</v>
          </cell>
          <cell r="B53" t="str">
            <v>шт</v>
          </cell>
          <cell r="C53">
            <v>120</v>
          </cell>
          <cell r="F53">
            <v>111</v>
          </cell>
          <cell r="G53">
            <v>0</v>
          </cell>
          <cell r="I53" t="str">
            <v>не в матрице</v>
          </cell>
          <cell r="L53">
            <v>0</v>
          </cell>
          <cell r="O53">
            <v>0</v>
          </cell>
          <cell r="P53">
            <v>0</v>
          </cell>
        </row>
        <row r="54">
          <cell r="A54" t="str">
            <v>6967 БУРГУНДИЯ Папа может с/к в/у 1/250 8шт  Останкино</v>
          </cell>
          <cell r="B54" t="str">
            <v>шт</v>
          </cell>
          <cell r="C54">
            <v>22</v>
          </cell>
          <cell r="D54">
            <v>248</v>
          </cell>
          <cell r="E54">
            <v>32</v>
          </cell>
          <cell r="F54">
            <v>173</v>
          </cell>
          <cell r="G54">
            <v>0.25</v>
          </cell>
          <cell r="H54">
            <v>120</v>
          </cell>
          <cell r="I54" t="str">
            <v>матрица</v>
          </cell>
          <cell r="K54">
            <v>34</v>
          </cell>
          <cell r="L54">
            <v>-2</v>
          </cell>
          <cell r="O54">
            <v>0</v>
          </cell>
          <cell r="P54">
            <v>6.4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5.194</v>
          </cell>
          <cell r="D55">
            <v>44.823</v>
          </cell>
          <cell r="E55">
            <v>1.048</v>
          </cell>
          <cell r="F55">
            <v>44.823</v>
          </cell>
          <cell r="G55">
            <v>1</v>
          </cell>
          <cell r="H55">
            <v>45</v>
          </cell>
          <cell r="I55" t="str">
            <v>матрица</v>
          </cell>
          <cell r="K55">
            <v>1</v>
          </cell>
          <cell r="L55">
            <v>4.8000000000000043E-2</v>
          </cell>
          <cell r="O55">
            <v>0</v>
          </cell>
          <cell r="P55">
            <v>0.20960000000000001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D56">
            <v>96</v>
          </cell>
          <cell r="F56">
            <v>96</v>
          </cell>
          <cell r="G56">
            <v>0.27</v>
          </cell>
          <cell r="I56" t="str">
            <v>матрица</v>
          </cell>
          <cell r="L56">
            <v>0</v>
          </cell>
          <cell r="O56">
            <v>0</v>
          </cell>
          <cell r="P56">
            <v>0</v>
          </cell>
        </row>
        <row r="57">
          <cell r="A57" t="str">
            <v>7059 ШПИКАЧКИ СОЧНЫЕ С БЕК. п/о мгс 0,3кг 60с ОСТАНКИНО</v>
          </cell>
          <cell r="B57" t="str">
            <v>шт</v>
          </cell>
          <cell r="C57">
            <v>57</v>
          </cell>
          <cell r="D57">
            <v>93</v>
          </cell>
          <cell r="E57">
            <v>34</v>
          </cell>
          <cell r="F57">
            <v>74</v>
          </cell>
          <cell r="G57">
            <v>0.3</v>
          </cell>
          <cell r="H57">
            <v>60</v>
          </cell>
          <cell r="I57" t="str">
            <v>матрица</v>
          </cell>
          <cell r="K57">
            <v>42</v>
          </cell>
          <cell r="L57">
            <v>-8</v>
          </cell>
          <cell r="O57">
            <v>0</v>
          </cell>
          <cell r="P57">
            <v>6.8</v>
          </cell>
          <cell r="Q57">
            <v>21.200000000000003</v>
          </cell>
        </row>
        <row r="58">
          <cell r="A58" t="str">
            <v>7066 СОЧНЫЕ ПМ сос п/о мгс 0,41кг 10шт 50с  Останкино</v>
          </cell>
          <cell r="B58" t="str">
            <v>шт</v>
          </cell>
          <cell r="C58">
            <v>-140</v>
          </cell>
          <cell r="D58">
            <v>1084</v>
          </cell>
          <cell r="E58">
            <v>4</v>
          </cell>
          <cell r="F58">
            <v>907</v>
          </cell>
          <cell r="G58">
            <v>0.41</v>
          </cell>
          <cell r="H58">
            <v>50</v>
          </cell>
          <cell r="I58" t="str">
            <v>матрица</v>
          </cell>
          <cell r="K58">
            <v>623</v>
          </cell>
          <cell r="L58">
            <v>-619</v>
          </cell>
          <cell r="O58">
            <v>0</v>
          </cell>
          <cell r="P58">
            <v>0.8</v>
          </cell>
          <cell r="Q58">
            <v>500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93.260999999999996</v>
          </cell>
          <cell r="D59">
            <v>56.091000000000001</v>
          </cell>
          <cell r="E59">
            <v>46.290999999999997</v>
          </cell>
          <cell r="F59">
            <v>95.992999999999995</v>
          </cell>
          <cell r="G59">
            <v>1</v>
          </cell>
          <cell r="H59">
            <v>50</v>
          </cell>
          <cell r="I59" t="str">
            <v>матрица</v>
          </cell>
          <cell r="K59">
            <v>46.5</v>
          </cell>
          <cell r="L59">
            <v>-0.20900000000000318</v>
          </cell>
          <cell r="O59">
            <v>0</v>
          </cell>
          <cell r="P59">
            <v>9.2581999999999987</v>
          </cell>
          <cell r="Q59">
            <v>42.879999999999995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-2</v>
          </cell>
          <cell r="D60">
            <v>251</v>
          </cell>
          <cell r="E60">
            <v>135</v>
          </cell>
          <cell r="F60">
            <v>71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148</v>
          </cell>
          <cell r="L60">
            <v>-13</v>
          </cell>
          <cell r="O60">
            <v>250</v>
          </cell>
          <cell r="P60">
            <v>27</v>
          </cell>
          <cell r="Q60">
            <v>84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D61">
            <v>6.2690000000000001</v>
          </cell>
          <cell r="F61">
            <v>6.2690000000000001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1.5</v>
          </cell>
          <cell r="L61">
            <v>-1.5</v>
          </cell>
          <cell r="O61">
            <v>0</v>
          </cell>
          <cell r="P61">
            <v>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194</v>
          </cell>
          <cell r="D62">
            <v>556</v>
          </cell>
          <cell r="E62">
            <v>250</v>
          </cell>
          <cell r="F62">
            <v>402</v>
          </cell>
          <cell r="G62">
            <v>0.41</v>
          </cell>
          <cell r="H62">
            <v>50</v>
          </cell>
          <cell r="I62" t="str">
            <v>матрица</v>
          </cell>
          <cell r="K62">
            <v>260</v>
          </cell>
          <cell r="L62">
            <v>-10</v>
          </cell>
          <cell r="O62">
            <v>600</v>
          </cell>
          <cell r="P62">
            <v>50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4.7210000000000001</v>
          </cell>
          <cell r="D63">
            <v>9.3279999999999994</v>
          </cell>
          <cell r="E63">
            <v>7.8150000000000004</v>
          </cell>
          <cell r="F63">
            <v>1.542</v>
          </cell>
          <cell r="G63">
            <v>1</v>
          </cell>
          <cell r="H63">
            <v>50</v>
          </cell>
          <cell r="I63" t="str">
            <v>матрица</v>
          </cell>
          <cell r="K63">
            <v>7.5</v>
          </cell>
          <cell r="L63">
            <v>0.31500000000000039</v>
          </cell>
          <cell r="O63">
            <v>0</v>
          </cell>
          <cell r="P63">
            <v>1.5630000000000002</v>
          </cell>
          <cell r="Q63">
            <v>15.651000000000002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-22</v>
          </cell>
          <cell r="D64">
            <v>367</v>
          </cell>
          <cell r="E64">
            <v>60</v>
          </cell>
          <cell r="F64">
            <v>271</v>
          </cell>
          <cell r="G64">
            <v>0.3</v>
          </cell>
          <cell r="H64">
            <v>50</v>
          </cell>
          <cell r="I64" t="str">
            <v>матрица</v>
          </cell>
          <cell r="K64">
            <v>70</v>
          </cell>
          <cell r="L64">
            <v>-10</v>
          </cell>
          <cell r="O64">
            <v>0</v>
          </cell>
          <cell r="P64">
            <v>12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16</v>
          </cell>
          <cell r="D65">
            <v>149</v>
          </cell>
          <cell r="E65">
            <v>63</v>
          </cell>
          <cell r="F65">
            <v>94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92</v>
          </cell>
          <cell r="L65">
            <v>-29</v>
          </cell>
          <cell r="O65">
            <v>0</v>
          </cell>
          <cell r="P65">
            <v>12.6</v>
          </cell>
          <cell r="Q65">
            <v>95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D66">
            <v>8</v>
          </cell>
          <cell r="F66">
            <v>8</v>
          </cell>
          <cell r="G66">
            <v>0.22</v>
          </cell>
          <cell r="H66">
            <v>120</v>
          </cell>
          <cell r="I66" t="str">
            <v>матрица</v>
          </cell>
          <cell r="L66">
            <v>0</v>
          </cell>
          <cell r="O66">
            <v>0</v>
          </cell>
          <cell r="P66">
            <v>0</v>
          </cell>
        </row>
        <row r="67">
          <cell r="A67" t="str">
            <v>7149 БАЛЫКОВАЯ Коровино п/к в/у 0,84кг_50с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68</v>
          </cell>
          <cell r="D68">
            <v>618</v>
          </cell>
          <cell r="E68">
            <v>97</v>
          </cell>
          <cell r="F68">
            <v>531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332</v>
          </cell>
          <cell r="L68">
            <v>-235</v>
          </cell>
          <cell r="O68">
            <v>400</v>
          </cell>
          <cell r="P68">
            <v>19.399999999999999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P69">
            <v>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3.8849999999999998</v>
          </cell>
          <cell r="D70">
            <v>48.911000000000001</v>
          </cell>
          <cell r="E70">
            <v>8.7680000000000007</v>
          </cell>
          <cell r="F70">
            <v>41.304000000000002</v>
          </cell>
          <cell r="G70">
            <v>1</v>
          </cell>
          <cell r="H70">
            <v>50</v>
          </cell>
          <cell r="I70" t="str">
            <v>матрица</v>
          </cell>
          <cell r="K70">
            <v>45.8</v>
          </cell>
          <cell r="L70">
            <v>-37.031999999999996</v>
          </cell>
          <cell r="O70">
            <v>50</v>
          </cell>
          <cell r="P70">
            <v>1.7536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-14.238</v>
          </cell>
          <cell r="D71">
            <v>288.32499999999999</v>
          </cell>
          <cell r="E71">
            <v>81.603999999999999</v>
          </cell>
          <cell r="F71">
            <v>147.852</v>
          </cell>
          <cell r="G71">
            <v>1</v>
          </cell>
          <cell r="H71">
            <v>50</v>
          </cell>
          <cell r="I71" t="str">
            <v>матрица</v>
          </cell>
          <cell r="K71">
            <v>92.5</v>
          </cell>
          <cell r="L71">
            <v>-10.896000000000001</v>
          </cell>
          <cell r="O71">
            <v>100</v>
          </cell>
          <cell r="P71">
            <v>16.320799999999998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-63</v>
          </cell>
          <cell r="D72">
            <v>632</v>
          </cell>
          <cell r="E72">
            <v>65</v>
          </cell>
          <cell r="F72">
            <v>443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355</v>
          </cell>
          <cell r="L72">
            <v>-290</v>
          </cell>
          <cell r="O72">
            <v>150</v>
          </cell>
          <cell r="P72">
            <v>13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29</v>
          </cell>
          <cell r="D73">
            <v>114</v>
          </cell>
          <cell r="E73">
            <v>98</v>
          </cell>
          <cell r="F73">
            <v>27</v>
          </cell>
          <cell r="G73">
            <v>0.3</v>
          </cell>
          <cell r="H73">
            <v>50</v>
          </cell>
          <cell r="I73" t="str">
            <v>матрица</v>
          </cell>
          <cell r="K73">
            <v>108</v>
          </cell>
          <cell r="L73">
            <v>-10</v>
          </cell>
          <cell r="O73">
            <v>130</v>
          </cell>
          <cell r="P73">
            <v>19.600000000000001</v>
          </cell>
          <cell r="Q73">
            <v>137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12</v>
          </cell>
          <cell r="D74">
            <v>161</v>
          </cell>
          <cell r="E74">
            <v>5</v>
          </cell>
          <cell r="F74">
            <v>88</v>
          </cell>
          <cell r="G74">
            <v>0.3</v>
          </cell>
          <cell r="H74">
            <v>60</v>
          </cell>
          <cell r="I74" t="str">
            <v>матрица</v>
          </cell>
          <cell r="K74">
            <v>5</v>
          </cell>
          <cell r="L74">
            <v>0</v>
          </cell>
          <cell r="O74">
            <v>0</v>
          </cell>
          <cell r="P74">
            <v>1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123</v>
          </cell>
          <cell r="D75">
            <v>183</v>
          </cell>
          <cell r="E75">
            <v>156</v>
          </cell>
          <cell r="F75">
            <v>134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160</v>
          </cell>
          <cell r="L75">
            <v>-4</v>
          </cell>
          <cell r="O75">
            <v>300</v>
          </cell>
          <cell r="P75">
            <v>31.2</v>
          </cell>
          <cell r="Q75">
            <v>34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-61</v>
          </cell>
          <cell r="D76">
            <v>689</v>
          </cell>
          <cell r="E76">
            <v>145</v>
          </cell>
          <cell r="F76">
            <v>416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210</v>
          </cell>
          <cell r="L76">
            <v>-65</v>
          </cell>
          <cell r="O76">
            <v>100</v>
          </cell>
          <cell r="P76">
            <v>29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70</v>
          </cell>
          <cell r="D77">
            <v>180</v>
          </cell>
          <cell r="E77">
            <v>157</v>
          </cell>
          <cell r="F77">
            <v>16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174</v>
          </cell>
          <cell r="L77">
            <v>-17</v>
          </cell>
          <cell r="O77">
            <v>450</v>
          </cell>
          <cell r="P77">
            <v>31.4</v>
          </cell>
          <cell r="Q77">
            <v>5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293</v>
          </cell>
          <cell r="D78">
            <v>125</v>
          </cell>
          <cell r="E78">
            <v>244</v>
          </cell>
          <cell r="F78">
            <v>110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261</v>
          </cell>
          <cell r="L78">
            <v>-17</v>
          </cell>
          <cell r="O78">
            <v>700</v>
          </cell>
          <cell r="P78">
            <v>48.8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D79">
            <v>99.072999999999993</v>
          </cell>
          <cell r="F79">
            <v>98.707999999999998</v>
          </cell>
          <cell r="G79">
            <v>1</v>
          </cell>
          <cell r="H79">
            <v>30</v>
          </cell>
          <cell r="I79" t="str">
            <v>матрица</v>
          </cell>
          <cell r="K79">
            <v>10.8</v>
          </cell>
          <cell r="L79">
            <v>-10.8</v>
          </cell>
          <cell r="O79">
            <v>0</v>
          </cell>
          <cell r="P79">
            <v>0</v>
          </cell>
        </row>
        <row r="80">
          <cell r="A80" t="str">
            <v>7332 БОЯРСКАЯ ПМ п/к в/у 0,28кг ОСТАНКИНО</v>
          </cell>
          <cell r="B80" t="str">
            <v>шт</v>
          </cell>
          <cell r="D80">
            <v>2</v>
          </cell>
          <cell r="E80">
            <v>2</v>
          </cell>
          <cell r="G80">
            <v>0</v>
          </cell>
          <cell r="I80" t="str">
            <v>не в матрице</v>
          </cell>
          <cell r="K80">
            <v>2</v>
          </cell>
          <cell r="L80">
            <v>0</v>
          </cell>
          <cell r="P80">
            <v>0.4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D81">
            <v>242</v>
          </cell>
          <cell r="E81">
            <v>31</v>
          </cell>
          <cell r="F81">
            <v>206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33</v>
          </cell>
          <cell r="L81">
            <v>-2</v>
          </cell>
          <cell r="O81">
            <v>0</v>
          </cell>
          <cell r="P81">
            <v>6.2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D82">
            <v>224</v>
          </cell>
          <cell r="E82">
            <v>43</v>
          </cell>
          <cell r="F82">
            <v>166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52</v>
          </cell>
          <cell r="L82">
            <v>-9</v>
          </cell>
          <cell r="O82">
            <v>0</v>
          </cell>
          <cell r="P82">
            <v>8.6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173</v>
          </cell>
          <cell r="D83">
            <v>233</v>
          </cell>
          <cell r="E83">
            <v>112</v>
          </cell>
          <cell r="F83">
            <v>153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133</v>
          </cell>
          <cell r="L83">
            <v>-21</v>
          </cell>
          <cell r="O83">
            <v>60</v>
          </cell>
          <cell r="P83">
            <v>22.4</v>
          </cell>
          <cell r="Q83">
            <v>123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D84">
            <v>99</v>
          </cell>
          <cell r="F84">
            <v>96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84</v>
          </cell>
          <cell r="L84">
            <v>-84</v>
          </cell>
          <cell r="O84">
            <v>0</v>
          </cell>
          <cell r="P84">
            <v>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D85">
            <v>162</v>
          </cell>
          <cell r="E85">
            <v>56</v>
          </cell>
          <cell r="F85">
            <v>90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89</v>
          </cell>
          <cell r="L85">
            <v>-33</v>
          </cell>
          <cell r="O85">
            <v>40</v>
          </cell>
          <cell r="P85">
            <v>11.2</v>
          </cell>
          <cell r="Q85">
            <v>38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53</v>
          </cell>
          <cell r="D86">
            <v>76</v>
          </cell>
          <cell r="E86">
            <v>33</v>
          </cell>
          <cell r="F86">
            <v>35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42</v>
          </cell>
          <cell r="L86">
            <v>-9</v>
          </cell>
          <cell r="O86">
            <v>0</v>
          </cell>
          <cell r="P86">
            <v>6.6</v>
          </cell>
          <cell r="Q86">
            <v>64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D87">
            <v>150</v>
          </cell>
          <cell r="F87">
            <v>144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113</v>
          </cell>
          <cell r="L87">
            <v>-113</v>
          </cell>
          <cell r="O87">
            <v>0</v>
          </cell>
          <cell r="P87">
            <v>0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D88">
            <v>344</v>
          </cell>
          <cell r="E88">
            <v>47</v>
          </cell>
          <cell r="F88">
            <v>343</v>
          </cell>
          <cell r="G88">
            <v>0.41</v>
          </cell>
          <cell r="H88">
            <v>45</v>
          </cell>
          <cell r="I88" t="str">
            <v>матрица</v>
          </cell>
          <cell r="L88">
            <v>47</v>
          </cell>
          <cell r="P88">
            <v>9.4</v>
          </cell>
        </row>
        <row r="89">
          <cell r="A89" t="str">
            <v>7513 ВОСКРЕСЕНСКАЯ ВЯЛЕНАЯ в/к в/у срез 1/260  ОСТАНКИНО</v>
          </cell>
          <cell r="B89" t="str">
            <v>шт</v>
          </cell>
          <cell r="D89">
            <v>125</v>
          </cell>
          <cell r="E89">
            <v>93</v>
          </cell>
          <cell r="F89">
            <v>2</v>
          </cell>
          <cell r="G89">
            <v>0.26</v>
          </cell>
          <cell r="H89">
            <v>45</v>
          </cell>
          <cell r="I89" t="str">
            <v>матрица</v>
          </cell>
          <cell r="K89">
            <v>98</v>
          </cell>
          <cell r="L89">
            <v>-5</v>
          </cell>
          <cell r="O89">
            <v>50</v>
          </cell>
          <cell r="P89">
            <v>18.600000000000001</v>
          </cell>
          <cell r="Q89">
            <v>227</v>
          </cell>
        </row>
        <row r="90">
          <cell r="A90" t="str">
            <v>7514 ЛЮБИТЕЛЬСКАЯ ОСТАНКИНСКАЯ вар п/о в/у  ОСТАНКИНО</v>
          </cell>
          <cell r="B90" t="str">
            <v>кг</v>
          </cell>
          <cell r="D90">
            <v>115.056</v>
          </cell>
          <cell r="E90">
            <v>44.652999999999999</v>
          </cell>
          <cell r="F90">
            <v>45.488</v>
          </cell>
          <cell r="G90">
            <v>1</v>
          </cell>
          <cell r="H90">
            <v>30</v>
          </cell>
          <cell r="I90" t="str">
            <v>матрица</v>
          </cell>
          <cell r="K90">
            <v>54.9</v>
          </cell>
          <cell r="L90">
            <v>-10.247</v>
          </cell>
          <cell r="O90">
            <v>0</v>
          </cell>
          <cell r="P90">
            <v>8.9306000000000001</v>
          </cell>
          <cell r="Q90">
            <v>88.471000000000004</v>
          </cell>
        </row>
        <row r="91">
          <cell r="A91" t="str">
            <v>7516 НОВОМОСКОВСКАЯ в/к в/у срез 0.31кг  ОСТАНКИНО</v>
          </cell>
          <cell r="B91" t="str">
            <v>шт</v>
          </cell>
          <cell r="D91">
            <v>328</v>
          </cell>
          <cell r="E91">
            <v>75</v>
          </cell>
          <cell r="F91">
            <v>220</v>
          </cell>
          <cell r="G91">
            <v>0.31</v>
          </cell>
          <cell r="H91">
            <v>45</v>
          </cell>
          <cell r="I91" t="str">
            <v>матрица</v>
          </cell>
          <cell r="K91">
            <v>80</v>
          </cell>
          <cell r="L91">
            <v>-5</v>
          </cell>
          <cell r="O91">
            <v>0</v>
          </cell>
          <cell r="P91">
            <v>15</v>
          </cell>
          <cell r="Q91">
            <v>5</v>
          </cell>
        </row>
        <row r="92">
          <cell r="A92" t="str">
            <v>7518 ТЕЛЯЧЬЯ ГОСТ Останкино вар п/о в/у  ОСТАНКИНО</v>
          </cell>
          <cell r="B92" t="str">
            <v>кг</v>
          </cell>
          <cell r="D92">
            <v>59.511000000000003</v>
          </cell>
          <cell r="E92">
            <v>11.641999999999999</v>
          </cell>
          <cell r="F92">
            <v>41.203000000000003</v>
          </cell>
          <cell r="G92">
            <v>1</v>
          </cell>
          <cell r="H92">
            <v>30</v>
          </cell>
          <cell r="I92" t="str">
            <v>матрица</v>
          </cell>
          <cell r="K92">
            <v>20.7</v>
          </cell>
          <cell r="L92">
            <v>-9.0579999999999998</v>
          </cell>
          <cell r="O92">
            <v>0</v>
          </cell>
          <cell r="P92">
            <v>2.3283999999999998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-22</v>
          </cell>
          <cell r="D93">
            <v>274</v>
          </cell>
          <cell r="E93">
            <v>109</v>
          </cell>
          <cell r="F93">
            <v>126</v>
          </cell>
          <cell r="G93">
            <v>0.4</v>
          </cell>
          <cell r="H93">
            <v>60</v>
          </cell>
          <cell r="I93" t="str">
            <v>матрица</v>
          </cell>
          <cell r="K93">
            <v>116</v>
          </cell>
          <cell r="L93">
            <v>-7</v>
          </cell>
          <cell r="O93">
            <v>69</v>
          </cell>
          <cell r="P93">
            <v>21.8</v>
          </cell>
          <cell r="Q93">
            <v>132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-5</v>
          </cell>
          <cell r="D94">
            <v>75</v>
          </cell>
          <cell r="E94">
            <v>5</v>
          </cell>
          <cell r="F94">
            <v>60</v>
          </cell>
          <cell r="G94">
            <v>0.35</v>
          </cell>
          <cell r="H94">
            <v>60</v>
          </cell>
          <cell r="I94" t="str">
            <v>матрица</v>
          </cell>
          <cell r="K94">
            <v>47</v>
          </cell>
          <cell r="L94">
            <v>-42</v>
          </cell>
          <cell r="O94">
            <v>0</v>
          </cell>
          <cell r="P94">
            <v>1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29.402999999999999</v>
          </cell>
          <cell r="D95">
            <v>100.006</v>
          </cell>
          <cell r="E95">
            <v>14.787000000000001</v>
          </cell>
          <cell r="F95">
            <v>90.774000000000001</v>
          </cell>
          <cell r="G95">
            <v>1</v>
          </cell>
          <cell r="H95">
            <v>45</v>
          </cell>
          <cell r="I95" t="str">
            <v>матрица</v>
          </cell>
          <cell r="K95">
            <v>13.9</v>
          </cell>
          <cell r="L95">
            <v>0.88700000000000045</v>
          </cell>
          <cell r="O95">
            <v>0</v>
          </cell>
          <cell r="P95">
            <v>2.9574000000000003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D96">
            <v>30.34</v>
          </cell>
          <cell r="F96">
            <v>30.34</v>
          </cell>
          <cell r="G96">
            <v>1</v>
          </cell>
          <cell r="H96">
            <v>45</v>
          </cell>
          <cell r="I96" t="str">
            <v>матрица</v>
          </cell>
          <cell r="K96">
            <v>34.82</v>
          </cell>
          <cell r="L96">
            <v>-34.82</v>
          </cell>
          <cell r="O96">
            <v>0</v>
          </cell>
          <cell r="P96">
            <v>0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D97">
            <v>205</v>
          </cell>
          <cell r="E97">
            <v>77</v>
          </cell>
          <cell r="F97">
            <v>121</v>
          </cell>
          <cell r="G97">
            <v>0.33</v>
          </cell>
          <cell r="H97">
            <v>45</v>
          </cell>
          <cell r="I97" t="str">
            <v>матрица</v>
          </cell>
          <cell r="K97">
            <v>82</v>
          </cell>
          <cell r="L97">
            <v>-5</v>
          </cell>
          <cell r="O97">
            <v>0</v>
          </cell>
          <cell r="P97">
            <v>15.4</v>
          </cell>
          <cell r="Q97">
            <v>110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-2</v>
          </cell>
          <cell r="D98">
            <v>188</v>
          </cell>
          <cell r="E98">
            <v>122</v>
          </cell>
          <cell r="F98">
            <v>33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150</v>
          </cell>
          <cell r="L98">
            <v>-28</v>
          </cell>
          <cell r="O98">
            <v>0</v>
          </cell>
          <cell r="P98">
            <v>24.4</v>
          </cell>
          <cell r="Q98">
            <v>333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C99">
            <v>-1</v>
          </cell>
          <cell r="D99">
            <v>134</v>
          </cell>
          <cell r="E99">
            <v>124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190</v>
          </cell>
          <cell r="L99">
            <v>-66</v>
          </cell>
          <cell r="O99">
            <v>0</v>
          </cell>
          <cell r="P99">
            <v>24.8</v>
          </cell>
          <cell r="Q99">
            <v>372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C100">
            <v>36</v>
          </cell>
          <cell r="D100">
            <v>96</v>
          </cell>
          <cell r="E100">
            <v>97</v>
          </cell>
          <cell r="G100">
            <v>0.4</v>
          </cell>
          <cell r="H100">
            <v>60</v>
          </cell>
          <cell r="I100" t="str">
            <v>матрица</v>
          </cell>
          <cell r="K100">
            <v>194</v>
          </cell>
          <cell r="L100">
            <v>-97</v>
          </cell>
          <cell r="O100">
            <v>328</v>
          </cell>
          <cell r="P100">
            <v>19.399999999999999</v>
          </cell>
        </row>
        <row r="101">
          <cell r="A101" t="str">
            <v>7647 ХОЧУ ВЕТЧ.ИЗ СВ.ОТРУБА с/н мгс 1/100_Л11  ОСТАНКИНО</v>
          </cell>
          <cell r="B101" t="str">
            <v>шт</v>
          </cell>
          <cell r="C101">
            <v>46</v>
          </cell>
          <cell r="G101">
            <v>0.1</v>
          </cell>
          <cell r="I101" t="str">
            <v>ротация на код 7730</v>
          </cell>
          <cell r="K101">
            <v>31</v>
          </cell>
          <cell r="L101">
            <v>-31</v>
          </cell>
          <cell r="O101">
            <v>0</v>
          </cell>
          <cell r="P101">
            <v>0</v>
          </cell>
          <cell r="Q101">
            <v>25</v>
          </cell>
        </row>
        <row r="102">
          <cell r="A102" t="str">
            <v>7651 ХОЧУ ВЕТЧ.МРАМОР. ПМ с/н мгс 1/100_Л11  ОСТАНКИНО</v>
          </cell>
          <cell r="B102" t="str">
            <v>шт</v>
          </cell>
          <cell r="C102">
            <v>46</v>
          </cell>
          <cell r="D102">
            <v>3</v>
          </cell>
          <cell r="G102">
            <v>0.1</v>
          </cell>
          <cell r="I102" t="str">
            <v>ротация на код 7731</v>
          </cell>
          <cell r="K102">
            <v>41</v>
          </cell>
          <cell r="L102">
            <v>-41</v>
          </cell>
          <cell r="O102">
            <v>0</v>
          </cell>
          <cell r="P102">
            <v>0</v>
          </cell>
          <cell r="Q102">
            <v>30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-1</v>
          </cell>
          <cell r="D103">
            <v>182</v>
          </cell>
          <cell r="E103">
            <v>41</v>
          </cell>
          <cell r="F103">
            <v>108</v>
          </cell>
          <cell r="G103">
            <v>0.3</v>
          </cell>
          <cell r="H103">
            <v>45</v>
          </cell>
          <cell r="I103" t="str">
            <v>матрица</v>
          </cell>
          <cell r="K103">
            <v>47</v>
          </cell>
          <cell r="L103">
            <v>-6</v>
          </cell>
          <cell r="O103">
            <v>40</v>
          </cell>
          <cell r="P103">
            <v>8.1999999999999993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D104">
            <v>30</v>
          </cell>
          <cell r="E104">
            <v>16</v>
          </cell>
          <cell r="F104">
            <v>29</v>
          </cell>
          <cell r="G104">
            <v>0.3</v>
          </cell>
          <cell r="H104">
            <v>62</v>
          </cell>
          <cell r="I104" t="str">
            <v>матрица</v>
          </cell>
          <cell r="L104">
            <v>16</v>
          </cell>
          <cell r="P104">
            <v>3.2</v>
          </cell>
          <cell r="Q104">
            <v>19</v>
          </cell>
          <cell r="R104">
            <v>150</v>
          </cell>
        </row>
        <row r="105">
          <cell r="A105" t="str">
            <v>7754 ДОМАШНИЙ РЕЦЕПТ Коровино вар п/о_332к</v>
          </cell>
          <cell r="B105" t="str">
            <v>кг</v>
          </cell>
          <cell r="G105">
            <v>0</v>
          </cell>
          <cell r="H105">
            <v>60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7512 ЧАЙНАЯ Останкино вар н/о мгс 1*3</v>
          </cell>
          <cell r="B107" t="str">
            <v>кг</v>
          </cell>
          <cell r="G107">
            <v>0</v>
          </cell>
          <cell r="I107" t="str">
            <v>РАЗОВО</v>
          </cell>
          <cell r="O107">
            <v>50</v>
          </cell>
          <cell r="P107">
            <v>0</v>
          </cell>
        </row>
        <row r="108">
          <cell r="A108" t="str">
            <v>6764 СЛИВОЧНЫЕ сос ц/о мгс 1*4</v>
          </cell>
          <cell r="B108" t="str">
            <v>кг</v>
          </cell>
          <cell r="G108">
            <v>0</v>
          </cell>
          <cell r="I108" t="str">
            <v>РАЗОВО</v>
          </cell>
          <cell r="O108">
            <v>50</v>
          </cell>
          <cell r="P108">
            <v>0</v>
          </cell>
        </row>
        <row r="109">
          <cell r="A109" t="str">
            <v>7224 МЯСНЫЕ ПРЕМИУМ пельм кор.0.4кг зам. (7224)</v>
          </cell>
          <cell r="B109" t="str">
            <v>шт</v>
          </cell>
          <cell r="G109">
            <v>0</v>
          </cell>
          <cell r="I109" t="str">
            <v>РАЗОВО</v>
          </cell>
          <cell r="O109">
            <v>70</v>
          </cell>
          <cell r="P1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5" sqref="X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1" customWidth="1"/>
    <col min="20" max="21" width="5" customWidth="1"/>
    <col min="22" max="23" width="6" customWidth="1"/>
    <col min="24" max="24" width="40.28515625" customWidth="1"/>
    <col min="25" max="25" width="7" customWidth="1"/>
    <col min="2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152</v>
      </c>
      <c r="S3" s="3" t="s">
        <v>150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153</v>
      </c>
      <c r="S4" s="1" t="s">
        <v>151</v>
      </c>
      <c r="T4" s="1"/>
      <c r="U4" s="1"/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5363.6630000000005</v>
      </c>
      <c r="F5" s="4">
        <f>SUM(F6:F500)</f>
        <v>13014.439999999999</v>
      </c>
      <c r="G5" s="7"/>
      <c r="H5" s="1"/>
      <c r="I5" s="1"/>
      <c r="J5" s="1"/>
      <c r="K5" s="4">
        <f t="shared" ref="K5:S5" si="0">SUM(K6:K500)</f>
        <v>8045.9199999999992</v>
      </c>
      <c r="L5" s="4">
        <f t="shared" si="0"/>
        <v>-2682.2570000000001</v>
      </c>
      <c r="M5" s="4">
        <f t="shared" si="0"/>
        <v>0</v>
      </c>
      <c r="N5" s="4">
        <f t="shared" si="0"/>
        <v>0</v>
      </c>
      <c r="O5" s="4">
        <f t="shared" si="0"/>
        <v>6555</v>
      </c>
      <c r="P5" s="4">
        <f t="shared" si="0"/>
        <v>1072.7326</v>
      </c>
      <c r="Q5" s="4">
        <f t="shared" si="0"/>
        <v>3671.9460000000004</v>
      </c>
      <c r="R5" s="4">
        <f t="shared" si="0"/>
        <v>3906</v>
      </c>
      <c r="S5" s="4">
        <f t="shared" si="0"/>
        <v>575</v>
      </c>
      <c r="T5" s="1"/>
      <c r="U5" s="1"/>
      <c r="V5" s="4">
        <f>SUM(V6:V500)</f>
        <v>944.43619999999987</v>
      </c>
      <c r="W5" s="4">
        <f>SUM(W6:W500)</f>
        <v>1037.2516000000001</v>
      </c>
      <c r="X5" s="1"/>
      <c r="Y5" s="4">
        <f>SUM(Y6:Y500)</f>
        <v>1362.6599999999999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>
        <v>48.381999999999998</v>
      </c>
      <c r="E6" s="1">
        <v>2.7120000000000002</v>
      </c>
      <c r="F6" s="1">
        <v>42.399000000000001</v>
      </c>
      <c r="G6" s="7">
        <v>1</v>
      </c>
      <c r="H6" s="1">
        <v>120</v>
      </c>
      <c r="I6" s="1" t="s">
        <v>28</v>
      </c>
      <c r="J6" s="1"/>
      <c r="K6" s="1">
        <v>3</v>
      </c>
      <c r="L6" s="1">
        <f t="shared" ref="L6:L37" si="1">E6-K6</f>
        <v>-0.28799999999999981</v>
      </c>
      <c r="M6" s="1"/>
      <c r="N6" s="1"/>
      <c r="O6" s="1">
        <v>0</v>
      </c>
      <c r="P6" s="1">
        <f t="shared" ref="P6:P37" si="2">E6/5</f>
        <v>0.54239999999999999</v>
      </c>
      <c r="Q6" s="5"/>
      <c r="R6" s="5">
        <f>ROUND(Q6,0)</f>
        <v>0</v>
      </c>
      <c r="S6" s="20"/>
      <c r="T6" s="1">
        <f>(F6+O6+R6)/P6</f>
        <v>78.169247787610615</v>
      </c>
      <c r="U6" s="1">
        <f t="shared" ref="U6:U37" si="3">(F6+O6)/P6</f>
        <v>78.169247787610615</v>
      </c>
      <c r="V6" s="1">
        <v>0</v>
      </c>
      <c r="W6" s="1">
        <v>0</v>
      </c>
      <c r="X6" s="18" t="s">
        <v>31</v>
      </c>
      <c r="Y6" s="1">
        <f>G6*R6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30</v>
      </c>
      <c r="C7" s="1">
        <v>150</v>
      </c>
      <c r="D7" s="1">
        <v>371</v>
      </c>
      <c r="E7" s="1">
        <v>124</v>
      </c>
      <c r="F7" s="1">
        <v>321</v>
      </c>
      <c r="G7" s="7">
        <v>0.4</v>
      </c>
      <c r="H7" s="1">
        <v>60</v>
      </c>
      <c r="I7" s="1" t="s">
        <v>28</v>
      </c>
      <c r="J7" s="1"/>
      <c r="K7" s="1">
        <v>127</v>
      </c>
      <c r="L7" s="1">
        <f t="shared" si="1"/>
        <v>-3</v>
      </c>
      <c r="M7" s="1"/>
      <c r="N7" s="1"/>
      <c r="O7" s="1">
        <v>20</v>
      </c>
      <c r="P7" s="1">
        <f t="shared" si="2"/>
        <v>24.8</v>
      </c>
      <c r="Q7" s="5">
        <f t="shared" ref="Q7:Q30" si="4">15*P7-O7-F7</f>
        <v>31</v>
      </c>
      <c r="R7" s="5">
        <v>80</v>
      </c>
      <c r="S7" s="20">
        <f>VLOOKUP(A7,[1]Sheet!$A:$R,18,0)</f>
        <v>100</v>
      </c>
      <c r="T7" s="1">
        <f t="shared" ref="T7:T70" si="5">(F7+O7+R7)/P7</f>
        <v>16.975806451612904</v>
      </c>
      <c r="U7" s="1">
        <f t="shared" si="3"/>
        <v>13.75</v>
      </c>
      <c r="V7" s="1">
        <v>19.399999999999999</v>
      </c>
      <c r="W7" s="1">
        <v>27.8</v>
      </c>
      <c r="X7" s="1"/>
      <c r="Y7" s="1">
        <f t="shared" ref="Y7:Y70" si="6">G7*R7</f>
        <v>32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32</v>
      </c>
      <c r="B8" s="1" t="s">
        <v>27</v>
      </c>
      <c r="C8" s="1">
        <v>0.46500000000000002</v>
      </c>
      <c r="D8" s="1">
        <v>69.254999999999995</v>
      </c>
      <c r="E8" s="1">
        <v>5.5350000000000001</v>
      </c>
      <c r="F8" s="1">
        <v>60.338999999999999</v>
      </c>
      <c r="G8" s="7">
        <v>1</v>
      </c>
      <c r="H8" s="1">
        <v>120</v>
      </c>
      <c r="I8" s="1" t="s">
        <v>28</v>
      </c>
      <c r="J8" s="1"/>
      <c r="K8" s="1">
        <v>6.5</v>
      </c>
      <c r="L8" s="1">
        <f t="shared" si="1"/>
        <v>-0.96499999999999986</v>
      </c>
      <c r="M8" s="1"/>
      <c r="N8" s="1"/>
      <c r="O8" s="1">
        <v>50</v>
      </c>
      <c r="P8" s="1">
        <f t="shared" si="2"/>
        <v>1.107</v>
      </c>
      <c r="Q8" s="5"/>
      <c r="R8" s="5">
        <f t="shared" ref="R7:R70" si="7">ROUND(Q8,0)</f>
        <v>0</v>
      </c>
      <c r="S8" s="20"/>
      <c r="T8" s="1">
        <f t="shared" si="5"/>
        <v>99.673893405600722</v>
      </c>
      <c r="U8" s="1">
        <f t="shared" si="3"/>
        <v>99.673893405600722</v>
      </c>
      <c r="V8" s="1">
        <v>1.1876</v>
      </c>
      <c r="W8" s="1">
        <v>1.9132</v>
      </c>
      <c r="X8" s="18" t="s">
        <v>31</v>
      </c>
      <c r="Y8" s="1">
        <f t="shared" si="6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33</v>
      </c>
      <c r="B9" s="1" t="s">
        <v>30</v>
      </c>
      <c r="C9" s="1">
        <v>193</v>
      </c>
      <c r="D9" s="1">
        <v>121</v>
      </c>
      <c r="E9" s="1">
        <v>82</v>
      </c>
      <c r="F9" s="1">
        <v>120</v>
      </c>
      <c r="G9" s="7">
        <v>0.25</v>
      </c>
      <c r="H9" s="1">
        <v>120</v>
      </c>
      <c r="I9" s="1" t="s">
        <v>28</v>
      </c>
      <c r="J9" s="1"/>
      <c r="K9" s="1">
        <v>86</v>
      </c>
      <c r="L9" s="1">
        <f t="shared" si="1"/>
        <v>-4</v>
      </c>
      <c r="M9" s="1"/>
      <c r="N9" s="1"/>
      <c r="O9" s="1">
        <v>120</v>
      </c>
      <c r="P9" s="1">
        <f t="shared" si="2"/>
        <v>16.399999999999999</v>
      </c>
      <c r="Q9" s="5">
        <f t="shared" si="4"/>
        <v>5.9999999999999716</v>
      </c>
      <c r="R9" s="5">
        <v>40</v>
      </c>
      <c r="S9" s="20">
        <f>VLOOKUP(A9,[1]Sheet!$A:$R,18,0)</f>
        <v>40</v>
      </c>
      <c r="T9" s="1">
        <f t="shared" si="5"/>
        <v>17.073170731707318</v>
      </c>
      <c r="U9" s="1">
        <f t="shared" si="3"/>
        <v>14.634146341463415</v>
      </c>
      <c r="V9" s="1">
        <v>20.2</v>
      </c>
      <c r="W9" s="1">
        <v>19.600000000000001</v>
      </c>
      <c r="X9" s="1"/>
      <c r="Y9" s="1">
        <f t="shared" si="6"/>
        <v>10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34</v>
      </c>
      <c r="B10" s="1" t="s">
        <v>27</v>
      </c>
      <c r="C10" s="1">
        <v>14.673</v>
      </c>
      <c r="D10" s="1">
        <v>438.279</v>
      </c>
      <c r="E10" s="1">
        <v>116.47499999999999</v>
      </c>
      <c r="F10" s="1">
        <v>280.33999999999997</v>
      </c>
      <c r="G10" s="7">
        <v>1</v>
      </c>
      <c r="H10" s="1">
        <v>60</v>
      </c>
      <c r="I10" s="1" t="s">
        <v>28</v>
      </c>
      <c r="J10" s="1"/>
      <c r="K10" s="1">
        <v>120.9</v>
      </c>
      <c r="L10" s="1">
        <f t="shared" si="1"/>
        <v>-4.4250000000000114</v>
      </c>
      <c r="M10" s="1"/>
      <c r="N10" s="1"/>
      <c r="O10" s="1">
        <v>80</v>
      </c>
      <c r="P10" s="1">
        <f t="shared" si="2"/>
        <v>23.294999999999998</v>
      </c>
      <c r="Q10" s="5"/>
      <c r="R10" s="5">
        <f t="shared" si="7"/>
        <v>0</v>
      </c>
      <c r="S10" s="20"/>
      <c r="T10" s="1">
        <f t="shared" si="5"/>
        <v>15.468555484009444</v>
      </c>
      <c r="U10" s="1">
        <f t="shared" si="3"/>
        <v>15.468555484009444</v>
      </c>
      <c r="V10" s="1">
        <v>24.975200000000001</v>
      </c>
      <c r="W10" s="1">
        <v>24.263999999999999</v>
      </c>
      <c r="X10" s="1"/>
      <c r="Y10" s="1">
        <f t="shared" si="6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27</v>
      </c>
      <c r="C11" s="1">
        <v>-7.7229999999999999</v>
      </c>
      <c r="D11" s="1">
        <v>117.88200000000001</v>
      </c>
      <c r="E11" s="1">
        <v>3.5590000000000002</v>
      </c>
      <c r="F11" s="1">
        <v>105.58199999999999</v>
      </c>
      <c r="G11" s="7">
        <v>1</v>
      </c>
      <c r="H11" s="1">
        <v>120</v>
      </c>
      <c r="I11" s="1" t="s">
        <v>28</v>
      </c>
      <c r="J11" s="1"/>
      <c r="K11" s="1">
        <v>3.5</v>
      </c>
      <c r="L11" s="1">
        <f t="shared" si="1"/>
        <v>5.9000000000000163E-2</v>
      </c>
      <c r="M11" s="1"/>
      <c r="N11" s="1"/>
      <c r="O11" s="1">
        <v>20</v>
      </c>
      <c r="P11" s="1">
        <f t="shared" si="2"/>
        <v>0.71179999999999999</v>
      </c>
      <c r="Q11" s="5"/>
      <c r="R11" s="5">
        <f t="shared" si="7"/>
        <v>0</v>
      </c>
      <c r="S11" s="20">
        <f>VLOOKUP(A11,[1]Sheet!$A:$R,18,0)</f>
        <v>25</v>
      </c>
      <c r="T11" s="1">
        <f t="shared" si="5"/>
        <v>176.42877212700196</v>
      </c>
      <c r="U11" s="1">
        <f t="shared" si="3"/>
        <v>176.42877212700196</v>
      </c>
      <c r="V11" s="1">
        <v>2.6046</v>
      </c>
      <c r="W11" s="1">
        <v>4.6021999999999998</v>
      </c>
      <c r="X11" s="19" t="s">
        <v>54</v>
      </c>
      <c r="Y11" s="1">
        <f t="shared" si="6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27</v>
      </c>
      <c r="C12" s="1"/>
      <c r="D12" s="1">
        <v>140.209</v>
      </c>
      <c r="E12" s="1">
        <v>33.674999999999997</v>
      </c>
      <c r="F12" s="1">
        <v>68.69</v>
      </c>
      <c r="G12" s="7">
        <v>1</v>
      </c>
      <c r="H12" s="1">
        <v>60</v>
      </c>
      <c r="I12" s="1" t="s">
        <v>28</v>
      </c>
      <c r="J12" s="1"/>
      <c r="K12" s="1">
        <v>35.4</v>
      </c>
      <c r="L12" s="1">
        <f t="shared" si="1"/>
        <v>-1.7250000000000014</v>
      </c>
      <c r="M12" s="1"/>
      <c r="N12" s="1"/>
      <c r="O12" s="1">
        <v>50</v>
      </c>
      <c r="P12" s="1">
        <f t="shared" si="2"/>
        <v>6.7349999999999994</v>
      </c>
      <c r="Q12" s="5"/>
      <c r="R12" s="5">
        <f t="shared" si="7"/>
        <v>0</v>
      </c>
      <c r="S12" s="20"/>
      <c r="T12" s="1">
        <f t="shared" si="5"/>
        <v>17.622865627319971</v>
      </c>
      <c r="U12" s="1">
        <f t="shared" si="3"/>
        <v>17.622865627319971</v>
      </c>
      <c r="V12" s="1">
        <v>2.7080000000000002</v>
      </c>
      <c r="W12" s="1">
        <v>5.3704000000000001</v>
      </c>
      <c r="X12" s="1"/>
      <c r="Y12" s="1">
        <f t="shared" si="6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27</v>
      </c>
      <c r="C13" s="1">
        <v>109.282</v>
      </c>
      <c r="D13" s="1">
        <v>306.173</v>
      </c>
      <c r="E13" s="1">
        <v>167.17</v>
      </c>
      <c r="F13" s="1">
        <v>198.613</v>
      </c>
      <c r="G13" s="7">
        <v>1</v>
      </c>
      <c r="H13" s="1">
        <v>60</v>
      </c>
      <c r="I13" s="1" t="s">
        <v>28</v>
      </c>
      <c r="J13" s="1"/>
      <c r="K13" s="1">
        <v>165.5</v>
      </c>
      <c r="L13" s="1">
        <f t="shared" si="1"/>
        <v>1.6699999999999875</v>
      </c>
      <c r="M13" s="1"/>
      <c r="N13" s="1"/>
      <c r="O13" s="1">
        <v>100</v>
      </c>
      <c r="P13" s="1">
        <f t="shared" si="2"/>
        <v>33.433999999999997</v>
      </c>
      <c r="Q13" s="5">
        <f t="shared" si="4"/>
        <v>202.89699999999999</v>
      </c>
      <c r="R13" s="5">
        <f t="shared" si="7"/>
        <v>203</v>
      </c>
      <c r="S13" s="20"/>
      <c r="T13" s="1">
        <f t="shared" si="5"/>
        <v>15.003080696297184</v>
      </c>
      <c r="U13" s="1">
        <f t="shared" si="3"/>
        <v>8.9314171202967039</v>
      </c>
      <c r="V13" s="1">
        <v>26.646599999999999</v>
      </c>
      <c r="W13" s="1">
        <v>28.103400000000001</v>
      </c>
      <c r="X13" s="1"/>
      <c r="Y13" s="1">
        <f t="shared" si="6"/>
        <v>203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30</v>
      </c>
      <c r="C14" s="1">
        <v>34</v>
      </c>
      <c r="D14" s="1">
        <v>252</v>
      </c>
      <c r="E14" s="1">
        <v>79</v>
      </c>
      <c r="F14" s="1">
        <v>197</v>
      </c>
      <c r="G14" s="7">
        <v>0.25</v>
      </c>
      <c r="H14" s="1">
        <v>120</v>
      </c>
      <c r="I14" s="1" t="s">
        <v>28</v>
      </c>
      <c r="J14" s="1"/>
      <c r="K14" s="1">
        <v>114</v>
      </c>
      <c r="L14" s="1">
        <f t="shared" si="1"/>
        <v>-35</v>
      </c>
      <c r="M14" s="1"/>
      <c r="N14" s="1"/>
      <c r="O14" s="1">
        <v>50</v>
      </c>
      <c r="P14" s="1">
        <f t="shared" si="2"/>
        <v>15.8</v>
      </c>
      <c r="Q14" s="5"/>
      <c r="R14" s="5">
        <f t="shared" si="7"/>
        <v>0</v>
      </c>
      <c r="S14" s="20"/>
      <c r="T14" s="1">
        <f t="shared" si="5"/>
        <v>15.632911392405063</v>
      </c>
      <c r="U14" s="1">
        <f t="shared" si="3"/>
        <v>15.632911392405063</v>
      </c>
      <c r="V14" s="1">
        <v>17.600000000000001</v>
      </c>
      <c r="W14" s="1">
        <v>20.2</v>
      </c>
      <c r="X14" s="1"/>
      <c r="Y14" s="1">
        <f t="shared" si="6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27</v>
      </c>
      <c r="C15" s="1">
        <v>6.0000000000000001E-3</v>
      </c>
      <c r="D15" s="1">
        <v>127.51</v>
      </c>
      <c r="E15" s="1"/>
      <c r="F15" s="1">
        <v>115.30800000000001</v>
      </c>
      <c r="G15" s="7">
        <v>1</v>
      </c>
      <c r="H15" s="1">
        <v>60</v>
      </c>
      <c r="I15" s="1" t="s">
        <v>28</v>
      </c>
      <c r="J15" s="1"/>
      <c r="K15" s="1">
        <v>53.3</v>
      </c>
      <c r="L15" s="1">
        <f t="shared" si="1"/>
        <v>-53.3</v>
      </c>
      <c r="M15" s="1"/>
      <c r="N15" s="1"/>
      <c r="O15" s="1">
        <v>70</v>
      </c>
      <c r="P15" s="1">
        <f t="shared" si="2"/>
        <v>0</v>
      </c>
      <c r="Q15" s="5"/>
      <c r="R15" s="5">
        <f t="shared" si="7"/>
        <v>0</v>
      </c>
      <c r="S15" s="20"/>
      <c r="T15" s="1" t="e">
        <f t="shared" si="5"/>
        <v>#DIV/0!</v>
      </c>
      <c r="U15" s="1" t="e">
        <f t="shared" si="3"/>
        <v>#DIV/0!</v>
      </c>
      <c r="V15" s="1">
        <v>4.8827999999999996</v>
      </c>
      <c r="W15" s="1">
        <v>7.3674000000000008</v>
      </c>
      <c r="X15" s="1"/>
      <c r="Y15" s="1">
        <f t="shared" si="6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30</v>
      </c>
      <c r="C16" s="1">
        <v>214</v>
      </c>
      <c r="D16" s="1">
        <v>244</v>
      </c>
      <c r="E16" s="1">
        <v>90</v>
      </c>
      <c r="F16" s="1">
        <v>262</v>
      </c>
      <c r="G16" s="7">
        <v>0.25</v>
      </c>
      <c r="H16" s="1">
        <v>120</v>
      </c>
      <c r="I16" s="1" t="s">
        <v>28</v>
      </c>
      <c r="J16" s="1"/>
      <c r="K16" s="1">
        <v>100</v>
      </c>
      <c r="L16" s="1">
        <f t="shared" si="1"/>
        <v>-10</v>
      </c>
      <c r="M16" s="1"/>
      <c r="N16" s="1"/>
      <c r="O16" s="1">
        <v>100</v>
      </c>
      <c r="P16" s="1">
        <f t="shared" si="2"/>
        <v>18</v>
      </c>
      <c r="Q16" s="5"/>
      <c r="R16" s="5">
        <f t="shared" si="7"/>
        <v>0</v>
      </c>
      <c r="S16" s="20"/>
      <c r="T16" s="1">
        <f t="shared" si="5"/>
        <v>20.111111111111111</v>
      </c>
      <c r="U16" s="1">
        <f t="shared" si="3"/>
        <v>20.111111111111111</v>
      </c>
      <c r="V16" s="1">
        <v>18.399999999999999</v>
      </c>
      <c r="W16" s="1">
        <v>19.600000000000001</v>
      </c>
      <c r="X16" s="1"/>
      <c r="Y16" s="1">
        <f t="shared" si="6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41</v>
      </c>
      <c r="B17" s="1" t="s">
        <v>30</v>
      </c>
      <c r="C17" s="1">
        <v>69</v>
      </c>
      <c r="D17" s="1">
        <v>135</v>
      </c>
      <c r="E17" s="1">
        <v>30</v>
      </c>
      <c r="F17" s="1">
        <v>102</v>
      </c>
      <c r="G17" s="7">
        <v>0.4</v>
      </c>
      <c r="H17" s="1">
        <v>60</v>
      </c>
      <c r="I17" s="1" t="s">
        <v>28</v>
      </c>
      <c r="J17" s="1"/>
      <c r="K17" s="1">
        <v>30</v>
      </c>
      <c r="L17" s="1">
        <f t="shared" si="1"/>
        <v>0</v>
      </c>
      <c r="M17" s="1"/>
      <c r="N17" s="1"/>
      <c r="O17" s="1">
        <v>100</v>
      </c>
      <c r="P17" s="1">
        <f t="shared" si="2"/>
        <v>6</v>
      </c>
      <c r="Q17" s="5"/>
      <c r="R17" s="5">
        <f t="shared" si="7"/>
        <v>0</v>
      </c>
      <c r="S17" s="20"/>
      <c r="T17" s="1">
        <f t="shared" si="5"/>
        <v>33.666666666666664</v>
      </c>
      <c r="U17" s="1">
        <f t="shared" si="3"/>
        <v>33.666666666666664</v>
      </c>
      <c r="V17" s="1">
        <v>11.6</v>
      </c>
      <c r="W17" s="1">
        <v>4.4000000000000004</v>
      </c>
      <c r="X17" s="1"/>
      <c r="Y17" s="1">
        <f t="shared" si="6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42</v>
      </c>
      <c r="B18" s="1" t="s">
        <v>27</v>
      </c>
      <c r="C18" s="1">
        <v>82.585999999999999</v>
      </c>
      <c r="D18" s="1">
        <v>336.286</v>
      </c>
      <c r="E18" s="1">
        <v>92.26</v>
      </c>
      <c r="F18" s="1">
        <v>234.55799999999999</v>
      </c>
      <c r="G18" s="7">
        <v>1</v>
      </c>
      <c r="H18" s="1">
        <v>45</v>
      </c>
      <c r="I18" s="1" t="s">
        <v>28</v>
      </c>
      <c r="J18" s="1"/>
      <c r="K18" s="1">
        <v>92.6</v>
      </c>
      <c r="L18" s="1">
        <f t="shared" si="1"/>
        <v>-0.3399999999999892</v>
      </c>
      <c r="M18" s="1"/>
      <c r="N18" s="1"/>
      <c r="O18" s="1">
        <v>100</v>
      </c>
      <c r="P18" s="1">
        <f t="shared" si="2"/>
        <v>18.452000000000002</v>
      </c>
      <c r="Q18" s="5"/>
      <c r="R18" s="5">
        <v>20</v>
      </c>
      <c r="S18" s="20">
        <f>VLOOKUP(A18,[1]Sheet!$A:$R,18,0)</f>
        <v>50</v>
      </c>
      <c r="T18" s="1">
        <f t="shared" si="5"/>
        <v>19.215152828961628</v>
      </c>
      <c r="U18" s="1">
        <f t="shared" si="3"/>
        <v>18.131259484066767</v>
      </c>
      <c r="V18" s="1">
        <v>23.300999999999998</v>
      </c>
      <c r="W18" s="1">
        <v>10.481400000000001</v>
      </c>
      <c r="X18" s="1"/>
      <c r="Y18" s="1">
        <f t="shared" si="6"/>
        <v>20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43</v>
      </c>
      <c r="B19" s="1" t="s">
        <v>27</v>
      </c>
      <c r="C19" s="1">
        <v>-2E-3</v>
      </c>
      <c r="D19" s="1">
        <v>10.005000000000001</v>
      </c>
      <c r="E19" s="1">
        <v>4.9889999999999999</v>
      </c>
      <c r="F19" s="1">
        <v>0.50600000000000001</v>
      </c>
      <c r="G19" s="7">
        <v>1</v>
      </c>
      <c r="H19" s="1">
        <v>120</v>
      </c>
      <c r="I19" s="1" t="s">
        <v>44</v>
      </c>
      <c r="J19" s="1"/>
      <c r="K19" s="1">
        <v>5</v>
      </c>
      <c r="L19" s="1">
        <f t="shared" si="1"/>
        <v>-1.1000000000000121E-2</v>
      </c>
      <c r="M19" s="1"/>
      <c r="N19" s="1"/>
      <c r="O19" s="1">
        <v>0</v>
      </c>
      <c r="P19" s="1">
        <f t="shared" si="2"/>
        <v>0.99780000000000002</v>
      </c>
      <c r="Q19" s="5">
        <f t="shared" si="4"/>
        <v>14.461</v>
      </c>
      <c r="R19" s="5">
        <f t="shared" si="7"/>
        <v>14</v>
      </c>
      <c r="S19" s="20"/>
      <c r="T19" s="1">
        <f t="shared" si="5"/>
        <v>14.537983563840449</v>
      </c>
      <c r="U19" s="1">
        <f t="shared" si="3"/>
        <v>0.50711565443976747</v>
      </c>
      <c r="V19" s="1">
        <v>1.349</v>
      </c>
      <c r="W19" s="1">
        <v>1.9612000000000001</v>
      </c>
      <c r="X19" s="1"/>
      <c r="Y19" s="1">
        <f t="shared" si="6"/>
        <v>14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45</v>
      </c>
      <c r="B20" s="1" t="s">
        <v>30</v>
      </c>
      <c r="C20" s="1"/>
      <c r="D20" s="1">
        <v>774</v>
      </c>
      <c r="E20" s="1">
        <v>145</v>
      </c>
      <c r="F20" s="1">
        <v>440</v>
      </c>
      <c r="G20" s="7">
        <v>0.4</v>
      </c>
      <c r="H20" s="1">
        <v>45</v>
      </c>
      <c r="I20" s="1" t="s">
        <v>28</v>
      </c>
      <c r="J20" s="1"/>
      <c r="K20" s="1">
        <v>145</v>
      </c>
      <c r="L20" s="1">
        <f t="shared" si="1"/>
        <v>0</v>
      </c>
      <c r="M20" s="1"/>
      <c r="N20" s="1"/>
      <c r="O20" s="1">
        <v>0</v>
      </c>
      <c r="P20" s="1">
        <f t="shared" si="2"/>
        <v>29</v>
      </c>
      <c r="Q20" s="5"/>
      <c r="R20" s="5">
        <f t="shared" si="7"/>
        <v>0</v>
      </c>
      <c r="S20" s="20"/>
      <c r="T20" s="1">
        <f t="shared" si="5"/>
        <v>15.172413793103448</v>
      </c>
      <c r="U20" s="1">
        <f t="shared" si="3"/>
        <v>15.172413793103448</v>
      </c>
      <c r="V20" s="1">
        <v>0</v>
      </c>
      <c r="W20" s="1">
        <v>0</v>
      </c>
      <c r="X20" s="1"/>
      <c r="Y20" s="1">
        <f t="shared" si="6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46</v>
      </c>
      <c r="B21" s="1" t="s">
        <v>27</v>
      </c>
      <c r="C21" s="1">
        <v>19.974</v>
      </c>
      <c r="D21" s="1">
        <v>170.09800000000001</v>
      </c>
      <c r="E21" s="1">
        <v>80.265000000000001</v>
      </c>
      <c r="F21" s="1">
        <v>78.75</v>
      </c>
      <c r="G21" s="7">
        <v>1</v>
      </c>
      <c r="H21" s="1">
        <v>60</v>
      </c>
      <c r="I21" s="1" t="s">
        <v>28</v>
      </c>
      <c r="J21" s="1"/>
      <c r="K21" s="1">
        <v>77.400000000000006</v>
      </c>
      <c r="L21" s="1">
        <f t="shared" si="1"/>
        <v>2.8649999999999949</v>
      </c>
      <c r="M21" s="1"/>
      <c r="N21" s="1"/>
      <c r="O21" s="1">
        <v>180</v>
      </c>
      <c r="P21" s="1">
        <f t="shared" si="2"/>
        <v>16.053000000000001</v>
      </c>
      <c r="Q21" s="5"/>
      <c r="R21" s="5">
        <f t="shared" si="7"/>
        <v>0</v>
      </c>
      <c r="S21" s="20"/>
      <c r="T21" s="1">
        <f t="shared" si="5"/>
        <v>16.118482526630537</v>
      </c>
      <c r="U21" s="1">
        <f t="shared" si="3"/>
        <v>16.118482526630537</v>
      </c>
      <c r="V21" s="1">
        <v>18.135999999999999</v>
      </c>
      <c r="W21" s="1">
        <v>11.881</v>
      </c>
      <c r="X21" s="1"/>
      <c r="Y21" s="1">
        <f t="shared" si="6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47</v>
      </c>
      <c r="B22" s="1" t="s">
        <v>30</v>
      </c>
      <c r="C22" s="1">
        <v>-45</v>
      </c>
      <c r="D22" s="1">
        <v>46</v>
      </c>
      <c r="E22" s="1">
        <v>1</v>
      </c>
      <c r="F22" s="1"/>
      <c r="G22" s="7">
        <v>0.22</v>
      </c>
      <c r="H22" s="1">
        <v>120</v>
      </c>
      <c r="I22" s="1" t="s">
        <v>28</v>
      </c>
      <c r="J22" s="1"/>
      <c r="K22" s="1">
        <v>137</v>
      </c>
      <c r="L22" s="1">
        <f t="shared" si="1"/>
        <v>-136</v>
      </c>
      <c r="M22" s="1"/>
      <c r="N22" s="1"/>
      <c r="O22" s="1">
        <v>250</v>
      </c>
      <c r="P22" s="1">
        <f t="shared" si="2"/>
        <v>0.2</v>
      </c>
      <c r="Q22" s="5">
        <v>60</v>
      </c>
      <c r="R22" s="5">
        <v>100</v>
      </c>
      <c r="S22" s="20">
        <f>VLOOKUP(A22,[1]Sheet!$A:$R,18,0)</f>
        <v>140</v>
      </c>
      <c r="T22" s="1">
        <f t="shared" si="5"/>
        <v>1750</v>
      </c>
      <c r="U22" s="1">
        <f t="shared" si="3"/>
        <v>1250</v>
      </c>
      <c r="V22" s="1">
        <v>25</v>
      </c>
      <c r="W22" s="1">
        <v>28.8</v>
      </c>
      <c r="X22" s="9" t="s">
        <v>147</v>
      </c>
      <c r="Y22" s="1">
        <f t="shared" si="6"/>
        <v>22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48</v>
      </c>
      <c r="B23" s="1" t="s">
        <v>27</v>
      </c>
      <c r="C23" s="1"/>
      <c r="D23" s="1">
        <v>45.764000000000003</v>
      </c>
      <c r="E23" s="1">
        <v>3.8319999999999999</v>
      </c>
      <c r="F23" s="1">
        <v>40.814</v>
      </c>
      <c r="G23" s="7">
        <v>1</v>
      </c>
      <c r="H23" s="1">
        <v>40</v>
      </c>
      <c r="I23" s="1" t="s">
        <v>28</v>
      </c>
      <c r="J23" s="1"/>
      <c r="K23" s="1">
        <v>4.8</v>
      </c>
      <c r="L23" s="1">
        <f t="shared" si="1"/>
        <v>-0.96799999999999997</v>
      </c>
      <c r="M23" s="1"/>
      <c r="N23" s="1"/>
      <c r="O23" s="1">
        <v>0</v>
      </c>
      <c r="P23" s="1">
        <f t="shared" si="2"/>
        <v>0.76639999999999997</v>
      </c>
      <c r="Q23" s="5"/>
      <c r="R23" s="5">
        <f t="shared" si="7"/>
        <v>0</v>
      </c>
      <c r="S23" s="20"/>
      <c r="T23" s="1">
        <f t="shared" si="5"/>
        <v>53.254175365344473</v>
      </c>
      <c r="U23" s="1">
        <f t="shared" si="3"/>
        <v>53.254175365344473</v>
      </c>
      <c r="V23" s="1">
        <v>0</v>
      </c>
      <c r="W23" s="1">
        <v>0</v>
      </c>
      <c r="X23" s="1"/>
      <c r="Y23" s="1">
        <f t="shared" si="6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49</v>
      </c>
      <c r="B24" s="1" t="s">
        <v>27</v>
      </c>
      <c r="C24" s="1">
        <v>23.251999999999999</v>
      </c>
      <c r="D24" s="1">
        <v>111.77500000000001</v>
      </c>
      <c r="E24" s="1">
        <v>38.911999999999999</v>
      </c>
      <c r="F24" s="1">
        <v>57.005000000000003</v>
      </c>
      <c r="G24" s="7">
        <v>1</v>
      </c>
      <c r="H24" s="1">
        <v>60</v>
      </c>
      <c r="I24" s="1" t="s">
        <v>28</v>
      </c>
      <c r="J24" s="1"/>
      <c r="K24" s="1">
        <v>42.1</v>
      </c>
      <c r="L24" s="1">
        <f t="shared" si="1"/>
        <v>-3.1880000000000024</v>
      </c>
      <c r="M24" s="1"/>
      <c r="N24" s="1"/>
      <c r="O24" s="1">
        <v>50</v>
      </c>
      <c r="P24" s="1">
        <f t="shared" si="2"/>
        <v>7.7824</v>
      </c>
      <c r="Q24" s="5">
        <f t="shared" si="4"/>
        <v>9.7310000000000016</v>
      </c>
      <c r="R24" s="5">
        <f t="shared" si="7"/>
        <v>10</v>
      </c>
      <c r="S24" s="20"/>
      <c r="T24" s="1">
        <f t="shared" si="5"/>
        <v>15.034565172697368</v>
      </c>
      <c r="U24" s="1">
        <f t="shared" si="3"/>
        <v>13.749614514802632</v>
      </c>
      <c r="V24" s="1">
        <v>8.2713999999999999</v>
      </c>
      <c r="W24" s="1">
        <v>5.6849999999999996</v>
      </c>
      <c r="X24" s="1"/>
      <c r="Y24" s="1">
        <f t="shared" si="6"/>
        <v>10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50</v>
      </c>
      <c r="B25" s="1" t="s">
        <v>30</v>
      </c>
      <c r="C25" s="1">
        <v>-1</v>
      </c>
      <c r="D25" s="1">
        <v>306</v>
      </c>
      <c r="E25" s="1">
        <v>151</v>
      </c>
      <c r="F25" s="1">
        <v>133</v>
      </c>
      <c r="G25" s="7">
        <v>0.09</v>
      </c>
      <c r="H25" s="1">
        <v>60</v>
      </c>
      <c r="I25" s="1" t="s">
        <v>28</v>
      </c>
      <c r="J25" s="1"/>
      <c r="K25" s="1">
        <v>161</v>
      </c>
      <c r="L25" s="1">
        <f t="shared" si="1"/>
        <v>-10</v>
      </c>
      <c r="M25" s="1"/>
      <c r="N25" s="1"/>
      <c r="O25" s="1">
        <v>100</v>
      </c>
      <c r="P25" s="1">
        <f t="shared" si="2"/>
        <v>30.2</v>
      </c>
      <c r="Q25" s="5">
        <f t="shared" si="4"/>
        <v>220</v>
      </c>
      <c r="R25" s="5">
        <f t="shared" si="7"/>
        <v>220</v>
      </c>
      <c r="S25" s="20"/>
      <c r="T25" s="1">
        <f t="shared" si="5"/>
        <v>15</v>
      </c>
      <c r="U25" s="1">
        <f t="shared" si="3"/>
        <v>7.7152317880794703</v>
      </c>
      <c r="V25" s="1">
        <v>0.4</v>
      </c>
      <c r="W25" s="1">
        <v>3.8</v>
      </c>
      <c r="X25" s="1"/>
      <c r="Y25" s="1">
        <f t="shared" si="6"/>
        <v>19.8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51</v>
      </c>
      <c r="B26" s="1" t="s">
        <v>30</v>
      </c>
      <c r="C26" s="1"/>
      <c r="D26" s="1">
        <v>211</v>
      </c>
      <c r="E26" s="1">
        <v>36</v>
      </c>
      <c r="F26" s="1">
        <v>163</v>
      </c>
      <c r="G26" s="7">
        <v>0.09</v>
      </c>
      <c r="H26" s="1">
        <v>45</v>
      </c>
      <c r="I26" s="1" t="s">
        <v>28</v>
      </c>
      <c r="J26" s="1"/>
      <c r="K26" s="1">
        <v>41</v>
      </c>
      <c r="L26" s="1">
        <f t="shared" si="1"/>
        <v>-5</v>
      </c>
      <c r="M26" s="1"/>
      <c r="N26" s="1"/>
      <c r="O26" s="1">
        <v>50</v>
      </c>
      <c r="P26" s="1">
        <f t="shared" si="2"/>
        <v>7.2</v>
      </c>
      <c r="Q26" s="5"/>
      <c r="R26" s="5">
        <v>30</v>
      </c>
      <c r="S26" s="20">
        <f>VLOOKUP(A26,[1]Sheet!$A:$R,18,0)</f>
        <v>70</v>
      </c>
      <c r="T26" s="1">
        <f t="shared" si="5"/>
        <v>33.75</v>
      </c>
      <c r="U26" s="1">
        <f t="shared" si="3"/>
        <v>29.583333333333332</v>
      </c>
      <c r="V26" s="1">
        <v>0</v>
      </c>
      <c r="W26" s="1">
        <v>0</v>
      </c>
      <c r="X26" s="1"/>
      <c r="Y26" s="1">
        <f t="shared" si="6"/>
        <v>2.6999999999999997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52</v>
      </c>
      <c r="B27" s="1" t="s">
        <v>30</v>
      </c>
      <c r="C27" s="1"/>
      <c r="D27" s="1">
        <v>83</v>
      </c>
      <c r="E27" s="1">
        <v>3</v>
      </c>
      <c r="F27" s="1">
        <v>77</v>
      </c>
      <c r="G27" s="7">
        <v>0.15</v>
      </c>
      <c r="H27" s="1">
        <v>45</v>
      </c>
      <c r="I27" s="1" t="s">
        <v>28</v>
      </c>
      <c r="J27" s="1"/>
      <c r="K27" s="1">
        <v>3</v>
      </c>
      <c r="L27" s="1">
        <f t="shared" si="1"/>
        <v>0</v>
      </c>
      <c r="M27" s="1"/>
      <c r="N27" s="1"/>
      <c r="O27" s="1">
        <v>50</v>
      </c>
      <c r="P27" s="1">
        <f t="shared" si="2"/>
        <v>0.6</v>
      </c>
      <c r="Q27" s="5"/>
      <c r="R27" s="5">
        <f t="shared" si="7"/>
        <v>0</v>
      </c>
      <c r="S27" s="20"/>
      <c r="T27" s="1">
        <f t="shared" si="5"/>
        <v>211.66666666666669</v>
      </c>
      <c r="U27" s="1">
        <f t="shared" si="3"/>
        <v>211.66666666666669</v>
      </c>
      <c r="V27" s="1">
        <v>0</v>
      </c>
      <c r="W27" s="1">
        <v>0</v>
      </c>
      <c r="X27" s="1"/>
      <c r="Y27" s="1">
        <f t="shared" si="6"/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53</v>
      </c>
      <c r="B28" s="1" t="s">
        <v>27</v>
      </c>
      <c r="C28" s="1">
        <v>44.213999999999999</v>
      </c>
      <c r="D28" s="1">
        <v>869.92700000000002</v>
      </c>
      <c r="E28" s="1">
        <v>27.088999999999999</v>
      </c>
      <c r="F28" s="1">
        <v>526.13099999999997</v>
      </c>
      <c r="G28" s="7">
        <v>1</v>
      </c>
      <c r="H28" s="1">
        <v>45</v>
      </c>
      <c r="I28" s="1" t="s">
        <v>28</v>
      </c>
      <c r="J28" s="1"/>
      <c r="K28" s="1">
        <v>26.5</v>
      </c>
      <c r="L28" s="1">
        <f t="shared" si="1"/>
        <v>0.58899999999999864</v>
      </c>
      <c r="M28" s="1"/>
      <c r="N28" s="1"/>
      <c r="O28" s="1">
        <v>0</v>
      </c>
      <c r="P28" s="1">
        <f t="shared" si="2"/>
        <v>5.4177999999999997</v>
      </c>
      <c r="Q28" s="5"/>
      <c r="R28" s="5">
        <f t="shared" si="7"/>
        <v>0</v>
      </c>
      <c r="S28" s="20"/>
      <c r="T28" s="1">
        <f t="shared" si="5"/>
        <v>97.111558197054151</v>
      </c>
      <c r="U28" s="1">
        <f t="shared" si="3"/>
        <v>97.111558197054151</v>
      </c>
      <c r="V28" s="1">
        <v>2.5611999999999999</v>
      </c>
      <c r="W28" s="1">
        <v>11.716200000000001</v>
      </c>
      <c r="X28" s="19" t="s">
        <v>54</v>
      </c>
      <c r="Y28" s="1">
        <f t="shared" si="6"/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55</v>
      </c>
      <c r="B29" s="1" t="s">
        <v>30</v>
      </c>
      <c r="C29" s="1">
        <v>34</v>
      </c>
      <c r="D29" s="1">
        <v>75</v>
      </c>
      <c r="E29" s="1">
        <v>46</v>
      </c>
      <c r="F29" s="1">
        <v>43</v>
      </c>
      <c r="G29" s="7">
        <v>0.4</v>
      </c>
      <c r="H29" s="1">
        <v>60</v>
      </c>
      <c r="I29" s="1" t="s">
        <v>28</v>
      </c>
      <c r="J29" s="1"/>
      <c r="K29" s="1">
        <v>51</v>
      </c>
      <c r="L29" s="1">
        <f t="shared" si="1"/>
        <v>-5</v>
      </c>
      <c r="M29" s="1"/>
      <c r="N29" s="1"/>
      <c r="O29" s="1">
        <v>134</v>
      </c>
      <c r="P29" s="1">
        <f t="shared" si="2"/>
        <v>9.1999999999999993</v>
      </c>
      <c r="Q29" s="5"/>
      <c r="R29" s="5">
        <f t="shared" si="7"/>
        <v>0</v>
      </c>
      <c r="S29" s="20"/>
      <c r="T29" s="1">
        <f t="shared" si="5"/>
        <v>19.239130434782609</v>
      </c>
      <c r="U29" s="1">
        <f t="shared" si="3"/>
        <v>19.239130434782609</v>
      </c>
      <c r="V29" s="1">
        <v>15.4</v>
      </c>
      <c r="W29" s="1">
        <v>6.6</v>
      </c>
      <c r="X29" s="1"/>
      <c r="Y29" s="1">
        <f t="shared" si="6"/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56</v>
      </c>
      <c r="B30" s="1" t="s">
        <v>30</v>
      </c>
      <c r="C30" s="1">
        <v>94.977000000000004</v>
      </c>
      <c r="D30" s="1">
        <v>528.02300000000002</v>
      </c>
      <c r="E30" s="1">
        <v>184</v>
      </c>
      <c r="F30" s="1">
        <v>404</v>
      </c>
      <c r="G30" s="7">
        <v>0.4</v>
      </c>
      <c r="H30" s="1">
        <v>60</v>
      </c>
      <c r="I30" s="1" t="s">
        <v>28</v>
      </c>
      <c r="J30" s="1"/>
      <c r="K30" s="1">
        <v>206</v>
      </c>
      <c r="L30" s="1">
        <f t="shared" si="1"/>
        <v>-22</v>
      </c>
      <c r="M30" s="1"/>
      <c r="N30" s="1"/>
      <c r="O30" s="1">
        <v>0</v>
      </c>
      <c r="P30" s="1">
        <f t="shared" si="2"/>
        <v>36.799999999999997</v>
      </c>
      <c r="Q30" s="5">
        <f t="shared" si="4"/>
        <v>148</v>
      </c>
      <c r="R30" s="5">
        <f t="shared" si="7"/>
        <v>148</v>
      </c>
      <c r="S30" s="20"/>
      <c r="T30" s="1">
        <f t="shared" si="5"/>
        <v>15.000000000000002</v>
      </c>
      <c r="U30" s="1">
        <f t="shared" si="3"/>
        <v>10.978260869565219</v>
      </c>
      <c r="V30" s="1">
        <v>34.6</v>
      </c>
      <c r="W30" s="1">
        <v>42</v>
      </c>
      <c r="X30" s="1"/>
      <c r="Y30" s="1">
        <f t="shared" si="6"/>
        <v>59.2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57</v>
      </c>
      <c r="B31" s="1" t="s">
        <v>30</v>
      </c>
      <c r="C31" s="1">
        <v>-23.027000000000001</v>
      </c>
      <c r="D31" s="1">
        <v>584.02700000000004</v>
      </c>
      <c r="E31" s="1">
        <v>161</v>
      </c>
      <c r="F31" s="1">
        <v>394</v>
      </c>
      <c r="G31" s="7">
        <v>0.4</v>
      </c>
      <c r="H31" s="1">
        <v>60</v>
      </c>
      <c r="I31" s="1" t="s">
        <v>28</v>
      </c>
      <c r="J31" s="1"/>
      <c r="K31" s="1">
        <v>173</v>
      </c>
      <c r="L31" s="1">
        <f t="shared" si="1"/>
        <v>-12</v>
      </c>
      <c r="M31" s="1"/>
      <c r="N31" s="1"/>
      <c r="O31" s="1">
        <v>195</v>
      </c>
      <c r="P31" s="1">
        <f t="shared" si="2"/>
        <v>32.200000000000003</v>
      </c>
      <c r="Q31" s="5"/>
      <c r="R31" s="5">
        <f t="shared" si="7"/>
        <v>0</v>
      </c>
      <c r="S31" s="20"/>
      <c r="T31" s="1">
        <f t="shared" si="5"/>
        <v>18.291925465838506</v>
      </c>
      <c r="U31" s="1">
        <f t="shared" si="3"/>
        <v>18.291925465838506</v>
      </c>
      <c r="V31" s="1">
        <v>43.8</v>
      </c>
      <c r="W31" s="1">
        <v>39</v>
      </c>
      <c r="X31" s="1"/>
      <c r="Y31" s="1">
        <f t="shared" si="6"/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58</v>
      </c>
      <c r="B32" s="10" t="s">
        <v>27</v>
      </c>
      <c r="C32" s="10">
        <v>-14.827999999999999</v>
      </c>
      <c r="D32" s="10">
        <v>14.827999999999999</v>
      </c>
      <c r="E32" s="10"/>
      <c r="F32" s="10"/>
      <c r="G32" s="11">
        <v>0</v>
      </c>
      <c r="H32" s="10">
        <v>45</v>
      </c>
      <c r="I32" s="10" t="s">
        <v>59</v>
      </c>
      <c r="J32" s="10"/>
      <c r="K32" s="10">
        <v>12.5</v>
      </c>
      <c r="L32" s="10">
        <f t="shared" si="1"/>
        <v>-12.5</v>
      </c>
      <c r="M32" s="10"/>
      <c r="N32" s="10"/>
      <c r="O32" s="10">
        <v>0</v>
      </c>
      <c r="P32" s="10">
        <f t="shared" si="2"/>
        <v>0</v>
      </c>
      <c r="Q32" s="12"/>
      <c r="R32" s="5">
        <f t="shared" si="7"/>
        <v>0</v>
      </c>
      <c r="S32" s="20"/>
      <c r="T32" s="1" t="e">
        <f t="shared" si="5"/>
        <v>#DIV/0!</v>
      </c>
      <c r="U32" s="10" t="e">
        <f t="shared" si="3"/>
        <v>#DIV/0!</v>
      </c>
      <c r="V32" s="10">
        <v>0</v>
      </c>
      <c r="W32" s="10">
        <v>2.9655999999999998</v>
      </c>
      <c r="X32" s="10"/>
      <c r="Y32" s="1">
        <f t="shared" si="6"/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60</v>
      </c>
      <c r="B33" s="10" t="s">
        <v>30</v>
      </c>
      <c r="C33" s="10">
        <v>-24</v>
      </c>
      <c r="D33" s="10">
        <v>24</v>
      </c>
      <c r="E33" s="10"/>
      <c r="F33" s="10"/>
      <c r="G33" s="11">
        <v>0</v>
      </c>
      <c r="H33" s="10"/>
      <c r="I33" s="10" t="s">
        <v>59</v>
      </c>
      <c r="J33" s="10"/>
      <c r="K33" s="10">
        <v>47</v>
      </c>
      <c r="L33" s="10">
        <f t="shared" si="1"/>
        <v>-47</v>
      </c>
      <c r="M33" s="10"/>
      <c r="N33" s="10"/>
      <c r="O33" s="10">
        <v>0</v>
      </c>
      <c r="P33" s="10">
        <f t="shared" si="2"/>
        <v>0</v>
      </c>
      <c r="Q33" s="12"/>
      <c r="R33" s="5">
        <f t="shared" si="7"/>
        <v>0</v>
      </c>
      <c r="S33" s="20"/>
      <c r="T33" s="1" t="e">
        <f t="shared" si="5"/>
        <v>#DIV/0!</v>
      </c>
      <c r="U33" s="10" t="e">
        <f t="shared" si="3"/>
        <v>#DIV/0!</v>
      </c>
      <c r="V33" s="10">
        <v>0</v>
      </c>
      <c r="W33" s="10">
        <v>4.8</v>
      </c>
      <c r="X33" s="10"/>
      <c r="Y33" s="1">
        <f t="shared" si="6"/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61</v>
      </c>
      <c r="B34" s="10" t="s">
        <v>30</v>
      </c>
      <c r="C34" s="10">
        <v>10</v>
      </c>
      <c r="D34" s="10">
        <v>6</v>
      </c>
      <c r="E34" s="14">
        <v>16</v>
      </c>
      <c r="F34" s="14">
        <v>-1</v>
      </c>
      <c r="G34" s="11">
        <v>0</v>
      </c>
      <c r="H34" s="10">
        <v>45</v>
      </c>
      <c r="I34" s="13" t="s">
        <v>62</v>
      </c>
      <c r="J34" s="10" t="s">
        <v>63</v>
      </c>
      <c r="K34" s="10">
        <v>33</v>
      </c>
      <c r="L34" s="10">
        <f t="shared" si="1"/>
        <v>-17</v>
      </c>
      <c r="M34" s="10"/>
      <c r="N34" s="10"/>
      <c r="O34" s="10">
        <v>20</v>
      </c>
      <c r="P34" s="10">
        <f t="shared" si="2"/>
        <v>3.2</v>
      </c>
      <c r="Q34" s="12"/>
      <c r="R34" s="5">
        <f t="shared" si="7"/>
        <v>0</v>
      </c>
      <c r="S34" s="20"/>
      <c r="T34" s="1">
        <f t="shared" si="5"/>
        <v>5.9375</v>
      </c>
      <c r="U34" s="10">
        <f t="shared" si="3"/>
        <v>5.9375</v>
      </c>
      <c r="V34" s="10">
        <v>2.2000000000000002</v>
      </c>
      <c r="W34" s="10">
        <v>1.8</v>
      </c>
      <c r="X34" s="10" t="s">
        <v>64</v>
      </c>
      <c r="Y34" s="1">
        <f t="shared" si="6"/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27</v>
      </c>
      <c r="C35" s="1">
        <v>253.51300000000001</v>
      </c>
      <c r="D35" s="1">
        <v>29.22</v>
      </c>
      <c r="E35" s="1">
        <v>49.314</v>
      </c>
      <c r="F35" s="1">
        <v>167.917</v>
      </c>
      <c r="G35" s="7">
        <v>1</v>
      </c>
      <c r="H35" s="1">
        <v>60</v>
      </c>
      <c r="I35" s="1" t="s">
        <v>28</v>
      </c>
      <c r="J35" s="1"/>
      <c r="K35" s="1">
        <v>58</v>
      </c>
      <c r="L35" s="1">
        <f t="shared" si="1"/>
        <v>-8.6859999999999999</v>
      </c>
      <c r="M35" s="1"/>
      <c r="N35" s="1"/>
      <c r="O35" s="1">
        <v>0</v>
      </c>
      <c r="P35" s="1">
        <f t="shared" si="2"/>
        <v>9.8628</v>
      </c>
      <c r="Q35" s="5"/>
      <c r="R35" s="5">
        <f t="shared" si="7"/>
        <v>0</v>
      </c>
      <c r="S35" s="20"/>
      <c r="T35" s="1">
        <f t="shared" si="5"/>
        <v>17.02528693677252</v>
      </c>
      <c r="U35" s="1">
        <f t="shared" si="3"/>
        <v>17.02528693677252</v>
      </c>
      <c r="V35" s="1">
        <v>8.6745999999999999</v>
      </c>
      <c r="W35" s="1">
        <v>14.520200000000001</v>
      </c>
      <c r="X35" s="19" t="s">
        <v>54</v>
      </c>
      <c r="Y35" s="1">
        <f t="shared" si="6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27</v>
      </c>
      <c r="C36" s="1">
        <v>17.922999999999998</v>
      </c>
      <c r="D36" s="1">
        <v>65.171000000000006</v>
      </c>
      <c r="E36" s="1">
        <v>4.2240000000000002</v>
      </c>
      <c r="F36" s="1">
        <v>64.105000000000004</v>
      </c>
      <c r="G36" s="7">
        <v>1</v>
      </c>
      <c r="H36" s="1">
        <v>45</v>
      </c>
      <c r="I36" s="1" t="s">
        <v>28</v>
      </c>
      <c r="J36" s="1"/>
      <c r="K36" s="1">
        <v>5</v>
      </c>
      <c r="L36" s="1">
        <f t="shared" si="1"/>
        <v>-0.7759999999999998</v>
      </c>
      <c r="M36" s="1"/>
      <c r="N36" s="1"/>
      <c r="O36" s="1">
        <v>0</v>
      </c>
      <c r="P36" s="1">
        <f t="shared" si="2"/>
        <v>0.8448</v>
      </c>
      <c r="Q36" s="5"/>
      <c r="R36" s="5">
        <f t="shared" si="7"/>
        <v>0</v>
      </c>
      <c r="S36" s="20"/>
      <c r="T36" s="1">
        <f t="shared" si="5"/>
        <v>75.881865530303031</v>
      </c>
      <c r="U36" s="1">
        <f t="shared" si="3"/>
        <v>75.881865530303031</v>
      </c>
      <c r="V36" s="1">
        <v>0.83539999999999992</v>
      </c>
      <c r="W36" s="1">
        <v>0</v>
      </c>
      <c r="X36" s="19" t="s">
        <v>54</v>
      </c>
      <c r="Y36" s="1">
        <f t="shared" si="6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27</v>
      </c>
      <c r="C37" s="1">
        <v>1.0049999999999999</v>
      </c>
      <c r="D37" s="1">
        <v>120.158</v>
      </c>
      <c r="E37" s="1">
        <v>1.026</v>
      </c>
      <c r="F37" s="1">
        <v>111.748</v>
      </c>
      <c r="G37" s="7">
        <v>1</v>
      </c>
      <c r="H37" s="1">
        <v>45</v>
      </c>
      <c r="I37" s="1" t="s">
        <v>28</v>
      </c>
      <c r="J37" s="1"/>
      <c r="K37" s="1">
        <v>33</v>
      </c>
      <c r="L37" s="1">
        <f t="shared" si="1"/>
        <v>-31.974</v>
      </c>
      <c r="M37" s="1"/>
      <c r="N37" s="1"/>
      <c r="O37" s="1">
        <v>0</v>
      </c>
      <c r="P37" s="1">
        <f t="shared" si="2"/>
        <v>0.20519999999999999</v>
      </c>
      <c r="Q37" s="5"/>
      <c r="R37" s="5">
        <f t="shared" si="7"/>
        <v>0</v>
      </c>
      <c r="S37" s="20"/>
      <c r="T37" s="1">
        <f t="shared" si="5"/>
        <v>544.58089668615992</v>
      </c>
      <c r="U37" s="1">
        <f t="shared" si="3"/>
        <v>544.58089668615992</v>
      </c>
      <c r="V37" s="1">
        <v>1.4379999999999999</v>
      </c>
      <c r="W37" s="1">
        <v>4.5678000000000001</v>
      </c>
      <c r="X37" s="18" t="s">
        <v>31</v>
      </c>
      <c r="Y37" s="1">
        <f t="shared" si="6"/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27</v>
      </c>
      <c r="C38" s="1">
        <v>5.5E-2</v>
      </c>
      <c r="D38" s="1">
        <v>75.531999999999996</v>
      </c>
      <c r="E38" s="1">
        <v>5.351</v>
      </c>
      <c r="F38" s="1">
        <v>65.971000000000004</v>
      </c>
      <c r="G38" s="7">
        <v>1</v>
      </c>
      <c r="H38" s="1">
        <v>45</v>
      </c>
      <c r="I38" s="1" t="s">
        <v>28</v>
      </c>
      <c r="J38" s="1"/>
      <c r="K38" s="1">
        <v>9</v>
      </c>
      <c r="L38" s="1">
        <f t="shared" ref="L38:L69" si="8">E38-K38</f>
        <v>-3.649</v>
      </c>
      <c r="M38" s="1"/>
      <c r="N38" s="1"/>
      <c r="O38" s="1">
        <v>0</v>
      </c>
      <c r="P38" s="1">
        <f t="shared" ref="P38:P69" si="9">E38/5</f>
        <v>1.0702</v>
      </c>
      <c r="Q38" s="5"/>
      <c r="R38" s="5">
        <f t="shared" si="7"/>
        <v>0</v>
      </c>
      <c r="S38" s="20"/>
      <c r="T38" s="1">
        <f t="shared" si="5"/>
        <v>61.643618015324236</v>
      </c>
      <c r="U38" s="1">
        <f t="shared" ref="U38:U69" si="10">(F38+O38)/P38</f>
        <v>61.643618015324236</v>
      </c>
      <c r="V38" s="1">
        <v>1.0384</v>
      </c>
      <c r="W38" s="1">
        <v>0.83240000000000003</v>
      </c>
      <c r="X38" s="1"/>
      <c r="Y38" s="1">
        <f t="shared" si="6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30</v>
      </c>
      <c r="C39" s="1">
        <v>40</v>
      </c>
      <c r="D39" s="1">
        <v>292</v>
      </c>
      <c r="E39" s="1">
        <v>133</v>
      </c>
      <c r="F39" s="1">
        <v>148</v>
      </c>
      <c r="G39" s="7">
        <v>0.3</v>
      </c>
      <c r="H39" s="1">
        <v>45</v>
      </c>
      <c r="I39" s="1" t="s">
        <v>28</v>
      </c>
      <c r="J39" s="1"/>
      <c r="K39" s="1">
        <v>153</v>
      </c>
      <c r="L39" s="1">
        <f t="shared" si="8"/>
        <v>-20</v>
      </c>
      <c r="M39" s="1"/>
      <c r="N39" s="1"/>
      <c r="O39" s="1">
        <v>7</v>
      </c>
      <c r="P39" s="1">
        <f t="shared" si="9"/>
        <v>26.6</v>
      </c>
      <c r="Q39" s="5">
        <f t="shared" ref="Q39" si="11">15*P39-O39-F39</f>
        <v>244</v>
      </c>
      <c r="R39" s="5">
        <f t="shared" si="7"/>
        <v>244</v>
      </c>
      <c r="S39" s="20"/>
      <c r="T39" s="1">
        <f t="shared" si="5"/>
        <v>15</v>
      </c>
      <c r="U39" s="1">
        <f t="shared" si="10"/>
        <v>5.8270676691729317</v>
      </c>
      <c r="V39" s="1">
        <v>12</v>
      </c>
      <c r="W39" s="1">
        <v>10.8</v>
      </c>
      <c r="X39" s="1"/>
      <c r="Y39" s="1">
        <f t="shared" si="6"/>
        <v>73.2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70</v>
      </c>
      <c r="B40" s="1" t="s">
        <v>27</v>
      </c>
      <c r="C40" s="1"/>
      <c r="D40" s="1">
        <v>108.703</v>
      </c>
      <c r="E40" s="1">
        <v>4.46</v>
      </c>
      <c r="F40" s="1">
        <v>63.287999999999997</v>
      </c>
      <c r="G40" s="7">
        <v>1</v>
      </c>
      <c r="H40" s="1"/>
      <c r="I40" s="1" t="s">
        <v>28</v>
      </c>
      <c r="J40" s="1"/>
      <c r="K40" s="1">
        <v>4.5</v>
      </c>
      <c r="L40" s="1">
        <f t="shared" si="8"/>
        <v>-4.0000000000000036E-2</v>
      </c>
      <c r="M40" s="1"/>
      <c r="N40" s="1"/>
      <c r="O40" s="1">
        <v>0</v>
      </c>
      <c r="P40" s="1">
        <f t="shared" si="9"/>
        <v>0.89200000000000002</v>
      </c>
      <c r="Q40" s="5"/>
      <c r="R40" s="5">
        <f t="shared" si="7"/>
        <v>0</v>
      </c>
      <c r="S40" s="20"/>
      <c r="T40" s="1">
        <f t="shared" si="5"/>
        <v>70.9506726457399</v>
      </c>
      <c r="U40" s="1">
        <f t="shared" si="10"/>
        <v>70.9506726457399</v>
      </c>
      <c r="V40" s="1">
        <v>0</v>
      </c>
      <c r="W40" s="1">
        <v>0</v>
      </c>
      <c r="X40" s="1"/>
      <c r="Y40" s="1">
        <f t="shared" si="6"/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71</v>
      </c>
      <c r="B41" s="1" t="s">
        <v>27</v>
      </c>
      <c r="C41" s="1">
        <v>-12.545</v>
      </c>
      <c r="D41" s="1">
        <v>357.87200000000001</v>
      </c>
      <c r="E41" s="1">
        <v>3.0529999999999999</v>
      </c>
      <c r="F41" s="1">
        <v>224.85300000000001</v>
      </c>
      <c r="G41" s="7">
        <v>1</v>
      </c>
      <c r="H41" s="1">
        <v>45</v>
      </c>
      <c r="I41" s="1" t="s">
        <v>28</v>
      </c>
      <c r="J41" s="1"/>
      <c r="K41" s="1">
        <v>3</v>
      </c>
      <c r="L41" s="1">
        <f t="shared" si="8"/>
        <v>5.2999999999999936E-2</v>
      </c>
      <c r="M41" s="1"/>
      <c r="N41" s="1"/>
      <c r="O41" s="1">
        <v>0</v>
      </c>
      <c r="P41" s="1">
        <f t="shared" si="9"/>
        <v>0.61060000000000003</v>
      </c>
      <c r="Q41" s="5"/>
      <c r="R41" s="5">
        <f t="shared" si="7"/>
        <v>0</v>
      </c>
      <c r="S41" s="20"/>
      <c r="T41" s="1">
        <f t="shared" si="5"/>
        <v>368.24926301998033</v>
      </c>
      <c r="U41" s="1">
        <f t="shared" si="10"/>
        <v>368.24926301998033</v>
      </c>
      <c r="V41" s="1">
        <v>0</v>
      </c>
      <c r="W41" s="1">
        <v>2.5089999999999999</v>
      </c>
      <c r="X41" s="18" t="s">
        <v>31</v>
      </c>
      <c r="Y41" s="1">
        <f t="shared" si="6"/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72</v>
      </c>
      <c r="B42" s="1" t="s">
        <v>30</v>
      </c>
      <c r="C42" s="1">
        <v>26</v>
      </c>
      <c r="D42" s="1">
        <v>683</v>
      </c>
      <c r="E42" s="1">
        <v>281</v>
      </c>
      <c r="F42" s="1">
        <v>378</v>
      </c>
      <c r="G42" s="7">
        <v>0.35</v>
      </c>
      <c r="H42" s="1">
        <v>45</v>
      </c>
      <c r="I42" s="1" t="s">
        <v>28</v>
      </c>
      <c r="J42" s="1"/>
      <c r="K42" s="1">
        <v>362</v>
      </c>
      <c r="L42" s="1">
        <f t="shared" si="8"/>
        <v>-81</v>
      </c>
      <c r="M42" s="1"/>
      <c r="N42" s="1"/>
      <c r="O42" s="1">
        <v>552</v>
      </c>
      <c r="P42" s="1">
        <f t="shared" si="9"/>
        <v>56.2</v>
      </c>
      <c r="Q42" s="5"/>
      <c r="R42" s="5">
        <f t="shared" si="7"/>
        <v>0</v>
      </c>
      <c r="S42" s="20"/>
      <c r="T42" s="1">
        <f t="shared" si="5"/>
        <v>16.548042704626333</v>
      </c>
      <c r="U42" s="1">
        <f t="shared" si="10"/>
        <v>16.548042704626333</v>
      </c>
      <c r="V42" s="1">
        <v>77.2</v>
      </c>
      <c r="W42" s="1">
        <v>61.4</v>
      </c>
      <c r="X42" s="1"/>
      <c r="Y42" s="1">
        <f t="shared" si="6"/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0" t="s">
        <v>73</v>
      </c>
      <c r="B43" s="10" t="s">
        <v>30</v>
      </c>
      <c r="C43" s="10"/>
      <c r="D43" s="10">
        <v>65</v>
      </c>
      <c r="E43" s="14">
        <v>47</v>
      </c>
      <c r="F43" s="14">
        <v>-1</v>
      </c>
      <c r="G43" s="11">
        <v>0</v>
      </c>
      <c r="H43" s="10">
        <v>45</v>
      </c>
      <c r="I43" s="13" t="s">
        <v>62</v>
      </c>
      <c r="J43" s="10" t="s">
        <v>74</v>
      </c>
      <c r="K43" s="10">
        <v>182</v>
      </c>
      <c r="L43" s="10">
        <f t="shared" si="8"/>
        <v>-135</v>
      </c>
      <c r="M43" s="10"/>
      <c r="N43" s="10"/>
      <c r="O43" s="10">
        <v>0</v>
      </c>
      <c r="P43" s="10">
        <f t="shared" si="9"/>
        <v>9.4</v>
      </c>
      <c r="Q43" s="12"/>
      <c r="R43" s="5">
        <f t="shared" si="7"/>
        <v>0</v>
      </c>
      <c r="S43" s="20"/>
      <c r="T43" s="1">
        <f t="shared" si="5"/>
        <v>-0.10638297872340426</v>
      </c>
      <c r="U43" s="10">
        <f t="shared" si="10"/>
        <v>-0.10638297872340426</v>
      </c>
      <c r="V43" s="10">
        <v>0</v>
      </c>
      <c r="W43" s="10">
        <v>0</v>
      </c>
      <c r="X43" s="10" t="s">
        <v>75</v>
      </c>
      <c r="Y43" s="1">
        <f t="shared" si="6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76</v>
      </c>
      <c r="B44" s="1" t="s">
        <v>30</v>
      </c>
      <c r="C44" s="1">
        <v>-23</v>
      </c>
      <c r="D44" s="1">
        <v>388</v>
      </c>
      <c r="E44" s="1">
        <v>92</v>
      </c>
      <c r="F44" s="1">
        <v>225</v>
      </c>
      <c r="G44" s="7">
        <v>0.41</v>
      </c>
      <c r="H44" s="1">
        <v>45</v>
      </c>
      <c r="I44" s="1" t="s">
        <v>28</v>
      </c>
      <c r="J44" s="1"/>
      <c r="K44" s="1">
        <v>96</v>
      </c>
      <c r="L44" s="1">
        <f t="shared" si="8"/>
        <v>-4</v>
      </c>
      <c r="M44" s="1"/>
      <c r="N44" s="1"/>
      <c r="O44" s="1">
        <v>0</v>
      </c>
      <c r="P44" s="1">
        <f t="shared" si="9"/>
        <v>18.399999999999999</v>
      </c>
      <c r="Q44" s="5">
        <f t="shared" ref="Q44:Q49" si="12">15*P44-O44-F44</f>
        <v>51</v>
      </c>
      <c r="R44" s="5">
        <f t="shared" si="7"/>
        <v>51</v>
      </c>
      <c r="S44" s="20"/>
      <c r="T44" s="1">
        <f t="shared" si="5"/>
        <v>15.000000000000002</v>
      </c>
      <c r="U44" s="1">
        <f t="shared" si="10"/>
        <v>12.228260869565219</v>
      </c>
      <c r="V44" s="1">
        <v>15.8</v>
      </c>
      <c r="W44" s="1">
        <v>20.8</v>
      </c>
      <c r="X44" s="1"/>
      <c r="Y44" s="1">
        <f t="shared" si="6"/>
        <v>20.91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77</v>
      </c>
      <c r="B45" s="1" t="s">
        <v>30</v>
      </c>
      <c r="C45" s="1"/>
      <c r="D45" s="1">
        <v>42</v>
      </c>
      <c r="E45" s="1">
        <v>27</v>
      </c>
      <c r="F45" s="1">
        <v>12</v>
      </c>
      <c r="G45" s="7">
        <v>0.36</v>
      </c>
      <c r="H45" s="1">
        <v>45</v>
      </c>
      <c r="I45" s="1" t="s">
        <v>28</v>
      </c>
      <c r="J45" s="1"/>
      <c r="K45" s="1">
        <v>28</v>
      </c>
      <c r="L45" s="1">
        <f t="shared" si="8"/>
        <v>-1</v>
      </c>
      <c r="M45" s="1"/>
      <c r="N45" s="1"/>
      <c r="O45" s="1">
        <v>0</v>
      </c>
      <c r="P45" s="1">
        <f t="shared" si="9"/>
        <v>5.4</v>
      </c>
      <c r="Q45" s="5">
        <f t="shared" si="12"/>
        <v>69</v>
      </c>
      <c r="R45" s="5">
        <f t="shared" si="7"/>
        <v>69</v>
      </c>
      <c r="S45" s="20"/>
      <c r="T45" s="1">
        <f t="shared" si="5"/>
        <v>14.999999999999998</v>
      </c>
      <c r="U45" s="1">
        <f t="shared" si="10"/>
        <v>2.2222222222222219</v>
      </c>
      <c r="V45" s="1">
        <v>0.4</v>
      </c>
      <c r="W45" s="1">
        <v>3.2</v>
      </c>
      <c r="X45" s="1"/>
      <c r="Y45" s="1">
        <f t="shared" si="6"/>
        <v>24.84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78</v>
      </c>
      <c r="B46" s="1" t="s">
        <v>30</v>
      </c>
      <c r="C46" s="1">
        <v>1</v>
      </c>
      <c r="D46" s="1">
        <v>82</v>
      </c>
      <c r="E46" s="1">
        <v>24</v>
      </c>
      <c r="F46" s="1">
        <v>54</v>
      </c>
      <c r="G46" s="7">
        <v>0.33</v>
      </c>
      <c r="H46" s="1">
        <v>45</v>
      </c>
      <c r="I46" s="1" t="s">
        <v>28</v>
      </c>
      <c r="J46" s="1"/>
      <c r="K46" s="1">
        <v>34</v>
      </c>
      <c r="L46" s="1">
        <f t="shared" si="8"/>
        <v>-10</v>
      </c>
      <c r="M46" s="1"/>
      <c r="N46" s="1"/>
      <c r="O46" s="1">
        <v>0</v>
      </c>
      <c r="P46" s="1">
        <f t="shared" si="9"/>
        <v>4.8</v>
      </c>
      <c r="Q46" s="5">
        <f t="shared" si="12"/>
        <v>18</v>
      </c>
      <c r="R46" s="5">
        <f t="shared" si="7"/>
        <v>18</v>
      </c>
      <c r="S46" s="20"/>
      <c r="T46" s="1">
        <f t="shared" si="5"/>
        <v>15</v>
      </c>
      <c r="U46" s="1">
        <f t="shared" si="10"/>
        <v>11.25</v>
      </c>
      <c r="V46" s="1">
        <v>4.5999999999999996</v>
      </c>
      <c r="W46" s="1">
        <v>4.8</v>
      </c>
      <c r="X46" s="1"/>
      <c r="Y46" s="1">
        <f t="shared" si="6"/>
        <v>5.94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79</v>
      </c>
      <c r="B47" s="1" t="s">
        <v>30</v>
      </c>
      <c r="C47" s="1">
        <v>62</v>
      </c>
      <c r="D47" s="1">
        <v>72</v>
      </c>
      <c r="E47" s="1">
        <v>42</v>
      </c>
      <c r="F47" s="1">
        <v>69</v>
      </c>
      <c r="G47" s="7">
        <v>0.4</v>
      </c>
      <c r="H47" s="1">
        <v>60</v>
      </c>
      <c r="I47" s="1" t="s">
        <v>28</v>
      </c>
      <c r="J47" s="1"/>
      <c r="K47" s="1">
        <v>43</v>
      </c>
      <c r="L47" s="1">
        <f t="shared" si="8"/>
        <v>-1</v>
      </c>
      <c r="M47" s="1"/>
      <c r="N47" s="1"/>
      <c r="O47" s="1">
        <v>76</v>
      </c>
      <c r="P47" s="1">
        <f t="shared" si="9"/>
        <v>8.4</v>
      </c>
      <c r="Q47" s="5"/>
      <c r="R47" s="5">
        <f t="shared" si="7"/>
        <v>0</v>
      </c>
      <c r="S47" s="20"/>
      <c r="T47" s="1">
        <f t="shared" si="5"/>
        <v>17.261904761904763</v>
      </c>
      <c r="U47" s="1">
        <f t="shared" si="10"/>
        <v>17.261904761904763</v>
      </c>
      <c r="V47" s="1">
        <v>12.6</v>
      </c>
      <c r="W47" s="1">
        <v>5.4</v>
      </c>
      <c r="X47" s="1"/>
      <c r="Y47" s="1">
        <f t="shared" si="6"/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80</v>
      </c>
      <c r="B48" s="1" t="s">
        <v>30</v>
      </c>
      <c r="C48" s="1"/>
      <c r="D48" s="1">
        <v>16</v>
      </c>
      <c r="E48" s="1"/>
      <c r="F48" s="1">
        <v>16</v>
      </c>
      <c r="G48" s="7">
        <v>0.33</v>
      </c>
      <c r="H48" s="1">
        <v>45</v>
      </c>
      <c r="I48" s="1" t="s">
        <v>28</v>
      </c>
      <c r="J48" s="1"/>
      <c r="K48" s="1">
        <v>5</v>
      </c>
      <c r="L48" s="1">
        <f t="shared" si="8"/>
        <v>-5</v>
      </c>
      <c r="M48" s="1"/>
      <c r="N48" s="1"/>
      <c r="O48" s="1">
        <v>0</v>
      </c>
      <c r="P48" s="1">
        <f t="shared" si="9"/>
        <v>0</v>
      </c>
      <c r="Q48" s="5"/>
      <c r="R48" s="5">
        <f t="shared" si="7"/>
        <v>0</v>
      </c>
      <c r="S48" s="20"/>
      <c r="T48" s="1" t="e">
        <f t="shared" si="5"/>
        <v>#DIV/0!</v>
      </c>
      <c r="U48" s="1" t="e">
        <f t="shared" si="10"/>
        <v>#DIV/0!</v>
      </c>
      <c r="V48" s="1">
        <v>0</v>
      </c>
      <c r="W48" s="1">
        <v>0</v>
      </c>
      <c r="X48" s="1"/>
      <c r="Y48" s="1">
        <f t="shared" si="6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81</v>
      </c>
      <c r="B49" s="1" t="s">
        <v>27</v>
      </c>
      <c r="C49" s="1">
        <v>40.866999999999997</v>
      </c>
      <c r="D49" s="1">
        <v>8.0779999999999994</v>
      </c>
      <c r="E49" s="1">
        <v>46.884999999999998</v>
      </c>
      <c r="F49" s="1"/>
      <c r="G49" s="7">
        <v>1</v>
      </c>
      <c r="H49" s="1">
        <v>45</v>
      </c>
      <c r="I49" s="1" t="s">
        <v>28</v>
      </c>
      <c r="J49" s="1"/>
      <c r="K49" s="1">
        <v>62</v>
      </c>
      <c r="L49" s="1">
        <f t="shared" si="8"/>
        <v>-15.115000000000002</v>
      </c>
      <c r="M49" s="1"/>
      <c r="N49" s="1"/>
      <c r="O49" s="1">
        <v>44</v>
      </c>
      <c r="P49" s="1">
        <f t="shared" si="9"/>
        <v>9.3769999999999989</v>
      </c>
      <c r="Q49" s="5">
        <f t="shared" si="12"/>
        <v>96.654999999999973</v>
      </c>
      <c r="R49" s="5">
        <f t="shared" si="7"/>
        <v>97</v>
      </c>
      <c r="S49" s="20"/>
      <c r="T49" s="1">
        <f t="shared" si="5"/>
        <v>15.036792151007786</v>
      </c>
      <c r="U49" s="1">
        <f t="shared" si="10"/>
        <v>4.6923323024421464</v>
      </c>
      <c r="V49" s="1">
        <v>5.5220000000000002</v>
      </c>
      <c r="W49" s="1">
        <v>4.2398000000000007</v>
      </c>
      <c r="X49" s="1"/>
      <c r="Y49" s="1">
        <f t="shared" si="6"/>
        <v>97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82</v>
      </c>
      <c r="B50" s="1" t="s">
        <v>30</v>
      </c>
      <c r="C50" s="1">
        <v>-12</v>
      </c>
      <c r="D50" s="1">
        <v>285</v>
      </c>
      <c r="E50" s="1">
        <v>24</v>
      </c>
      <c r="F50" s="1">
        <v>246</v>
      </c>
      <c r="G50" s="7">
        <v>0.4</v>
      </c>
      <c r="H50" s="1">
        <v>45</v>
      </c>
      <c r="I50" s="1" t="s">
        <v>28</v>
      </c>
      <c r="J50" s="1"/>
      <c r="K50" s="1">
        <v>25</v>
      </c>
      <c r="L50" s="1">
        <f t="shared" si="8"/>
        <v>-1</v>
      </c>
      <c r="M50" s="1"/>
      <c r="N50" s="1"/>
      <c r="O50" s="1">
        <v>0</v>
      </c>
      <c r="P50" s="1">
        <f t="shared" si="9"/>
        <v>4.8</v>
      </c>
      <c r="Q50" s="5"/>
      <c r="R50" s="5">
        <f t="shared" si="7"/>
        <v>0</v>
      </c>
      <c r="S50" s="20"/>
      <c r="T50" s="1">
        <f t="shared" si="5"/>
        <v>51.25</v>
      </c>
      <c r="U50" s="1">
        <f t="shared" si="10"/>
        <v>51.25</v>
      </c>
      <c r="V50" s="1">
        <v>0</v>
      </c>
      <c r="W50" s="1">
        <v>2.4</v>
      </c>
      <c r="X50" s="1"/>
      <c r="Y50" s="1">
        <f t="shared" si="6"/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83</v>
      </c>
      <c r="B51" s="1" t="s">
        <v>27</v>
      </c>
      <c r="C51" s="1">
        <v>-6.11</v>
      </c>
      <c r="D51" s="1">
        <v>66.314999999999998</v>
      </c>
      <c r="E51" s="1">
        <v>9.0749999999999993</v>
      </c>
      <c r="F51" s="1">
        <v>43.634999999999998</v>
      </c>
      <c r="G51" s="7">
        <v>1</v>
      </c>
      <c r="H51" s="1">
        <v>60</v>
      </c>
      <c r="I51" s="1" t="s">
        <v>28</v>
      </c>
      <c r="J51" s="1"/>
      <c r="K51" s="1">
        <v>10.5</v>
      </c>
      <c r="L51" s="1">
        <f t="shared" si="8"/>
        <v>-1.4250000000000007</v>
      </c>
      <c r="M51" s="1"/>
      <c r="N51" s="1"/>
      <c r="O51" s="1">
        <v>0</v>
      </c>
      <c r="P51" s="1">
        <f t="shared" si="9"/>
        <v>1.8149999999999999</v>
      </c>
      <c r="Q51" s="5"/>
      <c r="R51" s="5">
        <f t="shared" si="7"/>
        <v>0</v>
      </c>
      <c r="S51" s="20"/>
      <c r="T51" s="1">
        <f t="shared" si="5"/>
        <v>24.041322314049587</v>
      </c>
      <c r="U51" s="1">
        <f t="shared" si="10"/>
        <v>24.041322314049587</v>
      </c>
      <c r="V51" s="1">
        <v>0</v>
      </c>
      <c r="W51" s="1">
        <v>1.222</v>
      </c>
      <c r="X51" s="1"/>
      <c r="Y51" s="1">
        <f t="shared" si="6"/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84</v>
      </c>
      <c r="B52" s="1" t="s">
        <v>27</v>
      </c>
      <c r="C52" s="1"/>
      <c r="D52" s="1">
        <v>116.97799999999999</v>
      </c>
      <c r="E52" s="1">
        <v>1.194</v>
      </c>
      <c r="F52" s="1">
        <v>113.592</v>
      </c>
      <c r="G52" s="7">
        <v>1</v>
      </c>
      <c r="H52" s="1">
        <v>45</v>
      </c>
      <c r="I52" s="1" t="s">
        <v>28</v>
      </c>
      <c r="J52" s="1"/>
      <c r="K52" s="1">
        <v>2</v>
      </c>
      <c r="L52" s="1">
        <f t="shared" si="8"/>
        <v>-0.80600000000000005</v>
      </c>
      <c r="M52" s="1"/>
      <c r="N52" s="1"/>
      <c r="O52" s="1">
        <v>0</v>
      </c>
      <c r="P52" s="1">
        <f t="shared" si="9"/>
        <v>0.23879999999999998</v>
      </c>
      <c r="Q52" s="5"/>
      <c r="R52" s="5">
        <f t="shared" si="7"/>
        <v>0</v>
      </c>
      <c r="S52" s="20"/>
      <c r="T52" s="1">
        <f t="shared" si="5"/>
        <v>475.678391959799</v>
      </c>
      <c r="U52" s="1">
        <f t="shared" si="10"/>
        <v>475.678391959799</v>
      </c>
      <c r="V52" s="1">
        <v>0</v>
      </c>
      <c r="W52" s="1">
        <v>0</v>
      </c>
      <c r="X52" s="18" t="s">
        <v>31</v>
      </c>
      <c r="Y52" s="1">
        <f t="shared" si="6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85</v>
      </c>
      <c r="B53" s="10" t="s">
        <v>30</v>
      </c>
      <c r="C53" s="10">
        <v>120</v>
      </c>
      <c r="D53" s="10"/>
      <c r="E53" s="10"/>
      <c r="F53" s="10">
        <v>111</v>
      </c>
      <c r="G53" s="11">
        <v>0</v>
      </c>
      <c r="H53" s="10"/>
      <c r="I53" s="10" t="s">
        <v>59</v>
      </c>
      <c r="J53" s="10"/>
      <c r="K53" s="10"/>
      <c r="L53" s="10">
        <f t="shared" si="8"/>
        <v>0</v>
      </c>
      <c r="M53" s="10"/>
      <c r="N53" s="10"/>
      <c r="O53" s="10">
        <v>0</v>
      </c>
      <c r="P53" s="10">
        <f t="shared" si="9"/>
        <v>0</v>
      </c>
      <c r="Q53" s="12"/>
      <c r="R53" s="5">
        <f t="shared" si="7"/>
        <v>0</v>
      </c>
      <c r="S53" s="20"/>
      <c r="T53" s="1" t="e">
        <f t="shared" si="5"/>
        <v>#DIV/0!</v>
      </c>
      <c r="U53" s="10" t="e">
        <f t="shared" si="10"/>
        <v>#DIV/0!</v>
      </c>
      <c r="V53" s="10">
        <v>0</v>
      </c>
      <c r="W53" s="10">
        <v>0</v>
      </c>
      <c r="X53" s="10"/>
      <c r="Y53" s="1">
        <f t="shared" si="6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86</v>
      </c>
      <c r="B54" s="1" t="s">
        <v>30</v>
      </c>
      <c r="C54" s="1">
        <v>22</v>
      </c>
      <c r="D54" s="1">
        <v>248</v>
      </c>
      <c r="E54" s="1">
        <v>32</v>
      </c>
      <c r="F54" s="1">
        <v>173</v>
      </c>
      <c r="G54" s="7">
        <v>0.25</v>
      </c>
      <c r="H54" s="1">
        <v>120</v>
      </c>
      <c r="I54" s="1" t="s">
        <v>28</v>
      </c>
      <c r="J54" s="1"/>
      <c r="K54" s="1">
        <v>34</v>
      </c>
      <c r="L54" s="1">
        <f t="shared" si="8"/>
        <v>-2</v>
      </c>
      <c r="M54" s="1"/>
      <c r="N54" s="1"/>
      <c r="O54" s="1">
        <v>0</v>
      </c>
      <c r="P54" s="1">
        <f t="shared" si="9"/>
        <v>6.4</v>
      </c>
      <c r="Q54" s="5"/>
      <c r="R54" s="5">
        <f t="shared" si="7"/>
        <v>0</v>
      </c>
      <c r="S54" s="20"/>
      <c r="T54" s="1">
        <f t="shared" si="5"/>
        <v>27.03125</v>
      </c>
      <c r="U54" s="1">
        <f t="shared" si="10"/>
        <v>27.03125</v>
      </c>
      <c r="V54" s="1">
        <v>8.6</v>
      </c>
      <c r="W54" s="1">
        <v>12.4</v>
      </c>
      <c r="X54" s="19" t="s">
        <v>54</v>
      </c>
      <c r="Y54" s="1">
        <f t="shared" si="6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87</v>
      </c>
      <c r="B55" s="1" t="s">
        <v>27</v>
      </c>
      <c r="C55" s="1">
        <v>5.194</v>
      </c>
      <c r="D55" s="1">
        <v>44.823</v>
      </c>
      <c r="E55" s="1">
        <v>1.048</v>
      </c>
      <c r="F55" s="1">
        <v>44.823</v>
      </c>
      <c r="G55" s="7">
        <v>1</v>
      </c>
      <c r="H55" s="1">
        <v>45</v>
      </c>
      <c r="I55" s="1" t="s">
        <v>28</v>
      </c>
      <c r="J55" s="1"/>
      <c r="K55" s="1">
        <v>1</v>
      </c>
      <c r="L55" s="1">
        <f t="shared" si="8"/>
        <v>4.8000000000000043E-2</v>
      </c>
      <c r="M55" s="1"/>
      <c r="N55" s="1"/>
      <c r="O55" s="1">
        <v>0</v>
      </c>
      <c r="P55" s="1">
        <f t="shared" si="9"/>
        <v>0.20960000000000001</v>
      </c>
      <c r="Q55" s="5"/>
      <c r="R55" s="5">
        <f t="shared" si="7"/>
        <v>0</v>
      </c>
      <c r="S55" s="20"/>
      <c r="T55" s="1">
        <f t="shared" si="5"/>
        <v>213.85019083969465</v>
      </c>
      <c r="U55" s="1">
        <f t="shared" si="10"/>
        <v>213.85019083969465</v>
      </c>
      <c r="V55" s="1">
        <v>0.20799999999999999</v>
      </c>
      <c r="W55" s="1">
        <v>0</v>
      </c>
      <c r="X55" s="19" t="s">
        <v>54</v>
      </c>
      <c r="Y55" s="1">
        <f t="shared" si="6"/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88</v>
      </c>
      <c r="B56" s="1" t="s">
        <v>30</v>
      </c>
      <c r="C56" s="1"/>
      <c r="D56" s="1">
        <v>96</v>
      </c>
      <c r="E56" s="1"/>
      <c r="F56" s="1">
        <v>96</v>
      </c>
      <c r="G56" s="7">
        <v>0.27</v>
      </c>
      <c r="H56" s="1"/>
      <c r="I56" s="1" t="s">
        <v>28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f t="shared" si="9"/>
        <v>0</v>
      </c>
      <c r="Q56" s="5"/>
      <c r="R56" s="5">
        <f t="shared" si="7"/>
        <v>0</v>
      </c>
      <c r="S56" s="20"/>
      <c r="T56" s="1" t="e">
        <f t="shared" si="5"/>
        <v>#DIV/0!</v>
      </c>
      <c r="U56" s="1" t="e">
        <f t="shared" si="10"/>
        <v>#DIV/0!</v>
      </c>
      <c r="V56" s="1">
        <v>0</v>
      </c>
      <c r="W56" s="1">
        <v>0</v>
      </c>
      <c r="X56" s="1"/>
      <c r="Y56" s="1">
        <f t="shared" si="6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89</v>
      </c>
      <c r="B57" s="1" t="s">
        <v>30</v>
      </c>
      <c r="C57" s="1">
        <v>57</v>
      </c>
      <c r="D57" s="1">
        <v>93</v>
      </c>
      <c r="E57" s="1">
        <v>34</v>
      </c>
      <c r="F57" s="1">
        <v>74</v>
      </c>
      <c r="G57" s="7">
        <v>0.3</v>
      </c>
      <c r="H57" s="1">
        <v>60</v>
      </c>
      <c r="I57" s="1" t="s">
        <v>28</v>
      </c>
      <c r="J57" s="1"/>
      <c r="K57" s="1">
        <v>42</v>
      </c>
      <c r="L57" s="1">
        <f t="shared" si="8"/>
        <v>-8</v>
      </c>
      <c r="M57" s="1"/>
      <c r="N57" s="1"/>
      <c r="O57" s="1">
        <v>0</v>
      </c>
      <c r="P57" s="1">
        <f t="shared" si="9"/>
        <v>6.8</v>
      </c>
      <c r="Q57" s="5">
        <f>14*P57-O57-F57</f>
        <v>21.200000000000003</v>
      </c>
      <c r="R57" s="5">
        <f t="shared" si="7"/>
        <v>21</v>
      </c>
      <c r="S57" s="20"/>
      <c r="T57" s="1">
        <f t="shared" si="5"/>
        <v>13.970588235294118</v>
      </c>
      <c r="U57" s="1">
        <f t="shared" si="10"/>
        <v>10.882352941176471</v>
      </c>
      <c r="V57" s="1">
        <v>2.6</v>
      </c>
      <c r="W57" s="1">
        <v>2</v>
      </c>
      <c r="X57" s="1"/>
      <c r="Y57" s="1">
        <f t="shared" si="6"/>
        <v>6.3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90</v>
      </c>
      <c r="B58" s="1" t="s">
        <v>30</v>
      </c>
      <c r="C58" s="1">
        <v>-140</v>
      </c>
      <c r="D58" s="1">
        <v>1084</v>
      </c>
      <c r="E58" s="1">
        <v>4</v>
      </c>
      <c r="F58" s="1">
        <v>907</v>
      </c>
      <c r="G58" s="7">
        <v>0.41</v>
      </c>
      <c r="H58" s="1">
        <v>50</v>
      </c>
      <c r="I58" s="1" t="s">
        <v>28</v>
      </c>
      <c r="J58" s="1"/>
      <c r="K58" s="1">
        <v>623</v>
      </c>
      <c r="L58" s="1">
        <f t="shared" si="8"/>
        <v>-619</v>
      </c>
      <c r="M58" s="1"/>
      <c r="N58" s="1"/>
      <c r="O58" s="1">
        <v>0</v>
      </c>
      <c r="P58" s="1">
        <f t="shared" si="9"/>
        <v>0.8</v>
      </c>
      <c r="Q58" s="5">
        <v>500</v>
      </c>
      <c r="R58" s="5">
        <f t="shared" si="7"/>
        <v>500</v>
      </c>
      <c r="S58" s="20"/>
      <c r="T58" s="1">
        <f t="shared" si="5"/>
        <v>1758.75</v>
      </c>
      <c r="U58" s="1">
        <f t="shared" si="10"/>
        <v>1133.75</v>
      </c>
      <c r="V58" s="1">
        <v>19.399999999999999</v>
      </c>
      <c r="W58" s="1">
        <v>92.4</v>
      </c>
      <c r="X58" s="1"/>
      <c r="Y58" s="1">
        <f t="shared" si="6"/>
        <v>205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91</v>
      </c>
      <c r="B59" s="1" t="s">
        <v>27</v>
      </c>
      <c r="C59" s="1">
        <v>93.260999999999996</v>
      </c>
      <c r="D59" s="1">
        <v>56.091000000000001</v>
      </c>
      <c r="E59" s="1">
        <v>46.290999999999997</v>
      </c>
      <c r="F59" s="1">
        <v>95.992999999999995</v>
      </c>
      <c r="G59" s="7">
        <v>1</v>
      </c>
      <c r="H59" s="1">
        <v>50</v>
      </c>
      <c r="I59" s="1" t="s">
        <v>28</v>
      </c>
      <c r="J59" s="1"/>
      <c r="K59" s="1">
        <v>46.5</v>
      </c>
      <c r="L59" s="1">
        <f t="shared" si="8"/>
        <v>-0.20900000000000318</v>
      </c>
      <c r="M59" s="1"/>
      <c r="N59" s="1"/>
      <c r="O59" s="1">
        <v>0</v>
      </c>
      <c r="P59" s="1">
        <f t="shared" si="9"/>
        <v>9.2581999999999987</v>
      </c>
      <c r="Q59" s="5">
        <f t="shared" ref="Q59:Q65" si="13">15*P59-O59-F59</f>
        <v>42.879999999999995</v>
      </c>
      <c r="R59" s="5">
        <f t="shared" si="7"/>
        <v>43</v>
      </c>
      <c r="S59" s="20"/>
      <c r="T59" s="1">
        <f t="shared" si="5"/>
        <v>15.012961482793633</v>
      </c>
      <c r="U59" s="1">
        <f t="shared" si="10"/>
        <v>10.368430148408979</v>
      </c>
      <c r="V59" s="1">
        <v>8.0629999999999988</v>
      </c>
      <c r="W59" s="1">
        <v>10.9092</v>
      </c>
      <c r="X59" s="1"/>
      <c r="Y59" s="1">
        <f t="shared" si="6"/>
        <v>43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92</v>
      </c>
      <c r="B60" s="1" t="s">
        <v>30</v>
      </c>
      <c r="C60" s="1">
        <v>-2</v>
      </c>
      <c r="D60" s="1">
        <v>251</v>
      </c>
      <c r="E60" s="1">
        <v>135</v>
      </c>
      <c r="F60" s="1">
        <v>71</v>
      </c>
      <c r="G60" s="7">
        <v>0.35</v>
      </c>
      <c r="H60" s="1">
        <v>50</v>
      </c>
      <c r="I60" s="1" t="s">
        <v>28</v>
      </c>
      <c r="J60" s="1"/>
      <c r="K60" s="1">
        <v>148</v>
      </c>
      <c r="L60" s="1">
        <f t="shared" si="8"/>
        <v>-13</v>
      </c>
      <c r="M60" s="1"/>
      <c r="N60" s="1"/>
      <c r="O60" s="1">
        <v>250</v>
      </c>
      <c r="P60" s="1">
        <f t="shared" si="9"/>
        <v>27</v>
      </c>
      <c r="Q60" s="5">
        <f t="shared" si="13"/>
        <v>84</v>
      </c>
      <c r="R60" s="5">
        <f t="shared" si="7"/>
        <v>84</v>
      </c>
      <c r="S60" s="20"/>
      <c r="T60" s="1">
        <f t="shared" si="5"/>
        <v>15</v>
      </c>
      <c r="U60" s="1">
        <f t="shared" si="10"/>
        <v>11.888888888888889</v>
      </c>
      <c r="V60" s="1">
        <v>24</v>
      </c>
      <c r="W60" s="1">
        <v>15.8</v>
      </c>
      <c r="X60" s="1"/>
      <c r="Y60" s="1">
        <f t="shared" si="6"/>
        <v>29.4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93</v>
      </c>
      <c r="B61" s="1" t="s">
        <v>27</v>
      </c>
      <c r="C61" s="1"/>
      <c r="D61" s="1">
        <v>6.2690000000000001</v>
      </c>
      <c r="E61" s="1"/>
      <c r="F61" s="1">
        <v>6.2690000000000001</v>
      </c>
      <c r="G61" s="7">
        <v>1</v>
      </c>
      <c r="H61" s="1">
        <v>50</v>
      </c>
      <c r="I61" s="1" t="s">
        <v>28</v>
      </c>
      <c r="J61" s="1"/>
      <c r="K61" s="1">
        <v>1.5</v>
      </c>
      <c r="L61" s="1">
        <f t="shared" si="8"/>
        <v>-1.5</v>
      </c>
      <c r="M61" s="1"/>
      <c r="N61" s="1"/>
      <c r="O61" s="1">
        <v>0</v>
      </c>
      <c r="P61" s="1">
        <f t="shared" si="9"/>
        <v>0</v>
      </c>
      <c r="Q61" s="5"/>
      <c r="R61" s="5">
        <f t="shared" si="7"/>
        <v>0</v>
      </c>
      <c r="S61" s="20"/>
      <c r="T61" s="1" t="e">
        <f t="shared" si="5"/>
        <v>#DIV/0!</v>
      </c>
      <c r="U61" s="1" t="e">
        <f t="shared" si="10"/>
        <v>#DIV/0!</v>
      </c>
      <c r="V61" s="1">
        <v>0</v>
      </c>
      <c r="W61" s="1">
        <v>0</v>
      </c>
      <c r="X61" s="1"/>
      <c r="Y61" s="1">
        <f t="shared" si="6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94</v>
      </c>
      <c r="B62" s="1" t="s">
        <v>30</v>
      </c>
      <c r="C62" s="1">
        <v>194</v>
      </c>
      <c r="D62" s="1">
        <v>556</v>
      </c>
      <c r="E62" s="1">
        <v>250</v>
      </c>
      <c r="F62" s="1">
        <v>402</v>
      </c>
      <c r="G62" s="7">
        <v>0.41</v>
      </c>
      <c r="H62" s="1">
        <v>50</v>
      </c>
      <c r="I62" s="1" t="s">
        <v>28</v>
      </c>
      <c r="J62" s="1"/>
      <c r="K62" s="1">
        <v>260</v>
      </c>
      <c r="L62" s="1">
        <f t="shared" si="8"/>
        <v>-10</v>
      </c>
      <c r="M62" s="1"/>
      <c r="N62" s="1"/>
      <c r="O62" s="1">
        <v>600</v>
      </c>
      <c r="P62" s="1">
        <f t="shared" si="9"/>
        <v>50</v>
      </c>
      <c r="Q62" s="5"/>
      <c r="R62" s="5">
        <f t="shared" si="7"/>
        <v>0</v>
      </c>
      <c r="S62" s="20"/>
      <c r="T62" s="1">
        <f t="shared" si="5"/>
        <v>20.04</v>
      </c>
      <c r="U62" s="1">
        <f t="shared" si="10"/>
        <v>20.04</v>
      </c>
      <c r="V62" s="1">
        <v>69.400000000000006</v>
      </c>
      <c r="W62" s="1">
        <v>57.8</v>
      </c>
      <c r="X62" s="18" t="s">
        <v>31</v>
      </c>
      <c r="Y62" s="1">
        <f t="shared" si="6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95</v>
      </c>
      <c r="B63" s="1" t="s">
        <v>27</v>
      </c>
      <c r="C63" s="1">
        <v>4.7210000000000001</v>
      </c>
      <c r="D63" s="1">
        <v>9.3279999999999994</v>
      </c>
      <c r="E63" s="1">
        <v>7.8150000000000004</v>
      </c>
      <c r="F63" s="1">
        <v>1.542</v>
      </c>
      <c r="G63" s="7">
        <v>1</v>
      </c>
      <c r="H63" s="1">
        <v>50</v>
      </c>
      <c r="I63" s="1" t="s">
        <v>28</v>
      </c>
      <c r="J63" s="1"/>
      <c r="K63" s="1">
        <v>7.5</v>
      </c>
      <c r="L63" s="1">
        <f t="shared" si="8"/>
        <v>0.31500000000000039</v>
      </c>
      <c r="M63" s="1"/>
      <c r="N63" s="1"/>
      <c r="O63" s="1">
        <v>0</v>
      </c>
      <c r="P63" s="1">
        <f t="shared" si="9"/>
        <v>1.5630000000000002</v>
      </c>
      <c r="Q63" s="5">
        <f>11*P63-O63-F63</f>
        <v>15.651000000000002</v>
      </c>
      <c r="R63" s="5">
        <f t="shared" si="7"/>
        <v>16</v>
      </c>
      <c r="S63" s="20"/>
      <c r="T63" s="1">
        <f t="shared" si="5"/>
        <v>11.223288547664747</v>
      </c>
      <c r="U63" s="1">
        <f t="shared" si="10"/>
        <v>0.98656429942418422</v>
      </c>
      <c r="V63" s="1">
        <v>0</v>
      </c>
      <c r="W63" s="1">
        <v>0.31519999999999998</v>
      </c>
      <c r="X63" s="1"/>
      <c r="Y63" s="1">
        <f t="shared" si="6"/>
        <v>16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96</v>
      </c>
      <c r="B64" s="1" t="s">
        <v>30</v>
      </c>
      <c r="C64" s="1">
        <v>-22</v>
      </c>
      <c r="D64" s="1">
        <v>367</v>
      </c>
      <c r="E64" s="1">
        <v>60</v>
      </c>
      <c r="F64" s="1">
        <v>271</v>
      </c>
      <c r="G64" s="7">
        <v>0.3</v>
      </c>
      <c r="H64" s="1">
        <v>50</v>
      </c>
      <c r="I64" s="1" t="s">
        <v>28</v>
      </c>
      <c r="J64" s="1"/>
      <c r="K64" s="1">
        <v>70</v>
      </c>
      <c r="L64" s="1">
        <f t="shared" si="8"/>
        <v>-10</v>
      </c>
      <c r="M64" s="1"/>
      <c r="N64" s="1"/>
      <c r="O64" s="1">
        <v>0</v>
      </c>
      <c r="P64" s="1">
        <f t="shared" si="9"/>
        <v>12</v>
      </c>
      <c r="Q64" s="5"/>
      <c r="R64" s="5">
        <f t="shared" si="7"/>
        <v>0</v>
      </c>
      <c r="S64" s="20"/>
      <c r="T64" s="1">
        <f t="shared" si="5"/>
        <v>22.583333333333332</v>
      </c>
      <c r="U64" s="1">
        <f t="shared" si="10"/>
        <v>22.583333333333332</v>
      </c>
      <c r="V64" s="1">
        <v>1.6</v>
      </c>
      <c r="W64" s="1">
        <v>15.2</v>
      </c>
      <c r="X64" s="18" t="s">
        <v>31</v>
      </c>
      <c r="Y64" s="1">
        <f t="shared" si="6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97</v>
      </c>
      <c r="B65" s="1" t="s">
        <v>30</v>
      </c>
      <c r="C65" s="1">
        <v>16</v>
      </c>
      <c r="D65" s="1">
        <v>149</v>
      </c>
      <c r="E65" s="1">
        <v>63</v>
      </c>
      <c r="F65" s="1">
        <v>94</v>
      </c>
      <c r="G65" s="7">
        <v>0.18</v>
      </c>
      <c r="H65" s="1">
        <v>50</v>
      </c>
      <c r="I65" s="1" t="s">
        <v>28</v>
      </c>
      <c r="J65" s="1"/>
      <c r="K65" s="1">
        <v>92</v>
      </c>
      <c r="L65" s="1">
        <f t="shared" si="8"/>
        <v>-29</v>
      </c>
      <c r="M65" s="1"/>
      <c r="N65" s="1"/>
      <c r="O65" s="1">
        <v>0</v>
      </c>
      <c r="P65" s="1">
        <f t="shared" si="9"/>
        <v>12.6</v>
      </c>
      <c r="Q65" s="5">
        <f t="shared" si="13"/>
        <v>95</v>
      </c>
      <c r="R65" s="5">
        <f t="shared" si="7"/>
        <v>95</v>
      </c>
      <c r="S65" s="20"/>
      <c r="T65" s="1">
        <f t="shared" si="5"/>
        <v>15</v>
      </c>
      <c r="U65" s="1">
        <f t="shared" si="10"/>
        <v>7.4603174603174605</v>
      </c>
      <c r="V65" s="1">
        <v>4.4000000000000004</v>
      </c>
      <c r="W65" s="1">
        <v>11.4</v>
      </c>
      <c r="X65" s="1"/>
      <c r="Y65" s="1">
        <f t="shared" si="6"/>
        <v>17.099999999999998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98</v>
      </c>
      <c r="B66" s="1" t="s">
        <v>30</v>
      </c>
      <c r="C66" s="1"/>
      <c r="D66" s="1">
        <v>8</v>
      </c>
      <c r="E66" s="1"/>
      <c r="F66" s="1">
        <v>8</v>
      </c>
      <c r="G66" s="7">
        <v>0.22</v>
      </c>
      <c r="H66" s="1">
        <v>120</v>
      </c>
      <c r="I66" s="1" t="s">
        <v>28</v>
      </c>
      <c r="J66" s="1"/>
      <c r="K66" s="1"/>
      <c r="L66" s="1">
        <f t="shared" si="8"/>
        <v>0</v>
      </c>
      <c r="M66" s="1"/>
      <c r="N66" s="1"/>
      <c r="O66" s="1">
        <v>0</v>
      </c>
      <c r="P66" s="1">
        <f t="shared" si="9"/>
        <v>0</v>
      </c>
      <c r="Q66" s="5"/>
      <c r="R66" s="5">
        <f t="shared" si="7"/>
        <v>0</v>
      </c>
      <c r="S66" s="20"/>
      <c r="T66" s="1" t="e">
        <f t="shared" si="5"/>
        <v>#DIV/0!</v>
      </c>
      <c r="U66" s="1" t="e">
        <f t="shared" si="10"/>
        <v>#DIV/0!</v>
      </c>
      <c r="V66" s="1">
        <v>0</v>
      </c>
      <c r="W66" s="1">
        <v>0</v>
      </c>
      <c r="X66" s="1"/>
      <c r="Y66" s="1">
        <f t="shared" si="6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99</v>
      </c>
      <c r="B67" s="10" t="s">
        <v>27</v>
      </c>
      <c r="C67" s="10"/>
      <c r="D67" s="10"/>
      <c r="E67" s="10"/>
      <c r="F67" s="10"/>
      <c r="G67" s="11">
        <v>0</v>
      </c>
      <c r="H67" s="10"/>
      <c r="I67" s="10" t="s">
        <v>28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2"/>
      <c r="R67" s="5">
        <f t="shared" si="7"/>
        <v>0</v>
      </c>
      <c r="S67" s="20"/>
      <c r="T67" s="1" t="e">
        <f t="shared" si="5"/>
        <v>#DIV/0!</v>
      </c>
      <c r="U67" s="10" t="e">
        <f t="shared" si="10"/>
        <v>#DIV/0!</v>
      </c>
      <c r="V67" s="10">
        <v>0</v>
      </c>
      <c r="W67" s="10">
        <v>0</v>
      </c>
      <c r="X67" s="10" t="s">
        <v>100</v>
      </c>
      <c r="Y67" s="1">
        <f t="shared" si="6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101</v>
      </c>
      <c r="B68" s="1" t="s">
        <v>30</v>
      </c>
      <c r="C68" s="1">
        <v>68</v>
      </c>
      <c r="D68" s="1">
        <v>618</v>
      </c>
      <c r="E68" s="1">
        <v>97</v>
      </c>
      <c r="F68" s="1">
        <v>531</v>
      </c>
      <c r="G68" s="7">
        <v>0.35</v>
      </c>
      <c r="H68" s="1">
        <v>50</v>
      </c>
      <c r="I68" s="1" t="s">
        <v>28</v>
      </c>
      <c r="J68" s="1"/>
      <c r="K68" s="1">
        <v>332</v>
      </c>
      <c r="L68" s="1">
        <f t="shared" si="8"/>
        <v>-235</v>
      </c>
      <c r="M68" s="1"/>
      <c r="N68" s="1"/>
      <c r="O68" s="1">
        <v>400</v>
      </c>
      <c r="P68" s="1">
        <f t="shared" si="9"/>
        <v>19.399999999999999</v>
      </c>
      <c r="Q68" s="5"/>
      <c r="R68" s="5">
        <f t="shared" si="7"/>
        <v>0</v>
      </c>
      <c r="S68" s="20"/>
      <c r="T68" s="1">
        <f t="shared" si="5"/>
        <v>47.989690721649488</v>
      </c>
      <c r="U68" s="1">
        <f t="shared" si="10"/>
        <v>47.989690721649488</v>
      </c>
      <c r="V68" s="1">
        <v>53</v>
      </c>
      <c r="W68" s="1">
        <v>58.2</v>
      </c>
      <c r="X68" s="1"/>
      <c r="Y68" s="1">
        <f t="shared" si="6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0" t="s">
        <v>102</v>
      </c>
      <c r="B69" s="10" t="s">
        <v>30</v>
      </c>
      <c r="C69" s="10"/>
      <c r="D69" s="10"/>
      <c r="E69" s="10"/>
      <c r="F69" s="10"/>
      <c r="G69" s="11">
        <v>0</v>
      </c>
      <c r="H69" s="10"/>
      <c r="I69" s="10" t="s">
        <v>28</v>
      </c>
      <c r="J69" s="10"/>
      <c r="K69" s="10"/>
      <c r="L69" s="10">
        <f t="shared" si="8"/>
        <v>0</v>
      </c>
      <c r="M69" s="10"/>
      <c r="N69" s="10"/>
      <c r="O69" s="10">
        <v>0</v>
      </c>
      <c r="P69" s="10">
        <f t="shared" si="9"/>
        <v>0</v>
      </c>
      <c r="Q69" s="12"/>
      <c r="R69" s="5">
        <f t="shared" si="7"/>
        <v>0</v>
      </c>
      <c r="S69" s="20"/>
      <c r="T69" s="1" t="e">
        <f t="shared" si="5"/>
        <v>#DIV/0!</v>
      </c>
      <c r="U69" s="10" t="e">
        <f t="shared" si="10"/>
        <v>#DIV/0!</v>
      </c>
      <c r="V69" s="10">
        <v>0</v>
      </c>
      <c r="W69" s="10">
        <v>0</v>
      </c>
      <c r="X69" s="10" t="s">
        <v>100</v>
      </c>
      <c r="Y69" s="1">
        <f t="shared" si="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103</v>
      </c>
      <c r="B70" s="1" t="s">
        <v>27</v>
      </c>
      <c r="C70" s="1">
        <v>3.8849999999999998</v>
      </c>
      <c r="D70" s="1">
        <v>48.911000000000001</v>
      </c>
      <c r="E70" s="1">
        <v>8.7680000000000007</v>
      </c>
      <c r="F70" s="1">
        <v>41.304000000000002</v>
      </c>
      <c r="G70" s="7">
        <v>1</v>
      </c>
      <c r="H70" s="1">
        <v>50</v>
      </c>
      <c r="I70" s="1" t="s">
        <v>28</v>
      </c>
      <c r="J70" s="1"/>
      <c r="K70" s="1">
        <v>45.8</v>
      </c>
      <c r="L70" s="1">
        <f t="shared" ref="L70:L101" si="14">E70-K70</f>
        <v>-37.031999999999996</v>
      </c>
      <c r="M70" s="1"/>
      <c r="N70" s="1"/>
      <c r="O70" s="1">
        <v>50</v>
      </c>
      <c r="P70" s="1">
        <f t="shared" ref="P70:P106" si="15">E70/5</f>
        <v>1.7536</v>
      </c>
      <c r="Q70" s="5"/>
      <c r="R70" s="5">
        <f t="shared" si="7"/>
        <v>0</v>
      </c>
      <c r="S70" s="20"/>
      <c r="T70" s="1">
        <f t="shared" si="5"/>
        <v>52.066605839416056</v>
      </c>
      <c r="U70" s="1">
        <f t="shared" ref="U70:U106" si="16">(F70+O70)/P70</f>
        <v>52.066605839416056</v>
      </c>
      <c r="V70" s="1">
        <v>7.1468000000000007</v>
      </c>
      <c r="W70" s="1">
        <v>6.1280000000000001</v>
      </c>
      <c r="X70" s="1"/>
      <c r="Y70" s="1">
        <f t="shared" si="6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104</v>
      </c>
      <c r="B71" s="1" t="s">
        <v>27</v>
      </c>
      <c r="C71" s="1">
        <v>-14.238</v>
      </c>
      <c r="D71" s="1">
        <v>288.32499999999999</v>
      </c>
      <c r="E71" s="1">
        <v>81.603999999999999</v>
      </c>
      <c r="F71" s="1">
        <v>147.852</v>
      </c>
      <c r="G71" s="7">
        <v>1</v>
      </c>
      <c r="H71" s="1">
        <v>50</v>
      </c>
      <c r="I71" s="1" t="s">
        <v>28</v>
      </c>
      <c r="J71" s="1"/>
      <c r="K71" s="1">
        <v>92.5</v>
      </c>
      <c r="L71" s="1">
        <f t="shared" si="14"/>
        <v>-10.896000000000001</v>
      </c>
      <c r="M71" s="1"/>
      <c r="N71" s="1"/>
      <c r="O71" s="1">
        <v>100</v>
      </c>
      <c r="P71" s="1">
        <f t="shared" si="15"/>
        <v>16.320799999999998</v>
      </c>
      <c r="Q71" s="5"/>
      <c r="R71" s="5">
        <f t="shared" ref="R71:R109" si="17">ROUND(Q71,0)</f>
        <v>0</v>
      </c>
      <c r="S71" s="20"/>
      <c r="T71" s="1">
        <f t="shared" ref="T71:T109" si="18">(F71+O71+R71)/P71</f>
        <v>15.186265379148082</v>
      </c>
      <c r="U71" s="1">
        <f t="shared" si="16"/>
        <v>15.186265379148082</v>
      </c>
      <c r="V71" s="1">
        <v>14.980600000000001</v>
      </c>
      <c r="W71" s="1">
        <v>13.975199999999999</v>
      </c>
      <c r="X71" s="1"/>
      <c r="Y71" s="1">
        <f t="shared" ref="Y71:Y109" si="19">G71*R71</f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105</v>
      </c>
      <c r="B72" s="1" t="s">
        <v>30</v>
      </c>
      <c r="C72" s="1">
        <v>-63</v>
      </c>
      <c r="D72" s="1">
        <v>632</v>
      </c>
      <c r="E72" s="1">
        <v>65</v>
      </c>
      <c r="F72" s="1">
        <v>443</v>
      </c>
      <c r="G72" s="7">
        <v>0.35</v>
      </c>
      <c r="H72" s="1">
        <v>50</v>
      </c>
      <c r="I72" s="1" t="s">
        <v>28</v>
      </c>
      <c r="J72" s="1"/>
      <c r="K72" s="1">
        <v>355</v>
      </c>
      <c r="L72" s="1">
        <f t="shared" si="14"/>
        <v>-290</v>
      </c>
      <c r="M72" s="1"/>
      <c r="N72" s="1"/>
      <c r="O72" s="1">
        <v>150</v>
      </c>
      <c r="P72" s="1">
        <f t="shared" si="15"/>
        <v>13</v>
      </c>
      <c r="Q72" s="5"/>
      <c r="R72" s="5">
        <f t="shared" si="17"/>
        <v>0</v>
      </c>
      <c r="S72" s="20"/>
      <c r="T72" s="1">
        <f t="shared" si="18"/>
        <v>45.615384615384613</v>
      </c>
      <c r="U72" s="1">
        <f t="shared" si="16"/>
        <v>45.615384615384613</v>
      </c>
      <c r="V72" s="1">
        <v>10.8</v>
      </c>
      <c r="W72" s="1">
        <v>47.2</v>
      </c>
      <c r="X72" s="1"/>
      <c r="Y72" s="1">
        <f t="shared" si="1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106</v>
      </c>
      <c r="B73" s="1" t="s">
        <v>30</v>
      </c>
      <c r="C73" s="1">
        <v>29</v>
      </c>
      <c r="D73" s="1">
        <v>114</v>
      </c>
      <c r="E73" s="1">
        <v>98</v>
      </c>
      <c r="F73" s="1">
        <v>27</v>
      </c>
      <c r="G73" s="7">
        <v>0.3</v>
      </c>
      <c r="H73" s="1">
        <v>50</v>
      </c>
      <c r="I73" s="1" t="s">
        <v>28</v>
      </c>
      <c r="J73" s="1"/>
      <c r="K73" s="1">
        <v>108</v>
      </c>
      <c r="L73" s="1">
        <f t="shared" si="14"/>
        <v>-10</v>
      </c>
      <c r="M73" s="1"/>
      <c r="N73" s="1"/>
      <c r="O73" s="1">
        <v>130</v>
      </c>
      <c r="P73" s="1">
        <f t="shared" si="15"/>
        <v>19.600000000000001</v>
      </c>
      <c r="Q73" s="5">
        <f t="shared" ref="Q73:Q77" si="20">15*P73-O73-F73</f>
        <v>137</v>
      </c>
      <c r="R73" s="5">
        <f t="shared" si="17"/>
        <v>137</v>
      </c>
      <c r="S73" s="20"/>
      <c r="T73" s="1">
        <f t="shared" si="18"/>
        <v>14.999999999999998</v>
      </c>
      <c r="U73" s="1">
        <f t="shared" si="16"/>
        <v>8.0102040816326525</v>
      </c>
      <c r="V73" s="1">
        <v>13.8</v>
      </c>
      <c r="W73" s="1">
        <v>4.4000000000000004</v>
      </c>
      <c r="X73" s="1"/>
      <c r="Y73" s="1">
        <f t="shared" si="19"/>
        <v>41.1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107</v>
      </c>
      <c r="B74" s="1" t="s">
        <v>30</v>
      </c>
      <c r="C74" s="1">
        <v>12</v>
      </c>
      <c r="D74" s="1">
        <v>161</v>
      </c>
      <c r="E74" s="1">
        <v>5</v>
      </c>
      <c r="F74" s="1">
        <v>88</v>
      </c>
      <c r="G74" s="7">
        <v>0.3</v>
      </c>
      <c r="H74" s="1">
        <v>60</v>
      </c>
      <c r="I74" s="1" t="s">
        <v>28</v>
      </c>
      <c r="J74" s="1"/>
      <c r="K74" s="1">
        <v>5</v>
      </c>
      <c r="L74" s="1">
        <f t="shared" si="14"/>
        <v>0</v>
      </c>
      <c r="M74" s="1"/>
      <c r="N74" s="1"/>
      <c r="O74" s="1">
        <v>0</v>
      </c>
      <c r="P74" s="1">
        <f t="shared" si="15"/>
        <v>1</v>
      </c>
      <c r="Q74" s="5"/>
      <c r="R74" s="5">
        <f t="shared" si="17"/>
        <v>0</v>
      </c>
      <c r="S74" s="20"/>
      <c r="T74" s="1">
        <f t="shared" si="18"/>
        <v>88</v>
      </c>
      <c r="U74" s="1">
        <f t="shared" si="16"/>
        <v>88</v>
      </c>
      <c r="V74" s="1">
        <v>2.4</v>
      </c>
      <c r="W74" s="1">
        <v>1</v>
      </c>
      <c r="X74" s="19" t="s">
        <v>54</v>
      </c>
      <c r="Y74" s="1">
        <f t="shared" si="19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108</v>
      </c>
      <c r="B75" s="1" t="s">
        <v>30</v>
      </c>
      <c r="C75" s="1">
        <v>123</v>
      </c>
      <c r="D75" s="1">
        <v>183</v>
      </c>
      <c r="E75" s="1">
        <v>156</v>
      </c>
      <c r="F75" s="1">
        <v>134</v>
      </c>
      <c r="G75" s="7">
        <v>0.28000000000000003</v>
      </c>
      <c r="H75" s="1">
        <v>50</v>
      </c>
      <c r="I75" s="1" t="s">
        <v>28</v>
      </c>
      <c r="J75" s="1"/>
      <c r="K75" s="1">
        <v>160</v>
      </c>
      <c r="L75" s="1">
        <f t="shared" si="14"/>
        <v>-4</v>
      </c>
      <c r="M75" s="1"/>
      <c r="N75" s="1"/>
      <c r="O75" s="1">
        <v>300</v>
      </c>
      <c r="P75" s="1">
        <f t="shared" si="15"/>
        <v>31.2</v>
      </c>
      <c r="Q75" s="5">
        <f t="shared" si="20"/>
        <v>34</v>
      </c>
      <c r="R75" s="5">
        <f t="shared" si="17"/>
        <v>34</v>
      </c>
      <c r="S75" s="20"/>
      <c r="T75" s="1">
        <f t="shared" si="18"/>
        <v>15</v>
      </c>
      <c r="U75" s="1">
        <f t="shared" si="16"/>
        <v>13.910256410256411</v>
      </c>
      <c r="V75" s="1">
        <v>30</v>
      </c>
      <c r="W75" s="1">
        <v>26.2</v>
      </c>
      <c r="X75" s="1"/>
      <c r="Y75" s="1">
        <f t="shared" si="19"/>
        <v>9.5200000000000014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109</v>
      </c>
      <c r="B76" s="1" t="s">
        <v>30</v>
      </c>
      <c r="C76" s="1">
        <v>-61</v>
      </c>
      <c r="D76" s="1">
        <v>689</v>
      </c>
      <c r="E76" s="1">
        <v>145</v>
      </c>
      <c r="F76" s="1">
        <v>416</v>
      </c>
      <c r="G76" s="7">
        <v>0.28000000000000003</v>
      </c>
      <c r="H76" s="1">
        <v>45</v>
      </c>
      <c r="I76" s="1" t="s">
        <v>28</v>
      </c>
      <c r="J76" s="1"/>
      <c r="K76" s="1">
        <v>210</v>
      </c>
      <c r="L76" s="1">
        <f t="shared" si="14"/>
        <v>-65</v>
      </c>
      <c r="M76" s="1"/>
      <c r="N76" s="1"/>
      <c r="O76" s="1">
        <v>100</v>
      </c>
      <c r="P76" s="1">
        <f t="shared" si="15"/>
        <v>29</v>
      </c>
      <c r="Q76" s="5"/>
      <c r="R76" s="5">
        <f t="shared" si="17"/>
        <v>0</v>
      </c>
      <c r="S76" s="20"/>
      <c r="T76" s="1">
        <f t="shared" si="18"/>
        <v>17.793103448275861</v>
      </c>
      <c r="U76" s="1">
        <f t="shared" si="16"/>
        <v>17.793103448275861</v>
      </c>
      <c r="V76" s="1">
        <v>5</v>
      </c>
      <c r="W76" s="1">
        <v>46</v>
      </c>
      <c r="X76" s="1"/>
      <c r="Y76" s="1">
        <f t="shared" si="19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110</v>
      </c>
      <c r="B77" s="1" t="s">
        <v>30</v>
      </c>
      <c r="C77" s="1">
        <v>70</v>
      </c>
      <c r="D77" s="1">
        <v>180</v>
      </c>
      <c r="E77" s="1">
        <v>157</v>
      </c>
      <c r="F77" s="1">
        <v>16</v>
      </c>
      <c r="G77" s="7">
        <v>0.28000000000000003</v>
      </c>
      <c r="H77" s="1">
        <v>45</v>
      </c>
      <c r="I77" s="1" t="s">
        <v>28</v>
      </c>
      <c r="J77" s="1"/>
      <c r="K77" s="1">
        <v>174</v>
      </c>
      <c r="L77" s="1">
        <f t="shared" si="14"/>
        <v>-17</v>
      </c>
      <c r="M77" s="1"/>
      <c r="N77" s="1"/>
      <c r="O77" s="1">
        <v>450</v>
      </c>
      <c r="P77" s="1">
        <f t="shared" si="15"/>
        <v>31.4</v>
      </c>
      <c r="Q77" s="5">
        <f t="shared" si="20"/>
        <v>5</v>
      </c>
      <c r="R77" s="5">
        <f t="shared" si="17"/>
        <v>5</v>
      </c>
      <c r="S77" s="20"/>
      <c r="T77" s="1">
        <f t="shared" si="18"/>
        <v>15</v>
      </c>
      <c r="U77" s="1">
        <f t="shared" si="16"/>
        <v>14.840764331210192</v>
      </c>
      <c r="V77" s="1">
        <v>40.4</v>
      </c>
      <c r="W77" s="1">
        <v>23.8</v>
      </c>
      <c r="X77" s="1"/>
      <c r="Y77" s="1">
        <f t="shared" si="19"/>
        <v>1.4000000000000001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111</v>
      </c>
      <c r="B78" s="1" t="s">
        <v>30</v>
      </c>
      <c r="C78" s="1">
        <v>293</v>
      </c>
      <c r="D78" s="1">
        <v>125</v>
      </c>
      <c r="E78" s="1">
        <v>244</v>
      </c>
      <c r="F78" s="1">
        <v>110</v>
      </c>
      <c r="G78" s="7">
        <v>0.4</v>
      </c>
      <c r="H78" s="1">
        <v>50</v>
      </c>
      <c r="I78" s="1" t="s">
        <v>28</v>
      </c>
      <c r="J78" s="1"/>
      <c r="K78" s="1">
        <v>261</v>
      </c>
      <c r="L78" s="1">
        <f t="shared" si="14"/>
        <v>-17</v>
      </c>
      <c r="M78" s="1"/>
      <c r="N78" s="1"/>
      <c r="O78" s="1">
        <v>700</v>
      </c>
      <c r="P78" s="1">
        <f t="shared" si="15"/>
        <v>48.8</v>
      </c>
      <c r="Q78" s="5"/>
      <c r="R78" s="5">
        <f t="shared" si="17"/>
        <v>0</v>
      </c>
      <c r="S78" s="20"/>
      <c r="T78" s="1">
        <f t="shared" si="18"/>
        <v>16.598360655737707</v>
      </c>
      <c r="U78" s="1">
        <f t="shared" si="16"/>
        <v>16.598360655737707</v>
      </c>
      <c r="V78" s="1">
        <v>71.400000000000006</v>
      </c>
      <c r="W78" s="1">
        <v>42.4</v>
      </c>
      <c r="X78" s="1"/>
      <c r="Y78" s="1">
        <f t="shared" si="19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112</v>
      </c>
      <c r="B79" s="1" t="s">
        <v>27</v>
      </c>
      <c r="C79" s="1"/>
      <c r="D79" s="1">
        <v>99.072999999999993</v>
      </c>
      <c r="E79" s="1"/>
      <c r="F79" s="1">
        <v>98.707999999999998</v>
      </c>
      <c r="G79" s="7">
        <v>1</v>
      </c>
      <c r="H79" s="1">
        <v>30</v>
      </c>
      <c r="I79" s="1" t="s">
        <v>28</v>
      </c>
      <c r="J79" s="1"/>
      <c r="K79" s="1">
        <v>10.8</v>
      </c>
      <c r="L79" s="1">
        <f t="shared" si="14"/>
        <v>-10.8</v>
      </c>
      <c r="M79" s="1"/>
      <c r="N79" s="1"/>
      <c r="O79" s="1">
        <v>0</v>
      </c>
      <c r="P79" s="1">
        <f t="shared" si="15"/>
        <v>0</v>
      </c>
      <c r="Q79" s="5"/>
      <c r="R79" s="5">
        <f t="shared" si="17"/>
        <v>0</v>
      </c>
      <c r="S79" s="20"/>
      <c r="T79" s="1" t="e">
        <f t="shared" si="18"/>
        <v>#DIV/0!</v>
      </c>
      <c r="U79" s="1" t="e">
        <f t="shared" si="16"/>
        <v>#DIV/0!</v>
      </c>
      <c r="V79" s="1">
        <v>0</v>
      </c>
      <c r="W79" s="1">
        <v>0</v>
      </c>
      <c r="X79" s="1"/>
      <c r="Y79" s="1">
        <f t="shared" si="19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0" t="s">
        <v>113</v>
      </c>
      <c r="B80" s="10" t="s">
        <v>30</v>
      </c>
      <c r="C80" s="10"/>
      <c r="D80" s="10">
        <v>2</v>
      </c>
      <c r="E80" s="10">
        <v>2</v>
      </c>
      <c r="F80" s="10"/>
      <c r="G80" s="11">
        <v>0</v>
      </c>
      <c r="H80" s="10"/>
      <c r="I80" s="10" t="s">
        <v>59</v>
      </c>
      <c r="J80" s="10"/>
      <c r="K80" s="10">
        <v>2</v>
      </c>
      <c r="L80" s="10">
        <f t="shared" si="14"/>
        <v>0</v>
      </c>
      <c r="M80" s="10"/>
      <c r="N80" s="10"/>
      <c r="O80" s="10"/>
      <c r="P80" s="10">
        <f t="shared" si="15"/>
        <v>0.4</v>
      </c>
      <c r="Q80" s="12"/>
      <c r="R80" s="5">
        <f t="shared" si="17"/>
        <v>0</v>
      </c>
      <c r="S80" s="20"/>
      <c r="T80" s="1">
        <f t="shared" si="18"/>
        <v>0</v>
      </c>
      <c r="U80" s="10">
        <f t="shared" si="16"/>
        <v>0</v>
      </c>
      <c r="V80" s="10">
        <v>0</v>
      </c>
      <c r="W80" s="10">
        <v>0</v>
      </c>
      <c r="X80" s="10"/>
      <c r="Y80" s="1">
        <f t="shared" si="19"/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30</v>
      </c>
      <c r="C81" s="1"/>
      <c r="D81" s="1">
        <v>242</v>
      </c>
      <c r="E81" s="1">
        <v>31</v>
      </c>
      <c r="F81" s="1">
        <v>206</v>
      </c>
      <c r="G81" s="7">
        <v>0.33800000000000002</v>
      </c>
      <c r="H81" s="1" t="s">
        <v>115</v>
      </c>
      <c r="I81" s="1" t="s">
        <v>28</v>
      </c>
      <c r="J81" s="1"/>
      <c r="K81" s="1">
        <v>33</v>
      </c>
      <c r="L81" s="1">
        <f t="shared" si="14"/>
        <v>-2</v>
      </c>
      <c r="M81" s="1"/>
      <c r="N81" s="1"/>
      <c r="O81" s="1">
        <v>0</v>
      </c>
      <c r="P81" s="1">
        <f t="shared" si="15"/>
        <v>6.2</v>
      </c>
      <c r="Q81" s="5"/>
      <c r="R81" s="5">
        <f t="shared" si="17"/>
        <v>0</v>
      </c>
      <c r="S81" s="20"/>
      <c r="T81" s="1">
        <f t="shared" si="18"/>
        <v>33.225806451612904</v>
      </c>
      <c r="U81" s="1">
        <f t="shared" si="16"/>
        <v>33.225806451612904</v>
      </c>
      <c r="V81" s="1">
        <v>0</v>
      </c>
      <c r="W81" s="1">
        <v>0</v>
      </c>
      <c r="X81" s="1"/>
      <c r="Y81" s="1">
        <f t="shared" si="19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116</v>
      </c>
      <c r="B82" s="1" t="s">
        <v>30</v>
      </c>
      <c r="C82" s="1"/>
      <c r="D82" s="1">
        <v>224</v>
      </c>
      <c r="E82" s="1">
        <v>43</v>
      </c>
      <c r="F82" s="1">
        <v>166</v>
      </c>
      <c r="G82" s="7">
        <v>0.32500000000000001</v>
      </c>
      <c r="H82" s="1" t="s">
        <v>115</v>
      </c>
      <c r="I82" s="1" t="s">
        <v>28</v>
      </c>
      <c r="J82" s="1"/>
      <c r="K82" s="1">
        <v>52</v>
      </c>
      <c r="L82" s="1">
        <f t="shared" si="14"/>
        <v>-9</v>
      </c>
      <c r="M82" s="1"/>
      <c r="N82" s="1"/>
      <c r="O82" s="1">
        <v>0</v>
      </c>
      <c r="P82" s="1">
        <f t="shared" si="15"/>
        <v>8.6</v>
      </c>
      <c r="Q82" s="5"/>
      <c r="R82" s="5">
        <f t="shared" si="17"/>
        <v>0</v>
      </c>
      <c r="S82" s="20"/>
      <c r="T82" s="1">
        <f t="shared" si="18"/>
        <v>19.302325581395351</v>
      </c>
      <c r="U82" s="1">
        <f t="shared" si="16"/>
        <v>19.302325581395351</v>
      </c>
      <c r="V82" s="1">
        <v>0</v>
      </c>
      <c r="W82" s="1">
        <v>0</v>
      </c>
      <c r="X82" s="1"/>
      <c r="Y82" s="1">
        <f t="shared" si="1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117</v>
      </c>
      <c r="B83" s="1" t="s">
        <v>30</v>
      </c>
      <c r="C83" s="1">
        <v>173</v>
      </c>
      <c r="D83" s="1">
        <v>233</v>
      </c>
      <c r="E83" s="1">
        <v>112</v>
      </c>
      <c r="F83" s="1">
        <v>153</v>
      </c>
      <c r="G83" s="7">
        <v>0.12</v>
      </c>
      <c r="H83" s="1">
        <v>60</v>
      </c>
      <c r="I83" s="1" t="s">
        <v>28</v>
      </c>
      <c r="J83" s="1"/>
      <c r="K83" s="1">
        <v>133</v>
      </c>
      <c r="L83" s="1">
        <f t="shared" si="14"/>
        <v>-21</v>
      </c>
      <c r="M83" s="1"/>
      <c r="N83" s="1"/>
      <c r="O83" s="1">
        <v>60</v>
      </c>
      <c r="P83" s="1">
        <f t="shared" si="15"/>
        <v>22.4</v>
      </c>
      <c r="Q83" s="5">
        <f t="shared" ref="Q83:Q104" si="21">15*P83-O83-F83</f>
        <v>123</v>
      </c>
      <c r="R83" s="5">
        <f t="shared" si="17"/>
        <v>123</v>
      </c>
      <c r="S83" s="20"/>
      <c r="T83" s="1">
        <f t="shared" si="18"/>
        <v>15.000000000000002</v>
      </c>
      <c r="U83" s="1">
        <f t="shared" si="16"/>
        <v>9.5089285714285712</v>
      </c>
      <c r="V83" s="1">
        <v>19.600000000000001</v>
      </c>
      <c r="W83" s="1">
        <v>16.2</v>
      </c>
      <c r="X83" s="1"/>
      <c r="Y83" s="1">
        <f t="shared" si="19"/>
        <v>14.76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118</v>
      </c>
      <c r="B84" s="1" t="s">
        <v>30</v>
      </c>
      <c r="C84" s="1"/>
      <c r="D84" s="1">
        <v>99</v>
      </c>
      <c r="E84" s="1"/>
      <c r="F84" s="1">
        <v>96</v>
      </c>
      <c r="G84" s="7">
        <v>0.15</v>
      </c>
      <c r="H84" s="1">
        <v>90</v>
      </c>
      <c r="I84" s="1" t="s">
        <v>28</v>
      </c>
      <c r="J84" s="1"/>
      <c r="K84" s="1">
        <v>84</v>
      </c>
      <c r="L84" s="1">
        <f t="shared" si="14"/>
        <v>-84</v>
      </c>
      <c r="M84" s="1"/>
      <c r="N84" s="1"/>
      <c r="O84" s="1">
        <v>0</v>
      </c>
      <c r="P84" s="1">
        <f t="shared" si="15"/>
        <v>0</v>
      </c>
      <c r="Q84" s="5"/>
      <c r="R84" s="5">
        <f t="shared" si="17"/>
        <v>0</v>
      </c>
      <c r="S84" s="20"/>
      <c r="T84" s="1" t="e">
        <f t="shared" si="18"/>
        <v>#DIV/0!</v>
      </c>
      <c r="U84" s="1" t="e">
        <f t="shared" si="16"/>
        <v>#DIV/0!</v>
      </c>
      <c r="V84" s="1">
        <v>0</v>
      </c>
      <c r="W84" s="1">
        <v>0</v>
      </c>
      <c r="X84" s="1"/>
      <c r="Y84" s="1">
        <f t="shared" si="19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119</v>
      </c>
      <c r="B85" s="1" t="s">
        <v>30</v>
      </c>
      <c r="C85" s="1"/>
      <c r="D85" s="1">
        <v>162</v>
      </c>
      <c r="E85" s="1">
        <v>56</v>
      </c>
      <c r="F85" s="1">
        <v>90</v>
      </c>
      <c r="G85" s="7">
        <v>0.15</v>
      </c>
      <c r="H85" s="1">
        <v>90</v>
      </c>
      <c r="I85" s="1" t="s">
        <v>28</v>
      </c>
      <c r="J85" s="1"/>
      <c r="K85" s="1">
        <v>89</v>
      </c>
      <c r="L85" s="1">
        <f t="shared" si="14"/>
        <v>-33</v>
      </c>
      <c r="M85" s="1"/>
      <c r="N85" s="1"/>
      <c r="O85" s="1">
        <v>40</v>
      </c>
      <c r="P85" s="1">
        <f t="shared" si="15"/>
        <v>11.2</v>
      </c>
      <c r="Q85" s="5">
        <f t="shared" si="21"/>
        <v>38</v>
      </c>
      <c r="R85" s="5">
        <f t="shared" si="17"/>
        <v>38</v>
      </c>
      <c r="S85" s="20"/>
      <c r="T85" s="1">
        <f t="shared" si="18"/>
        <v>15.000000000000002</v>
      </c>
      <c r="U85" s="1">
        <f t="shared" si="16"/>
        <v>11.607142857142858</v>
      </c>
      <c r="V85" s="1">
        <v>0</v>
      </c>
      <c r="W85" s="1">
        <v>0</v>
      </c>
      <c r="X85" s="1"/>
      <c r="Y85" s="1">
        <f t="shared" si="19"/>
        <v>5.7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120</v>
      </c>
      <c r="B86" s="1" t="s">
        <v>30</v>
      </c>
      <c r="C86" s="1">
        <v>53</v>
      </c>
      <c r="D86" s="1">
        <v>76</v>
      </c>
      <c r="E86" s="1">
        <v>33</v>
      </c>
      <c r="F86" s="1">
        <v>35</v>
      </c>
      <c r="G86" s="7">
        <v>0.33</v>
      </c>
      <c r="H86" s="1">
        <v>30</v>
      </c>
      <c r="I86" s="1" t="s">
        <v>28</v>
      </c>
      <c r="J86" s="1"/>
      <c r="K86" s="1">
        <v>42</v>
      </c>
      <c r="L86" s="1">
        <f t="shared" si="14"/>
        <v>-9</v>
      </c>
      <c r="M86" s="1"/>
      <c r="N86" s="1"/>
      <c r="O86" s="1">
        <v>0</v>
      </c>
      <c r="P86" s="1">
        <f t="shared" si="15"/>
        <v>6.6</v>
      </c>
      <c r="Q86" s="5">
        <f t="shared" si="21"/>
        <v>64</v>
      </c>
      <c r="R86" s="5">
        <f t="shared" si="17"/>
        <v>64</v>
      </c>
      <c r="S86" s="20"/>
      <c r="T86" s="1">
        <f t="shared" si="18"/>
        <v>15</v>
      </c>
      <c r="U86" s="1">
        <f t="shared" si="16"/>
        <v>5.3030303030303036</v>
      </c>
      <c r="V86" s="1">
        <v>3.4</v>
      </c>
      <c r="W86" s="1">
        <v>6.4</v>
      </c>
      <c r="X86" s="1"/>
      <c r="Y86" s="1">
        <f t="shared" si="19"/>
        <v>21.12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121</v>
      </c>
      <c r="B87" s="1" t="s">
        <v>30</v>
      </c>
      <c r="C87" s="1"/>
      <c r="D87" s="1">
        <v>150</v>
      </c>
      <c r="E87" s="1"/>
      <c r="F87" s="1">
        <v>144</v>
      </c>
      <c r="G87" s="7">
        <v>0.15</v>
      </c>
      <c r="H87" s="1">
        <v>60</v>
      </c>
      <c r="I87" s="1" t="s">
        <v>28</v>
      </c>
      <c r="J87" s="1"/>
      <c r="K87" s="1">
        <v>113</v>
      </c>
      <c r="L87" s="1">
        <f t="shared" si="14"/>
        <v>-113</v>
      </c>
      <c r="M87" s="1"/>
      <c r="N87" s="1"/>
      <c r="O87" s="1">
        <v>0</v>
      </c>
      <c r="P87" s="1">
        <f t="shared" si="15"/>
        <v>0</v>
      </c>
      <c r="Q87" s="5"/>
      <c r="R87" s="5">
        <f t="shared" si="17"/>
        <v>0</v>
      </c>
      <c r="S87" s="20"/>
      <c r="T87" s="1" t="e">
        <f t="shared" si="18"/>
        <v>#DIV/0!</v>
      </c>
      <c r="U87" s="1" t="e">
        <f t="shared" si="16"/>
        <v>#DIV/0!</v>
      </c>
      <c r="V87" s="1">
        <v>0</v>
      </c>
      <c r="W87" s="1">
        <v>0</v>
      </c>
      <c r="X87" s="1"/>
      <c r="Y87" s="1">
        <f t="shared" si="19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74</v>
      </c>
      <c r="B88" s="1" t="s">
        <v>30</v>
      </c>
      <c r="C88" s="1"/>
      <c r="D88" s="1">
        <v>344</v>
      </c>
      <c r="E88" s="14">
        <f>0+E43</f>
        <v>47</v>
      </c>
      <c r="F88" s="14">
        <f>344+F43</f>
        <v>343</v>
      </c>
      <c r="G88" s="7">
        <v>0.41</v>
      </c>
      <c r="H88" s="1">
        <v>45</v>
      </c>
      <c r="I88" s="9" t="s">
        <v>28</v>
      </c>
      <c r="J88" s="1"/>
      <c r="K88" s="1"/>
      <c r="L88" s="1">
        <f t="shared" si="14"/>
        <v>47</v>
      </c>
      <c r="M88" s="1"/>
      <c r="N88" s="1"/>
      <c r="O88" s="1"/>
      <c r="P88" s="1">
        <f t="shared" si="15"/>
        <v>9.4</v>
      </c>
      <c r="Q88" s="5"/>
      <c r="R88" s="5">
        <f t="shared" si="17"/>
        <v>0</v>
      </c>
      <c r="S88" s="20"/>
      <c r="T88" s="1">
        <f t="shared" si="18"/>
        <v>36.48936170212766</v>
      </c>
      <c r="U88" s="1">
        <f t="shared" si="16"/>
        <v>36.48936170212766</v>
      </c>
      <c r="V88" s="1">
        <v>0</v>
      </c>
      <c r="W88" s="1">
        <v>0</v>
      </c>
      <c r="X88" s="9" t="s">
        <v>122</v>
      </c>
      <c r="Y88" s="1">
        <f t="shared" si="19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123</v>
      </c>
      <c r="B89" s="1" t="s">
        <v>30</v>
      </c>
      <c r="C89" s="1"/>
      <c r="D89" s="1">
        <v>125</v>
      </c>
      <c r="E89" s="1">
        <v>93</v>
      </c>
      <c r="F89" s="1">
        <v>2</v>
      </c>
      <c r="G89" s="7">
        <v>0.26</v>
      </c>
      <c r="H89" s="1">
        <v>45</v>
      </c>
      <c r="I89" s="1" t="s">
        <v>28</v>
      </c>
      <c r="J89" s="1"/>
      <c r="K89" s="1">
        <v>98</v>
      </c>
      <c r="L89" s="1">
        <f t="shared" si="14"/>
        <v>-5</v>
      </c>
      <c r="M89" s="1"/>
      <c r="N89" s="1"/>
      <c r="O89" s="1">
        <v>50</v>
      </c>
      <c r="P89" s="1">
        <f t="shared" si="15"/>
        <v>18.600000000000001</v>
      </c>
      <c r="Q89" s="5">
        <f t="shared" si="21"/>
        <v>227</v>
      </c>
      <c r="R89" s="5">
        <f t="shared" si="17"/>
        <v>227</v>
      </c>
      <c r="S89" s="20"/>
      <c r="T89" s="1">
        <f t="shared" si="18"/>
        <v>14.999999999999998</v>
      </c>
      <c r="U89" s="1">
        <f t="shared" si="16"/>
        <v>2.7956989247311825</v>
      </c>
      <c r="V89" s="1">
        <v>0</v>
      </c>
      <c r="W89" s="1">
        <v>0</v>
      </c>
      <c r="X89" s="1"/>
      <c r="Y89" s="1">
        <f t="shared" si="19"/>
        <v>59.02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124</v>
      </c>
      <c r="B90" s="1" t="s">
        <v>27</v>
      </c>
      <c r="C90" s="1"/>
      <c r="D90" s="1">
        <v>115.056</v>
      </c>
      <c r="E90" s="1">
        <v>44.652999999999999</v>
      </c>
      <c r="F90" s="1">
        <v>45.488</v>
      </c>
      <c r="G90" s="7">
        <v>1</v>
      </c>
      <c r="H90" s="1">
        <v>30</v>
      </c>
      <c r="I90" s="1" t="s">
        <v>28</v>
      </c>
      <c r="J90" s="1"/>
      <c r="K90" s="1">
        <v>54.9</v>
      </c>
      <c r="L90" s="1">
        <f t="shared" si="14"/>
        <v>-10.247</v>
      </c>
      <c r="M90" s="1"/>
      <c r="N90" s="1"/>
      <c r="O90" s="1">
        <v>0</v>
      </c>
      <c r="P90" s="1">
        <f t="shared" si="15"/>
        <v>8.9306000000000001</v>
      </c>
      <c r="Q90" s="5">
        <f t="shared" si="21"/>
        <v>88.471000000000004</v>
      </c>
      <c r="R90" s="5">
        <f t="shared" si="17"/>
        <v>88</v>
      </c>
      <c r="S90" s="20"/>
      <c r="T90" s="1">
        <f t="shared" si="18"/>
        <v>14.947259982531969</v>
      </c>
      <c r="U90" s="1">
        <f t="shared" si="16"/>
        <v>5.0934987570823909</v>
      </c>
      <c r="V90" s="1">
        <v>0</v>
      </c>
      <c r="W90" s="1">
        <v>0</v>
      </c>
      <c r="X90" s="1"/>
      <c r="Y90" s="1">
        <f t="shared" si="19"/>
        <v>88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125</v>
      </c>
      <c r="B91" s="1" t="s">
        <v>30</v>
      </c>
      <c r="C91" s="1"/>
      <c r="D91" s="1">
        <v>328</v>
      </c>
      <c r="E91" s="1">
        <v>75</v>
      </c>
      <c r="F91" s="1">
        <v>220</v>
      </c>
      <c r="G91" s="7">
        <v>0.31</v>
      </c>
      <c r="H91" s="1">
        <v>45</v>
      </c>
      <c r="I91" s="1" t="s">
        <v>28</v>
      </c>
      <c r="J91" s="1"/>
      <c r="K91" s="1">
        <v>80</v>
      </c>
      <c r="L91" s="1">
        <f t="shared" si="14"/>
        <v>-5</v>
      </c>
      <c r="M91" s="1"/>
      <c r="N91" s="1"/>
      <c r="O91" s="1">
        <v>0</v>
      </c>
      <c r="P91" s="1">
        <f t="shared" si="15"/>
        <v>15</v>
      </c>
      <c r="Q91" s="5">
        <f t="shared" si="21"/>
        <v>5</v>
      </c>
      <c r="R91" s="5">
        <f t="shared" si="17"/>
        <v>5</v>
      </c>
      <c r="S91" s="20"/>
      <c r="T91" s="1">
        <f t="shared" si="18"/>
        <v>15</v>
      </c>
      <c r="U91" s="1">
        <f t="shared" si="16"/>
        <v>14.666666666666666</v>
      </c>
      <c r="V91" s="1">
        <v>0</v>
      </c>
      <c r="W91" s="1">
        <v>0</v>
      </c>
      <c r="X91" s="1"/>
      <c r="Y91" s="1">
        <f t="shared" si="19"/>
        <v>1.55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126</v>
      </c>
      <c r="B92" s="1" t="s">
        <v>27</v>
      </c>
      <c r="C92" s="1"/>
      <c r="D92" s="1">
        <v>59.511000000000003</v>
      </c>
      <c r="E92" s="1">
        <v>11.641999999999999</v>
      </c>
      <c r="F92" s="1">
        <v>41.203000000000003</v>
      </c>
      <c r="G92" s="7">
        <v>1</v>
      </c>
      <c r="H92" s="1">
        <v>30</v>
      </c>
      <c r="I92" s="1" t="s">
        <v>28</v>
      </c>
      <c r="J92" s="1"/>
      <c r="K92" s="1">
        <v>20.7</v>
      </c>
      <c r="L92" s="1">
        <f t="shared" si="14"/>
        <v>-9.0579999999999998</v>
      </c>
      <c r="M92" s="1"/>
      <c r="N92" s="1"/>
      <c r="O92" s="1">
        <v>0</v>
      </c>
      <c r="P92" s="1">
        <f t="shared" si="15"/>
        <v>2.3283999999999998</v>
      </c>
      <c r="Q92" s="5"/>
      <c r="R92" s="5">
        <f t="shared" si="17"/>
        <v>0</v>
      </c>
      <c r="S92" s="20"/>
      <c r="T92" s="1">
        <f t="shared" si="18"/>
        <v>17.695842638721871</v>
      </c>
      <c r="U92" s="1">
        <f t="shared" si="16"/>
        <v>17.695842638721871</v>
      </c>
      <c r="V92" s="1">
        <v>0</v>
      </c>
      <c r="W92" s="1">
        <v>0</v>
      </c>
      <c r="X92" s="1"/>
      <c r="Y92" s="1">
        <f t="shared" si="1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127</v>
      </c>
      <c r="B93" s="1" t="s">
        <v>30</v>
      </c>
      <c r="C93" s="1">
        <v>-22</v>
      </c>
      <c r="D93" s="1">
        <v>274</v>
      </c>
      <c r="E93" s="1">
        <v>109</v>
      </c>
      <c r="F93" s="1">
        <v>126</v>
      </c>
      <c r="G93" s="7">
        <v>0.4</v>
      </c>
      <c r="H93" s="1">
        <v>60</v>
      </c>
      <c r="I93" s="1" t="s">
        <v>28</v>
      </c>
      <c r="J93" s="1"/>
      <c r="K93" s="1">
        <v>116</v>
      </c>
      <c r="L93" s="1">
        <f t="shared" si="14"/>
        <v>-7</v>
      </c>
      <c r="M93" s="1"/>
      <c r="N93" s="1"/>
      <c r="O93" s="1">
        <v>69</v>
      </c>
      <c r="P93" s="1">
        <f t="shared" si="15"/>
        <v>21.8</v>
      </c>
      <c r="Q93" s="5">
        <f t="shared" si="21"/>
        <v>132</v>
      </c>
      <c r="R93" s="5">
        <f t="shared" si="17"/>
        <v>132</v>
      </c>
      <c r="S93" s="20"/>
      <c r="T93" s="1">
        <f t="shared" si="18"/>
        <v>15</v>
      </c>
      <c r="U93" s="1">
        <f t="shared" si="16"/>
        <v>8.9449541284403669</v>
      </c>
      <c r="V93" s="1">
        <v>18</v>
      </c>
      <c r="W93" s="1">
        <v>20</v>
      </c>
      <c r="X93" s="1"/>
      <c r="Y93" s="1">
        <f t="shared" si="19"/>
        <v>52.800000000000004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128</v>
      </c>
      <c r="B94" s="1" t="s">
        <v>30</v>
      </c>
      <c r="C94" s="1">
        <v>-5</v>
      </c>
      <c r="D94" s="1">
        <v>75</v>
      </c>
      <c r="E94" s="1">
        <v>5</v>
      </c>
      <c r="F94" s="1">
        <v>60</v>
      </c>
      <c r="G94" s="7">
        <v>0.35</v>
      </c>
      <c r="H94" s="1">
        <v>60</v>
      </c>
      <c r="I94" s="1" t="s">
        <v>28</v>
      </c>
      <c r="J94" s="1"/>
      <c r="K94" s="1">
        <v>47</v>
      </c>
      <c r="L94" s="1">
        <f t="shared" si="14"/>
        <v>-42</v>
      </c>
      <c r="M94" s="1"/>
      <c r="N94" s="1"/>
      <c r="O94" s="1">
        <v>0</v>
      </c>
      <c r="P94" s="1">
        <f t="shared" si="15"/>
        <v>1</v>
      </c>
      <c r="Q94" s="5"/>
      <c r="R94" s="5">
        <f t="shared" si="17"/>
        <v>0</v>
      </c>
      <c r="S94" s="20"/>
      <c r="T94" s="1">
        <f t="shared" si="18"/>
        <v>60</v>
      </c>
      <c r="U94" s="1">
        <f t="shared" si="16"/>
        <v>60</v>
      </c>
      <c r="V94" s="1">
        <v>3.6</v>
      </c>
      <c r="W94" s="1">
        <v>7</v>
      </c>
      <c r="X94" s="1"/>
      <c r="Y94" s="1">
        <f t="shared" si="19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129</v>
      </c>
      <c r="B95" s="1" t="s">
        <v>27</v>
      </c>
      <c r="C95" s="1">
        <v>29.402999999999999</v>
      </c>
      <c r="D95" s="1">
        <v>100.006</v>
      </c>
      <c r="E95" s="1">
        <v>14.787000000000001</v>
      </c>
      <c r="F95" s="1">
        <v>90.774000000000001</v>
      </c>
      <c r="G95" s="7">
        <v>1</v>
      </c>
      <c r="H95" s="1">
        <v>45</v>
      </c>
      <c r="I95" s="1" t="s">
        <v>28</v>
      </c>
      <c r="J95" s="1"/>
      <c r="K95" s="1">
        <v>13.9</v>
      </c>
      <c r="L95" s="1">
        <f t="shared" si="14"/>
        <v>0.88700000000000045</v>
      </c>
      <c r="M95" s="1"/>
      <c r="N95" s="1"/>
      <c r="O95" s="1">
        <v>0</v>
      </c>
      <c r="P95" s="1">
        <f t="shared" si="15"/>
        <v>2.9574000000000003</v>
      </c>
      <c r="Q95" s="5"/>
      <c r="R95" s="5">
        <f t="shared" si="17"/>
        <v>0</v>
      </c>
      <c r="S95" s="20"/>
      <c r="T95" s="1">
        <f t="shared" si="18"/>
        <v>30.693852708460131</v>
      </c>
      <c r="U95" s="1">
        <f t="shared" si="16"/>
        <v>30.693852708460131</v>
      </c>
      <c r="V95" s="1">
        <v>1.506</v>
      </c>
      <c r="W95" s="1">
        <v>3.1217999999999999</v>
      </c>
      <c r="X95" s="19" t="s">
        <v>54</v>
      </c>
      <c r="Y95" s="1">
        <f t="shared" si="19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130</v>
      </c>
      <c r="B96" s="1" t="s">
        <v>27</v>
      </c>
      <c r="C96" s="1"/>
      <c r="D96" s="1">
        <v>30.34</v>
      </c>
      <c r="E96" s="1"/>
      <c r="F96" s="1">
        <v>30.34</v>
      </c>
      <c r="G96" s="7">
        <v>1</v>
      </c>
      <c r="H96" s="1">
        <v>45</v>
      </c>
      <c r="I96" s="1" t="s">
        <v>28</v>
      </c>
      <c r="J96" s="1"/>
      <c r="K96" s="1">
        <v>34.82</v>
      </c>
      <c r="L96" s="1">
        <f t="shared" si="14"/>
        <v>-34.82</v>
      </c>
      <c r="M96" s="1"/>
      <c r="N96" s="1"/>
      <c r="O96" s="1">
        <v>0</v>
      </c>
      <c r="P96" s="1">
        <f t="shared" si="15"/>
        <v>0</v>
      </c>
      <c r="Q96" s="5"/>
      <c r="R96" s="5">
        <f t="shared" si="17"/>
        <v>0</v>
      </c>
      <c r="S96" s="20"/>
      <c r="T96" s="1" t="e">
        <f t="shared" si="18"/>
        <v>#DIV/0!</v>
      </c>
      <c r="U96" s="1" t="e">
        <f t="shared" si="16"/>
        <v>#DIV/0!</v>
      </c>
      <c r="V96" s="1">
        <v>0</v>
      </c>
      <c r="W96" s="1">
        <v>0</v>
      </c>
      <c r="X96" s="1"/>
      <c r="Y96" s="1">
        <f t="shared" si="19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131</v>
      </c>
      <c r="B97" s="1" t="s">
        <v>30</v>
      </c>
      <c r="C97" s="1"/>
      <c r="D97" s="1">
        <v>205</v>
      </c>
      <c r="E97" s="1">
        <v>77</v>
      </c>
      <c r="F97" s="1">
        <v>121</v>
      </c>
      <c r="G97" s="7">
        <v>0.33</v>
      </c>
      <c r="H97" s="1">
        <v>45</v>
      </c>
      <c r="I97" s="1" t="s">
        <v>28</v>
      </c>
      <c r="J97" s="1"/>
      <c r="K97" s="1">
        <v>82</v>
      </c>
      <c r="L97" s="1">
        <f t="shared" si="14"/>
        <v>-5</v>
      </c>
      <c r="M97" s="1"/>
      <c r="N97" s="1"/>
      <c r="O97" s="1">
        <v>0</v>
      </c>
      <c r="P97" s="1">
        <f t="shared" si="15"/>
        <v>15.4</v>
      </c>
      <c r="Q97" s="5">
        <f t="shared" si="21"/>
        <v>110</v>
      </c>
      <c r="R97" s="5">
        <f t="shared" si="17"/>
        <v>110</v>
      </c>
      <c r="S97" s="20"/>
      <c r="T97" s="1">
        <f t="shared" si="18"/>
        <v>15</v>
      </c>
      <c r="U97" s="1">
        <f t="shared" si="16"/>
        <v>7.8571428571428568</v>
      </c>
      <c r="V97" s="1">
        <v>0</v>
      </c>
      <c r="W97" s="1">
        <v>0</v>
      </c>
      <c r="X97" s="1"/>
      <c r="Y97" s="1">
        <f t="shared" si="19"/>
        <v>36.300000000000004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132</v>
      </c>
      <c r="B98" s="1" t="s">
        <v>30</v>
      </c>
      <c r="C98" s="1">
        <v>-2</v>
      </c>
      <c r="D98" s="1">
        <v>188</v>
      </c>
      <c r="E98" s="1">
        <v>122</v>
      </c>
      <c r="F98" s="1">
        <v>33</v>
      </c>
      <c r="G98" s="7">
        <v>0.1</v>
      </c>
      <c r="H98" s="1">
        <v>60</v>
      </c>
      <c r="I98" s="1" t="s">
        <v>28</v>
      </c>
      <c r="J98" s="1"/>
      <c r="K98" s="1">
        <v>150</v>
      </c>
      <c r="L98" s="1">
        <f t="shared" si="14"/>
        <v>-28</v>
      </c>
      <c r="M98" s="1"/>
      <c r="N98" s="1"/>
      <c r="O98" s="1">
        <v>0</v>
      </c>
      <c r="P98" s="1">
        <f t="shared" si="15"/>
        <v>24.4</v>
      </c>
      <c r="Q98" s="5">
        <f t="shared" si="21"/>
        <v>333</v>
      </c>
      <c r="R98" s="5">
        <f t="shared" si="17"/>
        <v>333</v>
      </c>
      <c r="S98" s="20"/>
      <c r="T98" s="1">
        <f t="shared" si="18"/>
        <v>15</v>
      </c>
      <c r="U98" s="1">
        <f t="shared" si="16"/>
        <v>1.3524590163934427</v>
      </c>
      <c r="V98" s="1">
        <v>0.2</v>
      </c>
      <c r="W98" s="1">
        <v>0.2</v>
      </c>
      <c r="X98" s="1"/>
      <c r="Y98" s="1">
        <f t="shared" si="19"/>
        <v>33.300000000000004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133</v>
      </c>
      <c r="B99" s="1" t="s">
        <v>30</v>
      </c>
      <c r="C99" s="1">
        <v>-1</v>
      </c>
      <c r="D99" s="1">
        <v>134</v>
      </c>
      <c r="E99" s="1">
        <v>124</v>
      </c>
      <c r="F99" s="1"/>
      <c r="G99" s="7">
        <v>0.1</v>
      </c>
      <c r="H99" s="1">
        <v>60</v>
      </c>
      <c r="I99" s="1" t="s">
        <v>28</v>
      </c>
      <c r="J99" s="1"/>
      <c r="K99" s="1">
        <v>190</v>
      </c>
      <c r="L99" s="1">
        <f t="shared" si="14"/>
        <v>-66</v>
      </c>
      <c r="M99" s="1"/>
      <c r="N99" s="1"/>
      <c r="O99" s="1">
        <v>0</v>
      </c>
      <c r="P99" s="1">
        <f t="shared" si="15"/>
        <v>24.8</v>
      </c>
      <c r="Q99" s="5">
        <f t="shared" si="21"/>
        <v>372</v>
      </c>
      <c r="R99" s="5">
        <f t="shared" si="17"/>
        <v>372</v>
      </c>
      <c r="S99" s="20"/>
      <c r="T99" s="1">
        <f t="shared" si="18"/>
        <v>15</v>
      </c>
      <c r="U99" s="1">
        <f t="shared" si="16"/>
        <v>0</v>
      </c>
      <c r="V99" s="1">
        <v>0</v>
      </c>
      <c r="W99" s="1">
        <v>0.2</v>
      </c>
      <c r="X99" s="1"/>
      <c r="Y99" s="1">
        <f t="shared" si="19"/>
        <v>37.200000000000003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134</v>
      </c>
      <c r="B100" s="1" t="s">
        <v>30</v>
      </c>
      <c r="C100" s="1">
        <v>36</v>
      </c>
      <c r="D100" s="1">
        <v>96</v>
      </c>
      <c r="E100" s="1">
        <v>97</v>
      </c>
      <c r="F100" s="1"/>
      <c r="G100" s="7">
        <v>0.4</v>
      </c>
      <c r="H100" s="1">
        <v>60</v>
      </c>
      <c r="I100" s="1" t="s">
        <v>28</v>
      </c>
      <c r="J100" s="1"/>
      <c r="K100" s="1">
        <v>194</v>
      </c>
      <c r="L100" s="1">
        <f t="shared" si="14"/>
        <v>-97</v>
      </c>
      <c r="M100" s="1"/>
      <c r="N100" s="1"/>
      <c r="O100" s="1">
        <v>328</v>
      </c>
      <c r="P100" s="1">
        <f t="shared" si="15"/>
        <v>19.399999999999999</v>
      </c>
      <c r="Q100" s="5"/>
      <c r="R100" s="5">
        <f t="shared" si="17"/>
        <v>0</v>
      </c>
      <c r="S100" s="20"/>
      <c r="T100" s="1">
        <f t="shared" si="18"/>
        <v>16.907216494845361</v>
      </c>
      <c r="U100" s="1">
        <f t="shared" si="16"/>
        <v>16.907216494845361</v>
      </c>
      <c r="V100" s="1">
        <v>38</v>
      </c>
      <c r="W100" s="1">
        <v>18.600000000000001</v>
      </c>
      <c r="X100" s="1"/>
      <c r="Y100" s="1">
        <f t="shared" si="19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135</v>
      </c>
      <c r="B101" s="1" t="s">
        <v>30</v>
      </c>
      <c r="C101" s="1">
        <v>46</v>
      </c>
      <c r="D101" s="1"/>
      <c r="E101" s="1"/>
      <c r="F101" s="1"/>
      <c r="G101" s="7">
        <v>0.1</v>
      </c>
      <c r="H101" s="1"/>
      <c r="I101" s="1" t="s">
        <v>136</v>
      </c>
      <c r="J101" s="1"/>
      <c r="K101" s="1">
        <v>31</v>
      </c>
      <c r="L101" s="1">
        <f t="shared" si="14"/>
        <v>-31</v>
      </c>
      <c r="M101" s="1"/>
      <c r="N101" s="1"/>
      <c r="O101" s="1">
        <v>0</v>
      </c>
      <c r="P101" s="1">
        <f t="shared" si="15"/>
        <v>0</v>
      </c>
      <c r="Q101" s="5">
        <v>25</v>
      </c>
      <c r="R101" s="5">
        <f t="shared" si="17"/>
        <v>25</v>
      </c>
      <c r="S101" s="20"/>
      <c r="T101" s="1" t="e">
        <f t="shared" si="18"/>
        <v>#DIV/0!</v>
      </c>
      <c r="U101" s="1" t="e">
        <f t="shared" si="16"/>
        <v>#DIV/0!</v>
      </c>
      <c r="V101" s="1">
        <v>0.8</v>
      </c>
      <c r="W101" s="1">
        <v>0.8</v>
      </c>
      <c r="X101" s="9" t="s">
        <v>148</v>
      </c>
      <c r="Y101" s="1">
        <f t="shared" si="19"/>
        <v>2.5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137</v>
      </c>
      <c r="B102" s="1" t="s">
        <v>30</v>
      </c>
      <c r="C102" s="1">
        <v>46</v>
      </c>
      <c r="D102" s="1">
        <v>3</v>
      </c>
      <c r="E102" s="1"/>
      <c r="F102" s="1"/>
      <c r="G102" s="7">
        <v>0.1</v>
      </c>
      <c r="H102" s="1"/>
      <c r="I102" s="1" t="s">
        <v>138</v>
      </c>
      <c r="J102" s="1"/>
      <c r="K102" s="1">
        <v>41</v>
      </c>
      <c r="L102" s="1">
        <f t="shared" ref="L102:L106" si="22">E102-K102</f>
        <v>-41</v>
      </c>
      <c r="M102" s="1"/>
      <c r="N102" s="1"/>
      <c r="O102" s="1">
        <v>0</v>
      </c>
      <c r="P102" s="1">
        <f t="shared" si="15"/>
        <v>0</v>
      </c>
      <c r="Q102" s="5">
        <v>30</v>
      </c>
      <c r="R102" s="5">
        <f t="shared" si="17"/>
        <v>30</v>
      </c>
      <c r="S102" s="20"/>
      <c r="T102" s="1" t="e">
        <f t="shared" si="18"/>
        <v>#DIV/0!</v>
      </c>
      <c r="U102" s="1" t="e">
        <f t="shared" si="16"/>
        <v>#DIV/0!</v>
      </c>
      <c r="V102" s="1">
        <v>0.6</v>
      </c>
      <c r="W102" s="1">
        <v>0.8</v>
      </c>
      <c r="X102" s="9" t="s">
        <v>149</v>
      </c>
      <c r="Y102" s="1">
        <f t="shared" si="19"/>
        <v>3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139</v>
      </c>
      <c r="B103" s="1" t="s">
        <v>30</v>
      </c>
      <c r="C103" s="1">
        <v>-1</v>
      </c>
      <c r="D103" s="1">
        <v>182</v>
      </c>
      <c r="E103" s="1">
        <v>41</v>
      </c>
      <c r="F103" s="1">
        <v>108</v>
      </c>
      <c r="G103" s="7">
        <v>0.3</v>
      </c>
      <c r="H103" s="1">
        <v>45</v>
      </c>
      <c r="I103" s="1" t="s">
        <v>28</v>
      </c>
      <c r="J103" s="1"/>
      <c r="K103" s="1">
        <v>47</v>
      </c>
      <c r="L103" s="1">
        <f t="shared" si="22"/>
        <v>-6</v>
      </c>
      <c r="M103" s="1"/>
      <c r="N103" s="1"/>
      <c r="O103" s="1">
        <v>40</v>
      </c>
      <c r="P103" s="1">
        <f t="shared" si="15"/>
        <v>8.1999999999999993</v>
      </c>
      <c r="Q103" s="5"/>
      <c r="R103" s="5">
        <f t="shared" si="17"/>
        <v>0</v>
      </c>
      <c r="S103" s="20"/>
      <c r="T103" s="1">
        <f t="shared" si="18"/>
        <v>18.04878048780488</v>
      </c>
      <c r="U103" s="1">
        <f t="shared" si="16"/>
        <v>18.04878048780488</v>
      </c>
      <c r="V103" s="1">
        <v>6.2</v>
      </c>
      <c r="W103" s="1">
        <v>5</v>
      </c>
      <c r="X103" s="1"/>
      <c r="Y103" s="1">
        <f t="shared" si="19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9" t="s">
        <v>63</v>
      </c>
      <c r="B104" s="1" t="s">
        <v>30</v>
      </c>
      <c r="C104" s="1"/>
      <c r="D104" s="1">
        <v>30</v>
      </c>
      <c r="E104" s="14">
        <f>0+E34</f>
        <v>16</v>
      </c>
      <c r="F104" s="14">
        <f>30+F34</f>
        <v>29</v>
      </c>
      <c r="G104" s="7">
        <v>0.3</v>
      </c>
      <c r="H104" s="1">
        <v>62</v>
      </c>
      <c r="I104" s="9" t="s">
        <v>28</v>
      </c>
      <c r="J104" s="1"/>
      <c r="K104" s="1"/>
      <c r="L104" s="1">
        <f t="shared" si="22"/>
        <v>16</v>
      </c>
      <c r="M104" s="1"/>
      <c r="N104" s="1"/>
      <c r="O104" s="1"/>
      <c r="P104" s="1">
        <f t="shared" si="15"/>
        <v>3.2</v>
      </c>
      <c r="Q104" s="5">
        <f t="shared" si="21"/>
        <v>19</v>
      </c>
      <c r="R104" s="5">
        <v>80</v>
      </c>
      <c r="S104" s="20">
        <f>VLOOKUP(A104,[1]Sheet!$A:$R,18,0)</f>
        <v>150</v>
      </c>
      <c r="T104" s="1">
        <f t="shared" si="18"/>
        <v>34.0625</v>
      </c>
      <c r="U104" s="1">
        <f t="shared" si="16"/>
        <v>9.0625</v>
      </c>
      <c r="V104" s="1">
        <v>0</v>
      </c>
      <c r="W104" s="1">
        <v>0</v>
      </c>
      <c r="X104" s="9" t="s">
        <v>140</v>
      </c>
      <c r="Y104" s="1">
        <f t="shared" si="19"/>
        <v>24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141</v>
      </c>
      <c r="B105" s="10" t="s">
        <v>27</v>
      </c>
      <c r="C105" s="10"/>
      <c r="D105" s="10"/>
      <c r="E105" s="10"/>
      <c r="F105" s="10"/>
      <c r="G105" s="11">
        <v>0</v>
      </c>
      <c r="H105" s="10">
        <v>60</v>
      </c>
      <c r="I105" s="10" t="s">
        <v>28</v>
      </c>
      <c r="J105" s="10"/>
      <c r="K105" s="10"/>
      <c r="L105" s="10">
        <f t="shared" si="22"/>
        <v>0</v>
      </c>
      <c r="M105" s="10"/>
      <c r="N105" s="10"/>
      <c r="O105" s="10">
        <v>0</v>
      </c>
      <c r="P105" s="10">
        <f t="shared" si="15"/>
        <v>0</v>
      </c>
      <c r="Q105" s="12"/>
      <c r="R105" s="5">
        <f t="shared" si="17"/>
        <v>0</v>
      </c>
      <c r="S105" s="20"/>
      <c r="T105" s="1" t="e">
        <f t="shared" si="18"/>
        <v>#DIV/0!</v>
      </c>
      <c r="U105" s="10" t="e">
        <f t="shared" si="16"/>
        <v>#DIV/0!</v>
      </c>
      <c r="V105" s="10">
        <v>0</v>
      </c>
      <c r="W105" s="10">
        <v>0</v>
      </c>
      <c r="X105" s="10" t="s">
        <v>100</v>
      </c>
      <c r="Y105" s="1">
        <f t="shared" si="19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142</v>
      </c>
      <c r="B106" s="10" t="s">
        <v>27</v>
      </c>
      <c r="C106" s="10"/>
      <c r="D106" s="10"/>
      <c r="E106" s="10"/>
      <c r="F106" s="10"/>
      <c r="G106" s="11">
        <v>0</v>
      </c>
      <c r="H106" s="10"/>
      <c r="I106" s="10" t="s">
        <v>28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>
        <f t="shared" si="15"/>
        <v>0</v>
      </c>
      <c r="Q106" s="12"/>
      <c r="R106" s="5">
        <f t="shared" si="17"/>
        <v>0</v>
      </c>
      <c r="S106" s="20"/>
      <c r="T106" s="1" t="e">
        <f t="shared" si="18"/>
        <v>#DIV/0!</v>
      </c>
      <c r="U106" s="10" t="e">
        <f t="shared" si="16"/>
        <v>#DIV/0!</v>
      </c>
      <c r="V106" s="10">
        <v>0</v>
      </c>
      <c r="W106" s="10">
        <v>0</v>
      </c>
      <c r="X106" s="10" t="s">
        <v>100</v>
      </c>
      <c r="Y106" s="1">
        <f t="shared" si="19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5" t="s">
        <v>143</v>
      </c>
      <c r="B107" s="15" t="s">
        <v>27</v>
      </c>
      <c r="C107" s="15"/>
      <c r="D107" s="15"/>
      <c r="E107" s="15"/>
      <c r="F107" s="15"/>
      <c r="G107" s="16">
        <v>0</v>
      </c>
      <c r="H107" s="15"/>
      <c r="I107" s="15" t="s">
        <v>144</v>
      </c>
      <c r="J107" s="15"/>
      <c r="K107" s="15"/>
      <c r="L107" s="15"/>
      <c r="M107" s="15"/>
      <c r="N107" s="15"/>
      <c r="O107" s="15">
        <v>50</v>
      </c>
      <c r="P107" s="15">
        <f t="shared" ref="P107:P109" si="23">E107/5</f>
        <v>0</v>
      </c>
      <c r="Q107" s="17"/>
      <c r="R107" s="5">
        <f t="shared" si="17"/>
        <v>0</v>
      </c>
      <c r="S107" s="20"/>
      <c r="T107" s="1" t="e">
        <f t="shared" si="18"/>
        <v>#DIV/0!</v>
      </c>
      <c r="U107" s="15" t="e">
        <f t="shared" ref="U107:U109" si="24">(F107+O107)/P107</f>
        <v>#DIV/0!</v>
      </c>
      <c r="V107" s="15">
        <v>0</v>
      </c>
      <c r="W107" s="15">
        <v>0</v>
      </c>
      <c r="X107" s="15"/>
      <c r="Y107" s="1">
        <f t="shared" si="19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5" t="s">
        <v>145</v>
      </c>
      <c r="B108" s="15" t="s">
        <v>27</v>
      </c>
      <c r="C108" s="15"/>
      <c r="D108" s="15"/>
      <c r="E108" s="15"/>
      <c r="F108" s="15"/>
      <c r="G108" s="16">
        <v>0</v>
      </c>
      <c r="H108" s="15"/>
      <c r="I108" s="15" t="s">
        <v>144</v>
      </c>
      <c r="J108" s="15"/>
      <c r="K108" s="15"/>
      <c r="L108" s="15"/>
      <c r="M108" s="15"/>
      <c r="N108" s="15"/>
      <c r="O108" s="15">
        <v>50</v>
      </c>
      <c r="P108" s="15">
        <f t="shared" si="23"/>
        <v>0</v>
      </c>
      <c r="Q108" s="17"/>
      <c r="R108" s="5">
        <f t="shared" si="17"/>
        <v>0</v>
      </c>
      <c r="S108" s="20"/>
      <c r="T108" s="1" t="e">
        <f t="shared" si="18"/>
        <v>#DIV/0!</v>
      </c>
      <c r="U108" s="15" t="e">
        <f t="shared" si="24"/>
        <v>#DIV/0!</v>
      </c>
      <c r="V108" s="15">
        <v>0</v>
      </c>
      <c r="W108" s="15">
        <v>0</v>
      </c>
      <c r="X108" s="15"/>
      <c r="Y108" s="1">
        <f t="shared" si="19"/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5" t="s">
        <v>146</v>
      </c>
      <c r="B109" s="15" t="s">
        <v>30</v>
      </c>
      <c r="C109" s="15"/>
      <c r="D109" s="15"/>
      <c r="E109" s="15"/>
      <c r="F109" s="15"/>
      <c r="G109" s="16">
        <v>0</v>
      </c>
      <c r="H109" s="15"/>
      <c r="I109" s="15" t="s">
        <v>144</v>
      </c>
      <c r="J109" s="15"/>
      <c r="K109" s="15"/>
      <c r="L109" s="15"/>
      <c r="M109" s="15"/>
      <c r="N109" s="15"/>
      <c r="O109" s="15">
        <v>70</v>
      </c>
      <c r="P109" s="15">
        <f t="shared" si="23"/>
        <v>0</v>
      </c>
      <c r="Q109" s="17"/>
      <c r="R109" s="5">
        <f t="shared" si="17"/>
        <v>0</v>
      </c>
      <c r="S109" s="20"/>
      <c r="T109" s="1" t="e">
        <f t="shared" si="18"/>
        <v>#DIV/0!</v>
      </c>
      <c r="U109" s="15" t="e">
        <f t="shared" si="24"/>
        <v>#DIV/0!</v>
      </c>
      <c r="V109" s="15">
        <v>0</v>
      </c>
      <c r="W109" s="15">
        <v>0</v>
      </c>
      <c r="X109" s="15"/>
      <c r="Y109" s="1">
        <f t="shared" si="19"/>
        <v>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Y10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2026-10-12T14:46:29Z</dcterms:created>
  <dcterms:modified xsi:type="dcterms:W3CDTF">2026-10-14T11:26:14Z</dcterms:modified>
</cp:coreProperties>
</file>