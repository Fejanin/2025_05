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720" yWindow="0" windowWidth="22320" windowHeight="9780"/>
  </bookViews>
  <sheets>
    <sheet name="ЗПФ Останкино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3" l="1"/>
  <c r="J12" i="3"/>
  <c r="K4" i="3"/>
  <c r="K5" i="3"/>
  <c r="K6" i="3"/>
  <c r="K7" i="3"/>
  <c r="K8" i="3"/>
  <c r="K9" i="3"/>
  <c r="K10" i="3"/>
  <c r="K11" i="3"/>
  <c r="K3" i="3"/>
</calcChain>
</file>

<file path=xl/sharedStrings.xml><?xml version="1.0" encoding="utf-8"?>
<sst xmlns="http://schemas.openxmlformats.org/spreadsheetml/2006/main" count="37" uniqueCount="21">
  <si>
    <t>БЛИНЧ.С КУРИНЫМ МЯСОМ пл.1/350 зам. (6209)</t>
  </si>
  <si>
    <t>ШТ</t>
  </si>
  <si>
    <t>БЛИНЧ.С МЯСОМ пл.1/350 зам. (6168)</t>
  </si>
  <si>
    <t>БЛИНЧ.КРУГЛЫЕ С САД.ЯБЛОК.1/420 зам_ПОСТ (5579)</t>
  </si>
  <si>
    <t>БЛИНЧ.КРУГЛЫЕ С ГРУШЕЙ пл.1/420 зам (5897)</t>
  </si>
  <si>
    <t>БЛИНЧ.КРУГЛЫЕ С ВЕТЧ.И СЫР.ПМ 1/300 зам. (6148)</t>
  </si>
  <si>
    <t>БЛИНЧ.КРУГЛЫЕ С ПЕЧЕНЬЮ ПМ 1/300 зам. (6149)</t>
  </si>
  <si>
    <t>БЛИНЧ.КРУГЛЫЕ С ТВОРОГОМ ПМ 1/300 зам. (6202)</t>
  </si>
  <si>
    <t>БЛИНЧ.КРУГЛЫЕ С САД.ЯБЛОК.пл.1/300 зам. (6819)</t>
  </si>
  <si>
    <t>СОЧНЫЕ СО СЛ.МАСЛ.ПМ пельм пл.0.7кг зам.</t>
  </si>
  <si>
    <t>SKU</t>
  </si>
  <si>
    <t>Длинный код</t>
  </si>
  <si>
    <t>Наименование</t>
  </si>
  <si>
    <t>ЕИ</t>
  </si>
  <si>
    <t>Вес един.</t>
  </si>
  <si>
    <t>-18</t>
  </si>
  <si>
    <t xml:space="preserve">Условия хранения </t>
  </si>
  <si>
    <t>Срок годности, сут</t>
  </si>
  <si>
    <t>Кол-во инд. Упак шт.</t>
  </si>
  <si>
    <t>Заказ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</si>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</sst>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6" x14ac:knownFonts="1">
    <font>
      <sz val="8"/>
      <name val="Arial"/>
      <charset val="204"/>
    </font>
    <font>
      <sz val="8"/>
      <name val="Arial"/>
      <charset val="204"/>
    </font>
    <font>
      <sz val="11"/>
      <name val="Arial"/>
      <family val="2"/>
      <charset val="204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4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/>
    <xf numFmtId="165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/>
    <xf numFmtId="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" fontId="2" fillId="0" borderId="3" xfId="0" applyNumberFormat="1" applyFont="1" applyBorder="1"/>
    <xf numFmtId="1" fontId="2" fillId="3" borderId="4" xfId="0" applyNumberFormat="1" applyFont="1" applyFill="1" applyBorder="1"/>
    <xf numFmtId="1" fontId="2" fillId="3" borderId="2" xfId="0" applyNumberFormat="1" applyFont="1" applyFill="1" applyBorder="1"/>
    <xf numFmtId="0" fontId="2" fillId="3" borderId="0" xfId="0" applyFont="1" applyFill="1" applyAlignment="1">
      <alignment horizontal="center" vertical="center"/>
    </xf>
    <xf numFmtId="0" fontId="5" fillId="0" borderId="0" xfId="0" applyFont="1"/>
  </cellXfs>
  <cellStyles count="2">
    <cellStyle name="Обычный" xfId="0" builtinId="0"/>
    <cellStyle name="Финансовый" xfId="1" builtinId="3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topLeftCell="D1" zoomScale="85" zoomScaleNormal="85" workbookViewId="0">
      <selection activeCell="T12" sqref="T12"/>
    </sheetView>
  </sheetViews>
  <sheetFormatPr defaultColWidth="9.140625" defaultRowHeight="13.8" x14ac:dyDescent="0.25"/>
  <cols>
    <col min="1" max="1" width="9.28515625" style="1" hidden="1" customWidth="1"/>
    <col min="2" max="2" width="35.42578125" style="1" hidden="1" customWidth="1"/>
    <col min="3" max="3" width="28.140625" style="1" hidden="1" customWidth="1"/>
    <col min="4" max="4" width="61.85546875" style="1" customWidth="1"/>
    <col min="5" max="5" width="10.7109375" style="8" customWidth="1"/>
    <col min="6" max="6" width="11.42578125" style="8" customWidth="1"/>
    <col min="7" max="7" width="18.7109375" style="8" customWidth="1"/>
    <col min="8" max="8" width="21.42578125" style="1" customWidth="1"/>
    <col min="9" max="9" width="19.42578125" style="1" customWidth="1"/>
    <col min="10" max="10" width="13.42578125" style="1" customWidth="1"/>
    <col min="11" max="16384" width="9.140625" style="1"/>
  </cols>
  <sheetData>
    <row r="1" spans="1:20" ht="13.95" customHeight="1" x14ac:dyDescent="0.3">
      <c r="A1" s="18" t="s">
        <v>10</v>
      </c>
      <c r="B1" s="18" t="s">
        <v>11</v>
      </c>
      <c r="C1" s="18"/>
      <c r="D1" s="19" t="s">
        <v>12</v>
      </c>
      <c r="E1" s="12" t="s">
        <v>13</v>
      </c>
      <c r="F1" s="12" t="s">
        <v>14</v>
      </c>
      <c r="G1" s="12"/>
      <c r="H1" s="13"/>
      <c r="I1" s="13"/>
      <c r="J1" s="14"/>
    </row>
    <row r="2" spans="1:20" ht="65.400000000000006" customHeight="1" x14ac:dyDescent="0.3">
      <c r="A2" s="18"/>
      <c r="B2" s="18"/>
      <c r="C2" s="18"/>
      <c r="D2" s="19"/>
      <c r="E2" s="12"/>
      <c r="F2" s="12"/>
      <c r="G2" s="15" t="s">
        <v>18</v>
      </c>
      <c r="H2" s="13" t="s">
        <v>16</v>
      </c>
      <c r="I2" s="13" t="s">
        <v>17</v>
      </c>
      <c r="J2" s="16" t="s">
        <v>19</v>
      </c>
      <c r="K2" s="23" t="s">
        <v>20</v>
      </c>
    </row>
    <row r="3" spans="1:20" x14ac:dyDescent="0.25">
      <c r="A3" s="2">
        <v>6209</v>
      </c>
      <c r="B3" s="3">
        <v>1002131146209</v>
      </c>
      <c r="C3" s="3">
        <v>4607958079032</v>
      </c>
      <c r="D3" s="4" t="s">
        <v>0</v>
      </c>
      <c r="E3" s="2" t="s">
        <v>1</v>
      </c>
      <c r="F3" s="2">
        <v>0.35</v>
      </c>
      <c r="G3" s="10">
        <v>12</v>
      </c>
      <c r="H3" s="2" t="s">
        <v>15</v>
      </c>
      <c r="I3" s="2">
        <v>120</v>
      </c>
      <c r="J3" s="17">
        <v>480</v>
      </c>
      <c r="K3" s="1">
        <f>J3*F3</f>
        <v>168</v>
      </c>
    </row>
    <row r="4" spans="1:20" x14ac:dyDescent="0.25">
      <c r="A4" s="2">
        <v>6168</v>
      </c>
      <c r="B4" s="3">
        <v>1002131156168</v>
      </c>
      <c r="C4" s="3">
        <v>4607958073375</v>
      </c>
      <c r="D4" s="4" t="s">
        <v>2</v>
      </c>
      <c r="E4" s="2" t="s">
        <v>1</v>
      </c>
      <c r="F4" s="2">
        <v>0.35</v>
      </c>
      <c r="G4" s="10">
        <v>12</v>
      </c>
      <c r="H4" s="2" t="s">
        <v>15</v>
      </c>
      <c r="I4" s="2">
        <v>120</v>
      </c>
      <c r="J4" s="17">
        <v>480</v>
      </c>
      <c r="K4" s="1">
        <f t="shared" ref="K4:K11" si="0">J4*F4</f>
        <v>168</v>
      </c>
    </row>
    <row r="5" spans="1:20" x14ac:dyDescent="0.25">
      <c r="A5" s="2">
        <v>5579</v>
      </c>
      <c r="B5" s="3">
        <v>1002134275579</v>
      </c>
      <c r="C5" s="3">
        <v>4607958072651</v>
      </c>
      <c r="D5" s="4" t="s">
        <v>3</v>
      </c>
      <c r="E5" s="2" t="s">
        <v>1</v>
      </c>
      <c r="F5" s="2">
        <v>0.42</v>
      </c>
      <c r="G5" s="10">
        <v>10</v>
      </c>
      <c r="H5" s="2" t="s">
        <v>15</v>
      </c>
      <c r="I5" s="2">
        <v>120</v>
      </c>
      <c r="J5" s="17">
        <v>400</v>
      </c>
      <c r="K5" s="1">
        <f t="shared" si="0"/>
        <v>168</v>
      </c>
    </row>
    <row r="6" spans="1:20" x14ac:dyDescent="0.25">
      <c r="A6" s="2">
        <v>5897</v>
      </c>
      <c r="B6" s="3">
        <v>1002134615897</v>
      </c>
      <c r="C6" s="3">
        <v>4607958073481</v>
      </c>
      <c r="D6" s="4" t="s">
        <v>4</v>
      </c>
      <c r="E6" s="2" t="s">
        <v>1</v>
      </c>
      <c r="F6" s="2">
        <v>0.42</v>
      </c>
      <c r="G6" s="10">
        <v>10</v>
      </c>
      <c r="H6" s="2" t="s">
        <v>15</v>
      </c>
      <c r="I6" s="2">
        <v>120</v>
      </c>
      <c r="J6" s="17">
        <v>400</v>
      </c>
      <c r="K6" s="1">
        <f t="shared" si="0"/>
        <v>168</v>
      </c>
    </row>
    <row r="7" spans="1:20" x14ac:dyDescent="0.25">
      <c r="A7" s="2">
        <v>6148</v>
      </c>
      <c r="B7" s="3">
        <v>1002133376148</v>
      </c>
      <c r="C7" s="3">
        <v>4607958078776</v>
      </c>
      <c r="D7" s="4" t="s">
        <v>5</v>
      </c>
      <c r="E7" s="2" t="s">
        <v>1</v>
      </c>
      <c r="F7" s="2">
        <v>0.3</v>
      </c>
      <c r="G7" s="10">
        <v>12</v>
      </c>
      <c r="H7" s="2" t="s">
        <v>15</v>
      </c>
      <c r="I7" s="2">
        <v>120</v>
      </c>
      <c r="J7" s="17">
        <v>480</v>
      </c>
      <c r="K7" s="1">
        <f t="shared" si="0"/>
        <v>144</v>
      </c>
    </row>
    <row r="8" spans="1:20" x14ac:dyDescent="0.25">
      <c r="A8" s="5">
        <v>6149</v>
      </c>
      <c r="B8" s="6">
        <v>1002131166149</v>
      </c>
      <c r="C8" s="3">
        <v>4607958078660</v>
      </c>
      <c r="D8" s="7" t="s">
        <v>6</v>
      </c>
      <c r="E8" s="3" t="s">
        <v>1</v>
      </c>
      <c r="F8" s="9">
        <v>0.3</v>
      </c>
      <c r="G8" s="11">
        <v>12</v>
      </c>
      <c r="H8" s="2" t="s">
        <v>15</v>
      </c>
      <c r="I8" s="2">
        <v>120</v>
      </c>
      <c r="J8" s="17">
        <v>480</v>
      </c>
      <c r="K8" s="1">
        <f t="shared" si="0"/>
        <v>144</v>
      </c>
    </row>
    <row r="9" spans="1:20" x14ac:dyDescent="0.25">
      <c r="A9" s="5">
        <v>6202</v>
      </c>
      <c r="B9" s="6">
        <v>1002131186202</v>
      </c>
      <c r="C9" s="3">
        <v>4607958078684</v>
      </c>
      <c r="D9" s="7" t="s">
        <v>7</v>
      </c>
      <c r="E9" s="3" t="s">
        <v>1</v>
      </c>
      <c r="F9" s="9">
        <v>0.3</v>
      </c>
      <c r="G9" s="11">
        <v>12</v>
      </c>
      <c r="H9" s="2" t="s">
        <v>15</v>
      </c>
      <c r="I9" s="2">
        <v>120</v>
      </c>
      <c r="J9" s="17">
        <v>480</v>
      </c>
      <c r="K9" s="1">
        <f t="shared" si="0"/>
        <v>144</v>
      </c>
    </row>
    <row r="10" spans="1:20" x14ac:dyDescent="0.25">
      <c r="A10" s="5">
        <v>6819</v>
      </c>
      <c r="B10" s="3">
        <v>1002134276819</v>
      </c>
      <c r="C10" s="3">
        <v>4607958077397</v>
      </c>
      <c r="D10" s="7" t="s">
        <v>8</v>
      </c>
      <c r="E10" s="3" t="s">
        <v>1</v>
      </c>
      <c r="F10" s="9">
        <v>0.3</v>
      </c>
      <c r="G10" s="11">
        <v>12</v>
      </c>
      <c r="H10" s="2" t="s">
        <v>15</v>
      </c>
      <c r="I10" s="2">
        <v>120</v>
      </c>
      <c r="J10" s="17">
        <v>480</v>
      </c>
      <c r="K10" s="1">
        <f t="shared" si="0"/>
        <v>144</v>
      </c>
    </row>
    <row r="11" spans="1:20" ht="14.4" thickBot="1" x14ac:dyDescent="0.3">
      <c r="A11" s="2">
        <v>7216</v>
      </c>
      <c r="B11" s="3">
        <v>1002116437216</v>
      </c>
      <c r="C11" s="3">
        <v>4607958079155</v>
      </c>
      <c r="D11" s="4" t="s">
        <v>9</v>
      </c>
      <c r="E11" s="2" t="s">
        <v>1</v>
      </c>
      <c r="F11" s="2">
        <v>0.7</v>
      </c>
      <c r="G11" s="10">
        <v>10</v>
      </c>
      <c r="H11" s="2" t="s">
        <v>15</v>
      </c>
      <c r="I11" s="2">
        <v>180</v>
      </c>
      <c r="J11" s="20">
        <v>400</v>
      </c>
      <c r="K11" s="1">
        <f t="shared" si="0"/>
        <v>280</v>
      </c>
    </row>
    <row r="12" spans="1:20" ht="14.4" thickBot="1" x14ac:dyDescent="0.3">
      <c r="J12" s="22">
        <f>SUM(J3:J11)</f>
        <v>4080</v>
      </c>
      <c r="K12" s="21">
        <f>SUM(K3:K11)</f>
        <v>1528</v>
      </c>
      <c r="T12" s="24"/>
    </row>
  </sheetData>
  <mergeCells count="4">
    <mergeCell ref="A1:A2"/>
    <mergeCell ref="B1:B2"/>
    <mergeCell ref="D1:D2"/>
    <mergeCell ref="C1:C2"/>
  </mergeCells>
  <conditionalFormatting sqref="A1">
    <cfRule type="duplicateValues" dxfId="31" priority="47"/>
  </conditionalFormatting>
  <conditionalFormatting sqref="A1:A2">
    <cfRule type="duplicateValues" dxfId="30" priority="44"/>
    <cfRule type="duplicateValues" dxfId="29" priority="45"/>
    <cfRule type="duplicateValues" dxfId="28" priority="46"/>
  </conditionalFormatting>
  <conditionalFormatting sqref="A1:A2">
    <cfRule type="duplicateValues" dxfId="27" priority="40"/>
  </conditionalFormatting>
  <conditionalFormatting sqref="A1:A2">
    <cfRule type="duplicateValues" dxfId="26" priority="41"/>
  </conditionalFormatting>
  <conditionalFormatting sqref="A1:A2">
    <cfRule type="duplicateValues" dxfId="25" priority="42"/>
  </conditionalFormatting>
  <conditionalFormatting sqref="A1:C1 A2:B2">
    <cfRule type="duplicateValues" dxfId="24" priority="43"/>
  </conditionalFormatting>
  <conditionalFormatting sqref="A7">
    <cfRule type="duplicateValues" dxfId="23" priority="22"/>
  </conditionalFormatting>
  <conditionalFormatting sqref="A7">
    <cfRule type="duplicateValues" dxfId="22" priority="23"/>
    <cfRule type="duplicateValues" dxfId="21" priority="24"/>
  </conditionalFormatting>
  <conditionalFormatting sqref="A7">
    <cfRule type="duplicateValues" dxfId="20" priority="25"/>
  </conditionalFormatting>
  <conditionalFormatting sqref="A8">
    <cfRule type="duplicateValues" dxfId="19" priority="18"/>
    <cfRule type="duplicateValues" dxfId="18" priority="19"/>
  </conditionalFormatting>
  <conditionalFormatting sqref="A8">
    <cfRule type="duplicateValues" dxfId="17" priority="20"/>
  </conditionalFormatting>
  <conditionalFormatting sqref="A8">
    <cfRule type="duplicateValues" dxfId="16" priority="21"/>
  </conditionalFormatting>
  <conditionalFormatting sqref="A9">
    <cfRule type="duplicateValues" dxfId="15" priority="14"/>
    <cfRule type="duplicateValues" dxfId="14" priority="15"/>
  </conditionalFormatting>
  <conditionalFormatting sqref="A9">
    <cfRule type="duplicateValues" dxfId="13" priority="16"/>
  </conditionalFormatting>
  <conditionalFormatting sqref="A9">
    <cfRule type="duplicateValues" dxfId="12" priority="17"/>
  </conditionalFormatting>
  <conditionalFormatting sqref="A10">
    <cfRule type="duplicateValues" dxfId="11" priority="10"/>
    <cfRule type="duplicateValues" dxfId="10" priority="11"/>
  </conditionalFormatting>
  <conditionalFormatting sqref="A10">
    <cfRule type="duplicateValues" dxfId="9" priority="12"/>
  </conditionalFormatting>
  <conditionalFormatting sqref="A10">
    <cfRule type="duplicateValues" dxfId="8" priority="13"/>
  </conditionalFormatting>
  <conditionalFormatting sqref="A3:A6">
    <cfRule type="duplicateValues" dxfId="7" priority="26"/>
  </conditionalFormatting>
  <conditionalFormatting sqref="A3:A6">
    <cfRule type="duplicateValues" dxfId="6" priority="27"/>
    <cfRule type="duplicateValues" dxfId="5" priority="28"/>
  </conditionalFormatting>
  <conditionalFormatting sqref="A3:A6">
    <cfRule type="duplicateValues" dxfId="4" priority="29"/>
  </conditionalFormatting>
  <conditionalFormatting sqref="A11">
    <cfRule type="duplicateValues" dxfId="3" priority="4"/>
  </conditionalFormatting>
  <conditionalFormatting sqref="A11">
    <cfRule type="duplicateValues" dxfId="2" priority="1"/>
    <cfRule type="duplicateValues" dxfId="1" priority="2"/>
  </conditionalFormatting>
  <conditionalFormatting sqref="A11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ЗПФ Останкино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2025-06-05T13:11:00Z</dcterms:created>
  <dcterms:modified xsi:type="dcterms:W3CDTF">2026-10-15T08:37:03Z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31CBB95BC5B34F99B289981BCB051500_13</vt:lpwstr>
  </property>
  <property fmtid="{D5CDD505-2E9C-101B-9397-08002B2CF9AE}" pid="3" name="KSOProductBuildVer">
    <vt:lpwstr>1049-12.2.0.23196</vt:lpwstr>
  </property>
</Properties>
</file>