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2,10,26 Останкино КИ и ЗПФ\машина САП 19,10 Донецк_Луганск_Мелитополь_Байдерман КИ+ЗПФ\"/>
    </mc:Choice>
  </mc:AlternateContent>
  <xr:revisionPtr revIDLastSave="0" documentId="13_ncr:1_{D8151294-FC5E-4226-80BE-3E75C957D5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_xlnm._FilterDatabase" localSheetId="0" hidden="1">Бланк!$A$9:$J$154</definedName>
    <definedName name="кол_во_инд.__упак_к">Бланк!$AC$3:$AC$586</definedName>
    <definedName name="номин.вес_нетто__кг">Бланк!$W$3:$W$586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" i="1" l="1"/>
  <c r="G3" i="1" l="1"/>
  <c r="G75" i="1" l="1"/>
  <c r="A75" i="1"/>
  <c r="J153" i="1" l="1"/>
  <c r="J152" i="1"/>
  <c r="J139" i="1"/>
  <c r="J138" i="1"/>
  <c r="J136" i="1"/>
  <c r="J129" i="1"/>
  <c r="J102" i="1"/>
  <c r="J96" i="1"/>
  <c r="J95" i="1"/>
  <c r="J94" i="1"/>
  <c r="J90" i="1"/>
  <c r="J85" i="1"/>
  <c r="J60" i="1"/>
  <c r="J29" i="1"/>
  <c r="J28" i="1"/>
  <c r="G129" i="1" l="1"/>
  <c r="G102" i="1"/>
  <c r="G153" i="1" l="1"/>
  <c r="G152" i="1"/>
  <c r="A153" i="1"/>
  <c r="A152" i="1"/>
  <c r="G95" i="1"/>
  <c r="A95" i="1"/>
  <c r="E154" i="1" l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A102" i="1"/>
  <c r="G101" i="1"/>
  <c r="A101" i="1"/>
  <c r="G100" i="1"/>
  <c r="A100" i="1"/>
  <c r="G98" i="1"/>
  <c r="A98" i="1"/>
  <c r="G97" i="1"/>
  <c r="A97" i="1"/>
  <c r="G96" i="1"/>
  <c r="A96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54" i="1" l="1"/>
  <c r="F3" i="1"/>
  <c r="K6" i="1" l="1"/>
  <c r="K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<sst xmlns="http://schemas.openxmlformats.org/spreadsheetml/2006/main" count="620" uniqueCount="224">
  <si>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</si>
  <si>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</si>
  <si>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</si>
  <si>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</si>
  <si>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</si>
  <si>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</si>
  <si>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</si>
  <si>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</si>
  <si>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</si>
  <si>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</si>
  <si>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</si>
  <si>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</si>
  <si>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</si>
  <si>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</si>
  <si>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</si>
  <si>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</si>
  <si>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</si>
  <si>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</si>
  <si>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</si>
  <si>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</si>
  <si>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</si>
  <si>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</si>
  <si>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</si>
  <si>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</si>
  <si>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</si>
  <si>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</si>
  <si>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</si>
  <si>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</si>
  <si>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</si>
  <si>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</si>
  <si>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</si>
  <si>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</si>
  <si>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</si>
  <si>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</si>
  <si>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</si>
  <si>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</si>
  <si>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</si>
  <si>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</si>
  <si>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</si>
  <si>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</si>
  <si>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</si>
  <si>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</si>
  <si>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</si>
  <si>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</si>
  <si>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</si>
  <si>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</si>
  <si>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</si>
  <si>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</si>
  <si>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</si>
  <si>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</si>
  <si>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</si>
  <si>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</si>
  <si>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</si>
  <si>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</si>
  <si>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</si>
  <si>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</si>
  <si>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</si>
  <si>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</si>
  <si>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</si>
  <si>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</si>
  <si>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</si>
  <si>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</si>
  <si>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</si>
  <si>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</si>
  <si>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</si>
  <si>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</si>
  <si>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</si>
  <si>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</si>
  <si>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</si>
  <si>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</si>
  <si>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</si>
  <si>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</si>
  <si>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</si>
  <si>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</si>
  <si>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</si>
  <si>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</si>
  <si>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</si>
  <si>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</si>
  <si>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</si>
  <si>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</si>
  <si>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</si>
  <si>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</si>
  <si>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</si>
  <si>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</si>
  <si>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</si>
  <si>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</si>
  <si>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</si>
  <si>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</si>
  <si>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</si>
  <si>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</si>
  <si>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</si>
  <si>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</si>
  <si>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</si>
  <si>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</si>
  <si>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</si>
  <si>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</si>
  <si>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</si>
  <si>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</si>
  <si>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</si>
  <si>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</si>
  <si>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</si>
  <si>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</si>
  <si>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</si>
  <si>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</si>
  <si>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</si>
  <si>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</si>
  <si>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</si>
  <si>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</si>
  <si>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</si>
  <si>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</si>
  <si>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</si>
  <si>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</si>
  <si>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</si>
  <si>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</si>
  <si>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</si>
  <si>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</si>
  <si>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</si>
  <si>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</si>
  <si>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</si>
  <si>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</si>
  <si>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</si>
  <si>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</si>
  <si>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</si>
  <si>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</si>
  <si>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</si>
  <si>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</si>
  <si>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</si>
  <si>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</si>
  <si>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</si>
  <si>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</si>
  <si>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</si>
  <si>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</si>
  <si>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</si>
  <si>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</si>
  <si>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</si>
  <si>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</si>
  <si>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</si>
  <si>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</si>
  <si>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</si>
  <si>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</si>
  <si>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</si>
  <si>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</si>
  <si>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</si>
  <si>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</si>
  <si>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</si>
  <si>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</si>
  <si>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</si>
  <si>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</si>
  <si>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</si>
  <si>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</si>
  <si>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</si>
  <si>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</si>
  <si>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</si>
  <si>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</si>
  <si>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</si>
  <si>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</si>
  <si>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</si>
  <si>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</si>
  <si>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</si>
  <si>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</si>
  <si>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</si>
  <si>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</si>
  <si>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</si>
  <si>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</si>
  <si>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</si>
  <si>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</si>
  <si>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</si>
  <si>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</si>
  <si>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</si>
  <si>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</si>
  <si>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</si>
  <si>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</si>
  <si>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</si>
  <si>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</si>
  <si>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</si>
  <si>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</si>
  <si>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</si>
  <si>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</si>
  <si>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</si>
  <si>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</si>
  <si>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</si>
  <si>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</si>
  <si>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</si>
  <si>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</si>
  <si>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</si>
  <si>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</si>
  <si>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</si>
  <si>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</si>
  <si>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</si>
  <si>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САЛО СОЛЕНОЕ С ЧЕРНЫМ ПЕРЦЕМ мл/к в/у</t>
  </si>
  <si>
    <t>БАЛЫК с/к с/н в/у 1/100 10шт_Л11</t>
  </si>
  <si>
    <t>БРАУНШВЕЙГСКАЯ с/к с/н мгс 1/100_Л10</t>
  </si>
  <si>
    <t>ЭКСТРА Папа может с/к с/н в/у 1/100_Л10</t>
  </si>
  <si>
    <t xml:space="preserve">ЛП Луганск </t>
  </si>
  <si>
    <t>Грация</t>
  </si>
  <si>
    <t>АРОМАТНАЯ с/к с/н в/у 1/100 10шт_Л10 (7613)</t>
  </si>
  <si>
    <t>С ИНДЕЙКОЙ ПМ сос ц/о в/у 1/270 8шт.</t>
  </si>
  <si>
    <t>ВЕТЧ.МЯСНАЯ Папа может п/о 0.4кг 8шт.</t>
  </si>
  <si>
    <t>БЕКОН Останкино с/к с/н в/у 1/180_50с</t>
  </si>
  <si>
    <t>СЕРВЕЛАТ ШВЕЙЦАРСК.в/к с/н в/у 1/100_Л11</t>
  </si>
  <si>
    <t>ДЛЯ ДЕТЕЙ Папа может сос п/о мгс 0.264кг</t>
  </si>
  <si>
    <t>БАЛЫКОВАЯ ПМ п/к в/у 0.31кг 8шт_209к</t>
  </si>
  <si>
    <t xml:space="preserve">ВЕТЧ.ИЗ ЛОПАТКИ Папа может п/о_HRC </t>
  </si>
  <si>
    <t>РИЕТ МЯСНОЙ С ГРИБАМИ ПМ п/о 1/150</t>
  </si>
  <si>
    <t>БАЛЫК И ШЕЙКА с/в с/н мгс 1/90 8шт.</t>
  </si>
  <si>
    <t>СЕРВЕЛАТ КОПЧ.НА БУКЕ в/к в/у 0.35кг_50с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</si>
  <si>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</si>
  <si>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</si>
  <si>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</si>
  <si>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</si>
  <si>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ВОСКРЕСЕНСКАЯ ВЯЛЕНАЯ в/к в/у срез 1/260</t>
  </si>
  <si>
    <t>НОВОМОСКОВСКАЯ в/к в/у срез 0.31кг</t>
  </si>
  <si>
    <t>КРАКОВСКАЯ ГОСТ Останкино п/к н/о мгс</t>
  </si>
  <si>
    <t>КРАКОВСКАЯ ГОСТ п/к н/о мгс 0.3кг</t>
  </si>
  <si>
    <t>КОНСЕРВЫ МЯС.ГОВЯДИНА ТУШ. В/С 338г_ЧЗ</t>
  </si>
  <si>
    <t>КОНСЕРВЫ МЯС.СВИНИНА ТУШ. В/С 325г_ЧЗ</t>
  </si>
  <si>
    <t>ЛИТОВСКАЯ с/к в/у</t>
  </si>
  <si>
    <t>ВЕТЧ.МРАМОРНАЯ в/у срез 0.3кг 6шт_62с</t>
  </si>
  <si>
    <t>СОЧНЫЙ ГРИЛЬ сос ц/о мгс 0.41кг_Даблпак</t>
  </si>
  <si>
    <t>ХОЧУ ВЕТЧ.ИЗ СВ.ОТРУБА мгс 1/100_45с_Л11</t>
  </si>
  <si>
    <t>ХОЧУ ВЕТЧ. МРАМОР. с/н мгс 1/100_45с_Л11</t>
  </si>
  <si>
    <t>ДОМАШНИЙ РЕЦЕПТ Коровино вар п/о_332к</t>
  </si>
  <si>
    <t>САЛЯМИ ZHAZIRA ASLAM в/к в/у 0.82кг</t>
  </si>
  <si>
    <t>ЛП Луганск (АСЛАМ)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</si>
</sst>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3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0" fillId="0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8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left" vertical="center"/>
    </xf>
    <xf numFmtId="0" fontId="20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0" fontId="22" fillId="8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 vertical="center"/>
    </xf>
    <xf numFmtId="2" fontId="20" fillId="9" borderId="8" xfId="4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1" fontId="20" fillId="0" borderId="8" xfId="0" applyNumberFormat="1" applyFont="1" applyFill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1" fontId="21" fillId="0" borderId="14" xfId="0" applyNumberFormat="1" applyFont="1" applyFill="1" applyBorder="1" applyAlignment="1">
      <alignment horizontal="center" vertical="center"/>
    </xf>
    <xf numFmtId="0" fontId="20" fillId="0" borderId="14" xfId="0" applyNumberFormat="1" applyFont="1" applyFill="1" applyBorder="1" applyAlignment="1">
      <alignment horizontal="center" vertical="center"/>
    </xf>
    <xf numFmtId="1" fontId="20" fillId="0" borderId="14" xfId="0" applyNumberFormat="1" applyFont="1" applyFill="1" applyBorder="1" applyAlignment="1">
      <alignment horizontal="center" vertical="center"/>
    </xf>
    <xf numFmtId="1" fontId="20" fillId="0" borderId="14" xfId="0" applyNumberFormat="1" applyFont="1" applyFill="1" applyBorder="1" applyAlignment="1">
      <alignment horizontal="left" vertical="center"/>
    </xf>
    <xf numFmtId="2" fontId="20" fillId="0" borderId="14" xfId="4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6" fillId="0" borderId="8" xfId="0" applyNumberFormat="1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left" vertical="center"/>
    </xf>
    <xf numFmtId="0" fontId="22" fillId="9" borderId="8" xfId="0" applyFont="1" applyFill="1" applyBorder="1" applyAlignment="1">
      <alignment horizontal="center" vertical="center"/>
    </xf>
    <xf numFmtId="2" fontId="22" fillId="9" borderId="8" xfId="4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left" vertical="center"/>
    </xf>
    <xf numFmtId="0" fontId="28" fillId="9" borderId="8" xfId="0" applyFont="1" applyFill="1" applyBorder="1" applyAlignment="1">
      <alignment horizontal="center" vertical="center"/>
    </xf>
    <xf numFmtId="1" fontId="29" fillId="9" borderId="8" xfId="0" applyNumberFormat="1" applyFont="1" applyFill="1" applyBorder="1" applyAlignment="1">
      <alignment horizontal="center" vertical="center"/>
    </xf>
    <xf numFmtId="0" fontId="30" fillId="9" borderId="8" xfId="0" applyFont="1" applyFill="1" applyBorder="1" applyAlignment="1">
      <alignment horizontal="center" vertical="center"/>
    </xf>
    <xf numFmtId="0" fontId="30" fillId="9" borderId="8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2" fontId="29" fillId="9" borderId="8" xfId="4" applyNumberFormat="1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left" vertical="center"/>
    </xf>
    <xf numFmtId="0" fontId="22" fillId="0" borderId="8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2" fontId="22" fillId="0" borderId="14" xfId="4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0" fillId="0" borderId="0" xfId="0" applyNumberFormat="1" applyFill="1" applyBorder="1"/>
    <xf numFmtId="165" fontId="15" fillId="3" borderId="2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2" fontId="6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6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74"/>
  <sheetViews>
    <sheetView tabSelected="1" zoomScale="85" zoomScaleNormal="85" workbookViewId="0">
      <pane ySplit="9" topLeftCell="A152" activePane="bottomLeft" state="frozen"/>
      <selection pane="bottomLeft" activeCell="J163" sqref="J16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97" customWidth="1"/>
    <col min="13" max="14" width="8.85546875" style="97" customWidth="1"/>
    <col min="15" max="67" width="8.85546875" style="97"/>
  </cols>
  <sheetData>
    <row r="1" spans="1:67" ht="27" customHeight="1" thickTop="1" thickBot="1" x14ac:dyDescent="0.4">
      <c r="C1" s="1" t="s">
        <v>0</v>
      </c>
      <c r="D1" s="124">
        <f>K5</f>
        <v>130439452</v>
      </c>
      <c r="E1" s="135" t="s">
        <v>193</v>
      </c>
      <c r="F1" s="136"/>
      <c r="G1" s="136"/>
      <c r="H1" s="136"/>
      <c r="I1" s="136"/>
      <c r="J1" s="137"/>
      <c r="K1" s="101">
        <v>130438384</v>
      </c>
      <c r="L1" s="97" t="s">
        <v>166</v>
      </c>
    </row>
    <row r="2" spans="1:67" ht="16.5" customHeight="1" thickTop="1" thickBot="1" x14ac:dyDescent="0.3">
      <c r="K2" s="101">
        <v>130438644</v>
      </c>
      <c r="L2" s="97" t="s">
        <v>167</v>
      </c>
    </row>
    <row r="3" spans="1:67" ht="19.5" customHeight="1" thickTop="1" thickBot="1" x14ac:dyDescent="0.3">
      <c r="B3" s="32"/>
      <c r="C3" s="7" t="s">
        <v>1</v>
      </c>
      <c r="D3" s="123">
        <v>46314</v>
      </c>
      <c r="E3" s="7" t="s">
        <v>2</v>
      </c>
      <c r="F3" s="123">
        <f>D3+3</f>
        <v>46317</v>
      </c>
      <c r="G3" s="138" t="str">
        <f>VLOOKUP(D1,K:L,2,0)</f>
        <v>ЛП Луганск (АСЛАМ)</v>
      </c>
      <c r="H3" s="136"/>
      <c r="I3" s="136"/>
      <c r="J3" s="137"/>
      <c r="K3" s="101">
        <v>130439106</v>
      </c>
      <c r="L3" s="97" t="s">
        <v>186</v>
      </c>
    </row>
    <row r="4" spans="1:67" ht="15.75" customHeight="1" thickTop="1" x14ac:dyDescent="0.25">
      <c r="K4" s="122">
        <v>130439107</v>
      </c>
      <c r="L4" s="97" t="s">
        <v>187</v>
      </c>
      <c r="O4" s="97" t="s">
        <v>194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122">
        <v>130439452</v>
      </c>
      <c r="L5" s="100" t="s">
        <v>223</v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ref="K6:K7" si="0">LEFT(L6,9)</f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6" t="s">
        <v>8</v>
      </c>
      <c r="B9" s="44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</row>
    <row r="10" spans="1:67" ht="16.5" customHeight="1" thickTop="1" thickBot="1" x14ac:dyDescent="0.3">
      <c r="A10" s="47"/>
      <c r="B10" s="42" t="s">
        <v>18</v>
      </c>
      <c r="C10" s="42"/>
      <c r="D10" s="42"/>
      <c r="E10" s="42"/>
      <c r="F10" s="41"/>
      <c r="G10" s="42"/>
      <c r="H10" s="42"/>
      <c r="I10" s="42"/>
      <c r="J10" s="43"/>
    </row>
    <row r="11" spans="1:67" s="15" customFormat="1" ht="16.5" customHeight="1" thickTop="1" x14ac:dyDescent="0.25">
      <c r="A11" s="134" t="str">
        <f>RIGHT(D11,4)</f>
        <v>7523</v>
      </c>
      <c r="B11" s="51" t="s">
        <v>105</v>
      </c>
      <c r="C11" s="49" t="s">
        <v>20</v>
      </c>
      <c r="D11" s="50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29"/>
      <c r="K11" s="27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</row>
    <row r="12" spans="1:67" s="15" customFormat="1" ht="16.5" customHeight="1" x14ac:dyDescent="0.25">
      <c r="A12" s="134" t="str">
        <f t="shared" ref="A12:A71" si="1">RIGHT(D12,4)</f>
        <v>6220</v>
      </c>
      <c r="B12" s="51" t="s">
        <v>35</v>
      </c>
      <c r="C12" s="49" t="s">
        <v>22</v>
      </c>
      <c r="D12" s="50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</row>
    <row r="13" spans="1:67" s="15" customFormat="1" ht="16.5" customHeight="1" x14ac:dyDescent="0.25">
      <c r="A13" s="134" t="str">
        <f t="shared" si="1"/>
        <v>7539</v>
      </c>
      <c r="B13" s="51" t="s">
        <v>106</v>
      </c>
      <c r="C13" s="49" t="s">
        <v>20</v>
      </c>
      <c r="D13" s="50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29"/>
      <c r="K13" s="27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</row>
    <row r="14" spans="1:67" s="15" customFormat="1" ht="16.5" customHeight="1" x14ac:dyDescent="0.25">
      <c r="A14" s="134" t="str">
        <f t="shared" si="1"/>
        <v>7536</v>
      </c>
      <c r="B14" s="51" t="s">
        <v>107</v>
      </c>
      <c r="C14" s="49" t="s">
        <v>22</v>
      </c>
      <c r="D14" s="50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29"/>
      <c r="K14" s="27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</row>
    <row r="15" spans="1:67" ht="16.5" customHeight="1" x14ac:dyDescent="0.25">
      <c r="A15" s="134" t="str">
        <f t="shared" si="1"/>
        <v>7754</v>
      </c>
      <c r="B15" s="51" t="s">
        <v>221</v>
      </c>
      <c r="C15" s="49" t="s">
        <v>22</v>
      </c>
      <c r="D15" s="50">
        <v>1001015647754</v>
      </c>
      <c r="E15" s="24"/>
      <c r="F15" s="23"/>
      <c r="G15" s="23">
        <f>E15</f>
        <v>0</v>
      </c>
      <c r="H15" s="14"/>
      <c r="I15" s="14">
        <v>60</v>
      </c>
      <c r="J15" s="29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</row>
    <row r="16" spans="1:67" ht="16.5" customHeight="1" x14ac:dyDescent="0.25">
      <c r="A16" s="134" t="str">
        <f t="shared" si="1"/>
        <v>6498</v>
      </c>
      <c r="B16" s="51" t="s">
        <v>34</v>
      </c>
      <c r="C16" s="49" t="s">
        <v>22</v>
      </c>
      <c r="D16" s="50">
        <v>1001012456498</v>
      </c>
      <c r="E16" s="24"/>
      <c r="F16" s="23">
        <v>1</v>
      </c>
      <c r="G16" s="23">
        <f t="shared" ref="G16:G17" si="2">E16</f>
        <v>0</v>
      </c>
      <c r="H16" s="14">
        <v>4</v>
      </c>
      <c r="I16" s="14">
        <v>60</v>
      </c>
      <c r="J16" s="29"/>
      <c r="L16" s="100"/>
    </row>
    <row r="17" spans="1:67" ht="16.5" customHeight="1" x14ac:dyDescent="0.25">
      <c r="A17" s="134" t="str">
        <f t="shared" si="1"/>
        <v>4063</v>
      </c>
      <c r="B17" s="51" t="s">
        <v>21</v>
      </c>
      <c r="C17" s="49" t="s">
        <v>22</v>
      </c>
      <c r="D17" s="50">
        <v>1001012484063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00"/>
    </row>
    <row r="18" spans="1:67" ht="16.5" customHeight="1" x14ac:dyDescent="0.25">
      <c r="A18" s="134" t="str">
        <f t="shared" si="1"/>
        <v>6333</v>
      </c>
      <c r="B18" s="51" t="s">
        <v>23</v>
      </c>
      <c r="C18" s="49" t="s">
        <v>20</v>
      </c>
      <c r="D18" s="50">
        <v>1001012486333</v>
      </c>
      <c r="E18" s="24"/>
      <c r="F18" s="23">
        <v>0.4</v>
      </c>
      <c r="G18" s="23">
        <f>E18*F18</f>
        <v>0</v>
      </c>
      <c r="H18" s="14">
        <v>3.2</v>
      </c>
      <c r="I18" s="14">
        <v>60</v>
      </c>
      <c r="J18" s="29"/>
      <c r="L18" s="100"/>
    </row>
    <row r="19" spans="1:67" ht="16.5" customHeight="1" x14ac:dyDescent="0.25">
      <c r="A19" s="134" t="str">
        <f t="shared" si="1"/>
        <v>4574</v>
      </c>
      <c r="B19" s="51" t="s">
        <v>24</v>
      </c>
      <c r="C19" s="49" t="s">
        <v>22</v>
      </c>
      <c r="D19" s="50">
        <v>1001012634574</v>
      </c>
      <c r="E19" s="24"/>
      <c r="F19" s="23">
        <v>1.35</v>
      </c>
      <c r="G19" s="23">
        <f>E19</f>
        <v>0</v>
      </c>
      <c r="H19" s="14">
        <v>4.05</v>
      </c>
      <c r="I19" s="14">
        <v>60</v>
      </c>
      <c r="J19" s="29"/>
      <c r="L19" s="100"/>
    </row>
    <row r="20" spans="1:67" ht="16.5" customHeight="1" x14ac:dyDescent="0.25">
      <c r="A20" s="134" t="str">
        <f t="shared" si="1"/>
        <v>7334</v>
      </c>
      <c r="B20" s="51" t="s">
        <v>108</v>
      </c>
      <c r="C20" s="49" t="s">
        <v>20</v>
      </c>
      <c r="D20" s="50">
        <v>1001012637334</v>
      </c>
      <c r="E20" s="24"/>
      <c r="F20" s="23">
        <v>0.4</v>
      </c>
      <c r="G20" s="23">
        <f>E20*F20</f>
        <v>0</v>
      </c>
      <c r="H20" s="14">
        <v>3.2</v>
      </c>
      <c r="I20" s="14">
        <v>60</v>
      </c>
      <c r="J20" s="29"/>
      <c r="L20" s="100"/>
    </row>
    <row r="21" spans="1:67" s="52" customFormat="1" ht="16.5" customHeight="1" x14ac:dyDescent="0.25">
      <c r="A21" s="134" t="str">
        <f t="shared" si="1"/>
        <v>4813</v>
      </c>
      <c r="B21" s="51" t="s">
        <v>29</v>
      </c>
      <c r="C21" s="49" t="s">
        <v>22</v>
      </c>
      <c r="D21" s="50">
        <v>1001012564813</v>
      </c>
      <c r="E21" s="24"/>
      <c r="F21" s="125">
        <v>1.35</v>
      </c>
      <c r="G21" s="23">
        <f>E21</f>
        <v>0</v>
      </c>
      <c r="H21" s="29">
        <v>4.05</v>
      </c>
      <c r="I21" s="29">
        <v>60</v>
      </c>
      <c r="J21" s="29"/>
      <c r="K21" s="27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</row>
    <row r="22" spans="1:67" s="52" customFormat="1" ht="16.5" customHeight="1" x14ac:dyDescent="0.25">
      <c r="A22" s="134" t="str">
        <f t="shared" si="1"/>
        <v>6392</v>
      </c>
      <c r="B22" s="51" t="s">
        <v>109</v>
      </c>
      <c r="C22" s="49" t="s">
        <v>20</v>
      </c>
      <c r="D22" s="50">
        <v>1001012566392</v>
      </c>
      <c r="E22" s="24"/>
      <c r="F22" s="125">
        <v>0.4</v>
      </c>
      <c r="G22" s="23">
        <f>E22*F22</f>
        <v>0</v>
      </c>
      <c r="H22" s="29">
        <v>3.2</v>
      </c>
      <c r="I22" s="29">
        <v>60</v>
      </c>
      <c r="J22" s="29"/>
      <c r="K22" s="27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</row>
    <row r="23" spans="1:67" s="52" customFormat="1" ht="16.5" customHeight="1" x14ac:dyDescent="0.25">
      <c r="A23" s="134" t="str">
        <f t="shared" si="1"/>
        <v>5851</v>
      </c>
      <c r="B23" s="51" t="s">
        <v>110</v>
      </c>
      <c r="C23" s="49" t="s">
        <v>22</v>
      </c>
      <c r="D23" s="50">
        <v>1001012505851</v>
      </c>
      <c r="E23" s="24"/>
      <c r="F23" s="125">
        <v>1.35</v>
      </c>
      <c r="G23" s="23">
        <f>E23</f>
        <v>0</v>
      </c>
      <c r="H23" s="29">
        <v>4.05</v>
      </c>
      <c r="I23" s="29">
        <v>60</v>
      </c>
      <c r="J23" s="29"/>
      <c r="K23" s="27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</row>
    <row r="24" spans="1:67" ht="16.5" customHeight="1" x14ac:dyDescent="0.25">
      <c r="A24" s="134" t="str">
        <f t="shared" si="1"/>
        <v>7632</v>
      </c>
      <c r="B24" s="51" t="s">
        <v>188</v>
      </c>
      <c r="C24" s="49" t="s">
        <v>20</v>
      </c>
      <c r="D24" s="50">
        <v>1001012507632</v>
      </c>
      <c r="E24" s="24"/>
      <c r="F24" s="125">
        <v>0.4</v>
      </c>
      <c r="G24" s="23">
        <f>E24*F24</f>
        <v>0</v>
      </c>
      <c r="H24" s="29">
        <v>3.2</v>
      </c>
      <c r="I24" s="29">
        <v>60</v>
      </c>
      <c r="J24" s="29"/>
      <c r="L24" s="100"/>
    </row>
    <row r="25" spans="1:67" ht="16.5" customHeight="1" x14ac:dyDescent="0.25">
      <c r="A25" s="134" t="str">
        <f t="shared" si="1"/>
        <v>4561</v>
      </c>
      <c r="B25" s="51" t="s">
        <v>111</v>
      </c>
      <c r="C25" s="49" t="s">
        <v>22</v>
      </c>
      <c r="D25" s="50">
        <v>1001010014561</v>
      </c>
      <c r="E25" s="24"/>
      <c r="F25" s="23">
        <v>1.35</v>
      </c>
      <c r="G25" s="23">
        <f t="shared" ref="G25" si="3">E25</f>
        <v>0</v>
      </c>
      <c r="H25" s="14">
        <v>4.05</v>
      </c>
      <c r="I25" s="14">
        <v>60</v>
      </c>
      <c r="J25" s="29"/>
      <c r="L25" s="100"/>
    </row>
    <row r="26" spans="1:67" ht="16.5" customHeight="1" x14ac:dyDescent="0.25">
      <c r="A26" s="134" t="str">
        <f t="shared" si="1"/>
        <v>6325</v>
      </c>
      <c r="B26" s="51" t="s">
        <v>32</v>
      </c>
      <c r="C26" s="49" t="s">
        <v>20</v>
      </c>
      <c r="D26" s="50">
        <v>1001010106325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  <c r="L26" s="100"/>
    </row>
    <row r="27" spans="1:67" s="52" customFormat="1" ht="16.5" customHeight="1" x14ac:dyDescent="0.25">
      <c r="A27" s="134" t="str">
        <f t="shared" si="1"/>
        <v>8014</v>
      </c>
      <c r="B27" s="51" t="s">
        <v>206</v>
      </c>
      <c r="C27" s="49" t="s">
        <v>22</v>
      </c>
      <c r="D27" s="50">
        <v>1001010108014</v>
      </c>
      <c r="E27" s="24"/>
      <c r="F27" s="125">
        <v>1.35</v>
      </c>
      <c r="G27" s="23">
        <f t="shared" ref="G27" si="4">E27</f>
        <v>0</v>
      </c>
      <c r="H27" s="29">
        <v>5.4</v>
      </c>
      <c r="I27" s="29">
        <v>60</v>
      </c>
      <c r="J27" s="29"/>
      <c r="K27" s="27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</row>
    <row r="28" spans="1:67" s="52" customFormat="1" ht="16.5" customHeight="1" x14ac:dyDescent="0.25">
      <c r="A28" s="134" t="str">
        <f t="shared" si="1"/>
        <v>7514</v>
      </c>
      <c r="B28" s="51" t="s">
        <v>207</v>
      </c>
      <c r="C28" s="49" t="s">
        <v>22</v>
      </c>
      <c r="D28" s="50">
        <v>1001017557514</v>
      </c>
      <c r="E28" s="24"/>
      <c r="F28" s="125"/>
      <c r="G28" s="23">
        <f>E28</f>
        <v>0</v>
      </c>
      <c r="H28" s="29"/>
      <c r="I28" s="29"/>
      <c r="J28" s="29" t="str">
        <f>VLOOKUP(D28,[1]Бланк!$D:$J,7,0)</f>
        <v>Новинка</v>
      </c>
      <c r="K28" s="27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</row>
    <row r="29" spans="1:67" s="52" customFormat="1" ht="16.5" customHeight="1" x14ac:dyDescent="0.25">
      <c r="A29" s="134" t="str">
        <f t="shared" si="1"/>
        <v>7518</v>
      </c>
      <c r="B29" s="51" t="s">
        <v>208</v>
      </c>
      <c r="C29" s="49" t="s">
        <v>22</v>
      </c>
      <c r="D29" s="50">
        <v>1001017567518</v>
      </c>
      <c r="E29" s="24"/>
      <c r="F29" s="125"/>
      <c r="G29" s="23">
        <f>E29</f>
        <v>0</v>
      </c>
      <c r="H29" s="29"/>
      <c r="I29" s="29"/>
      <c r="J29" s="29" t="str">
        <f>VLOOKUP(D29,[1]Бланк!$D:$J,7,0)</f>
        <v>Новинка</v>
      </c>
      <c r="K29" s="27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</row>
    <row r="30" spans="1:67" s="52" customFormat="1" ht="16.5" customHeight="1" x14ac:dyDescent="0.25">
      <c r="A30" s="134" t="str">
        <f t="shared" si="1"/>
        <v>7343</v>
      </c>
      <c r="B30" s="51" t="s">
        <v>31</v>
      </c>
      <c r="C30" s="49" t="s">
        <v>20</v>
      </c>
      <c r="D30" s="50">
        <v>1001016747343</v>
      </c>
      <c r="E30" s="24"/>
      <c r="F30" s="125">
        <v>0.4</v>
      </c>
      <c r="G30" s="23">
        <f t="shared" ref="G30:G32" si="5">E30*F30</f>
        <v>0</v>
      </c>
      <c r="H30" s="29">
        <v>3.2</v>
      </c>
      <c r="I30" s="29">
        <v>60</v>
      </c>
      <c r="J30" s="29"/>
      <c r="K30" s="27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</row>
    <row r="31" spans="1:67" ht="16.5" customHeight="1" x14ac:dyDescent="0.25">
      <c r="A31" s="134" t="str">
        <f t="shared" si="1"/>
        <v>6797</v>
      </c>
      <c r="B31" s="51" t="s">
        <v>114</v>
      </c>
      <c r="C31" s="49" t="s">
        <v>20</v>
      </c>
      <c r="D31" s="50">
        <v>1001015026797</v>
      </c>
      <c r="E31" s="24"/>
      <c r="F31" s="125">
        <v>0.4</v>
      </c>
      <c r="G31" s="23">
        <f t="shared" si="5"/>
        <v>0</v>
      </c>
      <c r="H31" s="29">
        <v>3.2</v>
      </c>
      <c r="I31" s="29">
        <v>60</v>
      </c>
      <c r="J31" s="29"/>
      <c r="L31" s="100"/>
    </row>
    <row r="32" spans="1:67" s="52" customFormat="1" ht="16.5" customHeight="1" thickBot="1" x14ac:dyDescent="0.3">
      <c r="A32" s="134" t="str">
        <f t="shared" si="1"/>
        <v>7231</v>
      </c>
      <c r="B32" s="51" t="s">
        <v>33</v>
      </c>
      <c r="C32" s="49" t="s">
        <v>20</v>
      </c>
      <c r="D32" s="50">
        <v>1001013957231</v>
      </c>
      <c r="E32" s="24"/>
      <c r="F32" s="125">
        <v>0.3</v>
      </c>
      <c r="G32" s="23">
        <f t="shared" si="5"/>
        <v>0</v>
      </c>
      <c r="H32" s="29">
        <v>2.4</v>
      </c>
      <c r="I32" s="29">
        <v>60</v>
      </c>
      <c r="J32" s="29"/>
      <c r="K32" s="27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</row>
    <row r="33" spans="1:67" s="52" customFormat="1" ht="16.5" customHeight="1" thickTop="1" thickBot="1" x14ac:dyDescent="0.3">
      <c r="A33" s="47" t="s">
        <v>104</v>
      </c>
      <c r="B33" s="42" t="s">
        <v>36</v>
      </c>
      <c r="C33" s="42"/>
      <c r="D33" s="42"/>
      <c r="E33" s="42"/>
      <c r="F33" s="41"/>
      <c r="G33" s="42"/>
      <c r="H33" s="42"/>
      <c r="I33" s="42"/>
      <c r="J33" s="43"/>
      <c r="K33" s="27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</row>
    <row r="34" spans="1:67" s="52" customFormat="1" ht="16.5" customHeight="1" thickTop="1" x14ac:dyDescent="0.25">
      <c r="A34" s="134" t="str">
        <f t="shared" si="1"/>
        <v>6602</v>
      </c>
      <c r="B34" s="51" t="s">
        <v>155</v>
      </c>
      <c r="C34" s="49" t="s">
        <v>20</v>
      </c>
      <c r="D34" s="50">
        <v>1001021966602</v>
      </c>
      <c r="E34" s="24"/>
      <c r="F34" s="125">
        <v>0.35</v>
      </c>
      <c r="G34" s="23">
        <f t="shared" ref="G34:G38" si="6">E34*F34</f>
        <v>0</v>
      </c>
      <c r="H34" s="29">
        <v>2.8</v>
      </c>
      <c r="I34" s="29">
        <v>45</v>
      </c>
      <c r="J34" s="29"/>
      <c r="K34" s="27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</row>
    <row r="35" spans="1:67" s="52" customFormat="1" ht="16.5" customHeight="1" x14ac:dyDescent="0.25">
      <c r="A35" s="134" t="str">
        <f t="shared" si="1"/>
        <v>7601</v>
      </c>
      <c r="B35" s="51" t="s">
        <v>200</v>
      </c>
      <c r="C35" s="49" t="s">
        <v>20</v>
      </c>
      <c r="D35" s="50">
        <v>1001025767601</v>
      </c>
      <c r="E35" s="24"/>
      <c r="F35" s="125">
        <v>0.26400000000000001</v>
      </c>
      <c r="G35" s="23">
        <f t="shared" si="6"/>
        <v>0</v>
      </c>
      <c r="H35" s="29">
        <v>1.58</v>
      </c>
      <c r="I35" s="29">
        <v>30</v>
      </c>
      <c r="J35" s="29"/>
      <c r="K35" s="27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</row>
    <row r="36" spans="1:67" s="52" customFormat="1" ht="16.5" customHeight="1" x14ac:dyDescent="0.25">
      <c r="A36" s="134" t="str">
        <f t="shared" si="1"/>
        <v>7461</v>
      </c>
      <c r="B36" s="51" t="s">
        <v>184</v>
      </c>
      <c r="C36" s="49" t="s">
        <v>20</v>
      </c>
      <c r="D36" s="50">
        <v>1001025767461</v>
      </c>
      <c r="E36" s="24"/>
      <c r="F36" s="125">
        <v>0.33</v>
      </c>
      <c r="G36" s="23">
        <f t="shared" si="6"/>
        <v>0</v>
      </c>
      <c r="H36" s="29">
        <v>1.98</v>
      </c>
      <c r="I36" s="29">
        <v>30</v>
      </c>
      <c r="J36" s="29"/>
      <c r="K36" s="27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</row>
    <row r="37" spans="1:67" s="52" customFormat="1" ht="16.5" customHeight="1" x14ac:dyDescent="0.25">
      <c r="A37" s="134" t="str">
        <f t="shared" si="1"/>
        <v>7040</v>
      </c>
      <c r="B37" s="51" t="s">
        <v>196</v>
      </c>
      <c r="C37" s="49" t="s">
        <v>20</v>
      </c>
      <c r="D37" s="50">
        <v>1001025027040</v>
      </c>
      <c r="E37" s="24"/>
      <c r="F37" s="125">
        <v>0.27</v>
      </c>
      <c r="G37" s="23">
        <f t="shared" si="6"/>
        <v>0</v>
      </c>
      <c r="H37" s="29"/>
      <c r="I37" s="29"/>
      <c r="J37" s="29"/>
      <c r="K37" s="27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</row>
    <row r="38" spans="1:67" s="52" customFormat="1" ht="16.5" customHeight="1" x14ac:dyDescent="0.25">
      <c r="A38" s="134" t="str">
        <f t="shared" si="1"/>
        <v>6759</v>
      </c>
      <c r="B38" s="51" t="s">
        <v>41</v>
      </c>
      <c r="C38" s="49" t="s">
        <v>20</v>
      </c>
      <c r="D38" s="50">
        <v>1001020836759</v>
      </c>
      <c r="E38" s="24"/>
      <c r="F38" s="125">
        <v>0.4</v>
      </c>
      <c r="G38" s="23">
        <f t="shared" si="6"/>
        <v>0</v>
      </c>
      <c r="H38" s="29">
        <v>2.8</v>
      </c>
      <c r="I38" s="29">
        <v>30</v>
      </c>
      <c r="J38" s="29"/>
      <c r="K38" s="27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</row>
    <row r="39" spans="1:67" s="52" customFormat="1" ht="16.5" customHeight="1" x14ac:dyDescent="0.25">
      <c r="A39" s="134" t="str">
        <f t="shared" si="1"/>
        <v>6761</v>
      </c>
      <c r="B39" s="51" t="s">
        <v>52</v>
      </c>
      <c r="C39" s="49" t="s">
        <v>22</v>
      </c>
      <c r="D39" s="50">
        <v>1001020836761</v>
      </c>
      <c r="E39" s="24"/>
      <c r="F39" s="125">
        <v>1</v>
      </c>
      <c r="G39" s="23">
        <f t="shared" ref="G39:G40" si="7">E39</f>
        <v>0</v>
      </c>
      <c r="H39" s="29">
        <v>4</v>
      </c>
      <c r="I39" s="29">
        <v>30</v>
      </c>
      <c r="J39" s="29"/>
      <c r="K39" s="27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</row>
    <row r="40" spans="1:67" s="52" customFormat="1" ht="16.5" customHeight="1" x14ac:dyDescent="0.25">
      <c r="A40" s="134" t="str">
        <f t="shared" si="1"/>
        <v>6829</v>
      </c>
      <c r="B40" s="51" t="s">
        <v>156</v>
      </c>
      <c r="C40" s="49" t="s">
        <v>22</v>
      </c>
      <c r="D40" s="50">
        <v>1001024976829</v>
      </c>
      <c r="E40" s="24"/>
      <c r="F40" s="125">
        <v>2.1</v>
      </c>
      <c r="G40" s="23">
        <f t="shared" si="7"/>
        <v>0</v>
      </c>
      <c r="H40" s="29">
        <v>8.4</v>
      </c>
      <c r="I40" s="29">
        <v>45</v>
      </c>
      <c r="J40" s="29"/>
      <c r="K40" s="27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</row>
    <row r="41" spans="1:67" s="52" customFormat="1" ht="16.5" customHeight="1" x14ac:dyDescent="0.25">
      <c r="A41" s="134" t="str">
        <f t="shared" si="1"/>
        <v>6616</v>
      </c>
      <c r="B41" s="51" t="s">
        <v>42</v>
      </c>
      <c r="C41" s="49" t="s">
        <v>20</v>
      </c>
      <c r="D41" s="50">
        <v>1001024976616</v>
      </c>
      <c r="E41" s="24"/>
      <c r="F41" s="125">
        <v>0.3</v>
      </c>
      <c r="G41" s="23">
        <f>E41*F41</f>
        <v>0</v>
      </c>
      <c r="H41" s="29">
        <v>2.4</v>
      </c>
      <c r="I41" s="29">
        <v>45</v>
      </c>
      <c r="J41" s="29"/>
      <c r="K41" s="27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</row>
    <row r="42" spans="1:67" s="52" customFormat="1" ht="16.5" customHeight="1" x14ac:dyDescent="0.25">
      <c r="A42" s="134" t="str">
        <f t="shared" si="1"/>
        <v>7075</v>
      </c>
      <c r="B42" s="51" t="s">
        <v>49</v>
      </c>
      <c r="C42" s="49" t="s">
        <v>22</v>
      </c>
      <c r="D42" s="50">
        <v>1001022657075</v>
      </c>
      <c r="E42" s="24"/>
      <c r="F42" s="125">
        <v>1.5</v>
      </c>
      <c r="G42" s="23">
        <f>E42</f>
        <v>0</v>
      </c>
      <c r="H42" s="29">
        <v>6</v>
      </c>
      <c r="I42" s="29">
        <v>50</v>
      </c>
      <c r="J42" s="29"/>
      <c r="K42" s="27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</row>
    <row r="43" spans="1:67" s="52" customFormat="1" ht="16.5" customHeight="1" x14ac:dyDescent="0.25">
      <c r="A43" s="134" t="str">
        <f t="shared" si="1"/>
        <v>7074</v>
      </c>
      <c r="B43" s="51" t="s">
        <v>157</v>
      </c>
      <c r="C43" s="49" t="s">
        <v>20</v>
      </c>
      <c r="D43" s="50">
        <v>1001022657074</v>
      </c>
      <c r="E43" s="24"/>
      <c r="F43" s="125">
        <v>0.6</v>
      </c>
      <c r="G43" s="23">
        <f t="shared" ref="G43:G46" si="8">E43*F43</f>
        <v>0</v>
      </c>
      <c r="H43" s="29">
        <v>4.8</v>
      </c>
      <c r="I43" s="29">
        <v>50</v>
      </c>
      <c r="J43" s="29"/>
      <c r="K43" s="27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</row>
    <row r="44" spans="1:67" s="52" customFormat="1" ht="16.5" customHeight="1" x14ac:dyDescent="0.25">
      <c r="A44" s="134" t="str">
        <f t="shared" si="1"/>
        <v>7073</v>
      </c>
      <c r="B44" s="51" t="s">
        <v>50</v>
      </c>
      <c r="C44" s="49" t="s">
        <v>20</v>
      </c>
      <c r="D44" s="50">
        <v>1001022657073</v>
      </c>
      <c r="E44" s="24"/>
      <c r="F44" s="125">
        <v>0.35</v>
      </c>
      <c r="G44" s="23">
        <f t="shared" si="8"/>
        <v>0</v>
      </c>
      <c r="H44" s="29">
        <v>2.8</v>
      </c>
      <c r="I44" s="29">
        <v>50</v>
      </c>
      <c r="J44" s="29"/>
      <c r="K44" s="27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</row>
    <row r="45" spans="1:67" s="52" customFormat="1" ht="16.5" customHeight="1" x14ac:dyDescent="0.25">
      <c r="A45" s="134" t="str">
        <f t="shared" si="1"/>
        <v>6724</v>
      </c>
      <c r="B45" s="51" t="s">
        <v>51</v>
      </c>
      <c r="C45" s="49" t="s">
        <v>20</v>
      </c>
      <c r="D45" s="50">
        <v>1001020836724</v>
      </c>
      <c r="E45" s="24"/>
      <c r="F45" s="125">
        <v>0.41</v>
      </c>
      <c r="G45" s="23">
        <f t="shared" si="8"/>
        <v>0</v>
      </c>
      <c r="H45" s="29">
        <v>4.0999999999999996</v>
      </c>
      <c r="I45" s="29">
        <v>45</v>
      </c>
      <c r="J45" s="29"/>
      <c r="K45" s="27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</row>
    <row r="46" spans="1:67" s="52" customFormat="1" ht="16.5" customHeight="1" x14ac:dyDescent="0.25">
      <c r="A46" s="134" t="str">
        <f t="shared" si="1"/>
        <v>5819</v>
      </c>
      <c r="B46" s="51" t="s">
        <v>38</v>
      </c>
      <c r="C46" s="49" t="s">
        <v>20</v>
      </c>
      <c r="D46" s="50">
        <v>1001022725819</v>
      </c>
      <c r="E46" s="24"/>
      <c r="F46" s="125">
        <v>0.4</v>
      </c>
      <c r="G46" s="23">
        <f t="shared" si="8"/>
        <v>0</v>
      </c>
      <c r="H46" s="29">
        <v>3.2</v>
      </c>
      <c r="I46" s="29">
        <v>45</v>
      </c>
      <c r="J46" s="29"/>
      <c r="K46" s="27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</row>
    <row r="47" spans="1:67" s="52" customFormat="1" ht="16.5" customHeight="1" x14ac:dyDescent="0.25">
      <c r="A47" s="134" t="str">
        <f t="shared" si="1"/>
        <v>6303</v>
      </c>
      <c r="B47" s="51" t="s">
        <v>158</v>
      </c>
      <c r="C47" s="49" t="s">
        <v>22</v>
      </c>
      <c r="D47" s="50">
        <v>1001022726303</v>
      </c>
      <c r="E47" s="24"/>
      <c r="F47" s="125">
        <v>1.5</v>
      </c>
      <c r="G47" s="23">
        <f>E47</f>
        <v>0</v>
      </c>
      <c r="H47" s="29">
        <v>4.5</v>
      </c>
      <c r="I47" s="29">
        <v>45</v>
      </c>
      <c r="J47" s="29"/>
      <c r="K47" s="27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</row>
    <row r="48" spans="1:67" s="52" customFormat="1" ht="16.5" customHeight="1" x14ac:dyDescent="0.25">
      <c r="A48" s="134" t="str">
        <f t="shared" si="1"/>
        <v>7255</v>
      </c>
      <c r="B48" s="51" t="s">
        <v>37</v>
      </c>
      <c r="C48" s="49" t="s">
        <v>20</v>
      </c>
      <c r="D48" s="50">
        <v>1001025507255</v>
      </c>
      <c r="E48" s="24"/>
      <c r="F48" s="125">
        <v>0.4</v>
      </c>
      <c r="G48" s="23">
        <f>E48*F48</f>
        <v>0</v>
      </c>
      <c r="H48" s="29">
        <v>2.4</v>
      </c>
      <c r="I48" s="29">
        <v>50</v>
      </c>
      <c r="J48" s="29"/>
      <c r="K48" s="27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</row>
    <row r="49" spans="1:67" s="52" customFormat="1" ht="16.5" customHeight="1" x14ac:dyDescent="0.25">
      <c r="A49" s="134" t="str">
        <f t="shared" si="1"/>
        <v>7271</v>
      </c>
      <c r="B49" s="51" t="s">
        <v>159</v>
      </c>
      <c r="C49" s="49" t="s">
        <v>22</v>
      </c>
      <c r="D49" s="50">
        <v>1001025507271</v>
      </c>
      <c r="E49" s="24"/>
      <c r="F49" s="125">
        <v>1.5</v>
      </c>
      <c r="G49" s="23">
        <f>E49</f>
        <v>0</v>
      </c>
      <c r="H49" s="29">
        <v>6</v>
      </c>
      <c r="I49" s="29">
        <v>50</v>
      </c>
      <c r="J49" s="29"/>
      <c r="K49" s="27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</row>
    <row r="50" spans="1:67" s="52" customFormat="1" ht="16.5" customHeight="1" x14ac:dyDescent="0.25">
      <c r="A50" s="134" t="str">
        <f t="shared" si="1"/>
        <v>6765</v>
      </c>
      <c r="B50" s="51" t="s">
        <v>40</v>
      </c>
      <c r="C50" s="49" t="s">
        <v>20</v>
      </c>
      <c r="D50" s="50">
        <v>1001023696765</v>
      </c>
      <c r="E50" s="24"/>
      <c r="F50" s="125">
        <v>0.36</v>
      </c>
      <c r="G50" s="23">
        <f>E50*F50</f>
        <v>0</v>
      </c>
      <c r="H50" s="29">
        <v>2.16</v>
      </c>
      <c r="I50" s="29">
        <v>45</v>
      </c>
      <c r="J50" s="29"/>
      <c r="K50" s="27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</row>
    <row r="51" spans="1:67" s="52" customFormat="1" ht="16.5" customHeight="1" x14ac:dyDescent="0.25">
      <c r="A51" s="134" t="str">
        <f t="shared" si="1"/>
        <v>6767</v>
      </c>
      <c r="B51" s="51" t="s">
        <v>43</v>
      </c>
      <c r="C51" s="49" t="s">
        <v>22</v>
      </c>
      <c r="D51" s="50">
        <v>1001023696767</v>
      </c>
      <c r="E51" s="24"/>
      <c r="F51" s="125">
        <v>1.04</v>
      </c>
      <c r="G51" s="23">
        <f>E51</f>
        <v>0</v>
      </c>
      <c r="H51" s="29">
        <v>4.16</v>
      </c>
      <c r="I51" s="29">
        <v>45</v>
      </c>
      <c r="J51" s="29"/>
      <c r="K51" s="27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</row>
    <row r="52" spans="1:67" s="52" customFormat="1" ht="16.5" customHeight="1" x14ac:dyDescent="0.25">
      <c r="A52" s="134" t="str">
        <f t="shared" si="1"/>
        <v>6475</v>
      </c>
      <c r="B52" s="51" t="s">
        <v>45</v>
      </c>
      <c r="C52" s="49" t="s">
        <v>20</v>
      </c>
      <c r="D52" s="50">
        <v>1001025176475</v>
      </c>
      <c r="E52" s="24"/>
      <c r="F52" s="125">
        <v>0.4</v>
      </c>
      <c r="G52" s="23">
        <f>E52*F52</f>
        <v>0</v>
      </c>
      <c r="H52" s="29">
        <v>2.4</v>
      </c>
      <c r="I52" s="29">
        <v>45</v>
      </c>
      <c r="J52" s="29"/>
      <c r="K52" s="27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</row>
    <row r="53" spans="1:67" s="52" customFormat="1" ht="16.5" customHeight="1" x14ac:dyDescent="0.25">
      <c r="A53" s="134" t="str">
        <f t="shared" si="1"/>
        <v>7083</v>
      </c>
      <c r="B53" s="51" t="s">
        <v>160</v>
      </c>
      <c r="C53" s="49" t="s">
        <v>22</v>
      </c>
      <c r="D53" s="50">
        <v>1001022467083</v>
      </c>
      <c r="E53" s="24"/>
      <c r="F53" s="125">
        <v>1.5</v>
      </c>
      <c r="G53" s="23">
        <f>E53</f>
        <v>0</v>
      </c>
      <c r="H53" s="29">
        <v>6</v>
      </c>
      <c r="I53" s="29">
        <v>50</v>
      </c>
      <c r="J53" s="29"/>
      <c r="K53" s="27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</row>
    <row r="54" spans="1:67" s="52" customFormat="1" ht="16.5" customHeight="1" x14ac:dyDescent="0.25">
      <c r="A54" s="134" t="str">
        <f t="shared" si="1"/>
        <v>7080</v>
      </c>
      <c r="B54" s="51" t="s">
        <v>53</v>
      </c>
      <c r="C54" s="49" t="s">
        <v>20</v>
      </c>
      <c r="D54" s="50">
        <v>1001022467080</v>
      </c>
      <c r="E54" s="24"/>
      <c r="F54" s="125">
        <v>0.41</v>
      </c>
      <c r="G54" s="23">
        <f t="shared" ref="G54:G56" si="9">E54*F54</f>
        <v>0</v>
      </c>
      <c r="H54" s="29">
        <v>4.0999999999999996</v>
      </c>
      <c r="I54" s="29">
        <v>50</v>
      </c>
      <c r="J54" s="29"/>
      <c r="K54" s="27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</row>
    <row r="55" spans="1:67" ht="16.5" customHeight="1" x14ac:dyDescent="0.25">
      <c r="A55" s="134" t="str">
        <f t="shared" si="1"/>
        <v>7276</v>
      </c>
      <c r="B55" s="51" t="s">
        <v>54</v>
      </c>
      <c r="C55" s="49" t="s">
        <v>20</v>
      </c>
      <c r="D55" s="50">
        <v>1001022467276</v>
      </c>
      <c r="E55" s="24"/>
      <c r="F55" s="125">
        <v>0.3</v>
      </c>
      <c r="G55" s="23">
        <f t="shared" si="9"/>
        <v>0</v>
      </c>
      <c r="H55" s="29">
        <v>2.1</v>
      </c>
      <c r="I55" s="29">
        <v>50</v>
      </c>
      <c r="J55" s="29"/>
      <c r="L55" s="100"/>
    </row>
    <row r="56" spans="1:67" ht="16.5" customHeight="1" x14ac:dyDescent="0.25">
      <c r="A56" s="134" t="str">
        <f t="shared" si="1"/>
        <v>6762</v>
      </c>
      <c r="B56" s="51" t="s">
        <v>39</v>
      </c>
      <c r="C56" s="49" t="s">
        <v>20</v>
      </c>
      <c r="D56" s="50">
        <v>1001020846762</v>
      </c>
      <c r="E56" s="24"/>
      <c r="F56" s="125">
        <v>0.41</v>
      </c>
      <c r="G56" s="23">
        <f t="shared" si="9"/>
        <v>0</v>
      </c>
      <c r="H56" s="29">
        <v>3.28</v>
      </c>
      <c r="I56" s="29">
        <v>45</v>
      </c>
      <c r="J56" s="29"/>
      <c r="L56" s="100"/>
    </row>
    <row r="57" spans="1:67" ht="16.5" customHeight="1" x14ac:dyDescent="0.25">
      <c r="A57" s="134" t="str">
        <f t="shared" si="1"/>
        <v>6764</v>
      </c>
      <c r="B57" s="51" t="s">
        <v>48</v>
      </c>
      <c r="C57" s="49" t="s">
        <v>22</v>
      </c>
      <c r="D57" s="50">
        <v>1001020846764</v>
      </c>
      <c r="E57" s="24"/>
      <c r="F57" s="23">
        <v>1</v>
      </c>
      <c r="G57" s="23">
        <f>E57</f>
        <v>0</v>
      </c>
      <c r="H57" s="14">
        <v>4</v>
      </c>
      <c r="I57" s="14">
        <v>45</v>
      </c>
      <c r="J57" s="29"/>
      <c r="L57" s="100"/>
    </row>
    <row r="58" spans="1:67" ht="16.5" customHeight="1" x14ac:dyDescent="0.25">
      <c r="A58" s="134" t="str">
        <f t="shared" si="1"/>
        <v>7066</v>
      </c>
      <c r="B58" s="51" t="s">
        <v>55</v>
      </c>
      <c r="C58" s="49" t="s">
        <v>20</v>
      </c>
      <c r="D58" s="50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50</v>
      </c>
      <c r="J58" s="29"/>
      <c r="L58" s="100"/>
    </row>
    <row r="59" spans="1:67" ht="16.5" customHeight="1" x14ac:dyDescent="0.25">
      <c r="A59" s="134" t="str">
        <f t="shared" si="1"/>
        <v>7070</v>
      </c>
      <c r="B59" s="51" t="s">
        <v>44</v>
      </c>
      <c r="C59" s="49" t="s">
        <v>22</v>
      </c>
      <c r="D59" s="50">
        <v>1001022377070</v>
      </c>
      <c r="E59" s="24"/>
      <c r="F59" s="23">
        <v>1.5</v>
      </c>
      <c r="G59" s="23">
        <f>E59</f>
        <v>0</v>
      </c>
      <c r="H59" s="14">
        <v>6</v>
      </c>
      <c r="I59" s="14">
        <v>50</v>
      </c>
      <c r="J59" s="29"/>
      <c r="L59" s="100"/>
    </row>
    <row r="60" spans="1:67" ht="16.5" customHeight="1" x14ac:dyDescent="0.25">
      <c r="A60" s="134" t="str">
        <f t="shared" si="1"/>
        <v>7490</v>
      </c>
      <c r="B60" s="51" t="s">
        <v>218</v>
      </c>
      <c r="C60" s="49" t="s">
        <v>20</v>
      </c>
      <c r="D60" s="50">
        <v>1001027417490</v>
      </c>
      <c r="E60" s="24"/>
      <c r="F60" s="23">
        <v>0.41</v>
      </c>
      <c r="G60" s="23">
        <f>E60*F60</f>
        <v>0</v>
      </c>
      <c r="H60" s="14"/>
      <c r="I60" s="14"/>
      <c r="J60" s="29" t="str">
        <f>VLOOKUP(D60,[1]Бланк!$D:$J,7,0)</f>
        <v>Ротация кода 6713</v>
      </c>
      <c r="L60" s="100"/>
    </row>
    <row r="61" spans="1:67" ht="16.5" customHeight="1" x14ac:dyDescent="0.25">
      <c r="A61" s="134" t="str">
        <f t="shared" si="1"/>
        <v>6661</v>
      </c>
      <c r="B61" s="51" t="s">
        <v>161</v>
      </c>
      <c r="C61" s="49" t="s">
        <v>22</v>
      </c>
      <c r="D61" s="50">
        <v>1001022246661</v>
      </c>
      <c r="E61" s="24"/>
      <c r="F61" s="23">
        <v>1.5</v>
      </c>
      <c r="G61" s="23">
        <f t="shared" ref="G61:G62" si="10">E61</f>
        <v>0</v>
      </c>
      <c r="H61" s="14">
        <v>6</v>
      </c>
      <c r="I61" s="14">
        <v>45</v>
      </c>
      <c r="J61" s="29"/>
      <c r="L61" s="100"/>
    </row>
    <row r="62" spans="1:67" ht="16.5" customHeight="1" x14ac:dyDescent="0.25">
      <c r="A62" s="134" t="str">
        <f t="shared" si="1"/>
        <v>6254</v>
      </c>
      <c r="B62" s="51" t="s">
        <v>162</v>
      </c>
      <c r="C62" s="49" t="s">
        <v>22</v>
      </c>
      <c r="D62" s="50">
        <v>1001022556254</v>
      </c>
      <c r="E62" s="24"/>
      <c r="F62" s="23">
        <v>1.5</v>
      </c>
      <c r="G62" s="23">
        <f t="shared" si="10"/>
        <v>0</v>
      </c>
      <c r="H62" s="14">
        <v>3</v>
      </c>
      <c r="I62" s="14">
        <v>45</v>
      </c>
      <c r="J62" s="29"/>
      <c r="L62" s="100"/>
    </row>
    <row r="63" spans="1:67" ht="16.5" customHeight="1" x14ac:dyDescent="0.25">
      <c r="A63" s="134" t="str">
        <f t="shared" si="1"/>
        <v>6837</v>
      </c>
      <c r="B63" s="51" t="s">
        <v>47</v>
      </c>
      <c r="C63" s="49" t="s">
        <v>20</v>
      </c>
      <c r="D63" s="50">
        <v>1001022556837</v>
      </c>
      <c r="E63" s="24"/>
      <c r="F63" s="23">
        <v>0.4</v>
      </c>
      <c r="G63" s="23">
        <f t="shared" ref="G63:G64" si="11">E63*F63</f>
        <v>0</v>
      </c>
      <c r="H63" s="14">
        <v>2.4</v>
      </c>
      <c r="I63" s="14">
        <v>45</v>
      </c>
      <c r="J63" s="29"/>
      <c r="L63" s="100"/>
    </row>
    <row r="64" spans="1:67" ht="16.5" customHeight="1" thickBot="1" x14ac:dyDescent="0.3">
      <c r="A64" s="134" t="str">
        <f t="shared" si="1"/>
        <v>7044</v>
      </c>
      <c r="B64" s="51" t="s">
        <v>164</v>
      </c>
      <c r="C64" s="49" t="s">
        <v>20</v>
      </c>
      <c r="D64" s="50">
        <v>1001025167044</v>
      </c>
      <c r="E64" s="24"/>
      <c r="F64" s="23">
        <v>0.32</v>
      </c>
      <c r="G64" s="23">
        <f t="shared" si="11"/>
        <v>0</v>
      </c>
      <c r="H64" s="14">
        <v>2.56</v>
      </c>
      <c r="I64" s="14">
        <v>45</v>
      </c>
      <c r="J64" s="29"/>
      <c r="L64" s="100"/>
    </row>
    <row r="65" spans="1:12" ht="16.5" customHeight="1" thickTop="1" thickBot="1" x14ac:dyDescent="0.3">
      <c r="A65" s="47" t="s">
        <v>104</v>
      </c>
      <c r="B65" s="42" t="s">
        <v>56</v>
      </c>
      <c r="C65" s="42"/>
      <c r="D65" s="42"/>
      <c r="E65" s="42"/>
      <c r="F65" s="41"/>
      <c r="G65" s="42"/>
      <c r="H65" s="42"/>
      <c r="I65" s="42"/>
      <c r="J65" s="43"/>
      <c r="L65" s="100"/>
    </row>
    <row r="66" spans="1:12" ht="16.5" customHeight="1" thickTop="1" x14ac:dyDescent="0.25">
      <c r="A66" s="134" t="str">
        <f t="shared" si="1"/>
        <v>6550</v>
      </c>
      <c r="B66" s="126" t="s">
        <v>151</v>
      </c>
      <c r="C66" s="127" t="s">
        <v>22</v>
      </c>
      <c r="D66" s="50">
        <v>1001032736550</v>
      </c>
      <c r="E66" s="24"/>
      <c r="F66" s="125">
        <v>1</v>
      </c>
      <c r="G66" s="23">
        <f t="shared" ref="G66:G69" si="12">E66</f>
        <v>0</v>
      </c>
      <c r="H66" s="29">
        <v>3</v>
      </c>
      <c r="I66" s="29">
        <v>45</v>
      </c>
      <c r="J66" s="29"/>
      <c r="L66" s="100"/>
    </row>
    <row r="67" spans="1:12" ht="16.5" customHeight="1" x14ac:dyDescent="0.25">
      <c r="A67" s="134" t="str">
        <f t="shared" si="1"/>
        <v>6608</v>
      </c>
      <c r="B67" s="126" t="s">
        <v>58</v>
      </c>
      <c r="C67" s="49" t="s">
        <v>22</v>
      </c>
      <c r="D67" s="50">
        <v>1001033856608</v>
      </c>
      <c r="E67" s="24"/>
      <c r="F67" s="23">
        <v>1</v>
      </c>
      <c r="G67" s="23">
        <f t="shared" si="12"/>
        <v>0</v>
      </c>
      <c r="H67" s="14">
        <v>3</v>
      </c>
      <c r="I67" s="14">
        <v>45</v>
      </c>
      <c r="J67" s="29"/>
      <c r="L67" s="100"/>
    </row>
    <row r="68" spans="1:12" ht="16.5" customHeight="1" x14ac:dyDescent="0.25">
      <c r="A68" s="134" t="str">
        <f t="shared" si="1"/>
        <v>7001</v>
      </c>
      <c r="B68" s="126" t="s">
        <v>57</v>
      </c>
      <c r="C68" s="49" t="s">
        <v>22</v>
      </c>
      <c r="D68" s="50">
        <v>1001035937001</v>
      </c>
      <c r="E68" s="24"/>
      <c r="F68" s="23">
        <v>1</v>
      </c>
      <c r="G68" s="23">
        <f t="shared" si="12"/>
        <v>0</v>
      </c>
      <c r="H68" s="14">
        <v>3</v>
      </c>
      <c r="I68" s="14">
        <v>45</v>
      </c>
      <c r="J68" s="29"/>
      <c r="L68" s="100"/>
    </row>
    <row r="69" spans="1:12" ht="16.5" customHeight="1" x14ac:dyDescent="0.25">
      <c r="A69" s="134" t="str">
        <f t="shared" si="1"/>
        <v>6527</v>
      </c>
      <c r="B69" s="126" t="s">
        <v>152</v>
      </c>
      <c r="C69" s="49" t="s">
        <v>22</v>
      </c>
      <c r="D69" s="50">
        <v>1001031076527</v>
      </c>
      <c r="E69" s="24"/>
      <c r="F69" s="23">
        <v>1</v>
      </c>
      <c r="G69" s="23">
        <f t="shared" si="12"/>
        <v>0</v>
      </c>
      <c r="H69" s="14">
        <v>3</v>
      </c>
      <c r="I69" s="14">
        <v>45</v>
      </c>
      <c r="J69" s="29"/>
      <c r="L69" s="100"/>
    </row>
    <row r="70" spans="1:12" ht="16.5" customHeight="1" x14ac:dyDescent="0.25">
      <c r="A70" s="134" t="str">
        <f t="shared" si="1"/>
        <v>6609</v>
      </c>
      <c r="B70" s="126" t="s">
        <v>153</v>
      </c>
      <c r="C70" s="49" t="s">
        <v>20</v>
      </c>
      <c r="D70" s="50">
        <v>1001033856609</v>
      </c>
      <c r="E70" s="24"/>
      <c r="F70" s="23">
        <v>0.4</v>
      </c>
      <c r="G70" s="23">
        <f t="shared" ref="G70:G71" si="13">E70*F70</f>
        <v>0</v>
      </c>
      <c r="H70" s="14">
        <v>2.4</v>
      </c>
      <c r="I70" s="14">
        <v>45</v>
      </c>
      <c r="J70" s="29"/>
      <c r="L70" s="100"/>
    </row>
    <row r="71" spans="1:12" ht="16.5" customHeight="1" thickBot="1" x14ac:dyDescent="0.3">
      <c r="A71" s="134" t="str">
        <f t="shared" si="1"/>
        <v>7059</v>
      </c>
      <c r="B71" s="126" t="s">
        <v>154</v>
      </c>
      <c r="C71" s="49" t="s">
        <v>20</v>
      </c>
      <c r="D71" s="50">
        <v>1001035277059</v>
      </c>
      <c r="E71" s="24"/>
      <c r="F71" s="23">
        <v>0.3</v>
      </c>
      <c r="G71" s="23">
        <f t="shared" si="13"/>
        <v>0</v>
      </c>
      <c r="H71" s="14">
        <v>2.4</v>
      </c>
      <c r="I71" s="14">
        <v>60</v>
      </c>
      <c r="J71" s="29"/>
      <c r="L71" s="100"/>
    </row>
    <row r="72" spans="1:12" ht="16.5" customHeight="1" thickTop="1" thickBot="1" x14ac:dyDescent="0.3">
      <c r="A72" s="47" t="s">
        <v>104</v>
      </c>
      <c r="B72" s="42" t="s">
        <v>59</v>
      </c>
      <c r="C72" s="42"/>
      <c r="D72" s="42"/>
      <c r="E72" s="42"/>
      <c r="F72" s="41"/>
      <c r="G72" s="42"/>
      <c r="H72" s="42"/>
      <c r="I72" s="42"/>
      <c r="J72" s="43"/>
      <c r="L72" s="100"/>
    </row>
    <row r="73" spans="1:12" ht="16.5" customHeight="1" thickTop="1" x14ac:dyDescent="0.25">
      <c r="A73" s="134" t="str">
        <f t="shared" ref="A73:A98" si="14">RIGHT(D73,4)</f>
        <v>7564</v>
      </c>
      <c r="B73" s="51" t="s">
        <v>121</v>
      </c>
      <c r="C73" s="49" t="s">
        <v>22</v>
      </c>
      <c r="D73" s="50">
        <v>1001303637564</v>
      </c>
      <c r="E73" s="24"/>
      <c r="F73" s="23">
        <v>0.84</v>
      </c>
      <c r="G73" s="23">
        <f>E73</f>
        <v>0</v>
      </c>
      <c r="H73" s="14">
        <v>5.04</v>
      </c>
      <c r="I73" s="14">
        <v>45</v>
      </c>
      <c r="J73" s="29"/>
      <c r="L73" s="100"/>
    </row>
    <row r="74" spans="1:12" ht="16.5" customHeight="1" x14ac:dyDescent="0.25">
      <c r="A74" s="134" t="str">
        <f t="shared" si="14"/>
        <v>7603</v>
      </c>
      <c r="B74" s="51" t="s">
        <v>122</v>
      </c>
      <c r="C74" s="49" t="s">
        <v>20</v>
      </c>
      <c r="D74" s="50">
        <v>1001303637603</v>
      </c>
      <c r="E74" s="24"/>
      <c r="F74" s="23">
        <v>0.33</v>
      </c>
      <c r="G74" s="23">
        <f t="shared" ref="G74:G87" si="15">E74*F74</f>
        <v>0</v>
      </c>
      <c r="H74" s="14">
        <v>2.64</v>
      </c>
      <c r="I74" s="14">
        <v>45</v>
      </c>
      <c r="J74" s="29"/>
      <c r="L74" s="100"/>
    </row>
    <row r="75" spans="1:12" ht="16.5" customHeight="1" x14ac:dyDescent="0.25">
      <c r="A75" s="134" t="str">
        <f t="shared" si="14"/>
        <v>7399</v>
      </c>
      <c r="B75" s="51" t="s">
        <v>222</v>
      </c>
      <c r="C75" s="49" t="s">
        <v>20</v>
      </c>
      <c r="D75" s="50">
        <v>1001057037399</v>
      </c>
      <c r="E75" s="24">
        <v>120</v>
      </c>
      <c r="F75" s="23">
        <v>0.82</v>
      </c>
      <c r="G75" s="23">
        <f>E75*F75</f>
        <v>98.399999999999991</v>
      </c>
      <c r="H75" s="14"/>
      <c r="I75" s="14"/>
      <c r="J75" s="29"/>
      <c r="L75" s="100"/>
    </row>
    <row r="76" spans="1:12" ht="16.5" customHeight="1" x14ac:dyDescent="0.25">
      <c r="A76" s="134" t="str">
        <f t="shared" si="14"/>
        <v>7149</v>
      </c>
      <c r="B76" s="51" t="s">
        <v>19</v>
      </c>
      <c r="C76" s="49" t="s">
        <v>20</v>
      </c>
      <c r="D76" s="50">
        <v>1001303637149</v>
      </c>
      <c r="E76" s="24"/>
      <c r="F76" s="23">
        <v>0.84</v>
      </c>
      <c r="G76" s="23">
        <f t="shared" si="15"/>
        <v>0</v>
      </c>
      <c r="H76" s="14">
        <v>5.04</v>
      </c>
      <c r="I76" s="14">
        <v>50</v>
      </c>
      <c r="J76" s="29"/>
      <c r="L76" s="100"/>
    </row>
    <row r="77" spans="1:12" ht="16.5" customHeight="1" x14ac:dyDescent="0.25">
      <c r="A77" s="134" t="str">
        <f t="shared" si="14"/>
        <v>7233</v>
      </c>
      <c r="B77" s="51" t="s">
        <v>201</v>
      </c>
      <c r="C77" s="49" t="s">
        <v>20</v>
      </c>
      <c r="D77" s="50">
        <v>1001303637233</v>
      </c>
      <c r="E77" s="24"/>
      <c r="F77" s="125">
        <v>0.31</v>
      </c>
      <c r="G77" s="23">
        <f t="shared" si="15"/>
        <v>0</v>
      </c>
      <c r="H77" s="29">
        <v>2.48</v>
      </c>
      <c r="I77" s="29">
        <v>45</v>
      </c>
      <c r="J77" s="29"/>
      <c r="L77" s="100"/>
    </row>
    <row r="78" spans="1:12" ht="16.5" customHeight="1" x14ac:dyDescent="0.25">
      <c r="A78" s="134" t="str">
        <f t="shared" si="14"/>
        <v>7232</v>
      </c>
      <c r="B78" s="51" t="s">
        <v>61</v>
      </c>
      <c r="C78" s="49" t="s">
        <v>20</v>
      </c>
      <c r="D78" s="50">
        <v>1001302277232</v>
      </c>
      <c r="E78" s="24"/>
      <c r="F78" s="125">
        <v>0.28000000000000003</v>
      </c>
      <c r="G78" s="23">
        <f t="shared" si="15"/>
        <v>0</v>
      </c>
      <c r="H78" s="29">
        <v>2.2400000000000002</v>
      </c>
      <c r="I78" s="29">
        <v>50</v>
      </c>
      <c r="J78" s="29"/>
      <c r="L78" s="100"/>
    </row>
    <row r="79" spans="1:12" ht="16.5" customHeight="1" x14ac:dyDescent="0.25">
      <c r="A79" s="134" t="str">
        <f t="shared" si="14"/>
        <v>7241</v>
      </c>
      <c r="B79" s="51" t="s">
        <v>63</v>
      </c>
      <c r="C79" s="49" t="s">
        <v>20</v>
      </c>
      <c r="D79" s="50">
        <v>1001303107241</v>
      </c>
      <c r="E79" s="24"/>
      <c r="F79" s="125">
        <v>0.28000000000000003</v>
      </c>
      <c r="G79" s="23">
        <f t="shared" si="15"/>
        <v>0</v>
      </c>
      <c r="H79" s="29">
        <v>2.2400000000000002</v>
      </c>
      <c r="I79" s="29">
        <v>45</v>
      </c>
      <c r="J79" s="29"/>
      <c r="L79" s="100"/>
    </row>
    <row r="80" spans="1:12" ht="16.5" customHeight="1" x14ac:dyDescent="0.25">
      <c r="A80" s="134" t="str">
        <f t="shared" si="14"/>
        <v>7133</v>
      </c>
      <c r="B80" s="51" t="s">
        <v>73</v>
      </c>
      <c r="C80" s="49" t="s">
        <v>22</v>
      </c>
      <c r="D80" s="50">
        <v>1001300367133</v>
      </c>
      <c r="E80" s="24"/>
      <c r="F80" s="125">
        <v>0.84</v>
      </c>
      <c r="G80" s="23">
        <f>E80</f>
        <v>0</v>
      </c>
      <c r="H80" s="29">
        <v>5.04</v>
      </c>
      <c r="I80" s="29">
        <v>45</v>
      </c>
      <c r="J80" s="29"/>
      <c r="L80" s="100"/>
    </row>
    <row r="81" spans="1:12" ht="16.5" customHeight="1" x14ac:dyDescent="0.25">
      <c r="A81" s="134" t="str">
        <f t="shared" si="14"/>
        <v>6946</v>
      </c>
      <c r="B81" s="51" t="s">
        <v>173</v>
      </c>
      <c r="C81" s="49" t="s">
        <v>22</v>
      </c>
      <c r="D81" s="50">
        <v>1001300456946</v>
      </c>
      <c r="E81" s="24"/>
      <c r="F81" s="125"/>
      <c r="G81" s="23">
        <f>E81</f>
        <v>0</v>
      </c>
      <c r="H81" s="29"/>
      <c r="I81" s="29"/>
      <c r="J81" s="29"/>
      <c r="L81" s="100"/>
    </row>
    <row r="82" spans="1:12" ht="16.5" customHeight="1" x14ac:dyDescent="0.25">
      <c r="A82" s="134" t="str">
        <f t="shared" si="14"/>
        <v>6807</v>
      </c>
      <c r="B82" s="51" t="s">
        <v>75</v>
      </c>
      <c r="C82" s="49" t="s">
        <v>20</v>
      </c>
      <c r="D82" s="50">
        <v>1001300366807</v>
      </c>
      <c r="E82" s="24"/>
      <c r="F82" s="125">
        <v>0.33</v>
      </c>
      <c r="G82" s="23">
        <f t="shared" si="15"/>
        <v>0</v>
      </c>
      <c r="H82" s="29">
        <v>2.64</v>
      </c>
      <c r="I82" s="29">
        <v>45</v>
      </c>
      <c r="J82" s="29"/>
      <c r="L82" s="100"/>
    </row>
    <row r="83" spans="1:12" ht="16.5" customHeight="1" x14ac:dyDescent="0.25">
      <c r="A83" s="134" t="str">
        <f t="shared" si="14"/>
        <v>7154</v>
      </c>
      <c r="B83" s="51" t="s">
        <v>64</v>
      </c>
      <c r="C83" s="49" t="s">
        <v>20</v>
      </c>
      <c r="D83" s="50">
        <v>1001300387154</v>
      </c>
      <c r="E83" s="24"/>
      <c r="F83" s="23">
        <v>0.35</v>
      </c>
      <c r="G83" s="23">
        <f t="shared" si="15"/>
        <v>0</v>
      </c>
      <c r="H83" s="14">
        <v>2.8</v>
      </c>
      <c r="I83" s="14">
        <v>50</v>
      </c>
      <c r="J83" s="29"/>
      <c r="L83" s="100"/>
    </row>
    <row r="84" spans="1:12" ht="16.5" customHeight="1" x14ac:dyDescent="0.25">
      <c r="A84" s="134" t="str">
        <f t="shared" si="14"/>
        <v>7157</v>
      </c>
      <c r="B84" s="51" t="s">
        <v>74</v>
      </c>
      <c r="C84" s="49" t="s">
        <v>22</v>
      </c>
      <c r="D84" s="50">
        <v>1001300387157</v>
      </c>
      <c r="E84" s="24"/>
      <c r="F84" s="23">
        <v>0.63</v>
      </c>
      <c r="G84" s="23">
        <f>E84</f>
        <v>0</v>
      </c>
      <c r="H84" s="14">
        <v>5.04</v>
      </c>
      <c r="I84" s="14">
        <v>50</v>
      </c>
      <c r="J84" s="29"/>
      <c r="L84" s="100"/>
    </row>
    <row r="85" spans="1:12" ht="16.5" customHeight="1" x14ac:dyDescent="0.25">
      <c r="A85" s="134" t="str">
        <f t="shared" si="14"/>
        <v>7562</v>
      </c>
      <c r="B85" s="51" t="s">
        <v>212</v>
      </c>
      <c r="C85" s="49" t="s">
        <v>22</v>
      </c>
      <c r="D85" s="50">
        <v>1001307587562</v>
      </c>
      <c r="E85" s="24"/>
      <c r="F85" s="23"/>
      <c r="G85" s="23">
        <f>E85</f>
        <v>0</v>
      </c>
      <c r="H85" s="14"/>
      <c r="I85" s="14"/>
      <c r="J85" s="29" t="str">
        <f>VLOOKUP(D85,[1]Бланк!$D:$J,7,0)</f>
        <v>Новинка</v>
      </c>
      <c r="L85" s="100"/>
    </row>
    <row r="86" spans="1:12" ht="16.5" customHeight="1" x14ac:dyDescent="0.25">
      <c r="A86" s="134" t="str">
        <f t="shared" si="14"/>
        <v>7236</v>
      </c>
      <c r="B86" s="51" t="s">
        <v>68</v>
      </c>
      <c r="C86" s="49" t="s">
        <v>20</v>
      </c>
      <c r="D86" s="50">
        <v>1001304507236</v>
      </c>
      <c r="E86" s="24"/>
      <c r="F86" s="23">
        <v>0.28000000000000003</v>
      </c>
      <c r="G86" s="23">
        <f t="shared" si="15"/>
        <v>0</v>
      </c>
      <c r="H86" s="14">
        <v>2.2400000000000002</v>
      </c>
      <c r="I86" s="14">
        <v>45</v>
      </c>
      <c r="J86" s="29"/>
      <c r="L86" s="100"/>
    </row>
    <row r="87" spans="1:12" ht="15.75" customHeight="1" x14ac:dyDescent="0.25">
      <c r="A87" s="134" t="str">
        <f t="shared" si="14"/>
        <v>6787</v>
      </c>
      <c r="B87" s="128" t="s">
        <v>65</v>
      </c>
      <c r="C87" s="49" t="s">
        <v>20</v>
      </c>
      <c r="D87" s="50">
        <v>1001300456787</v>
      </c>
      <c r="E87" s="24"/>
      <c r="F87" s="23">
        <v>0.33</v>
      </c>
      <c r="G87" s="23">
        <f t="shared" si="15"/>
        <v>0</v>
      </c>
      <c r="H87" s="14">
        <v>2.64</v>
      </c>
      <c r="I87" s="14">
        <v>45</v>
      </c>
      <c r="J87" s="29"/>
      <c r="L87" s="100"/>
    </row>
    <row r="88" spans="1:12" ht="15.75" customHeight="1" x14ac:dyDescent="0.25">
      <c r="A88" s="134" t="str">
        <f t="shared" si="14"/>
        <v>7166</v>
      </c>
      <c r="B88" s="128" t="s">
        <v>71</v>
      </c>
      <c r="C88" s="49" t="s">
        <v>22</v>
      </c>
      <c r="D88" s="50">
        <v>1001303987166</v>
      </c>
      <c r="E88" s="24"/>
      <c r="F88" s="23">
        <v>0.7</v>
      </c>
      <c r="G88" s="23">
        <f>E88</f>
        <v>0</v>
      </c>
      <c r="H88" s="14">
        <v>5.6</v>
      </c>
      <c r="I88" s="14">
        <v>50</v>
      </c>
      <c r="J88" s="29"/>
      <c r="L88" s="100"/>
    </row>
    <row r="89" spans="1:12" ht="15.75" customHeight="1" x14ac:dyDescent="0.25">
      <c r="A89" s="134" t="str">
        <f t="shared" si="14"/>
        <v>7169</v>
      </c>
      <c r="B89" s="51" t="s">
        <v>70</v>
      </c>
      <c r="C89" s="49" t="s">
        <v>20</v>
      </c>
      <c r="D89" s="50">
        <v>1001303987169</v>
      </c>
      <c r="E89" s="24"/>
      <c r="F89" s="23">
        <v>0.35</v>
      </c>
      <c r="G89" s="23">
        <f>E89*F89</f>
        <v>0</v>
      </c>
      <c r="H89" s="14">
        <v>2.8</v>
      </c>
      <c r="I89" s="14">
        <v>50</v>
      </c>
      <c r="J89" s="29"/>
      <c r="L89" s="100"/>
    </row>
    <row r="90" spans="1:12" ht="15.75" customHeight="1" x14ac:dyDescent="0.25">
      <c r="A90" s="134" t="str">
        <f t="shared" si="14"/>
        <v>7156</v>
      </c>
      <c r="B90" s="51" t="s">
        <v>205</v>
      </c>
      <c r="C90" s="49" t="s">
        <v>20</v>
      </c>
      <c r="D90" s="50">
        <v>1001304237156</v>
      </c>
      <c r="E90" s="24"/>
      <c r="F90" s="23">
        <v>0.35</v>
      </c>
      <c r="G90" s="23">
        <f>E90*F90</f>
        <v>0</v>
      </c>
      <c r="H90" s="14"/>
      <c r="I90" s="14"/>
      <c r="J90" s="29" t="str">
        <f>VLOOKUP(D90,[1]Бланк!$D:$J,7,0)</f>
        <v>Новинка</v>
      </c>
      <c r="L90" s="100"/>
    </row>
    <row r="91" spans="1:12" ht="15.75" customHeight="1" x14ac:dyDescent="0.25">
      <c r="A91" s="134" t="str">
        <f t="shared" si="14"/>
        <v>5544</v>
      </c>
      <c r="B91" s="51" t="s">
        <v>72</v>
      </c>
      <c r="C91" s="49" t="s">
        <v>22</v>
      </c>
      <c r="D91" s="50">
        <v>1001051875544</v>
      </c>
      <c r="E91" s="24"/>
      <c r="F91" s="23">
        <v>0.81</v>
      </c>
      <c r="G91" s="23">
        <f>E91</f>
        <v>0</v>
      </c>
      <c r="H91" s="14">
        <v>4.8600000000000003</v>
      </c>
      <c r="I91" s="14">
        <v>45</v>
      </c>
      <c r="J91" s="29"/>
      <c r="L91" s="100"/>
    </row>
    <row r="92" spans="1:12" ht="15.75" customHeight="1" x14ac:dyDescent="0.25">
      <c r="A92" s="134" t="str">
        <f t="shared" si="14"/>
        <v>6697</v>
      </c>
      <c r="B92" s="51" t="s">
        <v>66</v>
      </c>
      <c r="C92" s="49" t="s">
        <v>20</v>
      </c>
      <c r="D92" s="50">
        <v>1001301876697</v>
      </c>
      <c r="E92" s="24"/>
      <c r="F92" s="23">
        <v>0.35</v>
      </c>
      <c r="G92" s="23">
        <f t="shared" ref="G92:G98" si="16">E92*F92</f>
        <v>0</v>
      </c>
      <c r="H92" s="14">
        <v>2.8</v>
      </c>
      <c r="I92" s="14">
        <v>45</v>
      </c>
      <c r="J92" s="29"/>
      <c r="L92" s="100"/>
    </row>
    <row r="93" spans="1:12" ht="15.75" customHeight="1" x14ac:dyDescent="0.25">
      <c r="A93" s="134" t="str">
        <f t="shared" si="14"/>
        <v>7238</v>
      </c>
      <c r="B93" s="51" t="s">
        <v>123</v>
      </c>
      <c r="C93" s="49" t="s">
        <v>20</v>
      </c>
      <c r="D93" s="50">
        <v>1001305197238</v>
      </c>
      <c r="E93" s="24"/>
      <c r="F93" s="23">
        <v>0.31</v>
      </c>
      <c r="G93" s="23">
        <f t="shared" si="16"/>
        <v>0</v>
      </c>
      <c r="H93" s="14">
        <v>2.48</v>
      </c>
      <c r="I93" s="14">
        <v>45</v>
      </c>
      <c r="J93" s="29"/>
      <c r="L93" s="100"/>
    </row>
    <row r="94" spans="1:12" ht="15.75" customHeight="1" x14ac:dyDescent="0.25">
      <c r="A94" s="134" t="str">
        <f t="shared" si="14"/>
        <v>7516</v>
      </c>
      <c r="B94" s="51" t="s">
        <v>211</v>
      </c>
      <c r="C94" s="49" t="s">
        <v>20</v>
      </c>
      <c r="D94" s="50">
        <v>1001307107516</v>
      </c>
      <c r="E94" s="24"/>
      <c r="F94" s="23">
        <v>0.31</v>
      </c>
      <c r="G94" s="23">
        <f t="shared" si="16"/>
        <v>0</v>
      </c>
      <c r="H94" s="14"/>
      <c r="I94" s="14"/>
      <c r="J94" s="29" t="str">
        <f>VLOOKUP(D94,[1]Бланк!$D:$J,7,0)</f>
        <v>Новинка</v>
      </c>
      <c r="L94" s="100"/>
    </row>
    <row r="95" spans="1:12" ht="15.75" customHeight="1" x14ac:dyDescent="0.25">
      <c r="A95" s="134" t="str">
        <f t="shared" si="14"/>
        <v>7710</v>
      </c>
      <c r="B95" s="51" t="s">
        <v>213</v>
      </c>
      <c r="C95" s="49" t="s">
        <v>20</v>
      </c>
      <c r="D95" s="50">
        <v>1001307587710</v>
      </c>
      <c r="E95" s="24"/>
      <c r="F95" s="23">
        <v>0.3</v>
      </c>
      <c r="G95" s="23">
        <f t="shared" ref="G95" si="17">E95*F95</f>
        <v>0</v>
      </c>
      <c r="H95" s="14"/>
      <c r="I95" s="14"/>
      <c r="J95" s="29" t="str">
        <f>VLOOKUP(D95,[1]Бланк!$D:$J,7,0)</f>
        <v>Новинка</v>
      </c>
      <c r="L95" s="100"/>
    </row>
    <row r="96" spans="1:12" ht="15.75" customHeight="1" x14ac:dyDescent="0.25">
      <c r="A96" s="134" t="str">
        <f t="shared" si="14"/>
        <v>7513</v>
      </c>
      <c r="B96" s="51" t="s">
        <v>210</v>
      </c>
      <c r="C96" s="49" t="s">
        <v>20</v>
      </c>
      <c r="D96" s="50">
        <v>1001307077513</v>
      </c>
      <c r="E96" s="24"/>
      <c r="F96" s="23">
        <v>0.26</v>
      </c>
      <c r="G96" s="23">
        <f t="shared" si="16"/>
        <v>0</v>
      </c>
      <c r="H96" s="14"/>
      <c r="I96" s="14"/>
      <c r="J96" s="29" t="str">
        <f>VLOOKUP(D96,[1]Бланк!$D:$J,7,0)</f>
        <v>Новинка</v>
      </c>
      <c r="L96" s="100"/>
    </row>
    <row r="97" spans="1:67" ht="15.75" customHeight="1" x14ac:dyDescent="0.25">
      <c r="A97" s="134" t="str">
        <f t="shared" si="14"/>
        <v>7177</v>
      </c>
      <c r="B97" s="51" t="s">
        <v>124</v>
      </c>
      <c r="C97" s="49" t="s">
        <v>20</v>
      </c>
      <c r="D97" s="50">
        <v>1001302347177</v>
      </c>
      <c r="E97" s="24"/>
      <c r="F97" s="23">
        <v>0.35</v>
      </c>
      <c r="G97" s="23">
        <f t="shared" si="16"/>
        <v>0</v>
      </c>
      <c r="H97" s="14">
        <v>2.8</v>
      </c>
      <c r="I97" s="14">
        <v>50</v>
      </c>
      <c r="J97" s="29"/>
      <c r="L97" s="100"/>
    </row>
    <row r="98" spans="1:67" s="52" customFormat="1" ht="16.5" customHeight="1" thickBot="1" x14ac:dyDescent="0.3">
      <c r="A98" s="134" t="str">
        <f t="shared" si="14"/>
        <v>7608</v>
      </c>
      <c r="B98" s="51" t="s">
        <v>199</v>
      </c>
      <c r="C98" s="49" t="s">
        <v>20</v>
      </c>
      <c r="D98" s="50">
        <v>1001304197608</v>
      </c>
      <c r="E98" s="24"/>
      <c r="F98" s="23">
        <v>0.1</v>
      </c>
      <c r="G98" s="23">
        <f t="shared" si="16"/>
        <v>0</v>
      </c>
      <c r="H98" s="14">
        <v>1</v>
      </c>
      <c r="I98" s="14">
        <v>45</v>
      </c>
      <c r="J98" s="29"/>
      <c r="K98" s="27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</row>
    <row r="99" spans="1:67" ht="16.5" customHeight="1" thickTop="1" thickBot="1" x14ac:dyDescent="0.3">
      <c r="A99" s="47" t="s">
        <v>104</v>
      </c>
      <c r="B99" s="42" t="s">
        <v>76</v>
      </c>
      <c r="C99" s="42"/>
      <c r="D99" s="42"/>
      <c r="E99" s="42"/>
      <c r="F99" s="41"/>
      <c r="G99" s="42"/>
      <c r="H99" s="42"/>
      <c r="I99" s="42"/>
      <c r="J99" s="43"/>
      <c r="L99" s="100"/>
    </row>
    <row r="100" spans="1:67" ht="16.5" customHeight="1" thickTop="1" x14ac:dyDescent="0.25">
      <c r="A100" s="134" t="str">
        <f t="shared" ref="A100:A126" si="18">RIGHT(D100,4)</f>
        <v>3986</v>
      </c>
      <c r="B100" s="51" t="s">
        <v>79</v>
      </c>
      <c r="C100" s="49" t="s">
        <v>20</v>
      </c>
      <c r="D100" s="50">
        <v>1001061973986</v>
      </c>
      <c r="E100" s="24"/>
      <c r="F100" s="125">
        <v>0.25</v>
      </c>
      <c r="G100" s="23">
        <f t="shared" ref="G100:G105" si="19">E100*F100</f>
        <v>0</v>
      </c>
      <c r="H100" s="129">
        <v>2</v>
      </c>
      <c r="I100" s="130">
        <v>120</v>
      </c>
      <c r="J100" s="29"/>
      <c r="L100" s="100"/>
    </row>
    <row r="101" spans="1:67" ht="16.5" customHeight="1" x14ac:dyDescent="0.25">
      <c r="A101" s="134" t="str">
        <f t="shared" si="18"/>
        <v>5931</v>
      </c>
      <c r="B101" s="51" t="s">
        <v>77</v>
      </c>
      <c r="C101" s="49" t="s">
        <v>20</v>
      </c>
      <c r="D101" s="50">
        <v>1001060755931</v>
      </c>
      <c r="E101" s="24"/>
      <c r="F101" s="23">
        <v>0.22</v>
      </c>
      <c r="G101" s="23">
        <f t="shared" si="19"/>
        <v>0</v>
      </c>
      <c r="H101" s="95">
        <v>1.76</v>
      </c>
      <c r="I101" s="14">
        <v>120</v>
      </c>
      <c r="J101" s="29"/>
      <c r="L101" s="100"/>
    </row>
    <row r="102" spans="1:67" ht="16.5" customHeight="1" x14ac:dyDescent="0.25">
      <c r="A102" s="134" t="str">
        <f t="shared" si="18"/>
        <v>7700</v>
      </c>
      <c r="B102" s="51" t="s">
        <v>216</v>
      </c>
      <c r="C102" s="49" t="s">
        <v>22</v>
      </c>
      <c r="D102" s="50">
        <v>1001067977700</v>
      </c>
      <c r="E102" s="24"/>
      <c r="F102" s="23"/>
      <c r="G102" s="23">
        <f>E102</f>
        <v>0</v>
      </c>
      <c r="H102" s="14"/>
      <c r="I102" s="14"/>
      <c r="J102" s="29" t="str">
        <f>VLOOKUP(D102,[1]Бланк!$D:$J,7,0)</f>
        <v>Ротация кода 5708</v>
      </c>
      <c r="L102" s="100"/>
    </row>
    <row r="103" spans="1:67" ht="16.5" customHeight="1" x14ac:dyDescent="0.25">
      <c r="A103" s="134" t="str">
        <f t="shared" si="18"/>
        <v>3287</v>
      </c>
      <c r="B103" s="51" t="s">
        <v>90</v>
      </c>
      <c r="C103" s="49" t="s">
        <v>22</v>
      </c>
      <c r="D103" s="50">
        <v>1001060763287</v>
      </c>
      <c r="E103" s="24"/>
      <c r="F103" s="23">
        <v>0.48799999999999999</v>
      </c>
      <c r="G103" s="23">
        <f t="shared" ref="G103" si="20">E103</f>
        <v>0</v>
      </c>
      <c r="H103" s="14">
        <v>3.9</v>
      </c>
      <c r="I103" s="14">
        <v>120</v>
      </c>
      <c r="J103" s="29"/>
      <c r="L103" s="100"/>
    </row>
    <row r="104" spans="1:67" ht="16.5" customHeight="1" x14ac:dyDescent="0.25">
      <c r="A104" s="134" t="str">
        <f t="shared" si="18"/>
        <v>4993</v>
      </c>
      <c r="B104" s="51" t="s">
        <v>139</v>
      </c>
      <c r="C104" s="49" t="s">
        <v>20</v>
      </c>
      <c r="D104" s="50">
        <v>1001060764993</v>
      </c>
      <c r="E104" s="24"/>
      <c r="F104" s="23">
        <v>0.25</v>
      </c>
      <c r="G104" s="23">
        <f t="shared" si="19"/>
        <v>0</v>
      </c>
      <c r="H104" s="14">
        <v>2</v>
      </c>
      <c r="I104" s="14">
        <v>120</v>
      </c>
      <c r="J104" s="29"/>
      <c r="L104" s="100"/>
    </row>
    <row r="105" spans="1:67" ht="16.5" customHeight="1" x14ac:dyDescent="0.25">
      <c r="A105" s="134" t="str">
        <f t="shared" si="18"/>
        <v>5483</v>
      </c>
      <c r="B105" s="51" t="s">
        <v>88</v>
      </c>
      <c r="C105" s="49" t="s">
        <v>20</v>
      </c>
      <c r="D105" s="50">
        <v>1001062505483</v>
      </c>
      <c r="E105" s="24"/>
      <c r="F105" s="23">
        <v>0.25</v>
      </c>
      <c r="G105" s="23">
        <f t="shared" si="19"/>
        <v>0</v>
      </c>
      <c r="H105" s="14">
        <v>2</v>
      </c>
      <c r="I105" s="14">
        <v>120</v>
      </c>
      <c r="J105" s="29"/>
      <c r="L105" s="100"/>
    </row>
    <row r="106" spans="1:67" ht="16.5" customHeight="1" x14ac:dyDescent="0.25">
      <c r="A106" s="134" t="str">
        <f t="shared" si="18"/>
        <v>4117</v>
      </c>
      <c r="B106" s="51" t="s">
        <v>87</v>
      </c>
      <c r="C106" s="49" t="s">
        <v>22</v>
      </c>
      <c r="D106" s="50">
        <v>1001062504117</v>
      </c>
      <c r="E106" s="24"/>
      <c r="F106" s="23">
        <v>0.49399999999999999</v>
      </c>
      <c r="G106" s="23">
        <f t="shared" ref="G106:G107" si="21">E106</f>
        <v>0</v>
      </c>
      <c r="H106" s="14">
        <v>3.95</v>
      </c>
      <c r="I106" s="14">
        <v>120</v>
      </c>
      <c r="J106" s="29"/>
      <c r="L106" s="100"/>
    </row>
    <row r="107" spans="1:67" ht="16.5" customHeight="1" x14ac:dyDescent="0.25">
      <c r="A107" s="134" t="str">
        <f t="shared" si="18"/>
        <v>0614</v>
      </c>
      <c r="B107" s="51" t="s">
        <v>140</v>
      </c>
      <c r="C107" s="49" t="s">
        <v>22</v>
      </c>
      <c r="D107" s="50">
        <v>1001060720614</v>
      </c>
      <c r="E107" s="24"/>
      <c r="F107" s="23">
        <v>0.52</v>
      </c>
      <c r="G107" s="23">
        <f t="shared" si="21"/>
        <v>0</v>
      </c>
      <c r="H107" s="14">
        <v>3.64</v>
      </c>
      <c r="I107" s="14">
        <v>120</v>
      </c>
      <c r="J107" s="29"/>
      <c r="L107" s="100"/>
    </row>
    <row r="108" spans="1:67" ht="16.5" customHeight="1" x14ac:dyDescent="0.25">
      <c r="A108" s="134" t="str">
        <f t="shared" si="18"/>
        <v>6967</v>
      </c>
      <c r="B108" s="51" t="s">
        <v>83</v>
      </c>
      <c r="C108" s="49" t="s">
        <v>20</v>
      </c>
      <c r="D108" s="50">
        <v>1001063656967</v>
      </c>
      <c r="E108" s="24"/>
      <c r="F108" s="23">
        <v>0.25</v>
      </c>
      <c r="G108" s="23">
        <f t="shared" ref="G108:G116" si="22">E108*F108</f>
        <v>0</v>
      </c>
      <c r="H108" s="14">
        <v>2</v>
      </c>
      <c r="I108" s="14">
        <v>120</v>
      </c>
      <c r="J108" s="29"/>
      <c r="L108" s="100"/>
    </row>
    <row r="109" spans="1:67" ht="16.5" customHeight="1" x14ac:dyDescent="0.25">
      <c r="A109" s="134" t="str">
        <f t="shared" si="18"/>
        <v>6937</v>
      </c>
      <c r="B109" s="51" t="s">
        <v>141</v>
      </c>
      <c r="C109" s="49" t="s">
        <v>20</v>
      </c>
      <c r="D109" s="50">
        <v>1001063106937</v>
      </c>
      <c r="E109" s="24"/>
      <c r="F109" s="23">
        <v>0.25</v>
      </c>
      <c r="G109" s="23">
        <f t="shared" si="22"/>
        <v>0</v>
      </c>
      <c r="H109" s="14">
        <v>2</v>
      </c>
      <c r="I109" s="14">
        <v>120</v>
      </c>
      <c r="J109" s="29"/>
      <c r="L109" s="100"/>
    </row>
    <row r="110" spans="1:67" ht="16.5" customHeight="1" x14ac:dyDescent="0.25">
      <c r="A110" s="134" t="str">
        <f t="shared" si="18"/>
        <v>7143</v>
      </c>
      <c r="B110" s="51" t="s">
        <v>142</v>
      </c>
      <c r="C110" s="49" t="s">
        <v>20</v>
      </c>
      <c r="D110" s="50">
        <v>1001060717143</v>
      </c>
      <c r="E110" s="24"/>
      <c r="F110" s="23">
        <v>0.22</v>
      </c>
      <c r="G110" s="23">
        <f t="shared" si="22"/>
        <v>0</v>
      </c>
      <c r="H110" s="14">
        <v>1.76</v>
      </c>
      <c r="I110" s="14">
        <v>120</v>
      </c>
      <c r="J110" s="29"/>
      <c r="L110" s="100"/>
    </row>
    <row r="111" spans="1:67" ht="16.5" customHeight="1" x14ac:dyDescent="0.25">
      <c r="A111" s="134" t="str">
        <f t="shared" si="18"/>
        <v>7456</v>
      </c>
      <c r="B111" s="51" t="s">
        <v>143</v>
      </c>
      <c r="C111" s="49" t="s">
        <v>20</v>
      </c>
      <c r="D111" s="50">
        <v>1001063097456</v>
      </c>
      <c r="E111" s="24"/>
      <c r="F111" s="23">
        <v>0.15</v>
      </c>
      <c r="G111" s="23">
        <f t="shared" si="22"/>
        <v>0</v>
      </c>
      <c r="H111" s="14">
        <v>1.8</v>
      </c>
      <c r="I111" s="14">
        <v>90</v>
      </c>
      <c r="J111" s="29"/>
      <c r="L111" s="100"/>
    </row>
    <row r="112" spans="1:67" ht="16.5" customHeight="1" x14ac:dyDescent="0.25">
      <c r="A112" s="134" t="str">
        <f t="shared" si="18"/>
        <v>7364</v>
      </c>
      <c r="B112" s="51" t="s">
        <v>144</v>
      </c>
      <c r="C112" s="49" t="s">
        <v>20</v>
      </c>
      <c r="D112" s="50">
        <v>1001063217364</v>
      </c>
      <c r="E112" s="24"/>
      <c r="F112" s="23">
        <v>0.22</v>
      </c>
      <c r="G112" s="23">
        <f t="shared" si="22"/>
        <v>0</v>
      </c>
      <c r="H112" s="14">
        <v>1.76</v>
      </c>
      <c r="I112" s="14">
        <v>90</v>
      </c>
      <c r="J112" s="29"/>
      <c r="L112" s="100"/>
    </row>
    <row r="113" spans="1:67" ht="16.5" customHeight="1" x14ac:dyDescent="0.25">
      <c r="A113" s="134" t="str">
        <f t="shared" si="18"/>
        <v>7383</v>
      </c>
      <c r="B113" s="51" t="s">
        <v>145</v>
      </c>
      <c r="C113" s="49" t="s">
        <v>20</v>
      </c>
      <c r="D113" s="50">
        <v>1001065467383</v>
      </c>
      <c r="E113" s="24"/>
      <c r="F113" s="23">
        <v>0.22</v>
      </c>
      <c r="G113" s="23">
        <f t="shared" si="22"/>
        <v>0</v>
      </c>
      <c r="H113" s="14">
        <v>1.76</v>
      </c>
      <c r="I113" s="14">
        <v>90</v>
      </c>
      <c r="J113" s="29"/>
      <c r="L113" s="100"/>
    </row>
    <row r="114" spans="1:67" ht="16.5" customHeight="1" x14ac:dyDescent="0.25">
      <c r="A114" s="134" t="str">
        <f t="shared" si="18"/>
        <v>7317</v>
      </c>
      <c r="B114" s="51" t="s">
        <v>146</v>
      </c>
      <c r="C114" s="49" t="s">
        <v>20</v>
      </c>
      <c r="D114" s="50">
        <v>1001066567317</v>
      </c>
      <c r="E114" s="24"/>
      <c r="F114" s="23">
        <v>0.54</v>
      </c>
      <c r="G114" s="23">
        <f t="shared" si="22"/>
        <v>0</v>
      </c>
      <c r="H114" s="14">
        <v>3.78</v>
      </c>
      <c r="I114" s="14">
        <v>120</v>
      </c>
      <c r="J114" s="29"/>
      <c r="L114" s="100"/>
    </row>
    <row r="115" spans="1:67" ht="16.5" customHeight="1" x14ac:dyDescent="0.25">
      <c r="A115" s="134" t="str">
        <f t="shared" si="18"/>
        <v>7318</v>
      </c>
      <c r="B115" s="51" t="s">
        <v>147</v>
      </c>
      <c r="C115" s="49" t="s">
        <v>20</v>
      </c>
      <c r="D115" s="50">
        <v>1001060727318</v>
      </c>
      <c r="E115" s="24"/>
      <c r="F115" s="23">
        <v>0.27</v>
      </c>
      <c r="G115" s="23">
        <f t="shared" si="22"/>
        <v>0</v>
      </c>
      <c r="H115" s="14">
        <v>2.16</v>
      </c>
      <c r="I115" s="14">
        <v>120</v>
      </c>
      <c r="J115" s="29"/>
      <c r="L115" s="100"/>
    </row>
    <row r="116" spans="1:67" ht="16.5" customHeight="1" x14ac:dyDescent="0.25">
      <c r="A116" s="134" t="str">
        <f t="shared" si="18"/>
        <v>7316</v>
      </c>
      <c r="B116" s="51" t="s">
        <v>148</v>
      </c>
      <c r="C116" s="49" t="s">
        <v>20</v>
      </c>
      <c r="D116" s="50">
        <v>1001060727316</v>
      </c>
      <c r="E116" s="24"/>
      <c r="F116" s="23">
        <v>0.54</v>
      </c>
      <c r="G116" s="23">
        <f t="shared" si="22"/>
        <v>0</v>
      </c>
      <c r="H116" s="14">
        <v>3.78</v>
      </c>
      <c r="I116" s="14">
        <v>120</v>
      </c>
      <c r="J116" s="29"/>
      <c r="L116" s="100"/>
    </row>
    <row r="117" spans="1:67" ht="16.5" customHeight="1" x14ac:dyDescent="0.25">
      <c r="A117" s="134" t="str">
        <f t="shared" si="18"/>
        <v>6832</v>
      </c>
      <c r="B117" s="51" t="s">
        <v>81</v>
      </c>
      <c r="C117" s="49" t="s">
        <v>22</v>
      </c>
      <c r="D117" s="50">
        <v>1001065616832</v>
      </c>
      <c r="E117" s="24"/>
      <c r="F117" s="23">
        <v>0.215</v>
      </c>
      <c r="G117" s="23">
        <f t="shared" ref="G117:G118" si="23">E117</f>
        <v>0</v>
      </c>
      <c r="H117" s="14">
        <v>2.15</v>
      </c>
      <c r="I117" s="14">
        <v>30</v>
      </c>
      <c r="J117" s="29"/>
      <c r="L117" s="100"/>
    </row>
    <row r="118" spans="1:67" ht="16.5" customHeight="1" x14ac:dyDescent="0.25">
      <c r="A118" s="134" t="str">
        <f t="shared" si="18"/>
        <v>7299</v>
      </c>
      <c r="B118" s="51" t="s">
        <v>82</v>
      </c>
      <c r="C118" s="49" t="s">
        <v>22</v>
      </c>
      <c r="D118" s="50">
        <v>1001060677299</v>
      </c>
      <c r="E118" s="24"/>
      <c r="F118" s="23">
        <v>0.215</v>
      </c>
      <c r="G118" s="23">
        <f t="shared" si="23"/>
        <v>0</v>
      </c>
      <c r="H118" s="14">
        <v>2.15</v>
      </c>
      <c r="I118" s="14">
        <v>30</v>
      </c>
      <c r="J118" s="29"/>
      <c r="L118" s="100"/>
    </row>
    <row r="119" spans="1:67" ht="16.5" customHeight="1" x14ac:dyDescent="0.25">
      <c r="A119" s="134" t="str">
        <f t="shared" si="18"/>
        <v>7386</v>
      </c>
      <c r="B119" s="51" t="s">
        <v>150</v>
      </c>
      <c r="C119" s="49" t="s">
        <v>20</v>
      </c>
      <c r="D119" s="50">
        <v>1001067017386</v>
      </c>
      <c r="E119" s="24"/>
      <c r="F119" s="23">
        <v>0.15</v>
      </c>
      <c r="G119" s="23">
        <f t="shared" ref="G119:G126" si="24">E119*F119</f>
        <v>0</v>
      </c>
      <c r="H119" s="14">
        <v>1.35</v>
      </c>
      <c r="I119" s="14">
        <v>90</v>
      </c>
      <c r="J119" s="29"/>
      <c r="L119" s="100"/>
    </row>
    <row r="120" spans="1:67" ht="16.5" customHeight="1" x14ac:dyDescent="0.25">
      <c r="A120" s="134" t="str">
        <f t="shared" si="18"/>
        <v>7613</v>
      </c>
      <c r="B120" s="51" t="s">
        <v>195</v>
      </c>
      <c r="C120" s="49" t="s">
        <v>20</v>
      </c>
      <c r="D120" s="50">
        <v>1001061977613</v>
      </c>
      <c r="E120" s="24"/>
      <c r="F120" s="23">
        <v>0.1</v>
      </c>
      <c r="G120" s="23">
        <f t="shared" si="24"/>
        <v>0</v>
      </c>
      <c r="H120" s="14">
        <v>1</v>
      </c>
      <c r="I120" s="14">
        <v>60</v>
      </c>
      <c r="J120" s="29"/>
      <c r="L120" s="100"/>
    </row>
    <row r="121" spans="1:67" ht="16.5" customHeight="1" x14ac:dyDescent="0.25">
      <c r="A121" s="134" t="str">
        <f t="shared" si="18"/>
        <v>7382</v>
      </c>
      <c r="B121" s="51" t="s">
        <v>84</v>
      </c>
      <c r="C121" s="49" t="s">
        <v>20</v>
      </c>
      <c r="D121" s="50">
        <v>1001203117382</v>
      </c>
      <c r="E121" s="24"/>
      <c r="F121" s="23">
        <v>0.12</v>
      </c>
      <c r="G121" s="23">
        <f t="shared" si="24"/>
        <v>0</v>
      </c>
      <c r="H121" s="14">
        <v>0.96</v>
      </c>
      <c r="I121" s="14">
        <v>60</v>
      </c>
      <c r="J121" s="29"/>
      <c r="L121" s="100"/>
    </row>
    <row r="122" spans="1:67" ht="16.5" customHeight="1" x14ac:dyDescent="0.25">
      <c r="A122" s="134" t="str">
        <f t="shared" si="18"/>
        <v>7616</v>
      </c>
      <c r="B122" s="51" t="s">
        <v>192</v>
      </c>
      <c r="C122" s="49" t="s">
        <v>20</v>
      </c>
      <c r="D122" s="50">
        <v>1001062507616</v>
      </c>
      <c r="E122" s="24"/>
      <c r="F122" s="23">
        <v>0.1</v>
      </c>
      <c r="G122" s="23">
        <f t="shared" si="24"/>
        <v>0</v>
      </c>
      <c r="H122" s="14">
        <v>1.4</v>
      </c>
      <c r="I122" s="14">
        <v>60</v>
      </c>
      <c r="J122" s="29"/>
      <c r="L122" s="100"/>
    </row>
    <row r="123" spans="1:67" ht="16.5" customHeight="1" x14ac:dyDescent="0.25">
      <c r="A123" s="134" t="str">
        <f t="shared" si="18"/>
        <v>6221</v>
      </c>
      <c r="B123" s="51" t="s">
        <v>86</v>
      </c>
      <c r="C123" s="49" t="s">
        <v>20</v>
      </c>
      <c r="D123" s="50">
        <v>1001205376221</v>
      </c>
      <c r="E123" s="24"/>
      <c r="F123" s="23">
        <v>0.09</v>
      </c>
      <c r="G123" s="23">
        <f t="shared" si="24"/>
        <v>0</v>
      </c>
      <c r="H123" s="14">
        <v>0.9</v>
      </c>
      <c r="I123" s="14">
        <v>60</v>
      </c>
      <c r="J123" s="29"/>
      <c r="L123" s="100"/>
    </row>
    <row r="124" spans="1:67" ht="16.5" customHeight="1" x14ac:dyDescent="0.25">
      <c r="A124" s="134" t="str">
        <f t="shared" si="18"/>
        <v>6222</v>
      </c>
      <c r="B124" s="51" t="s">
        <v>133</v>
      </c>
      <c r="C124" s="49" t="s">
        <v>20</v>
      </c>
      <c r="D124" s="50">
        <v>1001205386222</v>
      </c>
      <c r="E124" s="24"/>
      <c r="F124" s="23">
        <v>0.09</v>
      </c>
      <c r="G124" s="23">
        <f t="shared" si="24"/>
        <v>0</v>
      </c>
      <c r="H124" s="14">
        <v>0.9</v>
      </c>
      <c r="I124" s="14">
        <v>60</v>
      </c>
      <c r="J124" s="29"/>
      <c r="L124" s="100"/>
    </row>
    <row r="125" spans="1:67" ht="16.149999999999999" customHeight="1" x14ac:dyDescent="0.25">
      <c r="A125" s="134" t="str">
        <f t="shared" si="18"/>
        <v>5679</v>
      </c>
      <c r="B125" s="51" t="s">
        <v>136</v>
      </c>
      <c r="C125" s="49" t="s">
        <v>20</v>
      </c>
      <c r="D125" s="50">
        <v>1001190765679</v>
      </c>
      <c r="E125" s="24"/>
      <c r="F125" s="23">
        <v>0.15</v>
      </c>
      <c r="G125" s="23">
        <f t="shared" si="24"/>
        <v>0</v>
      </c>
      <c r="H125" s="14">
        <v>1.2</v>
      </c>
      <c r="I125" s="14">
        <v>60</v>
      </c>
      <c r="J125" s="29"/>
      <c r="L125" s="100"/>
    </row>
    <row r="126" spans="1:67" s="52" customFormat="1" ht="16.149999999999999" customHeight="1" thickBot="1" x14ac:dyDescent="0.3">
      <c r="A126" s="134" t="str">
        <f t="shared" si="18"/>
        <v>7626</v>
      </c>
      <c r="B126" s="51" t="s">
        <v>191</v>
      </c>
      <c r="C126" s="49" t="s">
        <v>20</v>
      </c>
      <c r="D126" s="50">
        <v>1001066607626</v>
      </c>
      <c r="E126" s="24"/>
      <c r="F126" s="23">
        <v>0.1</v>
      </c>
      <c r="G126" s="23">
        <f t="shared" si="24"/>
        <v>0</v>
      </c>
      <c r="H126" s="14">
        <v>1</v>
      </c>
      <c r="I126" s="14">
        <v>60</v>
      </c>
      <c r="J126" s="29"/>
      <c r="K126" s="27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  <c r="BK126" s="100"/>
      <c r="BL126" s="100"/>
      <c r="BM126" s="100"/>
      <c r="BN126" s="100"/>
      <c r="BO126" s="100"/>
    </row>
    <row r="127" spans="1:67" s="52" customFormat="1" ht="16.149999999999999" customHeight="1" thickTop="1" thickBot="1" x14ac:dyDescent="0.3">
      <c r="A127" s="47" t="s">
        <v>104</v>
      </c>
      <c r="B127" s="42" t="s">
        <v>91</v>
      </c>
      <c r="C127" s="42"/>
      <c r="D127" s="42"/>
      <c r="E127" s="42"/>
      <c r="F127" s="41"/>
      <c r="G127" s="42"/>
      <c r="H127" s="42"/>
      <c r="I127" s="42"/>
      <c r="J127" s="43"/>
      <c r="K127" s="27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  <c r="BF127" s="100"/>
      <c r="BG127" s="100"/>
      <c r="BH127" s="100"/>
      <c r="BI127" s="100"/>
      <c r="BJ127" s="100"/>
      <c r="BK127" s="100"/>
      <c r="BL127" s="100"/>
      <c r="BM127" s="100"/>
      <c r="BN127" s="100"/>
      <c r="BO127" s="100"/>
    </row>
    <row r="128" spans="1:67" s="52" customFormat="1" ht="16.149999999999999" customHeight="1" thickTop="1" x14ac:dyDescent="0.25">
      <c r="A128" s="134" t="str">
        <f t="shared" ref="A128:A139" si="25">RIGHT(D128,4)</f>
        <v>4584</v>
      </c>
      <c r="B128" s="96" t="s">
        <v>202</v>
      </c>
      <c r="C128" s="49" t="s">
        <v>22</v>
      </c>
      <c r="D128" s="131">
        <v>1001092674584</v>
      </c>
      <c r="E128" s="24"/>
      <c r="F128" s="23">
        <v>2.5</v>
      </c>
      <c r="G128" s="23">
        <f>E128</f>
        <v>0</v>
      </c>
      <c r="H128" s="14">
        <v>7.5</v>
      </c>
      <c r="I128" s="14">
        <v>60</v>
      </c>
      <c r="J128" s="29"/>
      <c r="K128" s="27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0"/>
      <c r="BL128" s="100"/>
      <c r="BM128" s="100"/>
      <c r="BN128" s="100"/>
      <c r="BO128" s="100"/>
    </row>
    <row r="129" spans="1:67" s="52" customFormat="1" ht="16.149999999999999" customHeight="1" x14ac:dyDescent="0.25">
      <c r="A129" s="134" t="str">
        <f t="shared" si="25"/>
        <v>7725</v>
      </c>
      <c r="B129" s="96" t="s">
        <v>217</v>
      </c>
      <c r="C129" s="49" t="s">
        <v>20</v>
      </c>
      <c r="D129" s="50">
        <v>1001092437725</v>
      </c>
      <c r="E129" s="24"/>
      <c r="F129" s="125">
        <v>0.3</v>
      </c>
      <c r="G129" s="23">
        <f>E129*F129</f>
        <v>0</v>
      </c>
      <c r="H129" s="29"/>
      <c r="I129" s="29"/>
      <c r="J129" s="29" t="str">
        <f>VLOOKUP(D129,[1]Бланк!$D:$J,7,0)</f>
        <v>Ротация кода 6495</v>
      </c>
      <c r="K129" s="27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  <c r="BM129" s="100"/>
      <c r="BN129" s="100"/>
      <c r="BO129" s="100"/>
    </row>
    <row r="130" spans="1:67" s="52" customFormat="1" ht="16.5" customHeight="1" x14ac:dyDescent="0.25">
      <c r="A130" s="134" t="str">
        <f t="shared" si="25"/>
        <v>5452</v>
      </c>
      <c r="B130" s="132" t="s">
        <v>93</v>
      </c>
      <c r="C130" s="49" t="s">
        <v>22</v>
      </c>
      <c r="D130" s="50">
        <v>1001092485452</v>
      </c>
      <c r="E130" s="24"/>
      <c r="F130" s="125">
        <v>1.35</v>
      </c>
      <c r="G130" s="23">
        <f t="shared" ref="G130" si="26">E130</f>
        <v>0</v>
      </c>
      <c r="H130" s="29">
        <v>4.05</v>
      </c>
      <c r="I130" s="29">
        <v>60</v>
      </c>
      <c r="J130" s="29"/>
      <c r="K130" s="27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  <c r="BF130" s="100"/>
      <c r="BG130" s="100"/>
      <c r="BH130" s="100"/>
      <c r="BI130" s="100"/>
      <c r="BJ130" s="100"/>
      <c r="BK130" s="100"/>
      <c r="BL130" s="100"/>
      <c r="BM130" s="100"/>
      <c r="BN130" s="100"/>
      <c r="BO130" s="100"/>
    </row>
    <row r="131" spans="1:67" s="52" customFormat="1" ht="16.5" customHeight="1" x14ac:dyDescent="0.25">
      <c r="A131" s="134" t="str">
        <f t="shared" si="25"/>
        <v>3215</v>
      </c>
      <c r="B131" s="132" t="s">
        <v>197</v>
      </c>
      <c r="C131" s="49" t="s">
        <v>20</v>
      </c>
      <c r="D131" s="50">
        <v>1001094053215</v>
      </c>
      <c r="E131" s="24"/>
      <c r="F131" s="125">
        <v>0.4</v>
      </c>
      <c r="G131" s="23">
        <f>E131*F131</f>
        <v>0</v>
      </c>
      <c r="H131" s="29">
        <v>3.2</v>
      </c>
      <c r="I131" s="29">
        <v>60</v>
      </c>
      <c r="J131" s="29"/>
      <c r="K131" s="27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  <c r="BH131" s="100"/>
      <c r="BI131" s="100"/>
      <c r="BJ131" s="100"/>
      <c r="BK131" s="100"/>
      <c r="BL131" s="100"/>
      <c r="BM131" s="100"/>
      <c r="BN131" s="100"/>
      <c r="BO131" s="100"/>
    </row>
    <row r="132" spans="1:67" s="52" customFormat="1" ht="16.5" customHeight="1" x14ac:dyDescent="0.25">
      <c r="A132" s="134" t="str">
        <f t="shared" si="25"/>
        <v>6866</v>
      </c>
      <c r="B132" s="132" t="s">
        <v>92</v>
      </c>
      <c r="C132" s="49" t="s">
        <v>22</v>
      </c>
      <c r="D132" s="50">
        <v>1001095716866</v>
      </c>
      <c r="E132" s="24"/>
      <c r="F132" s="125">
        <v>1.5</v>
      </c>
      <c r="G132" s="23">
        <f>E132</f>
        <v>0</v>
      </c>
      <c r="H132" s="29">
        <v>6</v>
      </c>
      <c r="I132" s="29">
        <v>60</v>
      </c>
      <c r="J132" s="29"/>
      <c r="K132" s="27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  <c r="BF132" s="100"/>
      <c r="BG132" s="100"/>
      <c r="BH132" s="100"/>
      <c r="BI132" s="100"/>
      <c r="BJ132" s="100"/>
      <c r="BK132" s="100"/>
      <c r="BL132" s="100"/>
      <c r="BM132" s="100"/>
      <c r="BN132" s="100"/>
      <c r="BO132" s="100"/>
    </row>
    <row r="133" spans="1:67" s="52" customFormat="1" ht="16.5" customHeight="1" x14ac:dyDescent="0.25">
      <c r="A133" s="134" t="str">
        <f t="shared" si="25"/>
        <v>5495</v>
      </c>
      <c r="B133" s="51" t="s">
        <v>94</v>
      </c>
      <c r="C133" s="49" t="s">
        <v>20</v>
      </c>
      <c r="D133" s="133">
        <v>1001093345495</v>
      </c>
      <c r="E133" s="24"/>
      <c r="F133" s="125">
        <v>0.4</v>
      </c>
      <c r="G133" s="23">
        <f t="shared" ref="G133:G134" si="27">E133*F133</f>
        <v>0</v>
      </c>
      <c r="H133" s="29">
        <v>2.4</v>
      </c>
      <c r="I133" s="29">
        <v>60</v>
      </c>
      <c r="J133" s="29"/>
      <c r="K133" s="27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  <c r="BF133" s="100"/>
      <c r="BG133" s="100"/>
      <c r="BH133" s="100"/>
      <c r="BI133" s="100"/>
      <c r="BJ133" s="100"/>
      <c r="BK133" s="100"/>
      <c r="BL133" s="100"/>
      <c r="BM133" s="100"/>
      <c r="BN133" s="100"/>
      <c r="BO133" s="100"/>
    </row>
    <row r="134" spans="1:67" s="52" customFormat="1" ht="16.5" customHeight="1" x14ac:dyDescent="0.25">
      <c r="A134" s="134" t="str">
        <f t="shared" si="25"/>
        <v>7377</v>
      </c>
      <c r="B134" s="51" t="s">
        <v>117</v>
      </c>
      <c r="C134" s="49" t="s">
        <v>20</v>
      </c>
      <c r="D134" s="133">
        <v>1001095027377</v>
      </c>
      <c r="E134" s="24"/>
      <c r="F134" s="125">
        <v>0.3</v>
      </c>
      <c r="G134" s="23">
        <f t="shared" si="27"/>
        <v>0</v>
      </c>
      <c r="H134" s="29">
        <v>1.8</v>
      </c>
      <c r="I134" s="29">
        <v>45</v>
      </c>
      <c r="J134" s="29"/>
      <c r="K134" s="27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</row>
    <row r="135" spans="1:67" s="52" customFormat="1" ht="15.75" customHeight="1" x14ac:dyDescent="0.25">
      <c r="A135" s="134" t="str">
        <f t="shared" si="25"/>
        <v>6025</v>
      </c>
      <c r="B135" s="51" t="s">
        <v>118</v>
      </c>
      <c r="C135" s="49" t="s">
        <v>22</v>
      </c>
      <c r="D135" s="133">
        <v>1001094966025</v>
      </c>
      <c r="E135" s="24"/>
      <c r="F135" s="125">
        <v>3</v>
      </c>
      <c r="G135" s="23">
        <f>E135</f>
        <v>0</v>
      </c>
      <c r="H135" s="29">
        <v>6</v>
      </c>
      <c r="I135" s="29">
        <v>60</v>
      </c>
      <c r="J135" s="29"/>
      <c r="K135" s="27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</row>
    <row r="136" spans="1:67" ht="16.5" customHeight="1" x14ac:dyDescent="0.25">
      <c r="A136" s="134" t="str">
        <f t="shared" si="25"/>
        <v>6929</v>
      </c>
      <c r="B136" s="51" t="s">
        <v>209</v>
      </c>
      <c r="C136" s="49" t="s">
        <v>22</v>
      </c>
      <c r="D136" s="133">
        <v>1001085476929</v>
      </c>
      <c r="E136" s="24"/>
      <c r="F136" s="125"/>
      <c r="G136" s="23">
        <f>E136</f>
        <v>0</v>
      </c>
      <c r="H136" s="29"/>
      <c r="I136" s="29"/>
      <c r="J136" s="29" t="str">
        <f>VLOOKUP(D136,[1]Бланк!$D:$J,7,0)</f>
        <v>Новинка</v>
      </c>
      <c r="L136" s="100"/>
    </row>
    <row r="137" spans="1:67" ht="16.5" customHeight="1" x14ac:dyDescent="0.25">
      <c r="A137" s="134" t="str">
        <f t="shared" si="25"/>
        <v>7485</v>
      </c>
      <c r="B137" s="51" t="s">
        <v>203</v>
      </c>
      <c r="C137" s="49" t="s">
        <v>20</v>
      </c>
      <c r="D137" s="133">
        <v>1001107397485</v>
      </c>
      <c r="E137" s="24"/>
      <c r="F137" s="125">
        <v>0.15</v>
      </c>
      <c r="G137" s="23">
        <f>F137*E137</f>
        <v>0</v>
      </c>
      <c r="H137" s="29"/>
      <c r="I137" s="29"/>
      <c r="J137" s="29"/>
      <c r="L137" s="100"/>
    </row>
    <row r="138" spans="1:67" ht="16.5" customHeight="1" x14ac:dyDescent="0.25">
      <c r="A138" s="134" t="str">
        <f t="shared" si="25"/>
        <v>7730</v>
      </c>
      <c r="B138" s="51" t="s">
        <v>219</v>
      </c>
      <c r="C138" s="49" t="s">
        <v>20</v>
      </c>
      <c r="D138" s="133">
        <v>1001097747730</v>
      </c>
      <c r="E138" s="24"/>
      <c r="F138" s="125">
        <v>0.1</v>
      </c>
      <c r="G138" s="23">
        <f>E138*F138</f>
        <v>0</v>
      </c>
      <c r="H138" s="29"/>
      <c r="I138" s="29"/>
      <c r="J138" s="29" t="str">
        <f>VLOOKUP(D138,[1]Бланк!$D:$J,7,0)</f>
        <v>Ротация кода 7647</v>
      </c>
      <c r="L138" s="100"/>
    </row>
    <row r="139" spans="1:67" ht="16.5" customHeight="1" thickBot="1" x14ac:dyDescent="0.3">
      <c r="A139" s="134" t="str">
        <f t="shared" si="25"/>
        <v>7731</v>
      </c>
      <c r="B139" s="51" t="s">
        <v>220</v>
      </c>
      <c r="C139" s="49" t="s">
        <v>20</v>
      </c>
      <c r="D139" s="133">
        <v>1001097767731</v>
      </c>
      <c r="E139" s="24"/>
      <c r="F139" s="125">
        <v>0.1</v>
      </c>
      <c r="G139" s="23">
        <f>E139*F139</f>
        <v>0</v>
      </c>
      <c r="H139" s="29">
        <v>1</v>
      </c>
      <c r="I139" s="29">
        <v>30</v>
      </c>
      <c r="J139" s="29" t="str">
        <f>VLOOKUP(D139,[1]Бланк!$D:$J,7,0)</f>
        <v>Ротация кода 7651</v>
      </c>
      <c r="L139" s="100"/>
    </row>
    <row r="140" spans="1:67" ht="16.5" customHeight="1" thickTop="1" thickBot="1" x14ac:dyDescent="0.3">
      <c r="A140" s="47" t="s">
        <v>104</v>
      </c>
      <c r="B140" s="42" t="s">
        <v>96</v>
      </c>
      <c r="C140" s="42"/>
      <c r="D140" s="42"/>
      <c r="E140" s="42"/>
      <c r="F140" s="41"/>
      <c r="G140" s="42"/>
      <c r="H140" s="42"/>
      <c r="I140" s="42"/>
      <c r="J140" s="43"/>
      <c r="L140" s="100"/>
    </row>
    <row r="141" spans="1:67" ht="16.5" customHeight="1" thickTop="1" x14ac:dyDescent="0.25">
      <c r="A141" s="134" t="str">
        <f t="shared" ref="A141:A153" si="28">RIGHT(D141,4)</f>
        <v>7090</v>
      </c>
      <c r="B141" s="35" t="s">
        <v>100</v>
      </c>
      <c r="C141" s="49" t="s">
        <v>20</v>
      </c>
      <c r="D141" s="50">
        <v>1001084217090</v>
      </c>
      <c r="E141" s="24"/>
      <c r="F141" s="23">
        <v>0.3</v>
      </c>
      <c r="G141" s="23">
        <f t="shared" ref="G141:G142" si="29">E141*F141</f>
        <v>0</v>
      </c>
      <c r="H141" s="14">
        <v>1.8</v>
      </c>
      <c r="I141" s="14">
        <v>50</v>
      </c>
      <c r="J141" s="29"/>
      <c r="L141" s="100"/>
    </row>
    <row r="142" spans="1:67" ht="16.5" customHeight="1" x14ac:dyDescent="0.25">
      <c r="A142" s="134" t="str">
        <f t="shared" si="28"/>
        <v>7187</v>
      </c>
      <c r="B142" s="35" t="s">
        <v>101</v>
      </c>
      <c r="C142" s="49" t="s">
        <v>20</v>
      </c>
      <c r="D142" s="50">
        <v>1001085637187</v>
      </c>
      <c r="E142" s="24"/>
      <c r="F142" s="23">
        <v>0.3</v>
      </c>
      <c r="G142" s="23">
        <f t="shared" si="29"/>
        <v>0</v>
      </c>
      <c r="H142" s="14">
        <v>1.8</v>
      </c>
      <c r="I142" s="14">
        <v>50</v>
      </c>
      <c r="J142" s="29"/>
      <c r="L142" s="100"/>
    </row>
    <row r="143" spans="1:67" ht="16.5" customHeight="1" x14ac:dyDescent="0.25">
      <c r="A143" s="134" t="str">
        <f t="shared" si="28"/>
        <v>6008</v>
      </c>
      <c r="B143" s="35" t="s">
        <v>189</v>
      </c>
      <c r="C143" s="49" t="s">
        <v>22</v>
      </c>
      <c r="D143" s="50">
        <v>1001084856008</v>
      </c>
      <c r="E143" s="24"/>
      <c r="F143" s="23">
        <v>0.3</v>
      </c>
      <c r="G143" s="23">
        <f>E143</f>
        <v>0</v>
      </c>
      <c r="H143" s="14">
        <v>1.8</v>
      </c>
      <c r="I143" s="14">
        <v>40</v>
      </c>
      <c r="J143" s="29"/>
      <c r="L143" s="100"/>
    </row>
    <row r="144" spans="1:67" ht="16.5" customHeight="1" x14ac:dyDescent="0.25">
      <c r="A144" s="134" t="str">
        <f t="shared" si="28"/>
        <v>6620</v>
      </c>
      <c r="B144" s="35" t="s">
        <v>97</v>
      </c>
      <c r="C144" s="49" t="s">
        <v>22</v>
      </c>
      <c r="D144" s="50">
        <v>1001081596620</v>
      </c>
      <c r="E144" s="24"/>
      <c r="F144" s="23">
        <v>1.05</v>
      </c>
      <c r="G144" s="23">
        <f>E144</f>
        <v>0</v>
      </c>
      <c r="H144" s="14">
        <v>3.15</v>
      </c>
      <c r="I144" s="14">
        <v>30</v>
      </c>
      <c r="J144" s="29"/>
      <c r="L144" s="100"/>
    </row>
    <row r="145" spans="1:12" ht="16.5" customHeight="1" x14ac:dyDescent="0.25">
      <c r="A145" s="134" t="str">
        <f t="shared" si="28"/>
        <v>7103</v>
      </c>
      <c r="B145" s="35" t="s">
        <v>198</v>
      </c>
      <c r="C145" s="49" t="s">
        <v>20</v>
      </c>
      <c r="D145" s="50">
        <v>1001223297103</v>
      </c>
      <c r="E145" s="24"/>
      <c r="F145" s="23">
        <v>0.18</v>
      </c>
      <c r="G145" s="23">
        <f t="shared" ref="G145:G152" si="30">E145*F145</f>
        <v>0</v>
      </c>
      <c r="H145" s="14">
        <v>1.8</v>
      </c>
      <c r="I145" s="14">
        <v>50</v>
      </c>
      <c r="J145" s="29"/>
      <c r="L145" s="100"/>
    </row>
    <row r="146" spans="1:12" ht="16.5" customHeight="1" x14ac:dyDescent="0.25">
      <c r="A146" s="134" t="str">
        <f t="shared" si="28"/>
        <v>7092</v>
      </c>
      <c r="B146" s="35" t="s">
        <v>78</v>
      </c>
      <c r="C146" s="49" t="s">
        <v>20</v>
      </c>
      <c r="D146" s="50">
        <v>1001223297092</v>
      </c>
      <c r="E146" s="24"/>
      <c r="F146" s="23">
        <v>0.14000000000000001</v>
      </c>
      <c r="G146" s="23">
        <f t="shared" si="30"/>
        <v>0</v>
      </c>
      <c r="H146" s="14">
        <v>1.4</v>
      </c>
      <c r="I146" s="14">
        <v>50</v>
      </c>
      <c r="J146" s="29"/>
      <c r="L146" s="100"/>
    </row>
    <row r="147" spans="1:12" ht="16.5" customHeight="1" x14ac:dyDescent="0.25">
      <c r="A147" s="134" t="str">
        <f t="shared" si="28"/>
        <v>6228</v>
      </c>
      <c r="B147" s="35" t="s">
        <v>89</v>
      </c>
      <c r="C147" s="49" t="s">
        <v>20</v>
      </c>
      <c r="D147" s="50">
        <v>1001225416228</v>
      </c>
      <c r="E147" s="24"/>
      <c r="F147" s="23">
        <v>0.09</v>
      </c>
      <c r="G147" s="23">
        <f t="shared" si="30"/>
        <v>0</v>
      </c>
      <c r="H147" s="14">
        <v>0.9</v>
      </c>
      <c r="I147" s="14">
        <v>45</v>
      </c>
      <c r="J147" s="29"/>
      <c r="L147" s="100"/>
    </row>
    <row r="148" spans="1:12" ht="16.5" customHeight="1" x14ac:dyDescent="0.25">
      <c r="A148" s="134" t="str">
        <f t="shared" si="28"/>
        <v>6208</v>
      </c>
      <c r="B148" s="35" t="s">
        <v>99</v>
      </c>
      <c r="C148" s="49" t="s">
        <v>20</v>
      </c>
      <c r="D148" s="50">
        <v>1001220226208</v>
      </c>
      <c r="E148" s="24"/>
      <c r="F148" s="23">
        <v>0.15</v>
      </c>
      <c r="G148" s="23">
        <f t="shared" si="30"/>
        <v>0</v>
      </c>
      <c r="H148" s="14">
        <v>1.5</v>
      </c>
      <c r="I148" s="14">
        <v>45</v>
      </c>
      <c r="J148" s="29"/>
    </row>
    <row r="149" spans="1:12" ht="15.75" customHeight="1" x14ac:dyDescent="0.25">
      <c r="A149" s="134" t="str">
        <f t="shared" si="28"/>
        <v>6754</v>
      </c>
      <c r="B149" s="35" t="s">
        <v>204</v>
      </c>
      <c r="C149" s="49" t="s">
        <v>20</v>
      </c>
      <c r="D149" s="50">
        <v>1001225406754</v>
      </c>
      <c r="E149" s="24"/>
      <c r="F149" s="23">
        <v>0.09</v>
      </c>
      <c r="G149" s="23">
        <f t="shared" si="30"/>
        <v>0</v>
      </c>
      <c r="H149" s="14">
        <v>0.72</v>
      </c>
      <c r="I149" s="14">
        <v>60</v>
      </c>
      <c r="J149" s="29"/>
    </row>
    <row r="150" spans="1:12" x14ac:dyDescent="0.25">
      <c r="A150" s="134" t="str">
        <f t="shared" si="28"/>
        <v>6279</v>
      </c>
      <c r="B150" s="35" t="s">
        <v>98</v>
      </c>
      <c r="C150" s="49" t="s">
        <v>20</v>
      </c>
      <c r="D150" s="50">
        <v>1001220286279</v>
      </c>
      <c r="E150" s="24"/>
      <c r="F150" s="23">
        <v>0.15</v>
      </c>
      <c r="G150" s="23">
        <f t="shared" si="30"/>
        <v>0</v>
      </c>
      <c r="H150" s="14">
        <v>1.2</v>
      </c>
      <c r="I150" s="14">
        <v>45</v>
      </c>
      <c r="J150" s="29"/>
    </row>
    <row r="151" spans="1:12" x14ac:dyDescent="0.25">
      <c r="A151" s="134" t="str">
        <f t="shared" si="28"/>
        <v>7612</v>
      </c>
      <c r="B151" s="35" t="s">
        <v>190</v>
      </c>
      <c r="C151" s="49" t="s">
        <v>20</v>
      </c>
      <c r="D151" s="50">
        <v>1001453907612</v>
      </c>
      <c r="E151" s="24"/>
      <c r="F151" s="23">
        <v>0.1</v>
      </c>
      <c r="G151" s="23">
        <f t="shared" si="30"/>
        <v>0</v>
      </c>
      <c r="H151" s="14">
        <v>1</v>
      </c>
      <c r="I151" s="14">
        <v>60</v>
      </c>
      <c r="J151" s="29"/>
    </row>
    <row r="152" spans="1:12" ht="15.75" customHeight="1" x14ac:dyDescent="0.25">
      <c r="A152" s="134" t="str">
        <f t="shared" si="28"/>
        <v>7344</v>
      </c>
      <c r="B152" s="35" t="s">
        <v>214</v>
      </c>
      <c r="C152" s="49" t="s">
        <v>20</v>
      </c>
      <c r="D152" s="50">
        <v>1001122287344</v>
      </c>
      <c r="E152" s="24"/>
      <c r="F152" s="23">
        <v>0.33800000000000002</v>
      </c>
      <c r="G152" s="23">
        <f t="shared" si="30"/>
        <v>0</v>
      </c>
      <c r="H152" s="14"/>
      <c r="I152" s="14"/>
      <c r="J152" s="29" t="str">
        <f>VLOOKUP(D152,[1]Бланк!$D:$J,7,0)</f>
        <v>Новинка</v>
      </c>
    </row>
    <row r="153" spans="1:12" ht="15.75" customHeight="1" thickBot="1" x14ac:dyDescent="0.3">
      <c r="A153" s="134" t="str">
        <f t="shared" si="28"/>
        <v>7345</v>
      </c>
      <c r="B153" s="35" t="s">
        <v>215</v>
      </c>
      <c r="C153" s="49" t="s">
        <v>20</v>
      </c>
      <c r="D153" s="50">
        <v>1001123677345</v>
      </c>
      <c r="E153" s="24"/>
      <c r="F153" s="23">
        <v>0.32500000000000001</v>
      </c>
      <c r="G153" s="23">
        <f>E153*F153</f>
        <v>0</v>
      </c>
      <c r="H153" s="14"/>
      <c r="I153" s="14"/>
      <c r="J153" s="29" t="str">
        <f>VLOOKUP(D153,[1]Бланк!$D:$J,7,0)</f>
        <v>Новинка</v>
      </c>
    </row>
    <row r="154" spans="1:12" ht="16.5" thickTop="1" thickBot="1" x14ac:dyDescent="0.3">
      <c r="A154" s="48"/>
      <c r="B154" s="45" t="s">
        <v>102</v>
      </c>
      <c r="C154" s="16"/>
      <c r="D154" s="36"/>
      <c r="E154" s="17">
        <f>SUM(E10:E151)</f>
        <v>120</v>
      </c>
      <c r="F154" s="17"/>
      <c r="G154" s="17">
        <f>SUM(G11:G153)</f>
        <v>98.399999999999991</v>
      </c>
      <c r="H154" s="17"/>
      <c r="I154" s="17"/>
      <c r="J154" s="17"/>
    </row>
    <row r="155" spans="1:12" ht="15.75" thickTop="1" x14ac:dyDescent="0.25">
      <c r="B155" s="37"/>
      <c r="C155" s="18"/>
      <c r="D155" s="40"/>
      <c r="F155" s="19"/>
      <c r="G155" s="19"/>
      <c r="H155" s="20"/>
      <c r="I155" s="20"/>
      <c r="J155" s="21"/>
    </row>
    <row r="156" spans="1:12" x14ac:dyDescent="0.25">
      <c r="B156" s="37"/>
      <c r="C156" s="18"/>
      <c r="D156" s="40"/>
      <c r="F156" s="19"/>
      <c r="G156" s="19"/>
      <c r="H156" s="20"/>
      <c r="I156" s="20"/>
      <c r="J156" s="21"/>
    </row>
    <row r="157" spans="1:12" x14ac:dyDescent="0.25">
      <c r="B157" s="37"/>
      <c r="C157" s="53"/>
      <c r="D157" s="54"/>
      <c r="E157" s="55"/>
      <c r="F157" s="56"/>
      <c r="G157" s="56"/>
      <c r="H157" s="57"/>
      <c r="I157" s="57"/>
      <c r="J157" s="21"/>
    </row>
    <row r="158" spans="1:12" x14ac:dyDescent="0.25">
      <c r="B158" s="37"/>
      <c r="C158" s="53"/>
      <c r="D158" s="54"/>
      <c r="E158" s="55"/>
      <c r="F158" s="56"/>
      <c r="G158" s="56"/>
      <c r="H158" s="57"/>
      <c r="I158" s="57"/>
      <c r="J158" s="21"/>
    </row>
    <row r="159" spans="1:12" x14ac:dyDescent="0.25">
      <c r="B159" s="37"/>
      <c r="C159" s="53"/>
      <c r="D159" s="58"/>
      <c r="E159" s="59"/>
      <c r="F159" s="58"/>
      <c r="G159" s="60"/>
      <c r="H159" s="61"/>
      <c r="I159" s="62"/>
      <c r="J159" s="21"/>
    </row>
    <row r="160" spans="1:12" x14ac:dyDescent="0.25">
      <c r="B160" s="37"/>
      <c r="C160" s="18"/>
      <c r="D160" s="40"/>
      <c r="F160" s="19"/>
      <c r="G160" s="19"/>
      <c r="H160" s="20"/>
      <c r="I160" s="20"/>
      <c r="J160" s="21"/>
    </row>
    <row r="161" spans="2:10" x14ac:dyDescent="0.25">
      <c r="B161" s="37"/>
      <c r="C161" s="18"/>
      <c r="D161" s="40"/>
      <c r="F161" s="19"/>
      <c r="G161" s="19"/>
      <c r="H161" s="20"/>
      <c r="I161" s="20"/>
      <c r="J161" s="21"/>
    </row>
    <row r="162" spans="2:10" x14ac:dyDescent="0.25">
      <c r="B162" s="37"/>
      <c r="C162" s="18"/>
      <c r="D162" s="40"/>
      <c r="F162" s="19"/>
      <c r="G162" s="19"/>
      <c r="H162" s="20"/>
      <c r="I162" s="20"/>
      <c r="J162" s="21"/>
    </row>
    <row r="163" spans="2:10" x14ac:dyDescent="0.25">
      <c r="B163" s="37"/>
      <c r="C163" s="18"/>
      <c r="D163" s="40"/>
      <c r="F163" s="19"/>
      <c r="G163" s="19"/>
      <c r="H163" s="20"/>
      <c r="I163" s="20"/>
      <c r="J163" s="21"/>
    </row>
    <row r="164" spans="2:10" x14ac:dyDescent="0.25">
      <c r="B164" s="37"/>
      <c r="C164" s="18"/>
      <c r="D164" s="40"/>
      <c r="F164" s="19"/>
      <c r="G164" s="19"/>
      <c r="H164" s="20"/>
      <c r="I164" s="20"/>
      <c r="J164" s="21"/>
    </row>
    <row r="165" spans="2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2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2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2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2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2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2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2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2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2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2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2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</sheetData>
  <autoFilter ref="A9:J154" xr:uid="{00000000-0009-0000-0000-000000000000}"/>
  <mergeCells count="2">
    <mergeCell ref="E1:J1"/>
    <mergeCell ref="G3:J3"/>
  </mergeCells>
  <conditionalFormatting sqref="D159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59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83">
        <v>4561</v>
      </c>
      <c r="C2" s="69">
        <v>1001010014561</v>
      </c>
      <c r="D2" s="67" t="s">
        <v>111</v>
      </c>
      <c r="E2" s="71"/>
      <c r="F2" s="74" t="s">
        <v>22</v>
      </c>
      <c r="G2" s="75">
        <v>1</v>
      </c>
    </row>
    <row r="3" spans="2:7" ht="21" x14ac:dyDescent="0.25">
      <c r="B3" s="63">
        <v>7536</v>
      </c>
      <c r="C3" s="70">
        <v>1001010017536</v>
      </c>
      <c r="D3" s="72" t="s">
        <v>107</v>
      </c>
      <c r="E3" s="76" t="s">
        <v>115</v>
      </c>
      <c r="F3" s="77" t="s">
        <v>22</v>
      </c>
      <c r="G3" s="78">
        <v>1</v>
      </c>
    </row>
    <row r="4" spans="2:7" ht="21" x14ac:dyDescent="0.25">
      <c r="B4" s="83">
        <v>5851</v>
      </c>
      <c r="C4" s="70">
        <v>1001012505851</v>
      </c>
      <c r="D4" s="71" t="s">
        <v>110</v>
      </c>
      <c r="E4" s="71"/>
      <c r="F4" s="74" t="s">
        <v>22</v>
      </c>
      <c r="G4" s="75">
        <v>1</v>
      </c>
    </row>
    <row r="5" spans="2:7" ht="21" x14ac:dyDescent="0.25">
      <c r="B5" s="83">
        <v>4813</v>
      </c>
      <c r="C5" s="70">
        <v>1001012564813</v>
      </c>
      <c r="D5" s="71" t="s">
        <v>29</v>
      </c>
      <c r="E5" s="71"/>
      <c r="F5" s="74" t="s">
        <v>22</v>
      </c>
      <c r="G5" s="75">
        <v>1</v>
      </c>
    </row>
    <row r="6" spans="2:7" ht="21" x14ac:dyDescent="0.25">
      <c r="B6" s="83">
        <v>4574</v>
      </c>
      <c r="C6" s="70">
        <v>1001012634574</v>
      </c>
      <c r="D6" s="71" t="s">
        <v>24</v>
      </c>
      <c r="E6" s="71"/>
      <c r="F6" s="74" t="s">
        <v>22</v>
      </c>
      <c r="G6" s="75">
        <v>1</v>
      </c>
    </row>
    <row r="7" spans="2:7" ht="21" x14ac:dyDescent="0.25">
      <c r="B7" s="83">
        <v>4063</v>
      </c>
      <c r="C7" s="70">
        <v>1001012484063</v>
      </c>
      <c r="D7" s="71" t="s">
        <v>21</v>
      </c>
      <c r="E7" s="71"/>
      <c r="F7" s="74" t="s">
        <v>22</v>
      </c>
      <c r="G7" s="75">
        <v>1</v>
      </c>
    </row>
    <row r="8" spans="2:7" ht="21" x14ac:dyDescent="0.25">
      <c r="B8" s="83">
        <v>6220</v>
      </c>
      <c r="C8" s="66">
        <v>1001012426220</v>
      </c>
      <c r="D8" s="67" t="s">
        <v>35</v>
      </c>
      <c r="E8" s="71"/>
      <c r="F8" s="74" t="s">
        <v>22</v>
      </c>
      <c r="G8" s="75">
        <v>1</v>
      </c>
    </row>
    <row r="9" spans="2:7" ht="21" x14ac:dyDescent="0.25">
      <c r="B9" s="83">
        <v>6498</v>
      </c>
      <c r="C9" s="69">
        <v>1001012456498</v>
      </c>
      <c r="D9" s="67" t="s">
        <v>34</v>
      </c>
      <c r="E9" s="71"/>
      <c r="F9" s="74" t="s">
        <v>22</v>
      </c>
      <c r="G9" s="75">
        <v>1</v>
      </c>
    </row>
    <row r="10" spans="2:7" ht="21" x14ac:dyDescent="0.25">
      <c r="B10" s="83">
        <v>6861</v>
      </c>
      <c r="C10" s="70">
        <v>1001015646861</v>
      </c>
      <c r="D10" s="71" t="s">
        <v>25</v>
      </c>
      <c r="E10" s="86"/>
      <c r="F10" s="74" t="s">
        <v>22</v>
      </c>
      <c r="G10" s="75">
        <v>1</v>
      </c>
    </row>
    <row r="11" spans="2:7" ht="21" x14ac:dyDescent="0.25">
      <c r="B11" s="83">
        <v>6862</v>
      </c>
      <c r="C11" s="70">
        <v>1001015706862</v>
      </c>
      <c r="D11" s="71" t="s">
        <v>28</v>
      </c>
      <c r="E11" s="71"/>
      <c r="F11" s="74" t="s">
        <v>22</v>
      </c>
      <c r="G11" s="75">
        <v>1</v>
      </c>
    </row>
    <row r="12" spans="2:7" ht="21" x14ac:dyDescent="0.25">
      <c r="B12" s="68">
        <v>7539</v>
      </c>
      <c r="C12" s="69">
        <v>1001010017539</v>
      </c>
      <c r="D12" s="65" t="s">
        <v>106</v>
      </c>
      <c r="E12" s="76" t="s">
        <v>115</v>
      </c>
      <c r="F12" s="77" t="s">
        <v>20</v>
      </c>
      <c r="G12" s="78">
        <v>0.35</v>
      </c>
    </row>
    <row r="13" spans="2:7" ht="21" x14ac:dyDescent="0.25">
      <c r="B13" s="63">
        <v>7334</v>
      </c>
      <c r="C13" s="69">
        <v>1001012637334</v>
      </c>
      <c r="D13" s="67" t="s">
        <v>108</v>
      </c>
      <c r="E13" s="64"/>
      <c r="F13" s="77" t="s">
        <v>20</v>
      </c>
      <c r="G13" s="78">
        <v>0.4</v>
      </c>
    </row>
    <row r="14" spans="2:7" ht="21" x14ac:dyDescent="0.25">
      <c r="B14" s="63">
        <v>6325</v>
      </c>
      <c r="C14" s="102">
        <v>1001010106325</v>
      </c>
      <c r="D14" s="67" t="s">
        <v>32</v>
      </c>
      <c r="E14" s="64"/>
      <c r="F14" s="77" t="s">
        <v>20</v>
      </c>
      <c r="G14" s="78">
        <v>0.4</v>
      </c>
    </row>
    <row r="15" spans="2:7" ht="21" x14ac:dyDescent="0.25">
      <c r="B15" s="68">
        <v>7303</v>
      </c>
      <c r="C15" s="69">
        <v>1001010857303</v>
      </c>
      <c r="D15" s="67" t="s">
        <v>112</v>
      </c>
      <c r="E15" s="67"/>
      <c r="F15" s="77" t="s">
        <v>22</v>
      </c>
      <c r="G15" s="78">
        <v>1</v>
      </c>
    </row>
    <row r="16" spans="2:7" ht="21" x14ac:dyDescent="0.25">
      <c r="B16" s="68">
        <v>8014</v>
      </c>
      <c r="C16" s="69">
        <v>1001010108014</v>
      </c>
      <c r="D16" s="67" t="s">
        <v>113</v>
      </c>
      <c r="E16" s="67"/>
      <c r="F16" s="77" t="s">
        <v>22</v>
      </c>
      <c r="G16" s="78">
        <v>1</v>
      </c>
    </row>
    <row r="17" spans="2:7" ht="21" x14ac:dyDescent="0.25">
      <c r="B17" s="63">
        <v>6353</v>
      </c>
      <c r="C17" s="102">
        <v>1001012506353</v>
      </c>
      <c r="D17" s="67" t="s">
        <v>30</v>
      </c>
      <c r="E17" s="64"/>
      <c r="F17" s="77" t="s">
        <v>20</v>
      </c>
      <c r="G17" s="78">
        <v>0.4</v>
      </c>
    </row>
    <row r="18" spans="2:7" ht="21" x14ac:dyDescent="0.25">
      <c r="B18" s="63">
        <v>7523</v>
      </c>
      <c r="C18" s="66">
        <v>1001012427523</v>
      </c>
      <c r="D18" s="65" t="s">
        <v>105</v>
      </c>
      <c r="E18" s="76" t="s">
        <v>115</v>
      </c>
      <c r="F18" s="74" t="s">
        <v>20</v>
      </c>
      <c r="G18" s="75">
        <v>0.4</v>
      </c>
    </row>
    <row r="19" spans="2:7" ht="21" x14ac:dyDescent="0.25">
      <c r="B19" s="83">
        <v>6340</v>
      </c>
      <c r="C19" s="69">
        <v>1001012816340</v>
      </c>
      <c r="D19" s="67" t="s">
        <v>26</v>
      </c>
      <c r="E19" s="71"/>
      <c r="F19" s="74" t="s">
        <v>20</v>
      </c>
      <c r="G19" s="75">
        <v>0.5</v>
      </c>
    </row>
    <row r="20" spans="2:7" ht="21" x14ac:dyDescent="0.25">
      <c r="B20" s="83">
        <v>6341</v>
      </c>
      <c r="C20" s="69">
        <v>1001012816341</v>
      </c>
      <c r="D20" s="67" t="s">
        <v>27</v>
      </c>
      <c r="E20" s="71"/>
      <c r="F20" s="74" t="s">
        <v>20</v>
      </c>
      <c r="G20" s="75">
        <v>0.5</v>
      </c>
    </row>
    <row r="21" spans="2:7" ht="21" x14ac:dyDescent="0.25">
      <c r="B21" s="63">
        <v>6333</v>
      </c>
      <c r="C21" s="102">
        <v>1001012486333</v>
      </c>
      <c r="D21" s="67" t="s">
        <v>23</v>
      </c>
      <c r="E21" s="64"/>
      <c r="F21" s="77" t="s">
        <v>20</v>
      </c>
      <c r="G21" s="78">
        <v>0.4</v>
      </c>
    </row>
    <row r="22" spans="2:7" ht="21" x14ac:dyDescent="0.25">
      <c r="B22" s="63">
        <v>6392</v>
      </c>
      <c r="C22" s="102">
        <v>1001012566392</v>
      </c>
      <c r="D22" s="67" t="s">
        <v>109</v>
      </c>
      <c r="E22" s="64"/>
      <c r="F22" s="77" t="s">
        <v>20</v>
      </c>
      <c r="G22" s="78">
        <v>0.4</v>
      </c>
    </row>
    <row r="23" spans="2:7" ht="21" x14ac:dyDescent="0.25">
      <c r="B23" s="63">
        <v>7343</v>
      </c>
      <c r="C23" s="69">
        <v>1001016747343</v>
      </c>
      <c r="D23" s="67" t="s">
        <v>31</v>
      </c>
      <c r="E23" s="71"/>
      <c r="F23" s="74" t="s">
        <v>20</v>
      </c>
      <c r="G23" s="75">
        <v>0.4</v>
      </c>
    </row>
    <row r="24" spans="2:7" ht="21" x14ac:dyDescent="0.25">
      <c r="B24" s="63">
        <v>6797</v>
      </c>
      <c r="C24" s="69">
        <v>1001015026797</v>
      </c>
      <c r="D24" s="103" t="s">
        <v>114</v>
      </c>
      <c r="E24" s="103" t="s">
        <v>168</v>
      </c>
      <c r="F24" s="77" t="s">
        <v>20</v>
      </c>
      <c r="G24" s="78">
        <v>0.4</v>
      </c>
    </row>
    <row r="25" spans="2:7" ht="21" x14ac:dyDescent="0.25">
      <c r="B25" s="63">
        <v>7231</v>
      </c>
      <c r="C25" s="69">
        <v>1001013957231</v>
      </c>
      <c r="D25" s="67" t="s">
        <v>33</v>
      </c>
      <c r="E25" s="71"/>
      <c r="F25" s="74" t="s">
        <v>20</v>
      </c>
      <c r="G25" s="75">
        <v>0.3</v>
      </c>
    </row>
    <row r="26" spans="2:7" ht="23.25" x14ac:dyDescent="0.25">
      <c r="B26" s="81"/>
      <c r="C26" s="104"/>
      <c r="D26" s="105" t="s">
        <v>91</v>
      </c>
      <c r="E26" s="106"/>
      <c r="F26" s="107"/>
      <c r="G26" s="108"/>
    </row>
    <row r="27" spans="2:7" ht="21" x14ac:dyDescent="0.25">
      <c r="B27" s="83">
        <v>6470</v>
      </c>
      <c r="C27" s="70">
        <v>1001092436470</v>
      </c>
      <c r="D27" s="71" t="s">
        <v>116</v>
      </c>
      <c r="E27" s="71"/>
      <c r="F27" s="74" t="s">
        <v>22</v>
      </c>
      <c r="G27" s="75">
        <v>1</v>
      </c>
    </row>
    <row r="28" spans="2:7" ht="21" x14ac:dyDescent="0.25">
      <c r="B28" s="63">
        <v>6495</v>
      </c>
      <c r="C28" s="69">
        <v>1001092436495</v>
      </c>
      <c r="D28" s="84" t="s">
        <v>95</v>
      </c>
      <c r="E28" s="71"/>
      <c r="F28" s="74" t="s">
        <v>20</v>
      </c>
      <c r="G28" s="75">
        <v>0.3</v>
      </c>
    </row>
    <row r="29" spans="2:7" ht="21" x14ac:dyDescent="0.25">
      <c r="B29" s="63">
        <v>5452</v>
      </c>
      <c r="C29" s="69">
        <v>1001092485452</v>
      </c>
      <c r="D29" s="84" t="s">
        <v>93</v>
      </c>
      <c r="E29" s="71"/>
      <c r="F29" s="74" t="s">
        <v>22</v>
      </c>
      <c r="G29" s="75">
        <v>1</v>
      </c>
    </row>
    <row r="30" spans="2:7" ht="21" x14ac:dyDescent="0.25">
      <c r="B30" s="83">
        <v>6866</v>
      </c>
      <c r="C30" s="70">
        <v>1001095716866</v>
      </c>
      <c r="D30" s="71" t="s">
        <v>92</v>
      </c>
      <c r="E30" s="86"/>
      <c r="F30" s="74" t="s">
        <v>22</v>
      </c>
      <c r="G30" s="75">
        <v>1</v>
      </c>
    </row>
    <row r="31" spans="2:7" ht="21" x14ac:dyDescent="0.25">
      <c r="B31" s="83">
        <v>6025</v>
      </c>
      <c r="C31" s="70">
        <v>1001094966025</v>
      </c>
      <c r="D31" s="71" t="s">
        <v>118</v>
      </c>
      <c r="E31" s="71"/>
      <c r="F31" s="74" t="s">
        <v>22</v>
      </c>
      <c r="G31" s="75">
        <v>1</v>
      </c>
    </row>
    <row r="32" spans="2:7" ht="21" x14ac:dyDescent="0.25">
      <c r="B32" s="83">
        <v>4584</v>
      </c>
      <c r="C32" s="70">
        <v>1001092674584</v>
      </c>
      <c r="D32" s="71" t="s">
        <v>169</v>
      </c>
      <c r="E32" s="71"/>
      <c r="F32" s="74" t="s">
        <v>22</v>
      </c>
      <c r="G32" s="75">
        <v>1</v>
      </c>
    </row>
    <row r="33" spans="2:7" ht="21" x14ac:dyDescent="0.25">
      <c r="B33" s="63">
        <v>3215</v>
      </c>
      <c r="C33" s="102">
        <v>1001094053215</v>
      </c>
      <c r="D33" s="67" t="s">
        <v>170</v>
      </c>
      <c r="E33" s="64"/>
      <c r="F33" s="77" t="s">
        <v>20</v>
      </c>
      <c r="G33" s="78">
        <v>0.4</v>
      </c>
    </row>
    <row r="34" spans="2:7" ht="21" x14ac:dyDescent="0.25">
      <c r="B34" s="63">
        <v>5495</v>
      </c>
      <c r="C34" s="69">
        <v>1001093345495</v>
      </c>
      <c r="D34" s="84" t="s">
        <v>94</v>
      </c>
      <c r="E34" s="71"/>
      <c r="F34" s="74" t="s">
        <v>20</v>
      </c>
      <c r="G34" s="75">
        <v>0.4</v>
      </c>
    </row>
    <row r="35" spans="2:7" ht="21" x14ac:dyDescent="0.25">
      <c r="B35" s="63">
        <v>7377</v>
      </c>
      <c r="C35" s="73">
        <v>1001095027377</v>
      </c>
      <c r="D35" s="84" t="s">
        <v>117</v>
      </c>
      <c r="E35" s="109"/>
      <c r="F35" s="74" t="s">
        <v>20</v>
      </c>
      <c r="G35" s="75">
        <v>0.3</v>
      </c>
    </row>
    <row r="36" spans="2:7" ht="21" x14ac:dyDescent="0.25">
      <c r="B36" s="68">
        <v>6925</v>
      </c>
      <c r="C36" s="69">
        <v>1001095226925</v>
      </c>
      <c r="D36" s="67" t="s">
        <v>103</v>
      </c>
      <c r="E36" s="85"/>
      <c r="F36" s="77" t="s">
        <v>20</v>
      </c>
      <c r="G36" s="78">
        <v>0.6</v>
      </c>
    </row>
    <row r="37" spans="2:7" ht="23.25" x14ac:dyDescent="0.25">
      <c r="B37" s="110"/>
      <c r="C37" s="111"/>
      <c r="D37" s="112" t="s">
        <v>119</v>
      </c>
      <c r="E37" s="113"/>
      <c r="F37" s="114"/>
      <c r="G37" s="115"/>
    </row>
    <row r="38" spans="2:7" ht="21" x14ac:dyDescent="0.25">
      <c r="B38" s="83">
        <v>6620</v>
      </c>
      <c r="C38" s="70">
        <v>1001081596620</v>
      </c>
      <c r="D38" s="71" t="s">
        <v>97</v>
      </c>
      <c r="E38" s="86"/>
      <c r="F38" s="74" t="s">
        <v>22</v>
      </c>
      <c r="G38" s="75">
        <v>1</v>
      </c>
    </row>
    <row r="39" spans="2:7" ht="21" x14ac:dyDescent="0.25">
      <c r="B39" s="63">
        <v>7187</v>
      </c>
      <c r="C39" s="66">
        <v>1001085637187</v>
      </c>
      <c r="D39" s="67" t="s">
        <v>101</v>
      </c>
      <c r="E39" s="67"/>
      <c r="F39" s="74" t="s">
        <v>20</v>
      </c>
      <c r="G39" s="75">
        <v>0.3</v>
      </c>
    </row>
    <row r="40" spans="2:7" ht="21" x14ac:dyDescent="0.25">
      <c r="B40" s="83">
        <v>7090</v>
      </c>
      <c r="C40" s="70">
        <v>1001084217090</v>
      </c>
      <c r="D40" s="71" t="s">
        <v>100</v>
      </c>
      <c r="E40" s="86"/>
      <c r="F40" s="74" t="s">
        <v>20</v>
      </c>
      <c r="G40" s="75">
        <v>0.3</v>
      </c>
    </row>
    <row r="41" spans="2:7" ht="23.25" x14ac:dyDescent="0.25">
      <c r="B41" s="81"/>
      <c r="C41" s="104"/>
      <c r="D41" s="105" t="s">
        <v>127</v>
      </c>
      <c r="E41" s="106"/>
      <c r="F41" s="107"/>
      <c r="G41" s="108"/>
    </row>
    <row r="42" spans="2:7" ht="23.25" x14ac:dyDescent="0.25">
      <c r="B42" s="63">
        <v>7103</v>
      </c>
      <c r="C42" s="102">
        <v>1001223297103</v>
      </c>
      <c r="D42" s="67" t="s">
        <v>171</v>
      </c>
      <c r="E42" s="116"/>
      <c r="F42" s="63" t="s">
        <v>20</v>
      </c>
      <c r="G42" s="75">
        <v>0.18</v>
      </c>
    </row>
    <row r="43" spans="2:7" ht="21" x14ac:dyDescent="0.25">
      <c r="B43" s="83">
        <v>6279</v>
      </c>
      <c r="C43" s="70">
        <v>1001220286279</v>
      </c>
      <c r="D43" s="71" t="s">
        <v>98</v>
      </c>
      <c r="E43" s="86"/>
      <c r="F43" s="74" t="s">
        <v>20</v>
      </c>
      <c r="G43" s="75">
        <v>0.15</v>
      </c>
    </row>
    <row r="44" spans="2:7" ht="21" x14ac:dyDescent="0.25">
      <c r="B44" s="63">
        <v>7092</v>
      </c>
      <c r="C44" s="69">
        <v>1001223297092</v>
      </c>
      <c r="D44" s="67" t="s">
        <v>78</v>
      </c>
      <c r="E44" s="67"/>
      <c r="F44" s="77" t="s">
        <v>20</v>
      </c>
      <c r="G44" s="78">
        <v>0.14000000000000001</v>
      </c>
    </row>
    <row r="45" spans="2:7" ht="21" x14ac:dyDescent="0.25">
      <c r="B45" s="83">
        <v>6448</v>
      </c>
      <c r="C45" s="70">
        <v>1001234146448</v>
      </c>
      <c r="D45" s="71" t="s">
        <v>128</v>
      </c>
      <c r="E45" s="86"/>
      <c r="F45" s="74" t="s">
        <v>20</v>
      </c>
      <c r="G45" s="75">
        <v>0.1</v>
      </c>
    </row>
    <row r="46" spans="2:7" ht="21" x14ac:dyDescent="0.25">
      <c r="B46" s="63">
        <v>6754</v>
      </c>
      <c r="C46" s="102">
        <v>1001225406754</v>
      </c>
      <c r="D46" s="67" t="s">
        <v>172</v>
      </c>
      <c r="E46" s="64"/>
      <c r="F46" s="77" t="s">
        <v>20</v>
      </c>
      <c r="G46" s="78">
        <v>0.09</v>
      </c>
    </row>
    <row r="47" spans="2:7" ht="23.25" x14ac:dyDescent="0.25">
      <c r="B47" s="63">
        <v>6208</v>
      </c>
      <c r="C47" s="102">
        <v>1001220226208</v>
      </c>
      <c r="D47" s="67" t="s">
        <v>99</v>
      </c>
      <c r="E47" s="116"/>
      <c r="F47" s="63" t="s">
        <v>20</v>
      </c>
      <c r="G47" s="75">
        <v>0.15</v>
      </c>
    </row>
    <row r="48" spans="2:7" ht="23.25" x14ac:dyDescent="0.25">
      <c r="B48" s="63">
        <v>6228</v>
      </c>
      <c r="C48" s="102">
        <v>1001225416228</v>
      </c>
      <c r="D48" s="67" t="s">
        <v>89</v>
      </c>
      <c r="E48" s="116"/>
      <c r="F48" s="63" t="s">
        <v>20</v>
      </c>
      <c r="G48" s="75">
        <v>0.09</v>
      </c>
    </row>
    <row r="49" spans="2:7" ht="21" x14ac:dyDescent="0.25">
      <c r="B49" s="68">
        <v>7288</v>
      </c>
      <c r="C49" s="69">
        <v>1001223907288</v>
      </c>
      <c r="D49" s="67" t="s">
        <v>129</v>
      </c>
      <c r="E49" s="109"/>
      <c r="F49" s="77" t="s">
        <v>20</v>
      </c>
      <c r="G49" s="78">
        <v>0.1</v>
      </c>
    </row>
    <row r="50" spans="2:7" ht="23.25" x14ac:dyDescent="0.25">
      <c r="B50" s="81"/>
      <c r="C50" s="104"/>
      <c r="D50" s="105" t="s">
        <v>120</v>
      </c>
      <c r="E50" s="106"/>
      <c r="F50" s="107"/>
      <c r="G50" s="108"/>
    </row>
    <row r="51" spans="2:7" ht="21" x14ac:dyDescent="0.25">
      <c r="B51" s="63">
        <v>7564</v>
      </c>
      <c r="C51" s="69">
        <v>1001303637564</v>
      </c>
      <c r="D51" s="65" t="s">
        <v>121</v>
      </c>
      <c r="E51" s="65" t="s">
        <v>115</v>
      </c>
      <c r="F51" s="77" t="s">
        <v>22</v>
      </c>
      <c r="G51" s="78">
        <v>1</v>
      </c>
    </row>
    <row r="52" spans="2:7" ht="21" x14ac:dyDescent="0.25">
      <c r="B52" s="63">
        <v>7133</v>
      </c>
      <c r="C52" s="69">
        <v>1001300367133</v>
      </c>
      <c r="D52" s="67" t="s">
        <v>73</v>
      </c>
      <c r="E52" s="71"/>
      <c r="F52" s="74" t="s">
        <v>22</v>
      </c>
      <c r="G52" s="75">
        <v>1</v>
      </c>
    </row>
    <row r="53" spans="2:7" ht="21" x14ac:dyDescent="0.25">
      <c r="B53" s="83">
        <v>6946</v>
      </c>
      <c r="C53" s="70">
        <v>1001300456946</v>
      </c>
      <c r="D53" s="71" t="s">
        <v>173</v>
      </c>
      <c r="E53" s="71"/>
      <c r="F53" s="74" t="s">
        <v>22</v>
      </c>
      <c r="G53" s="75">
        <v>1</v>
      </c>
    </row>
    <row r="54" spans="2:7" ht="21" x14ac:dyDescent="0.25">
      <c r="B54" s="83">
        <v>7132</v>
      </c>
      <c r="C54" s="70">
        <v>1001300517132</v>
      </c>
      <c r="D54" s="71" t="s">
        <v>174</v>
      </c>
      <c r="E54" s="71"/>
      <c r="F54" s="74" t="s">
        <v>22</v>
      </c>
      <c r="G54" s="75">
        <v>1</v>
      </c>
    </row>
    <row r="55" spans="2:7" ht="21" x14ac:dyDescent="0.25">
      <c r="B55" s="83">
        <v>5544</v>
      </c>
      <c r="C55" s="70">
        <v>1001051875544</v>
      </c>
      <c r="D55" s="71" t="s">
        <v>72</v>
      </c>
      <c r="E55" s="71"/>
      <c r="F55" s="74" t="s">
        <v>22</v>
      </c>
      <c r="G55" s="75">
        <v>1</v>
      </c>
    </row>
    <row r="56" spans="2:7" ht="21" x14ac:dyDescent="0.25">
      <c r="B56" s="63">
        <v>7149</v>
      </c>
      <c r="C56" s="66">
        <v>1001303637149</v>
      </c>
      <c r="D56" s="67" t="s">
        <v>19</v>
      </c>
      <c r="E56" s="71"/>
      <c r="F56" s="74" t="s">
        <v>20</v>
      </c>
      <c r="G56" s="75">
        <v>0.84</v>
      </c>
    </row>
    <row r="57" spans="2:7" ht="21" x14ac:dyDescent="0.25">
      <c r="B57" s="63">
        <v>7157</v>
      </c>
      <c r="C57" s="69">
        <v>1001300387157</v>
      </c>
      <c r="D57" s="67" t="s">
        <v>74</v>
      </c>
      <c r="E57" s="71"/>
      <c r="F57" s="74" t="s">
        <v>22</v>
      </c>
      <c r="G57" s="75">
        <v>1</v>
      </c>
    </row>
    <row r="58" spans="2:7" ht="21" x14ac:dyDescent="0.25">
      <c r="B58" s="83">
        <v>7166</v>
      </c>
      <c r="C58" s="70">
        <v>1001303987166</v>
      </c>
      <c r="D58" s="71" t="s">
        <v>71</v>
      </c>
      <c r="E58" s="71"/>
      <c r="F58" s="74" t="s">
        <v>22</v>
      </c>
      <c r="G58" s="75">
        <v>1</v>
      </c>
    </row>
    <row r="59" spans="2:7" ht="21" x14ac:dyDescent="0.25">
      <c r="B59" s="63">
        <v>7603</v>
      </c>
      <c r="C59" s="69">
        <v>1001303637603</v>
      </c>
      <c r="D59" s="65" t="s">
        <v>122</v>
      </c>
      <c r="E59" s="65" t="s">
        <v>115</v>
      </c>
      <c r="F59" s="77" t="s">
        <v>20</v>
      </c>
      <c r="G59" s="78">
        <v>0.33</v>
      </c>
    </row>
    <row r="60" spans="2:7" ht="21" x14ac:dyDescent="0.25">
      <c r="B60" s="83">
        <v>6807</v>
      </c>
      <c r="C60" s="70">
        <v>1001300366807</v>
      </c>
      <c r="D60" s="71" t="s">
        <v>75</v>
      </c>
      <c r="E60" s="71"/>
      <c r="F60" s="74" t="s">
        <v>20</v>
      </c>
      <c r="G60" s="75">
        <v>0.33</v>
      </c>
    </row>
    <row r="61" spans="2:7" ht="21" x14ac:dyDescent="0.25">
      <c r="B61" s="83">
        <v>6787</v>
      </c>
      <c r="C61" s="70">
        <v>1001300456787</v>
      </c>
      <c r="D61" s="71" t="s">
        <v>65</v>
      </c>
      <c r="E61" s="71"/>
      <c r="F61" s="74" t="s">
        <v>20</v>
      </c>
      <c r="G61" s="75">
        <v>0.33</v>
      </c>
    </row>
    <row r="62" spans="2:7" ht="21" x14ac:dyDescent="0.25">
      <c r="B62" s="83">
        <v>6697</v>
      </c>
      <c r="C62" s="70">
        <v>1001301876697</v>
      </c>
      <c r="D62" s="71" t="s">
        <v>66</v>
      </c>
      <c r="E62" s="71"/>
      <c r="F62" s="74" t="s">
        <v>20</v>
      </c>
      <c r="G62" s="75">
        <v>0.35</v>
      </c>
    </row>
    <row r="63" spans="2:7" ht="21" x14ac:dyDescent="0.25">
      <c r="B63" s="83">
        <v>7169</v>
      </c>
      <c r="C63" s="70">
        <v>1001303987169</v>
      </c>
      <c r="D63" s="71" t="s">
        <v>70</v>
      </c>
      <c r="E63" s="71"/>
      <c r="F63" s="74" t="s">
        <v>20</v>
      </c>
      <c r="G63" s="75">
        <v>0.35</v>
      </c>
    </row>
    <row r="64" spans="2:7" ht="21" x14ac:dyDescent="0.25">
      <c r="B64" s="63">
        <v>7233</v>
      </c>
      <c r="C64" s="66">
        <v>1001303637233</v>
      </c>
      <c r="D64" s="67" t="s">
        <v>175</v>
      </c>
      <c r="E64" s="67"/>
      <c r="F64" s="74" t="s">
        <v>20</v>
      </c>
      <c r="G64" s="75">
        <v>0.31</v>
      </c>
    </row>
    <row r="65" spans="2:7" ht="21" x14ac:dyDescent="0.25">
      <c r="B65" s="83">
        <v>7236</v>
      </c>
      <c r="C65" s="70">
        <v>1001304507236</v>
      </c>
      <c r="D65" s="71" t="s">
        <v>68</v>
      </c>
      <c r="E65" s="71"/>
      <c r="F65" s="74" t="s">
        <v>20</v>
      </c>
      <c r="G65" s="75">
        <v>0.28000000000000003</v>
      </c>
    </row>
    <row r="66" spans="2:7" ht="21" x14ac:dyDescent="0.25">
      <c r="B66" s="63">
        <v>7177</v>
      </c>
      <c r="C66" s="66">
        <v>1001302347177</v>
      </c>
      <c r="D66" s="67" t="s">
        <v>124</v>
      </c>
      <c r="E66" s="67"/>
      <c r="F66" s="74" t="s">
        <v>20</v>
      </c>
      <c r="G66" s="75">
        <v>0.35</v>
      </c>
    </row>
    <row r="67" spans="2:7" ht="21" x14ac:dyDescent="0.25">
      <c r="B67" s="83">
        <v>7232</v>
      </c>
      <c r="C67" s="70">
        <v>1001302277232</v>
      </c>
      <c r="D67" s="71" t="s">
        <v>61</v>
      </c>
      <c r="E67" s="71"/>
      <c r="F67" s="74" t="s">
        <v>20</v>
      </c>
      <c r="G67" s="75">
        <v>0.28000000000000003</v>
      </c>
    </row>
    <row r="68" spans="2:7" ht="21" x14ac:dyDescent="0.25">
      <c r="B68" s="63">
        <v>7154</v>
      </c>
      <c r="C68" s="66">
        <v>1001300387154</v>
      </c>
      <c r="D68" s="67" t="s">
        <v>64</v>
      </c>
      <c r="E68" s="67"/>
      <c r="F68" s="74" t="s">
        <v>20</v>
      </c>
      <c r="G68" s="75">
        <v>0.35</v>
      </c>
    </row>
    <row r="69" spans="2:7" ht="21" x14ac:dyDescent="0.25">
      <c r="B69" s="63">
        <v>7238</v>
      </c>
      <c r="C69" s="69">
        <v>1001305197238</v>
      </c>
      <c r="D69" s="67" t="s">
        <v>123</v>
      </c>
      <c r="E69" s="71"/>
      <c r="F69" s="74" t="s">
        <v>20</v>
      </c>
      <c r="G69" s="75">
        <v>0.31</v>
      </c>
    </row>
    <row r="70" spans="2:7" ht="21" x14ac:dyDescent="0.25">
      <c r="B70" s="63">
        <v>7237</v>
      </c>
      <c r="C70" s="69">
        <v>1001304497237</v>
      </c>
      <c r="D70" s="67" t="s">
        <v>67</v>
      </c>
      <c r="E70" s="71"/>
      <c r="F70" s="74" t="s">
        <v>20</v>
      </c>
      <c r="G70" s="75">
        <v>0.28000000000000003</v>
      </c>
    </row>
    <row r="71" spans="2:7" ht="21" x14ac:dyDescent="0.25">
      <c r="B71" s="83">
        <v>7241</v>
      </c>
      <c r="C71" s="70">
        <v>1001303107241</v>
      </c>
      <c r="D71" s="71" t="s">
        <v>63</v>
      </c>
      <c r="E71" s="71"/>
      <c r="F71" s="74" t="s">
        <v>20</v>
      </c>
      <c r="G71" s="75">
        <v>0.28000000000000003</v>
      </c>
    </row>
    <row r="72" spans="2:7" ht="21" x14ac:dyDescent="0.25">
      <c r="B72" s="83">
        <v>7332</v>
      </c>
      <c r="C72" s="70">
        <v>1001301777332</v>
      </c>
      <c r="D72" s="71" t="s">
        <v>62</v>
      </c>
      <c r="E72" s="71"/>
      <c r="F72" s="74" t="s">
        <v>20</v>
      </c>
      <c r="G72" s="75">
        <v>0.28000000000000003</v>
      </c>
    </row>
    <row r="73" spans="2:7" ht="21" x14ac:dyDescent="0.25">
      <c r="B73" s="83">
        <v>7333</v>
      </c>
      <c r="C73" s="70">
        <v>1001303987333</v>
      </c>
      <c r="D73" s="71" t="s">
        <v>69</v>
      </c>
      <c r="E73" s="71"/>
      <c r="F73" s="74" t="s">
        <v>20</v>
      </c>
      <c r="G73" s="75">
        <v>0.28000000000000003</v>
      </c>
    </row>
    <row r="74" spans="2:7" ht="23.25" x14ac:dyDescent="0.25">
      <c r="B74" s="87"/>
      <c r="C74" s="79"/>
      <c r="D74" s="80" t="s">
        <v>125</v>
      </c>
      <c r="E74" s="80"/>
      <c r="F74" s="81"/>
      <c r="G74" s="82"/>
    </row>
    <row r="75" spans="2:7" ht="21" x14ac:dyDescent="0.25">
      <c r="B75" s="63">
        <v>6459</v>
      </c>
      <c r="C75" s="69">
        <v>1001214196459</v>
      </c>
      <c r="D75" s="67" t="s">
        <v>60</v>
      </c>
      <c r="E75" s="64"/>
      <c r="F75" s="77" t="s">
        <v>20</v>
      </c>
      <c r="G75" s="78">
        <v>0.1</v>
      </c>
    </row>
    <row r="76" spans="2:7" ht="21" x14ac:dyDescent="0.25">
      <c r="B76" s="63">
        <v>7474</v>
      </c>
      <c r="C76" s="73">
        <v>1001216717474</v>
      </c>
      <c r="D76" s="67" t="s">
        <v>126</v>
      </c>
      <c r="E76" s="88"/>
      <c r="F76" s="77" t="s">
        <v>20</v>
      </c>
      <c r="G76" s="78">
        <v>0.1</v>
      </c>
    </row>
    <row r="77" spans="2:7" ht="23.25" x14ac:dyDescent="0.25">
      <c r="B77" s="81"/>
      <c r="C77" s="104"/>
      <c r="D77" s="105" t="s">
        <v>130</v>
      </c>
      <c r="E77" s="106"/>
      <c r="F77" s="107"/>
      <c r="G77" s="108"/>
    </row>
    <row r="78" spans="2:7" ht="21" x14ac:dyDescent="0.25">
      <c r="B78" s="63">
        <v>5679</v>
      </c>
      <c r="C78" s="69">
        <v>1001190765679</v>
      </c>
      <c r="D78" s="67" t="s">
        <v>136</v>
      </c>
      <c r="E78" s="67"/>
      <c r="F78" s="77" t="s">
        <v>20</v>
      </c>
      <c r="G78" s="78">
        <v>0.15</v>
      </c>
    </row>
    <row r="79" spans="2:7" ht="21" x14ac:dyDescent="0.25">
      <c r="B79" s="63">
        <v>7382</v>
      </c>
      <c r="C79" s="69">
        <v>1001203117382</v>
      </c>
      <c r="D79" s="67" t="s">
        <v>84</v>
      </c>
      <c r="E79" s="67"/>
      <c r="F79" s="74" t="s">
        <v>20</v>
      </c>
      <c r="G79" s="75">
        <v>0.12</v>
      </c>
    </row>
    <row r="80" spans="2:7" ht="21" x14ac:dyDescent="0.25">
      <c r="B80" s="83">
        <v>6454</v>
      </c>
      <c r="C80" s="70">
        <v>1001201976454</v>
      </c>
      <c r="D80" s="71" t="s">
        <v>131</v>
      </c>
      <c r="E80" s="86"/>
      <c r="F80" s="74" t="s">
        <v>20</v>
      </c>
      <c r="G80" s="75">
        <v>0.1</v>
      </c>
    </row>
    <row r="81" spans="2:7" ht="21" x14ac:dyDescent="0.25">
      <c r="B81" s="83">
        <v>6453</v>
      </c>
      <c r="C81" s="70">
        <v>1001202506453</v>
      </c>
      <c r="D81" s="71" t="s">
        <v>176</v>
      </c>
      <c r="E81" s="86"/>
      <c r="F81" s="74" t="s">
        <v>20</v>
      </c>
      <c r="G81" s="75">
        <v>0.1</v>
      </c>
    </row>
    <row r="82" spans="2:7" ht="21" x14ac:dyDescent="0.25">
      <c r="B82" s="63">
        <v>6221</v>
      </c>
      <c r="C82" s="66">
        <v>1001205376221</v>
      </c>
      <c r="D82" s="67" t="s">
        <v>86</v>
      </c>
      <c r="E82" s="64"/>
      <c r="F82" s="74" t="s">
        <v>20</v>
      </c>
      <c r="G82" s="75">
        <v>0.09</v>
      </c>
    </row>
    <row r="83" spans="2:7" ht="21" x14ac:dyDescent="0.25">
      <c r="B83" s="63">
        <v>6222</v>
      </c>
      <c r="C83" s="66">
        <v>1001205386222</v>
      </c>
      <c r="D83" s="67" t="s">
        <v>133</v>
      </c>
      <c r="E83" s="64"/>
      <c r="F83" s="74" t="s">
        <v>20</v>
      </c>
      <c r="G83" s="75">
        <v>0.09</v>
      </c>
    </row>
    <row r="84" spans="2:7" ht="21" x14ac:dyDescent="0.25">
      <c r="B84" s="63">
        <v>6834</v>
      </c>
      <c r="C84" s="69">
        <v>1001203146834</v>
      </c>
      <c r="D84" s="67" t="s">
        <v>132</v>
      </c>
      <c r="E84" s="67"/>
      <c r="F84" s="77" t="s">
        <v>20</v>
      </c>
      <c r="G84" s="78">
        <v>0.1</v>
      </c>
    </row>
    <row r="85" spans="2:7" ht="21" x14ac:dyDescent="0.25">
      <c r="B85" s="83">
        <v>6965</v>
      </c>
      <c r="C85" s="70">
        <v>1001206356965</v>
      </c>
      <c r="D85" s="71" t="s">
        <v>134</v>
      </c>
      <c r="E85" s="86"/>
      <c r="F85" s="74" t="s">
        <v>20</v>
      </c>
      <c r="G85" s="75">
        <v>7.0000000000000007E-2</v>
      </c>
    </row>
    <row r="86" spans="2:7" ht="21" x14ac:dyDescent="0.25">
      <c r="B86" s="63">
        <v>6557</v>
      </c>
      <c r="C86" s="69">
        <v>1001200756557</v>
      </c>
      <c r="D86" s="67" t="s">
        <v>135</v>
      </c>
      <c r="E86" s="64"/>
      <c r="F86" s="77" t="s">
        <v>20</v>
      </c>
      <c r="G86" s="78">
        <v>0.1</v>
      </c>
    </row>
    <row r="87" spans="2:7" ht="21" x14ac:dyDescent="0.25">
      <c r="B87" s="63">
        <v>5677</v>
      </c>
      <c r="C87" s="69">
        <v>1001190715677</v>
      </c>
      <c r="D87" s="67" t="s">
        <v>137</v>
      </c>
      <c r="E87" s="109"/>
      <c r="F87" s="77" t="s">
        <v>20</v>
      </c>
      <c r="G87" s="78">
        <v>0.1</v>
      </c>
    </row>
    <row r="88" spans="2:7" ht="21" x14ac:dyDescent="0.25">
      <c r="B88" s="63">
        <v>7414</v>
      </c>
      <c r="C88" s="69">
        <v>1001204447414</v>
      </c>
      <c r="D88" s="67" t="s">
        <v>138</v>
      </c>
      <c r="E88" s="109"/>
      <c r="F88" s="77" t="s">
        <v>22</v>
      </c>
      <c r="G88" s="78">
        <v>1</v>
      </c>
    </row>
    <row r="89" spans="2:7" ht="23.25" x14ac:dyDescent="0.25">
      <c r="B89" s="81"/>
      <c r="C89" s="104"/>
      <c r="D89" s="105" t="s">
        <v>76</v>
      </c>
      <c r="E89" s="106"/>
      <c r="F89" s="107"/>
      <c r="G89" s="108"/>
    </row>
    <row r="90" spans="2:7" ht="21" x14ac:dyDescent="0.25">
      <c r="B90" s="63">
        <v>614</v>
      </c>
      <c r="C90" s="69">
        <v>1001060720614</v>
      </c>
      <c r="D90" s="67" t="s">
        <v>140</v>
      </c>
      <c r="E90" s="64"/>
      <c r="F90" s="77" t="s">
        <v>22</v>
      </c>
      <c r="G90" s="78">
        <v>1</v>
      </c>
    </row>
    <row r="91" spans="2:7" ht="21" x14ac:dyDescent="0.25">
      <c r="B91" s="63">
        <v>3287</v>
      </c>
      <c r="C91" s="69">
        <v>1001060763287</v>
      </c>
      <c r="D91" s="67" t="s">
        <v>90</v>
      </c>
      <c r="E91" s="64"/>
      <c r="F91" s="77" t="s">
        <v>22</v>
      </c>
      <c r="G91" s="78">
        <v>1</v>
      </c>
    </row>
    <row r="92" spans="2:7" ht="21" x14ac:dyDescent="0.25">
      <c r="B92" s="83">
        <v>5708</v>
      </c>
      <c r="C92" s="70">
        <v>1001063145708</v>
      </c>
      <c r="D92" s="71" t="s">
        <v>80</v>
      </c>
      <c r="E92" s="86"/>
      <c r="F92" s="74" t="s">
        <v>22</v>
      </c>
      <c r="G92" s="75">
        <v>1</v>
      </c>
    </row>
    <row r="93" spans="2:7" ht="21" x14ac:dyDescent="0.25">
      <c r="B93" s="83">
        <v>4117</v>
      </c>
      <c r="C93" s="70">
        <v>1001062504117</v>
      </c>
      <c r="D93" s="71" t="s">
        <v>87</v>
      </c>
      <c r="E93" s="86"/>
      <c r="F93" s="74" t="s">
        <v>22</v>
      </c>
      <c r="G93" s="75">
        <v>1</v>
      </c>
    </row>
    <row r="94" spans="2:7" ht="21" x14ac:dyDescent="0.25">
      <c r="B94" s="63">
        <v>7316</v>
      </c>
      <c r="C94" s="69">
        <v>1001060727316</v>
      </c>
      <c r="D94" s="67" t="s">
        <v>148</v>
      </c>
      <c r="E94" s="67"/>
      <c r="F94" s="77" t="s">
        <v>20</v>
      </c>
      <c r="G94" s="78">
        <v>0.54</v>
      </c>
    </row>
    <row r="95" spans="2:7" ht="21" x14ac:dyDescent="0.25">
      <c r="B95" s="63">
        <v>7317</v>
      </c>
      <c r="C95" s="69">
        <v>1001066567317</v>
      </c>
      <c r="D95" s="67" t="s">
        <v>146</v>
      </c>
      <c r="E95" s="67"/>
      <c r="F95" s="77" t="s">
        <v>20</v>
      </c>
      <c r="G95" s="78">
        <v>0.54</v>
      </c>
    </row>
    <row r="96" spans="2:7" ht="21" x14ac:dyDescent="0.25">
      <c r="B96" s="63">
        <v>7143</v>
      </c>
      <c r="C96" s="69">
        <v>1001060717143</v>
      </c>
      <c r="D96" s="67" t="s">
        <v>142</v>
      </c>
      <c r="E96" s="67"/>
      <c r="F96" s="77" t="s">
        <v>20</v>
      </c>
      <c r="G96" s="78">
        <v>0.22</v>
      </c>
    </row>
    <row r="97" spans="2:7" ht="21" x14ac:dyDescent="0.25">
      <c r="B97" s="63">
        <v>7147</v>
      </c>
      <c r="C97" s="69">
        <v>1001063237147</v>
      </c>
      <c r="D97" s="67" t="s">
        <v>85</v>
      </c>
      <c r="E97" s="67"/>
      <c r="F97" s="77" t="s">
        <v>20</v>
      </c>
      <c r="G97" s="78">
        <v>0.22</v>
      </c>
    </row>
    <row r="98" spans="2:7" ht="21" x14ac:dyDescent="0.25">
      <c r="B98" s="63">
        <v>7456</v>
      </c>
      <c r="C98" s="69">
        <v>1001063097456</v>
      </c>
      <c r="D98" s="67" t="s">
        <v>143</v>
      </c>
      <c r="E98" s="67"/>
      <c r="F98" s="77" t="s">
        <v>20</v>
      </c>
      <c r="G98" s="78">
        <v>0.15</v>
      </c>
    </row>
    <row r="99" spans="2:7" ht="21" x14ac:dyDescent="0.25">
      <c r="B99" s="63">
        <v>7318</v>
      </c>
      <c r="C99" s="69">
        <v>1001060727318</v>
      </c>
      <c r="D99" s="67" t="s">
        <v>147</v>
      </c>
      <c r="E99" s="67"/>
      <c r="F99" s="77" t="s">
        <v>20</v>
      </c>
      <c r="G99" s="78">
        <v>0.27</v>
      </c>
    </row>
    <row r="100" spans="2:7" ht="21" x14ac:dyDescent="0.25">
      <c r="B100" s="83">
        <v>3986</v>
      </c>
      <c r="C100" s="70">
        <v>1001061973986</v>
      </c>
      <c r="D100" s="71" t="s">
        <v>79</v>
      </c>
      <c r="E100" s="71"/>
      <c r="F100" s="74" t="s">
        <v>20</v>
      </c>
      <c r="G100" s="75">
        <v>0.25</v>
      </c>
    </row>
    <row r="101" spans="2:7" ht="21" x14ac:dyDescent="0.25">
      <c r="B101" s="63">
        <v>7364</v>
      </c>
      <c r="C101" s="69">
        <v>1001063217364</v>
      </c>
      <c r="D101" s="67" t="s">
        <v>144</v>
      </c>
      <c r="E101" s="67"/>
      <c r="F101" s="77" t="s">
        <v>20</v>
      </c>
      <c r="G101" s="78">
        <v>0.22</v>
      </c>
    </row>
    <row r="102" spans="2:7" ht="21" x14ac:dyDescent="0.25">
      <c r="B102" s="68">
        <v>7383</v>
      </c>
      <c r="C102" s="69">
        <v>1001065467383</v>
      </c>
      <c r="D102" s="67" t="s">
        <v>145</v>
      </c>
      <c r="E102" s="67"/>
      <c r="F102" s="77" t="s">
        <v>20</v>
      </c>
      <c r="G102" s="78">
        <v>0.22</v>
      </c>
    </row>
    <row r="103" spans="2:7" ht="21" x14ac:dyDescent="0.25">
      <c r="B103" s="117">
        <v>6967</v>
      </c>
      <c r="C103" s="66">
        <v>1001063656967</v>
      </c>
      <c r="D103" s="71" t="s">
        <v>83</v>
      </c>
      <c r="E103" s="71"/>
      <c r="F103" s="74" t="s">
        <v>20</v>
      </c>
      <c r="G103" s="75">
        <v>0.25</v>
      </c>
    </row>
    <row r="104" spans="2:7" ht="21" x14ac:dyDescent="0.25">
      <c r="B104" s="63">
        <v>4993</v>
      </c>
      <c r="C104" s="69">
        <v>1001060764993</v>
      </c>
      <c r="D104" s="67" t="s">
        <v>139</v>
      </c>
      <c r="E104" s="67"/>
      <c r="F104" s="77" t="s">
        <v>20</v>
      </c>
      <c r="G104" s="78">
        <v>0.25</v>
      </c>
    </row>
    <row r="105" spans="2:7" ht="21" x14ac:dyDescent="0.25">
      <c r="B105" s="63">
        <v>6937</v>
      </c>
      <c r="C105" s="69">
        <v>1001063106937</v>
      </c>
      <c r="D105" s="67" t="s">
        <v>141</v>
      </c>
      <c r="E105" s="67"/>
      <c r="F105" s="77" t="s">
        <v>20</v>
      </c>
      <c r="G105" s="78">
        <v>0.25</v>
      </c>
    </row>
    <row r="106" spans="2:7" ht="21" x14ac:dyDescent="0.25">
      <c r="B106" s="63">
        <v>5483</v>
      </c>
      <c r="C106" s="69">
        <v>1001062505483</v>
      </c>
      <c r="D106" s="67" t="s">
        <v>88</v>
      </c>
      <c r="E106" s="67"/>
      <c r="F106" s="77" t="s">
        <v>20</v>
      </c>
      <c r="G106" s="78">
        <v>0.25</v>
      </c>
    </row>
    <row r="107" spans="2:7" ht="21" x14ac:dyDescent="0.25">
      <c r="B107" s="63">
        <v>5931</v>
      </c>
      <c r="C107" s="69">
        <v>1001060755931</v>
      </c>
      <c r="D107" s="67" t="s">
        <v>77</v>
      </c>
      <c r="E107" s="67"/>
      <c r="F107" s="77" t="s">
        <v>20</v>
      </c>
      <c r="G107" s="78">
        <v>0.22</v>
      </c>
    </row>
    <row r="108" spans="2:7" ht="21" x14ac:dyDescent="0.25">
      <c r="B108" s="63">
        <v>7417</v>
      </c>
      <c r="C108" s="69">
        <v>1001307147417</v>
      </c>
      <c r="D108" s="67" t="s">
        <v>149</v>
      </c>
      <c r="E108" s="67"/>
      <c r="F108" s="78" t="s">
        <v>20</v>
      </c>
      <c r="G108" s="78">
        <v>0.44</v>
      </c>
    </row>
    <row r="109" spans="2:7" ht="21" x14ac:dyDescent="0.25">
      <c r="B109" s="63">
        <v>6832</v>
      </c>
      <c r="C109" s="69">
        <v>1001065616832</v>
      </c>
      <c r="D109" s="67" t="s">
        <v>81</v>
      </c>
      <c r="E109" s="67"/>
      <c r="F109" s="77" t="s">
        <v>22</v>
      </c>
      <c r="G109" s="78">
        <v>1</v>
      </c>
    </row>
    <row r="110" spans="2:7" ht="21" x14ac:dyDescent="0.25">
      <c r="B110" s="63">
        <v>7299</v>
      </c>
      <c r="C110" s="69">
        <v>1001060677299</v>
      </c>
      <c r="D110" s="67" t="s">
        <v>82</v>
      </c>
      <c r="E110" s="67"/>
      <c r="F110" s="77" t="s">
        <v>22</v>
      </c>
      <c r="G110" s="78">
        <v>1</v>
      </c>
    </row>
    <row r="111" spans="2:7" ht="21" x14ac:dyDescent="0.25">
      <c r="B111" s="63">
        <v>7386</v>
      </c>
      <c r="C111" s="69">
        <v>1001067017386</v>
      </c>
      <c r="D111" s="67" t="s">
        <v>150</v>
      </c>
      <c r="E111" s="88"/>
      <c r="F111" s="77" t="s">
        <v>20</v>
      </c>
      <c r="G111" s="78">
        <v>0.15</v>
      </c>
    </row>
    <row r="112" spans="2:7" ht="23.25" x14ac:dyDescent="0.25">
      <c r="B112" s="110"/>
      <c r="C112" s="111"/>
      <c r="D112" s="112" t="s">
        <v>177</v>
      </c>
      <c r="E112" s="113"/>
      <c r="F112" s="114"/>
      <c r="G112" s="115"/>
    </row>
    <row r="113" spans="2:7" ht="21" x14ac:dyDescent="0.25">
      <c r="B113" s="117">
        <v>6527</v>
      </c>
      <c r="C113" s="66">
        <v>1001031076527</v>
      </c>
      <c r="D113" s="71" t="s">
        <v>152</v>
      </c>
      <c r="E113" s="86"/>
      <c r="F113" s="74" t="s">
        <v>22</v>
      </c>
      <c r="G113" s="75">
        <v>1</v>
      </c>
    </row>
    <row r="114" spans="2:7" ht="21" x14ac:dyDescent="0.25">
      <c r="B114" s="83">
        <v>6550</v>
      </c>
      <c r="C114" s="70">
        <v>1001032736550</v>
      </c>
      <c r="D114" s="71" t="s">
        <v>151</v>
      </c>
      <c r="E114" s="86"/>
      <c r="F114" s="74" t="s">
        <v>22</v>
      </c>
      <c r="G114" s="75">
        <v>1</v>
      </c>
    </row>
    <row r="115" spans="2:7" ht="21" x14ac:dyDescent="0.25">
      <c r="B115" s="83">
        <v>6549</v>
      </c>
      <c r="C115" s="70">
        <v>1001032736549</v>
      </c>
      <c r="D115" s="71" t="s">
        <v>178</v>
      </c>
      <c r="E115" s="88"/>
      <c r="F115" s="74" t="s">
        <v>22</v>
      </c>
      <c r="G115" s="75">
        <v>1</v>
      </c>
    </row>
    <row r="116" spans="2:7" ht="21" x14ac:dyDescent="0.25">
      <c r="B116" s="117">
        <v>7001</v>
      </c>
      <c r="C116" s="66">
        <v>1001035937001</v>
      </c>
      <c r="D116" s="71" t="s">
        <v>57</v>
      </c>
      <c r="E116" s="71"/>
      <c r="F116" s="74" t="s">
        <v>22</v>
      </c>
      <c r="G116" s="75">
        <v>1</v>
      </c>
    </row>
    <row r="117" spans="2:7" ht="21" x14ac:dyDescent="0.25">
      <c r="B117" s="83">
        <v>6608</v>
      </c>
      <c r="C117" s="70">
        <v>1001033856608</v>
      </c>
      <c r="D117" s="71" t="s">
        <v>58</v>
      </c>
      <c r="E117" s="71"/>
      <c r="F117" s="74" t="s">
        <v>22</v>
      </c>
      <c r="G117" s="75">
        <v>1</v>
      </c>
    </row>
    <row r="118" spans="2:7" ht="21" x14ac:dyDescent="0.25">
      <c r="B118" s="63">
        <v>7059</v>
      </c>
      <c r="C118" s="90">
        <v>1001035277059</v>
      </c>
      <c r="D118" s="67" t="s">
        <v>154</v>
      </c>
      <c r="E118" s="88"/>
      <c r="F118" s="77" t="s">
        <v>20</v>
      </c>
      <c r="G118" s="78">
        <v>0.3</v>
      </c>
    </row>
    <row r="119" spans="2:7" ht="21" x14ac:dyDescent="0.25">
      <c r="B119" s="63">
        <v>6609</v>
      </c>
      <c r="C119" s="69">
        <v>1001033856609</v>
      </c>
      <c r="D119" s="67" t="s">
        <v>153</v>
      </c>
      <c r="E119" s="67"/>
      <c r="F119" s="77" t="s">
        <v>20</v>
      </c>
      <c r="G119" s="78">
        <v>0.4</v>
      </c>
    </row>
    <row r="120" spans="2:7" ht="23.25" x14ac:dyDescent="0.25">
      <c r="B120" s="81"/>
      <c r="C120" s="104"/>
      <c r="D120" s="105" t="s">
        <v>179</v>
      </c>
      <c r="E120" s="106"/>
      <c r="F120" s="107"/>
      <c r="G120" s="108"/>
    </row>
    <row r="121" spans="2:7" ht="21" x14ac:dyDescent="0.25">
      <c r="B121" s="83">
        <v>6767</v>
      </c>
      <c r="C121" s="70">
        <v>1001023696767</v>
      </c>
      <c r="D121" s="71" t="s">
        <v>43</v>
      </c>
      <c r="E121" s="86"/>
      <c r="F121" s="74" t="s">
        <v>22</v>
      </c>
      <c r="G121" s="75">
        <v>1</v>
      </c>
    </row>
    <row r="122" spans="2:7" ht="21" x14ac:dyDescent="0.25">
      <c r="B122" s="63">
        <v>6761</v>
      </c>
      <c r="C122" s="69">
        <v>1001020836761</v>
      </c>
      <c r="D122" s="67" t="s">
        <v>52</v>
      </c>
      <c r="E122" s="67"/>
      <c r="F122" s="77" t="s">
        <v>22</v>
      </c>
      <c r="G122" s="78">
        <v>1</v>
      </c>
    </row>
    <row r="123" spans="2:7" ht="21" x14ac:dyDescent="0.25">
      <c r="B123" s="63">
        <v>6764</v>
      </c>
      <c r="C123" s="69">
        <v>1001020846764</v>
      </c>
      <c r="D123" s="67" t="s">
        <v>48</v>
      </c>
      <c r="E123" s="64"/>
      <c r="F123" s="77" t="s">
        <v>22</v>
      </c>
      <c r="G123" s="78">
        <v>1</v>
      </c>
    </row>
    <row r="124" spans="2:7" ht="21" x14ac:dyDescent="0.25">
      <c r="B124" s="83">
        <v>6254</v>
      </c>
      <c r="C124" s="70">
        <v>1001022556254</v>
      </c>
      <c r="D124" s="71" t="s">
        <v>162</v>
      </c>
      <c r="E124" s="71"/>
      <c r="F124" s="74" t="s">
        <v>22</v>
      </c>
      <c r="G124" s="75">
        <v>1</v>
      </c>
    </row>
    <row r="125" spans="2:7" ht="21" x14ac:dyDescent="0.25">
      <c r="B125" s="63">
        <v>7075</v>
      </c>
      <c r="C125" s="69">
        <v>1001022657075</v>
      </c>
      <c r="D125" s="67" t="s">
        <v>49</v>
      </c>
      <c r="E125" s="67"/>
      <c r="F125" s="77" t="s">
        <v>22</v>
      </c>
      <c r="G125" s="78">
        <v>1</v>
      </c>
    </row>
    <row r="126" spans="2:7" ht="21" x14ac:dyDescent="0.25">
      <c r="B126" s="117">
        <v>7083</v>
      </c>
      <c r="C126" s="69">
        <v>1001022467083</v>
      </c>
      <c r="D126" s="67" t="s">
        <v>160</v>
      </c>
      <c r="E126" s="86"/>
      <c r="F126" s="77" t="s">
        <v>22</v>
      </c>
      <c r="G126" s="78">
        <v>1</v>
      </c>
    </row>
    <row r="127" spans="2:7" ht="21" x14ac:dyDescent="0.25">
      <c r="B127" s="83">
        <v>6829</v>
      </c>
      <c r="C127" s="70">
        <v>1001024976829</v>
      </c>
      <c r="D127" s="71" t="s">
        <v>156</v>
      </c>
      <c r="E127" s="86"/>
      <c r="F127" s="74" t="s">
        <v>22</v>
      </c>
      <c r="G127" s="75">
        <v>1</v>
      </c>
    </row>
    <row r="128" spans="2:7" ht="21" x14ac:dyDescent="0.25">
      <c r="B128" s="117">
        <v>7070</v>
      </c>
      <c r="C128" s="70">
        <v>1001022377070</v>
      </c>
      <c r="D128" s="71" t="s">
        <v>44</v>
      </c>
      <c r="E128" s="71"/>
      <c r="F128" s="74" t="s">
        <v>22</v>
      </c>
      <c r="G128" s="75">
        <v>1</v>
      </c>
    </row>
    <row r="129" spans="2:7" ht="21" x14ac:dyDescent="0.25">
      <c r="B129" s="83">
        <v>7076</v>
      </c>
      <c r="C129" s="70">
        <v>1001022657076</v>
      </c>
      <c r="D129" s="71" t="s">
        <v>180</v>
      </c>
      <c r="E129" s="86"/>
      <c r="F129" s="74" t="s">
        <v>22</v>
      </c>
      <c r="G129" s="75">
        <v>1</v>
      </c>
    </row>
    <row r="130" spans="2:7" ht="21" x14ac:dyDescent="0.25">
      <c r="B130" s="63">
        <v>7271</v>
      </c>
      <c r="C130" s="69">
        <v>1001025507271</v>
      </c>
      <c r="D130" s="67" t="s">
        <v>159</v>
      </c>
      <c r="E130" s="67"/>
      <c r="F130" s="77" t="s">
        <v>22</v>
      </c>
      <c r="G130" s="78">
        <v>1</v>
      </c>
    </row>
    <row r="131" spans="2:7" ht="21" x14ac:dyDescent="0.25">
      <c r="B131" s="83">
        <v>6303</v>
      </c>
      <c r="C131" s="70">
        <v>1001022726303</v>
      </c>
      <c r="D131" s="71" t="s">
        <v>158</v>
      </c>
      <c r="E131" s="86"/>
      <c r="F131" s="74" t="s">
        <v>22</v>
      </c>
      <c r="G131" s="75">
        <v>1</v>
      </c>
    </row>
    <row r="132" spans="2:7" ht="21" x14ac:dyDescent="0.25">
      <c r="B132" s="83">
        <v>6661</v>
      </c>
      <c r="C132" s="70">
        <v>1001022246661</v>
      </c>
      <c r="D132" s="71" t="s">
        <v>161</v>
      </c>
      <c r="E132" s="71"/>
      <c r="F132" s="74" t="s">
        <v>22</v>
      </c>
      <c r="G132" s="75">
        <v>1</v>
      </c>
    </row>
    <row r="133" spans="2:7" ht="21" x14ac:dyDescent="0.25">
      <c r="B133" s="63">
        <v>6759</v>
      </c>
      <c r="C133" s="69">
        <v>1001020836759</v>
      </c>
      <c r="D133" s="67" t="s">
        <v>41</v>
      </c>
      <c r="E133" s="64"/>
      <c r="F133" s="77" t="s">
        <v>20</v>
      </c>
      <c r="G133" s="78">
        <v>0.4</v>
      </c>
    </row>
    <row r="134" spans="2:7" ht="21" x14ac:dyDescent="0.25">
      <c r="B134" s="63">
        <v>6762</v>
      </c>
      <c r="C134" s="69">
        <v>1001020846762</v>
      </c>
      <c r="D134" s="67" t="s">
        <v>39</v>
      </c>
      <c r="E134" s="64"/>
      <c r="F134" s="77" t="s">
        <v>20</v>
      </c>
      <c r="G134" s="78">
        <v>0.41</v>
      </c>
    </row>
    <row r="135" spans="2:7" ht="21" x14ac:dyDescent="0.25">
      <c r="B135" s="83">
        <v>6765</v>
      </c>
      <c r="C135" s="70">
        <v>1001023696765</v>
      </c>
      <c r="D135" s="71" t="s">
        <v>40</v>
      </c>
      <c r="E135" s="86"/>
      <c r="F135" s="74" t="s">
        <v>20</v>
      </c>
      <c r="G135" s="75">
        <v>0.36</v>
      </c>
    </row>
    <row r="136" spans="2:7" ht="21" x14ac:dyDescent="0.25">
      <c r="B136" s="63">
        <v>7074</v>
      </c>
      <c r="C136" s="66">
        <v>1001022657074</v>
      </c>
      <c r="D136" s="67" t="s">
        <v>157</v>
      </c>
      <c r="E136" s="64"/>
      <c r="F136" s="77" t="s">
        <v>20</v>
      </c>
      <c r="G136" s="78">
        <v>0.6</v>
      </c>
    </row>
    <row r="137" spans="2:7" ht="21" x14ac:dyDescent="0.25">
      <c r="B137" s="63">
        <v>7123</v>
      </c>
      <c r="C137" s="69">
        <v>1001020867123</v>
      </c>
      <c r="D137" s="67" t="s">
        <v>181</v>
      </c>
      <c r="E137" s="71"/>
      <c r="F137" s="74" t="s">
        <v>20</v>
      </c>
      <c r="G137" s="75">
        <v>0.3</v>
      </c>
    </row>
    <row r="138" spans="2:7" ht="21" x14ac:dyDescent="0.25">
      <c r="B138" s="83">
        <v>5819</v>
      </c>
      <c r="C138" s="70">
        <v>1001022725819</v>
      </c>
      <c r="D138" s="71" t="s">
        <v>38</v>
      </c>
      <c r="E138" s="86"/>
      <c r="F138" s="74" t="s">
        <v>20</v>
      </c>
      <c r="G138" s="75">
        <v>0.4</v>
      </c>
    </row>
    <row r="139" spans="2:7" ht="21" x14ac:dyDescent="0.25">
      <c r="B139" s="63">
        <v>6475</v>
      </c>
      <c r="C139" s="66">
        <v>1001025176475</v>
      </c>
      <c r="D139" s="67" t="s">
        <v>45</v>
      </c>
      <c r="E139" s="67"/>
      <c r="F139" s="74" t="s">
        <v>20</v>
      </c>
      <c r="G139" s="75">
        <v>0.4</v>
      </c>
    </row>
    <row r="140" spans="2:7" ht="21" x14ac:dyDescent="0.25">
      <c r="B140" s="118">
        <v>7284</v>
      </c>
      <c r="C140" s="90">
        <v>1001025767284</v>
      </c>
      <c r="D140" s="109" t="s">
        <v>182</v>
      </c>
      <c r="E140" s="89"/>
      <c r="F140" s="119" t="s">
        <v>20</v>
      </c>
      <c r="G140" s="120">
        <v>0.33</v>
      </c>
    </row>
    <row r="141" spans="2:7" ht="21" x14ac:dyDescent="0.25">
      <c r="B141" s="63">
        <v>7601</v>
      </c>
      <c r="C141" s="69">
        <v>1001025767601</v>
      </c>
      <c r="D141" s="67" t="s">
        <v>183</v>
      </c>
      <c r="E141" s="88"/>
      <c r="F141" s="77" t="s">
        <v>20</v>
      </c>
      <c r="G141" s="78">
        <v>0.26</v>
      </c>
    </row>
    <row r="142" spans="2:7" ht="21" x14ac:dyDescent="0.25">
      <c r="B142" s="118">
        <v>7461</v>
      </c>
      <c r="C142" s="92">
        <v>1001025767461</v>
      </c>
      <c r="D142" s="109" t="s">
        <v>184</v>
      </c>
      <c r="E142" s="88"/>
      <c r="F142" s="121" t="s">
        <v>20</v>
      </c>
      <c r="G142" s="94">
        <v>0.33</v>
      </c>
    </row>
    <row r="143" spans="2:7" ht="21" x14ac:dyDescent="0.25">
      <c r="B143" s="68">
        <v>7371</v>
      </c>
      <c r="C143" s="73">
        <v>1001026947371</v>
      </c>
      <c r="D143" s="67" t="s">
        <v>185</v>
      </c>
      <c r="E143" s="85"/>
      <c r="F143" s="77" t="s">
        <v>20</v>
      </c>
      <c r="G143" s="78">
        <v>0.3</v>
      </c>
    </row>
    <row r="144" spans="2:7" ht="21" x14ac:dyDescent="0.25">
      <c r="B144" s="118">
        <v>6837</v>
      </c>
      <c r="C144" s="92">
        <v>1001022556837</v>
      </c>
      <c r="D144" s="109" t="s">
        <v>47</v>
      </c>
      <c r="E144" s="109"/>
      <c r="F144" s="119" t="s">
        <v>20</v>
      </c>
      <c r="G144" s="120">
        <v>0.4</v>
      </c>
    </row>
    <row r="145" spans="2:7" ht="21" x14ac:dyDescent="0.25">
      <c r="B145" s="118">
        <v>7080</v>
      </c>
      <c r="C145" s="92">
        <v>1001022467080</v>
      </c>
      <c r="D145" s="93" t="s">
        <v>53</v>
      </c>
      <c r="E145" s="93"/>
      <c r="F145" s="121" t="s">
        <v>20</v>
      </c>
      <c r="G145" s="94">
        <v>0.41</v>
      </c>
    </row>
    <row r="146" spans="2:7" ht="21" x14ac:dyDescent="0.25">
      <c r="B146" s="63">
        <v>6724</v>
      </c>
      <c r="C146" s="69">
        <v>1001020836724</v>
      </c>
      <c r="D146" s="67" t="s">
        <v>51</v>
      </c>
      <c r="E146" s="67"/>
      <c r="F146" s="77" t="s">
        <v>20</v>
      </c>
      <c r="G146" s="78">
        <v>0.41</v>
      </c>
    </row>
    <row r="147" spans="2:7" ht="21" x14ac:dyDescent="0.25">
      <c r="B147" s="63">
        <v>7066</v>
      </c>
      <c r="C147" s="69">
        <v>1001022377066</v>
      </c>
      <c r="D147" s="67" t="s">
        <v>55</v>
      </c>
      <c r="E147" s="67"/>
      <c r="F147" s="77" t="s">
        <v>20</v>
      </c>
      <c r="G147" s="78">
        <v>0.41</v>
      </c>
    </row>
    <row r="148" spans="2:7" ht="21" x14ac:dyDescent="0.25">
      <c r="B148" s="83">
        <v>6713</v>
      </c>
      <c r="C148" s="66">
        <v>1001022246713</v>
      </c>
      <c r="D148" s="67" t="s">
        <v>46</v>
      </c>
      <c r="E148" s="67"/>
      <c r="F148" s="74" t="s">
        <v>20</v>
      </c>
      <c r="G148" s="75">
        <v>0.41</v>
      </c>
    </row>
    <row r="149" spans="2:7" ht="21" x14ac:dyDescent="0.25">
      <c r="B149" s="63">
        <v>7255</v>
      </c>
      <c r="C149" s="69">
        <v>1001025507255</v>
      </c>
      <c r="D149" s="67" t="s">
        <v>37</v>
      </c>
      <c r="E149" s="71"/>
      <c r="F149" s="77" t="s">
        <v>20</v>
      </c>
      <c r="G149" s="78">
        <v>0.4</v>
      </c>
    </row>
    <row r="150" spans="2:7" ht="21" x14ac:dyDescent="0.25">
      <c r="B150" s="63">
        <v>6602</v>
      </c>
      <c r="C150" s="69">
        <v>1001021966602</v>
      </c>
      <c r="D150" s="67" t="s">
        <v>155</v>
      </c>
      <c r="E150" s="64"/>
      <c r="F150" s="77" t="s">
        <v>20</v>
      </c>
      <c r="G150" s="78">
        <v>0.35</v>
      </c>
    </row>
    <row r="151" spans="2:7" ht="21" x14ac:dyDescent="0.25">
      <c r="B151" s="63">
        <v>7073</v>
      </c>
      <c r="C151" s="69">
        <v>1001022657073</v>
      </c>
      <c r="D151" s="67" t="s">
        <v>50</v>
      </c>
      <c r="E151" s="67"/>
      <c r="F151" s="77" t="s">
        <v>20</v>
      </c>
      <c r="G151" s="78">
        <v>0.35</v>
      </c>
    </row>
    <row r="152" spans="2:7" ht="21" x14ac:dyDescent="0.25">
      <c r="B152" s="118">
        <v>7276</v>
      </c>
      <c r="C152" s="92">
        <v>1001022467276</v>
      </c>
      <c r="D152" s="93" t="s">
        <v>54</v>
      </c>
      <c r="E152" s="93"/>
      <c r="F152" s="121" t="s">
        <v>20</v>
      </c>
      <c r="G152" s="94">
        <v>0.3</v>
      </c>
    </row>
    <row r="153" spans="2:7" ht="21" x14ac:dyDescent="0.25">
      <c r="B153" s="63">
        <v>6616</v>
      </c>
      <c r="C153" s="66">
        <v>1001024976616</v>
      </c>
      <c r="D153" s="67" t="s">
        <v>42</v>
      </c>
      <c r="E153" s="64"/>
      <c r="F153" s="77" t="s">
        <v>20</v>
      </c>
      <c r="G153" s="78">
        <v>0.3</v>
      </c>
    </row>
    <row r="154" spans="2:7" ht="21" x14ac:dyDescent="0.25">
      <c r="B154" s="68">
        <v>7385</v>
      </c>
      <c r="C154" s="69">
        <v>1001027067385</v>
      </c>
      <c r="D154" s="85" t="s">
        <v>163</v>
      </c>
      <c r="E154" s="67"/>
      <c r="F154" s="77" t="s">
        <v>20</v>
      </c>
      <c r="G154" s="78">
        <v>0.33</v>
      </c>
    </row>
    <row r="155" spans="2:7" ht="21" x14ac:dyDescent="0.25">
      <c r="B155" s="91">
        <v>7044</v>
      </c>
      <c r="C155" s="92">
        <v>1001025167044</v>
      </c>
      <c r="D155" s="93" t="s">
        <v>164</v>
      </c>
      <c r="E155" s="88"/>
      <c r="F155" s="77" t="s">
        <v>20</v>
      </c>
      <c r="G155" s="94">
        <v>0.32</v>
      </c>
    </row>
    <row r="156" spans="2:7" ht="21" x14ac:dyDescent="0.25">
      <c r="B156" s="91">
        <v>7460</v>
      </c>
      <c r="C156" s="92">
        <v>1001027247460</v>
      </c>
      <c r="D156" s="93" t="s">
        <v>165</v>
      </c>
      <c r="E156" s="88"/>
      <c r="F156" s="77" t="s">
        <v>20</v>
      </c>
      <c r="G156" s="94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2026-10-15T07:37:57Z</dcterms:modified>
</cp:coreProperties>
</file>