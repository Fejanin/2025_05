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4,10 Байдерма ЛП САП 19,10\"/>
    </mc:Choice>
  </mc:AlternateContent>
  <xr:revisionPtr revIDLastSave="0" documentId="13_ncr:1_{3DD6DC45-96C5-4690-B50C-4C36B202AD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7" i="1" l="1"/>
  <c r="G12" i="1"/>
  <c r="G21" i="1"/>
  <c r="G186" i="1" l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<sst xmlns="http://schemas.openxmlformats.org/spreadsheetml/2006/main" count="720" uniqueCount="239">
  <si>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</si>
  <si>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</si>
  <si>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</si>
  <si>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</si>
  <si>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</si>
  <si>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</si>
  <si>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</si>
  <si>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</si>
  <si>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</si>
  <si>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</si>
  <si>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</si>
  <si>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</si>
  <si>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</si>
  <si>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</si>
  <si>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</si>
  <si>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</si>
  <si>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</si>
  <si>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</si>
  <si>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</si>
  <si>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</si>
  <si>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</si>
  <si>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</si>
  <si>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</si>
  <si>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</si>
  <si>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</si>
  <si>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</si>
  <si>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</si>
  <si>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</si>
  <si>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</si>
  <si>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</si>
  <si>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</si>
  <si>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</si>
  <si>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</si>
  <si>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</si>
  <si>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</si>
  <si>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</si>
  <si>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</si>
  <si>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</si>
  <si>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</si>
  <si>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</si>
  <si>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</si>
  <si>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</si>
  <si>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</si>
  <si>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</si>
  <si>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</si>
  <si>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</si>
  <si>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</si>
  <si>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</si>
  <si>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</si>
  <si>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</si>
  <si>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</si>
  <si>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</si>
  <si>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</si>
  <si>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</si>
  <si>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</si>
  <si>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</si>
  <si>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</si>
  <si>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</si>
  <si>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</si>
  <si>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</si>
  <si>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</si>
  <si>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</si>
  <si>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</si>
  <si>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</si>
  <si>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</si>
  <si>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</si>
  <si>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</si>
  <si>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</si>
  <si>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</si>
  <si>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</si>
  <si>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</si>
  <si>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</si>
  <si>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</si>
  <si>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</si>
  <si>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</si>
  <si>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</si>
  <si>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</si>
  <si>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</si>
  <si>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</si>
  <si>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</si>
  <si>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</si>
  <si>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</si>
  <si>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</si>
  <si>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</si>
  <si>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</si>
  <si>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</si>
  <si>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</si>
  <si>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</si>
  <si>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</si>
  <si>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</si>
  <si>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</si>
  <si>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</si>
  <si>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</si>
  <si>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</si>
  <si>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</si>
  <si>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</si>
  <si>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</si>
  <si>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</si>
  <si>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</si>
  <si>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</si>
  <si>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</si>
  <si>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</si>
  <si>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</si>
  <si>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</si>
  <si>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</si>
  <si>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</si>
  <si>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</si>
  <si>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</si>
  <si>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</si>
  <si>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</si>
  <si>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</si>
  <si>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</si>
  <si>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</si>
  <si>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</si>
  <si>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</si>
  <si>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</si>
  <si>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</si>
  <si>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</si>
  <si>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</si>
  <si>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</si>
  <si>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</si>
  <si>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</si>
  <si>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</si>
  <si>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</si>
  <si>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</si>
  <si>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</si>
  <si>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</si>
  <si>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</si>
  <si>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</si>
  <si>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</si>
  <si>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</si>
  <si>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</si>
  <si>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</si>
  <si>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</si>
  <si>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</si>
  <si>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</si>
  <si>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</si>
  <si>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</si>
  <si>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</si>
  <si>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</si>
  <si>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</si>
  <si>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</si>
  <si>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</si>
  <si>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</si>
  <si>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</si>
  <si>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</si>
  <si>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</si>
  <si>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</si>
  <si>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</si>
  <si>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</si>
  <si>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</si>
  <si>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</si>
  <si>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</si>
  <si>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</si>
  <si>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</si>
  <si>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</si>
  <si>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</si>
  <si>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</si>
  <si>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</si>
  <si>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</si>
  <si>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</si>
  <si>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</si>
  <si>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</si>
  <si>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</si>
  <si>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</si>
  <si>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</si>
  <si>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</si>
  <si>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</si>
  <si>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</si>
  <si>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</si>
  <si>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</si>
  <si>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</si>
  <si>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</si>
  <si>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</si>
  <si>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</si>
  <si>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</si>
  <si>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</si>
  <si>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</si>
  <si>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</si>
  <si>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</si>
  <si>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</si>
  <si>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</si>
  <si>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</si>
  <si>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</si>
  <si>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</si>
  <si>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</si>
  <si>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</si>
  <si>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</si>
  <si>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</si>
  <si>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</si>
  <si>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</si>
  <si>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</si>
  <si>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</si>
  <si>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</si>
  <si>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</si>
  <si>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</si>
  <si>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</si>
  <si>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</si>
  <si>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</si>
  <si>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</si>
  <si>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</si>
  <si>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</si>
  <si>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</si>
  <si>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</si>
  <si>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</si>
  <si>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</si>
  <si>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</si>
  <si>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</si>
  <si>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</si>
  <si>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</si>
  <si>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</si>
  <si>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</si>
  <si>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</si>
  <si>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</si>
  <si>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</si>
  <si>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</si>
  <si>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</si>
  <si>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</si>
  <si>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</si>
  <si>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</si>
  <si>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</si>
  <si>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</si>
  <si>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</si>
  <si>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</si>
  <si>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</si>
  <si>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</si>
  <si>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</si>
  <si>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</si>
  <si>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</si>
  <si>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</si>
  <si>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</si>
  <si>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</si>
  <si>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</si>
  <si>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</si>
  <si>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</si>
  <si>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</si>
  <si>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</si>
  <si>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</si>
  <si>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Г. Мелитополь( ИП Байдерман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</si>
</sst>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5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0" fontId="0" fillId="15" borderId="8" xfId="0" applyNumberFormat="1" applyFill="1" applyBorder="1" applyAlignment="1">
      <alignment horizontal="right"/>
    </xf>
    <xf numFmtId="0" fontId="8" fillId="15" borderId="0" xfId="0" applyFont="1" applyFill="1" applyAlignment="1">
      <alignment vertical="center"/>
    </xf>
    <xf numFmtId="0" fontId="11" fillId="15" borderId="7" xfId="0" applyFont="1" applyFill="1" applyBorder="1" applyAlignment="1">
      <alignment horizontal="center" vertical="center"/>
    </xf>
    <xf numFmtId="1" fontId="8" fillId="15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90" zoomScaleNormal="90" workbookViewId="0">
      <pane ySplit="9" topLeftCell="A108" activePane="bottomLeft" state="frozen"/>
      <selection pane="bottomLeft" activeCell="J189" sqref="J189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130439107</v>
      </c>
      <c r="E1" s="191" t="s">
        <v>202</v>
      </c>
      <c r="F1" s="192"/>
      <c r="G1" s="192"/>
      <c r="H1" s="192"/>
      <c r="I1" s="192"/>
      <c r="J1" s="193"/>
      <c r="K1" s="116"/>
    </row>
    <row r="2" spans="1:67" ht="16.5" customHeight="1" thickTop="1" thickBot="1" x14ac:dyDescent="0.3">
      <c r="K2" s="116"/>
    </row>
    <row r="3" spans="1:67" ht="19.5" customHeight="1" thickTop="1" thickBot="1" x14ac:dyDescent="0.3">
      <c r="B3" s="32"/>
      <c r="C3" s="7" t="s">
        <v>1</v>
      </c>
      <c r="D3" s="54">
        <v>46314</v>
      </c>
      <c r="E3" s="7" t="s">
        <v>2</v>
      </c>
      <c r="F3" s="54">
        <f>D3+3</f>
        <v>46317</v>
      </c>
      <c r="G3" s="194" t="s">
        <v>238</v>
      </c>
      <c r="H3" s="192"/>
      <c r="I3" s="192"/>
      <c r="J3" s="193"/>
      <c r="K3" s="116"/>
    </row>
    <row r="4" spans="1:67" ht="15.75" customHeight="1" thickTop="1" x14ac:dyDescent="0.25">
      <c r="K4" s="137"/>
    </row>
    <row r="5" spans="1:67" x14ac:dyDescent="0.25">
      <c r="C5" s="7" t="s">
        <v>3</v>
      </c>
      <c r="D5" s="38"/>
      <c r="E5" s="8"/>
      <c r="F5" s="8"/>
      <c r="G5" s="8"/>
      <c r="H5" s="22"/>
      <c r="I5" s="22"/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ref="K7" si="0">LEFT(L7,9)</f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customHeight="1" thickTop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>
        <v>55</v>
      </c>
      <c r="F12" s="23">
        <v>1.35</v>
      </c>
      <c r="G12" s="23">
        <f>E12</f>
        <v>55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customHeight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>
        <v>230</v>
      </c>
      <c r="F13" s="23">
        <v>1.35</v>
      </c>
      <c r="G13" s="23">
        <f t="shared" ref="G13:G20" si="1">E13</f>
        <v>230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230</v>
      </c>
      <c r="F14" s="23">
        <v>1.35</v>
      </c>
      <c r="G14" s="23">
        <f t="shared" si="1"/>
        <v>230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hidden="1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230</v>
      </c>
      <c r="F16" s="23">
        <v>1.35</v>
      </c>
      <c r="G16" s="23">
        <f t="shared" si="1"/>
        <v>230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hidden="1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140</v>
      </c>
      <c r="F18" s="23">
        <v>1</v>
      </c>
      <c r="G18" s="23">
        <f t="shared" si="1"/>
        <v>140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hidden="1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15"/>
    </row>
    <row r="23" spans="1:67" ht="16.5" hidden="1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customHeight="1" x14ac:dyDescent="0.25">
      <c r="A25" s="146">
        <v>7632</v>
      </c>
      <c r="B25" s="55" t="s">
        <v>184</v>
      </c>
      <c r="C25" s="56" t="s">
        <v>20</v>
      </c>
      <c r="D25" s="58">
        <v>1001012507632</v>
      </c>
      <c r="E25" s="24">
        <v>160</v>
      </c>
      <c r="F25" s="59">
        <v>0.4</v>
      </c>
      <c r="G25" s="23">
        <f t="shared" ref="G25:G35" si="4">E25*F25</f>
        <v>64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4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196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196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140</v>
      </c>
      <c r="F29" s="23">
        <v>0.4</v>
      </c>
      <c r="G29" s="23">
        <f t="shared" si="4"/>
        <v>56</v>
      </c>
      <c r="H29" s="14">
        <v>3.2</v>
      </c>
      <c r="I29" s="14">
        <v>60</v>
      </c>
      <c r="J29" s="60"/>
      <c r="L29" s="115"/>
    </row>
    <row r="30" spans="1:67" ht="16.5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>
        <v>160</v>
      </c>
      <c r="F30" s="23">
        <v>0.4</v>
      </c>
      <c r="G30" s="23">
        <f t="shared" si="4"/>
        <v>64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hidden="1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/>
      <c r="F32" s="59">
        <v>0.4</v>
      </c>
      <c r="G32" s="23">
        <f t="shared" si="4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hidden="1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4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9">
        <v>7514</v>
      </c>
      <c r="B34" s="150" t="s">
        <v>204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186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25">
      <c r="A35" s="149">
        <v>7518</v>
      </c>
      <c r="B35" s="150" t="s">
        <v>205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186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customHeight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>
        <v>80</v>
      </c>
      <c r="F37" s="59">
        <v>1.04</v>
      </c>
      <c r="G37" s="23">
        <f t="shared" ref="G37:G48" si="5">E37</f>
        <v>80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5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>
        <v>50</v>
      </c>
      <c r="F40" s="59">
        <v>1.5</v>
      </c>
      <c r="G40" s="23">
        <f t="shared" si="5"/>
        <v>50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>
        <v>1100</v>
      </c>
      <c r="F43" s="59">
        <v>2.1</v>
      </c>
      <c r="G43" s="23">
        <f t="shared" si="5"/>
        <v>1100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350</v>
      </c>
      <c r="F44" s="59">
        <v>1.5</v>
      </c>
      <c r="G44" s="23">
        <f t="shared" si="5"/>
        <v>350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178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>
        <v>160</v>
      </c>
      <c r="F46" s="59">
        <v>1.5</v>
      </c>
      <c r="G46" s="23">
        <f t="shared" si="5"/>
        <v>160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550</v>
      </c>
      <c r="F47" s="59">
        <v>1.5</v>
      </c>
      <c r="G47" s="23">
        <f t="shared" si="5"/>
        <v>550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6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179</v>
      </c>
      <c r="C53" s="56" t="s">
        <v>20</v>
      </c>
      <c r="D53" s="70">
        <v>1001020867123</v>
      </c>
      <c r="E53" s="24"/>
      <c r="F53" s="59">
        <v>0.3</v>
      </c>
      <c r="G53" s="23">
        <f t="shared" si="6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6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180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196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6">
        <v>7461</v>
      </c>
      <c r="B57" s="55" t="s">
        <v>182</v>
      </c>
      <c r="C57" s="56" t="s">
        <v>20</v>
      </c>
      <c r="D57" s="70">
        <v>1001025767461</v>
      </c>
      <c r="E57" s="24">
        <v>100</v>
      </c>
      <c r="F57" s="59">
        <v>0.33</v>
      </c>
      <c r="G57" s="23">
        <f>E57*F57</f>
        <v>33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181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183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196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>
        <v>150</v>
      </c>
      <c r="F60" s="59">
        <v>0.4</v>
      </c>
      <c r="G60" s="23">
        <f t="shared" si="6"/>
        <v>60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>
        <v>200</v>
      </c>
      <c r="F61" s="23">
        <v>0.41</v>
      </c>
      <c r="G61" s="23">
        <f t="shared" si="6"/>
        <v>82</v>
      </c>
      <c r="H61" s="14">
        <v>4.0999999999999996</v>
      </c>
      <c r="I61" s="14">
        <v>50</v>
      </c>
      <c r="J61" s="29"/>
      <c r="L61" s="115"/>
    </row>
    <row r="62" spans="1:67" ht="16.5" customHeight="1" x14ac:dyDescent="0.25">
      <c r="A62" s="187">
        <v>6724</v>
      </c>
      <c r="B62" s="188" t="s">
        <v>51</v>
      </c>
      <c r="C62" s="189" t="s">
        <v>20</v>
      </c>
      <c r="D62" s="190">
        <v>1001020836724</v>
      </c>
      <c r="E62" s="24">
        <v>250</v>
      </c>
      <c r="F62" s="23">
        <v>0.41</v>
      </c>
      <c r="G62" s="23">
        <f t="shared" si="6"/>
        <v>102.5</v>
      </c>
      <c r="H62" s="14">
        <v>4.0999999999999996</v>
      </c>
      <c r="I62" s="14">
        <v>45</v>
      </c>
      <c r="J62" s="29"/>
      <c r="L62" s="115"/>
    </row>
    <row r="63" spans="1:67" ht="16.5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>
        <v>200</v>
      </c>
      <c r="F63" s="23">
        <v>0.41</v>
      </c>
      <c r="G63" s="23">
        <f t="shared" si="6"/>
        <v>82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206</v>
      </c>
      <c r="L64" s="115"/>
    </row>
    <row r="65" spans="1:12" ht="16.5" hidden="1" customHeight="1" x14ac:dyDescent="0.25">
      <c r="A65" s="57">
        <v>7490</v>
      </c>
      <c r="B65" s="161" t="s">
        <v>207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208</v>
      </c>
      <c r="L65" s="115"/>
    </row>
    <row r="66" spans="1:12" ht="16.5" hidden="1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/>
      <c r="F66" s="23">
        <v>0.4</v>
      </c>
      <c r="G66" s="23">
        <f t="shared" si="6"/>
        <v>0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6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200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201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203</v>
      </c>
      <c r="L69" s="115"/>
    </row>
    <row r="70" spans="1:12" ht="16.5" customHeight="1" thickBot="1" x14ac:dyDescent="0.3">
      <c r="A70" s="57">
        <v>7073</v>
      </c>
      <c r="B70" s="55" t="s">
        <v>50</v>
      </c>
      <c r="C70" s="56" t="s">
        <v>20</v>
      </c>
      <c r="D70" s="70">
        <v>1001022657073</v>
      </c>
      <c r="E70" s="24">
        <v>130</v>
      </c>
      <c r="F70" s="23">
        <v>0.35</v>
      </c>
      <c r="G70" s="23">
        <f t="shared" si="6"/>
        <v>45.5</v>
      </c>
      <c r="H70" s="14">
        <v>2.8</v>
      </c>
      <c r="I70" s="14">
        <v>50</v>
      </c>
      <c r="J70" s="29"/>
      <c r="L70" s="115"/>
    </row>
    <row r="71" spans="1:12" ht="16.5" hidden="1" customHeight="1" x14ac:dyDescent="0.3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hidden="1" customHeight="1" x14ac:dyDescent="0.3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3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3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196</v>
      </c>
      <c r="L74" s="115"/>
    </row>
    <row r="75" spans="1:12" ht="16.5" hidden="1" customHeight="1" thickBot="1" x14ac:dyDescent="0.3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196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>
        <v>50</v>
      </c>
      <c r="F77" s="59">
        <v>1</v>
      </c>
      <c r="G77" s="23">
        <f t="shared" ref="G77:G81" si="7">E77</f>
        <v>50</v>
      </c>
      <c r="H77" s="60">
        <v>3</v>
      </c>
      <c r="I77" s="60">
        <v>45</v>
      </c>
      <c r="J77" s="60"/>
      <c r="L77" s="115"/>
    </row>
    <row r="78" spans="1:12" ht="16.5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>
        <v>250</v>
      </c>
      <c r="F78" s="23">
        <v>1</v>
      </c>
      <c r="G78" s="23">
        <f t="shared" si="7"/>
        <v>250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176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>
        <v>130</v>
      </c>
      <c r="F81" s="23">
        <v>1</v>
      </c>
      <c r="G81" s="23">
        <f t="shared" si="7"/>
        <v>130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25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8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171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172</v>
      </c>
      <c r="C88" s="56" t="s">
        <v>22</v>
      </c>
      <c r="D88" s="58">
        <v>1001300517132</v>
      </c>
      <c r="E88" s="24"/>
      <c r="F88" s="59">
        <v>0.84</v>
      </c>
      <c r="G88" s="23">
        <f t="shared" si="9"/>
        <v>0</v>
      </c>
      <c r="H88" s="60">
        <v>5.04</v>
      </c>
      <c r="I88" s="60">
        <v>45</v>
      </c>
      <c r="J88" s="60"/>
      <c r="L88" s="115"/>
    </row>
    <row r="89" spans="1:12" ht="16.5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>
        <v>450</v>
      </c>
      <c r="F89" s="59">
        <v>0.81</v>
      </c>
      <c r="G89" s="23">
        <f t="shared" si="9"/>
        <v>450</v>
      </c>
      <c r="H89" s="60">
        <v>4.8600000000000003</v>
      </c>
      <c r="I89" s="60">
        <v>45</v>
      </c>
      <c r="J89" s="60"/>
      <c r="L89" s="115"/>
    </row>
    <row r="90" spans="1:12" ht="16.5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>
        <v>40</v>
      </c>
      <c r="F90" s="59">
        <v>0.84</v>
      </c>
      <c r="G90" s="23">
        <f>E90*F90</f>
        <v>33.6</v>
      </c>
      <c r="H90" s="60">
        <v>5.04</v>
      </c>
      <c r="I90" s="60">
        <v>50</v>
      </c>
      <c r="J90" s="60"/>
      <c r="L90" s="115"/>
    </row>
    <row r="91" spans="1:12" ht="16.5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>
        <v>400</v>
      </c>
      <c r="F91" s="59">
        <v>0.63</v>
      </c>
      <c r="G91" s="23">
        <f t="shared" ref="G91:G92" si="10">E91</f>
        <v>400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450</v>
      </c>
      <c r="F92" s="59">
        <v>0.7</v>
      </c>
      <c r="G92" s="23">
        <f t="shared" si="10"/>
        <v>450</v>
      </c>
      <c r="H92" s="60">
        <v>5.6</v>
      </c>
      <c r="I92" s="60">
        <v>50</v>
      </c>
      <c r="J92" s="60"/>
      <c r="L92" s="115"/>
    </row>
    <row r="93" spans="1:12" ht="16.5" hidden="1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15" si="11">E93*F93</f>
        <v>0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199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203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hidden="1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/>
      <c r="F97" s="23">
        <v>0.35</v>
      </c>
      <c r="G97" s="23">
        <f t="shared" si="11"/>
        <v>0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500</v>
      </c>
      <c r="F98" s="23">
        <v>0.35</v>
      </c>
      <c r="G98" s="23">
        <f t="shared" si="11"/>
        <v>175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173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>
        <v>510</v>
      </c>
      <c r="F100" s="23">
        <v>0.28000000000000003</v>
      </c>
      <c r="G100" s="23">
        <f t="shared" si="11"/>
        <v>142.80000000000001</v>
      </c>
      <c r="H100" s="14">
        <v>2.2400000000000002</v>
      </c>
      <c r="I100" s="14">
        <v>45</v>
      </c>
      <c r="J100" s="50"/>
      <c r="L100" s="115"/>
    </row>
    <row r="101" spans="1:12" ht="15.75" hidden="1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1"/>
        <v>0</v>
      </c>
      <c r="H101" s="14">
        <v>2.8</v>
      </c>
      <c r="I101" s="14">
        <v>50</v>
      </c>
      <c r="J101" s="50"/>
      <c r="L101" s="115"/>
    </row>
    <row r="102" spans="1:12" ht="15.75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>
        <v>510</v>
      </c>
      <c r="F102" s="23">
        <v>0.28000000000000003</v>
      </c>
      <c r="G102" s="23">
        <f t="shared" si="11"/>
        <v>142.80000000000001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233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186</v>
      </c>
      <c r="L103" s="115"/>
    </row>
    <row r="104" spans="1:12" ht="15.75" hidden="1" customHeight="1" x14ac:dyDescent="0.25">
      <c r="A104" s="149">
        <v>7710</v>
      </c>
      <c r="B104" s="186" t="s">
        <v>234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186</v>
      </c>
      <c r="L104" s="115"/>
    </row>
    <row r="105" spans="1:12" ht="15.75" hidden="1" customHeight="1" x14ac:dyDescent="0.25">
      <c r="A105" s="149">
        <v>7562</v>
      </c>
      <c r="B105" s="186" t="s">
        <v>235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186</v>
      </c>
      <c r="L105" s="115"/>
    </row>
    <row r="106" spans="1:12" ht="15.75" hidden="1" customHeight="1" x14ac:dyDescent="0.25">
      <c r="A106" s="149">
        <v>7516</v>
      </c>
      <c r="B106" s="186" t="s">
        <v>236</v>
      </c>
      <c r="C106" s="56" t="s">
        <v>20</v>
      </c>
      <c r="D106" s="58">
        <v>1001307107516</v>
      </c>
      <c r="E106" s="24"/>
      <c r="F106" s="170">
        <v>0.31</v>
      </c>
      <c r="G106" s="23">
        <f t="shared" ref="G106:G107" si="12">E106*F106</f>
        <v>0</v>
      </c>
      <c r="H106" s="14">
        <v>2.48</v>
      </c>
      <c r="I106" s="14">
        <v>45</v>
      </c>
      <c r="J106" s="152" t="s">
        <v>186</v>
      </c>
      <c r="L106" s="115"/>
    </row>
    <row r="107" spans="1:12" ht="15.75" hidden="1" customHeight="1" x14ac:dyDescent="0.25">
      <c r="A107" s="149">
        <v>7513</v>
      </c>
      <c r="B107" s="186" t="s">
        <v>237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186</v>
      </c>
      <c r="L107" s="115"/>
    </row>
    <row r="108" spans="1:12" ht="15.75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>
        <v>500</v>
      </c>
      <c r="F108" s="23">
        <v>0.35</v>
      </c>
      <c r="G108" s="23">
        <f t="shared" si="11"/>
        <v>175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196</v>
      </c>
      <c r="L110" s="115"/>
    </row>
    <row r="111" spans="1:12" ht="15.75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>
        <v>480</v>
      </c>
      <c r="F111" s="23">
        <v>0.28000000000000003</v>
      </c>
      <c r="G111" s="23">
        <f t="shared" si="11"/>
        <v>134.4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212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212</v>
      </c>
      <c r="L113" s="115"/>
    </row>
    <row r="114" spans="1:67" ht="15.75" hidden="1" customHeight="1" x14ac:dyDescent="0.25">
      <c r="A114" s="146">
        <v>7608</v>
      </c>
      <c r="B114" s="55" t="s">
        <v>194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25">
      <c r="A115" s="138">
        <v>7610</v>
      </c>
      <c r="B115" s="139" t="s">
        <v>195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216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>
        <v>10</v>
      </c>
      <c r="F118" s="59">
        <v>0.48799999999999999</v>
      </c>
      <c r="G118" s="23">
        <f t="shared" si="13"/>
        <v>10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213</v>
      </c>
      <c r="L119" s="115"/>
    </row>
    <row r="120" spans="1:67" ht="16.5" hidden="1" customHeight="1" x14ac:dyDescent="0.25">
      <c r="A120" s="174">
        <v>7700</v>
      </c>
      <c r="B120" s="161" t="s">
        <v>214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215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212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>
        <v>120</v>
      </c>
      <c r="F128" s="23">
        <v>0.25</v>
      </c>
      <c r="G128" s="23">
        <f t="shared" si="14"/>
        <v>30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>
        <v>120</v>
      </c>
      <c r="F131" s="23">
        <v>0.25</v>
      </c>
      <c r="G131" s="23">
        <f t="shared" si="14"/>
        <v>30</v>
      </c>
      <c r="H131" s="14">
        <v>2</v>
      </c>
      <c r="I131" s="14">
        <v>120</v>
      </c>
      <c r="J131" s="29"/>
      <c r="L131" s="115"/>
    </row>
    <row r="132" spans="1:12" ht="16.5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>
        <v>230</v>
      </c>
      <c r="F132" s="23">
        <v>0.25</v>
      </c>
      <c r="G132" s="23">
        <f t="shared" si="14"/>
        <v>57.5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>
        <v>150</v>
      </c>
      <c r="F134" s="23">
        <v>0.25</v>
      </c>
      <c r="G134" s="23">
        <f t="shared" si="14"/>
        <v>37.5</v>
      </c>
      <c r="H134" s="14">
        <v>2</v>
      </c>
      <c r="I134" s="14">
        <v>120</v>
      </c>
      <c r="J134" s="29"/>
      <c r="L134" s="115"/>
    </row>
    <row r="135" spans="1:12" ht="16.5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>
        <v>200</v>
      </c>
      <c r="F135" s="23">
        <v>0.22</v>
      </c>
      <c r="G135" s="23">
        <f t="shared" si="14"/>
        <v>44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>
        <v>60</v>
      </c>
      <c r="F138" s="23">
        <v>0.15</v>
      </c>
      <c r="G138" s="23">
        <f t="shared" ref="G138:G148" si="16">E138*F138</f>
        <v>9</v>
      </c>
      <c r="H138" s="14">
        <v>1.35</v>
      </c>
      <c r="I138" s="14">
        <v>90</v>
      </c>
      <c r="J138" s="29"/>
      <c r="L138" s="115"/>
    </row>
    <row r="139" spans="1:12" ht="16.5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>
        <v>110</v>
      </c>
      <c r="F139" s="23">
        <v>0.15</v>
      </c>
      <c r="G139" s="23">
        <f t="shared" si="16"/>
        <v>16.5</v>
      </c>
      <c r="H139" s="14">
        <v>1.2</v>
      </c>
      <c r="I139" s="14">
        <v>60</v>
      </c>
      <c r="J139" s="29"/>
      <c r="L139" s="115"/>
    </row>
    <row r="140" spans="1:12" ht="16.5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>
        <v>50</v>
      </c>
      <c r="F140" s="23">
        <v>0.12</v>
      </c>
      <c r="G140" s="23">
        <f t="shared" si="16"/>
        <v>6</v>
      </c>
      <c r="H140" s="14">
        <v>0.96</v>
      </c>
      <c r="I140" s="14">
        <v>60</v>
      </c>
      <c r="J140" s="29"/>
      <c r="L140" s="115"/>
    </row>
    <row r="141" spans="1:12" ht="16.5" customHeight="1" x14ac:dyDescent="0.25">
      <c r="A141" s="146">
        <v>7613</v>
      </c>
      <c r="B141" s="55" t="s">
        <v>192</v>
      </c>
      <c r="C141" s="51" t="s">
        <v>20</v>
      </c>
      <c r="D141" s="52">
        <v>1001061977613</v>
      </c>
      <c r="E141" s="24">
        <v>160</v>
      </c>
      <c r="F141" s="23">
        <v>0.1</v>
      </c>
      <c r="G141" s="23">
        <f t="shared" si="16"/>
        <v>16</v>
      </c>
      <c r="H141" s="14">
        <v>1</v>
      </c>
      <c r="I141" s="14">
        <v>60</v>
      </c>
      <c r="J141" s="60"/>
      <c r="L141" s="115"/>
    </row>
    <row r="142" spans="1:12" ht="16.5" customHeight="1" x14ac:dyDescent="0.25">
      <c r="A142" s="146">
        <v>7616</v>
      </c>
      <c r="B142" s="55" t="s">
        <v>193</v>
      </c>
      <c r="C142" s="51" t="s">
        <v>20</v>
      </c>
      <c r="D142" s="52">
        <v>1001062507616</v>
      </c>
      <c r="E142" s="24">
        <v>160</v>
      </c>
      <c r="F142" s="23">
        <v>0.1</v>
      </c>
      <c r="G142" s="23">
        <f t="shared" si="16"/>
        <v>16</v>
      </c>
      <c r="H142" s="14">
        <v>1.4</v>
      </c>
      <c r="I142" s="14">
        <v>60</v>
      </c>
      <c r="J142" s="60"/>
      <c r="L142" s="115"/>
    </row>
    <row r="143" spans="1:12" ht="16.5" hidden="1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/>
      <c r="F143" s="23">
        <v>0.09</v>
      </c>
      <c r="G143" s="23">
        <f t="shared" si="16"/>
        <v>0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191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191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191</v>
      </c>
      <c r="L147" s="115"/>
    </row>
    <row r="148" spans="1:67" ht="16.5" hidden="1" customHeight="1" thickBot="1" x14ac:dyDescent="0.25">
      <c r="A148" s="146">
        <v>7626</v>
      </c>
      <c r="B148" s="55" t="s">
        <v>190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220</v>
      </c>
      <c r="L150" s="115"/>
    </row>
    <row r="151" spans="1:67" ht="16.149999999999999" hidden="1" customHeight="1" x14ac:dyDescent="0.25">
      <c r="A151" s="174">
        <v>7726</v>
      </c>
      <c r="B151" s="161" t="s">
        <v>221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222</v>
      </c>
      <c r="L151" s="115"/>
    </row>
    <row r="152" spans="1:67" s="61" customFormat="1" ht="16.149999999999999" hidden="1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217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4">
        <v>7725</v>
      </c>
      <c r="B153" s="161" t="s">
        <v>218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219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>
        <v>30</v>
      </c>
      <c r="F154" s="59">
        <v>1.35</v>
      </c>
      <c r="G154" s="23">
        <f t="shared" ref="G154:G157" si="17">E154</f>
        <v>30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>
        <v>40</v>
      </c>
      <c r="F155" s="59">
        <v>1.5</v>
      </c>
      <c r="G155" s="23">
        <f t="shared" si="17"/>
        <v>40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167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customHeight="1" thickBot="1" x14ac:dyDescent="0.3">
      <c r="A158" s="57">
        <v>3215</v>
      </c>
      <c r="B158" s="55" t="s">
        <v>168</v>
      </c>
      <c r="C158" s="56" t="s">
        <v>20</v>
      </c>
      <c r="D158" s="108">
        <v>1001094053215</v>
      </c>
      <c r="E158" s="24">
        <v>30</v>
      </c>
      <c r="F158" s="59">
        <v>0.4</v>
      </c>
      <c r="G158" s="23">
        <f t="shared" ref="G158:G166" si="18">E158*F158</f>
        <v>12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hidden="1" customHeight="1" x14ac:dyDescent="0.3">
      <c r="A159" s="57">
        <v>5495</v>
      </c>
      <c r="B159" s="55" t="s">
        <v>94</v>
      </c>
      <c r="C159" s="56" t="s">
        <v>20</v>
      </c>
      <c r="D159" s="108">
        <v>1001093345495</v>
      </c>
      <c r="E159" s="24"/>
      <c r="F159" s="59">
        <v>0.4</v>
      </c>
      <c r="G159" s="23">
        <f t="shared" si="18"/>
        <v>0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3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3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223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3">
      <c r="A162" s="183">
        <v>7723</v>
      </c>
      <c r="B162" s="150" t="s">
        <v>224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225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3">
      <c r="A163" s="171">
        <v>7647</v>
      </c>
      <c r="B163" s="153" t="s">
        <v>185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226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3">
      <c r="A164" s="174">
        <v>7730</v>
      </c>
      <c r="B164" s="161" t="s">
        <v>227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228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3">
      <c r="A165" s="171">
        <v>7651</v>
      </c>
      <c r="B165" s="153" t="s">
        <v>187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229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3">
      <c r="A166" s="174">
        <v>7731</v>
      </c>
      <c r="B166" s="161" t="s">
        <v>230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231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197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3">
      <c r="A168" s="146">
        <v>7485</v>
      </c>
      <c r="B168" s="35" t="s">
        <v>198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3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3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3">
      <c r="A172" s="146">
        <v>6008</v>
      </c>
      <c r="B172" s="35" t="s">
        <v>188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hidden="1" customHeight="1" x14ac:dyDescent="0.3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9"/>
        <v>0</v>
      </c>
      <c r="H173" s="14">
        <v>1.8</v>
      </c>
      <c r="I173" s="14">
        <v>50</v>
      </c>
      <c r="J173" s="29"/>
      <c r="L173" s="115"/>
    </row>
    <row r="174" spans="1:67" ht="16.5" hidden="1" customHeight="1" x14ac:dyDescent="0.3">
      <c r="A174" s="57">
        <v>7103</v>
      </c>
      <c r="B174" s="35" t="s">
        <v>169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9"/>
        <v>0</v>
      </c>
      <c r="H174" s="14">
        <v>1.8</v>
      </c>
      <c r="I174" s="14">
        <v>50</v>
      </c>
      <c r="J174" s="29"/>
      <c r="L174" s="115"/>
    </row>
    <row r="175" spans="1:67" ht="16.5" hidden="1" customHeight="1" x14ac:dyDescent="0.3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9"/>
        <v>0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3">
      <c r="A176" s="149">
        <v>6929</v>
      </c>
      <c r="B176" s="169" t="s">
        <v>232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186</v>
      </c>
      <c r="L176" s="115"/>
    </row>
    <row r="177" spans="1:12" ht="16.5" hidden="1" customHeight="1" x14ac:dyDescent="0.3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3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212</v>
      </c>
      <c r="L178" s="115"/>
    </row>
    <row r="179" spans="1:12" ht="16.5" hidden="1" customHeight="1" x14ac:dyDescent="0.3">
      <c r="A179" s="57">
        <v>6754</v>
      </c>
      <c r="B179" s="35" t="s">
        <v>170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9"/>
        <v>0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3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9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3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9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6">
        <v>7612</v>
      </c>
      <c r="B182" s="147" t="s">
        <v>189</v>
      </c>
      <c r="C182" s="51" t="s">
        <v>20</v>
      </c>
      <c r="D182" s="52">
        <v>1001453907612</v>
      </c>
      <c r="E182" s="24"/>
      <c r="F182" s="23">
        <v>0.1</v>
      </c>
      <c r="G182" s="23">
        <f t="shared" si="19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209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3">
      <c r="A184" s="149">
        <v>7344</v>
      </c>
      <c r="B184" s="169" t="s">
        <v>210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186</v>
      </c>
      <c r="L184" s="115"/>
    </row>
    <row r="185" spans="1:12" ht="16.5" hidden="1" customHeight="1" thickBot="1" x14ac:dyDescent="0.3">
      <c r="A185" s="149">
        <v>7345</v>
      </c>
      <c r="B185" s="169" t="s">
        <v>211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186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10405</v>
      </c>
      <c r="F186" s="17"/>
      <c r="G186" s="17">
        <f>SUM(G11:G185)</f>
        <v>6652.1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166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167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168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169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170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171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172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173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174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175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176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177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178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179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180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181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182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183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2026-10-14T11:36:40Z</dcterms:modified>
</cp:coreProperties>
</file>