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2446A34-68DD-45EF-88C6-22E1CE2F96C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3" i="1" l="1"/>
  <c r="R7" i="1"/>
  <c r="R8" i="1"/>
  <c r="R9" i="1"/>
  <c r="R11" i="1"/>
  <c r="AG11" i="1" s="1"/>
  <c r="R12" i="1"/>
  <c r="R13" i="1"/>
  <c r="R14" i="1"/>
  <c r="R15" i="1"/>
  <c r="AG15" i="1" s="1"/>
  <c r="R17" i="1"/>
  <c r="R18" i="1"/>
  <c r="R23" i="1"/>
  <c r="R24" i="1"/>
  <c r="R26" i="1"/>
  <c r="R27" i="1"/>
  <c r="R28" i="1"/>
  <c r="R29" i="1"/>
  <c r="AG29" i="1" s="1"/>
  <c r="R31" i="1"/>
  <c r="R33" i="1"/>
  <c r="AG33" i="1" s="1"/>
  <c r="R34" i="1"/>
  <c r="R35" i="1"/>
  <c r="R36" i="1"/>
  <c r="R37" i="1"/>
  <c r="AG37" i="1" s="1"/>
  <c r="R40" i="1"/>
  <c r="R41" i="1"/>
  <c r="R43" i="1"/>
  <c r="R45" i="1"/>
  <c r="R46" i="1"/>
  <c r="R51" i="1"/>
  <c r="AG51" i="1" s="1"/>
  <c r="R52" i="1"/>
  <c r="R53" i="1"/>
  <c r="R55" i="1"/>
  <c r="R56" i="1"/>
  <c r="R60" i="1"/>
  <c r="R65" i="1"/>
  <c r="R66" i="1"/>
  <c r="R67" i="1"/>
  <c r="AG67" i="1" s="1"/>
  <c r="R69" i="1"/>
  <c r="R74" i="1"/>
  <c r="AG74" i="1" s="1"/>
  <c r="R75" i="1"/>
  <c r="R76" i="1"/>
  <c r="AG76" i="1" s="1"/>
  <c r="R78" i="1"/>
  <c r="AG78" i="1" s="1"/>
  <c r="R79" i="1"/>
  <c r="R80" i="1"/>
  <c r="AG80" i="1" s="1"/>
  <c r="R81" i="1"/>
  <c r="AG81" i="1" s="1"/>
  <c r="R82" i="1"/>
  <c r="AG82" i="1" s="1"/>
  <c r="R86" i="1"/>
  <c r="AG86" i="1" s="1"/>
  <c r="R87" i="1"/>
  <c r="R93" i="1"/>
  <c r="R95" i="1"/>
  <c r="R100" i="1"/>
  <c r="AG100" i="1" s="1"/>
  <c r="R101" i="1"/>
  <c r="R102" i="1"/>
  <c r="AG102" i="1" s="1"/>
  <c r="R104" i="1"/>
  <c r="AG104" i="1" s="1"/>
  <c r="R105" i="1"/>
  <c r="AG105" i="1" s="1"/>
  <c r="R106" i="1"/>
  <c r="AG106" i="1" s="1"/>
  <c r="R107" i="1"/>
  <c r="R108" i="1"/>
  <c r="AG108" i="1" s="1"/>
  <c r="R109" i="1"/>
  <c r="AG109" i="1" s="1"/>
  <c r="R110" i="1"/>
  <c r="AG110" i="1" s="1"/>
  <c r="R6" i="1"/>
  <c r="AG7" i="1"/>
  <c r="AG9" i="1"/>
  <c r="AG13" i="1"/>
  <c r="AG17" i="1"/>
  <c r="AG23" i="1"/>
  <c r="AG27" i="1"/>
  <c r="AG31" i="1"/>
  <c r="AG35" i="1"/>
  <c r="AG41" i="1"/>
  <c r="AG43" i="1"/>
  <c r="AG45" i="1"/>
  <c r="AG53" i="1"/>
  <c r="AG55" i="1"/>
  <c r="AG65" i="1"/>
  <c r="AG69" i="1"/>
  <c r="AG75" i="1"/>
  <c r="AG79" i="1"/>
  <c r="AG83" i="1"/>
  <c r="AG87" i="1"/>
  <c r="AG93" i="1"/>
  <c r="AG95" i="1"/>
  <c r="AG101" i="1"/>
  <c r="AG107" i="1"/>
  <c r="S9" i="1"/>
  <c r="S13" i="1"/>
  <c r="S14" i="1"/>
  <c r="S16" i="1"/>
  <c r="S18" i="1"/>
  <c r="S20" i="1"/>
  <c r="S22" i="1"/>
  <c r="S25" i="1"/>
  <c r="S30" i="1"/>
  <c r="S32" i="1"/>
  <c r="S36" i="1"/>
  <c r="S42" i="1"/>
  <c r="S47" i="1"/>
  <c r="S48" i="1"/>
  <c r="S49" i="1"/>
  <c r="S54" i="1"/>
  <c r="S62" i="1"/>
  <c r="S63" i="1"/>
  <c r="S68" i="1"/>
  <c r="S70" i="1"/>
  <c r="S71" i="1"/>
  <c r="S72" i="1"/>
  <c r="S77" i="1"/>
  <c r="S83" i="1"/>
  <c r="S84" i="1"/>
  <c r="S87" i="1"/>
  <c r="S88" i="1"/>
  <c r="S89" i="1"/>
  <c r="S94" i="1"/>
  <c r="S96" i="1"/>
  <c r="S98" i="1"/>
  <c r="S99" i="1"/>
  <c r="S103" i="1"/>
  <c r="S108" i="1"/>
  <c r="S109" i="1"/>
  <c r="S110" i="1"/>
  <c r="AG66" i="1" l="1"/>
  <c r="AG60" i="1"/>
  <c r="AG56" i="1"/>
  <c r="AG52" i="1"/>
  <c r="AG46" i="1"/>
  <c r="AG40" i="1"/>
  <c r="AG36" i="1"/>
  <c r="AG34" i="1"/>
  <c r="AG28" i="1"/>
  <c r="AG26" i="1"/>
  <c r="AG24" i="1"/>
  <c r="AG22" i="1"/>
  <c r="AG18" i="1"/>
  <c r="AG16" i="1"/>
  <c r="AG14" i="1"/>
  <c r="AG12" i="1"/>
  <c r="AG8" i="1"/>
  <c r="AG6" i="1"/>
  <c r="S5" i="1"/>
  <c r="P110" i="1" l="1"/>
  <c r="P109" i="1"/>
  <c r="T109" i="1" s="1"/>
  <c r="P108" i="1"/>
  <c r="U108" i="1" l="1"/>
  <c r="T108" i="1"/>
  <c r="U110" i="1"/>
  <c r="T110" i="1"/>
  <c r="U109" i="1"/>
  <c r="T83" i="1"/>
  <c r="P51" i="1" l="1"/>
  <c r="T51" i="1" s="1"/>
  <c r="P107" i="1" l="1"/>
  <c r="L107" i="1"/>
  <c r="P106" i="1"/>
  <c r="L106" i="1"/>
  <c r="E105" i="1"/>
  <c r="L105" i="1" s="1"/>
  <c r="E104" i="1"/>
  <c r="L104" i="1" s="1"/>
  <c r="E103" i="1"/>
  <c r="L103" i="1" s="1"/>
  <c r="P102" i="1"/>
  <c r="T102" i="1" s="1"/>
  <c r="L102" i="1"/>
  <c r="P101" i="1"/>
  <c r="T101" i="1" s="1"/>
  <c r="L101" i="1"/>
  <c r="P100" i="1"/>
  <c r="T100" i="1" s="1"/>
  <c r="L100" i="1"/>
  <c r="P99" i="1"/>
  <c r="L99" i="1"/>
  <c r="P98" i="1"/>
  <c r="L98" i="1"/>
  <c r="P97" i="1"/>
  <c r="L97" i="1"/>
  <c r="P96" i="1"/>
  <c r="L96" i="1"/>
  <c r="P95" i="1"/>
  <c r="T95" i="1" s="1"/>
  <c r="L95" i="1"/>
  <c r="P94" i="1"/>
  <c r="L94" i="1"/>
  <c r="P93" i="1"/>
  <c r="T93" i="1" s="1"/>
  <c r="L93" i="1"/>
  <c r="P92" i="1"/>
  <c r="L92" i="1"/>
  <c r="P91" i="1"/>
  <c r="L91" i="1"/>
  <c r="P90" i="1"/>
  <c r="L90" i="1"/>
  <c r="P89" i="1"/>
  <c r="L89" i="1"/>
  <c r="P88" i="1"/>
  <c r="Q88" i="1" s="1"/>
  <c r="L88" i="1"/>
  <c r="E87" i="1"/>
  <c r="P87" i="1" s="1"/>
  <c r="T87" i="1" s="1"/>
  <c r="P86" i="1"/>
  <c r="T86" i="1" s="1"/>
  <c r="L86" i="1"/>
  <c r="P85" i="1"/>
  <c r="L85" i="1"/>
  <c r="P84" i="1"/>
  <c r="L84" i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T75" i="1" s="1"/>
  <c r="L75" i="1"/>
  <c r="P74" i="1"/>
  <c r="T74" i="1" s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F68" i="1"/>
  <c r="P67" i="1"/>
  <c r="L67" i="1"/>
  <c r="P66" i="1"/>
  <c r="T66" i="1" s="1"/>
  <c r="L66" i="1"/>
  <c r="P65" i="1"/>
  <c r="T65" i="1" s="1"/>
  <c r="L65" i="1"/>
  <c r="P64" i="1"/>
  <c r="L64" i="1"/>
  <c r="P63" i="1"/>
  <c r="L63" i="1"/>
  <c r="P62" i="1"/>
  <c r="L62" i="1"/>
  <c r="P61" i="1"/>
  <c r="L61" i="1"/>
  <c r="P60" i="1"/>
  <c r="T60" i="1" s="1"/>
  <c r="L60" i="1"/>
  <c r="P59" i="1"/>
  <c r="L59" i="1"/>
  <c r="P58" i="1"/>
  <c r="L58" i="1"/>
  <c r="P57" i="1"/>
  <c r="L57" i="1"/>
  <c r="P56" i="1"/>
  <c r="T56" i="1" s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L51" i="1"/>
  <c r="P50" i="1"/>
  <c r="Q50" i="1" s="1"/>
  <c r="R50" i="1" s="1"/>
  <c r="L50" i="1"/>
  <c r="P49" i="1"/>
  <c r="L49" i="1"/>
  <c r="P48" i="1"/>
  <c r="L48" i="1"/>
  <c r="P47" i="1"/>
  <c r="Q47" i="1" s="1"/>
  <c r="L47" i="1"/>
  <c r="P46" i="1"/>
  <c r="T46" i="1" s="1"/>
  <c r="L46" i="1"/>
  <c r="P45" i="1"/>
  <c r="T45" i="1" s="1"/>
  <c r="L45" i="1"/>
  <c r="P44" i="1"/>
  <c r="L44" i="1"/>
  <c r="P43" i="1"/>
  <c r="L43" i="1"/>
  <c r="P42" i="1"/>
  <c r="L42" i="1"/>
  <c r="P41" i="1"/>
  <c r="T41" i="1" s="1"/>
  <c r="L41" i="1"/>
  <c r="P40" i="1"/>
  <c r="T40" i="1" s="1"/>
  <c r="L40" i="1"/>
  <c r="P39" i="1"/>
  <c r="L39" i="1"/>
  <c r="P38" i="1"/>
  <c r="L38" i="1"/>
  <c r="P37" i="1"/>
  <c r="T37" i="1" s="1"/>
  <c r="L37" i="1"/>
  <c r="P36" i="1"/>
  <c r="T36" i="1" s="1"/>
  <c r="L36" i="1"/>
  <c r="P35" i="1"/>
  <c r="T35" i="1" s="1"/>
  <c r="L35" i="1"/>
  <c r="P34" i="1"/>
  <c r="L34" i="1"/>
  <c r="P33" i="1"/>
  <c r="L33" i="1"/>
  <c r="P32" i="1"/>
  <c r="L32" i="1"/>
  <c r="P31" i="1"/>
  <c r="T31" i="1" s="1"/>
  <c r="L31" i="1"/>
  <c r="P30" i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L21" i="1"/>
  <c r="P20" i="1"/>
  <c r="Q20" i="1" s="1"/>
  <c r="L20" i="1"/>
  <c r="P19" i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67" i="1" l="1"/>
  <c r="T67" i="1"/>
  <c r="U106" i="1"/>
  <c r="T106" i="1"/>
  <c r="U107" i="1"/>
  <c r="T107" i="1"/>
  <c r="AG20" i="1"/>
  <c r="T20" i="1"/>
  <c r="U33" i="1"/>
  <c r="T33" i="1"/>
  <c r="U34" i="1"/>
  <c r="T34" i="1"/>
  <c r="U43" i="1"/>
  <c r="T43" i="1"/>
  <c r="AG47" i="1"/>
  <c r="T47" i="1"/>
  <c r="AG50" i="1"/>
  <c r="T50" i="1"/>
  <c r="U69" i="1"/>
  <c r="T69" i="1"/>
  <c r="AG88" i="1"/>
  <c r="T88" i="1"/>
  <c r="U7" i="1"/>
  <c r="Q10" i="1"/>
  <c r="R10" i="1" s="1"/>
  <c r="U17" i="1"/>
  <c r="U19" i="1"/>
  <c r="Q19" i="1"/>
  <c r="R19" i="1" s="1"/>
  <c r="U21" i="1"/>
  <c r="Q21" i="1"/>
  <c r="R21" i="1" s="1"/>
  <c r="U23" i="1"/>
  <c r="U28" i="1"/>
  <c r="U30" i="1"/>
  <c r="Q30" i="1"/>
  <c r="U35" i="1"/>
  <c r="Q38" i="1"/>
  <c r="R38" i="1" s="1"/>
  <c r="Q42" i="1"/>
  <c r="U44" i="1"/>
  <c r="Q44" i="1"/>
  <c r="R44" i="1" s="1"/>
  <c r="U47" i="1"/>
  <c r="U49" i="1"/>
  <c r="Q49" i="1"/>
  <c r="U51" i="1"/>
  <c r="U53" i="1"/>
  <c r="Q54" i="1"/>
  <c r="Q58" i="1"/>
  <c r="R58" i="1" s="1"/>
  <c r="U63" i="1"/>
  <c r="Q63" i="1"/>
  <c r="U65" i="1"/>
  <c r="Q71" i="1"/>
  <c r="Q73" i="1"/>
  <c r="R73" i="1" s="1"/>
  <c r="Q77" i="1"/>
  <c r="Q85" i="1"/>
  <c r="R85" i="1" s="1"/>
  <c r="Q90" i="1"/>
  <c r="R90" i="1" s="1"/>
  <c r="Q92" i="1"/>
  <c r="R92" i="1" s="1"/>
  <c r="Q94" i="1"/>
  <c r="Q96" i="1"/>
  <c r="Q98" i="1"/>
  <c r="U9" i="1"/>
  <c r="U11" i="1"/>
  <c r="U13" i="1"/>
  <c r="U15" i="1"/>
  <c r="U25" i="1"/>
  <c r="Q25" i="1"/>
  <c r="Q32" i="1"/>
  <c r="U37" i="1"/>
  <c r="U39" i="1"/>
  <c r="Q39" i="1"/>
  <c r="R39" i="1" s="1"/>
  <c r="U41" i="1"/>
  <c r="Q48" i="1"/>
  <c r="U55" i="1"/>
  <c r="U57" i="1"/>
  <c r="Q57" i="1"/>
  <c r="R57" i="1" s="1"/>
  <c r="U59" i="1"/>
  <c r="Q59" i="1"/>
  <c r="R59" i="1" s="1"/>
  <c r="U61" i="1"/>
  <c r="Q61" i="1"/>
  <c r="R61" i="1" s="1"/>
  <c r="Q62" i="1"/>
  <c r="Q64" i="1"/>
  <c r="R64" i="1" s="1"/>
  <c r="Q68" i="1"/>
  <c r="AG68" i="1" s="1"/>
  <c r="U70" i="1"/>
  <c r="Q70" i="1"/>
  <c r="U72" i="1"/>
  <c r="Q72" i="1"/>
  <c r="U74" i="1"/>
  <c r="U76" i="1"/>
  <c r="U78" i="1"/>
  <c r="U80" i="1"/>
  <c r="U82" i="1"/>
  <c r="U84" i="1"/>
  <c r="Q84" i="1"/>
  <c r="U86" i="1"/>
  <c r="U87" i="1"/>
  <c r="U89" i="1"/>
  <c r="Q89" i="1"/>
  <c r="U91" i="1"/>
  <c r="Q91" i="1"/>
  <c r="R91" i="1" s="1"/>
  <c r="U93" i="1"/>
  <c r="U95" i="1"/>
  <c r="U97" i="1"/>
  <c r="Q97" i="1"/>
  <c r="R97" i="1" s="1"/>
  <c r="U99" i="1"/>
  <c r="Q99" i="1"/>
  <c r="U27" i="1"/>
  <c r="U29" i="1"/>
  <c r="U31" i="1"/>
  <c r="L87" i="1"/>
  <c r="L5" i="1" s="1"/>
  <c r="U88" i="1"/>
  <c r="U90" i="1"/>
  <c r="U92" i="1"/>
  <c r="U94" i="1"/>
  <c r="U96" i="1"/>
  <c r="U98" i="1"/>
  <c r="U102" i="1"/>
  <c r="F5" i="1"/>
  <c r="U45" i="1"/>
  <c r="U71" i="1"/>
  <c r="U73" i="1"/>
  <c r="U75" i="1"/>
  <c r="U77" i="1"/>
  <c r="U79" i="1"/>
  <c r="U81" i="1"/>
  <c r="U83" i="1"/>
  <c r="U85" i="1"/>
  <c r="U100" i="1"/>
  <c r="U6" i="1"/>
  <c r="U8" i="1"/>
  <c r="U10" i="1"/>
  <c r="U12" i="1"/>
  <c r="U14" i="1"/>
  <c r="U16" i="1"/>
  <c r="U18" i="1"/>
  <c r="U20" i="1"/>
  <c r="U22" i="1"/>
  <c r="U24" i="1"/>
  <c r="U26" i="1"/>
  <c r="E5" i="1"/>
  <c r="U32" i="1"/>
  <c r="U36" i="1"/>
  <c r="U38" i="1"/>
  <c r="U40" i="1"/>
  <c r="U42" i="1"/>
  <c r="U46" i="1"/>
  <c r="U48" i="1"/>
  <c r="U50" i="1"/>
  <c r="U52" i="1"/>
  <c r="U54" i="1"/>
  <c r="U56" i="1"/>
  <c r="U58" i="1"/>
  <c r="U60" i="1"/>
  <c r="U62" i="1"/>
  <c r="U64" i="1"/>
  <c r="U66" i="1"/>
  <c r="U68" i="1"/>
  <c r="U101" i="1"/>
  <c r="P103" i="1"/>
  <c r="Q103" i="1" s="1"/>
  <c r="P104" i="1"/>
  <c r="T104" i="1" s="1"/>
  <c r="P105" i="1"/>
  <c r="T105" i="1" s="1"/>
  <c r="T103" i="1" l="1"/>
  <c r="AG103" i="1"/>
  <c r="AG72" i="1"/>
  <c r="T72" i="1"/>
  <c r="AG70" i="1"/>
  <c r="T70" i="1"/>
  <c r="AG62" i="1"/>
  <c r="T62" i="1"/>
  <c r="AG48" i="1"/>
  <c r="T48" i="1"/>
  <c r="AG39" i="1"/>
  <c r="T39" i="1"/>
  <c r="AG25" i="1"/>
  <c r="T25" i="1"/>
  <c r="AG98" i="1"/>
  <c r="T98" i="1"/>
  <c r="AG94" i="1"/>
  <c r="T94" i="1"/>
  <c r="AG90" i="1"/>
  <c r="T90" i="1"/>
  <c r="AG77" i="1"/>
  <c r="T77" i="1"/>
  <c r="T71" i="1"/>
  <c r="AG71" i="1"/>
  <c r="T63" i="1"/>
  <c r="AG63" i="1"/>
  <c r="AG58" i="1"/>
  <c r="T58" i="1"/>
  <c r="AG49" i="1"/>
  <c r="T49" i="1"/>
  <c r="AG38" i="1"/>
  <c r="T38" i="1"/>
  <c r="AG30" i="1"/>
  <c r="T30" i="1"/>
  <c r="AG21" i="1"/>
  <c r="T21" i="1"/>
  <c r="AG19" i="1"/>
  <c r="T19" i="1"/>
  <c r="T99" i="1"/>
  <c r="AG99" i="1"/>
  <c r="AG97" i="1"/>
  <c r="T97" i="1"/>
  <c r="T91" i="1"/>
  <c r="AG91" i="1"/>
  <c r="AG89" i="1"/>
  <c r="T89" i="1"/>
  <c r="AG84" i="1"/>
  <c r="T84" i="1"/>
  <c r="AG64" i="1"/>
  <c r="T64" i="1"/>
  <c r="AG61" i="1"/>
  <c r="T61" i="1"/>
  <c r="AG59" i="1"/>
  <c r="T59" i="1"/>
  <c r="AG57" i="1"/>
  <c r="T57" i="1"/>
  <c r="AG32" i="1"/>
  <c r="T32" i="1"/>
  <c r="AG96" i="1"/>
  <c r="T96" i="1"/>
  <c r="AG92" i="1"/>
  <c r="T92" i="1"/>
  <c r="AG85" i="1"/>
  <c r="T85" i="1"/>
  <c r="AG73" i="1"/>
  <c r="T73" i="1"/>
  <c r="AG54" i="1"/>
  <c r="T54" i="1"/>
  <c r="AG44" i="1"/>
  <c r="T44" i="1"/>
  <c r="AG42" i="1"/>
  <c r="T42" i="1"/>
  <c r="AG10" i="1"/>
  <c r="T10" i="1"/>
  <c r="R5" i="1"/>
  <c r="T68" i="1"/>
  <c r="Q5" i="1"/>
  <c r="U104" i="1"/>
  <c r="U105" i="1"/>
  <c r="U103" i="1"/>
  <c r="P5" i="1"/>
  <c r="AG5" i="1" l="1"/>
</calcChain>
</file>

<file path=xl/sharedStrings.xml><?xml version="1.0" encoding="utf-8"?>
<sst xmlns="http://schemas.openxmlformats.org/spreadsheetml/2006/main" count="428" uniqueCount="178">
  <si>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</si>
  <si>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</si>
  <si>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</si>
  <si>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</si>
  <si>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</si>
  <si>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</si>
  <si>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</si>
  <si>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</si>
  <si>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</si>
  <si>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</si>
  <si>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</si>
  <si>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</si>
  <si>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</si>
  <si>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</si>
  <si>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</si>
  <si>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</si>
  <si>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</si>
  <si>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</si>
  <si>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</si>
  <si>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</si>
  <si>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</si>
  <si>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</si>
  <si>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</si>
  <si>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</si>
  <si>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</si>
  <si>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</si>
  <si>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</si>
  <si>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</si>
  <si>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</si>
  <si>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</si>
  <si>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</si>
  <si>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</si>
  <si>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</si>
  <si>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</si>
  <si>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</si>
  <si>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</si>
  <si>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</si>
  <si>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</si>
  <si>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</si>
  <si>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</si>
  <si>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</si>
  <si>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</si>
  <si>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</si>
  <si>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</si>
  <si>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</si>
  <si>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</si>
  <si>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</si>
  <si>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</si>
  <si>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</si>
  <si>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</si>
  <si>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</si>
  <si>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</si>
  <si>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</si>
  <si>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</si>
  <si>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</si>
  <si>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</si>
  <si>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</si>
  <si>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</si>
  <si>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</si>
  <si>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</si>
  <si>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</si>
  <si>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</si>
  <si>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</si>
  <si>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</si>
  <si>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</si>
  <si>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</si>
  <si>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</si>
  <si>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</si>
  <si>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</si>
  <si>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</si>
  <si>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</si>
  <si>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</si>
  <si>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</si>
  <si>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</si>
  <si>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</si>
  <si>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</si>
  <si>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</si>
  <si>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</si>
  <si>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</si>
  <si>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</si>
  <si>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</si>
  <si>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</si>
  <si>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</si>
  <si>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</si>
  <si>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</si>
  <si>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</si>
  <si>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</si>
  <si>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</si>
  <si>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</si>
  <si>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</si>
  <si>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</si>
  <si>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</si>
  <si>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</si>
  <si>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</si>
  <si>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</si>
  <si>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</si>
  <si>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</si>
  <si>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</si>
  <si>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</si>
  <si>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</si>
  <si>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</si>
  <si>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</si>
  <si>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</si>
  <si>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</si>
  <si>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</si>
  <si>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</si>
  <si>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</si>
  <si>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</si>
  <si>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</si>
  <si>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</si>
  <si>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</si>
  <si>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</si>
  <si>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</si>
  <si>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</si>
  <si>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</si>
  <si>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</si>
  <si>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</si>
  <si>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</si>
  <si>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</si>
  <si>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</si>
  <si>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</si>
  <si>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</si>
  <si>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</si>
  <si>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</si>
  <si>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</si>
  <si>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</si>
  <si>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</si>
  <si>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</si>
  <si>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</si>
  <si>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</si>
  <si>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</si>
  <si>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</si>
  <si>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</si>
  <si>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</si>
  <si>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</si>
  <si>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</si>
  <si>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</si>
  <si>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</si>
  <si>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</si>
  <si>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</si>
  <si>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</si>
  <si>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</si>
  <si>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</si>
  <si>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</si>
  <si>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</si>
  <si>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</si>
  <si>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</si>
  <si>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</si>
  <si>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</si>
  <si>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</si>
  <si>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</si>
  <si>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</si>
  <si>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</si>
  <si>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</si>
  <si>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</si>
  <si>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</si>
  <si>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</si>
  <si>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</si>
  <si>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</si>
  <si>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</si>
  <si>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</si>
  <si>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7647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</si>
  <si>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</si>
  <si>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</si>
  <si>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</si>
  <si>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 / 81шт списано (19,09,26)</t>
  </si>
  <si>
    <t>нужно увеличить продажи / с 19,08,26 заказываем</t>
  </si>
  <si>
    <t>завод не отгрузил (06,10,26)</t>
  </si>
  <si>
    <t>55 шт в уценку (06,07,26)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</si>
  <si>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</si>
  <si>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</si>
  <si>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</si>
  <si>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</si>
  <si>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r>
      <rPr>
        <b/>
        <sz val="10"/>
        <color rgb="FFFF0000"/>
        <rFont val="Arial"/>
        <family val="2"/>
        <charset val="204"/>
      </rPr>
      <t>нужно увеличить продажи!!</t>
    </r>
    <r>
      <rPr>
        <sz val="10"/>
        <rFont val="Arial"/>
        <family val="2"/>
        <charset val="204"/>
      </rPr>
      <t>! / 186кг в уценку (25,09,26)</t>
    </r>
  </si>
  <si>
    <t>ТК</t>
  </si>
  <si>
    <t>Титенок</t>
  </si>
  <si>
    <t>заказ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</si>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</sst>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13,10,</v>
          </cell>
          <cell r="P4" t="str">
            <v>12,10,</v>
          </cell>
        </row>
        <row r="5">
          <cell r="E5">
            <v>6552.722999999999</v>
          </cell>
          <cell r="F5">
            <v>18418.735999999997</v>
          </cell>
          <cell r="K5">
            <v>8324.1620000000021</v>
          </cell>
          <cell r="L5">
            <v>-1771.4390000000001</v>
          </cell>
          <cell r="M5">
            <v>0</v>
          </cell>
          <cell r="N5">
            <v>0</v>
          </cell>
          <cell r="O5">
            <v>1421</v>
          </cell>
          <cell r="P5">
            <v>1310.5445999999995</v>
          </cell>
          <cell r="Q5">
            <v>5570.8878000000004</v>
          </cell>
          <cell r="R5">
            <v>6819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3.8</v>
          </cell>
          <cell r="D6">
            <v>54.408000000000001</v>
          </cell>
          <cell r="E6">
            <v>5.4210000000000003</v>
          </cell>
          <cell r="F6">
            <v>47.904000000000003</v>
          </cell>
          <cell r="G6">
            <v>1</v>
          </cell>
          <cell r="H6">
            <v>120</v>
          </cell>
          <cell r="I6" t="str">
            <v>матрица</v>
          </cell>
          <cell r="K6">
            <v>9</v>
          </cell>
          <cell r="L6">
            <v>-3.5789999999999997</v>
          </cell>
          <cell r="O6">
            <v>0</v>
          </cell>
          <cell r="P6">
            <v>1.0842000000000001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254</v>
          </cell>
          <cell r="D7">
            <v>535</v>
          </cell>
          <cell r="E7">
            <v>93</v>
          </cell>
          <cell r="F7">
            <v>405</v>
          </cell>
          <cell r="G7">
            <v>0.4</v>
          </cell>
          <cell r="H7">
            <v>60</v>
          </cell>
          <cell r="I7" t="str">
            <v>матрица</v>
          </cell>
          <cell r="K7">
            <v>100</v>
          </cell>
          <cell r="L7">
            <v>-7</v>
          </cell>
          <cell r="O7">
            <v>0</v>
          </cell>
          <cell r="P7">
            <v>18.600000000000001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16.670000000000002</v>
          </cell>
          <cell r="D8">
            <v>67.191000000000003</v>
          </cell>
          <cell r="E8">
            <v>1.9630000000000001</v>
          </cell>
          <cell r="F8">
            <v>31.446999999999999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5</v>
          </cell>
          <cell r="L8">
            <v>-3.0369999999999999</v>
          </cell>
          <cell r="O8">
            <v>0</v>
          </cell>
          <cell r="P8">
            <v>0.3926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344</v>
          </cell>
          <cell r="D9">
            <v>104</v>
          </cell>
          <cell r="E9">
            <v>72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  <cell r="K9">
            <v>75</v>
          </cell>
          <cell r="L9">
            <v>-3</v>
          </cell>
          <cell r="O9">
            <v>0</v>
          </cell>
          <cell r="P9">
            <v>14.4</v>
          </cell>
          <cell r="R9">
            <v>100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296.59500000000003</v>
          </cell>
          <cell r="D10">
            <v>244.774</v>
          </cell>
          <cell r="E10">
            <v>76.626000000000005</v>
          </cell>
          <cell r="F10">
            <v>215.71100000000001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83.3</v>
          </cell>
          <cell r="L10">
            <v>-6.6739999999999924</v>
          </cell>
          <cell r="O10">
            <v>0</v>
          </cell>
          <cell r="P10">
            <v>15.325200000000001</v>
          </cell>
          <cell r="Q10">
            <v>14.167000000000002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21.821999999999999</v>
          </cell>
          <cell r="D11">
            <v>8.048</v>
          </cell>
          <cell r="E11">
            <v>5.5369999999999999</v>
          </cell>
          <cell r="F11">
            <v>23.841000000000001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6.1</v>
          </cell>
          <cell r="L11">
            <v>-0.56299999999999972</v>
          </cell>
          <cell r="O11">
            <v>0</v>
          </cell>
          <cell r="P11">
            <v>1.1073999999999999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78.391999999999996</v>
          </cell>
          <cell r="D12">
            <v>117.499</v>
          </cell>
          <cell r="E12">
            <v>16.196999999999999</v>
          </cell>
          <cell r="F12">
            <v>82.555999999999997</v>
          </cell>
          <cell r="G12">
            <v>1</v>
          </cell>
          <cell r="H12">
            <v>60</v>
          </cell>
          <cell r="I12" t="str">
            <v>матрица</v>
          </cell>
          <cell r="K12">
            <v>15.5</v>
          </cell>
          <cell r="L12">
            <v>0.69699999999999918</v>
          </cell>
          <cell r="O12">
            <v>0</v>
          </cell>
          <cell r="P12">
            <v>3.2393999999999998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128.80199999999999</v>
          </cell>
          <cell r="D13">
            <v>167.245</v>
          </cell>
          <cell r="E13">
            <v>40.479999999999997</v>
          </cell>
          <cell r="F13">
            <v>154.75800000000001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41.7</v>
          </cell>
          <cell r="L13">
            <v>-1.220000000000006</v>
          </cell>
          <cell r="O13">
            <v>50</v>
          </cell>
          <cell r="P13">
            <v>8.0960000000000001</v>
          </cell>
          <cell r="R13">
            <v>59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74</v>
          </cell>
          <cell r="D14">
            <v>233</v>
          </cell>
          <cell r="E14">
            <v>34</v>
          </cell>
          <cell r="F14">
            <v>152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35</v>
          </cell>
          <cell r="L14">
            <v>-1</v>
          </cell>
          <cell r="O14">
            <v>50</v>
          </cell>
          <cell r="P14">
            <v>6.8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89.909000000000006</v>
          </cell>
          <cell r="D15">
            <v>77.064999999999998</v>
          </cell>
          <cell r="E15">
            <v>25.914999999999999</v>
          </cell>
          <cell r="F15">
            <v>141.036</v>
          </cell>
          <cell r="G15">
            <v>1</v>
          </cell>
          <cell r="H15">
            <v>60</v>
          </cell>
          <cell r="I15" t="str">
            <v>матрица</v>
          </cell>
          <cell r="K15">
            <v>24.6</v>
          </cell>
          <cell r="L15">
            <v>1.3149999999999977</v>
          </cell>
          <cell r="O15">
            <v>0</v>
          </cell>
          <cell r="P15">
            <v>5.1829999999999998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349</v>
          </cell>
          <cell r="D16">
            <v>73</v>
          </cell>
          <cell r="E16">
            <v>72</v>
          </cell>
          <cell r="F16">
            <v>256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72</v>
          </cell>
          <cell r="L16">
            <v>0</v>
          </cell>
          <cell r="O16">
            <v>0</v>
          </cell>
          <cell r="P16">
            <v>14.4</v>
          </cell>
          <cell r="R16">
            <v>100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214</v>
          </cell>
          <cell r="D17">
            <v>145</v>
          </cell>
          <cell r="E17">
            <v>56</v>
          </cell>
          <cell r="F17">
            <v>204</v>
          </cell>
          <cell r="G17">
            <v>0.4</v>
          </cell>
          <cell r="H17">
            <v>60</v>
          </cell>
          <cell r="I17" t="str">
            <v>матрица</v>
          </cell>
          <cell r="K17">
            <v>59</v>
          </cell>
          <cell r="L17">
            <v>-3</v>
          </cell>
          <cell r="O17">
            <v>60</v>
          </cell>
          <cell r="P17">
            <v>11.2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1.605</v>
          </cell>
          <cell r="D18">
            <v>623.99699999999996</v>
          </cell>
          <cell r="E18">
            <v>21.181000000000001</v>
          </cell>
          <cell r="F18">
            <v>394.20299999999997</v>
          </cell>
          <cell r="G18">
            <v>1</v>
          </cell>
          <cell r="H18">
            <v>45</v>
          </cell>
          <cell r="I18" t="str">
            <v>матрица</v>
          </cell>
          <cell r="K18">
            <v>129.30000000000001</v>
          </cell>
          <cell r="L18">
            <v>-108.11900000000001</v>
          </cell>
          <cell r="O18">
            <v>100</v>
          </cell>
          <cell r="P18">
            <v>4.2362000000000002</v>
          </cell>
          <cell r="R18">
            <v>50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13.843999999999999</v>
          </cell>
          <cell r="D19">
            <v>8.02</v>
          </cell>
          <cell r="E19">
            <v>6.6440000000000001</v>
          </cell>
          <cell r="F19">
            <v>7.1929999999999996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6.5</v>
          </cell>
          <cell r="L19">
            <v>0.14400000000000013</v>
          </cell>
          <cell r="O19">
            <v>0</v>
          </cell>
          <cell r="P19">
            <v>1.3288</v>
          </cell>
          <cell r="Q19">
            <v>12.738999999999999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97</v>
          </cell>
          <cell r="D20">
            <v>302</v>
          </cell>
          <cell r="E20">
            <v>92</v>
          </cell>
          <cell r="F20">
            <v>53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146</v>
          </cell>
          <cell r="L20">
            <v>-54</v>
          </cell>
          <cell r="O20">
            <v>0</v>
          </cell>
          <cell r="P20">
            <v>18.399999999999999</v>
          </cell>
          <cell r="Q20">
            <v>186.2</v>
          </cell>
          <cell r="R20">
            <v>270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204.41200000000001</v>
          </cell>
          <cell r="D21">
            <v>138.69</v>
          </cell>
          <cell r="E21">
            <v>68.506</v>
          </cell>
          <cell r="F21">
            <v>176.316</v>
          </cell>
          <cell r="G21">
            <v>1</v>
          </cell>
          <cell r="H21">
            <v>60</v>
          </cell>
          <cell r="I21" t="str">
            <v>матрица</v>
          </cell>
          <cell r="K21">
            <v>64.599999999999994</v>
          </cell>
          <cell r="L21">
            <v>3.9060000000000059</v>
          </cell>
          <cell r="O21">
            <v>0</v>
          </cell>
          <cell r="P21">
            <v>13.7012</v>
          </cell>
          <cell r="Q21">
            <v>29.201999999999998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-14</v>
          </cell>
          <cell r="D22">
            <v>14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105</v>
          </cell>
          <cell r="L22">
            <v>-105</v>
          </cell>
          <cell r="O22">
            <v>0</v>
          </cell>
          <cell r="P22">
            <v>0</v>
          </cell>
          <cell r="Q22">
            <v>350</v>
          </cell>
          <cell r="R22">
            <v>450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0.106</v>
          </cell>
          <cell r="D23">
            <v>14.816000000000001</v>
          </cell>
          <cell r="F23">
            <v>0.106</v>
          </cell>
          <cell r="G23">
            <v>1</v>
          </cell>
          <cell r="H23">
            <v>40</v>
          </cell>
          <cell r="I23" t="str">
            <v>матрица</v>
          </cell>
          <cell r="K23">
            <v>31.4</v>
          </cell>
          <cell r="L23">
            <v>-31.4</v>
          </cell>
          <cell r="O23">
            <v>50</v>
          </cell>
          <cell r="P23">
            <v>0</v>
          </cell>
          <cell r="Q23">
            <v>10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96.328999999999994</v>
          </cell>
          <cell r="D24">
            <v>48.835999999999999</v>
          </cell>
          <cell r="E24">
            <v>23.123999999999999</v>
          </cell>
          <cell r="F24">
            <v>73.204999999999998</v>
          </cell>
          <cell r="G24">
            <v>1</v>
          </cell>
          <cell r="H24">
            <v>60</v>
          </cell>
          <cell r="I24" t="str">
            <v>матрица</v>
          </cell>
          <cell r="K24">
            <v>21.9</v>
          </cell>
          <cell r="L24">
            <v>1.2240000000000002</v>
          </cell>
          <cell r="O24">
            <v>0</v>
          </cell>
          <cell r="P24">
            <v>4.6247999999999996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126</v>
          </cell>
          <cell r="D25">
            <v>277</v>
          </cell>
          <cell r="E25">
            <v>121</v>
          </cell>
          <cell r="F25">
            <v>41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129</v>
          </cell>
          <cell r="L25">
            <v>-8</v>
          </cell>
          <cell r="O25">
            <v>97</v>
          </cell>
          <cell r="P25">
            <v>24.2</v>
          </cell>
          <cell r="Q25">
            <v>225</v>
          </cell>
          <cell r="R25">
            <v>300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15</v>
          </cell>
          <cell r="D26">
            <v>308</v>
          </cell>
          <cell r="E26">
            <v>6</v>
          </cell>
          <cell r="F26">
            <v>257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7</v>
          </cell>
          <cell r="L26">
            <v>-1</v>
          </cell>
          <cell r="P26">
            <v>1.2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8</v>
          </cell>
          <cell r="D27">
            <v>104</v>
          </cell>
          <cell r="E27">
            <v>7</v>
          </cell>
          <cell r="F27">
            <v>64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8</v>
          </cell>
          <cell r="L27">
            <v>-1</v>
          </cell>
          <cell r="O27">
            <v>0</v>
          </cell>
          <cell r="P27">
            <v>1.4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759.524</v>
          </cell>
          <cell r="D28">
            <v>421.25</v>
          </cell>
          <cell r="E28">
            <v>204.62799999999999</v>
          </cell>
          <cell r="F28">
            <v>743.67600000000004</v>
          </cell>
          <cell r="G28">
            <v>1</v>
          </cell>
          <cell r="H28">
            <v>45</v>
          </cell>
          <cell r="I28" t="str">
            <v>матрица</v>
          </cell>
          <cell r="K28">
            <v>197.5</v>
          </cell>
          <cell r="L28">
            <v>7.1279999999999859</v>
          </cell>
          <cell r="O28">
            <v>100</v>
          </cell>
          <cell r="P28">
            <v>40.925599999999996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D29">
            <v>329</v>
          </cell>
          <cell r="E29">
            <v>18</v>
          </cell>
          <cell r="F29">
            <v>238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96</v>
          </cell>
          <cell r="L29">
            <v>-78</v>
          </cell>
          <cell r="O29">
            <v>0</v>
          </cell>
          <cell r="P29">
            <v>3.6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266</v>
          </cell>
          <cell r="D30">
            <v>858</v>
          </cell>
          <cell r="E30">
            <v>187</v>
          </cell>
          <cell r="F30">
            <v>422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198</v>
          </cell>
          <cell r="L30">
            <v>-11</v>
          </cell>
          <cell r="O30">
            <v>0</v>
          </cell>
          <cell r="P30">
            <v>37.4</v>
          </cell>
          <cell r="Q30">
            <v>139</v>
          </cell>
          <cell r="R30">
            <v>220</v>
          </cell>
        </row>
        <row r="31">
          <cell r="A31" t="str">
            <v>6364 СЕРВЕЛАТ ЗЕРНИСТЫЙ ПМ в/к в/у 0.35кг  ОСТАНКИНО</v>
          </cell>
          <cell r="B31" t="str">
            <v>шт</v>
          </cell>
          <cell r="C31">
            <v>-1</v>
          </cell>
          <cell r="F31">
            <v>-1</v>
          </cell>
          <cell r="G31">
            <v>0</v>
          </cell>
          <cell r="I31" t="str">
            <v>не в матрице</v>
          </cell>
          <cell r="J31" t="str">
            <v>7154 СЕРВЕЛАТ ЗЕРНИСТЫЙ ПМ в/к в/у 0,35кг_50с  Останкино</v>
          </cell>
          <cell r="L31">
            <v>0</v>
          </cell>
          <cell r="O31">
            <v>0</v>
          </cell>
          <cell r="P31">
            <v>0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173</v>
          </cell>
          <cell r="D32">
            <v>726</v>
          </cell>
          <cell r="E32">
            <v>191</v>
          </cell>
          <cell r="F32">
            <v>380</v>
          </cell>
          <cell r="G32">
            <v>0.4</v>
          </cell>
          <cell r="H32">
            <v>60</v>
          </cell>
          <cell r="I32" t="str">
            <v>матрица</v>
          </cell>
          <cell r="K32">
            <v>209</v>
          </cell>
          <cell r="L32">
            <v>-18</v>
          </cell>
          <cell r="O32">
            <v>0</v>
          </cell>
          <cell r="P32">
            <v>38.200000000000003</v>
          </cell>
          <cell r="Q32">
            <v>193</v>
          </cell>
          <cell r="R32">
            <v>270</v>
          </cell>
        </row>
        <row r="33">
          <cell r="A33" t="str">
            <v>6475 Сосиски Папа может 400г С сыром  ОСТАНКИНО</v>
          </cell>
          <cell r="B33" t="str">
            <v>шт</v>
          </cell>
          <cell r="C33">
            <v>12</v>
          </cell>
          <cell r="F33">
            <v>12</v>
          </cell>
          <cell r="G33">
            <v>0</v>
          </cell>
          <cell r="I33" t="str">
            <v>не в матрице</v>
          </cell>
          <cell r="K33">
            <v>22</v>
          </cell>
          <cell r="L33">
            <v>-22</v>
          </cell>
          <cell r="O33">
            <v>0</v>
          </cell>
          <cell r="P33">
            <v>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75</v>
          </cell>
          <cell r="D34">
            <v>4</v>
          </cell>
          <cell r="E34">
            <v>74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79</v>
          </cell>
          <cell r="L34">
            <v>-5</v>
          </cell>
          <cell r="O34">
            <v>0</v>
          </cell>
          <cell r="P34">
            <v>14.8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83.319000000000003</v>
          </cell>
          <cell r="D35">
            <v>48.561</v>
          </cell>
          <cell r="E35">
            <v>22.786000000000001</v>
          </cell>
          <cell r="F35">
            <v>102.473</v>
          </cell>
          <cell r="G35">
            <v>1</v>
          </cell>
          <cell r="H35">
            <v>60</v>
          </cell>
          <cell r="I35" t="str">
            <v>матрица</v>
          </cell>
          <cell r="K35">
            <v>24.1</v>
          </cell>
          <cell r="L35">
            <v>-1.3140000000000001</v>
          </cell>
          <cell r="O35">
            <v>0</v>
          </cell>
          <cell r="P35">
            <v>4.5571999999999999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237.029</v>
          </cell>
          <cell r="D36">
            <v>50.478999999999999</v>
          </cell>
          <cell r="E36">
            <v>53.786999999999999</v>
          </cell>
          <cell r="F36">
            <v>180.61</v>
          </cell>
          <cell r="G36">
            <v>1</v>
          </cell>
          <cell r="H36">
            <v>45</v>
          </cell>
          <cell r="I36" t="str">
            <v>матрица</v>
          </cell>
          <cell r="K36">
            <v>54.3</v>
          </cell>
          <cell r="L36">
            <v>-0.51299999999999812</v>
          </cell>
          <cell r="O36">
            <v>0</v>
          </cell>
          <cell r="P36">
            <v>10.757400000000001</v>
          </cell>
          <cell r="R36">
            <v>50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321.33499999999998</v>
          </cell>
          <cell r="D37">
            <v>3.9E-2</v>
          </cell>
          <cell r="E37">
            <v>33.088000000000001</v>
          </cell>
          <cell r="F37">
            <v>285.07</v>
          </cell>
          <cell r="G37">
            <v>1</v>
          </cell>
          <cell r="H37">
            <v>45</v>
          </cell>
          <cell r="I37" t="str">
            <v>матрица</v>
          </cell>
          <cell r="K37">
            <v>44.2</v>
          </cell>
          <cell r="L37">
            <v>-11.112000000000002</v>
          </cell>
          <cell r="O37">
            <v>0</v>
          </cell>
          <cell r="P37">
            <v>6.6176000000000004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32.290999999999997</v>
          </cell>
          <cell r="D38">
            <v>116.85299999999999</v>
          </cell>
          <cell r="E38">
            <v>29.731000000000002</v>
          </cell>
          <cell r="F38">
            <v>76.457999999999998</v>
          </cell>
          <cell r="G38">
            <v>1</v>
          </cell>
          <cell r="H38">
            <v>45</v>
          </cell>
          <cell r="I38" t="str">
            <v>матрица</v>
          </cell>
          <cell r="K38">
            <v>30</v>
          </cell>
          <cell r="L38">
            <v>-0.26899999999999835</v>
          </cell>
          <cell r="O38">
            <v>0</v>
          </cell>
          <cell r="P38">
            <v>5.9462000000000002</v>
          </cell>
          <cell r="Q38">
            <v>12.734999999999999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340</v>
          </cell>
          <cell r="D39">
            <v>816</v>
          </cell>
          <cell r="E39">
            <v>222</v>
          </cell>
          <cell r="F39">
            <v>614</v>
          </cell>
          <cell r="G39">
            <v>0.3</v>
          </cell>
          <cell r="H39">
            <v>45</v>
          </cell>
          <cell r="I39" t="str">
            <v>матрица</v>
          </cell>
          <cell r="K39">
            <v>227</v>
          </cell>
          <cell r="L39">
            <v>-5</v>
          </cell>
          <cell r="O39">
            <v>0</v>
          </cell>
          <cell r="P39">
            <v>44.4</v>
          </cell>
          <cell r="Q39">
            <v>52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C40">
            <v>7.85</v>
          </cell>
          <cell r="D40">
            <v>362.47800000000001</v>
          </cell>
          <cell r="E40">
            <v>12.582000000000001</v>
          </cell>
          <cell r="F40">
            <v>326.20400000000001</v>
          </cell>
          <cell r="G40">
            <v>1</v>
          </cell>
          <cell r="H40">
            <v>30</v>
          </cell>
          <cell r="I40" t="str">
            <v>матрица</v>
          </cell>
          <cell r="K40">
            <v>50.872</v>
          </cell>
          <cell r="L40">
            <v>-38.29</v>
          </cell>
          <cell r="O40">
            <v>0</v>
          </cell>
          <cell r="P40">
            <v>2.5164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121.98099999999999</v>
          </cell>
          <cell r="D41">
            <v>116.71899999999999</v>
          </cell>
          <cell r="E41">
            <v>24.745000000000001</v>
          </cell>
          <cell r="F41">
            <v>109.23</v>
          </cell>
          <cell r="G41">
            <v>1</v>
          </cell>
          <cell r="H41">
            <v>45</v>
          </cell>
          <cell r="I41" t="str">
            <v>матрица</v>
          </cell>
          <cell r="K41">
            <v>21</v>
          </cell>
          <cell r="L41">
            <v>3.745000000000001</v>
          </cell>
          <cell r="O41">
            <v>0</v>
          </cell>
          <cell r="P41">
            <v>4.9489999999999998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246</v>
          </cell>
          <cell r="D42">
            <v>1304</v>
          </cell>
          <cell r="E42">
            <v>337</v>
          </cell>
          <cell r="F42">
            <v>462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396</v>
          </cell>
          <cell r="L42">
            <v>-59</v>
          </cell>
          <cell r="O42">
            <v>0</v>
          </cell>
          <cell r="P42">
            <v>67.400000000000006</v>
          </cell>
          <cell r="Q42">
            <v>549.00000000000011</v>
          </cell>
          <cell r="R42">
            <v>700</v>
          </cell>
        </row>
        <row r="43">
          <cell r="A43" t="str">
            <v>6713 СОЧНЫЙ ГРИЛЬ ПМ сос п/о мгс 0,41кг 8 шт.  ОСТАНКИНО</v>
          </cell>
          <cell r="B43" t="str">
            <v>шт</v>
          </cell>
          <cell r="D43">
            <v>58</v>
          </cell>
          <cell r="E43">
            <v>8</v>
          </cell>
          <cell r="G43">
            <v>0</v>
          </cell>
          <cell r="H43">
            <v>45</v>
          </cell>
          <cell r="I43" t="str">
            <v>вывод</v>
          </cell>
          <cell r="J43" t="str">
            <v>7490 СОЧНЫЙ ГРИЛЬ сос ц/о мгс 0.41кг_Даблпак  ОСТАНКИНО</v>
          </cell>
          <cell r="K43">
            <v>105</v>
          </cell>
          <cell r="L43">
            <v>-97</v>
          </cell>
          <cell r="O43">
            <v>0</v>
          </cell>
          <cell r="P43">
            <v>1.6</v>
          </cell>
        </row>
        <row r="44">
          <cell r="A44" t="str">
            <v>6724 МОЛОЧНЫЕ ПМ сос п/о мгс 0,41кг 10шт  Останкино</v>
          </cell>
          <cell r="B44" t="str">
            <v>шт</v>
          </cell>
          <cell r="C44">
            <v>192</v>
          </cell>
          <cell r="D44">
            <v>440</v>
          </cell>
          <cell r="E44">
            <v>114</v>
          </cell>
          <cell r="F44">
            <v>195</v>
          </cell>
          <cell r="G44">
            <v>0.41</v>
          </cell>
          <cell r="H44">
            <v>45</v>
          </cell>
          <cell r="I44" t="str">
            <v>матрица</v>
          </cell>
          <cell r="K44">
            <v>116</v>
          </cell>
          <cell r="L44">
            <v>-2</v>
          </cell>
          <cell r="O44">
            <v>10</v>
          </cell>
          <cell r="P44">
            <v>22.8</v>
          </cell>
          <cell r="Q44">
            <v>137</v>
          </cell>
        </row>
        <row r="45">
          <cell r="A45" t="str">
            <v>6761 МОЛОЧНЫЕ ГОСТ сос ц/о мгс 1*4  Останкино</v>
          </cell>
          <cell r="B45" t="str">
            <v>кг</v>
          </cell>
          <cell r="C45">
            <v>16.449000000000002</v>
          </cell>
          <cell r="F45">
            <v>16.449000000000002</v>
          </cell>
          <cell r="G45">
            <v>0</v>
          </cell>
          <cell r="H45">
            <v>30</v>
          </cell>
          <cell r="I45" t="str">
            <v>не в матрице</v>
          </cell>
          <cell r="L45">
            <v>0</v>
          </cell>
          <cell r="O45">
            <v>0</v>
          </cell>
          <cell r="P45">
            <v>0</v>
          </cell>
        </row>
        <row r="46">
          <cell r="A46" t="str">
            <v>6765 РУБЛЕНЫЕ сос ц/о мгс 0,36кг 6шт  Останкино</v>
          </cell>
          <cell r="B46" t="str">
            <v>шт</v>
          </cell>
          <cell r="C46">
            <v>22</v>
          </cell>
          <cell r="D46">
            <v>330</v>
          </cell>
          <cell r="E46">
            <v>30</v>
          </cell>
          <cell r="F46">
            <v>142</v>
          </cell>
          <cell r="G46">
            <v>0.36</v>
          </cell>
          <cell r="H46">
            <v>45</v>
          </cell>
          <cell r="I46" t="str">
            <v>матрица</v>
          </cell>
          <cell r="K46">
            <v>38</v>
          </cell>
          <cell r="L46">
            <v>-8</v>
          </cell>
          <cell r="O46">
            <v>0</v>
          </cell>
          <cell r="P46">
            <v>6</v>
          </cell>
        </row>
        <row r="47">
          <cell r="A47" t="str">
            <v>6787 СЕРВЕЛАТ КРЕМЛЕВСКИЙ в/к в/у 0,33кг 8шт  Останкино</v>
          </cell>
          <cell r="B47" t="str">
            <v>шт</v>
          </cell>
          <cell r="C47">
            <v>229</v>
          </cell>
          <cell r="D47">
            <v>41</v>
          </cell>
          <cell r="E47">
            <v>75</v>
          </cell>
          <cell r="F47">
            <v>153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76</v>
          </cell>
          <cell r="L47">
            <v>-1</v>
          </cell>
          <cell r="O47">
            <v>0</v>
          </cell>
          <cell r="P47">
            <v>15</v>
          </cell>
          <cell r="Q47">
            <v>57</v>
          </cell>
          <cell r="R47">
            <v>100</v>
          </cell>
        </row>
        <row r="48">
          <cell r="A48" t="str">
            <v>6797 С ИНДЕЙКОЙ Папа может вар п/о 0,4кг 8шт. ОСТАНКИНО</v>
          </cell>
          <cell r="B48" t="str">
            <v>шт</v>
          </cell>
          <cell r="C48">
            <v>97</v>
          </cell>
          <cell r="D48">
            <v>106</v>
          </cell>
          <cell r="E48">
            <v>92</v>
          </cell>
          <cell r="F48">
            <v>44</v>
          </cell>
          <cell r="G48">
            <v>0.4</v>
          </cell>
          <cell r="H48">
            <v>60</v>
          </cell>
          <cell r="I48" t="str">
            <v>матрица</v>
          </cell>
          <cell r="K48">
            <v>94</v>
          </cell>
          <cell r="L48">
            <v>-2</v>
          </cell>
          <cell r="O48">
            <v>91</v>
          </cell>
          <cell r="P48">
            <v>18.399999999999999</v>
          </cell>
          <cell r="Q48">
            <v>141</v>
          </cell>
          <cell r="R48">
            <v>200</v>
          </cell>
        </row>
        <row r="49">
          <cell r="A49" t="str">
            <v>6807 СЕРВЕЛАТ ЕВРОПЕЙСКИЙ в/к в/у 0,33кг 8шт  Останкино</v>
          </cell>
          <cell r="B49" t="str">
            <v>шт</v>
          </cell>
          <cell r="C49">
            <v>7</v>
          </cell>
          <cell r="D49">
            <v>9</v>
          </cell>
          <cell r="E49">
            <v>7</v>
          </cell>
          <cell r="F49">
            <v>8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7</v>
          </cell>
          <cell r="L49">
            <v>0</v>
          </cell>
          <cell r="O49">
            <v>0</v>
          </cell>
          <cell r="P49">
            <v>1.4</v>
          </cell>
          <cell r="Q49">
            <v>13</v>
          </cell>
          <cell r="R49">
            <v>100</v>
          </cell>
        </row>
        <row r="50">
          <cell r="A50" t="str">
            <v>6829  МОЛОЧНЫЕ КЛАССИЧЕСКИЕ сос п/о мгс 2*4 С  Останккино</v>
          </cell>
          <cell r="B50" t="str">
            <v>кг</v>
          </cell>
          <cell r="C50">
            <v>678.76199999999994</v>
          </cell>
          <cell r="E50">
            <v>244.40100000000001</v>
          </cell>
          <cell r="F50">
            <v>434.36099999999999</v>
          </cell>
          <cell r="G50">
            <v>1</v>
          </cell>
          <cell r="H50">
            <v>45</v>
          </cell>
          <cell r="I50" t="str">
            <v>матрица</v>
          </cell>
          <cell r="K50">
            <v>195.8</v>
          </cell>
          <cell r="L50">
            <v>48.600999999999999</v>
          </cell>
          <cell r="O50">
            <v>0</v>
          </cell>
          <cell r="P50">
            <v>48.880200000000002</v>
          </cell>
          <cell r="Q50">
            <v>249.96180000000004</v>
          </cell>
        </row>
        <row r="51">
          <cell r="A51" t="str">
            <v>6837 ФИЛЕЙНЫЕ Папа Может сос ц/о мгс 0,4кг  Останкино</v>
          </cell>
          <cell r="B51" t="str">
            <v>шт</v>
          </cell>
          <cell r="C51">
            <v>5</v>
          </cell>
          <cell r="D51">
            <v>302</v>
          </cell>
          <cell r="E51">
            <v>7</v>
          </cell>
          <cell r="F51">
            <v>148</v>
          </cell>
          <cell r="G51">
            <v>0.4</v>
          </cell>
          <cell r="H51">
            <v>45</v>
          </cell>
          <cell r="I51" t="str">
            <v>матрица</v>
          </cell>
          <cell r="K51">
            <v>34</v>
          </cell>
          <cell r="L51">
            <v>-27</v>
          </cell>
          <cell r="O51">
            <v>0</v>
          </cell>
          <cell r="P51">
            <v>1.4</v>
          </cell>
        </row>
        <row r="52">
          <cell r="A52" t="str">
            <v>6866 ВЕТЧ.НЕЖНАЯ Коровино п/о_Маяк  Останкино</v>
          </cell>
          <cell r="B52" t="str">
            <v>кг</v>
          </cell>
          <cell r="C52">
            <v>208.22499999999999</v>
          </cell>
          <cell r="D52">
            <v>18.11</v>
          </cell>
          <cell r="E52">
            <v>9.0549999999999997</v>
          </cell>
          <cell r="F52">
            <v>193.905</v>
          </cell>
          <cell r="G52">
            <v>1</v>
          </cell>
          <cell r="H52">
            <v>60</v>
          </cell>
          <cell r="I52" t="str">
            <v>матрица</v>
          </cell>
          <cell r="K52">
            <v>9</v>
          </cell>
          <cell r="L52">
            <v>5.4999999999999716E-2</v>
          </cell>
          <cell r="O52">
            <v>0</v>
          </cell>
          <cell r="P52">
            <v>1.8109999999999999</v>
          </cell>
        </row>
        <row r="53">
          <cell r="A53" t="str">
            <v>6929 КАРБОНАД ДОМАШНИЙ ПМ к/в кр/к в/у  ОСТАНКИНО</v>
          </cell>
          <cell r="B53" t="str">
            <v>кг</v>
          </cell>
          <cell r="C53">
            <v>101.77200000000001</v>
          </cell>
          <cell r="D53">
            <v>136.63200000000001</v>
          </cell>
          <cell r="E53">
            <v>19.398</v>
          </cell>
          <cell r="F53">
            <v>150.78399999999999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19</v>
          </cell>
          <cell r="L53">
            <v>0.39799999999999969</v>
          </cell>
          <cell r="O53">
            <v>0</v>
          </cell>
          <cell r="P53">
            <v>3.8795999999999999</v>
          </cell>
        </row>
        <row r="54">
          <cell r="A54" t="str">
            <v>6967 БУРГУНДИЯ Папа может с/к в/у 1/250 8шт  Останкино</v>
          </cell>
          <cell r="B54" t="str">
            <v>шт</v>
          </cell>
          <cell r="C54">
            <v>74</v>
          </cell>
          <cell r="D54">
            <v>68</v>
          </cell>
          <cell r="E54">
            <v>30</v>
          </cell>
          <cell r="F54">
            <v>43</v>
          </cell>
          <cell r="G54">
            <v>0.25</v>
          </cell>
          <cell r="H54">
            <v>120</v>
          </cell>
          <cell r="I54" t="str">
            <v>матрица</v>
          </cell>
          <cell r="K54">
            <v>31</v>
          </cell>
          <cell r="L54">
            <v>-1</v>
          </cell>
          <cell r="O54">
            <v>0</v>
          </cell>
          <cell r="P54">
            <v>6</v>
          </cell>
          <cell r="Q54">
            <v>47</v>
          </cell>
          <cell r="R54">
            <v>100</v>
          </cell>
        </row>
        <row r="55">
          <cell r="A55" t="str">
            <v>7001 КЛАССИЧЕСКИЕ Папа может сар б/о мгс 1*3  Останкино</v>
          </cell>
          <cell r="B55" t="str">
            <v>кг</v>
          </cell>
          <cell r="C55">
            <v>28.173999999999999</v>
          </cell>
          <cell r="D55">
            <v>56.158000000000001</v>
          </cell>
          <cell r="E55">
            <v>9.5670000000000002</v>
          </cell>
          <cell r="F55">
            <v>32.137999999999998</v>
          </cell>
          <cell r="G55">
            <v>1</v>
          </cell>
          <cell r="H55">
            <v>45</v>
          </cell>
          <cell r="I55" t="str">
            <v>матрица</v>
          </cell>
          <cell r="K55">
            <v>11</v>
          </cell>
          <cell r="L55">
            <v>-1.4329999999999998</v>
          </cell>
          <cell r="O55">
            <v>0</v>
          </cell>
          <cell r="P55">
            <v>1.9134</v>
          </cell>
        </row>
        <row r="56">
          <cell r="A56" t="str">
            <v>7040 С ИНДЕЙКОЙ ПМ сос ц/о в/у 1/270 8шт.  ОСТАНКИНО</v>
          </cell>
          <cell r="B56" t="str">
            <v>шт</v>
          </cell>
          <cell r="C56">
            <v>-1</v>
          </cell>
          <cell r="D56">
            <v>512</v>
          </cell>
          <cell r="E56">
            <v>8</v>
          </cell>
          <cell r="F56">
            <v>446</v>
          </cell>
          <cell r="G56">
            <v>0.27</v>
          </cell>
          <cell r="H56">
            <v>45</v>
          </cell>
          <cell r="I56" t="str">
            <v>матрица</v>
          </cell>
          <cell r="K56">
            <v>88</v>
          </cell>
          <cell r="L56">
            <v>-80</v>
          </cell>
          <cell r="O56">
            <v>0</v>
          </cell>
          <cell r="P56">
            <v>1.6</v>
          </cell>
        </row>
        <row r="57">
          <cell r="A57" t="str">
            <v>7059 ШПИКАЧКИ СОЧНЫЕ С БЕК. п/о мгс 0,3кг 60с ОСТАНКИНО</v>
          </cell>
          <cell r="B57" t="str">
            <v>шт</v>
          </cell>
          <cell r="C57">
            <v>113</v>
          </cell>
          <cell r="D57">
            <v>333</v>
          </cell>
          <cell r="E57">
            <v>79</v>
          </cell>
          <cell r="F57">
            <v>173</v>
          </cell>
          <cell r="G57">
            <v>0.3</v>
          </cell>
          <cell r="H57">
            <v>60</v>
          </cell>
          <cell r="I57" t="str">
            <v>матрица</v>
          </cell>
          <cell r="K57">
            <v>81</v>
          </cell>
          <cell r="L57">
            <v>-2</v>
          </cell>
          <cell r="O57">
            <v>0</v>
          </cell>
          <cell r="P57">
            <v>15.8</v>
          </cell>
          <cell r="Q57">
            <v>64</v>
          </cell>
        </row>
        <row r="58">
          <cell r="A58" t="str">
            <v>7066 СОЧНЫЕ ПМ сос п/о мгс 0,41кг 10шт 50с  Останкино</v>
          </cell>
          <cell r="B58" t="str">
            <v>шт</v>
          </cell>
          <cell r="C58">
            <v>1638</v>
          </cell>
          <cell r="D58">
            <v>338</v>
          </cell>
          <cell r="E58">
            <v>449</v>
          </cell>
          <cell r="F58">
            <v>1138</v>
          </cell>
          <cell r="G58">
            <v>0.41</v>
          </cell>
          <cell r="H58">
            <v>50</v>
          </cell>
          <cell r="I58" t="str">
            <v>матрица</v>
          </cell>
          <cell r="K58">
            <v>461</v>
          </cell>
          <cell r="L58">
            <v>-12</v>
          </cell>
          <cell r="O58">
            <v>0</v>
          </cell>
          <cell r="P58">
            <v>89.8</v>
          </cell>
          <cell r="Q58">
            <v>209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127.533</v>
          </cell>
          <cell r="D59">
            <v>68.058000000000007</v>
          </cell>
          <cell r="E59">
            <v>78.989999999999995</v>
          </cell>
          <cell r="F59">
            <v>110.242</v>
          </cell>
          <cell r="G59">
            <v>1</v>
          </cell>
          <cell r="H59">
            <v>50</v>
          </cell>
          <cell r="I59" t="str">
            <v>матрица</v>
          </cell>
          <cell r="K59">
            <v>75.400000000000006</v>
          </cell>
          <cell r="L59">
            <v>3.5899999999999892</v>
          </cell>
          <cell r="O59">
            <v>42</v>
          </cell>
          <cell r="P59">
            <v>15.797999999999998</v>
          </cell>
          <cell r="Q59">
            <v>84.727999999999966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135</v>
          </cell>
          <cell r="D60">
            <v>685</v>
          </cell>
          <cell r="E60">
            <v>78</v>
          </cell>
          <cell r="F60">
            <v>462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78</v>
          </cell>
          <cell r="L60">
            <v>0</v>
          </cell>
          <cell r="O60">
            <v>0</v>
          </cell>
          <cell r="P60">
            <v>15.6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29.484999999999999</v>
          </cell>
          <cell r="D61">
            <v>18.805</v>
          </cell>
          <cell r="E61">
            <v>16.756</v>
          </cell>
          <cell r="F61">
            <v>31.318000000000001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15.5</v>
          </cell>
          <cell r="L61">
            <v>1.2560000000000002</v>
          </cell>
          <cell r="O61">
            <v>4</v>
          </cell>
          <cell r="P61">
            <v>3.3512</v>
          </cell>
          <cell r="Q61">
            <v>14.95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310</v>
          </cell>
          <cell r="D62">
            <v>1024</v>
          </cell>
          <cell r="E62">
            <v>250</v>
          </cell>
          <cell r="F62">
            <v>611</v>
          </cell>
          <cell r="G62">
            <v>0.41</v>
          </cell>
          <cell r="H62">
            <v>50</v>
          </cell>
          <cell r="I62" t="str">
            <v>матрица</v>
          </cell>
          <cell r="K62">
            <v>250</v>
          </cell>
          <cell r="L62">
            <v>0</v>
          </cell>
          <cell r="O62">
            <v>0</v>
          </cell>
          <cell r="P62">
            <v>50</v>
          </cell>
          <cell r="Q62">
            <v>139</v>
          </cell>
          <cell r="R62">
            <v>200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103.128</v>
          </cell>
          <cell r="D63">
            <v>31.634</v>
          </cell>
          <cell r="E63">
            <v>51.43</v>
          </cell>
          <cell r="F63">
            <v>76.956999999999994</v>
          </cell>
          <cell r="G63">
            <v>1</v>
          </cell>
          <cell r="H63">
            <v>50</v>
          </cell>
          <cell r="I63" t="str">
            <v>матрица</v>
          </cell>
          <cell r="K63">
            <v>47.7</v>
          </cell>
          <cell r="L63">
            <v>3.7299999999999969</v>
          </cell>
          <cell r="O63">
            <v>0</v>
          </cell>
          <cell r="P63">
            <v>10.286</v>
          </cell>
          <cell r="Q63">
            <v>77.332999999999998</v>
          </cell>
          <cell r="R63">
            <v>200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224</v>
          </cell>
          <cell r="D64">
            <v>134</v>
          </cell>
          <cell r="E64">
            <v>102</v>
          </cell>
          <cell r="F64">
            <v>122</v>
          </cell>
          <cell r="G64">
            <v>0.3</v>
          </cell>
          <cell r="H64">
            <v>50</v>
          </cell>
          <cell r="I64" t="str">
            <v>матрица</v>
          </cell>
          <cell r="K64">
            <v>101</v>
          </cell>
          <cell r="L64">
            <v>1</v>
          </cell>
          <cell r="O64">
            <v>0</v>
          </cell>
          <cell r="P64">
            <v>20.399999999999999</v>
          </cell>
          <cell r="Q64">
            <v>184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7</v>
          </cell>
          <cell r="D65">
            <v>251</v>
          </cell>
          <cell r="E65">
            <v>3</v>
          </cell>
          <cell r="F65">
            <v>189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36</v>
          </cell>
          <cell r="L65">
            <v>-33</v>
          </cell>
          <cell r="O65">
            <v>0</v>
          </cell>
          <cell r="P65">
            <v>0.6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C66">
            <v>99</v>
          </cell>
          <cell r="D66">
            <v>8</v>
          </cell>
          <cell r="E66">
            <v>20</v>
          </cell>
          <cell r="F66">
            <v>79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20</v>
          </cell>
          <cell r="L66">
            <v>0</v>
          </cell>
          <cell r="O66">
            <v>0</v>
          </cell>
          <cell r="P66">
            <v>4</v>
          </cell>
        </row>
        <row r="67">
          <cell r="A67" t="str">
            <v>7149 БАЛЫКОВАЯ Коровино п/к в/у 0,84кг_50с  Останкино</v>
          </cell>
          <cell r="B67" t="str">
            <v>кг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280</v>
          </cell>
          <cell r="D68">
            <v>635</v>
          </cell>
          <cell r="E68">
            <v>186</v>
          </cell>
          <cell r="F68">
            <v>406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204</v>
          </cell>
          <cell r="L68">
            <v>-18</v>
          </cell>
          <cell r="O68">
            <v>0</v>
          </cell>
          <cell r="P68">
            <v>37.200000000000003</v>
          </cell>
          <cell r="Q68">
            <v>152</v>
          </cell>
          <cell r="R68">
            <v>250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P69">
            <v>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228.643</v>
          </cell>
          <cell r="D70">
            <v>0.73299999999999998</v>
          </cell>
          <cell r="E70">
            <v>96.099000000000004</v>
          </cell>
          <cell r="F70">
            <v>119.16800000000001</v>
          </cell>
          <cell r="G70">
            <v>1</v>
          </cell>
          <cell r="H70">
            <v>50</v>
          </cell>
          <cell r="I70" t="str">
            <v>матрица</v>
          </cell>
          <cell r="K70">
            <v>91.1</v>
          </cell>
          <cell r="L70">
            <v>4.9990000000000094</v>
          </cell>
          <cell r="O70">
            <v>53</v>
          </cell>
          <cell r="P70">
            <v>19.219799999999999</v>
          </cell>
          <cell r="Q70">
            <v>116.12899999999996</v>
          </cell>
          <cell r="R70">
            <v>240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422.608</v>
          </cell>
          <cell r="D71">
            <v>245.785</v>
          </cell>
          <cell r="E71">
            <v>128.773</v>
          </cell>
          <cell r="F71">
            <v>145.43299999999999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120.99</v>
          </cell>
          <cell r="L71">
            <v>7.7830000000000013</v>
          </cell>
          <cell r="O71">
            <v>0</v>
          </cell>
          <cell r="P71">
            <v>25.7546</v>
          </cell>
          <cell r="Q71">
            <v>240.88600000000002</v>
          </cell>
          <cell r="R71">
            <v>400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909</v>
          </cell>
          <cell r="D72">
            <v>198</v>
          </cell>
          <cell r="E72">
            <v>223</v>
          </cell>
          <cell r="F72">
            <v>603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251</v>
          </cell>
          <cell r="L72">
            <v>-28</v>
          </cell>
          <cell r="O72">
            <v>0</v>
          </cell>
          <cell r="P72">
            <v>44.6</v>
          </cell>
          <cell r="Q72">
            <v>66</v>
          </cell>
          <cell r="R72">
            <v>150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190</v>
          </cell>
          <cell r="D73">
            <v>381</v>
          </cell>
          <cell r="E73">
            <v>117</v>
          </cell>
          <cell r="F73">
            <v>265</v>
          </cell>
          <cell r="G73">
            <v>0.3</v>
          </cell>
          <cell r="H73">
            <v>50</v>
          </cell>
          <cell r="I73" t="str">
            <v>матрица</v>
          </cell>
          <cell r="K73">
            <v>121</v>
          </cell>
          <cell r="L73">
            <v>-4</v>
          </cell>
          <cell r="O73">
            <v>0</v>
          </cell>
          <cell r="P73">
            <v>23.4</v>
          </cell>
          <cell r="Q73">
            <v>86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15</v>
          </cell>
          <cell r="D74">
            <v>157</v>
          </cell>
          <cell r="E74">
            <v>20</v>
          </cell>
          <cell r="F74">
            <v>66</v>
          </cell>
          <cell r="G74">
            <v>0.3</v>
          </cell>
          <cell r="H74">
            <v>60</v>
          </cell>
          <cell r="I74" t="str">
            <v>матрица</v>
          </cell>
          <cell r="K74">
            <v>32</v>
          </cell>
          <cell r="L74">
            <v>-12</v>
          </cell>
          <cell r="O74">
            <v>0</v>
          </cell>
          <cell r="P74">
            <v>4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10</v>
          </cell>
          <cell r="D75">
            <v>382</v>
          </cell>
          <cell r="E75">
            <v>51</v>
          </cell>
          <cell r="F75">
            <v>289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194</v>
          </cell>
          <cell r="L75">
            <v>-143</v>
          </cell>
          <cell r="O75">
            <v>107</v>
          </cell>
          <cell r="P75">
            <v>10.199999999999999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194</v>
          </cell>
          <cell r="D76">
            <v>943</v>
          </cell>
          <cell r="E76">
            <v>142</v>
          </cell>
          <cell r="F76">
            <v>446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146</v>
          </cell>
          <cell r="L76">
            <v>-4</v>
          </cell>
          <cell r="O76">
            <v>0</v>
          </cell>
          <cell r="P76">
            <v>28.4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82</v>
          </cell>
          <cell r="D77">
            <v>398</v>
          </cell>
          <cell r="E77">
            <v>110</v>
          </cell>
          <cell r="F77">
            <v>197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118</v>
          </cell>
          <cell r="L77">
            <v>-8</v>
          </cell>
          <cell r="O77">
            <v>0</v>
          </cell>
          <cell r="P77">
            <v>22</v>
          </cell>
          <cell r="Q77">
            <v>133</v>
          </cell>
          <cell r="R77">
            <v>250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102</v>
          </cell>
          <cell r="D78">
            <v>976</v>
          </cell>
          <cell r="E78">
            <v>149</v>
          </cell>
          <cell r="F78">
            <v>418</v>
          </cell>
          <cell r="G78">
            <v>0.4</v>
          </cell>
          <cell r="H78">
            <v>50</v>
          </cell>
          <cell r="I78" t="str">
            <v>матрица</v>
          </cell>
          <cell r="K78">
            <v>201</v>
          </cell>
          <cell r="L78">
            <v>-52</v>
          </cell>
          <cell r="O78">
            <v>96</v>
          </cell>
          <cell r="P78">
            <v>29.8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66.849999999999994</v>
          </cell>
          <cell r="D79">
            <v>30.65</v>
          </cell>
          <cell r="E79">
            <v>0.29399999999999998</v>
          </cell>
          <cell r="F79">
            <v>93.864000000000004</v>
          </cell>
          <cell r="G79">
            <v>1</v>
          </cell>
          <cell r="H79">
            <v>30</v>
          </cell>
          <cell r="I79" t="str">
            <v>матрица</v>
          </cell>
          <cell r="K79">
            <v>3.3</v>
          </cell>
          <cell r="L79">
            <v>-3.0059999999999998</v>
          </cell>
          <cell r="O79">
            <v>0</v>
          </cell>
          <cell r="P79">
            <v>5.8799999999999998E-2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252</v>
          </cell>
          <cell r="D80">
            <v>306</v>
          </cell>
          <cell r="F80">
            <v>255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</row>
        <row r="81">
          <cell r="A81" t="str">
            <v>7345 КОНСЕРВЫ МЯС.СВИНИНА ТУШ. В/С 325г_ЧЗ  ОСТАНКИНО</v>
          </cell>
          <cell r="B81" t="str">
            <v>шт</v>
          </cell>
          <cell r="C81">
            <v>353</v>
          </cell>
          <cell r="D81">
            <v>212</v>
          </cell>
          <cell r="E81">
            <v>3</v>
          </cell>
          <cell r="F81">
            <v>353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K81">
            <v>3</v>
          </cell>
          <cell r="L81">
            <v>0</v>
          </cell>
          <cell r="O81">
            <v>0</v>
          </cell>
          <cell r="P81">
            <v>0.6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127</v>
          </cell>
          <cell r="D82">
            <v>312</v>
          </cell>
          <cell r="E82">
            <v>70</v>
          </cell>
          <cell r="F82">
            <v>241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71</v>
          </cell>
          <cell r="L82">
            <v>-1</v>
          </cell>
          <cell r="O82">
            <v>0</v>
          </cell>
          <cell r="P82">
            <v>14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99</v>
          </cell>
          <cell r="E83">
            <v>21</v>
          </cell>
          <cell r="F83">
            <v>60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125</v>
          </cell>
          <cell r="L83">
            <v>-104</v>
          </cell>
          <cell r="O83">
            <v>0</v>
          </cell>
          <cell r="P83">
            <v>4.2</v>
          </cell>
          <cell r="Q83">
            <v>130</v>
          </cell>
          <cell r="R83">
            <v>250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118</v>
          </cell>
          <cell r="D84">
            <v>300</v>
          </cell>
          <cell r="E84">
            <v>128</v>
          </cell>
          <cell r="F84">
            <v>218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132</v>
          </cell>
          <cell r="L84">
            <v>-4</v>
          </cell>
          <cell r="O84">
            <v>0</v>
          </cell>
          <cell r="P84">
            <v>25.6</v>
          </cell>
          <cell r="Q84">
            <v>166</v>
          </cell>
          <cell r="R84">
            <v>250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98</v>
          </cell>
          <cell r="D85">
            <v>177</v>
          </cell>
          <cell r="E85">
            <v>89</v>
          </cell>
          <cell r="F85">
            <v>69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103</v>
          </cell>
          <cell r="L85">
            <v>-14</v>
          </cell>
          <cell r="O85">
            <v>43</v>
          </cell>
          <cell r="P85">
            <v>17.8</v>
          </cell>
          <cell r="Q85">
            <v>155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D86">
            <v>558</v>
          </cell>
          <cell r="E86">
            <v>73</v>
          </cell>
          <cell r="F86">
            <v>422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303</v>
          </cell>
          <cell r="L86">
            <v>-230</v>
          </cell>
          <cell r="O86">
            <v>0</v>
          </cell>
          <cell r="P86">
            <v>14.6</v>
          </cell>
        </row>
        <row r="87">
          <cell r="A87" t="str">
            <v>7490 СОЧНЫЙ ГРИЛЬ сос ц/о мгс 0.41кг_Даблпак  ОСТАНКИНО</v>
          </cell>
          <cell r="B87" t="str">
            <v>шт</v>
          </cell>
          <cell r="D87">
            <v>120</v>
          </cell>
          <cell r="E87">
            <v>8</v>
          </cell>
          <cell r="F87">
            <v>110</v>
          </cell>
          <cell r="G87">
            <v>0.41</v>
          </cell>
          <cell r="H87">
            <v>45</v>
          </cell>
          <cell r="I87" t="str">
            <v>матрица</v>
          </cell>
          <cell r="L87">
            <v>8</v>
          </cell>
          <cell r="P87">
            <v>1.6</v>
          </cell>
          <cell r="Q87">
            <v>50</v>
          </cell>
          <cell r="R87">
            <v>100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C88">
            <v>83</v>
          </cell>
          <cell r="D88">
            <v>215</v>
          </cell>
          <cell r="E88">
            <v>98</v>
          </cell>
          <cell r="F88">
            <v>81</v>
          </cell>
          <cell r="G88">
            <v>0.26</v>
          </cell>
          <cell r="H88">
            <v>45</v>
          </cell>
          <cell r="I88" t="str">
            <v>матрица</v>
          </cell>
          <cell r="K88">
            <v>133</v>
          </cell>
          <cell r="L88">
            <v>-35</v>
          </cell>
          <cell r="O88">
            <v>0</v>
          </cell>
          <cell r="P88">
            <v>19.600000000000001</v>
          </cell>
          <cell r="Q88">
            <v>193.40000000000003</v>
          </cell>
          <cell r="R88">
            <v>270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34.962000000000003</v>
          </cell>
          <cell r="D89">
            <v>179.58199999999999</v>
          </cell>
          <cell r="E89">
            <v>49.323999999999998</v>
          </cell>
          <cell r="F89">
            <v>108.348</v>
          </cell>
          <cell r="G89">
            <v>1</v>
          </cell>
          <cell r="H89">
            <v>30</v>
          </cell>
          <cell r="I89" t="str">
            <v>матрица</v>
          </cell>
          <cell r="K89">
            <v>59.8</v>
          </cell>
          <cell r="L89">
            <v>-10.475999999999999</v>
          </cell>
          <cell r="O89">
            <v>0</v>
          </cell>
          <cell r="P89">
            <v>9.8647999999999989</v>
          </cell>
          <cell r="Q89">
            <v>39.623999999999981</v>
          </cell>
          <cell r="R89">
            <v>70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115</v>
          </cell>
          <cell r="D90">
            <v>260</v>
          </cell>
          <cell r="E90">
            <v>115</v>
          </cell>
          <cell r="F90">
            <v>144</v>
          </cell>
          <cell r="G90">
            <v>0.31</v>
          </cell>
          <cell r="H90">
            <v>45</v>
          </cell>
          <cell r="I90" t="str">
            <v>матрица</v>
          </cell>
          <cell r="K90">
            <v>116</v>
          </cell>
          <cell r="L90">
            <v>-1</v>
          </cell>
          <cell r="O90">
            <v>0</v>
          </cell>
          <cell r="P90">
            <v>23</v>
          </cell>
          <cell r="Q90">
            <v>201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60.878999999999998</v>
          </cell>
          <cell r="D91">
            <v>104.562</v>
          </cell>
          <cell r="E91">
            <v>46.439</v>
          </cell>
          <cell r="F91">
            <v>103.66800000000001</v>
          </cell>
          <cell r="G91">
            <v>1</v>
          </cell>
          <cell r="H91">
            <v>30</v>
          </cell>
          <cell r="I91" t="str">
            <v>матрица</v>
          </cell>
          <cell r="K91">
            <v>44.6</v>
          </cell>
          <cell r="L91">
            <v>1.8389999999999986</v>
          </cell>
          <cell r="O91">
            <v>0</v>
          </cell>
          <cell r="P91">
            <v>9.2878000000000007</v>
          </cell>
          <cell r="Q91">
            <v>35.649000000000001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47</v>
          </cell>
          <cell r="D92">
            <v>379</v>
          </cell>
          <cell r="E92">
            <v>58</v>
          </cell>
          <cell r="F92">
            <v>153</v>
          </cell>
          <cell r="G92">
            <v>0.4</v>
          </cell>
          <cell r="H92">
            <v>60</v>
          </cell>
          <cell r="I92" t="str">
            <v>матрица</v>
          </cell>
          <cell r="K92">
            <v>65</v>
          </cell>
          <cell r="L92">
            <v>-7</v>
          </cell>
          <cell r="O92">
            <v>0</v>
          </cell>
          <cell r="P92">
            <v>11.6</v>
          </cell>
          <cell r="Q92">
            <v>21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-8</v>
          </cell>
          <cell r="D93">
            <v>117</v>
          </cell>
          <cell r="E93">
            <v>15</v>
          </cell>
          <cell r="F93">
            <v>81</v>
          </cell>
          <cell r="G93">
            <v>0.35</v>
          </cell>
          <cell r="H93">
            <v>60</v>
          </cell>
          <cell r="I93" t="str">
            <v>матрица</v>
          </cell>
          <cell r="K93">
            <v>160</v>
          </cell>
          <cell r="L93">
            <v>-145</v>
          </cell>
          <cell r="O93">
            <v>0</v>
          </cell>
          <cell r="P93">
            <v>3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44.593000000000004</v>
          </cell>
          <cell r="D94">
            <v>83.631</v>
          </cell>
          <cell r="E94">
            <v>34.183999999999997</v>
          </cell>
          <cell r="F94">
            <v>9.3680000000000003</v>
          </cell>
          <cell r="G94">
            <v>1</v>
          </cell>
          <cell r="H94">
            <v>45</v>
          </cell>
          <cell r="I94" t="str">
            <v>матрица</v>
          </cell>
          <cell r="K94">
            <v>34.9</v>
          </cell>
          <cell r="L94">
            <v>-0.71600000000000108</v>
          </cell>
          <cell r="O94">
            <v>39</v>
          </cell>
          <cell r="P94">
            <v>6.8367999999999993</v>
          </cell>
          <cell r="Q94">
            <v>54.18399999999999</v>
          </cell>
          <cell r="R94">
            <v>120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39.808</v>
          </cell>
          <cell r="E95">
            <v>38.072000000000003</v>
          </cell>
          <cell r="F95">
            <v>1.736</v>
          </cell>
          <cell r="G95">
            <v>1</v>
          </cell>
          <cell r="H95">
            <v>45</v>
          </cell>
          <cell r="I95" t="str">
            <v>матрица</v>
          </cell>
          <cell r="K95">
            <v>57.6</v>
          </cell>
          <cell r="L95">
            <v>-19.527999999999999</v>
          </cell>
          <cell r="O95">
            <v>144</v>
          </cell>
          <cell r="P95">
            <v>7.6144000000000007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33</v>
          </cell>
          <cell r="D96">
            <v>297</v>
          </cell>
          <cell r="E96">
            <v>50</v>
          </cell>
          <cell r="F96">
            <v>62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143</v>
          </cell>
          <cell r="L96">
            <v>-93</v>
          </cell>
          <cell r="O96">
            <v>0</v>
          </cell>
          <cell r="P96">
            <v>10</v>
          </cell>
          <cell r="Q96">
            <v>88</v>
          </cell>
          <cell r="R96">
            <v>150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139</v>
          </cell>
          <cell r="D97">
            <v>167</v>
          </cell>
          <cell r="E97">
            <v>64</v>
          </cell>
          <cell r="F97">
            <v>54</v>
          </cell>
          <cell r="G97">
            <v>0.1</v>
          </cell>
          <cell r="H97">
            <v>60</v>
          </cell>
          <cell r="I97" t="str">
            <v>матрица</v>
          </cell>
          <cell r="K97">
            <v>65</v>
          </cell>
          <cell r="L97">
            <v>-1</v>
          </cell>
          <cell r="O97">
            <v>101</v>
          </cell>
          <cell r="P97">
            <v>12.8</v>
          </cell>
          <cell r="Q97">
            <v>37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319</v>
          </cell>
          <cell r="D98">
            <v>172</v>
          </cell>
          <cell r="E98">
            <v>121</v>
          </cell>
          <cell r="F98">
            <v>195</v>
          </cell>
          <cell r="G98">
            <v>0.1</v>
          </cell>
          <cell r="H98">
            <v>60</v>
          </cell>
          <cell r="I98" t="str">
            <v>матрица</v>
          </cell>
          <cell r="K98">
            <v>116</v>
          </cell>
          <cell r="L98">
            <v>5</v>
          </cell>
          <cell r="O98">
            <v>14</v>
          </cell>
          <cell r="P98">
            <v>24.2</v>
          </cell>
          <cell r="Q98">
            <v>154</v>
          </cell>
          <cell r="R98">
            <v>220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242</v>
          </cell>
          <cell r="D99">
            <v>430</v>
          </cell>
          <cell r="E99">
            <v>138</v>
          </cell>
          <cell r="F99">
            <v>287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157</v>
          </cell>
          <cell r="L99">
            <v>-19</v>
          </cell>
          <cell r="O99">
            <v>0</v>
          </cell>
          <cell r="P99">
            <v>27.6</v>
          </cell>
          <cell r="Q99">
            <v>127</v>
          </cell>
          <cell r="R99">
            <v>200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23</v>
          </cell>
          <cell r="D100">
            <v>2</v>
          </cell>
          <cell r="E100">
            <v>-5</v>
          </cell>
          <cell r="G100">
            <v>0</v>
          </cell>
          <cell r="I100" t="str">
            <v>вывод</v>
          </cell>
          <cell r="J100" t="str">
            <v>7730 ХОЧУ ВЕТЧ.ИЗ СВ.ОТРУБА мгс 1/100_45с_Л11  ОСТАНКИНО</v>
          </cell>
          <cell r="K100">
            <v>52</v>
          </cell>
          <cell r="L100">
            <v>-57</v>
          </cell>
          <cell r="O100">
            <v>0</v>
          </cell>
          <cell r="P100">
            <v>-1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29</v>
          </cell>
          <cell r="D101">
            <v>11</v>
          </cell>
          <cell r="E101">
            <v>4</v>
          </cell>
          <cell r="G101">
            <v>0</v>
          </cell>
          <cell r="I101" t="str">
            <v>вывод</v>
          </cell>
          <cell r="J101" t="str">
            <v>7731 ХОЧУ ВЕТЧ. МРАМОР. с/н мгс 1/100_45с_Л11  ОСТАНКИНО</v>
          </cell>
          <cell r="K101">
            <v>82</v>
          </cell>
          <cell r="L101">
            <v>-78</v>
          </cell>
          <cell r="O101">
            <v>0</v>
          </cell>
          <cell r="P101">
            <v>0.8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D102">
            <v>290</v>
          </cell>
          <cell r="E102">
            <v>2</v>
          </cell>
          <cell r="F102">
            <v>140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</v>
          </cell>
          <cell r="L102">
            <v>-1</v>
          </cell>
          <cell r="O102">
            <v>0</v>
          </cell>
          <cell r="P102">
            <v>0.4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D103">
            <v>90</v>
          </cell>
          <cell r="E103">
            <v>74</v>
          </cell>
          <cell r="F103">
            <v>88</v>
          </cell>
          <cell r="G103">
            <v>0.3</v>
          </cell>
          <cell r="H103">
            <v>62</v>
          </cell>
          <cell r="I103" t="str">
            <v>матрица</v>
          </cell>
          <cell r="L103">
            <v>74</v>
          </cell>
          <cell r="P103">
            <v>14.8</v>
          </cell>
          <cell r="Q103">
            <v>134</v>
          </cell>
          <cell r="R103">
            <v>200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96</v>
          </cell>
          <cell r="E104">
            <v>-5</v>
          </cell>
          <cell r="F104">
            <v>95</v>
          </cell>
          <cell r="G104">
            <v>0.1</v>
          </cell>
          <cell r="H104">
            <v>45</v>
          </cell>
          <cell r="I104" t="str">
            <v>матрица</v>
          </cell>
          <cell r="L104">
            <v>-5</v>
          </cell>
          <cell r="P104">
            <v>-1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D105">
            <v>48</v>
          </cell>
          <cell r="E105">
            <v>4</v>
          </cell>
          <cell r="F105">
            <v>41</v>
          </cell>
          <cell r="G105">
            <v>0.1</v>
          </cell>
          <cell r="H105">
            <v>45</v>
          </cell>
          <cell r="I105" t="str">
            <v>матрица</v>
          </cell>
          <cell r="L105">
            <v>4</v>
          </cell>
          <cell r="P105">
            <v>0.8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H107">
            <v>60</v>
          </cell>
          <cell r="I107" t="str">
            <v>матрица</v>
          </cell>
          <cell r="K107">
            <v>2.6</v>
          </cell>
          <cell r="L107">
            <v>-2.6</v>
          </cell>
          <cell r="O107">
            <v>0</v>
          </cell>
          <cell r="P107">
            <v>0</v>
          </cell>
        </row>
        <row r="108">
          <cell r="A108" t="str">
            <v>7512 ЧАЙНАЯ Останкино вар н/о мгс 1*3</v>
          </cell>
          <cell r="B108" t="str">
            <v>кг</v>
          </cell>
          <cell r="G108">
            <v>0</v>
          </cell>
          <cell r="I108" t="str">
            <v>РАЗОВО</v>
          </cell>
          <cell r="O108">
            <v>50</v>
          </cell>
          <cell r="P108">
            <v>0</v>
          </cell>
          <cell r="R108">
            <v>40</v>
          </cell>
        </row>
        <row r="109">
          <cell r="A109" t="str">
            <v>6764 СЛИВОЧНЫЕ сос ц/о мгс 1*4</v>
          </cell>
          <cell r="B109" t="str">
            <v>кг</v>
          </cell>
          <cell r="G109">
            <v>0</v>
          </cell>
          <cell r="I109" t="str">
            <v>РАЗОВО</v>
          </cell>
          <cell r="O109">
            <v>50</v>
          </cell>
          <cell r="P109">
            <v>0</v>
          </cell>
          <cell r="R109">
            <v>40</v>
          </cell>
        </row>
        <row r="110">
          <cell r="A110" t="str">
            <v>7224 МЯСНЫЕ ПРЕМИУМ пельм кор.0.4кг зам. (7224)</v>
          </cell>
          <cell r="B110" t="str">
            <v>шт</v>
          </cell>
          <cell r="G110">
            <v>0</v>
          </cell>
          <cell r="I110" t="str">
            <v>РАЗОВО</v>
          </cell>
          <cell r="O110">
            <v>70</v>
          </cell>
          <cell r="P110">
            <v>0</v>
          </cell>
          <cell r="R110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1" sqref="AK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2" customWidth="1"/>
    <col min="20" max="21" width="5" customWidth="1"/>
    <col min="22" max="31" width="6" customWidth="1"/>
    <col min="32" max="32" width="48.285156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176</v>
      </c>
      <c r="S3" s="3" t="s">
        <v>174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177</v>
      </c>
      <c r="S4" s="1" t="s">
        <v>175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6552.722999999999</v>
      </c>
      <c r="F5" s="4">
        <f>SUM(F6:F498)</f>
        <v>18418.735999999997</v>
      </c>
      <c r="G5" s="7"/>
      <c r="H5" s="1"/>
      <c r="I5" s="1"/>
      <c r="J5" s="1"/>
      <c r="K5" s="4">
        <f t="shared" ref="K5:S5" si="0">SUM(K6:K498)</f>
        <v>8324.1620000000021</v>
      </c>
      <c r="L5" s="4">
        <f t="shared" si="0"/>
        <v>-1771.4390000000001</v>
      </c>
      <c r="M5" s="4">
        <f t="shared" si="0"/>
        <v>0</v>
      </c>
      <c r="N5" s="4">
        <f t="shared" si="0"/>
        <v>0</v>
      </c>
      <c r="O5" s="4">
        <f t="shared" si="0"/>
        <v>1421</v>
      </c>
      <c r="P5" s="4">
        <f t="shared" si="0"/>
        <v>1310.5445999999995</v>
      </c>
      <c r="Q5" s="4">
        <f t="shared" si="0"/>
        <v>5570.8878000000004</v>
      </c>
      <c r="R5" s="4">
        <f t="shared" si="0"/>
        <v>6897</v>
      </c>
      <c r="S5" s="4">
        <f t="shared" si="0"/>
        <v>6819</v>
      </c>
      <c r="T5" s="1"/>
      <c r="U5" s="1"/>
      <c r="V5" s="4">
        <f t="shared" ref="V5:AE5" si="1">SUM(V6:V498)</f>
        <v>1115.4724000000001</v>
      </c>
      <c r="W5" s="4">
        <f t="shared" si="1"/>
        <v>1721.7382000000005</v>
      </c>
      <c r="X5" s="4">
        <f t="shared" si="1"/>
        <v>2528.5627999999997</v>
      </c>
      <c r="Y5" s="4">
        <f t="shared" si="1"/>
        <v>2799.6762000000008</v>
      </c>
      <c r="Z5" s="4">
        <f t="shared" si="1"/>
        <v>3367.0326000000014</v>
      </c>
      <c r="AA5" s="4">
        <f t="shared" si="1"/>
        <v>1979.1166000000001</v>
      </c>
      <c r="AB5" s="4">
        <f t="shared" si="1"/>
        <v>3892.0544000000018</v>
      </c>
      <c r="AC5" s="4">
        <f t="shared" si="1"/>
        <v>3658.2815999999993</v>
      </c>
      <c r="AD5" s="4">
        <f t="shared" si="1"/>
        <v>2187.5886</v>
      </c>
      <c r="AE5" s="4">
        <f t="shared" si="1"/>
        <v>2522.6506000000004</v>
      </c>
      <c r="AF5" s="1"/>
      <c r="AG5" s="4">
        <f>SUM(AG6:AG498)</f>
        <v>2894.1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3.8</v>
      </c>
      <c r="D6" s="1">
        <v>54.408000000000001</v>
      </c>
      <c r="E6" s="1">
        <v>5.4210000000000003</v>
      </c>
      <c r="F6" s="1">
        <v>47.904000000000003</v>
      </c>
      <c r="G6" s="7">
        <v>1</v>
      </c>
      <c r="H6" s="1">
        <v>120</v>
      </c>
      <c r="I6" s="1" t="s">
        <v>36</v>
      </c>
      <c r="J6" s="1"/>
      <c r="K6" s="1">
        <v>9</v>
      </c>
      <c r="L6" s="1">
        <f t="shared" ref="L6:L37" si="2">E6-K6</f>
        <v>-3.5789999999999997</v>
      </c>
      <c r="M6" s="1"/>
      <c r="N6" s="1"/>
      <c r="O6" s="1">
        <v>0</v>
      </c>
      <c r="P6" s="1">
        <f t="shared" ref="P6:P37" si="3">E6/5</f>
        <v>1.0842000000000001</v>
      </c>
      <c r="Q6" s="5"/>
      <c r="R6" s="5">
        <f>ROUND(Q6,0)</f>
        <v>0</v>
      </c>
      <c r="S6" s="21"/>
      <c r="T6" s="1">
        <f>(F6+O6+R6)/P6</f>
        <v>44.183729939125627</v>
      </c>
      <c r="U6" s="1">
        <f t="shared" ref="U6:U37" si="4">(F6+O6)/P6</f>
        <v>44.183729939125627</v>
      </c>
      <c r="V6" s="1">
        <v>0</v>
      </c>
      <c r="W6" s="1">
        <v>3.7012</v>
      </c>
      <c r="X6" s="1">
        <v>1.3715999999999999</v>
      </c>
      <c r="Y6" s="1">
        <v>2.3786</v>
      </c>
      <c r="Z6" s="1">
        <v>0.79720000000000002</v>
      </c>
      <c r="AA6" s="1">
        <v>0.3392</v>
      </c>
      <c r="AB6" s="1">
        <v>3.1198000000000001</v>
      </c>
      <c r="AC6" s="1">
        <v>0</v>
      </c>
      <c r="AD6" s="1">
        <v>0</v>
      </c>
      <c r="AE6" s="1">
        <v>0</v>
      </c>
      <c r="AF6" s="1" t="s">
        <v>37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254</v>
      </c>
      <c r="D7" s="1">
        <v>535</v>
      </c>
      <c r="E7" s="1">
        <v>93</v>
      </c>
      <c r="F7" s="1">
        <v>405</v>
      </c>
      <c r="G7" s="7">
        <v>0.4</v>
      </c>
      <c r="H7" s="1">
        <v>60</v>
      </c>
      <c r="I7" s="1" t="s">
        <v>36</v>
      </c>
      <c r="J7" s="1"/>
      <c r="K7" s="1">
        <v>100</v>
      </c>
      <c r="L7" s="1">
        <f t="shared" si="2"/>
        <v>-7</v>
      </c>
      <c r="M7" s="1"/>
      <c r="N7" s="1"/>
      <c r="O7" s="1">
        <v>0</v>
      </c>
      <c r="P7" s="1">
        <f t="shared" si="3"/>
        <v>18.600000000000001</v>
      </c>
      <c r="Q7" s="5"/>
      <c r="R7" s="5">
        <f t="shared" ref="R7:R70" si="5">ROUND(Q7,0)</f>
        <v>0</v>
      </c>
      <c r="S7" s="21"/>
      <c r="T7" s="1">
        <f t="shared" ref="T7:T70" si="6">(F7+O7+R7)/P7</f>
        <v>21.774193548387096</v>
      </c>
      <c r="U7" s="1">
        <f t="shared" si="4"/>
        <v>21.774193548387096</v>
      </c>
      <c r="V7" s="1">
        <v>9.6</v>
      </c>
      <c r="W7" s="1">
        <v>27.8</v>
      </c>
      <c r="X7" s="1">
        <v>29.8</v>
      </c>
      <c r="Y7" s="1">
        <v>43.6</v>
      </c>
      <c r="Z7" s="1">
        <v>69.400000000000006</v>
      </c>
      <c r="AA7" s="1">
        <v>26.6</v>
      </c>
      <c r="AB7" s="1">
        <v>68.8</v>
      </c>
      <c r="AC7" s="1">
        <v>75.599999999999994</v>
      </c>
      <c r="AD7" s="1">
        <v>35.4</v>
      </c>
      <c r="AE7" s="1">
        <v>54.2</v>
      </c>
      <c r="AF7" s="14" t="s">
        <v>40</v>
      </c>
      <c r="AG7" s="1">
        <f t="shared" ref="AG7:AG70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35</v>
      </c>
      <c r="C8" s="1">
        <v>16.670000000000002</v>
      </c>
      <c r="D8" s="1">
        <v>67.191000000000003</v>
      </c>
      <c r="E8" s="1">
        <v>1.9630000000000001</v>
      </c>
      <c r="F8" s="1">
        <v>31.446999999999999</v>
      </c>
      <c r="G8" s="7">
        <v>1</v>
      </c>
      <c r="H8" s="1">
        <v>120</v>
      </c>
      <c r="I8" s="1" t="s">
        <v>36</v>
      </c>
      <c r="J8" s="1"/>
      <c r="K8" s="1">
        <v>5</v>
      </c>
      <c r="L8" s="1">
        <f t="shared" si="2"/>
        <v>-3.0369999999999999</v>
      </c>
      <c r="M8" s="1"/>
      <c r="N8" s="1"/>
      <c r="O8" s="1">
        <v>0</v>
      </c>
      <c r="P8" s="1">
        <f t="shared" si="3"/>
        <v>0.3926</v>
      </c>
      <c r="Q8" s="5"/>
      <c r="R8" s="5">
        <f t="shared" si="5"/>
        <v>0</v>
      </c>
      <c r="S8" s="21"/>
      <c r="T8" s="1">
        <f t="shared" si="6"/>
        <v>80.099337748344368</v>
      </c>
      <c r="U8" s="1">
        <f t="shared" si="4"/>
        <v>80.099337748344368</v>
      </c>
      <c r="V8" s="1">
        <v>1.1908000000000001</v>
      </c>
      <c r="W8" s="1">
        <v>1.0045999999999999</v>
      </c>
      <c r="X8" s="1">
        <v>3.4196</v>
      </c>
      <c r="Y8" s="1">
        <v>3.7907999999999999</v>
      </c>
      <c r="Z8" s="1">
        <v>3.9006000000000012</v>
      </c>
      <c r="AA8" s="1">
        <v>3.4222000000000001</v>
      </c>
      <c r="AB8" s="1">
        <v>5.2168000000000001</v>
      </c>
      <c r="AC8" s="1">
        <v>4.2012</v>
      </c>
      <c r="AD8" s="1">
        <v>3.2757999999999998</v>
      </c>
      <c r="AE8" s="1">
        <v>0.29959999999999998</v>
      </c>
      <c r="AF8" s="14" t="s">
        <v>40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39</v>
      </c>
      <c r="C9" s="1">
        <v>344</v>
      </c>
      <c r="D9" s="1">
        <v>104</v>
      </c>
      <c r="E9" s="1">
        <v>72</v>
      </c>
      <c r="F9" s="1">
        <v>268</v>
      </c>
      <c r="G9" s="7">
        <v>0.25</v>
      </c>
      <c r="H9" s="1">
        <v>120</v>
      </c>
      <c r="I9" s="1" t="s">
        <v>36</v>
      </c>
      <c r="J9" s="1"/>
      <c r="K9" s="1">
        <v>75</v>
      </c>
      <c r="L9" s="1">
        <f t="shared" si="2"/>
        <v>-3</v>
      </c>
      <c r="M9" s="1"/>
      <c r="N9" s="1"/>
      <c r="O9" s="1">
        <v>0</v>
      </c>
      <c r="P9" s="1">
        <f t="shared" si="3"/>
        <v>14.4</v>
      </c>
      <c r="Q9" s="5"/>
      <c r="R9" s="5">
        <f t="shared" si="5"/>
        <v>0</v>
      </c>
      <c r="S9" s="21">
        <f>VLOOKUP(A9,[1]Sheet!$A:$R,18,0)</f>
        <v>100</v>
      </c>
      <c r="T9" s="1">
        <f t="shared" si="6"/>
        <v>18.611111111111111</v>
      </c>
      <c r="U9" s="1">
        <f t="shared" si="4"/>
        <v>18.611111111111111</v>
      </c>
      <c r="V9" s="1">
        <v>13.6</v>
      </c>
      <c r="W9" s="1">
        <v>15.8</v>
      </c>
      <c r="X9" s="1">
        <v>35</v>
      </c>
      <c r="Y9" s="1">
        <v>54</v>
      </c>
      <c r="Z9" s="1">
        <v>88</v>
      </c>
      <c r="AA9" s="1">
        <v>23.2</v>
      </c>
      <c r="AB9" s="1">
        <v>97.8</v>
      </c>
      <c r="AC9" s="1">
        <v>70</v>
      </c>
      <c r="AD9" s="1">
        <v>29.8</v>
      </c>
      <c r="AE9" s="1">
        <v>37.4</v>
      </c>
      <c r="AF9" s="16" t="s">
        <v>43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35</v>
      </c>
      <c r="C10" s="1">
        <v>296.59500000000003</v>
      </c>
      <c r="D10" s="1">
        <v>244.774</v>
      </c>
      <c r="E10" s="1">
        <v>76.626000000000005</v>
      </c>
      <c r="F10" s="1">
        <v>215.71100000000001</v>
      </c>
      <c r="G10" s="7">
        <v>1</v>
      </c>
      <c r="H10" s="1">
        <v>60</v>
      </c>
      <c r="I10" s="1" t="s">
        <v>36</v>
      </c>
      <c r="J10" s="1"/>
      <c r="K10" s="1">
        <v>83.3</v>
      </c>
      <c r="L10" s="1">
        <f t="shared" si="2"/>
        <v>-6.6739999999999924</v>
      </c>
      <c r="M10" s="1"/>
      <c r="N10" s="1"/>
      <c r="O10" s="1">
        <v>0</v>
      </c>
      <c r="P10" s="1">
        <f t="shared" si="3"/>
        <v>15.325200000000001</v>
      </c>
      <c r="Q10" s="5">
        <f t="shared" ref="Q10:Q30" si="8">15*P10-O10-F10</f>
        <v>14.167000000000002</v>
      </c>
      <c r="R10" s="5">
        <f t="shared" si="5"/>
        <v>14</v>
      </c>
      <c r="S10" s="21"/>
      <c r="T10" s="1">
        <f t="shared" si="6"/>
        <v>14.989102915459505</v>
      </c>
      <c r="U10" s="1">
        <f t="shared" si="4"/>
        <v>14.075574870148515</v>
      </c>
      <c r="V10" s="1">
        <v>13.6114</v>
      </c>
      <c r="W10" s="1">
        <v>10.8734</v>
      </c>
      <c r="X10" s="1">
        <v>33.908200000000001</v>
      </c>
      <c r="Y10" s="1">
        <v>44.263199999999998</v>
      </c>
      <c r="Z10" s="1">
        <v>46.027599999999993</v>
      </c>
      <c r="AA10" s="1">
        <v>57.752200000000002</v>
      </c>
      <c r="AB10" s="1">
        <v>47.667999999999999</v>
      </c>
      <c r="AC10" s="1">
        <v>71.5244</v>
      </c>
      <c r="AD10" s="1">
        <v>59.996400000000008</v>
      </c>
      <c r="AE10" s="1">
        <v>49.260599999999997</v>
      </c>
      <c r="AF10" s="1"/>
      <c r="AG10" s="1">
        <f t="shared" si="7"/>
        <v>14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35</v>
      </c>
      <c r="C11" s="1">
        <v>21.821999999999999</v>
      </c>
      <c r="D11" s="1">
        <v>8.048</v>
      </c>
      <c r="E11" s="1">
        <v>5.5369999999999999</v>
      </c>
      <c r="F11" s="1">
        <v>23.841000000000001</v>
      </c>
      <c r="G11" s="7">
        <v>1</v>
      </c>
      <c r="H11" s="1">
        <v>120</v>
      </c>
      <c r="I11" s="1" t="s">
        <v>36</v>
      </c>
      <c r="J11" s="1"/>
      <c r="K11" s="1">
        <v>6.1</v>
      </c>
      <c r="L11" s="1">
        <f t="shared" si="2"/>
        <v>-0.56299999999999972</v>
      </c>
      <c r="M11" s="1"/>
      <c r="N11" s="1"/>
      <c r="O11" s="1">
        <v>0</v>
      </c>
      <c r="P11" s="1">
        <f t="shared" si="3"/>
        <v>1.1073999999999999</v>
      </c>
      <c r="Q11" s="5"/>
      <c r="R11" s="5">
        <f t="shared" si="5"/>
        <v>0</v>
      </c>
      <c r="S11" s="21"/>
      <c r="T11" s="1">
        <f t="shared" si="6"/>
        <v>21.528806212750588</v>
      </c>
      <c r="U11" s="1">
        <f t="shared" si="4"/>
        <v>21.528806212750588</v>
      </c>
      <c r="V11" s="1">
        <v>0.90579999999999994</v>
      </c>
      <c r="W11" s="1">
        <v>1.2098</v>
      </c>
      <c r="X11" s="1">
        <v>3.2311999999999999</v>
      </c>
      <c r="Y11" s="1">
        <v>2.4188000000000001</v>
      </c>
      <c r="Z11" s="1">
        <v>4.3449999999999998</v>
      </c>
      <c r="AA11" s="1">
        <v>4.2176</v>
      </c>
      <c r="AB11" s="1">
        <v>10.532</v>
      </c>
      <c r="AC11" s="1">
        <v>6.9102000000000006</v>
      </c>
      <c r="AD11" s="1">
        <v>4.5746000000000002</v>
      </c>
      <c r="AE11" s="1">
        <v>8.6004000000000005</v>
      </c>
      <c r="AF11" s="14" t="s">
        <v>40</v>
      </c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35</v>
      </c>
      <c r="C12" s="1">
        <v>78.391999999999996</v>
      </c>
      <c r="D12" s="1">
        <v>117.499</v>
      </c>
      <c r="E12" s="1">
        <v>16.196999999999999</v>
      </c>
      <c r="F12" s="1">
        <v>82.555999999999997</v>
      </c>
      <c r="G12" s="7">
        <v>1</v>
      </c>
      <c r="H12" s="1">
        <v>60</v>
      </c>
      <c r="I12" s="1" t="s">
        <v>36</v>
      </c>
      <c r="J12" s="1"/>
      <c r="K12" s="1">
        <v>15.5</v>
      </c>
      <c r="L12" s="1">
        <f t="shared" si="2"/>
        <v>0.69699999999999918</v>
      </c>
      <c r="M12" s="1"/>
      <c r="N12" s="1"/>
      <c r="O12" s="1">
        <v>0</v>
      </c>
      <c r="P12" s="1">
        <f t="shared" si="3"/>
        <v>3.2393999999999998</v>
      </c>
      <c r="Q12" s="5"/>
      <c r="R12" s="5">
        <f t="shared" si="5"/>
        <v>0</v>
      </c>
      <c r="S12" s="21"/>
      <c r="T12" s="1">
        <f t="shared" si="6"/>
        <v>25.484966351793542</v>
      </c>
      <c r="U12" s="1">
        <f t="shared" si="4"/>
        <v>25.484966351793542</v>
      </c>
      <c r="V12" s="1">
        <v>0.873</v>
      </c>
      <c r="W12" s="1">
        <v>2.9805999999999999</v>
      </c>
      <c r="X12" s="1">
        <v>7.7805999999999997</v>
      </c>
      <c r="Y12" s="1">
        <v>1.5187999999999999</v>
      </c>
      <c r="Z12" s="1">
        <v>6.2080000000000002</v>
      </c>
      <c r="AA12" s="1">
        <v>8.642199999999999</v>
      </c>
      <c r="AB12" s="1">
        <v>5.4014000000000006</v>
      </c>
      <c r="AC12" s="1">
        <v>2.4533999999999998</v>
      </c>
      <c r="AD12" s="1">
        <v>4.0156000000000001</v>
      </c>
      <c r="AE12" s="1">
        <v>8.7403999999999993</v>
      </c>
      <c r="AF12" s="14" t="s">
        <v>40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35</v>
      </c>
      <c r="C13" s="1">
        <v>128.80199999999999</v>
      </c>
      <c r="D13" s="1">
        <v>167.245</v>
      </c>
      <c r="E13" s="1">
        <v>40.479999999999997</v>
      </c>
      <c r="F13" s="1">
        <v>154.75800000000001</v>
      </c>
      <c r="G13" s="7">
        <v>1</v>
      </c>
      <c r="H13" s="1">
        <v>60</v>
      </c>
      <c r="I13" s="1" t="s">
        <v>36</v>
      </c>
      <c r="J13" s="1"/>
      <c r="K13" s="1">
        <v>41.7</v>
      </c>
      <c r="L13" s="1">
        <f t="shared" si="2"/>
        <v>-1.220000000000006</v>
      </c>
      <c r="M13" s="1"/>
      <c r="N13" s="1"/>
      <c r="O13" s="1">
        <v>50</v>
      </c>
      <c r="P13" s="1">
        <f t="shared" si="3"/>
        <v>8.0960000000000001</v>
      </c>
      <c r="Q13" s="5"/>
      <c r="R13" s="5">
        <f t="shared" si="5"/>
        <v>0</v>
      </c>
      <c r="S13" s="21">
        <f>VLOOKUP(A13,[1]Sheet!$A:$R,18,0)</f>
        <v>59</v>
      </c>
      <c r="T13" s="1">
        <f t="shared" si="6"/>
        <v>25.291254940711465</v>
      </c>
      <c r="U13" s="1">
        <f t="shared" si="4"/>
        <v>25.291254940711465</v>
      </c>
      <c r="V13" s="1">
        <v>7.3555999999999999</v>
      </c>
      <c r="W13" s="1">
        <v>11.936999999999999</v>
      </c>
      <c r="X13" s="1">
        <v>35.2318</v>
      </c>
      <c r="Y13" s="1">
        <v>38.9786</v>
      </c>
      <c r="Z13" s="1">
        <v>46.416999999999987</v>
      </c>
      <c r="AA13" s="1">
        <v>60.004800000000003</v>
      </c>
      <c r="AB13" s="1">
        <v>59.633799999999987</v>
      </c>
      <c r="AC13" s="1">
        <v>64.598800000000011</v>
      </c>
      <c r="AD13" s="1">
        <v>47.507800000000003</v>
      </c>
      <c r="AE13" s="1">
        <v>63.072600000000001</v>
      </c>
      <c r="AF13" s="14" t="s">
        <v>40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39</v>
      </c>
      <c r="C14" s="1">
        <v>74</v>
      </c>
      <c r="D14" s="1">
        <v>233</v>
      </c>
      <c r="E14" s="1">
        <v>34</v>
      </c>
      <c r="F14" s="1">
        <v>152</v>
      </c>
      <c r="G14" s="7">
        <v>0.25</v>
      </c>
      <c r="H14" s="1">
        <v>120</v>
      </c>
      <c r="I14" s="1" t="s">
        <v>36</v>
      </c>
      <c r="J14" s="1"/>
      <c r="K14" s="1">
        <v>35</v>
      </c>
      <c r="L14" s="1">
        <f t="shared" si="2"/>
        <v>-1</v>
      </c>
      <c r="M14" s="1"/>
      <c r="N14" s="1"/>
      <c r="O14" s="1">
        <v>50</v>
      </c>
      <c r="P14" s="1">
        <f t="shared" si="3"/>
        <v>6.8</v>
      </c>
      <c r="Q14" s="5"/>
      <c r="R14" s="5">
        <f t="shared" si="5"/>
        <v>0</v>
      </c>
      <c r="S14" s="21">
        <f>VLOOKUP(A14,[1]Sheet!$A:$R,18,0)</f>
        <v>100</v>
      </c>
      <c r="T14" s="1">
        <f t="shared" si="6"/>
        <v>29.705882352941178</v>
      </c>
      <c r="U14" s="1">
        <f t="shared" si="4"/>
        <v>29.705882352941178</v>
      </c>
      <c r="V14" s="1">
        <v>9</v>
      </c>
      <c r="W14" s="1">
        <v>11.8</v>
      </c>
      <c r="X14" s="1">
        <v>22.4</v>
      </c>
      <c r="Y14" s="1">
        <v>29.2</v>
      </c>
      <c r="Z14" s="1">
        <v>44.6</v>
      </c>
      <c r="AA14" s="1">
        <v>30.6</v>
      </c>
      <c r="AB14" s="1">
        <v>70.400000000000006</v>
      </c>
      <c r="AC14" s="1">
        <v>62</v>
      </c>
      <c r="AD14" s="1">
        <v>37</v>
      </c>
      <c r="AE14" s="1">
        <v>33</v>
      </c>
      <c r="AF14" s="14" t="s">
        <v>40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35</v>
      </c>
      <c r="C15" s="1">
        <v>89.909000000000006</v>
      </c>
      <c r="D15" s="1">
        <v>77.064999999999998</v>
      </c>
      <c r="E15" s="1">
        <v>25.914999999999999</v>
      </c>
      <c r="F15" s="1">
        <v>141.036</v>
      </c>
      <c r="G15" s="7">
        <v>1</v>
      </c>
      <c r="H15" s="1">
        <v>60</v>
      </c>
      <c r="I15" s="1" t="s">
        <v>36</v>
      </c>
      <c r="J15" s="1"/>
      <c r="K15" s="1">
        <v>24.6</v>
      </c>
      <c r="L15" s="1">
        <f t="shared" si="2"/>
        <v>1.3149999999999977</v>
      </c>
      <c r="M15" s="1"/>
      <c r="N15" s="1"/>
      <c r="O15" s="1">
        <v>0</v>
      </c>
      <c r="P15" s="1">
        <f t="shared" si="3"/>
        <v>5.1829999999999998</v>
      </c>
      <c r="Q15" s="5"/>
      <c r="R15" s="5">
        <f t="shared" si="5"/>
        <v>0</v>
      </c>
      <c r="S15" s="21"/>
      <c r="T15" s="1">
        <f t="shared" si="6"/>
        <v>27.211267605633804</v>
      </c>
      <c r="U15" s="1">
        <f t="shared" si="4"/>
        <v>27.211267605633804</v>
      </c>
      <c r="V15" s="1">
        <v>4.9189999999999996</v>
      </c>
      <c r="W15" s="1">
        <v>2.1886000000000001</v>
      </c>
      <c r="X15" s="1">
        <v>10.3682</v>
      </c>
      <c r="Y15" s="1">
        <v>12.847799999999999</v>
      </c>
      <c r="Z15" s="1">
        <v>13.256399999999999</v>
      </c>
      <c r="AA15" s="1">
        <v>14.061199999999999</v>
      </c>
      <c r="AB15" s="1">
        <v>19.492999999999999</v>
      </c>
      <c r="AC15" s="1">
        <v>0.47199999999999998</v>
      </c>
      <c r="AD15" s="1">
        <v>8.4016000000000002</v>
      </c>
      <c r="AE15" s="1">
        <v>26.634799999999998</v>
      </c>
      <c r="AF15" s="14" t="s">
        <v>40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39</v>
      </c>
      <c r="C16" s="1">
        <v>349</v>
      </c>
      <c r="D16" s="1">
        <v>73</v>
      </c>
      <c r="E16" s="1">
        <v>72</v>
      </c>
      <c r="F16" s="1">
        <v>256</v>
      </c>
      <c r="G16" s="7">
        <v>0.25</v>
      </c>
      <c r="H16" s="1">
        <v>120</v>
      </c>
      <c r="I16" s="1" t="s">
        <v>36</v>
      </c>
      <c r="J16" s="1"/>
      <c r="K16" s="1">
        <v>72</v>
      </c>
      <c r="L16" s="1">
        <f t="shared" si="2"/>
        <v>0</v>
      </c>
      <c r="M16" s="1"/>
      <c r="N16" s="1"/>
      <c r="O16" s="1">
        <v>0</v>
      </c>
      <c r="P16" s="1">
        <f t="shared" si="3"/>
        <v>14.4</v>
      </c>
      <c r="Q16" s="5"/>
      <c r="R16" s="5">
        <v>30</v>
      </c>
      <c r="S16" s="21">
        <f>VLOOKUP(A16,[1]Sheet!$A:$R,18,0)</f>
        <v>100</v>
      </c>
      <c r="T16" s="1">
        <f t="shared" si="6"/>
        <v>19.861111111111111</v>
      </c>
      <c r="U16" s="1">
        <f t="shared" si="4"/>
        <v>17.777777777777779</v>
      </c>
      <c r="V16" s="1">
        <v>13.4</v>
      </c>
      <c r="W16" s="1">
        <v>15.6</v>
      </c>
      <c r="X16" s="1">
        <v>33</v>
      </c>
      <c r="Y16" s="1">
        <v>59.2</v>
      </c>
      <c r="Z16" s="1">
        <v>82.6</v>
      </c>
      <c r="AA16" s="1">
        <v>19.600000000000001</v>
      </c>
      <c r="AB16" s="1">
        <v>119.2</v>
      </c>
      <c r="AC16" s="1">
        <v>76</v>
      </c>
      <c r="AD16" s="1">
        <v>40.200000000000003</v>
      </c>
      <c r="AE16" s="1">
        <v>40.4</v>
      </c>
      <c r="AF16" s="16" t="s">
        <v>43</v>
      </c>
      <c r="AG16" s="1">
        <f t="shared" si="7"/>
        <v>7.5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39</v>
      </c>
      <c r="C17" s="1">
        <v>214</v>
      </c>
      <c r="D17" s="1">
        <v>145</v>
      </c>
      <c r="E17" s="1">
        <v>56</v>
      </c>
      <c r="F17" s="1">
        <v>204</v>
      </c>
      <c r="G17" s="7">
        <v>0.4</v>
      </c>
      <c r="H17" s="1">
        <v>60</v>
      </c>
      <c r="I17" s="1" t="s">
        <v>36</v>
      </c>
      <c r="J17" s="1"/>
      <c r="K17" s="1">
        <v>59</v>
      </c>
      <c r="L17" s="1">
        <f t="shared" si="2"/>
        <v>-3</v>
      </c>
      <c r="M17" s="1"/>
      <c r="N17" s="1"/>
      <c r="O17" s="1">
        <v>60</v>
      </c>
      <c r="P17" s="1">
        <f t="shared" si="3"/>
        <v>11.2</v>
      </c>
      <c r="Q17" s="5"/>
      <c r="R17" s="5">
        <f t="shared" si="5"/>
        <v>0</v>
      </c>
      <c r="S17" s="21"/>
      <c r="T17" s="1">
        <f t="shared" si="6"/>
        <v>23.571428571428573</v>
      </c>
      <c r="U17" s="1">
        <f t="shared" si="4"/>
        <v>23.571428571428573</v>
      </c>
      <c r="V17" s="1">
        <v>9.4</v>
      </c>
      <c r="W17" s="1">
        <v>10.4</v>
      </c>
      <c r="X17" s="1">
        <v>24.8</v>
      </c>
      <c r="Y17" s="1">
        <v>33.200000000000003</v>
      </c>
      <c r="Z17" s="1">
        <v>37.6</v>
      </c>
      <c r="AA17" s="1">
        <v>7.4</v>
      </c>
      <c r="AB17" s="1">
        <v>43.8</v>
      </c>
      <c r="AC17" s="1">
        <v>40</v>
      </c>
      <c r="AD17" s="1">
        <v>24.6</v>
      </c>
      <c r="AE17" s="1">
        <v>22.8</v>
      </c>
      <c r="AF17" s="14" t="s">
        <v>40</v>
      </c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35</v>
      </c>
      <c r="C18" s="1">
        <v>1.605</v>
      </c>
      <c r="D18" s="1">
        <v>623.99699999999996</v>
      </c>
      <c r="E18" s="1">
        <v>21.181000000000001</v>
      </c>
      <c r="F18" s="1">
        <v>394.20299999999997</v>
      </c>
      <c r="G18" s="7">
        <v>1</v>
      </c>
      <c r="H18" s="1">
        <v>45</v>
      </c>
      <c r="I18" s="1" t="s">
        <v>36</v>
      </c>
      <c r="J18" s="1"/>
      <c r="K18" s="1">
        <v>129.30000000000001</v>
      </c>
      <c r="L18" s="1">
        <f t="shared" si="2"/>
        <v>-108.11900000000001</v>
      </c>
      <c r="M18" s="1"/>
      <c r="N18" s="1"/>
      <c r="O18" s="1">
        <v>100</v>
      </c>
      <c r="P18" s="1">
        <f t="shared" si="3"/>
        <v>4.2362000000000002</v>
      </c>
      <c r="Q18" s="5"/>
      <c r="R18" s="5">
        <f t="shared" si="5"/>
        <v>0</v>
      </c>
      <c r="S18" s="21">
        <f>VLOOKUP(A18,[1]Sheet!$A:$R,18,0)</f>
        <v>50</v>
      </c>
      <c r="T18" s="1">
        <f t="shared" si="6"/>
        <v>116.66186676738586</v>
      </c>
      <c r="U18" s="1">
        <f t="shared" si="4"/>
        <v>116.66186676738586</v>
      </c>
      <c r="V18" s="1">
        <v>20.443999999999999</v>
      </c>
      <c r="W18" s="1">
        <v>35.277999999999999</v>
      </c>
      <c r="X18" s="1">
        <v>29.849599999999999</v>
      </c>
      <c r="Y18" s="1">
        <v>43.903599999999997</v>
      </c>
      <c r="Z18" s="1">
        <v>54.553999999999988</v>
      </c>
      <c r="AA18" s="1">
        <v>12.0352</v>
      </c>
      <c r="AB18" s="1">
        <v>43.809600000000003</v>
      </c>
      <c r="AC18" s="1">
        <v>38.122</v>
      </c>
      <c r="AD18" s="1">
        <v>31.1738</v>
      </c>
      <c r="AE18" s="1">
        <v>36.706800000000001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35</v>
      </c>
      <c r="C19" s="1">
        <v>13.843999999999999</v>
      </c>
      <c r="D19" s="1">
        <v>8.02</v>
      </c>
      <c r="E19" s="1">
        <v>6.6440000000000001</v>
      </c>
      <c r="F19" s="1">
        <v>7.1929999999999996</v>
      </c>
      <c r="G19" s="7">
        <v>1</v>
      </c>
      <c r="H19" s="1">
        <v>120</v>
      </c>
      <c r="I19" s="1" t="s">
        <v>54</v>
      </c>
      <c r="J19" s="1"/>
      <c r="K19" s="1">
        <v>6.5</v>
      </c>
      <c r="L19" s="1">
        <f t="shared" si="2"/>
        <v>0.14400000000000013</v>
      </c>
      <c r="M19" s="1"/>
      <c r="N19" s="1"/>
      <c r="O19" s="1">
        <v>0</v>
      </c>
      <c r="P19" s="1">
        <f t="shared" si="3"/>
        <v>1.3288</v>
      </c>
      <c r="Q19" s="5">
        <f t="shared" si="8"/>
        <v>12.738999999999999</v>
      </c>
      <c r="R19" s="5">
        <f t="shared" si="5"/>
        <v>13</v>
      </c>
      <c r="S19" s="21"/>
      <c r="T19" s="1">
        <f t="shared" si="6"/>
        <v>15.196417820590005</v>
      </c>
      <c r="U19" s="1">
        <f t="shared" si="4"/>
        <v>5.4131547260686332</v>
      </c>
      <c r="V19" s="1">
        <v>0.69820000000000004</v>
      </c>
      <c r="W19" s="1">
        <v>1.0127999999999999</v>
      </c>
      <c r="X19" s="1">
        <v>3.0779999999999998</v>
      </c>
      <c r="Y19" s="1">
        <v>1.7467999999999999</v>
      </c>
      <c r="Z19" s="1">
        <v>3.6257999999999999</v>
      </c>
      <c r="AA19" s="1">
        <v>4.1105999999999998</v>
      </c>
      <c r="AB19" s="1">
        <v>11.1694</v>
      </c>
      <c r="AC19" s="1">
        <v>5.2294</v>
      </c>
      <c r="AD19" s="1">
        <v>2.7151999999999998</v>
      </c>
      <c r="AE19" s="1">
        <v>5.2648000000000001</v>
      </c>
      <c r="AF19" s="1"/>
      <c r="AG19" s="1">
        <f t="shared" si="7"/>
        <v>13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39</v>
      </c>
      <c r="C20" s="1">
        <v>97</v>
      </c>
      <c r="D20" s="1">
        <v>302</v>
      </c>
      <c r="E20" s="1">
        <v>92</v>
      </c>
      <c r="F20" s="1">
        <v>53</v>
      </c>
      <c r="G20" s="7">
        <v>0.4</v>
      </c>
      <c r="H20" s="1">
        <v>45</v>
      </c>
      <c r="I20" s="1" t="s">
        <v>36</v>
      </c>
      <c r="J20" s="1"/>
      <c r="K20" s="1">
        <v>146</v>
      </c>
      <c r="L20" s="1">
        <f t="shared" si="2"/>
        <v>-54</v>
      </c>
      <c r="M20" s="1"/>
      <c r="N20" s="1"/>
      <c r="O20" s="1">
        <v>0</v>
      </c>
      <c r="P20" s="1">
        <f t="shared" si="3"/>
        <v>18.399999999999999</v>
      </c>
      <c r="Q20" s="5">
        <f>13*P20-O20-F20</f>
        <v>186.2</v>
      </c>
      <c r="R20" s="5">
        <v>220</v>
      </c>
      <c r="S20" s="21">
        <f>VLOOKUP(A20,[1]Sheet!$A:$R,18,0)</f>
        <v>270</v>
      </c>
      <c r="T20" s="1">
        <f t="shared" si="6"/>
        <v>14.836956521739131</v>
      </c>
      <c r="U20" s="1">
        <f t="shared" si="4"/>
        <v>2.8804347826086958</v>
      </c>
      <c r="V20" s="1">
        <v>5.4</v>
      </c>
      <c r="W20" s="1">
        <v>2</v>
      </c>
      <c r="X20" s="1">
        <v>19.600000000000001</v>
      </c>
      <c r="Y20" s="1">
        <v>0.2</v>
      </c>
      <c r="Z20" s="1">
        <v>0</v>
      </c>
      <c r="AA20" s="1">
        <v>0</v>
      </c>
      <c r="AB20" s="1">
        <v>0</v>
      </c>
      <c r="AC20" s="1">
        <v>-1.2</v>
      </c>
      <c r="AD20" s="1">
        <v>-0.2</v>
      </c>
      <c r="AE20" s="1">
        <v>-3.8</v>
      </c>
      <c r="AF20" s="1" t="s">
        <v>56</v>
      </c>
      <c r="AG20" s="1">
        <f t="shared" si="7"/>
        <v>88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35</v>
      </c>
      <c r="C21" s="1">
        <v>204.41200000000001</v>
      </c>
      <c r="D21" s="1">
        <v>138.69</v>
      </c>
      <c r="E21" s="1">
        <v>68.506</v>
      </c>
      <c r="F21" s="1">
        <v>176.316</v>
      </c>
      <c r="G21" s="7">
        <v>1</v>
      </c>
      <c r="H21" s="1">
        <v>60</v>
      </c>
      <c r="I21" s="1" t="s">
        <v>36</v>
      </c>
      <c r="J21" s="1"/>
      <c r="K21" s="1">
        <v>64.599999999999994</v>
      </c>
      <c r="L21" s="1">
        <f t="shared" si="2"/>
        <v>3.9060000000000059</v>
      </c>
      <c r="M21" s="1"/>
      <c r="N21" s="1"/>
      <c r="O21" s="1">
        <v>0</v>
      </c>
      <c r="P21" s="1">
        <f t="shared" si="3"/>
        <v>13.7012</v>
      </c>
      <c r="Q21" s="5">
        <f t="shared" si="8"/>
        <v>29.201999999999998</v>
      </c>
      <c r="R21" s="5">
        <f t="shared" si="5"/>
        <v>29</v>
      </c>
      <c r="S21" s="21"/>
      <c r="T21" s="1">
        <f t="shared" si="6"/>
        <v>14.98525676583073</v>
      </c>
      <c r="U21" s="1">
        <f t="shared" si="4"/>
        <v>12.868653840539515</v>
      </c>
      <c r="V21" s="1">
        <v>7.0194000000000001</v>
      </c>
      <c r="W21" s="1">
        <v>11.801600000000001</v>
      </c>
      <c r="X21" s="1">
        <v>27.052199999999999</v>
      </c>
      <c r="Y21" s="1">
        <v>25.654599999999999</v>
      </c>
      <c r="Z21" s="1">
        <v>35.742199999999997</v>
      </c>
      <c r="AA21" s="1">
        <v>24.3264</v>
      </c>
      <c r="AB21" s="1">
        <v>38.0486</v>
      </c>
      <c r="AC21" s="1">
        <v>34.205199999999998</v>
      </c>
      <c r="AD21" s="1">
        <v>22.615200000000002</v>
      </c>
      <c r="AE21" s="1">
        <v>32.779600000000002</v>
      </c>
      <c r="AF21" s="1"/>
      <c r="AG21" s="1">
        <f t="shared" si="7"/>
        <v>29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39</v>
      </c>
      <c r="C22" s="1">
        <v>-14</v>
      </c>
      <c r="D22" s="1">
        <v>14</v>
      </c>
      <c r="E22" s="1"/>
      <c r="F22" s="1"/>
      <c r="G22" s="7">
        <v>0.22</v>
      </c>
      <c r="H22" s="1">
        <v>120</v>
      </c>
      <c r="I22" s="1" t="s">
        <v>36</v>
      </c>
      <c r="J22" s="1"/>
      <c r="K22" s="1">
        <v>105</v>
      </c>
      <c r="L22" s="1">
        <f t="shared" si="2"/>
        <v>-105</v>
      </c>
      <c r="M22" s="1"/>
      <c r="N22" s="1"/>
      <c r="O22" s="1">
        <v>0</v>
      </c>
      <c r="P22" s="1">
        <f t="shared" si="3"/>
        <v>0</v>
      </c>
      <c r="Q22" s="5">
        <v>350</v>
      </c>
      <c r="R22" s="5">
        <v>450</v>
      </c>
      <c r="S22" s="21">
        <f>VLOOKUP(A22,[1]Sheet!$A:$R,18,0)</f>
        <v>450</v>
      </c>
      <c r="T22" s="1" t="e">
        <f t="shared" si="6"/>
        <v>#DIV/0!</v>
      </c>
      <c r="U22" s="1" t="e">
        <f t="shared" si="4"/>
        <v>#DIV/0!</v>
      </c>
      <c r="V22" s="1">
        <v>9.1999999999999993</v>
      </c>
      <c r="W22" s="1">
        <v>44.2</v>
      </c>
      <c r="X22" s="1">
        <v>40.4</v>
      </c>
      <c r="Y22" s="1">
        <v>50.2</v>
      </c>
      <c r="Z22" s="1">
        <v>44</v>
      </c>
      <c r="AA22" s="1">
        <v>71.599999999999994</v>
      </c>
      <c r="AB22" s="1">
        <v>133.6</v>
      </c>
      <c r="AC22" s="1">
        <v>105.8</v>
      </c>
      <c r="AD22" s="1">
        <v>63.4</v>
      </c>
      <c r="AE22" s="1">
        <v>72.2</v>
      </c>
      <c r="AF22" s="9" t="s">
        <v>167</v>
      </c>
      <c r="AG22" s="1">
        <f t="shared" si="7"/>
        <v>99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35</v>
      </c>
      <c r="C23" s="1">
        <v>0.106</v>
      </c>
      <c r="D23" s="1">
        <v>14.816000000000001</v>
      </c>
      <c r="E23" s="1"/>
      <c r="F23" s="1">
        <v>0.106</v>
      </c>
      <c r="G23" s="7">
        <v>1</v>
      </c>
      <c r="H23" s="1">
        <v>40</v>
      </c>
      <c r="I23" s="1" t="s">
        <v>36</v>
      </c>
      <c r="J23" s="1"/>
      <c r="K23" s="1">
        <v>31.4</v>
      </c>
      <c r="L23" s="1">
        <f t="shared" si="2"/>
        <v>-31.4</v>
      </c>
      <c r="M23" s="1"/>
      <c r="N23" s="1"/>
      <c r="O23" s="1">
        <v>50</v>
      </c>
      <c r="P23" s="1">
        <f t="shared" si="3"/>
        <v>0</v>
      </c>
      <c r="Q23" s="5">
        <v>10</v>
      </c>
      <c r="R23" s="5">
        <f t="shared" si="5"/>
        <v>10</v>
      </c>
      <c r="S23" s="21"/>
      <c r="T23" s="1" t="e">
        <f t="shared" si="6"/>
        <v>#DIV/0!</v>
      </c>
      <c r="U23" s="1" t="e">
        <f t="shared" si="4"/>
        <v>#DIV/0!</v>
      </c>
      <c r="V23" s="1">
        <v>4.0815999999999999</v>
      </c>
      <c r="W23" s="1">
        <v>0.58640000000000003</v>
      </c>
      <c r="X23" s="1">
        <v>3.4611999999999998</v>
      </c>
      <c r="Y23" s="1">
        <v>1.8988</v>
      </c>
      <c r="Z23" s="1">
        <v>4.2084000000000001</v>
      </c>
      <c r="AA23" s="1">
        <v>0</v>
      </c>
      <c r="AB23" s="1">
        <v>-0.17599999999999999</v>
      </c>
      <c r="AC23" s="1">
        <v>-0.27</v>
      </c>
      <c r="AD23" s="1">
        <v>1.016</v>
      </c>
      <c r="AE23" s="1">
        <v>0.62519999999999998</v>
      </c>
      <c r="AF23" s="1" t="s">
        <v>60</v>
      </c>
      <c r="AG23" s="1">
        <f t="shared" si="7"/>
        <v>10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35</v>
      </c>
      <c r="C24" s="1">
        <v>96.328999999999994</v>
      </c>
      <c r="D24" s="1">
        <v>48.835999999999999</v>
      </c>
      <c r="E24" s="1">
        <v>23.123999999999999</v>
      </c>
      <c r="F24" s="1">
        <v>73.204999999999998</v>
      </c>
      <c r="G24" s="7">
        <v>1</v>
      </c>
      <c r="H24" s="1">
        <v>60</v>
      </c>
      <c r="I24" s="1" t="s">
        <v>36</v>
      </c>
      <c r="J24" s="1"/>
      <c r="K24" s="1">
        <v>21.9</v>
      </c>
      <c r="L24" s="1">
        <f t="shared" si="2"/>
        <v>1.2240000000000002</v>
      </c>
      <c r="M24" s="1"/>
      <c r="N24" s="1"/>
      <c r="O24" s="1">
        <v>0</v>
      </c>
      <c r="P24" s="1">
        <f t="shared" si="3"/>
        <v>4.6247999999999996</v>
      </c>
      <c r="Q24" s="5"/>
      <c r="R24" s="5">
        <f t="shared" si="5"/>
        <v>0</v>
      </c>
      <c r="S24" s="21"/>
      <c r="T24" s="1">
        <f t="shared" si="6"/>
        <v>15.828792596436603</v>
      </c>
      <c r="U24" s="1">
        <f t="shared" si="4"/>
        <v>15.828792596436603</v>
      </c>
      <c r="V24" s="1">
        <v>4.8956</v>
      </c>
      <c r="W24" s="1">
        <v>5.1121999999999996</v>
      </c>
      <c r="X24" s="1">
        <v>9.1113999999999997</v>
      </c>
      <c r="Y24" s="1">
        <v>9.9635999999999996</v>
      </c>
      <c r="Z24" s="1">
        <v>18.268599999999999</v>
      </c>
      <c r="AA24" s="1">
        <v>0.24260000000000001</v>
      </c>
      <c r="AB24" s="1">
        <v>10.1114</v>
      </c>
      <c r="AC24" s="1">
        <v>16.404199999999999</v>
      </c>
      <c r="AD24" s="1">
        <v>2.4239999999999999</v>
      </c>
      <c r="AE24" s="1">
        <v>13.7454</v>
      </c>
      <c r="AF24" s="14" t="s">
        <v>40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39</v>
      </c>
      <c r="C25" s="1">
        <v>126</v>
      </c>
      <c r="D25" s="1">
        <v>277</v>
      </c>
      <c r="E25" s="1">
        <v>121</v>
      </c>
      <c r="F25" s="1">
        <v>41</v>
      </c>
      <c r="G25" s="7">
        <v>0.09</v>
      </c>
      <c r="H25" s="1">
        <v>60</v>
      </c>
      <c r="I25" s="1" t="s">
        <v>36</v>
      </c>
      <c r="J25" s="1"/>
      <c r="K25" s="1">
        <v>129</v>
      </c>
      <c r="L25" s="1">
        <f t="shared" si="2"/>
        <v>-8</v>
      </c>
      <c r="M25" s="1"/>
      <c r="N25" s="1"/>
      <c r="O25" s="1">
        <v>97</v>
      </c>
      <c r="P25" s="1">
        <f t="shared" si="3"/>
        <v>24.2</v>
      </c>
      <c r="Q25" s="5">
        <f t="shared" si="8"/>
        <v>225</v>
      </c>
      <c r="R25" s="5">
        <v>280</v>
      </c>
      <c r="S25" s="21">
        <f>VLOOKUP(A25,[1]Sheet!$A:$R,18,0)</f>
        <v>300</v>
      </c>
      <c r="T25" s="1">
        <f t="shared" si="6"/>
        <v>17.272727272727273</v>
      </c>
      <c r="U25" s="1">
        <f t="shared" si="4"/>
        <v>5.7024793388429753</v>
      </c>
      <c r="V25" s="1">
        <v>18.2</v>
      </c>
      <c r="W25" s="1">
        <v>3.8</v>
      </c>
      <c r="X25" s="1">
        <v>39</v>
      </c>
      <c r="Y25" s="1">
        <v>46.6</v>
      </c>
      <c r="Z25" s="1">
        <v>25.6</v>
      </c>
      <c r="AA25" s="1">
        <v>35.4</v>
      </c>
      <c r="AB25" s="1">
        <v>48.8</v>
      </c>
      <c r="AC25" s="1">
        <v>39.6</v>
      </c>
      <c r="AD25" s="1">
        <v>38.799999999999997</v>
      </c>
      <c r="AE25" s="1">
        <v>13.2</v>
      </c>
      <c r="AF25" s="1"/>
      <c r="AG25" s="1">
        <f t="shared" si="7"/>
        <v>25.2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39</v>
      </c>
      <c r="C26" s="1">
        <v>15</v>
      </c>
      <c r="D26" s="1">
        <v>308</v>
      </c>
      <c r="E26" s="1">
        <v>6</v>
      </c>
      <c r="F26" s="1">
        <v>257</v>
      </c>
      <c r="G26" s="7">
        <v>0.09</v>
      </c>
      <c r="H26" s="1">
        <v>45</v>
      </c>
      <c r="I26" s="1" t="s">
        <v>36</v>
      </c>
      <c r="J26" s="1"/>
      <c r="K26" s="1">
        <v>7</v>
      </c>
      <c r="L26" s="1">
        <f t="shared" si="2"/>
        <v>-1</v>
      </c>
      <c r="M26" s="1"/>
      <c r="N26" s="1"/>
      <c r="O26" s="1"/>
      <c r="P26" s="1">
        <f t="shared" si="3"/>
        <v>1.2</v>
      </c>
      <c r="Q26" s="5"/>
      <c r="R26" s="5">
        <f t="shared" si="5"/>
        <v>0</v>
      </c>
      <c r="S26" s="21"/>
      <c r="T26" s="1">
        <f t="shared" si="6"/>
        <v>214.16666666666669</v>
      </c>
      <c r="U26" s="1">
        <f t="shared" si="4"/>
        <v>214.16666666666669</v>
      </c>
      <c r="V26" s="1">
        <v>3</v>
      </c>
      <c r="W26" s="1">
        <v>17.2</v>
      </c>
      <c r="X26" s="1">
        <v>9</v>
      </c>
      <c r="Y26" s="1">
        <v>12.6</v>
      </c>
      <c r="Z26" s="1">
        <v>12.2</v>
      </c>
      <c r="AA26" s="1">
        <v>0.8</v>
      </c>
      <c r="AB26" s="1">
        <v>1.8</v>
      </c>
      <c r="AC26" s="1">
        <v>14.2</v>
      </c>
      <c r="AD26" s="1">
        <v>7.2</v>
      </c>
      <c r="AE26" s="1">
        <v>6.2</v>
      </c>
      <c r="AF26" s="17" t="s">
        <v>43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39</v>
      </c>
      <c r="C27" s="1">
        <v>8</v>
      </c>
      <c r="D27" s="1">
        <v>104</v>
      </c>
      <c r="E27" s="1">
        <v>7</v>
      </c>
      <c r="F27" s="1">
        <v>64</v>
      </c>
      <c r="G27" s="7">
        <v>0.15</v>
      </c>
      <c r="H27" s="1">
        <v>45</v>
      </c>
      <c r="I27" s="1" t="s">
        <v>36</v>
      </c>
      <c r="J27" s="1"/>
      <c r="K27" s="1">
        <v>8</v>
      </c>
      <c r="L27" s="1">
        <f t="shared" si="2"/>
        <v>-1</v>
      </c>
      <c r="M27" s="1"/>
      <c r="N27" s="1"/>
      <c r="O27" s="1">
        <v>0</v>
      </c>
      <c r="P27" s="1">
        <f t="shared" si="3"/>
        <v>1.4</v>
      </c>
      <c r="Q27" s="5"/>
      <c r="R27" s="5">
        <f t="shared" si="5"/>
        <v>0</v>
      </c>
      <c r="S27" s="21"/>
      <c r="T27" s="1">
        <f t="shared" si="6"/>
        <v>45.714285714285715</v>
      </c>
      <c r="U27" s="1">
        <f t="shared" si="4"/>
        <v>45.714285714285715</v>
      </c>
      <c r="V27" s="1">
        <v>0</v>
      </c>
      <c r="W27" s="1">
        <v>0</v>
      </c>
      <c r="X27" s="1">
        <v>-0.4</v>
      </c>
      <c r="Y27" s="1">
        <v>0</v>
      </c>
      <c r="Z27" s="1">
        <v>6.2</v>
      </c>
      <c r="AA27" s="1">
        <v>0</v>
      </c>
      <c r="AB27" s="1">
        <v>0</v>
      </c>
      <c r="AC27" s="1">
        <v>8</v>
      </c>
      <c r="AD27" s="1">
        <v>2</v>
      </c>
      <c r="AE27" s="1">
        <v>1.8</v>
      </c>
      <c r="AF27" s="17" t="s">
        <v>165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35</v>
      </c>
      <c r="C28" s="1">
        <v>759.524</v>
      </c>
      <c r="D28" s="1">
        <v>421.25</v>
      </c>
      <c r="E28" s="1">
        <v>204.62799999999999</v>
      </c>
      <c r="F28" s="1">
        <v>743.67600000000004</v>
      </c>
      <c r="G28" s="7">
        <v>1</v>
      </c>
      <c r="H28" s="1">
        <v>45</v>
      </c>
      <c r="I28" s="1" t="s">
        <v>36</v>
      </c>
      <c r="J28" s="1"/>
      <c r="K28" s="1">
        <v>197.5</v>
      </c>
      <c r="L28" s="1">
        <f t="shared" si="2"/>
        <v>7.1279999999999859</v>
      </c>
      <c r="M28" s="1"/>
      <c r="N28" s="1"/>
      <c r="O28" s="1">
        <v>100</v>
      </c>
      <c r="P28" s="1">
        <f t="shared" si="3"/>
        <v>40.925599999999996</v>
      </c>
      <c r="Q28" s="5"/>
      <c r="R28" s="5">
        <f t="shared" si="5"/>
        <v>0</v>
      </c>
      <c r="S28" s="21"/>
      <c r="T28" s="1">
        <f t="shared" si="6"/>
        <v>20.614871865042911</v>
      </c>
      <c r="U28" s="1">
        <f t="shared" si="4"/>
        <v>20.614871865042911</v>
      </c>
      <c r="V28" s="1">
        <v>52.026800000000001</v>
      </c>
      <c r="W28" s="1">
        <v>57.430600000000013</v>
      </c>
      <c r="X28" s="1">
        <v>81.890599999999992</v>
      </c>
      <c r="Y28" s="1">
        <v>85.432600000000008</v>
      </c>
      <c r="Z28" s="1">
        <v>49.553600000000003</v>
      </c>
      <c r="AA28" s="1">
        <v>55.760399999999997</v>
      </c>
      <c r="AB28" s="1">
        <v>95.490800000000007</v>
      </c>
      <c r="AC28" s="1">
        <v>113.20059999999999</v>
      </c>
      <c r="AD28" s="1">
        <v>18.4908</v>
      </c>
      <c r="AE28" s="1">
        <v>75.172600000000003</v>
      </c>
      <c r="AF28" s="14" t="s">
        <v>40</v>
      </c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39</v>
      </c>
      <c r="C29" s="1"/>
      <c r="D29" s="1">
        <v>329</v>
      </c>
      <c r="E29" s="1">
        <v>18</v>
      </c>
      <c r="F29" s="1">
        <v>238</v>
      </c>
      <c r="G29" s="7">
        <v>0.4</v>
      </c>
      <c r="H29" s="1">
        <v>60</v>
      </c>
      <c r="I29" s="1" t="s">
        <v>36</v>
      </c>
      <c r="J29" s="1"/>
      <c r="K29" s="1">
        <v>96</v>
      </c>
      <c r="L29" s="1">
        <f t="shared" si="2"/>
        <v>-78</v>
      </c>
      <c r="M29" s="1"/>
      <c r="N29" s="1"/>
      <c r="O29" s="1">
        <v>0</v>
      </c>
      <c r="P29" s="1">
        <f t="shared" si="3"/>
        <v>3.6</v>
      </c>
      <c r="Q29" s="5"/>
      <c r="R29" s="5">
        <f t="shared" si="5"/>
        <v>0</v>
      </c>
      <c r="S29" s="21"/>
      <c r="T29" s="1">
        <f t="shared" si="6"/>
        <v>66.111111111111114</v>
      </c>
      <c r="U29" s="1">
        <f t="shared" si="4"/>
        <v>66.111111111111114</v>
      </c>
      <c r="V29" s="1">
        <v>8.4</v>
      </c>
      <c r="W29" s="1">
        <v>33.200000000000003</v>
      </c>
      <c r="X29" s="1">
        <v>4.8</v>
      </c>
      <c r="Y29" s="1">
        <v>25.8</v>
      </c>
      <c r="Z29" s="1">
        <v>35</v>
      </c>
      <c r="AA29" s="1">
        <v>3.4</v>
      </c>
      <c r="AB29" s="1">
        <v>24</v>
      </c>
      <c r="AC29" s="1">
        <v>24</v>
      </c>
      <c r="AD29" s="1">
        <v>7.4</v>
      </c>
      <c r="AE29" s="1">
        <v>16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39</v>
      </c>
      <c r="C30" s="1">
        <v>266</v>
      </c>
      <c r="D30" s="1">
        <v>858</v>
      </c>
      <c r="E30" s="1">
        <v>187</v>
      </c>
      <c r="F30" s="1">
        <v>422</v>
      </c>
      <c r="G30" s="7">
        <v>0.4</v>
      </c>
      <c r="H30" s="1">
        <v>60</v>
      </c>
      <c r="I30" s="1" t="s">
        <v>36</v>
      </c>
      <c r="J30" s="1"/>
      <c r="K30" s="1">
        <v>198</v>
      </c>
      <c r="L30" s="1">
        <f t="shared" si="2"/>
        <v>-11</v>
      </c>
      <c r="M30" s="1"/>
      <c r="N30" s="1"/>
      <c r="O30" s="1">
        <v>0</v>
      </c>
      <c r="P30" s="1">
        <f t="shared" si="3"/>
        <v>37.4</v>
      </c>
      <c r="Q30" s="5">
        <f t="shared" si="8"/>
        <v>139</v>
      </c>
      <c r="R30" s="5">
        <v>220</v>
      </c>
      <c r="S30" s="21">
        <f>VLOOKUP(A30,[1]Sheet!$A:$R,18,0)</f>
        <v>220</v>
      </c>
      <c r="T30" s="1">
        <f t="shared" si="6"/>
        <v>17.165775401069521</v>
      </c>
      <c r="U30" s="1">
        <f t="shared" si="4"/>
        <v>11.283422459893048</v>
      </c>
      <c r="V30" s="1">
        <v>30.6</v>
      </c>
      <c r="W30" s="1">
        <v>44.4</v>
      </c>
      <c r="X30" s="1">
        <v>78</v>
      </c>
      <c r="Y30" s="1">
        <v>93.8</v>
      </c>
      <c r="Z30" s="1">
        <v>116.6</v>
      </c>
      <c r="AA30" s="1">
        <v>78.599999999999994</v>
      </c>
      <c r="AB30" s="1">
        <v>127.2</v>
      </c>
      <c r="AC30" s="1">
        <v>120</v>
      </c>
      <c r="AD30" s="1">
        <v>82.4</v>
      </c>
      <c r="AE30" s="1">
        <v>83.8</v>
      </c>
      <c r="AF30" s="1"/>
      <c r="AG30" s="1">
        <f t="shared" si="7"/>
        <v>88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0" t="s">
        <v>68</v>
      </c>
      <c r="B31" s="10" t="s">
        <v>39</v>
      </c>
      <c r="C31" s="10">
        <v>-1</v>
      </c>
      <c r="D31" s="10"/>
      <c r="E31" s="10"/>
      <c r="F31" s="15">
        <v>-1</v>
      </c>
      <c r="G31" s="11">
        <v>0</v>
      </c>
      <c r="H31" s="10"/>
      <c r="I31" s="10" t="s">
        <v>69</v>
      </c>
      <c r="J31" s="10" t="s">
        <v>70</v>
      </c>
      <c r="K31" s="10"/>
      <c r="L31" s="10">
        <f t="shared" si="2"/>
        <v>0</v>
      </c>
      <c r="M31" s="10"/>
      <c r="N31" s="10"/>
      <c r="O31" s="10">
        <v>0</v>
      </c>
      <c r="P31" s="10">
        <f t="shared" si="3"/>
        <v>0</v>
      </c>
      <c r="Q31" s="12"/>
      <c r="R31" s="5">
        <f t="shared" si="5"/>
        <v>0</v>
      </c>
      <c r="S31" s="21"/>
      <c r="T31" s="1" t="e">
        <f t="shared" si="6"/>
        <v>#DIV/0!</v>
      </c>
      <c r="U31" s="10" t="e">
        <f t="shared" si="4"/>
        <v>#DIV/0!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39</v>
      </c>
      <c r="C32" s="1">
        <v>173</v>
      </c>
      <c r="D32" s="1">
        <v>726</v>
      </c>
      <c r="E32" s="1">
        <v>191</v>
      </c>
      <c r="F32" s="1">
        <v>380</v>
      </c>
      <c r="G32" s="7">
        <v>0.4</v>
      </c>
      <c r="H32" s="1">
        <v>60</v>
      </c>
      <c r="I32" s="1" t="s">
        <v>36</v>
      </c>
      <c r="J32" s="1"/>
      <c r="K32" s="1">
        <v>209</v>
      </c>
      <c r="L32" s="1">
        <f t="shared" si="2"/>
        <v>-18</v>
      </c>
      <c r="M32" s="1"/>
      <c r="N32" s="1"/>
      <c r="O32" s="1">
        <v>0</v>
      </c>
      <c r="P32" s="1">
        <f t="shared" si="3"/>
        <v>38.200000000000003</v>
      </c>
      <c r="Q32" s="5">
        <f>15*P32-O32-F32</f>
        <v>193</v>
      </c>
      <c r="R32" s="5">
        <v>270</v>
      </c>
      <c r="S32" s="21">
        <f>VLOOKUP(A32,[1]Sheet!$A:$R,18,0)</f>
        <v>270</v>
      </c>
      <c r="T32" s="1">
        <f t="shared" si="6"/>
        <v>17.015706806282722</v>
      </c>
      <c r="U32" s="1">
        <f t="shared" si="4"/>
        <v>9.9476439790575917</v>
      </c>
      <c r="V32" s="1">
        <v>21.8</v>
      </c>
      <c r="W32" s="1">
        <v>37.4</v>
      </c>
      <c r="X32" s="1">
        <v>61</v>
      </c>
      <c r="Y32" s="1">
        <v>68</v>
      </c>
      <c r="Z32" s="1">
        <v>92.8</v>
      </c>
      <c r="AA32" s="1">
        <v>62</v>
      </c>
      <c r="AB32" s="1">
        <v>104.8</v>
      </c>
      <c r="AC32" s="1">
        <v>105.6</v>
      </c>
      <c r="AD32" s="1">
        <v>60</v>
      </c>
      <c r="AE32" s="1">
        <v>94.2</v>
      </c>
      <c r="AF32" s="1"/>
      <c r="AG32" s="1">
        <f t="shared" si="7"/>
        <v>108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72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/>
      <c r="I33" s="10" t="s">
        <v>69</v>
      </c>
      <c r="J33" s="10"/>
      <c r="K33" s="10">
        <v>22</v>
      </c>
      <c r="L33" s="10">
        <f t="shared" si="2"/>
        <v>-22</v>
      </c>
      <c r="M33" s="10"/>
      <c r="N33" s="10"/>
      <c r="O33" s="10">
        <v>0</v>
      </c>
      <c r="P33" s="10">
        <f t="shared" si="3"/>
        <v>0</v>
      </c>
      <c r="Q33" s="12"/>
      <c r="R33" s="5">
        <f t="shared" si="5"/>
        <v>0</v>
      </c>
      <c r="S33" s="21"/>
      <c r="T33" s="1" t="e">
        <f t="shared" si="6"/>
        <v>#DIV/0!</v>
      </c>
      <c r="U33" s="10" t="e">
        <f t="shared" si="4"/>
        <v>#DIV/0!</v>
      </c>
      <c r="V33" s="10">
        <v>0</v>
      </c>
      <c r="W33" s="10">
        <v>-0.2</v>
      </c>
      <c r="X33" s="10">
        <v>0</v>
      </c>
      <c r="Y33" s="10">
        <v>0</v>
      </c>
      <c r="Z33" s="10">
        <v>2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3" t="s">
        <v>73</v>
      </c>
      <c r="B34" s="10" t="s">
        <v>39</v>
      </c>
      <c r="C34" s="10">
        <v>75</v>
      </c>
      <c r="D34" s="10">
        <v>4</v>
      </c>
      <c r="E34" s="15">
        <v>74</v>
      </c>
      <c r="F34" s="10"/>
      <c r="G34" s="11">
        <v>0</v>
      </c>
      <c r="H34" s="10">
        <v>45</v>
      </c>
      <c r="I34" s="13" t="s">
        <v>74</v>
      </c>
      <c r="J34" s="13" t="s">
        <v>75</v>
      </c>
      <c r="K34" s="10">
        <v>79</v>
      </c>
      <c r="L34" s="10">
        <f t="shared" si="2"/>
        <v>-5</v>
      </c>
      <c r="M34" s="10"/>
      <c r="N34" s="10"/>
      <c r="O34" s="10">
        <v>0</v>
      </c>
      <c r="P34" s="10">
        <f t="shared" si="3"/>
        <v>14.8</v>
      </c>
      <c r="Q34" s="12"/>
      <c r="R34" s="5">
        <f t="shared" si="5"/>
        <v>0</v>
      </c>
      <c r="S34" s="21"/>
      <c r="T34" s="1">
        <f t="shared" si="6"/>
        <v>0</v>
      </c>
      <c r="U34" s="10">
        <f t="shared" si="4"/>
        <v>0</v>
      </c>
      <c r="V34" s="10">
        <v>8</v>
      </c>
      <c r="W34" s="10">
        <v>1</v>
      </c>
      <c r="X34" s="10">
        <v>11.4</v>
      </c>
      <c r="Y34" s="10">
        <v>16.2</v>
      </c>
      <c r="Z34" s="10">
        <v>15.4</v>
      </c>
      <c r="AA34" s="10">
        <v>16.399999999999999</v>
      </c>
      <c r="AB34" s="10">
        <v>26</v>
      </c>
      <c r="AC34" s="10">
        <v>22.4</v>
      </c>
      <c r="AD34" s="10">
        <v>25.8</v>
      </c>
      <c r="AE34" s="10">
        <v>11.4</v>
      </c>
      <c r="AF34" s="10" t="s">
        <v>76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35</v>
      </c>
      <c r="C35" s="1">
        <v>83.319000000000003</v>
      </c>
      <c r="D35" s="1">
        <v>48.561</v>
      </c>
      <c r="E35" s="1">
        <v>22.786000000000001</v>
      </c>
      <c r="F35" s="1">
        <v>102.473</v>
      </c>
      <c r="G35" s="7">
        <v>1</v>
      </c>
      <c r="H35" s="1">
        <v>60</v>
      </c>
      <c r="I35" s="1" t="s">
        <v>36</v>
      </c>
      <c r="J35" s="1"/>
      <c r="K35" s="1">
        <v>24.1</v>
      </c>
      <c r="L35" s="1">
        <f t="shared" si="2"/>
        <v>-1.3140000000000001</v>
      </c>
      <c r="M35" s="1"/>
      <c r="N35" s="1"/>
      <c r="O35" s="1">
        <v>0</v>
      </c>
      <c r="P35" s="1">
        <f t="shared" si="3"/>
        <v>4.5571999999999999</v>
      </c>
      <c r="Q35" s="5"/>
      <c r="R35" s="5">
        <f t="shared" si="5"/>
        <v>0</v>
      </c>
      <c r="S35" s="21"/>
      <c r="T35" s="1">
        <f t="shared" si="6"/>
        <v>22.485956288949357</v>
      </c>
      <c r="U35" s="1">
        <f t="shared" si="4"/>
        <v>22.485956288949357</v>
      </c>
      <c r="V35" s="1">
        <v>4.6685999999999996</v>
      </c>
      <c r="W35" s="1">
        <v>7.0952000000000002</v>
      </c>
      <c r="X35" s="1">
        <v>27.912800000000001</v>
      </c>
      <c r="Y35" s="1">
        <v>17.353999999999999</v>
      </c>
      <c r="Z35" s="1">
        <v>14.4514</v>
      </c>
      <c r="AA35" s="1">
        <v>46.306199999999997</v>
      </c>
      <c r="AB35" s="1">
        <v>46.882800000000003</v>
      </c>
      <c r="AC35" s="1">
        <v>45.837400000000002</v>
      </c>
      <c r="AD35" s="1">
        <v>32.807000000000002</v>
      </c>
      <c r="AE35" s="1">
        <v>36.681600000000003</v>
      </c>
      <c r="AF35" s="17" t="s">
        <v>173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35</v>
      </c>
      <c r="C36" s="1">
        <v>237.029</v>
      </c>
      <c r="D36" s="1">
        <v>50.478999999999999</v>
      </c>
      <c r="E36" s="1">
        <v>53.786999999999999</v>
      </c>
      <c r="F36" s="1">
        <v>180.61</v>
      </c>
      <c r="G36" s="7">
        <v>1</v>
      </c>
      <c r="H36" s="1">
        <v>45</v>
      </c>
      <c r="I36" s="1" t="s">
        <v>36</v>
      </c>
      <c r="J36" s="1"/>
      <c r="K36" s="1">
        <v>54.3</v>
      </c>
      <c r="L36" s="1">
        <f t="shared" si="2"/>
        <v>-0.51299999999999812</v>
      </c>
      <c r="M36" s="1"/>
      <c r="N36" s="1"/>
      <c r="O36" s="1">
        <v>0</v>
      </c>
      <c r="P36" s="1">
        <f t="shared" si="3"/>
        <v>10.757400000000001</v>
      </c>
      <c r="Q36" s="5"/>
      <c r="R36" s="5">
        <f t="shared" si="5"/>
        <v>0</v>
      </c>
      <c r="S36" s="21">
        <f>VLOOKUP(A36,[1]Sheet!$A:$R,18,0)</f>
        <v>50</v>
      </c>
      <c r="T36" s="1">
        <f t="shared" si="6"/>
        <v>16.789372896796625</v>
      </c>
      <c r="U36" s="1">
        <f t="shared" si="4"/>
        <v>16.789372896796625</v>
      </c>
      <c r="V36" s="1">
        <v>8.6761999999999997</v>
      </c>
      <c r="W36" s="1">
        <v>11.325200000000001</v>
      </c>
      <c r="X36" s="1">
        <v>17.608000000000001</v>
      </c>
      <c r="Y36" s="1">
        <v>5.7988</v>
      </c>
      <c r="Z36" s="1">
        <v>18.465599999999998</v>
      </c>
      <c r="AA36" s="1">
        <v>17.502400000000002</v>
      </c>
      <c r="AB36" s="1">
        <v>10.848800000000001</v>
      </c>
      <c r="AC36" s="1">
        <v>17.9328</v>
      </c>
      <c r="AD36" s="1">
        <v>15.6494</v>
      </c>
      <c r="AE36" s="1">
        <v>12.670999999999999</v>
      </c>
      <c r="AF36" s="14" t="s">
        <v>40</v>
      </c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35</v>
      </c>
      <c r="C37" s="1">
        <v>321.33499999999998</v>
      </c>
      <c r="D37" s="1">
        <v>3.9E-2</v>
      </c>
      <c r="E37" s="1">
        <v>33.088000000000001</v>
      </c>
      <c r="F37" s="1">
        <v>285.07</v>
      </c>
      <c r="G37" s="7">
        <v>1</v>
      </c>
      <c r="H37" s="1">
        <v>45</v>
      </c>
      <c r="I37" s="1" t="s">
        <v>36</v>
      </c>
      <c r="J37" s="1"/>
      <c r="K37" s="1">
        <v>44.2</v>
      </c>
      <c r="L37" s="1">
        <f t="shared" si="2"/>
        <v>-11.112000000000002</v>
      </c>
      <c r="M37" s="1"/>
      <c r="N37" s="1"/>
      <c r="O37" s="1">
        <v>0</v>
      </c>
      <c r="P37" s="1">
        <f t="shared" si="3"/>
        <v>6.6176000000000004</v>
      </c>
      <c r="Q37" s="5"/>
      <c r="R37" s="5">
        <f t="shared" si="5"/>
        <v>0</v>
      </c>
      <c r="S37" s="21"/>
      <c r="T37" s="1">
        <f t="shared" si="6"/>
        <v>43.077550773694391</v>
      </c>
      <c r="U37" s="1">
        <f t="shared" si="4"/>
        <v>43.077550773694391</v>
      </c>
      <c r="V37" s="1">
        <v>7.3376000000000001</v>
      </c>
      <c r="W37" s="1">
        <v>7.2702</v>
      </c>
      <c r="X37" s="1">
        <v>13.048999999999999</v>
      </c>
      <c r="Y37" s="1">
        <v>17.644400000000001</v>
      </c>
      <c r="Z37" s="1">
        <v>21.256599999999999</v>
      </c>
      <c r="AA37" s="1">
        <v>2.8117999999999999</v>
      </c>
      <c r="AB37" s="1">
        <v>24.3322</v>
      </c>
      <c r="AC37" s="1">
        <v>18.131399999999999</v>
      </c>
      <c r="AD37" s="1">
        <v>12.0776</v>
      </c>
      <c r="AE37" s="1">
        <v>13.896599999999999</v>
      </c>
      <c r="AF37" s="14" t="s">
        <v>40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35</v>
      </c>
      <c r="C38" s="1">
        <v>32.290999999999997</v>
      </c>
      <c r="D38" s="1">
        <v>116.85299999999999</v>
      </c>
      <c r="E38" s="1">
        <v>29.731000000000002</v>
      </c>
      <c r="F38" s="1">
        <v>76.457999999999998</v>
      </c>
      <c r="G38" s="7">
        <v>1</v>
      </c>
      <c r="H38" s="1">
        <v>45</v>
      </c>
      <c r="I38" s="1" t="s">
        <v>36</v>
      </c>
      <c r="J38" s="1"/>
      <c r="K38" s="1">
        <v>30</v>
      </c>
      <c r="L38" s="1">
        <f t="shared" ref="L38:L69" si="9">E38-K38</f>
        <v>-0.26899999999999835</v>
      </c>
      <c r="M38" s="1"/>
      <c r="N38" s="1"/>
      <c r="O38" s="1">
        <v>0</v>
      </c>
      <c r="P38" s="1">
        <f t="shared" ref="P38:P69" si="10">E38/5</f>
        <v>5.9462000000000002</v>
      </c>
      <c r="Q38" s="5">
        <f t="shared" ref="Q38:Q42" si="11">15*P38-O38-F38</f>
        <v>12.734999999999999</v>
      </c>
      <c r="R38" s="5">
        <f t="shared" si="5"/>
        <v>13</v>
      </c>
      <c r="S38" s="21"/>
      <c r="T38" s="1">
        <f t="shared" si="6"/>
        <v>15.044566277622684</v>
      </c>
      <c r="U38" s="1">
        <f t="shared" ref="U38:U69" si="12">(F38+O38)/P38</f>
        <v>12.85829605462312</v>
      </c>
      <c r="V38" s="1">
        <v>4.71</v>
      </c>
      <c r="W38" s="1">
        <v>9.4372000000000007</v>
      </c>
      <c r="X38" s="1">
        <v>7.6054000000000004</v>
      </c>
      <c r="Y38" s="1">
        <v>11.007199999999999</v>
      </c>
      <c r="Z38" s="1">
        <v>11.5886</v>
      </c>
      <c r="AA38" s="1">
        <v>6.1677999999999997</v>
      </c>
      <c r="AB38" s="1">
        <v>9.9160000000000004</v>
      </c>
      <c r="AC38" s="1">
        <v>15.056800000000001</v>
      </c>
      <c r="AD38" s="1">
        <v>10.8932</v>
      </c>
      <c r="AE38" s="1">
        <v>5.9122000000000003</v>
      </c>
      <c r="AF38" s="1"/>
      <c r="AG38" s="1">
        <f t="shared" si="7"/>
        <v>13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39</v>
      </c>
      <c r="C39" s="1">
        <v>340</v>
      </c>
      <c r="D39" s="1">
        <v>816</v>
      </c>
      <c r="E39" s="1">
        <v>222</v>
      </c>
      <c r="F39" s="1">
        <v>614</v>
      </c>
      <c r="G39" s="7">
        <v>0.3</v>
      </c>
      <c r="H39" s="1">
        <v>45</v>
      </c>
      <c r="I39" s="1" t="s">
        <v>36</v>
      </c>
      <c r="J39" s="1"/>
      <c r="K39" s="1">
        <v>227</v>
      </c>
      <c r="L39" s="1">
        <f t="shared" si="9"/>
        <v>-5</v>
      </c>
      <c r="M39" s="1"/>
      <c r="N39" s="1"/>
      <c r="O39" s="1">
        <v>0</v>
      </c>
      <c r="P39" s="1">
        <f t="shared" si="10"/>
        <v>44.4</v>
      </c>
      <c r="Q39" s="5">
        <f t="shared" si="11"/>
        <v>52</v>
      </c>
      <c r="R39" s="5">
        <f t="shared" si="5"/>
        <v>52</v>
      </c>
      <c r="S39" s="21"/>
      <c r="T39" s="1">
        <f t="shared" si="6"/>
        <v>15</v>
      </c>
      <c r="U39" s="1">
        <f t="shared" si="12"/>
        <v>13.828828828828829</v>
      </c>
      <c r="V39" s="1">
        <v>34</v>
      </c>
      <c r="W39" s="1">
        <v>56.4</v>
      </c>
      <c r="X39" s="1">
        <v>46.4</v>
      </c>
      <c r="Y39" s="1">
        <v>37.200000000000003</v>
      </c>
      <c r="Z39" s="1">
        <v>118.8</v>
      </c>
      <c r="AA39" s="1">
        <v>1.6</v>
      </c>
      <c r="AB39" s="1">
        <v>52.2</v>
      </c>
      <c r="AC39" s="1">
        <v>85.8</v>
      </c>
      <c r="AD39" s="1">
        <v>35.799999999999997</v>
      </c>
      <c r="AE39" s="1">
        <v>58.4</v>
      </c>
      <c r="AF39" s="1"/>
      <c r="AG39" s="1">
        <f t="shared" si="7"/>
        <v>15.6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35</v>
      </c>
      <c r="C40" s="1">
        <v>7.85</v>
      </c>
      <c r="D40" s="1">
        <v>362.47800000000001</v>
      </c>
      <c r="E40" s="1">
        <v>12.582000000000001</v>
      </c>
      <c r="F40" s="1">
        <v>326.20400000000001</v>
      </c>
      <c r="G40" s="7">
        <v>1</v>
      </c>
      <c r="H40" s="1">
        <v>30</v>
      </c>
      <c r="I40" s="1" t="s">
        <v>36</v>
      </c>
      <c r="J40" s="1"/>
      <c r="K40" s="1">
        <v>50.872</v>
      </c>
      <c r="L40" s="1">
        <f t="shared" si="9"/>
        <v>-38.29</v>
      </c>
      <c r="M40" s="1"/>
      <c r="N40" s="1"/>
      <c r="O40" s="1">
        <v>0</v>
      </c>
      <c r="P40" s="1">
        <f t="shared" si="10"/>
        <v>2.5164</v>
      </c>
      <c r="Q40" s="5"/>
      <c r="R40" s="5">
        <f t="shared" si="5"/>
        <v>0</v>
      </c>
      <c r="S40" s="21"/>
      <c r="T40" s="1">
        <f t="shared" si="6"/>
        <v>129.63121920203466</v>
      </c>
      <c r="U40" s="1">
        <f t="shared" si="12"/>
        <v>129.63121920203466</v>
      </c>
      <c r="V40" s="1">
        <v>6.0540000000000003</v>
      </c>
      <c r="W40" s="1">
        <v>21.500800000000002</v>
      </c>
      <c r="X40" s="1">
        <v>9.0207999999999995</v>
      </c>
      <c r="Y40" s="1">
        <v>2.5748000000000002</v>
      </c>
      <c r="Z40" s="1">
        <v>10.1496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7" t="s">
        <v>166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35</v>
      </c>
      <c r="C41" s="1">
        <v>121.98099999999999</v>
      </c>
      <c r="D41" s="1">
        <v>116.71899999999999</v>
      </c>
      <c r="E41" s="1">
        <v>24.745000000000001</v>
      </c>
      <c r="F41" s="1">
        <v>109.23</v>
      </c>
      <c r="G41" s="7">
        <v>1</v>
      </c>
      <c r="H41" s="1">
        <v>45</v>
      </c>
      <c r="I41" s="1" t="s">
        <v>36</v>
      </c>
      <c r="J41" s="1"/>
      <c r="K41" s="1">
        <v>21</v>
      </c>
      <c r="L41" s="1">
        <f t="shared" si="9"/>
        <v>3.745000000000001</v>
      </c>
      <c r="M41" s="1"/>
      <c r="N41" s="1"/>
      <c r="O41" s="1">
        <v>0</v>
      </c>
      <c r="P41" s="1">
        <f t="shared" si="10"/>
        <v>4.9489999999999998</v>
      </c>
      <c r="Q41" s="5"/>
      <c r="R41" s="5">
        <f t="shared" si="5"/>
        <v>0</v>
      </c>
      <c r="S41" s="21"/>
      <c r="T41" s="1">
        <f t="shared" si="6"/>
        <v>22.071125479894931</v>
      </c>
      <c r="U41" s="1">
        <f t="shared" si="12"/>
        <v>22.071125479894931</v>
      </c>
      <c r="V41" s="1">
        <v>2.1711999999999998</v>
      </c>
      <c r="W41" s="1">
        <v>5.9066000000000001</v>
      </c>
      <c r="X41" s="1">
        <v>10.6128</v>
      </c>
      <c r="Y41" s="1">
        <v>16.558199999999999</v>
      </c>
      <c r="Z41" s="1">
        <v>4.0780000000000003</v>
      </c>
      <c r="AA41" s="1">
        <v>8.1170000000000009</v>
      </c>
      <c r="AB41" s="1">
        <v>16.876200000000001</v>
      </c>
      <c r="AC41" s="1">
        <v>10.6318</v>
      </c>
      <c r="AD41" s="1">
        <v>4.3406000000000002</v>
      </c>
      <c r="AE41" s="1">
        <v>15.939</v>
      </c>
      <c r="AF41" s="14" t="s">
        <v>40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39</v>
      </c>
      <c r="C42" s="1">
        <v>246</v>
      </c>
      <c r="D42" s="1">
        <v>1304</v>
      </c>
      <c r="E42" s="1">
        <v>337</v>
      </c>
      <c r="F42" s="1">
        <v>462</v>
      </c>
      <c r="G42" s="7">
        <v>0.35</v>
      </c>
      <c r="H42" s="1">
        <v>45</v>
      </c>
      <c r="I42" s="1" t="s">
        <v>36</v>
      </c>
      <c r="J42" s="1"/>
      <c r="K42" s="1">
        <v>396</v>
      </c>
      <c r="L42" s="1">
        <f t="shared" si="9"/>
        <v>-59</v>
      </c>
      <c r="M42" s="1"/>
      <c r="N42" s="1"/>
      <c r="O42" s="1">
        <v>0</v>
      </c>
      <c r="P42" s="1">
        <f t="shared" si="10"/>
        <v>67.400000000000006</v>
      </c>
      <c r="Q42" s="5">
        <f t="shared" si="11"/>
        <v>549.00000000000011</v>
      </c>
      <c r="R42" s="5">
        <v>700</v>
      </c>
      <c r="S42" s="21">
        <f>VLOOKUP(A42,[1]Sheet!$A:$R,18,0)</f>
        <v>700</v>
      </c>
      <c r="T42" s="1">
        <f t="shared" si="6"/>
        <v>17.240356083086052</v>
      </c>
      <c r="U42" s="1">
        <f t="shared" si="12"/>
        <v>6.8545994065281892</v>
      </c>
      <c r="V42" s="1">
        <v>51.4</v>
      </c>
      <c r="W42" s="1">
        <v>70.599999999999994</v>
      </c>
      <c r="X42" s="1">
        <v>112.6</v>
      </c>
      <c r="Y42" s="1">
        <v>134</v>
      </c>
      <c r="Z42" s="1">
        <v>176</v>
      </c>
      <c r="AA42" s="1">
        <v>82.6</v>
      </c>
      <c r="AB42" s="1">
        <v>158.6</v>
      </c>
      <c r="AC42" s="1">
        <v>169.2</v>
      </c>
      <c r="AD42" s="1">
        <v>109.4</v>
      </c>
      <c r="AE42" s="1">
        <v>94.4</v>
      </c>
      <c r="AF42" s="1"/>
      <c r="AG42" s="1">
        <f t="shared" si="7"/>
        <v>244.99999999999997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0" t="s">
        <v>85</v>
      </c>
      <c r="B43" s="10" t="s">
        <v>39</v>
      </c>
      <c r="C43" s="10"/>
      <c r="D43" s="10">
        <v>58</v>
      </c>
      <c r="E43" s="15">
        <v>8</v>
      </c>
      <c r="F43" s="10"/>
      <c r="G43" s="11">
        <v>0</v>
      </c>
      <c r="H43" s="10">
        <v>45</v>
      </c>
      <c r="I43" s="13" t="s">
        <v>74</v>
      </c>
      <c r="J43" s="13" t="s">
        <v>86</v>
      </c>
      <c r="K43" s="10">
        <v>105</v>
      </c>
      <c r="L43" s="10">
        <f t="shared" si="9"/>
        <v>-97</v>
      </c>
      <c r="M43" s="10"/>
      <c r="N43" s="10"/>
      <c r="O43" s="10">
        <v>0</v>
      </c>
      <c r="P43" s="10">
        <f t="shared" si="10"/>
        <v>1.6</v>
      </c>
      <c r="Q43" s="12"/>
      <c r="R43" s="5">
        <f t="shared" si="5"/>
        <v>0</v>
      </c>
      <c r="S43" s="21"/>
      <c r="T43" s="1">
        <f t="shared" si="6"/>
        <v>0</v>
      </c>
      <c r="U43" s="10">
        <f t="shared" si="12"/>
        <v>0</v>
      </c>
      <c r="V43" s="10">
        <v>-0.4</v>
      </c>
      <c r="W43" s="10">
        <v>6</v>
      </c>
      <c r="X43" s="10">
        <v>-0.2</v>
      </c>
      <c r="Y43" s="10">
        <v>6</v>
      </c>
      <c r="Z43" s="10">
        <v>80</v>
      </c>
      <c r="AA43" s="10">
        <v>-2.6</v>
      </c>
      <c r="AB43" s="10">
        <v>-2.8</v>
      </c>
      <c r="AC43" s="10">
        <v>46.8</v>
      </c>
      <c r="AD43" s="10">
        <v>39</v>
      </c>
      <c r="AE43" s="10">
        <v>41</v>
      </c>
      <c r="AF43" s="13" t="s">
        <v>87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39</v>
      </c>
      <c r="C44" s="1">
        <v>192</v>
      </c>
      <c r="D44" s="1">
        <v>440</v>
      </c>
      <c r="E44" s="1">
        <v>114</v>
      </c>
      <c r="F44" s="1">
        <v>195</v>
      </c>
      <c r="G44" s="7">
        <v>0.41</v>
      </c>
      <c r="H44" s="1">
        <v>45</v>
      </c>
      <c r="I44" s="1" t="s">
        <v>36</v>
      </c>
      <c r="J44" s="1"/>
      <c r="K44" s="1">
        <v>116</v>
      </c>
      <c r="L44" s="1">
        <f t="shared" si="9"/>
        <v>-2</v>
      </c>
      <c r="M44" s="1"/>
      <c r="N44" s="1"/>
      <c r="O44" s="1">
        <v>10</v>
      </c>
      <c r="P44" s="1">
        <f t="shared" si="10"/>
        <v>22.8</v>
      </c>
      <c r="Q44" s="5">
        <f>15*P44-O44-F44</f>
        <v>137</v>
      </c>
      <c r="R44" s="5">
        <f t="shared" si="5"/>
        <v>137</v>
      </c>
      <c r="S44" s="21"/>
      <c r="T44" s="1">
        <f t="shared" si="6"/>
        <v>15</v>
      </c>
      <c r="U44" s="1">
        <f t="shared" si="12"/>
        <v>8.9912280701754383</v>
      </c>
      <c r="V44" s="1">
        <v>21.8</v>
      </c>
      <c r="W44" s="1">
        <v>28.6</v>
      </c>
      <c r="X44" s="1">
        <v>46.4</v>
      </c>
      <c r="Y44" s="1">
        <v>48.6</v>
      </c>
      <c r="Z44" s="1">
        <v>58.2</v>
      </c>
      <c r="AA44" s="1">
        <v>52.4</v>
      </c>
      <c r="AB44" s="1">
        <v>16.600000000000001</v>
      </c>
      <c r="AC44" s="1">
        <v>57.6</v>
      </c>
      <c r="AD44" s="1">
        <v>35.6</v>
      </c>
      <c r="AE44" s="1">
        <v>12.4</v>
      </c>
      <c r="AF44" s="1"/>
      <c r="AG44" s="1">
        <f t="shared" si="7"/>
        <v>56.169999999999995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0" t="s">
        <v>89</v>
      </c>
      <c r="B45" s="10" t="s">
        <v>35</v>
      </c>
      <c r="C45" s="10">
        <v>16.449000000000002</v>
      </c>
      <c r="D45" s="10"/>
      <c r="E45" s="10"/>
      <c r="F45" s="10">
        <v>16.449000000000002</v>
      </c>
      <c r="G45" s="11">
        <v>0</v>
      </c>
      <c r="H45" s="10">
        <v>30</v>
      </c>
      <c r="I45" s="10" t="s">
        <v>69</v>
      </c>
      <c r="J45" s="10"/>
      <c r="K45" s="10"/>
      <c r="L45" s="10">
        <f t="shared" si="9"/>
        <v>0</v>
      </c>
      <c r="M45" s="10"/>
      <c r="N45" s="10"/>
      <c r="O45" s="10">
        <v>0</v>
      </c>
      <c r="P45" s="10">
        <f t="shared" si="10"/>
        <v>0</v>
      </c>
      <c r="Q45" s="12"/>
      <c r="R45" s="5">
        <f t="shared" si="5"/>
        <v>0</v>
      </c>
      <c r="S45" s="21"/>
      <c r="T45" s="1" t="e">
        <f t="shared" si="6"/>
        <v>#DIV/0!</v>
      </c>
      <c r="U45" s="10" t="e">
        <f t="shared" si="12"/>
        <v>#DIV/0!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4" t="s">
        <v>40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39</v>
      </c>
      <c r="C46" s="1">
        <v>22</v>
      </c>
      <c r="D46" s="1">
        <v>330</v>
      </c>
      <c r="E46" s="1">
        <v>30</v>
      </c>
      <c r="F46" s="1">
        <v>142</v>
      </c>
      <c r="G46" s="7">
        <v>0.36</v>
      </c>
      <c r="H46" s="1">
        <v>45</v>
      </c>
      <c r="I46" s="1" t="s">
        <v>36</v>
      </c>
      <c r="J46" s="1"/>
      <c r="K46" s="1">
        <v>38</v>
      </c>
      <c r="L46" s="1">
        <f t="shared" si="9"/>
        <v>-8</v>
      </c>
      <c r="M46" s="1"/>
      <c r="N46" s="1"/>
      <c r="O46" s="1">
        <v>0</v>
      </c>
      <c r="P46" s="1">
        <f t="shared" si="10"/>
        <v>6</v>
      </c>
      <c r="Q46" s="5"/>
      <c r="R46" s="5">
        <f t="shared" si="5"/>
        <v>0</v>
      </c>
      <c r="S46" s="21"/>
      <c r="T46" s="1">
        <f t="shared" si="6"/>
        <v>23.666666666666668</v>
      </c>
      <c r="U46" s="1">
        <f t="shared" si="12"/>
        <v>23.666666666666668</v>
      </c>
      <c r="V46" s="1">
        <v>6.4</v>
      </c>
      <c r="W46" s="1">
        <v>10.199999999999999</v>
      </c>
      <c r="X46" s="1">
        <v>8.6</v>
      </c>
      <c r="Y46" s="1">
        <v>2.2000000000000002</v>
      </c>
      <c r="Z46" s="1">
        <v>12</v>
      </c>
      <c r="AA46" s="1">
        <v>0.2</v>
      </c>
      <c r="AB46" s="1">
        <v>6.8</v>
      </c>
      <c r="AC46" s="1">
        <v>0</v>
      </c>
      <c r="AD46" s="1">
        <v>0</v>
      </c>
      <c r="AE46" s="1">
        <v>-0.4</v>
      </c>
      <c r="AF46" s="1" t="s">
        <v>91</v>
      </c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39</v>
      </c>
      <c r="C47" s="1">
        <v>229</v>
      </c>
      <c r="D47" s="1">
        <v>41</v>
      </c>
      <c r="E47" s="1">
        <v>75</v>
      </c>
      <c r="F47" s="1">
        <v>153</v>
      </c>
      <c r="G47" s="7">
        <v>0.33</v>
      </c>
      <c r="H47" s="1">
        <v>45</v>
      </c>
      <c r="I47" s="1" t="s">
        <v>36</v>
      </c>
      <c r="J47" s="1"/>
      <c r="K47" s="1">
        <v>76</v>
      </c>
      <c r="L47" s="1">
        <f t="shared" si="9"/>
        <v>-1</v>
      </c>
      <c r="M47" s="1"/>
      <c r="N47" s="1"/>
      <c r="O47" s="1">
        <v>0</v>
      </c>
      <c r="P47" s="1">
        <f t="shared" si="10"/>
        <v>15</v>
      </c>
      <c r="Q47" s="5">
        <f>14*P47-O47-F47</f>
        <v>57</v>
      </c>
      <c r="R47" s="5">
        <v>80</v>
      </c>
      <c r="S47" s="21">
        <f>VLOOKUP(A47,[1]Sheet!$A:$R,18,0)</f>
        <v>100</v>
      </c>
      <c r="T47" s="1">
        <f t="shared" si="6"/>
        <v>15.533333333333333</v>
      </c>
      <c r="U47" s="1">
        <f t="shared" si="12"/>
        <v>10.199999999999999</v>
      </c>
      <c r="V47" s="1">
        <v>5.2</v>
      </c>
      <c r="W47" s="1">
        <v>10.6</v>
      </c>
      <c r="X47" s="1">
        <v>21</v>
      </c>
      <c r="Y47" s="1">
        <v>6</v>
      </c>
      <c r="Z47" s="1">
        <v>27.2</v>
      </c>
      <c r="AA47" s="1">
        <v>17.600000000000001</v>
      </c>
      <c r="AB47" s="1">
        <v>5.2</v>
      </c>
      <c r="AC47" s="1">
        <v>20.2</v>
      </c>
      <c r="AD47" s="1">
        <v>12.8</v>
      </c>
      <c r="AE47" s="1">
        <v>2.2000000000000002</v>
      </c>
      <c r="AF47" s="9" t="s">
        <v>168</v>
      </c>
      <c r="AG47" s="1">
        <f t="shared" si="7"/>
        <v>26.400000000000002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39</v>
      </c>
      <c r="C48" s="1">
        <v>97</v>
      </c>
      <c r="D48" s="1">
        <v>106</v>
      </c>
      <c r="E48" s="1">
        <v>92</v>
      </c>
      <c r="F48" s="1">
        <v>44</v>
      </c>
      <c r="G48" s="7">
        <v>0.4</v>
      </c>
      <c r="H48" s="1">
        <v>60</v>
      </c>
      <c r="I48" s="1" t="s">
        <v>36</v>
      </c>
      <c r="J48" s="1"/>
      <c r="K48" s="1">
        <v>94</v>
      </c>
      <c r="L48" s="1">
        <f t="shared" si="9"/>
        <v>-2</v>
      </c>
      <c r="M48" s="1"/>
      <c r="N48" s="1"/>
      <c r="O48" s="1">
        <v>91</v>
      </c>
      <c r="P48" s="1">
        <f t="shared" si="10"/>
        <v>18.399999999999999</v>
      </c>
      <c r="Q48" s="5">
        <f t="shared" ref="Q48:Q64" si="13">15*P48-O48-F48</f>
        <v>141</v>
      </c>
      <c r="R48" s="5">
        <v>180</v>
      </c>
      <c r="S48" s="21">
        <f>VLOOKUP(A48,[1]Sheet!$A:$R,18,0)</f>
        <v>200</v>
      </c>
      <c r="T48" s="1">
        <f t="shared" si="6"/>
        <v>17.119565217391305</v>
      </c>
      <c r="U48" s="1">
        <f t="shared" si="12"/>
        <v>7.3369565217391308</v>
      </c>
      <c r="V48" s="1">
        <v>15.4</v>
      </c>
      <c r="W48" s="1">
        <v>14.8</v>
      </c>
      <c r="X48" s="1">
        <v>24.6</v>
      </c>
      <c r="Y48" s="1">
        <v>36.4</v>
      </c>
      <c r="Z48" s="1">
        <v>45</v>
      </c>
      <c r="AA48" s="1">
        <v>9</v>
      </c>
      <c r="AB48" s="1">
        <v>38</v>
      </c>
      <c r="AC48" s="1">
        <v>38.4</v>
      </c>
      <c r="AD48" s="1">
        <v>27</v>
      </c>
      <c r="AE48" s="1">
        <v>20.8</v>
      </c>
      <c r="AF48" s="1"/>
      <c r="AG48" s="1">
        <f t="shared" si="7"/>
        <v>72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39</v>
      </c>
      <c r="C49" s="1">
        <v>7</v>
      </c>
      <c r="D49" s="1">
        <v>9</v>
      </c>
      <c r="E49" s="1">
        <v>7</v>
      </c>
      <c r="F49" s="1">
        <v>8</v>
      </c>
      <c r="G49" s="7">
        <v>0.33</v>
      </c>
      <c r="H49" s="1">
        <v>45</v>
      </c>
      <c r="I49" s="1" t="s">
        <v>36</v>
      </c>
      <c r="J49" s="1"/>
      <c r="K49" s="1">
        <v>7</v>
      </c>
      <c r="L49" s="1">
        <f t="shared" si="9"/>
        <v>0</v>
      </c>
      <c r="M49" s="1"/>
      <c r="N49" s="1"/>
      <c r="O49" s="1">
        <v>0</v>
      </c>
      <c r="P49" s="1">
        <f t="shared" si="10"/>
        <v>1.4</v>
      </c>
      <c r="Q49" s="5">
        <f t="shared" si="13"/>
        <v>13</v>
      </c>
      <c r="R49" s="5">
        <v>16</v>
      </c>
      <c r="S49" s="21">
        <f>VLOOKUP(A49,[1]Sheet!$A:$R,18,0)</f>
        <v>100</v>
      </c>
      <c r="T49" s="1">
        <f t="shared" si="6"/>
        <v>17.142857142857142</v>
      </c>
      <c r="U49" s="1">
        <f t="shared" si="12"/>
        <v>5.7142857142857144</v>
      </c>
      <c r="V49" s="1">
        <v>0.2</v>
      </c>
      <c r="W49" s="1">
        <v>1.4</v>
      </c>
      <c r="X49" s="1">
        <v>1.6</v>
      </c>
      <c r="Y49" s="1">
        <v>2.2000000000000002</v>
      </c>
      <c r="Z49" s="1">
        <v>2.6</v>
      </c>
      <c r="AA49" s="1">
        <v>-0.4</v>
      </c>
      <c r="AB49" s="1">
        <v>0</v>
      </c>
      <c r="AC49" s="1">
        <v>-0.6</v>
      </c>
      <c r="AD49" s="1">
        <v>0</v>
      </c>
      <c r="AE49" s="1">
        <v>0.8</v>
      </c>
      <c r="AF49" s="1" t="s">
        <v>95</v>
      </c>
      <c r="AG49" s="1">
        <f t="shared" si="7"/>
        <v>5.28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96</v>
      </c>
      <c r="B50" s="1" t="s">
        <v>35</v>
      </c>
      <c r="C50" s="1">
        <v>678.76199999999994</v>
      </c>
      <c r="D50" s="1"/>
      <c r="E50" s="1">
        <v>244.40100000000001</v>
      </c>
      <c r="F50" s="1">
        <v>434.36099999999999</v>
      </c>
      <c r="G50" s="7">
        <v>1</v>
      </c>
      <c r="H50" s="1">
        <v>45</v>
      </c>
      <c r="I50" s="1" t="s">
        <v>36</v>
      </c>
      <c r="J50" s="1"/>
      <c r="K50" s="1">
        <v>195.8</v>
      </c>
      <c r="L50" s="1">
        <f t="shared" si="9"/>
        <v>48.600999999999999</v>
      </c>
      <c r="M50" s="1"/>
      <c r="N50" s="1"/>
      <c r="O50" s="1">
        <v>0</v>
      </c>
      <c r="P50" s="1">
        <f t="shared" si="10"/>
        <v>48.880200000000002</v>
      </c>
      <c r="Q50" s="5">
        <f>14*P50-O50-F50</f>
        <v>249.96180000000004</v>
      </c>
      <c r="R50" s="5">
        <f t="shared" si="5"/>
        <v>250</v>
      </c>
      <c r="S50" s="21"/>
      <c r="T50" s="1">
        <f t="shared" si="6"/>
        <v>14.000781502530677</v>
      </c>
      <c r="U50" s="1">
        <f t="shared" si="12"/>
        <v>8.8862361446966247</v>
      </c>
      <c r="V50" s="1">
        <v>29.8734</v>
      </c>
      <c r="W50" s="1">
        <v>43.090400000000002</v>
      </c>
      <c r="X50" s="1">
        <v>41.2866</v>
      </c>
      <c r="Y50" s="1">
        <v>47.587200000000003</v>
      </c>
      <c r="Z50" s="1">
        <v>80.835799999999992</v>
      </c>
      <c r="AA50" s="1">
        <v>30.045400000000001</v>
      </c>
      <c r="AB50" s="1">
        <v>65.753799999999998</v>
      </c>
      <c r="AC50" s="1">
        <v>61.433399999999992</v>
      </c>
      <c r="AD50" s="1">
        <v>54.076999999999998</v>
      </c>
      <c r="AE50" s="1">
        <v>13.7126</v>
      </c>
      <c r="AF50" s="1"/>
      <c r="AG50" s="1">
        <f t="shared" si="7"/>
        <v>250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97</v>
      </c>
      <c r="B51" s="1" t="s">
        <v>39</v>
      </c>
      <c r="C51" s="1">
        <v>5</v>
      </c>
      <c r="D51" s="1">
        <v>302</v>
      </c>
      <c r="E51" s="1">
        <v>7</v>
      </c>
      <c r="F51" s="1">
        <v>148</v>
      </c>
      <c r="G51" s="7">
        <v>0.4</v>
      </c>
      <c r="H51" s="1">
        <v>45</v>
      </c>
      <c r="I51" s="1" t="s">
        <v>36</v>
      </c>
      <c r="J51" s="1"/>
      <c r="K51" s="1">
        <v>34</v>
      </c>
      <c r="L51" s="1">
        <f t="shared" si="9"/>
        <v>-27</v>
      </c>
      <c r="M51" s="1"/>
      <c r="N51" s="1"/>
      <c r="O51" s="1">
        <v>0</v>
      </c>
      <c r="P51" s="1">
        <f t="shared" si="10"/>
        <v>1.4</v>
      </c>
      <c r="Q51" s="5"/>
      <c r="R51" s="5">
        <f t="shared" si="5"/>
        <v>0</v>
      </c>
      <c r="S51" s="21"/>
      <c r="T51" s="1">
        <f t="shared" si="6"/>
        <v>105.71428571428572</v>
      </c>
      <c r="U51" s="1">
        <f t="shared" si="12"/>
        <v>105.71428571428572</v>
      </c>
      <c r="V51" s="1">
        <v>0.2</v>
      </c>
      <c r="W51" s="1">
        <v>0</v>
      </c>
      <c r="X51" s="1">
        <v>-0.2</v>
      </c>
      <c r="Y51" s="1">
        <v>0</v>
      </c>
      <c r="Z51" s="1">
        <v>-0.6</v>
      </c>
      <c r="AA51" s="1">
        <v>-0.2</v>
      </c>
      <c r="AB51" s="1">
        <v>-2.6</v>
      </c>
      <c r="AC51" s="1">
        <v>0</v>
      </c>
      <c r="AD51" s="1">
        <v>-0.4</v>
      </c>
      <c r="AE51" s="1">
        <v>-0.2</v>
      </c>
      <c r="AF51" s="1" t="s">
        <v>98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35</v>
      </c>
      <c r="C52" s="1">
        <v>208.22499999999999</v>
      </c>
      <c r="D52" s="1">
        <v>18.11</v>
      </c>
      <c r="E52" s="1">
        <v>9.0549999999999997</v>
      </c>
      <c r="F52" s="1">
        <v>193.905</v>
      </c>
      <c r="G52" s="7">
        <v>1</v>
      </c>
      <c r="H52" s="1">
        <v>60</v>
      </c>
      <c r="I52" s="1" t="s">
        <v>36</v>
      </c>
      <c r="J52" s="1"/>
      <c r="K52" s="1">
        <v>9</v>
      </c>
      <c r="L52" s="1">
        <f t="shared" si="9"/>
        <v>5.4999999999999716E-2</v>
      </c>
      <c r="M52" s="1"/>
      <c r="N52" s="1"/>
      <c r="O52" s="1">
        <v>0</v>
      </c>
      <c r="P52" s="1">
        <f t="shared" si="10"/>
        <v>1.8109999999999999</v>
      </c>
      <c r="Q52" s="5"/>
      <c r="R52" s="5">
        <f t="shared" si="5"/>
        <v>0</v>
      </c>
      <c r="S52" s="21"/>
      <c r="T52" s="1">
        <f t="shared" si="6"/>
        <v>107.07067918277195</v>
      </c>
      <c r="U52" s="1">
        <f t="shared" si="12"/>
        <v>107.07067918277195</v>
      </c>
      <c r="V52" s="1">
        <v>3.0249999999999999</v>
      </c>
      <c r="W52" s="1">
        <v>3.0249999999999999</v>
      </c>
      <c r="X52" s="1">
        <v>3.9409999999999998</v>
      </c>
      <c r="Y52" s="1">
        <v>13.7</v>
      </c>
      <c r="Z52" s="1">
        <v>7.6189999999999998</v>
      </c>
      <c r="AA52" s="1">
        <v>7.8315999999999999</v>
      </c>
      <c r="AB52" s="1">
        <v>9.9421999999999997</v>
      </c>
      <c r="AC52" s="1">
        <v>12.0648</v>
      </c>
      <c r="AD52" s="1">
        <v>5.1560000000000006</v>
      </c>
      <c r="AE52" s="1">
        <v>7.8439999999999994</v>
      </c>
      <c r="AF52" s="14" t="s">
        <v>40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100</v>
      </c>
      <c r="B53" s="1" t="s">
        <v>35</v>
      </c>
      <c r="C53" s="1">
        <v>101.77200000000001</v>
      </c>
      <c r="D53" s="1">
        <v>136.63200000000001</v>
      </c>
      <c r="E53" s="1">
        <v>19.398</v>
      </c>
      <c r="F53" s="1">
        <v>150.78399999999999</v>
      </c>
      <c r="G53" s="7">
        <v>1</v>
      </c>
      <c r="H53" s="1">
        <v>45</v>
      </c>
      <c r="I53" s="1" t="s">
        <v>36</v>
      </c>
      <c r="J53" s="1"/>
      <c r="K53" s="1">
        <v>19</v>
      </c>
      <c r="L53" s="1">
        <f t="shared" si="9"/>
        <v>0.39799999999999969</v>
      </c>
      <c r="M53" s="1"/>
      <c r="N53" s="1"/>
      <c r="O53" s="1">
        <v>0</v>
      </c>
      <c r="P53" s="1">
        <f t="shared" si="10"/>
        <v>3.8795999999999999</v>
      </c>
      <c r="Q53" s="5"/>
      <c r="R53" s="5">
        <f t="shared" si="5"/>
        <v>0</v>
      </c>
      <c r="S53" s="21"/>
      <c r="T53" s="1">
        <f t="shared" si="6"/>
        <v>38.865862460047424</v>
      </c>
      <c r="U53" s="1">
        <f t="shared" si="12"/>
        <v>38.865862460047424</v>
      </c>
      <c r="V53" s="1">
        <v>5.3563999999999998</v>
      </c>
      <c r="W53" s="1">
        <v>9.8315999999999999</v>
      </c>
      <c r="X53" s="1">
        <v>11.7372</v>
      </c>
      <c r="Y53" s="1">
        <v>0.34320000000000001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4" t="s">
        <v>101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39</v>
      </c>
      <c r="C54" s="1">
        <v>74</v>
      </c>
      <c r="D54" s="1">
        <v>68</v>
      </c>
      <c r="E54" s="1">
        <v>30</v>
      </c>
      <c r="F54" s="1">
        <v>43</v>
      </c>
      <c r="G54" s="7">
        <v>0.25</v>
      </c>
      <c r="H54" s="1">
        <v>120</v>
      </c>
      <c r="I54" s="1" t="s">
        <v>36</v>
      </c>
      <c r="J54" s="1"/>
      <c r="K54" s="1">
        <v>31</v>
      </c>
      <c r="L54" s="1">
        <f t="shared" si="9"/>
        <v>-1</v>
      </c>
      <c r="M54" s="1"/>
      <c r="N54" s="1"/>
      <c r="O54" s="1">
        <v>0</v>
      </c>
      <c r="P54" s="1">
        <f t="shared" si="10"/>
        <v>6</v>
      </c>
      <c r="Q54" s="5">
        <f t="shared" si="13"/>
        <v>47</v>
      </c>
      <c r="R54" s="5">
        <v>60</v>
      </c>
      <c r="S54" s="21">
        <f>VLOOKUP(A54,[1]Sheet!$A:$R,18,0)</f>
        <v>100</v>
      </c>
      <c r="T54" s="1">
        <f t="shared" si="6"/>
        <v>17.166666666666668</v>
      </c>
      <c r="U54" s="1">
        <f t="shared" si="12"/>
        <v>7.166666666666667</v>
      </c>
      <c r="V54" s="1">
        <v>3.8</v>
      </c>
      <c r="W54" s="1">
        <v>6</v>
      </c>
      <c r="X54" s="1">
        <v>12.6</v>
      </c>
      <c r="Y54" s="1">
        <v>21.2</v>
      </c>
      <c r="Z54" s="1">
        <v>29.6</v>
      </c>
      <c r="AA54" s="1">
        <v>23.8</v>
      </c>
      <c r="AB54" s="1">
        <v>41.2</v>
      </c>
      <c r="AC54" s="1">
        <v>35.799999999999997</v>
      </c>
      <c r="AD54" s="1">
        <v>24</v>
      </c>
      <c r="AE54" s="1">
        <v>14.4</v>
      </c>
      <c r="AF54" s="1"/>
      <c r="AG54" s="1">
        <f t="shared" si="7"/>
        <v>15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35</v>
      </c>
      <c r="C55" s="1">
        <v>28.173999999999999</v>
      </c>
      <c r="D55" s="1">
        <v>56.158000000000001</v>
      </c>
      <c r="E55" s="1">
        <v>9.5670000000000002</v>
      </c>
      <c r="F55" s="1">
        <v>32.137999999999998</v>
      </c>
      <c r="G55" s="7">
        <v>1</v>
      </c>
      <c r="H55" s="1">
        <v>45</v>
      </c>
      <c r="I55" s="1" t="s">
        <v>36</v>
      </c>
      <c r="J55" s="1"/>
      <c r="K55" s="1">
        <v>11</v>
      </c>
      <c r="L55" s="1">
        <f t="shared" si="9"/>
        <v>-1.4329999999999998</v>
      </c>
      <c r="M55" s="1"/>
      <c r="N55" s="1"/>
      <c r="O55" s="1">
        <v>0</v>
      </c>
      <c r="P55" s="1">
        <f t="shared" si="10"/>
        <v>1.9134</v>
      </c>
      <c r="Q55" s="5"/>
      <c r="R55" s="5">
        <f t="shared" si="5"/>
        <v>0</v>
      </c>
      <c r="S55" s="21"/>
      <c r="T55" s="1">
        <f t="shared" si="6"/>
        <v>16.796278875300512</v>
      </c>
      <c r="U55" s="1">
        <f t="shared" si="12"/>
        <v>16.796278875300512</v>
      </c>
      <c r="V55" s="1">
        <v>1.6588000000000001</v>
      </c>
      <c r="W55" s="1">
        <v>3.7608000000000001</v>
      </c>
      <c r="X55" s="1">
        <v>4.5110000000000001</v>
      </c>
      <c r="Y55" s="1">
        <v>3.7778</v>
      </c>
      <c r="Z55" s="1">
        <v>5.52</v>
      </c>
      <c r="AA55" s="1">
        <v>-0.21079999999999999</v>
      </c>
      <c r="AB55" s="1">
        <v>3.5804</v>
      </c>
      <c r="AC55" s="1">
        <v>5.7594000000000003</v>
      </c>
      <c r="AD55" s="1">
        <v>-2E-3</v>
      </c>
      <c r="AE55" s="1">
        <v>3.0392000000000001</v>
      </c>
      <c r="AF55" s="14" t="s">
        <v>40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39</v>
      </c>
      <c r="C56" s="1">
        <v>-1</v>
      </c>
      <c r="D56" s="1">
        <v>512</v>
      </c>
      <c r="E56" s="1">
        <v>8</v>
      </c>
      <c r="F56" s="1">
        <v>446</v>
      </c>
      <c r="G56" s="7">
        <v>0.27</v>
      </c>
      <c r="H56" s="1">
        <v>45</v>
      </c>
      <c r="I56" s="1" t="s">
        <v>36</v>
      </c>
      <c r="J56" s="1"/>
      <c r="K56" s="1">
        <v>88</v>
      </c>
      <c r="L56" s="1">
        <f t="shared" si="9"/>
        <v>-80</v>
      </c>
      <c r="M56" s="1"/>
      <c r="N56" s="1"/>
      <c r="O56" s="1">
        <v>0</v>
      </c>
      <c r="P56" s="1">
        <f t="shared" si="10"/>
        <v>1.6</v>
      </c>
      <c r="Q56" s="5"/>
      <c r="R56" s="5">
        <f t="shared" si="5"/>
        <v>0</v>
      </c>
      <c r="S56" s="21"/>
      <c r="T56" s="1">
        <f t="shared" si="6"/>
        <v>278.75</v>
      </c>
      <c r="U56" s="1">
        <f t="shared" si="12"/>
        <v>278.75</v>
      </c>
      <c r="V56" s="1">
        <v>23.2</v>
      </c>
      <c r="W56" s="1">
        <v>43.6</v>
      </c>
      <c r="X56" s="1">
        <v>5.6</v>
      </c>
      <c r="Y56" s="1">
        <v>25</v>
      </c>
      <c r="Z56" s="1">
        <v>23.2</v>
      </c>
      <c r="AA56" s="1">
        <v>0.2</v>
      </c>
      <c r="AB56" s="1">
        <v>14.8</v>
      </c>
      <c r="AC56" s="1">
        <v>24.8</v>
      </c>
      <c r="AD56" s="1">
        <v>10.4</v>
      </c>
      <c r="AE56" s="1">
        <v>0</v>
      </c>
      <c r="AF56" s="1"/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39</v>
      </c>
      <c r="C57" s="1">
        <v>113</v>
      </c>
      <c r="D57" s="1">
        <v>333</v>
      </c>
      <c r="E57" s="1">
        <v>79</v>
      </c>
      <c r="F57" s="1">
        <v>173</v>
      </c>
      <c r="G57" s="7">
        <v>0.3</v>
      </c>
      <c r="H57" s="1">
        <v>60</v>
      </c>
      <c r="I57" s="1" t="s">
        <v>36</v>
      </c>
      <c r="J57" s="1"/>
      <c r="K57" s="1">
        <v>81</v>
      </c>
      <c r="L57" s="1">
        <f t="shared" si="9"/>
        <v>-2</v>
      </c>
      <c r="M57" s="1"/>
      <c r="N57" s="1"/>
      <c r="O57" s="1">
        <v>0</v>
      </c>
      <c r="P57" s="1">
        <f t="shared" si="10"/>
        <v>15.8</v>
      </c>
      <c r="Q57" s="5">
        <f t="shared" si="13"/>
        <v>64</v>
      </c>
      <c r="R57" s="5">
        <f t="shared" si="5"/>
        <v>64</v>
      </c>
      <c r="S57" s="21"/>
      <c r="T57" s="1">
        <f t="shared" si="6"/>
        <v>15</v>
      </c>
      <c r="U57" s="1">
        <f t="shared" si="12"/>
        <v>10.949367088607595</v>
      </c>
      <c r="V57" s="1">
        <v>17.600000000000001</v>
      </c>
      <c r="W57" s="1">
        <v>23.4</v>
      </c>
      <c r="X57" s="1">
        <v>7.8</v>
      </c>
      <c r="Y57" s="1">
        <v>19.399999999999999</v>
      </c>
      <c r="Z57" s="1">
        <v>41.4</v>
      </c>
      <c r="AA57" s="1">
        <v>19.2</v>
      </c>
      <c r="AB57" s="1">
        <v>9.4</v>
      </c>
      <c r="AC57" s="1">
        <v>37.799999999999997</v>
      </c>
      <c r="AD57" s="1">
        <v>29.6</v>
      </c>
      <c r="AE57" s="1">
        <v>15.4</v>
      </c>
      <c r="AF57" s="1"/>
      <c r="AG57" s="1">
        <f t="shared" si="7"/>
        <v>19.2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39</v>
      </c>
      <c r="C58" s="1">
        <v>1638</v>
      </c>
      <c r="D58" s="1">
        <v>338</v>
      </c>
      <c r="E58" s="1">
        <v>449</v>
      </c>
      <c r="F58" s="1">
        <v>1138</v>
      </c>
      <c r="G58" s="7">
        <v>0.41</v>
      </c>
      <c r="H58" s="1">
        <v>50</v>
      </c>
      <c r="I58" s="1" t="s">
        <v>36</v>
      </c>
      <c r="J58" s="1"/>
      <c r="K58" s="1">
        <v>461</v>
      </c>
      <c r="L58" s="1">
        <f t="shared" si="9"/>
        <v>-12</v>
      </c>
      <c r="M58" s="1"/>
      <c r="N58" s="1"/>
      <c r="O58" s="1">
        <v>0</v>
      </c>
      <c r="P58" s="1">
        <f t="shared" si="10"/>
        <v>89.8</v>
      </c>
      <c r="Q58" s="5">
        <f t="shared" si="13"/>
        <v>209</v>
      </c>
      <c r="R58" s="5">
        <f t="shared" si="5"/>
        <v>209</v>
      </c>
      <c r="S58" s="21"/>
      <c r="T58" s="1">
        <f t="shared" si="6"/>
        <v>15</v>
      </c>
      <c r="U58" s="1">
        <f t="shared" si="12"/>
        <v>12.67260579064588</v>
      </c>
      <c r="V58" s="1">
        <v>67</v>
      </c>
      <c r="W58" s="1">
        <v>102.4</v>
      </c>
      <c r="X58" s="1">
        <v>161.80000000000001</v>
      </c>
      <c r="Y58" s="1">
        <v>232.6</v>
      </c>
      <c r="Z58" s="1">
        <v>96.2</v>
      </c>
      <c r="AA58" s="1">
        <v>48.6</v>
      </c>
      <c r="AB58" s="1">
        <v>324.60000000000002</v>
      </c>
      <c r="AC58" s="1">
        <v>150</v>
      </c>
      <c r="AD58" s="1">
        <v>81.2</v>
      </c>
      <c r="AE58" s="1">
        <v>212.8</v>
      </c>
      <c r="AF58" s="1"/>
      <c r="AG58" s="1">
        <f t="shared" si="7"/>
        <v>85.69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35</v>
      </c>
      <c r="C59" s="1">
        <v>127.533</v>
      </c>
      <c r="D59" s="1">
        <v>68.058000000000007</v>
      </c>
      <c r="E59" s="1">
        <v>78.989999999999995</v>
      </c>
      <c r="F59" s="1">
        <v>110.242</v>
      </c>
      <c r="G59" s="7">
        <v>1</v>
      </c>
      <c r="H59" s="1">
        <v>50</v>
      </c>
      <c r="I59" s="1" t="s">
        <v>36</v>
      </c>
      <c r="J59" s="1"/>
      <c r="K59" s="1">
        <v>75.400000000000006</v>
      </c>
      <c r="L59" s="1">
        <f t="shared" si="9"/>
        <v>3.5899999999999892</v>
      </c>
      <c r="M59" s="1"/>
      <c r="N59" s="1"/>
      <c r="O59" s="1">
        <v>42</v>
      </c>
      <c r="P59" s="1">
        <f t="shared" si="10"/>
        <v>15.797999999999998</v>
      </c>
      <c r="Q59" s="5">
        <f t="shared" si="13"/>
        <v>84.727999999999966</v>
      </c>
      <c r="R59" s="5">
        <f t="shared" si="5"/>
        <v>85</v>
      </c>
      <c r="S59" s="21"/>
      <c r="T59" s="1">
        <f t="shared" si="6"/>
        <v>15.017217369287254</v>
      </c>
      <c r="U59" s="1">
        <f t="shared" si="12"/>
        <v>9.6367894670211438</v>
      </c>
      <c r="V59" s="1">
        <v>15.743</v>
      </c>
      <c r="W59" s="1">
        <v>18.026800000000001</v>
      </c>
      <c r="X59" s="1">
        <v>23.532800000000002</v>
      </c>
      <c r="Y59" s="1">
        <v>40.443800000000003</v>
      </c>
      <c r="Z59" s="1">
        <v>36.291999999999987</v>
      </c>
      <c r="AA59" s="1">
        <v>43.002200000000002</v>
      </c>
      <c r="AB59" s="1">
        <v>52.134</v>
      </c>
      <c r="AC59" s="1">
        <v>58.188000000000002</v>
      </c>
      <c r="AD59" s="1">
        <v>30.930399999999999</v>
      </c>
      <c r="AE59" s="1">
        <v>29.0246</v>
      </c>
      <c r="AF59" s="1"/>
      <c r="AG59" s="1">
        <f t="shared" si="7"/>
        <v>85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39</v>
      </c>
      <c r="C60" s="1">
        <v>135</v>
      </c>
      <c r="D60" s="1">
        <v>685</v>
      </c>
      <c r="E60" s="1">
        <v>78</v>
      </c>
      <c r="F60" s="1">
        <v>462</v>
      </c>
      <c r="G60" s="7">
        <v>0.35</v>
      </c>
      <c r="H60" s="1">
        <v>50</v>
      </c>
      <c r="I60" s="1" t="s">
        <v>36</v>
      </c>
      <c r="J60" s="1"/>
      <c r="K60" s="1">
        <v>78</v>
      </c>
      <c r="L60" s="1">
        <f t="shared" si="9"/>
        <v>0</v>
      </c>
      <c r="M60" s="1"/>
      <c r="N60" s="1"/>
      <c r="O60" s="1">
        <v>0</v>
      </c>
      <c r="P60" s="1">
        <f t="shared" si="10"/>
        <v>15.6</v>
      </c>
      <c r="Q60" s="5"/>
      <c r="R60" s="5">
        <f t="shared" si="5"/>
        <v>0</v>
      </c>
      <c r="S60" s="21"/>
      <c r="T60" s="1">
        <f t="shared" si="6"/>
        <v>29.615384615384617</v>
      </c>
      <c r="U60" s="1">
        <f t="shared" si="12"/>
        <v>29.615384615384617</v>
      </c>
      <c r="V60" s="1">
        <v>8.4</v>
      </c>
      <c r="W60" s="1">
        <v>36.6</v>
      </c>
      <c r="X60" s="1">
        <v>40</v>
      </c>
      <c r="Y60" s="1">
        <v>48.8</v>
      </c>
      <c r="Z60" s="1">
        <v>56</v>
      </c>
      <c r="AA60" s="1">
        <v>17.600000000000001</v>
      </c>
      <c r="AB60" s="1">
        <v>29</v>
      </c>
      <c r="AC60" s="1">
        <v>62</v>
      </c>
      <c r="AD60" s="1">
        <v>32.4</v>
      </c>
      <c r="AE60" s="1">
        <v>31</v>
      </c>
      <c r="AF60" s="14" t="s">
        <v>40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35</v>
      </c>
      <c r="C61" s="1">
        <v>29.484999999999999</v>
      </c>
      <c r="D61" s="1">
        <v>18.805</v>
      </c>
      <c r="E61" s="1">
        <v>16.756</v>
      </c>
      <c r="F61" s="1">
        <v>31.318000000000001</v>
      </c>
      <c r="G61" s="7">
        <v>1</v>
      </c>
      <c r="H61" s="1">
        <v>50</v>
      </c>
      <c r="I61" s="1" t="s">
        <v>36</v>
      </c>
      <c r="J61" s="1"/>
      <c r="K61" s="1">
        <v>15.5</v>
      </c>
      <c r="L61" s="1">
        <f t="shared" si="9"/>
        <v>1.2560000000000002</v>
      </c>
      <c r="M61" s="1"/>
      <c r="N61" s="1"/>
      <c r="O61" s="1">
        <v>4</v>
      </c>
      <c r="P61" s="1">
        <f t="shared" si="10"/>
        <v>3.3512</v>
      </c>
      <c r="Q61" s="5">
        <f t="shared" si="13"/>
        <v>14.95</v>
      </c>
      <c r="R61" s="5">
        <f t="shared" si="5"/>
        <v>15</v>
      </c>
      <c r="S61" s="21"/>
      <c r="T61" s="1">
        <f t="shared" si="6"/>
        <v>15.014920028646454</v>
      </c>
      <c r="U61" s="1">
        <f t="shared" si="12"/>
        <v>10.538911434709954</v>
      </c>
      <c r="V61" s="1">
        <v>3.3982000000000001</v>
      </c>
      <c r="W61" s="1">
        <v>4.3226000000000004</v>
      </c>
      <c r="X61" s="1">
        <v>0.63319999999999999</v>
      </c>
      <c r="Y61" s="1">
        <v>4.0392000000000001</v>
      </c>
      <c r="Z61" s="1">
        <v>7.4278000000000004</v>
      </c>
      <c r="AA61" s="1">
        <v>0</v>
      </c>
      <c r="AB61" s="1">
        <v>1.2567999999999999</v>
      </c>
      <c r="AC61" s="1">
        <v>7.3841999999999999</v>
      </c>
      <c r="AD61" s="1">
        <v>0.93720000000000003</v>
      </c>
      <c r="AE61" s="1">
        <v>2.504</v>
      </c>
      <c r="AF61" s="1"/>
      <c r="AG61" s="1">
        <f t="shared" si="7"/>
        <v>15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39</v>
      </c>
      <c r="C62" s="1">
        <v>310</v>
      </c>
      <c r="D62" s="1">
        <v>1024</v>
      </c>
      <c r="E62" s="1">
        <v>250</v>
      </c>
      <c r="F62" s="1">
        <v>611</v>
      </c>
      <c r="G62" s="7">
        <v>0.41</v>
      </c>
      <c r="H62" s="1">
        <v>50</v>
      </c>
      <c r="I62" s="1" t="s">
        <v>36</v>
      </c>
      <c r="J62" s="1"/>
      <c r="K62" s="1">
        <v>250</v>
      </c>
      <c r="L62" s="1">
        <f t="shared" si="9"/>
        <v>0</v>
      </c>
      <c r="M62" s="1"/>
      <c r="N62" s="1"/>
      <c r="O62" s="1">
        <v>0</v>
      </c>
      <c r="P62" s="1">
        <f t="shared" si="10"/>
        <v>50</v>
      </c>
      <c r="Q62" s="5">
        <f t="shared" si="13"/>
        <v>139</v>
      </c>
      <c r="R62" s="5">
        <v>200</v>
      </c>
      <c r="S62" s="21">
        <f>VLOOKUP(A62,[1]Sheet!$A:$R,18,0)</f>
        <v>200</v>
      </c>
      <c r="T62" s="1">
        <f t="shared" si="6"/>
        <v>16.22</v>
      </c>
      <c r="U62" s="1">
        <f t="shared" si="12"/>
        <v>12.22</v>
      </c>
      <c r="V62" s="1">
        <v>49.4</v>
      </c>
      <c r="W62" s="1">
        <v>75</v>
      </c>
      <c r="X62" s="1">
        <v>119.8</v>
      </c>
      <c r="Y62" s="1">
        <v>126.2</v>
      </c>
      <c r="Z62" s="1">
        <v>193.4</v>
      </c>
      <c r="AA62" s="1">
        <v>65</v>
      </c>
      <c r="AB62" s="1">
        <v>200.4</v>
      </c>
      <c r="AC62" s="1">
        <v>174.2</v>
      </c>
      <c r="AD62" s="1">
        <v>38.200000000000003</v>
      </c>
      <c r="AE62" s="1">
        <v>129.4</v>
      </c>
      <c r="AF62" s="1"/>
      <c r="AG62" s="1">
        <f t="shared" si="7"/>
        <v>82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35</v>
      </c>
      <c r="C63" s="1">
        <v>103.128</v>
      </c>
      <c r="D63" s="1">
        <v>31.634</v>
      </c>
      <c r="E63" s="1">
        <v>51.43</v>
      </c>
      <c r="F63" s="1">
        <v>76.956999999999994</v>
      </c>
      <c r="G63" s="7">
        <v>1</v>
      </c>
      <c r="H63" s="1">
        <v>50</v>
      </c>
      <c r="I63" s="1" t="s">
        <v>36</v>
      </c>
      <c r="J63" s="1"/>
      <c r="K63" s="1">
        <v>47.7</v>
      </c>
      <c r="L63" s="1">
        <f t="shared" si="9"/>
        <v>3.7299999999999969</v>
      </c>
      <c r="M63" s="1"/>
      <c r="N63" s="1"/>
      <c r="O63" s="1">
        <v>0</v>
      </c>
      <c r="P63" s="1">
        <f t="shared" si="10"/>
        <v>10.286</v>
      </c>
      <c r="Q63" s="5">
        <f t="shared" si="13"/>
        <v>77.332999999999998</v>
      </c>
      <c r="R63" s="5">
        <v>100</v>
      </c>
      <c r="S63" s="21">
        <f>VLOOKUP(A63,[1]Sheet!$A:$R,18,0)</f>
        <v>200</v>
      </c>
      <c r="T63" s="1">
        <f t="shared" si="6"/>
        <v>17.203674897919502</v>
      </c>
      <c r="U63" s="1">
        <f t="shared" si="12"/>
        <v>7.4817227299241686</v>
      </c>
      <c r="V63" s="1">
        <v>8.0579999999999998</v>
      </c>
      <c r="W63" s="1">
        <v>11.3004</v>
      </c>
      <c r="X63" s="1">
        <v>14.0916</v>
      </c>
      <c r="Y63" s="1">
        <v>9.633799999999999</v>
      </c>
      <c r="Z63" s="1">
        <v>14.559799999999999</v>
      </c>
      <c r="AA63" s="1">
        <v>26.645800000000001</v>
      </c>
      <c r="AB63" s="1">
        <v>17.4558</v>
      </c>
      <c r="AC63" s="1">
        <v>13.043799999999999</v>
      </c>
      <c r="AD63" s="1">
        <v>19.4636</v>
      </c>
      <c r="AE63" s="1">
        <v>6.3722000000000003</v>
      </c>
      <c r="AF63" s="1"/>
      <c r="AG63" s="1">
        <f t="shared" si="7"/>
        <v>100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39</v>
      </c>
      <c r="C64" s="1">
        <v>224</v>
      </c>
      <c r="D64" s="1">
        <v>134</v>
      </c>
      <c r="E64" s="1">
        <v>102</v>
      </c>
      <c r="F64" s="1">
        <v>122</v>
      </c>
      <c r="G64" s="7">
        <v>0.3</v>
      </c>
      <c r="H64" s="1">
        <v>50</v>
      </c>
      <c r="I64" s="1" t="s">
        <v>36</v>
      </c>
      <c r="J64" s="1"/>
      <c r="K64" s="1">
        <v>101</v>
      </c>
      <c r="L64" s="1">
        <f t="shared" si="9"/>
        <v>1</v>
      </c>
      <c r="M64" s="1"/>
      <c r="N64" s="1"/>
      <c r="O64" s="1">
        <v>0</v>
      </c>
      <c r="P64" s="1">
        <f t="shared" si="10"/>
        <v>20.399999999999999</v>
      </c>
      <c r="Q64" s="5">
        <f t="shared" si="13"/>
        <v>184</v>
      </c>
      <c r="R64" s="5">
        <f t="shared" si="5"/>
        <v>184</v>
      </c>
      <c r="S64" s="21"/>
      <c r="T64" s="1">
        <f t="shared" si="6"/>
        <v>15.000000000000002</v>
      </c>
      <c r="U64" s="1">
        <f t="shared" si="12"/>
        <v>5.9803921568627452</v>
      </c>
      <c r="V64" s="1">
        <v>13.8</v>
      </c>
      <c r="W64" s="1">
        <v>10.4</v>
      </c>
      <c r="X64" s="1">
        <v>31.4</v>
      </c>
      <c r="Y64" s="1">
        <v>37.4</v>
      </c>
      <c r="Z64" s="1">
        <v>7</v>
      </c>
      <c r="AA64" s="1">
        <v>33.4</v>
      </c>
      <c r="AB64" s="1">
        <v>54.8</v>
      </c>
      <c r="AC64" s="1">
        <v>36.4</v>
      </c>
      <c r="AD64" s="1">
        <v>29.6</v>
      </c>
      <c r="AE64" s="1">
        <v>32.799999999999997</v>
      </c>
      <c r="AF64" s="1"/>
      <c r="AG64" s="1">
        <f t="shared" si="7"/>
        <v>55.199999999999996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39</v>
      </c>
      <c r="C65" s="1">
        <v>7</v>
      </c>
      <c r="D65" s="1">
        <v>251</v>
      </c>
      <c r="E65" s="1">
        <v>3</v>
      </c>
      <c r="F65" s="1">
        <v>189</v>
      </c>
      <c r="G65" s="7">
        <v>0.18</v>
      </c>
      <c r="H65" s="1">
        <v>50</v>
      </c>
      <c r="I65" s="1" t="s">
        <v>36</v>
      </c>
      <c r="J65" s="1"/>
      <c r="K65" s="1">
        <v>36</v>
      </c>
      <c r="L65" s="1">
        <f t="shared" si="9"/>
        <v>-33</v>
      </c>
      <c r="M65" s="1"/>
      <c r="N65" s="1"/>
      <c r="O65" s="1">
        <v>0</v>
      </c>
      <c r="P65" s="1">
        <f t="shared" si="10"/>
        <v>0.6</v>
      </c>
      <c r="Q65" s="5"/>
      <c r="R65" s="5">
        <f t="shared" si="5"/>
        <v>0</v>
      </c>
      <c r="S65" s="21"/>
      <c r="T65" s="1">
        <f t="shared" si="6"/>
        <v>315</v>
      </c>
      <c r="U65" s="1">
        <f t="shared" si="12"/>
        <v>315</v>
      </c>
      <c r="V65" s="1">
        <v>0.2</v>
      </c>
      <c r="W65" s="1">
        <v>16.2</v>
      </c>
      <c r="X65" s="1">
        <v>18.2</v>
      </c>
      <c r="Y65" s="1">
        <v>22.4</v>
      </c>
      <c r="Z65" s="1">
        <v>25.4</v>
      </c>
      <c r="AA65" s="1">
        <v>33.6</v>
      </c>
      <c r="AB65" s="1">
        <v>53</v>
      </c>
      <c r="AC65" s="1">
        <v>47.2</v>
      </c>
      <c r="AD65" s="1">
        <v>9.6</v>
      </c>
      <c r="AE65" s="1">
        <v>35.6</v>
      </c>
      <c r="AF65" s="14" t="s">
        <v>40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39</v>
      </c>
      <c r="C66" s="1">
        <v>99</v>
      </c>
      <c r="D66" s="1">
        <v>8</v>
      </c>
      <c r="E66" s="1">
        <v>20</v>
      </c>
      <c r="F66" s="1">
        <v>79</v>
      </c>
      <c r="G66" s="7">
        <v>0.22</v>
      </c>
      <c r="H66" s="1">
        <v>120</v>
      </c>
      <c r="I66" s="1" t="s">
        <v>36</v>
      </c>
      <c r="J66" s="1"/>
      <c r="K66" s="1">
        <v>20</v>
      </c>
      <c r="L66" s="1">
        <f t="shared" si="9"/>
        <v>0</v>
      </c>
      <c r="M66" s="1"/>
      <c r="N66" s="1"/>
      <c r="O66" s="1">
        <v>0</v>
      </c>
      <c r="P66" s="1">
        <f t="shared" si="10"/>
        <v>4</v>
      </c>
      <c r="Q66" s="5"/>
      <c r="R66" s="5">
        <f t="shared" si="5"/>
        <v>0</v>
      </c>
      <c r="S66" s="21"/>
      <c r="T66" s="1">
        <f t="shared" si="6"/>
        <v>19.75</v>
      </c>
      <c r="U66" s="1">
        <f t="shared" si="12"/>
        <v>19.75</v>
      </c>
      <c r="V66" s="1">
        <v>0.8</v>
      </c>
      <c r="W66" s="1">
        <v>1.2</v>
      </c>
      <c r="X66" s="1">
        <v>1.2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4" t="s">
        <v>101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115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2"/>
      <c r="R67" s="5">
        <f t="shared" si="5"/>
        <v>0</v>
      </c>
      <c r="S67" s="21"/>
      <c r="T67" s="1" t="e">
        <f t="shared" si="6"/>
        <v>#DIV/0!</v>
      </c>
      <c r="U67" s="10" t="e">
        <f t="shared" si="12"/>
        <v>#DIV/0!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 t="s">
        <v>116</v>
      </c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70</v>
      </c>
      <c r="B68" s="1" t="s">
        <v>39</v>
      </c>
      <c r="C68" s="1">
        <v>280</v>
      </c>
      <c r="D68" s="1">
        <v>635</v>
      </c>
      <c r="E68" s="1">
        <v>186</v>
      </c>
      <c r="F68" s="15">
        <f>407+F31</f>
        <v>406</v>
      </c>
      <c r="G68" s="7">
        <v>0.35</v>
      </c>
      <c r="H68" s="1">
        <v>50</v>
      </c>
      <c r="I68" s="1" t="s">
        <v>36</v>
      </c>
      <c r="J68" s="1"/>
      <c r="K68" s="1">
        <v>204</v>
      </c>
      <c r="L68" s="1">
        <f t="shared" si="9"/>
        <v>-18</v>
      </c>
      <c r="M68" s="1"/>
      <c r="N68" s="1"/>
      <c r="O68" s="1">
        <v>0</v>
      </c>
      <c r="P68" s="1">
        <f t="shared" si="10"/>
        <v>37.200000000000003</v>
      </c>
      <c r="Q68" s="5">
        <f>15*P68-O68-F68</f>
        <v>152</v>
      </c>
      <c r="R68" s="5">
        <v>230</v>
      </c>
      <c r="S68" s="21">
        <f>VLOOKUP(A68,[1]Sheet!$A:$R,18,0)</f>
        <v>250</v>
      </c>
      <c r="T68" s="1">
        <f t="shared" si="6"/>
        <v>17.096774193548384</v>
      </c>
      <c r="U68" s="1">
        <f t="shared" si="12"/>
        <v>10.913978494623654</v>
      </c>
      <c r="V68" s="1">
        <v>31.4</v>
      </c>
      <c r="W68" s="1">
        <v>50.2</v>
      </c>
      <c r="X68" s="1">
        <v>70.8</v>
      </c>
      <c r="Y68" s="1">
        <v>109.2</v>
      </c>
      <c r="Z68" s="1">
        <v>139.80000000000001</v>
      </c>
      <c r="AA68" s="1">
        <v>31.4</v>
      </c>
      <c r="AB68" s="1">
        <v>171.8</v>
      </c>
      <c r="AC68" s="1">
        <v>167.8</v>
      </c>
      <c r="AD68" s="1">
        <v>88.4</v>
      </c>
      <c r="AE68" s="1">
        <v>88.6</v>
      </c>
      <c r="AF68" s="1"/>
      <c r="AG68" s="1">
        <f t="shared" si="7"/>
        <v>80.5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0" t="s">
        <v>117</v>
      </c>
      <c r="B69" s="10" t="s">
        <v>39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9"/>
        <v>0</v>
      </c>
      <c r="M69" s="10"/>
      <c r="N69" s="10"/>
      <c r="O69" s="10">
        <v>0</v>
      </c>
      <c r="P69" s="10">
        <f t="shared" si="10"/>
        <v>0</v>
      </c>
      <c r="Q69" s="12"/>
      <c r="R69" s="5">
        <f t="shared" si="5"/>
        <v>0</v>
      </c>
      <c r="S69" s="21"/>
      <c r="T69" s="1" t="e">
        <f t="shared" si="6"/>
        <v>#DIV/0!</v>
      </c>
      <c r="U69" s="10" t="e">
        <f t="shared" si="12"/>
        <v>#DIV/0!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 t="s">
        <v>116</v>
      </c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35</v>
      </c>
      <c r="C70" s="1">
        <v>228.643</v>
      </c>
      <c r="D70" s="1">
        <v>0.73299999999999998</v>
      </c>
      <c r="E70" s="1">
        <v>96.099000000000004</v>
      </c>
      <c r="F70" s="1">
        <v>119.16800000000001</v>
      </c>
      <c r="G70" s="7">
        <v>1</v>
      </c>
      <c r="H70" s="1">
        <v>50</v>
      </c>
      <c r="I70" s="1" t="s">
        <v>36</v>
      </c>
      <c r="J70" s="1"/>
      <c r="K70" s="1">
        <v>91.1</v>
      </c>
      <c r="L70" s="1">
        <f t="shared" ref="L70:L101" si="14">E70-K70</f>
        <v>4.9990000000000094</v>
      </c>
      <c r="M70" s="1"/>
      <c r="N70" s="1"/>
      <c r="O70" s="1">
        <v>53</v>
      </c>
      <c r="P70" s="1">
        <f t="shared" ref="P70:P101" si="15">E70/5</f>
        <v>19.219799999999999</v>
      </c>
      <c r="Q70" s="5">
        <f t="shared" ref="Q70:Q99" si="16">15*P70-O70-F70</f>
        <v>116.12899999999996</v>
      </c>
      <c r="R70" s="5">
        <v>145</v>
      </c>
      <c r="S70" s="21">
        <f>VLOOKUP(A70,[1]Sheet!$A:$R,18,0)</f>
        <v>240</v>
      </c>
      <c r="T70" s="1">
        <f t="shared" si="6"/>
        <v>16.502148825690174</v>
      </c>
      <c r="U70" s="1">
        <f t="shared" ref="U70:U101" si="17">(F70+O70)/P70</f>
        <v>8.9578455551046332</v>
      </c>
      <c r="V70" s="1">
        <v>18.752199999999998</v>
      </c>
      <c r="W70" s="1">
        <v>14.869400000000001</v>
      </c>
      <c r="X70" s="1">
        <v>34.691199999999988</v>
      </c>
      <c r="Y70" s="1">
        <v>31.833200000000001</v>
      </c>
      <c r="Z70" s="1">
        <v>30.706800000000001</v>
      </c>
      <c r="AA70" s="1">
        <v>26.449000000000002</v>
      </c>
      <c r="AB70" s="1">
        <v>38.481000000000002</v>
      </c>
      <c r="AC70" s="1">
        <v>36.499000000000002</v>
      </c>
      <c r="AD70" s="1">
        <v>22.372399999999999</v>
      </c>
      <c r="AE70" s="1">
        <v>38.507599999999996</v>
      </c>
      <c r="AF70" s="1"/>
      <c r="AG70" s="1">
        <f t="shared" si="7"/>
        <v>145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35</v>
      </c>
      <c r="C71" s="1">
        <v>422.608</v>
      </c>
      <c r="D71" s="1">
        <v>245.785</v>
      </c>
      <c r="E71" s="1">
        <v>128.773</v>
      </c>
      <c r="F71" s="1">
        <v>145.43299999999999</v>
      </c>
      <c r="G71" s="7">
        <v>1</v>
      </c>
      <c r="H71" s="1">
        <v>50</v>
      </c>
      <c r="I71" s="1" t="s">
        <v>36</v>
      </c>
      <c r="J71" s="1"/>
      <c r="K71" s="1">
        <v>120.99</v>
      </c>
      <c r="L71" s="1">
        <f t="shared" si="14"/>
        <v>7.7830000000000013</v>
      </c>
      <c r="M71" s="1"/>
      <c r="N71" s="1"/>
      <c r="O71" s="1">
        <v>0</v>
      </c>
      <c r="P71" s="1">
        <f t="shared" si="15"/>
        <v>25.7546</v>
      </c>
      <c r="Q71" s="5">
        <f t="shared" si="16"/>
        <v>240.88600000000002</v>
      </c>
      <c r="R71" s="5">
        <v>300</v>
      </c>
      <c r="S71" s="21">
        <f>VLOOKUP(A71,[1]Sheet!$A:$R,18,0)</f>
        <v>400</v>
      </c>
      <c r="T71" s="1">
        <f t="shared" ref="T71:T110" si="18">(F71+O71+R71)/P71</f>
        <v>17.295279289913257</v>
      </c>
      <c r="U71" s="1">
        <f t="shared" si="17"/>
        <v>5.6468747330573956</v>
      </c>
      <c r="V71" s="1">
        <v>22.954799999999999</v>
      </c>
      <c r="W71" s="1">
        <v>29.0944</v>
      </c>
      <c r="X71" s="1">
        <v>61.27</v>
      </c>
      <c r="Y71" s="1">
        <v>56.628799999999998</v>
      </c>
      <c r="Z71" s="1">
        <v>59.719200000000001</v>
      </c>
      <c r="AA71" s="1">
        <v>27.568200000000001</v>
      </c>
      <c r="AB71" s="1">
        <v>69.794600000000003</v>
      </c>
      <c r="AC71" s="1">
        <v>60.612000000000002</v>
      </c>
      <c r="AD71" s="1">
        <v>40.339399999999998</v>
      </c>
      <c r="AE71" s="1">
        <v>47.528399999999998</v>
      </c>
      <c r="AF71" s="1"/>
      <c r="AG71" s="1">
        <f t="shared" ref="AG71:AG110" si="19">G71*R71</f>
        <v>300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39</v>
      </c>
      <c r="C72" s="1">
        <v>909</v>
      </c>
      <c r="D72" s="1">
        <v>198</v>
      </c>
      <c r="E72" s="1">
        <v>223</v>
      </c>
      <c r="F72" s="1">
        <v>603</v>
      </c>
      <c r="G72" s="7">
        <v>0.35</v>
      </c>
      <c r="H72" s="1">
        <v>50</v>
      </c>
      <c r="I72" s="1" t="s">
        <v>36</v>
      </c>
      <c r="J72" s="1"/>
      <c r="K72" s="1">
        <v>251</v>
      </c>
      <c r="L72" s="1">
        <f t="shared" si="14"/>
        <v>-28</v>
      </c>
      <c r="M72" s="1"/>
      <c r="N72" s="1"/>
      <c r="O72" s="1">
        <v>0</v>
      </c>
      <c r="P72" s="1">
        <f t="shared" si="15"/>
        <v>44.6</v>
      </c>
      <c r="Q72" s="5">
        <f t="shared" si="16"/>
        <v>66</v>
      </c>
      <c r="R72" s="5">
        <v>150</v>
      </c>
      <c r="S72" s="21">
        <f>VLOOKUP(A72,[1]Sheet!$A:$R,18,0)</f>
        <v>150</v>
      </c>
      <c r="T72" s="1">
        <f t="shared" si="18"/>
        <v>16.883408071748878</v>
      </c>
      <c r="U72" s="1">
        <f t="shared" si="17"/>
        <v>13.520179372197308</v>
      </c>
      <c r="V72" s="1">
        <v>36.799999999999997</v>
      </c>
      <c r="W72" s="1">
        <v>57.4</v>
      </c>
      <c r="X72" s="1">
        <v>107.4</v>
      </c>
      <c r="Y72" s="1">
        <v>141.4</v>
      </c>
      <c r="Z72" s="1">
        <v>157.19999999999999</v>
      </c>
      <c r="AA72" s="1">
        <v>83.2</v>
      </c>
      <c r="AB72" s="1">
        <v>181</v>
      </c>
      <c r="AC72" s="1">
        <v>164.4</v>
      </c>
      <c r="AD72" s="1">
        <v>112.2</v>
      </c>
      <c r="AE72" s="1">
        <v>124.6</v>
      </c>
      <c r="AF72" s="1"/>
      <c r="AG72" s="1">
        <f t="shared" si="19"/>
        <v>52.5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39</v>
      </c>
      <c r="C73" s="1">
        <v>190</v>
      </c>
      <c r="D73" s="1">
        <v>381</v>
      </c>
      <c r="E73" s="1">
        <v>117</v>
      </c>
      <c r="F73" s="1">
        <v>265</v>
      </c>
      <c r="G73" s="7">
        <v>0.3</v>
      </c>
      <c r="H73" s="1">
        <v>50</v>
      </c>
      <c r="I73" s="1" t="s">
        <v>36</v>
      </c>
      <c r="J73" s="1"/>
      <c r="K73" s="1">
        <v>121</v>
      </c>
      <c r="L73" s="1">
        <f t="shared" si="14"/>
        <v>-4</v>
      </c>
      <c r="M73" s="1"/>
      <c r="N73" s="1"/>
      <c r="O73" s="1">
        <v>0</v>
      </c>
      <c r="P73" s="1">
        <f t="shared" si="15"/>
        <v>23.4</v>
      </c>
      <c r="Q73" s="5">
        <f t="shared" si="16"/>
        <v>86</v>
      </c>
      <c r="R73" s="5">
        <f t="shared" ref="R71:R110" si="20">ROUND(Q73,0)</f>
        <v>86</v>
      </c>
      <c r="S73" s="21"/>
      <c r="T73" s="1">
        <f t="shared" si="18"/>
        <v>15.000000000000002</v>
      </c>
      <c r="U73" s="1">
        <f t="shared" si="17"/>
        <v>11.324786324786325</v>
      </c>
      <c r="V73" s="1">
        <v>23.2</v>
      </c>
      <c r="W73" s="1">
        <v>32.799999999999997</v>
      </c>
      <c r="X73" s="1">
        <v>7</v>
      </c>
      <c r="Y73" s="1">
        <v>41.6</v>
      </c>
      <c r="Z73" s="1">
        <v>38</v>
      </c>
      <c r="AA73" s="1">
        <v>4</v>
      </c>
      <c r="AB73" s="1">
        <v>39.200000000000003</v>
      </c>
      <c r="AC73" s="1">
        <v>26.6</v>
      </c>
      <c r="AD73" s="1">
        <v>20.6</v>
      </c>
      <c r="AE73" s="1">
        <v>23</v>
      </c>
      <c r="AF73" s="1"/>
      <c r="AG73" s="1">
        <f t="shared" si="19"/>
        <v>25.8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122</v>
      </c>
      <c r="B74" s="1" t="s">
        <v>39</v>
      </c>
      <c r="C74" s="1">
        <v>15</v>
      </c>
      <c r="D74" s="1">
        <v>157</v>
      </c>
      <c r="E74" s="1">
        <v>20</v>
      </c>
      <c r="F74" s="1">
        <v>66</v>
      </c>
      <c r="G74" s="7">
        <v>0.3</v>
      </c>
      <c r="H74" s="1">
        <v>60</v>
      </c>
      <c r="I74" s="1" t="s">
        <v>36</v>
      </c>
      <c r="J74" s="1"/>
      <c r="K74" s="1">
        <v>32</v>
      </c>
      <c r="L74" s="1">
        <f t="shared" si="14"/>
        <v>-12</v>
      </c>
      <c r="M74" s="1"/>
      <c r="N74" s="1"/>
      <c r="O74" s="1">
        <v>0</v>
      </c>
      <c r="P74" s="1">
        <f t="shared" si="15"/>
        <v>4</v>
      </c>
      <c r="Q74" s="5"/>
      <c r="R74" s="5">
        <f t="shared" si="20"/>
        <v>0</v>
      </c>
      <c r="S74" s="21"/>
      <c r="T74" s="1">
        <f t="shared" si="18"/>
        <v>16.5</v>
      </c>
      <c r="U74" s="1">
        <f t="shared" si="17"/>
        <v>16.5</v>
      </c>
      <c r="V74" s="1">
        <v>5</v>
      </c>
      <c r="W74" s="1">
        <v>9.6</v>
      </c>
      <c r="X74" s="1">
        <v>8.8000000000000007</v>
      </c>
      <c r="Y74" s="1">
        <v>2.6</v>
      </c>
      <c r="Z74" s="1">
        <v>12.4</v>
      </c>
      <c r="AA74" s="1">
        <v>8</v>
      </c>
      <c r="AB74" s="1">
        <v>5.2</v>
      </c>
      <c r="AC74" s="1">
        <v>9.6</v>
      </c>
      <c r="AD74" s="1">
        <v>8.4</v>
      </c>
      <c r="AE74" s="1">
        <v>4.5999999999999996</v>
      </c>
      <c r="AF74" s="1"/>
      <c r="AG74" s="1">
        <f t="shared" si="1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39</v>
      </c>
      <c r="C75" s="1">
        <v>10</v>
      </c>
      <c r="D75" s="1">
        <v>382</v>
      </c>
      <c r="E75" s="1">
        <v>51</v>
      </c>
      <c r="F75" s="1">
        <v>289</v>
      </c>
      <c r="G75" s="7">
        <v>0.28000000000000003</v>
      </c>
      <c r="H75" s="1">
        <v>50</v>
      </c>
      <c r="I75" s="1" t="s">
        <v>36</v>
      </c>
      <c r="J75" s="1"/>
      <c r="K75" s="1">
        <v>194</v>
      </c>
      <c r="L75" s="1">
        <f t="shared" si="14"/>
        <v>-143</v>
      </c>
      <c r="M75" s="1"/>
      <c r="N75" s="1"/>
      <c r="O75" s="1">
        <v>107</v>
      </c>
      <c r="P75" s="1">
        <f t="shared" si="15"/>
        <v>10.199999999999999</v>
      </c>
      <c r="Q75" s="5"/>
      <c r="R75" s="5">
        <f t="shared" si="20"/>
        <v>0</v>
      </c>
      <c r="S75" s="21"/>
      <c r="T75" s="1">
        <f t="shared" si="18"/>
        <v>38.82352941176471</v>
      </c>
      <c r="U75" s="1">
        <f t="shared" si="17"/>
        <v>38.82352941176471</v>
      </c>
      <c r="V75" s="1">
        <v>30.6</v>
      </c>
      <c r="W75" s="1">
        <v>42.2</v>
      </c>
      <c r="X75" s="1">
        <v>46.4</v>
      </c>
      <c r="Y75" s="1">
        <v>51.4</v>
      </c>
      <c r="Z75" s="1">
        <v>86.8</v>
      </c>
      <c r="AA75" s="1">
        <v>22</v>
      </c>
      <c r="AB75" s="1">
        <v>110.6</v>
      </c>
      <c r="AC75" s="1">
        <v>99.4</v>
      </c>
      <c r="AD75" s="1">
        <v>52.6</v>
      </c>
      <c r="AE75" s="1">
        <v>55.4</v>
      </c>
      <c r="AF75" s="1"/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39</v>
      </c>
      <c r="C76" s="1">
        <v>194</v>
      </c>
      <c r="D76" s="1">
        <v>943</v>
      </c>
      <c r="E76" s="1">
        <v>142</v>
      </c>
      <c r="F76" s="1">
        <v>446</v>
      </c>
      <c r="G76" s="7">
        <v>0.28000000000000003</v>
      </c>
      <c r="H76" s="1">
        <v>45</v>
      </c>
      <c r="I76" s="1" t="s">
        <v>36</v>
      </c>
      <c r="J76" s="1"/>
      <c r="K76" s="1">
        <v>146</v>
      </c>
      <c r="L76" s="1">
        <f t="shared" si="14"/>
        <v>-4</v>
      </c>
      <c r="M76" s="1"/>
      <c r="N76" s="1"/>
      <c r="O76" s="1">
        <v>0</v>
      </c>
      <c r="P76" s="1">
        <f t="shared" si="15"/>
        <v>28.4</v>
      </c>
      <c r="Q76" s="5"/>
      <c r="R76" s="5">
        <f t="shared" si="20"/>
        <v>0</v>
      </c>
      <c r="S76" s="21"/>
      <c r="T76" s="1">
        <f t="shared" si="18"/>
        <v>15.704225352112676</v>
      </c>
      <c r="U76" s="1">
        <f t="shared" si="17"/>
        <v>15.704225352112676</v>
      </c>
      <c r="V76" s="1">
        <v>23.8</v>
      </c>
      <c r="W76" s="1">
        <v>51.2</v>
      </c>
      <c r="X76" s="1">
        <v>56.8</v>
      </c>
      <c r="Y76" s="1">
        <v>70</v>
      </c>
      <c r="Z76" s="1">
        <v>86.8</v>
      </c>
      <c r="AA76" s="1">
        <v>43.4</v>
      </c>
      <c r="AB76" s="1">
        <v>132</v>
      </c>
      <c r="AC76" s="1">
        <v>102</v>
      </c>
      <c r="AD76" s="1">
        <v>67.599999999999994</v>
      </c>
      <c r="AE76" s="1">
        <v>86.6</v>
      </c>
      <c r="AF76" s="16" t="s">
        <v>43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39</v>
      </c>
      <c r="C77" s="1">
        <v>82</v>
      </c>
      <c r="D77" s="1">
        <v>398</v>
      </c>
      <c r="E77" s="1">
        <v>110</v>
      </c>
      <c r="F77" s="1">
        <v>197</v>
      </c>
      <c r="G77" s="7">
        <v>0.28000000000000003</v>
      </c>
      <c r="H77" s="1">
        <v>45</v>
      </c>
      <c r="I77" s="1" t="s">
        <v>36</v>
      </c>
      <c r="J77" s="1"/>
      <c r="K77" s="1">
        <v>118</v>
      </c>
      <c r="L77" s="1">
        <f t="shared" si="14"/>
        <v>-8</v>
      </c>
      <c r="M77" s="1"/>
      <c r="N77" s="1"/>
      <c r="O77" s="1">
        <v>0</v>
      </c>
      <c r="P77" s="1">
        <f t="shared" si="15"/>
        <v>22</v>
      </c>
      <c r="Q77" s="5">
        <f t="shared" si="16"/>
        <v>133</v>
      </c>
      <c r="R77" s="5">
        <v>180</v>
      </c>
      <c r="S77" s="21">
        <f>VLOOKUP(A77,[1]Sheet!$A:$R,18,0)</f>
        <v>250</v>
      </c>
      <c r="T77" s="1">
        <f t="shared" si="18"/>
        <v>17.136363636363637</v>
      </c>
      <c r="U77" s="1">
        <f t="shared" si="17"/>
        <v>8.954545454545455</v>
      </c>
      <c r="V77" s="1">
        <v>20.2</v>
      </c>
      <c r="W77" s="1">
        <v>29.2</v>
      </c>
      <c r="X77" s="1">
        <v>50.8</v>
      </c>
      <c r="Y77" s="1">
        <v>56</v>
      </c>
      <c r="Z77" s="1">
        <v>80.8</v>
      </c>
      <c r="AA77" s="1">
        <v>37.200000000000003</v>
      </c>
      <c r="AB77" s="1">
        <v>103.2</v>
      </c>
      <c r="AC77" s="1">
        <v>77.2</v>
      </c>
      <c r="AD77" s="1">
        <v>52.2</v>
      </c>
      <c r="AE77" s="1">
        <v>71.8</v>
      </c>
      <c r="AF77" s="1"/>
      <c r="AG77" s="1">
        <f t="shared" si="19"/>
        <v>50.400000000000006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39</v>
      </c>
      <c r="C78" s="1">
        <v>102</v>
      </c>
      <c r="D78" s="1">
        <v>976</v>
      </c>
      <c r="E78" s="1">
        <v>149</v>
      </c>
      <c r="F78" s="1">
        <v>418</v>
      </c>
      <c r="G78" s="7">
        <v>0.4</v>
      </c>
      <c r="H78" s="1">
        <v>50</v>
      </c>
      <c r="I78" s="1" t="s">
        <v>36</v>
      </c>
      <c r="J78" s="1"/>
      <c r="K78" s="1">
        <v>201</v>
      </c>
      <c r="L78" s="1">
        <f t="shared" si="14"/>
        <v>-52</v>
      </c>
      <c r="M78" s="1"/>
      <c r="N78" s="1"/>
      <c r="O78" s="1">
        <v>96</v>
      </c>
      <c r="P78" s="1">
        <f t="shared" si="15"/>
        <v>29.8</v>
      </c>
      <c r="Q78" s="5"/>
      <c r="R78" s="5">
        <f t="shared" si="20"/>
        <v>0</v>
      </c>
      <c r="S78" s="21"/>
      <c r="T78" s="1">
        <f t="shared" si="18"/>
        <v>17.248322147651006</v>
      </c>
      <c r="U78" s="1">
        <f t="shared" si="17"/>
        <v>17.248322147651006</v>
      </c>
      <c r="V78" s="1">
        <v>44.6</v>
      </c>
      <c r="W78" s="1">
        <v>57</v>
      </c>
      <c r="X78" s="1">
        <v>101.8</v>
      </c>
      <c r="Y78" s="1">
        <v>116.6</v>
      </c>
      <c r="Z78" s="1">
        <v>169.8</v>
      </c>
      <c r="AA78" s="1">
        <v>144.4</v>
      </c>
      <c r="AB78" s="1">
        <v>147.80000000000001</v>
      </c>
      <c r="AC78" s="1">
        <v>187.2</v>
      </c>
      <c r="AD78" s="1">
        <v>136.4</v>
      </c>
      <c r="AE78" s="1">
        <v>73</v>
      </c>
      <c r="AF78" s="1"/>
      <c r="AG78" s="1">
        <f t="shared" si="1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35</v>
      </c>
      <c r="C79" s="1">
        <v>66.849999999999994</v>
      </c>
      <c r="D79" s="1">
        <v>30.65</v>
      </c>
      <c r="E79" s="1">
        <v>0.29399999999999998</v>
      </c>
      <c r="F79" s="1">
        <v>93.864000000000004</v>
      </c>
      <c r="G79" s="7">
        <v>1</v>
      </c>
      <c r="H79" s="1">
        <v>30</v>
      </c>
      <c r="I79" s="1" t="s">
        <v>36</v>
      </c>
      <c r="J79" s="1"/>
      <c r="K79" s="1">
        <v>3.3</v>
      </c>
      <c r="L79" s="1">
        <f t="shared" si="14"/>
        <v>-3.0059999999999998</v>
      </c>
      <c r="M79" s="1"/>
      <c r="N79" s="1"/>
      <c r="O79" s="1">
        <v>0</v>
      </c>
      <c r="P79" s="1">
        <f t="shared" si="15"/>
        <v>5.8799999999999998E-2</v>
      </c>
      <c r="Q79" s="5"/>
      <c r="R79" s="5">
        <f t="shared" si="20"/>
        <v>0</v>
      </c>
      <c r="S79" s="21"/>
      <c r="T79" s="1">
        <f t="shared" si="18"/>
        <v>1596.3265306122451</v>
      </c>
      <c r="U79" s="1">
        <f t="shared" si="17"/>
        <v>1596.3265306122451</v>
      </c>
      <c r="V79" s="1">
        <v>1.8982000000000001</v>
      </c>
      <c r="W79" s="1">
        <v>0.19040000000000001</v>
      </c>
      <c r="X79" s="1">
        <v>-0.51180000000000003</v>
      </c>
      <c r="Y79" s="1">
        <v>6.7103999999999999</v>
      </c>
      <c r="Z79" s="1">
        <v>5.0915999999999997</v>
      </c>
      <c r="AA79" s="1">
        <v>3.8393999999999999</v>
      </c>
      <c r="AB79" s="1">
        <v>4.0342000000000002</v>
      </c>
      <c r="AC79" s="1">
        <v>9.1999999999999998E-2</v>
      </c>
      <c r="AD79" s="1">
        <v>3.0341999999999998</v>
      </c>
      <c r="AE79" s="1">
        <v>4.6256000000000004</v>
      </c>
      <c r="AF79" s="14" t="s">
        <v>40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39</v>
      </c>
      <c r="C80" s="1">
        <v>252</v>
      </c>
      <c r="D80" s="1">
        <v>306</v>
      </c>
      <c r="E80" s="1"/>
      <c r="F80" s="1">
        <v>255</v>
      </c>
      <c r="G80" s="7">
        <v>0.33800000000000002</v>
      </c>
      <c r="H80" s="1" t="s">
        <v>129</v>
      </c>
      <c r="I80" s="1" t="s">
        <v>36</v>
      </c>
      <c r="J80" s="1"/>
      <c r="K80" s="1"/>
      <c r="L80" s="1">
        <f t="shared" si="14"/>
        <v>0</v>
      </c>
      <c r="M80" s="1"/>
      <c r="N80" s="1"/>
      <c r="O80" s="1">
        <v>0</v>
      </c>
      <c r="P80" s="1">
        <f t="shared" si="15"/>
        <v>0</v>
      </c>
      <c r="Q80" s="5"/>
      <c r="R80" s="5">
        <f t="shared" si="20"/>
        <v>0</v>
      </c>
      <c r="S80" s="21"/>
      <c r="T80" s="1" t="e">
        <f t="shared" si="18"/>
        <v>#DIV/0!</v>
      </c>
      <c r="U80" s="1" t="e">
        <f t="shared" si="17"/>
        <v>#DIV/0!</v>
      </c>
      <c r="V80" s="1">
        <v>1.6</v>
      </c>
      <c r="W80" s="1">
        <v>12.2</v>
      </c>
      <c r="X80" s="1">
        <v>21.8</v>
      </c>
      <c r="Y80" s="1">
        <v>0.8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4" t="s">
        <v>101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130</v>
      </c>
      <c r="B81" s="1" t="s">
        <v>39</v>
      </c>
      <c r="C81" s="1">
        <v>353</v>
      </c>
      <c r="D81" s="1">
        <v>212</v>
      </c>
      <c r="E81" s="1">
        <v>3</v>
      </c>
      <c r="F81" s="1">
        <v>353</v>
      </c>
      <c r="G81" s="7">
        <v>0.32500000000000001</v>
      </c>
      <c r="H81" s="1" t="s">
        <v>129</v>
      </c>
      <c r="I81" s="1" t="s">
        <v>36</v>
      </c>
      <c r="J81" s="1"/>
      <c r="K81" s="1">
        <v>3</v>
      </c>
      <c r="L81" s="1">
        <f t="shared" si="14"/>
        <v>0</v>
      </c>
      <c r="M81" s="1"/>
      <c r="N81" s="1"/>
      <c r="O81" s="1">
        <v>0</v>
      </c>
      <c r="P81" s="1">
        <f t="shared" si="15"/>
        <v>0.6</v>
      </c>
      <c r="Q81" s="5"/>
      <c r="R81" s="5">
        <f t="shared" si="20"/>
        <v>0</v>
      </c>
      <c r="S81" s="21"/>
      <c r="T81" s="1">
        <f t="shared" si="18"/>
        <v>588.33333333333337</v>
      </c>
      <c r="U81" s="1">
        <f t="shared" si="17"/>
        <v>588.33333333333337</v>
      </c>
      <c r="V81" s="1">
        <v>2.6</v>
      </c>
      <c r="W81" s="1">
        <v>15.6</v>
      </c>
      <c r="X81" s="1">
        <v>31.2</v>
      </c>
      <c r="Y81" s="1">
        <v>0.4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4" t="s">
        <v>101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131</v>
      </c>
      <c r="B82" s="1" t="s">
        <v>39</v>
      </c>
      <c r="C82" s="1">
        <v>127</v>
      </c>
      <c r="D82" s="1">
        <v>312</v>
      </c>
      <c r="E82" s="1">
        <v>70</v>
      </c>
      <c r="F82" s="1">
        <v>241</v>
      </c>
      <c r="G82" s="7">
        <v>0.12</v>
      </c>
      <c r="H82" s="1">
        <v>60</v>
      </c>
      <c r="I82" s="1" t="s">
        <v>36</v>
      </c>
      <c r="J82" s="1"/>
      <c r="K82" s="1">
        <v>71</v>
      </c>
      <c r="L82" s="1">
        <f t="shared" si="14"/>
        <v>-1</v>
      </c>
      <c r="M82" s="1"/>
      <c r="N82" s="1"/>
      <c r="O82" s="1">
        <v>0</v>
      </c>
      <c r="P82" s="1">
        <f t="shared" si="15"/>
        <v>14</v>
      </c>
      <c r="Q82" s="5"/>
      <c r="R82" s="5">
        <f t="shared" si="20"/>
        <v>0</v>
      </c>
      <c r="S82" s="21"/>
      <c r="T82" s="1">
        <f t="shared" si="18"/>
        <v>17.214285714285715</v>
      </c>
      <c r="U82" s="1">
        <f t="shared" si="17"/>
        <v>17.214285714285715</v>
      </c>
      <c r="V82" s="1">
        <v>16</v>
      </c>
      <c r="W82" s="1">
        <v>26.2</v>
      </c>
      <c r="X82" s="1">
        <v>37</v>
      </c>
      <c r="Y82" s="1">
        <v>50.6</v>
      </c>
      <c r="Z82" s="1">
        <v>77.2</v>
      </c>
      <c r="AA82" s="1">
        <v>50</v>
      </c>
      <c r="AB82" s="1">
        <v>83</v>
      </c>
      <c r="AC82" s="1">
        <v>79</v>
      </c>
      <c r="AD82" s="1">
        <v>54.8</v>
      </c>
      <c r="AE82" s="1">
        <v>35.6</v>
      </c>
      <c r="AF82" s="1"/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39</v>
      </c>
      <c r="C83" s="1"/>
      <c r="D83" s="1">
        <v>99</v>
      </c>
      <c r="E83" s="1">
        <v>21</v>
      </c>
      <c r="F83" s="1">
        <v>60</v>
      </c>
      <c r="G83" s="7">
        <v>0.15</v>
      </c>
      <c r="H83" s="1">
        <v>90</v>
      </c>
      <c r="I83" s="1" t="s">
        <v>36</v>
      </c>
      <c r="J83" s="1"/>
      <c r="K83" s="1">
        <v>125</v>
      </c>
      <c r="L83" s="1">
        <f t="shared" si="14"/>
        <v>-104</v>
      </c>
      <c r="M83" s="1"/>
      <c r="N83" s="1"/>
      <c r="O83" s="1">
        <v>0</v>
      </c>
      <c r="P83" s="1">
        <f t="shared" si="15"/>
        <v>4.2</v>
      </c>
      <c r="Q83" s="5">
        <v>130</v>
      </c>
      <c r="R83" s="5">
        <v>150</v>
      </c>
      <c r="S83" s="21">
        <f>VLOOKUP(A83,[1]Sheet!$A:$R,18,0)</f>
        <v>250</v>
      </c>
      <c r="T83" s="1">
        <f t="shared" si="18"/>
        <v>50</v>
      </c>
      <c r="U83" s="1">
        <f t="shared" si="17"/>
        <v>14.285714285714285</v>
      </c>
      <c r="V83" s="1">
        <v>0.6</v>
      </c>
      <c r="W83" s="1">
        <v>10.8</v>
      </c>
      <c r="X83" s="1">
        <v>24.8</v>
      </c>
      <c r="Y83" s="1">
        <v>4.5999999999999996</v>
      </c>
      <c r="Z83" s="1">
        <v>0</v>
      </c>
      <c r="AA83" s="1">
        <v>3.4</v>
      </c>
      <c r="AB83" s="1">
        <v>9</v>
      </c>
      <c r="AC83" s="1">
        <v>7.2</v>
      </c>
      <c r="AD83" s="1">
        <v>5.4</v>
      </c>
      <c r="AE83" s="1">
        <v>9</v>
      </c>
      <c r="AF83" s="1"/>
      <c r="AG83" s="1">
        <f t="shared" si="19"/>
        <v>22.5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133</v>
      </c>
      <c r="B84" s="1" t="s">
        <v>39</v>
      </c>
      <c r="C84" s="1">
        <v>118</v>
      </c>
      <c r="D84" s="1">
        <v>300</v>
      </c>
      <c r="E84" s="1">
        <v>128</v>
      </c>
      <c r="F84" s="1">
        <v>218</v>
      </c>
      <c r="G84" s="7">
        <v>0.15</v>
      </c>
      <c r="H84" s="1">
        <v>90</v>
      </c>
      <c r="I84" s="1" t="s">
        <v>36</v>
      </c>
      <c r="J84" s="1"/>
      <c r="K84" s="1">
        <v>132</v>
      </c>
      <c r="L84" s="1">
        <f t="shared" si="14"/>
        <v>-4</v>
      </c>
      <c r="M84" s="1"/>
      <c r="N84" s="1"/>
      <c r="O84" s="1">
        <v>0</v>
      </c>
      <c r="P84" s="1">
        <f t="shared" si="15"/>
        <v>25.6</v>
      </c>
      <c r="Q84" s="5">
        <f t="shared" si="16"/>
        <v>166</v>
      </c>
      <c r="R84" s="5">
        <v>220</v>
      </c>
      <c r="S84" s="21">
        <f>VLOOKUP(A84,[1]Sheet!$A:$R,18,0)</f>
        <v>250</v>
      </c>
      <c r="T84" s="1">
        <f t="shared" si="18"/>
        <v>17.109375</v>
      </c>
      <c r="U84" s="1">
        <f t="shared" si="17"/>
        <v>8.515625</v>
      </c>
      <c r="V84" s="1">
        <v>5.2</v>
      </c>
      <c r="W84" s="1">
        <v>29.4</v>
      </c>
      <c r="X84" s="1">
        <v>21.6</v>
      </c>
      <c r="Y84" s="1">
        <v>1.2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 t="s">
        <v>37</v>
      </c>
      <c r="AG84" s="1">
        <f t="shared" si="19"/>
        <v>33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134</v>
      </c>
      <c r="B85" s="1" t="s">
        <v>39</v>
      </c>
      <c r="C85" s="1">
        <v>98</v>
      </c>
      <c r="D85" s="1">
        <v>177</v>
      </c>
      <c r="E85" s="1">
        <v>89</v>
      </c>
      <c r="F85" s="1">
        <v>69</v>
      </c>
      <c r="G85" s="7">
        <v>0.33</v>
      </c>
      <c r="H85" s="1">
        <v>30</v>
      </c>
      <c r="I85" s="1" t="s">
        <v>36</v>
      </c>
      <c r="J85" s="1"/>
      <c r="K85" s="1">
        <v>103</v>
      </c>
      <c r="L85" s="1">
        <f t="shared" si="14"/>
        <v>-14</v>
      </c>
      <c r="M85" s="1"/>
      <c r="N85" s="1"/>
      <c r="O85" s="1">
        <v>43</v>
      </c>
      <c r="P85" s="1">
        <f t="shared" si="15"/>
        <v>17.8</v>
      </c>
      <c r="Q85" s="5">
        <f t="shared" si="16"/>
        <v>155</v>
      </c>
      <c r="R85" s="5">
        <f t="shared" si="20"/>
        <v>155</v>
      </c>
      <c r="S85" s="21"/>
      <c r="T85" s="1">
        <f t="shared" si="18"/>
        <v>15</v>
      </c>
      <c r="U85" s="1">
        <f t="shared" si="17"/>
        <v>6.2921348314606735</v>
      </c>
      <c r="V85" s="1">
        <v>14.2</v>
      </c>
      <c r="W85" s="1">
        <v>16.8</v>
      </c>
      <c r="X85" s="1">
        <v>30.2</v>
      </c>
      <c r="Y85" s="1">
        <v>24.4</v>
      </c>
      <c r="Z85" s="1">
        <v>27.2</v>
      </c>
      <c r="AA85" s="1">
        <v>30.4</v>
      </c>
      <c r="AB85" s="1">
        <v>43</v>
      </c>
      <c r="AC85" s="1">
        <v>45.2</v>
      </c>
      <c r="AD85" s="1">
        <v>1.8</v>
      </c>
      <c r="AE85" s="1">
        <v>37.799999999999997</v>
      </c>
      <c r="AF85" s="1"/>
      <c r="AG85" s="1">
        <f t="shared" si="19"/>
        <v>51.150000000000006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135</v>
      </c>
      <c r="B86" s="1" t="s">
        <v>39</v>
      </c>
      <c r="C86" s="1"/>
      <c r="D86" s="1">
        <v>558</v>
      </c>
      <c r="E86" s="1">
        <v>73</v>
      </c>
      <c r="F86" s="1">
        <v>422</v>
      </c>
      <c r="G86" s="7">
        <v>0.15</v>
      </c>
      <c r="H86" s="1">
        <v>60</v>
      </c>
      <c r="I86" s="1" t="s">
        <v>36</v>
      </c>
      <c r="J86" s="1"/>
      <c r="K86" s="1">
        <v>303</v>
      </c>
      <c r="L86" s="1">
        <f t="shared" si="14"/>
        <v>-230</v>
      </c>
      <c r="M86" s="1"/>
      <c r="N86" s="1"/>
      <c r="O86" s="1">
        <v>0</v>
      </c>
      <c r="P86" s="1">
        <f t="shared" si="15"/>
        <v>14.6</v>
      </c>
      <c r="Q86" s="5"/>
      <c r="R86" s="5">
        <f t="shared" si="20"/>
        <v>0</v>
      </c>
      <c r="S86" s="21"/>
      <c r="T86" s="1">
        <f t="shared" si="18"/>
        <v>28.904109589041095</v>
      </c>
      <c r="U86" s="1">
        <f t="shared" si="17"/>
        <v>28.904109589041095</v>
      </c>
      <c r="V86" s="1">
        <v>0</v>
      </c>
      <c r="W86" s="1">
        <v>33</v>
      </c>
      <c r="X86" s="1">
        <v>30</v>
      </c>
      <c r="Y86" s="1">
        <v>11.4</v>
      </c>
      <c r="Z86" s="1">
        <v>5.6</v>
      </c>
      <c r="AA86" s="1">
        <v>10</v>
      </c>
      <c r="AB86" s="1">
        <v>7.8</v>
      </c>
      <c r="AC86" s="1">
        <v>5.8</v>
      </c>
      <c r="AD86" s="1">
        <v>0</v>
      </c>
      <c r="AE86" s="1">
        <v>0</v>
      </c>
      <c r="AF86" s="1" t="s">
        <v>37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86</v>
      </c>
      <c r="B87" s="1" t="s">
        <v>39</v>
      </c>
      <c r="C87" s="1"/>
      <c r="D87" s="1">
        <v>120</v>
      </c>
      <c r="E87" s="15">
        <f>0+E43</f>
        <v>8</v>
      </c>
      <c r="F87" s="1">
        <v>110</v>
      </c>
      <c r="G87" s="7">
        <v>0.41</v>
      </c>
      <c r="H87" s="1">
        <v>45</v>
      </c>
      <c r="I87" s="9" t="s">
        <v>36</v>
      </c>
      <c r="J87" s="1"/>
      <c r="K87" s="1"/>
      <c r="L87" s="1">
        <f t="shared" si="14"/>
        <v>8</v>
      </c>
      <c r="M87" s="1"/>
      <c r="N87" s="1"/>
      <c r="O87" s="1"/>
      <c r="P87" s="1">
        <f t="shared" si="15"/>
        <v>1.6</v>
      </c>
      <c r="Q87" s="5">
        <v>50</v>
      </c>
      <c r="R87" s="5">
        <f t="shared" si="20"/>
        <v>50</v>
      </c>
      <c r="S87" s="21">
        <f>VLOOKUP(A87,[1]Sheet!$A:$R,18,0)</f>
        <v>100</v>
      </c>
      <c r="T87" s="1">
        <f t="shared" si="18"/>
        <v>100</v>
      </c>
      <c r="U87" s="1">
        <f t="shared" si="17"/>
        <v>68.75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9" t="s">
        <v>136</v>
      </c>
      <c r="AG87" s="1">
        <f t="shared" si="19"/>
        <v>20.5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137</v>
      </c>
      <c r="B88" s="1" t="s">
        <v>39</v>
      </c>
      <c r="C88" s="1">
        <v>83</v>
      </c>
      <c r="D88" s="1">
        <v>215</v>
      </c>
      <c r="E88" s="1">
        <v>98</v>
      </c>
      <c r="F88" s="1">
        <v>81</v>
      </c>
      <c r="G88" s="7">
        <v>0.26</v>
      </c>
      <c r="H88" s="1">
        <v>45</v>
      </c>
      <c r="I88" s="1" t="s">
        <v>36</v>
      </c>
      <c r="J88" s="1"/>
      <c r="K88" s="1">
        <v>133</v>
      </c>
      <c r="L88" s="1">
        <f t="shared" si="14"/>
        <v>-35</v>
      </c>
      <c r="M88" s="1"/>
      <c r="N88" s="1"/>
      <c r="O88" s="1">
        <v>0</v>
      </c>
      <c r="P88" s="1">
        <f t="shared" si="15"/>
        <v>19.600000000000001</v>
      </c>
      <c r="Q88" s="5">
        <f>14*P88-O88-F88</f>
        <v>193.40000000000003</v>
      </c>
      <c r="R88" s="5">
        <v>240</v>
      </c>
      <c r="S88" s="21">
        <f>VLOOKUP(A88,[1]Sheet!$A:$R,18,0)</f>
        <v>270</v>
      </c>
      <c r="T88" s="1">
        <f t="shared" si="18"/>
        <v>16.377551020408163</v>
      </c>
      <c r="U88" s="1">
        <f t="shared" si="17"/>
        <v>4.1326530612244898</v>
      </c>
      <c r="V88" s="1">
        <v>4.2</v>
      </c>
      <c r="W88" s="1">
        <v>6</v>
      </c>
      <c r="X88" s="1">
        <v>36.200000000000003</v>
      </c>
      <c r="Y88" s="1">
        <v>3.4</v>
      </c>
      <c r="Z88" s="1">
        <v>6.2</v>
      </c>
      <c r="AA88" s="1">
        <v>11</v>
      </c>
      <c r="AB88" s="1">
        <v>6.8</v>
      </c>
      <c r="AC88" s="1">
        <v>2.8</v>
      </c>
      <c r="AD88" s="1">
        <v>0</v>
      </c>
      <c r="AE88" s="1">
        <v>0</v>
      </c>
      <c r="AF88" s="1"/>
      <c r="AG88" s="1">
        <f t="shared" si="19"/>
        <v>62.400000000000006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35</v>
      </c>
      <c r="C89" s="1">
        <v>34.962000000000003</v>
      </c>
      <c r="D89" s="1">
        <v>179.58199999999999</v>
      </c>
      <c r="E89" s="1">
        <v>49.323999999999998</v>
      </c>
      <c r="F89" s="1">
        <v>108.348</v>
      </c>
      <c r="G89" s="7">
        <v>1</v>
      </c>
      <c r="H89" s="1">
        <v>30</v>
      </c>
      <c r="I89" s="1" t="s">
        <v>36</v>
      </c>
      <c r="J89" s="1"/>
      <c r="K89" s="1">
        <v>59.8</v>
      </c>
      <c r="L89" s="1">
        <f t="shared" si="14"/>
        <v>-10.475999999999999</v>
      </c>
      <c r="M89" s="1"/>
      <c r="N89" s="1"/>
      <c r="O89" s="1">
        <v>0</v>
      </c>
      <c r="P89" s="1">
        <f t="shared" si="15"/>
        <v>9.8647999999999989</v>
      </c>
      <c r="Q89" s="5">
        <f t="shared" si="16"/>
        <v>39.623999999999981</v>
      </c>
      <c r="R89" s="5">
        <v>60</v>
      </c>
      <c r="S89" s="21">
        <f>VLOOKUP(A89,[1]Sheet!$A:$R,18,0)</f>
        <v>70</v>
      </c>
      <c r="T89" s="1">
        <f t="shared" si="18"/>
        <v>17.065525910307358</v>
      </c>
      <c r="U89" s="1">
        <f t="shared" si="17"/>
        <v>10.983294136728571</v>
      </c>
      <c r="V89" s="1">
        <v>7.9896000000000003</v>
      </c>
      <c r="W89" s="1">
        <v>10.4252</v>
      </c>
      <c r="X89" s="1">
        <v>9.0858000000000008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37</v>
      </c>
      <c r="AG89" s="1">
        <f t="shared" si="19"/>
        <v>60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39</v>
      </c>
      <c r="C90" s="1">
        <v>115</v>
      </c>
      <c r="D90" s="1">
        <v>260</v>
      </c>
      <c r="E90" s="1">
        <v>115</v>
      </c>
      <c r="F90" s="1">
        <v>144</v>
      </c>
      <c r="G90" s="7">
        <v>0.31</v>
      </c>
      <c r="H90" s="1">
        <v>45</v>
      </c>
      <c r="I90" s="1" t="s">
        <v>36</v>
      </c>
      <c r="J90" s="1"/>
      <c r="K90" s="1">
        <v>116</v>
      </c>
      <c r="L90" s="1">
        <f t="shared" si="14"/>
        <v>-1</v>
      </c>
      <c r="M90" s="1"/>
      <c r="N90" s="1"/>
      <c r="O90" s="1">
        <v>0</v>
      </c>
      <c r="P90" s="1">
        <f t="shared" si="15"/>
        <v>23</v>
      </c>
      <c r="Q90" s="5">
        <f t="shared" si="16"/>
        <v>201</v>
      </c>
      <c r="R90" s="5">
        <f t="shared" si="20"/>
        <v>201</v>
      </c>
      <c r="S90" s="21"/>
      <c r="T90" s="1">
        <f t="shared" si="18"/>
        <v>15</v>
      </c>
      <c r="U90" s="1">
        <f t="shared" si="17"/>
        <v>6.2608695652173916</v>
      </c>
      <c r="V90" s="1">
        <v>2.2000000000000002</v>
      </c>
      <c r="W90" s="1">
        <v>6</v>
      </c>
      <c r="X90" s="1">
        <v>34.799999999999997</v>
      </c>
      <c r="Y90" s="1">
        <v>5</v>
      </c>
      <c r="Z90" s="1">
        <v>8.4</v>
      </c>
      <c r="AA90" s="1">
        <v>9</v>
      </c>
      <c r="AB90" s="1">
        <v>7.8</v>
      </c>
      <c r="AC90" s="1">
        <v>4</v>
      </c>
      <c r="AD90" s="1">
        <v>0</v>
      </c>
      <c r="AE90" s="1">
        <v>0</v>
      </c>
      <c r="AF90" s="1"/>
      <c r="AG90" s="1">
        <f t="shared" si="19"/>
        <v>62.31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35</v>
      </c>
      <c r="C91" s="1">
        <v>60.878999999999998</v>
      </c>
      <c r="D91" s="1">
        <v>104.562</v>
      </c>
      <c r="E91" s="1">
        <v>46.439</v>
      </c>
      <c r="F91" s="1">
        <v>103.66800000000001</v>
      </c>
      <c r="G91" s="7">
        <v>1</v>
      </c>
      <c r="H91" s="1">
        <v>30</v>
      </c>
      <c r="I91" s="1" t="s">
        <v>36</v>
      </c>
      <c r="J91" s="1"/>
      <c r="K91" s="1">
        <v>44.6</v>
      </c>
      <c r="L91" s="1">
        <f t="shared" si="14"/>
        <v>1.8389999999999986</v>
      </c>
      <c r="M91" s="1"/>
      <c r="N91" s="1"/>
      <c r="O91" s="1">
        <v>0</v>
      </c>
      <c r="P91" s="1">
        <f t="shared" si="15"/>
        <v>9.2878000000000007</v>
      </c>
      <c r="Q91" s="5">
        <f t="shared" si="16"/>
        <v>35.649000000000001</v>
      </c>
      <c r="R91" s="5">
        <f t="shared" si="20"/>
        <v>36</v>
      </c>
      <c r="S91" s="21"/>
      <c r="T91" s="1">
        <f t="shared" si="18"/>
        <v>15.037791511445121</v>
      </c>
      <c r="U91" s="1">
        <f t="shared" si="17"/>
        <v>11.161739055535218</v>
      </c>
      <c r="V91" s="1">
        <v>2.3904000000000001</v>
      </c>
      <c r="W91" s="1">
        <v>8.8018000000000001</v>
      </c>
      <c r="X91" s="1">
        <v>6.4154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 t="s">
        <v>37</v>
      </c>
      <c r="AG91" s="1">
        <f t="shared" si="19"/>
        <v>36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39</v>
      </c>
      <c r="C92" s="1">
        <v>47</v>
      </c>
      <c r="D92" s="1">
        <v>379</v>
      </c>
      <c r="E92" s="1">
        <v>58</v>
      </c>
      <c r="F92" s="1">
        <v>153</v>
      </c>
      <c r="G92" s="7">
        <v>0.4</v>
      </c>
      <c r="H92" s="1">
        <v>60</v>
      </c>
      <c r="I92" s="1" t="s">
        <v>36</v>
      </c>
      <c r="J92" s="1"/>
      <c r="K92" s="1">
        <v>65</v>
      </c>
      <c r="L92" s="1">
        <f t="shared" si="14"/>
        <v>-7</v>
      </c>
      <c r="M92" s="1"/>
      <c r="N92" s="1"/>
      <c r="O92" s="1">
        <v>0</v>
      </c>
      <c r="P92" s="1">
        <f t="shared" si="15"/>
        <v>11.6</v>
      </c>
      <c r="Q92" s="5">
        <f t="shared" si="16"/>
        <v>21</v>
      </c>
      <c r="R92" s="5">
        <f t="shared" si="20"/>
        <v>21</v>
      </c>
      <c r="S92" s="21"/>
      <c r="T92" s="1">
        <f t="shared" si="18"/>
        <v>15</v>
      </c>
      <c r="U92" s="1">
        <f t="shared" si="17"/>
        <v>13.189655172413794</v>
      </c>
      <c r="V92" s="1">
        <v>12</v>
      </c>
      <c r="W92" s="1">
        <v>20.8</v>
      </c>
      <c r="X92" s="1">
        <v>31.4</v>
      </c>
      <c r="Y92" s="1">
        <v>31.8</v>
      </c>
      <c r="Z92" s="1">
        <v>39.4</v>
      </c>
      <c r="AA92" s="1">
        <v>24.4</v>
      </c>
      <c r="AB92" s="1">
        <v>65</v>
      </c>
      <c r="AC92" s="1">
        <v>53.4</v>
      </c>
      <c r="AD92" s="1">
        <v>32</v>
      </c>
      <c r="AE92" s="1">
        <v>33</v>
      </c>
      <c r="AF92" s="1"/>
      <c r="AG92" s="1">
        <f t="shared" si="19"/>
        <v>8.4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39</v>
      </c>
      <c r="C93" s="1">
        <v>-8</v>
      </c>
      <c r="D93" s="1">
        <v>117</v>
      </c>
      <c r="E93" s="1">
        <v>15</v>
      </c>
      <c r="F93" s="1">
        <v>81</v>
      </c>
      <c r="G93" s="7">
        <v>0.35</v>
      </c>
      <c r="H93" s="1">
        <v>60</v>
      </c>
      <c r="I93" s="1" t="s">
        <v>36</v>
      </c>
      <c r="J93" s="1"/>
      <c r="K93" s="1">
        <v>160</v>
      </c>
      <c r="L93" s="1">
        <f t="shared" si="14"/>
        <v>-145</v>
      </c>
      <c r="M93" s="1"/>
      <c r="N93" s="1"/>
      <c r="O93" s="1">
        <v>0</v>
      </c>
      <c r="P93" s="1">
        <f t="shared" si="15"/>
        <v>3</v>
      </c>
      <c r="Q93" s="5"/>
      <c r="R93" s="5">
        <f t="shared" si="20"/>
        <v>0</v>
      </c>
      <c r="S93" s="21"/>
      <c r="T93" s="1">
        <f t="shared" si="18"/>
        <v>27</v>
      </c>
      <c r="U93" s="1">
        <f t="shared" si="17"/>
        <v>27</v>
      </c>
      <c r="V93" s="1">
        <v>0</v>
      </c>
      <c r="W93" s="1">
        <v>12.2</v>
      </c>
      <c r="X93" s="1">
        <v>0.6</v>
      </c>
      <c r="Y93" s="1">
        <v>0.2</v>
      </c>
      <c r="Z93" s="1">
        <v>7.8</v>
      </c>
      <c r="AA93" s="1">
        <v>0</v>
      </c>
      <c r="AB93" s="1">
        <v>0</v>
      </c>
      <c r="AC93" s="1">
        <v>4.5999999999999996</v>
      </c>
      <c r="AD93" s="1">
        <v>3.6</v>
      </c>
      <c r="AE93" s="1">
        <v>1</v>
      </c>
      <c r="AF93" s="1" t="s">
        <v>143</v>
      </c>
      <c r="AG93" s="1">
        <f t="shared" si="1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144</v>
      </c>
      <c r="B94" s="1" t="s">
        <v>35</v>
      </c>
      <c r="C94" s="1">
        <v>44.593000000000004</v>
      </c>
      <c r="D94" s="1">
        <v>83.631</v>
      </c>
      <c r="E94" s="1">
        <v>34.183999999999997</v>
      </c>
      <c r="F94" s="1">
        <v>9.3680000000000003</v>
      </c>
      <c r="G94" s="7">
        <v>1</v>
      </c>
      <c r="H94" s="1">
        <v>45</v>
      </c>
      <c r="I94" s="1" t="s">
        <v>36</v>
      </c>
      <c r="J94" s="1"/>
      <c r="K94" s="1">
        <v>34.9</v>
      </c>
      <c r="L94" s="1">
        <f t="shared" si="14"/>
        <v>-0.71600000000000108</v>
      </c>
      <c r="M94" s="1"/>
      <c r="N94" s="1"/>
      <c r="O94" s="1">
        <v>39</v>
      </c>
      <c r="P94" s="1">
        <f t="shared" si="15"/>
        <v>6.8367999999999993</v>
      </c>
      <c r="Q94" s="5">
        <f t="shared" si="16"/>
        <v>54.18399999999999</v>
      </c>
      <c r="R94" s="5">
        <v>70</v>
      </c>
      <c r="S94" s="21">
        <f>VLOOKUP(A94,[1]Sheet!$A:$R,18,0)</f>
        <v>120</v>
      </c>
      <c r="T94" s="1">
        <f t="shared" si="18"/>
        <v>17.313362976831268</v>
      </c>
      <c r="U94" s="1">
        <f t="shared" si="17"/>
        <v>7.0746548092674946</v>
      </c>
      <c r="V94" s="1">
        <v>5.5881999999999996</v>
      </c>
      <c r="W94" s="1">
        <v>3.5522</v>
      </c>
      <c r="X94" s="1">
        <v>12.200200000000001</v>
      </c>
      <c r="Y94" s="1">
        <v>1.3218000000000001</v>
      </c>
      <c r="Z94" s="1">
        <v>3.1663999999999999</v>
      </c>
      <c r="AA94" s="1">
        <v>11.7332</v>
      </c>
      <c r="AB94" s="1">
        <v>0.34699999999999998</v>
      </c>
      <c r="AC94" s="1">
        <v>0.50080000000000002</v>
      </c>
      <c r="AD94" s="1">
        <v>0</v>
      </c>
      <c r="AE94" s="1">
        <v>0</v>
      </c>
      <c r="AF94" s="1"/>
      <c r="AG94" s="1">
        <f t="shared" si="19"/>
        <v>70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145</v>
      </c>
      <c r="B95" s="1" t="s">
        <v>35</v>
      </c>
      <c r="C95" s="1">
        <v>39.808</v>
      </c>
      <c r="D95" s="1"/>
      <c r="E95" s="1">
        <v>38.072000000000003</v>
      </c>
      <c r="F95" s="1">
        <v>1.736</v>
      </c>
      <c r="G95" s="7">
        <v>1</v>
      </c>
      <c r="H95" s="1">
        <v>45</v>
      </c>
      <c r="I95" s="1" t="s">
        <v>36</v>
      </c>
      <c r="J95" s="1"/>
      <c r="K95" s="1">
        <v>57.6</v>
      </c>
      <c r="L95" s="1">
        <f t="shared" si="14"/>
        <v>-19.527999999999999</v>
      </c>
      <c r="M95" s="1"/>
      <c r="N95" s="1"/>
      <c r="O95" s="1">
        <v>144</v>
      </c>
      <c r="P95" s="1">
        <f t="shared" si="15"/>
        <v>7.6144000000000007</v>
      </c>
      <c r="Q95" s="5"/>
      <c r="R95" s="5">
        <f t="shared" si="20"/>
        <v>0</v>
      </c>
      <c r="S95" s="21"/>
      <c r="T95" s="1">
        <f t="shared" si="18"/>
        <v>19.13952511031729</v>
      </c>
      <c r="U95" s="1">
        <f t="shared" si="17"/>
        <v>19.13952511031729</v>
      </c>
      <c r="V95" s="1">
        <v>14.147399999999999</v>
      </c>
      <c r="W95" s="1">
        <v>3.3952</v>
      </c>
      <c r="X95" s="1">
        <v>5.1155999999999997</v>
      </c>
      <c r="Y95" s="1">
        <v>16.523</v>
      </c>
      <c r="Z95" s="1">
        <v>0</v>
      </c>
      <c r="AA95" s="1">
        <v>6.5928000000000004</v>
      </c>
      <c r="AB95" s="1">
        <v>12.7</v>
      </c>
      <c r="AC95" s="1">
        <v>5.0625999999999998</v>
      </c>
      <c r="AD95" s="1">
        <v>0.50580000000000003</v>
      </c>
      <c r="AE95" s="1">
        <v>9.2891999999999992</v>
      </c>
      <c r="AF95" s="1"/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146</v>
      </c>
      <c r="B96" s="1" t="s">
        <v>39</v>
      </c>
      <c r="C96" s="1">
        <v>33</v>
      </c>
      <c r="D96" s="1">
        <v>297</v>
      </c>
      <c r="E96" s="1">
        <v>50</v>
      </c>
      <c r="F96" s="1">
        <v>62</v>
      </c>
      <c r="G96" s="7">
        <v>0.33</v>
      </c>
      <c r="H96" s="1">
        <v>45</v>
      </c>
      <c r="I96" s="1" t="s">
        <v>36</v>
      </c>
      <c r="J96" s="1"/>
      <c r="K96" s="1">
        <v>143</v>
      </c>
      <c r="L96" s="1">
        <f t="shared" si="14"/>
        <v>-93</v>
      </c>
      <c r="M96" s="1"/>
      <c r="N96" s="1"/>
      <c r="O96" s="1">
        <v>0</v>
      </c>
      <c r="P96" s="1">
        <f t="shared" si="15"/>
        <v>10</v>
      </c>
      <c r="Q96" s="5">
        <f t="shared" si="16"/>
        <v>88</v>
      </c>
      <c r="R96" s="5">
        <v>140</v>
      </c>
      <c r="S96" s="21">
        <f>VLOOKUP(A96,[1]Sheet!$A:$R,18,0)</f>
        <v>150</v>
      </c>
      <c r="T96" s="1">
        <f t="shared" si="18"/>
        <v>20.2</v>
      </c>
      <c r="U96" s="1">
        <f t="shared" si="17"/>
        <v>6.2</v>
      </c>
      <c r="V96" s="1">
        <v>3</v>
      </c>
      <c r="W96" s="1">
        <v>0.4</v>
      </c>
      <c r="X96" s="1">
        <v>10.6</v>
      </c>
      <c r="Y96" s="1">
        <v>5</v>
      </c>
      <c r="Z96" s="1">
        <v>1.6</v>
      </c>
      <c r="AA96" s="1">
        <v>0</v>
      </c>
      <c r="AB96" s="1">
        <v>-2.2000000000000002</v>
      </c>
      <c r="AC96" s="1">
        <v>23</v>
      </c>
      <c r="AD96" s="1">
        <v>25.8</v>
      </c>
      <c r="AE96" s="1">
        <v>35.200000000000003</v>
      </c>
      <c r="AF96" s="1" t="s">
        <v>147</v>
      </c>
      <c r="AG96" s="1">
        <f t="shared" si="19"/>
        <v>46.2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148</v>
      </c>
      <c r="B97" s="1" t="s">
        <v>39</v>
      </c>
      <c r="C97" s="1">
        <v>139</v>
      </c>
      <c r="D97" s="1">
        <v>167</v>
      </c>
      <c r="E97" s="1">
        <v>64</v>
      </c>
      <c r="F97" s="1">
        <v>54</v>
      </c>
      <c r="G97" s="7">
        <v>0.1</v>
      </c>
      <c r="H97" s="1">
        <v>60</v>
      </c>
      <c r="I97" s="1" t="s">
        <v>36</v>
      </c>
      <c r="J97" s="1"/>
      <c r="K97" s="1">
        <v>65</v>
      </c>
      <c r="L97" s="1">
        <f t="shared" si="14"/>
        <v>-1</v>
      </c>
      <c r="M97" s="1"/>
      <c r="N97" s="1"/>
      <c r="O97" s="1">
        <v>101</v>
      </c>
      <c r="P97" s="1">
        <f t="shared" si="15"/>
        <v>12.8</v>
      </c>
      <c r="Q97" s="5">
        <f t="shared" si="16"/>
        <v>37</v>
      </c>
      <c r="R97" s="5">
        <f t="shared" si="20"/>
        <v>37</v>
      </c>
      <c r="S97" s="21"/>
      <c r="T97" s="1">
        <f t="shared" si="18"/>
        <v>15</v>
      </c>
      <c r="U97" s="1">
        <f t="shared" si="17"/>
        <v>12.109375</v>
      </c>
      <c r="V97" s="1">
        <v>16</v>
      </c>
      <c r="W97" s="1">
        <v>6.2</v>
      </c>
      <c r="X97" s="1">
        <v>25.6</v>
      </c>
      <c r="Y97" s="1">
        <v>29.2</v>
      </c>
      <c r="Z97" s="1">
        <v>28.4</v>
      </c>
      <c r="AA97" s="1">
        <v>25.8</v>
      </c>
      <c r="AB97" s="1">
        <v>40.4</v>
      </c>
      <c r="AC97" s="1">
        <v>27</v>
      </c>
      <c r="AD97" s="1">
        <v>16.2</v>
      </c>
      <c r="AE97" s="1">
        <v>1.4</v>
      </c>
      <c r="AF97" s="1" t="s">
        <v>149</v>
      </c>
      <c r="AG97" s="1">
        <f t="shared" si="19"/>
        <v>3.7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150</v>
      </c>
      <c r="B98" s="1" t="s">
        <v>39</v>
      </c>
      <c r="C98" s="1">
        <v>319</v>
      </c>
      <c r="D98" s="1">
        <v>172</v>
      </c>
      <c r="E98" s="1">
        <v>121</v>
      </c>
      <c r="F98" s="1">
        <v>195</v>
      </c>
      <c r="G98" s="7">
        <v>0.1</v>
      </c>
      <c r="H98" s="1">
        <v>60</v>
      </c>
      <c r="I98" s="1" t="s">
        <v>36</v>
      </c>
      <c r="J98" s="1"/>
      <c r="K98" s="1">
        <v>116</v>
      </c>
      <c r="L98" s="1">
        <f t="shared" si="14"/>
        <v>5</v>
      </c>
      <c r="M98" s="1"/>
      <c r="N98" s="1"/>
      <c r="O98" s="1">
        <v>14</v>
      </c>
      <c r="P98" s="1">
        <f t="shared" si="15"/>
        <v>24.2</v>
      </c>
      <c r="Q98" s="5">
        <f t="shared" si="16"/>
        <v>154</v>
      </c>
      <c r="R98" s="5">
        <v>200</v>
      </c>
      <c r="S98" s="21">
        <f>VLOOKUP(A98,[1]Sheet!$A:$R,18,0)</f>
        <v>220</v>
      </c>
      <c r="T98" s="1">
        <f t="shared" si="18"/>
        <v>16.900826446280991</v>
      </c>
      <c r="U98" s="1">
        <f t="shared" si="17"/>
        <v>8.6363636363636367</v>
      </c>
      <c r="V98" s="1">
        <v>22.2</v>
      </c>
      <c r="W98" s="1">
        <v>1.8</v>
      </c>
      <c r="X98" s="1">
        <v>24.8</v>
      </c>
      <c r="Y98" s="1">
        <v>52.8</v>
      </c>
      <c r="Z98" s="1">
        <v>10.8</v>
      </c>
      <c r="AA98" s="1">
        <v>29.2</v>
      </c>
      <c r="AB98" s="1">
        <v>51</v>
      </c>
      <c r="AC98" s="1">
        <v>2.2000000000000002</v>
      </c>
      <c r="AD98" s="1">
        <v>20.399999999999999</v>
      </c>
      <c r="AE98" s="1">
        <v>38.799999999999997</v>
      </c>
      <c r="AF98" s="1" t="s">
        <v>151</v>
      </c>
      <c r="AG98" s="1">
        <f t="shared" si="19"/>
        <v>20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152</v>
      </c>
      <c r="B99" s="1" t="s">
        <v>39</v>
      </c>
      <c r="C99" s="1">
        <v>242</v>
      </c>
      <c r="D99" s="1">
        <v>430</v>
      </c>
      <c r="E99" s="1">
        <v>138</v>
      </c>
      <c r="F99" s="1">
        <v>287</v>
      </c>
      <c r="G99" s="7">
        <v>0.4</v>
      </c>
      <c r="H99" s="1">
        <v>60</v>
      </c>
      <c r="I99" s="1" t="s">
        <v>36</v>
      </c>
      <c r="J99" s="1"/>
      <c r="K99" s="1">
        <v>157</v>
      </c>
      <c r="L99" s="1">
        <f t="shared" si="14"/>
        <v>-19</v>
      </c>
      <c r="M99" s="1"/>
      <c r="N99" s="1"/>
      <c r="O99" s="1">
        <v>0</v>
      </c>
      <c r="P99" s="1">
        <f t="shared" si="15"/>
        <v>27.6</v>
      </c>
      <c r="Q99" s="5">
        <f t="shared" si="16"/>
        <v>127</v>
      </c>
      <c r="R99" s="5">
        <v>180</v>
      </c>
      <c r="S99" s="21">
        <f>VLOOKUP(A99,[1]Sheet!$A:$R,18,0)</f>
        <v>200</v>
      </c>
      <c r="T99" s="1">
        <f t="shared" si="18"/>
        <v>16.920289855072461</v>
      </c>
      <c r="U99" s="1">
        <f t="shared" si="17"/>
        <v>10.39855072463768</v>
      </c>
      <c r="V99" s="1">
        <v>22</v>
      </c>
      <c r="W99" s="1">
        <v>36</v>
      </c>
      <c r="X99" s="1">
        <v>61.6</v>
      </c>
      <c r="Y99" s="1">
        <v>72.8</v>
      </c>
      <c r="Z99" s="1">
        <v>96.4</v>
      </c>
      <c r="AA99" s="1">
        <v>80</v>
      </c>
      <c r="AB99" s="1">
        <v>80.2</v>
      </c>
      <c r="AC99" s="1">
        <v>93.8</v>
      </c>
      <c r="AD99" s="1">
        <v>30.4</v>
      </c>
      <c r="AE99" s="1">
        <v>47.8</v>
      </c>
      <c r="AF99" s="1"/>
      <c r="AG99" s="1">
        <f t="shared" si="19"/>
        <v>72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0" t="s">
        <v>153</v>
      </c>
      <c r="B100" s="10" t="s">
        <v>39</v>
      </c>
      <c r="C100" s="10">
        <v>23</v>
      </c>
      <c r="D100" s="10">
        <v>2</v>
      </c>
      <c r="E100" s="15">
        <v>-5</v>
      </c>
      <c r="F100" s="10"/>
      <c r="G100" s="11">
        <v>0</v>
      </c>
      <c r="H100" s="10"/>
      <c r="I100" s="13" t="s">
        <v>74</v>
      </c>
      <c r="J100" s="13" t="s">
        <v>154</v>
      </c>
      <c r="K100" s="10">
        <v>52</v>
      </c>
      <c r="L100" s="10">
        <f t="shared" si="14"/>
        <v>-57</v>
      </c>
      <c r="M100" s="10"/>
      <c r="N100" s="10"/>
      <c r="O100" s="10">
        <v>0</v>
      </c>
      <c r="P100" s="10">
        <f t="shared" si="15"/>
        <v>-1</v>
      </c>
      <c r="Q100" s="12"/>
      <c r="R100" s="5">
        <f t="shared" si="20"/>
        <v>0</v>
      </c>
      <c r="S100" s="21"/>
      <c r="T100" s="1">
        <f t="shared" si="18"/>
        <v>0</v>
      </c>
      <c r="U100" s="10">
        <f t="shared" si="17"/>
        <v>0</v>
      </c>
      <c r="V100" s="10">
        <v>4</v>
      </c>
      <c r="W100" s="10">
        <v>5</v>
      </c>
      <c r="X100" s="10">
        <v>6.8</v>
      </c>
      <c r="Y100" s="10">
        <v>-0.8</v>
      </c>
      <c r="Z100" s="10">
        <v>2.4</v>
      </c>
      <c r="AA100" s="10">
        <v>23</v>
      </c>
      <c r="AB100" s="10">
        <v>4.8</v>
      </c>
      <c r="AC100" s="10">
        <v>1.6</v>
      </c>
      <c r="AD100" s="10">
        <v>16</v>
      </c>
      <c r="AE100" s="10">
        <v>1.8</v>
      </c>
      <c r="AF100" s="10" t="s">
        <v>155</v>
      </c>
      <c r="AG100" s="1">
        <f t="shared" si="19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156</v>
      </c>
      <c r="B101" s="10" t="s">
        <v>39</v>
      </c>
      <c r="C101" s="10">
        <v>29</v>
      </c>
      <c r="D101" s="10">
        <v>11</v>
      </c>
      <c r="E101" s="15">
        <v>4</v>
      </c>
      <c r="F101" s="10"/>
      <c r="G101" s="11">
        <v>0</v>
      </c>
      <c r="H101" s="10"/>
      <c r="I101" s="13" t="s">
        <v>74</v>
      </c>
      <c r="J101" s="13" t="s">
        <v>157</v>
      </c>
      <c r="K101" s="10">
        <v>82</v>
      </c>
      <c r="L101" s="10">
        <f t="shared" si="14"/>
        <v>-78</v>
      </c>
      <c r="M101" s="10"/>
      <c r="N101" s="10"/>
      <c r="O101" s="10">
        <v>0</v>
      </c>
      <c r="P101" s="10">
        <f t="shared" si="15"/>
        <v>0.8</v>
      </c>
      <c r="Q101" s="12"/>
      <c r="R101" s="5">
        <f t="shared" si="20"/>
        <v>0</v>
      </c>
      <c r="S101" s="21"/>
      <c r="T101" s="1">
        <f t="shared" si="18"/>
        <v>0</v>
      </c>
      <c r="U101" s="10">
        <f t="shared" si="17"/>
        <v>0</v>
      </c>
      <c r="V101" s="10">
        <v>3.6</v>
      </c>
      <c r="W101" s="10">
        <v>3.4</v>
      </c>
      <c r="X101" s="10">
        <v>8.8000000000000007</v>
      </c>
      <c r="Y101" s="10">
        <v>1</v>
      </c>
      <c r="Z101" s="10">
        <v>2.8</v>
      </c>
      <c r="AA101" s="10">
        <v>22.8</v>
      </c>
      <c r="AB101" s="10">
        <v>5.4</v>
      </c>
      <c r="AC101" s="10">
        <v>1.6</v>
      </c>
      <c r="AD101" s="10">
        <v>16</v>
      </c>
      <c r="AE101" s="10">
        <v>1.6</v>
      </c>
      <c r="AF101" s="10" t="s">
        <v>158</v>
      </c>
      <c r="AG101" s="1">
        <f t="shared" si="19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159</v>
      </c>
      <c r="B102" s="1" t="s">
        <v>39</v>
      </c>
      <c r="C102" s="1"/>
      <c r="D102" s="1">
        <v>290</v>
      </c>
      <c r="E102" s="1">
        <v>2</v>
      </c>
      <c r="F102" s="1">
        <v>140</v>
      </c>
      <c r="G102" s="7">
        <v>0.3</v>
      </c>
      <c r="H102" s="1">
        <v>45</v>
      </c>
      <c r="I102" s="1" t="s">
        <v>36</v>
      </c>
      <c r="J102" s="1"/>
      <c r="K102" s="1">
        <v>3</v>
      </c>
      <c r="L102" s="1">
        <f t="shared" ref="L102:L107" si="21">E102-K102</f>
        <v>-1</v>
      </c>
      <c r="M102" s="1"/>
      <c r="N102" s="1"/>
      <c r="O102" s="1">
        <v>0</v>
      </c>
      <c r="P102" s="1">
        <f t="shared" ref="P102:P107" si="22">E102/5</f>
        <v>0.4</v>
      </c>
      <c r="Q102" s="5"/>
      <c r="R102" s="5">
        <f t="shared" si="20"/>
        <v>0</v>
      </c>
      <c r="S102" s="21"/>
      <c r="T102" s="1">
        <f t="shared" si="18"/>
        <v>350</v>
      </c>
      <c r="U102" s="1">
        <f t="shared" ref="U102:U107" si="23">(F102+O102)/P102</f>
        <v>350</v>
      </c>
      <c r="V102" s="1">
        <v>0</v>
      </c>
      <c r="W102" s="1">
        <v>1.2</v>
      </c>
      <c r="X102" s="1">
        <v>10.4</v>
      </c>
      <c r="Y102" s="1">
        <v>0.6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 t="s">
        <v>37</v>
      </c>
      <c r="AG102" s="1">
        <f t="shared" si="19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9" t="s">
        <v>75</v>
      </c>
      <c r="B103" s="1" t="s">
        <v>39</v>
      </c>
      <c r="C103" s="1"/>
      <c r="D103" s="1">
        <v>90</v>
      </c>
      <c r="E103" s="15">
        <f>0+E34</f>
        <v>74</v>
      </c>
      <c r="F103" s="1">
        <v>88</v>
      </c>
      <c r="G103" s="7">
        <v>0.3</v>
      </c>
      <c r="H103" s="1">
        <v>62</v>
      </c>
      <c r="I103" s="9" t="s">
        <v>36</v>
      </c>
      <c r="J103" s="1"/>
      <c r="K103" s="1"/>
      <c r="L103" s="1">
        <f t="shared" si="21"/>
        <v>74</v>
      </c>
      <c r="M103" s="1"/>
      <c r="N103" s="1"/>
      <c r="O103" s="1"/>
      <c r="P103" s="1">
        <f t="shared" si="22"/>
        <v>14.8</v>
      </c>
      <c r="Q103" s="5">
        <f t="shared" ref="Q103" si="24">15*P103-O103-F103</f>
        <v>134</v>
      </c>
      <c r="R103" s="5">
        <v>165</v>
      </c>
      <c r="S103" s="21">
        <f>VLOOKUP(A103,[1]Sheet!$A:$R,18,0)</f>
        <v>200</v>
      </c>
      <c r="T103" s="1">
        <f t="shared" si="18"/>
        <v>17.094594594594593</v>
      </c>
      <c r="U103" s="1">
        <f t="shared" si="23"/>
        <v>5.9459459459459456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9" t="s">
        <v>160</v>
      </c>
      <c r="AG103" s="1">
        <f t="shared" si="19"/>
        <v>49.5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9" t="s">
        <v>154</v>
      </c>
      <c r="B104" s="1" t="s">
        <v>39</v>
      </c>
      <c r="C104" s="1"/>
      <c r="D104" s="1">
        <v>96</v>
      </c>
      <c r="E104" s="15">
        <f>0+E100</f>
        <v>-5</v>
      </c>
      <c r="F104" s="1">
        <v>95</v>
      </c>
      <c r="G104" s="7">
        <v>0.1</v>
      </c>
      <c r="H104" s="1">
        <v>45</v>
      </c>
      <c r="I104" s="9" t="s">
        <v>36</v>
      </c>
      <c r="J104" s="1"/>
      <c r="K104" s="1"/>
      <c r="L104" s="1">
        <f t="shared" si="21"/>
        <v>-5</v>
      </c>
      <c r="M104" s="1"/>
      <c r="N104" s="1"/>
      <c r="O104" s="1"/>
      <c r="P104" s="1">
        <f t="shared" si="22"/>
        <v>-1</v>
      </c>
      <c r="Q104" s="5"/>
      <c r="R104" s="5">
        <f t="shared" si="20"/>
        <v>0</v>
      </c>
      <c r="S104" s="21"/>
      <c r="T104" s="1">
        <f t="shared" si="18"/>
        <v>-95</v>
      </c>
      <c r="U104" s="1">
        <f t="shared" si="23"/>
        <v>-95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9" t="s">
        <v>161</v>
      </c>
      <c r="AG104" s="1">
        <f t="shared" si="19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9" t="s">
        <v>157</v>
      </c>
      <c r="B105" s="1" t="s">
        <v>39</v>
      </c>
      <c r="C105" s="1"/>
      <c r="D105" s="1">
        <v>48</v>
      </c>
      <c r="E105" s="15">
        <f>0+E101</f>
        <v>4</v>
      </c>
      <c r="F105" s="1">
        <v>41</v>
      </c>
      <c r="G105" s="7">
        <v>0.1</v>
      </c>
      <c r="H105" s="1">
        <v>45</v>
      </c>
      <c r="I105" s="9" t="s">
        <v>36</v>
      </c>
      <c r="J105" s="1"/>
      <c r="K105" s="1"/>
      <c r="L105" s="1">
        <f t="shared" si="21"/>
        <v>4</v>
      </c>
      <c r="M105" s="1"/>
      <c r="N105" s="1"/>
      <c r="O105" s="1"/>
      <c r="P105" s="1">
        <f t="shared" si="22"/>
        <v>0.8</v>
      </c>
      <c r="Q105" s="5"/>
      <c r="R105" s="5">
        <f t="shared" si="20"/>
        <v>0</v>
      </c>
      <c r="S105" s="21"/>
      <c r="T105" s="1">
        <f t="shared" si="18"/>
        <v>51.25</v>
      </c>
      <c r="U105" s="1">
        <f t="shared" si="23"/>
        <v>51.25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9" t="s">
        <v>162</v>
      </c>
      <c r="AG105" s="1">
        <f t="shared" si="19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163</v>
      </c>
      <c r="B106" s="10" t="s">
        <v>35</v>
      </c>
      <c r="C106" s="10"/>
      <c r="D106" s="10"/>
      <c r="E106" s="10"/>
      <c r="F106" s="10"/>
      <c r="G106" s="11">
        <v>0</v>
      </c>
      <c r="H106" s="10">
        <v>60</v>
      </c>
      <c r="I106" s="10" t="s">
        <v>36</v>
      </c>
      <c r="J106" s="10"/>
      <c r="K106" s="10"/>
      <c r="L106" s="10">
        <f t="shared" si="21"/>
        <v>0</v>
      </c>
      <c r="M106" s="10"/>
      <c r="N106" s="10"/>
      <c r="O106" s="10">
        <v>0</v>
      </c>
      <c r="P106" s="10">
        <f t="shared" si="22"/>
        <v>0</v>
      </c>
      <c r="Q106" s="12"/>
      <c r="R106" s="5">
        <f t="shared" si="20"/>
        <v>0</v>
      </c>
      <c r="S106" s="21"/>
      <c r="T106" s="1" t="e">
        <f t="shared" si="18"/>
        <v>#DIV/0!</v>
      </c>
      <c r="U106" s="10" t="e">
        <f t="shared" si="23"/>
        <v>#DIV/0!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 t="s">
        <v>116</v>
      </c>
      <c r="AG106" s="1">
        <f t="shared" si="19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0" t="s">
        <v>164</v>
      </c>
      <c r="B107" s="10" t="s">
        <v>35</v>
      </c>
      <c r="C107" s="10"/>
      <c r="D107" s="10"/>
      <c r="E107" s="10"/>
      <c r="F107" s="10"/>
      <c r="G107" s="11">
        <v>0</v>
      </c>
      <c r="H107" s="10">
        <v>60</v>
      </c>
      <c r="I107" s="10" t="s">
        <v>36</v>
      </c>
      <c r="J107" s="10"/>
      <c r="K107" s="10">
        <v>2.6</v>
      </c>
      <c r="L107" s="10">
        <f t="shared" si="21"/>
        <v>-2.6</v>
      </c>
      <c r="M107" s="10"/>
      <c r="N107" s="10"/>
      <c r="O107" s="10">
        <v>0</v>
      </c>
      <c r="P107" s="10">
        <f t="shared" si="22"/>
        <v>0</v>
      </c>
      <c r="Q107" s="12"/>
      <c r="R107" s="5">
        <f t="shared" si="20"/>
        <v>0</v>
      </c>
      <c r="S107" s="21"/>
      <c r="T107" s="1" t="e">
        <f t="shared" si="18"/>
        <v>#DIV/0!</v>
      </c>
      <c r="U107" s="10" t="e">
        <f t="shared" si="23"/>
        <v>#DIV/0!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 t="s">
        <v>116</v>
      </c>
      <c r="AG107" s="1">
        <f t="shared" si="19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8" t="s">
        <v>169</v>
      </c>
      <c r="B108" s="18" t="s">
        <v>35</v>
      </c>
      <c r="C108" s="18"/>
      <c r="D108" s="18"/>
      <c r="E108" s="18"/>
      <c r="F108" s="18"/>
      <c r="G108" s="19">
        <v>0</v>
      </c>
      <c r="H108" s="18"/>
      <c r="I108" s="18" t="s">
        <v>170</v>
      </c>
      <c r="J108" s="18"/>
      <c r="K108" s="18"/>
      <c r="L108" s="18"/>
      <c r="M108" s="18"/>
      <c r="N108" s="18"/>
      <c r="O108" s="18">
        <v>50</v>
      </c>
      <c r="P108" s="18">
        <f t="shared" ref="P108:P110" si="25">E108/5</f>
        <v>0</v>
      </c>
      <c r="Q108" s="20"/>
      <c r="R108" s="5">
        <f t="shared" si="20"/>
        <v>0</v>
      </c>
      <c r="S108" s="21">
        <f>VLOOKUP(A108,[1]Sheet!$A:$R,18,0)</f>
        <v>40</v>
      </c>
      <c r="T108" s="1" t="e">
        <f t="shared" si="18"/>
        <v>#DIV/0!</v>
      </c>
      <c r="U108" s="18" t="e">
        <f t="shared" ref="U108:U110" si="26">(F108+O108)/P108</f>
        <v>#DIV/0!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/>
      <c r="AG108" s="1">
        <f t="shared" si="19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8" t="s">
        <v>171</v>
      </c>
      <c r="B109" s="18" t="s">
        <v>35</v>
      </c>
      <c r="C109" s="18"/>
      <c r="D109" s="18"/>
      <c r="E109" s="18"/>
      <c r="F109" s="18"/>
      <c r="G109" s="19">
        <v>0</v>
      </c>
      <c r="H109" s="18"/>
      <c r="I109" s="18" t="s">
        <v>170</v>
      </c>
      <c r="J109" s="18"/>
      <c r="K109" s="18"/>
      <c r="L109" s="18"/>
      <c r="M109" s="18"/>
      <c r="N109" s="18"/>
      <c r="O109" s="18">
        <v>50</v>
      </c>
      <c r="P109" s="18">
        <f t="shared" si="25"/>
        <v>0</v>
      </c>
      <c r="Q109" s="20"/>
      <c r="R109" s="5">
        <f t="shared" si="20"/>
        <v>0</v>
      </c>
      <c r="S109" s="21">
        <f>VLOOKUP(A109,[1]Sheet!$A:$R,18,0)</f>
        <v>40</v>
      </c>
      <c r="T109" s="1" t="e">
        <f t="shared" si="18"/>
        <v>#DIV/0!</v>
      </c>
      <c r="U109" s="18" t="e">
        <f t="shared" si="26"/>
        <v>#DIV/0!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/>
      <c r="AG109" s="1">
        <f t="shared" si="19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8" t="s">
        <v>172</v>
      </c>
      <c r="B110" s="18" t="s">
        <v>39</v>
      </c>
      <c r="C110" s="18"/>
      <c r="D110" s="18"/>
      <c r="E110" s="18"/>
      <c r="F110" s="18"/>
      <c r="G110" s="19">
        <v>0</v>
      </c>
      <c r="H110" s="18"/>
      <c r="I110" s="18" t="s">
        <v>170</v>
      </c>
      <c r="J110" s="18"/>
      <c r="K110" s="18"/>
      <c r="L110" s="18"/>
      <c r="M110" s="18"/>
      <c r="N110" s="18"/>
      <c r="O110" s="18">
        <v>70</v>
      </c>
      <c r="P110" s="18">
        <f t="shared" si="25"/>
        <v>0</v>
      </c>
      <c r="Q110" s="20"/>
      <c r="R110" s="5">
        <f t="shared" si="20"/>
        <v>0</v>
      </c>
      <c r="S110" s="21">
        <f>VLOOKUP(A110,[1]Sheet!$A:$R,18,0)</f>
        <v>50</v>
      </c>
      <c r="T110" s="1" t="e">
        <f t="shared" si="18"/>
        <v>#DIV/0!</v>
      </c>
      <c r="U110" s="18" t="e">
        <f t="shared" si="26"/>
        <v>#DIV/0!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/>
      <c r="AG110" s="1">
        <f t="shared" si="19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G11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2026-10-12T10:34:04Z</dcterms:created>
  <dcterms:modified xsi:type="dcterms:W3CDTF">2026-10-14T10:45:57Z</dcterms:modified>
</cp:coreProperties>
</file>