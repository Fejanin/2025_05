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4,10 Баранова_Карлов_Кафонова ЛП САП 18,10\"/>
    </mc:Choice>
  </mc:AlternateContent>
  <xr:revisionPtr revIDLastSave="0" documentId="13_ncr:1_{8BE5DDEC-A317-4B74-B426-EACF45FD2A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</calcChain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<sst xmlns="http://schemas.openxmlformats.org/spreadsheetml/2006/main" count="724" uniqueCount="243">
  <si>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</si>
  <si>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</si>
  <si>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</si>
  <si>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</si>
  <si>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</si>
  <si>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</si>
  <si>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</si>
  <si>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</si>
  <si>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</si>
  <si>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</si>
  <si>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</si>
  <si>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</si>
  <si>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</si>
  <si>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</si>
  <si>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</si>
  <si>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</si>
  <si>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</si>
  <si>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</si>
  <si>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</si>
  <si>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</si>
  <si>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</si>
  <si>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</si>
  <si>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</si>
  <si>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</si>
  <si>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</si>
  <si>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</si>
  <si>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</si>
  <si>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</si>
  <si>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</si>
  <si>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</si>
  <si>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</si>
  <si>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</si>
  <si>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</si>
  <si>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</si>
  <si>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</si>
  <si>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</si>
  <si>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</si>
  <si>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</si>
  <si>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</si>
  <si>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</si>
  <si>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</si>
  <si>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</si>
  <si>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</si>
  <si>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</si>
  <si>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</si>
  <si>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</si>
  <si>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</si>
  <si>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</si>
  <si>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</si>
  <si>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</si>
  <si>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</si>
  <si>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</si>
  <si>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</si>
  <si>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</si>
  <si>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</si>
  <si>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</si>
  <si>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</si>
  <si>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</si>
  <si>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</si>
  <si>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</si>
  <si>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</si>
  <si>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</si>
  <si>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</si>
  <si>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</si>
  <si>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</si>
  <si>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</si>
  <si>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</si>
  <si>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</si>
  <si>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</si>
  <si>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</si>
  <si>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</si>
  <si>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</si>
  <si>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</si>
  <si>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</si>
  <si>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</si>
  <si>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</si>
  <si>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</si>
  <si>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</si>
  <si>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</si>
  <si>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</si>
  <si>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</si>
  <si>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</si>
  <si>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</si>
  <si>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</si>
  <si>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</si>
  <si>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</si>
  <si>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</si>
  <si>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</si>
  <si>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</si>
  <si>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</si>
  <si>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</si>
  <si>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</si>
  <si>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</si>
  <si>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</si>
  <si>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</si>
  <si>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</si>
  <si>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</si>
  <si>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</si>
  <si>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</si>
  <si>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</si>
  <si>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</si>
  <si>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</si>
  <si>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</si>
  <si>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</si>
  <si>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</si>
  <si>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</si>
  <si>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</si>
  <si>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</si>
  <si>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</si>
  <si>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</si>
  <si>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</si>
  <si>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</si>
  <si>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</si>
  <si>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</si>
  <si>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</si>
  <si>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</si>
  <si>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</si>
  <si>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</si>
  <si>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</si>
  <si>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</si>
  <si>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</si>
  <si>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</si>
  <si>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</si>
  <si>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</si>
  <si>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</si>
  <si>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</si>
  <si>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</si>
  <si>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</si>
  <si>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</si>
  <si>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</si>
  <si>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</si>
  <si>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</si>
  <si>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</si>
  <si>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</si>
  <si>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</si>
  <si>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</si>
  <si>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</si>
  <si>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</si>
  <si>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</si>
  <si>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</si>
  <si>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</si>
  <si>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</si>
  <si>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</si>
  <si>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</si>
  <si>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</si>
  <si>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</si>
  <si>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</si>
  <si>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</si>
  <si>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</si>
  <si>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</si>
  <si>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</si>
  <si>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</si>
  <si>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</si>
  <si>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</si>
  <si>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</si>
  <si>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</si>
  <si>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</si>
  <si>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</si>
  <si>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</si>
  <si>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</si>
  <si>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</si>
  <si>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</si>
  <si>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</si>
  <si>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</si>
  <si>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</si>
  <si>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</si>
  <si>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</si>
  <si>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</si>
  <si>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</si>
  <si>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</si>
  <si>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</si>
  <si>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</si>
  <si>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</si>
  <si>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</si>
  <si>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</si>
  <si>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</si>
  <si>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</si>
  <si>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</si>
  <si>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</si>
  <si>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</si>
  <si>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</si>
  <si>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</si>
  <si>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</si>
  <si>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</si>
  <si>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</si>
  <si>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</si>
  <si>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</si>
  <si>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</si>
  <si>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</si>
  <si>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</si>
  <si>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</si>
  <si>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</si>
  <si>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</si>
  <si>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</si>
  <si>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</si>
  <si>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</si>
  <si>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</si>
  <si>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</si>
  <si>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</si>
  <si>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</si>
  <si>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</si>
  <si>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</si>
  <si>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</si>
  <si>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</si>
  <si>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</si>
  <si>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</si>
  <si>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</si>
  <si>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</si>
  <si>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</si>
  <si>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</si>
  <si>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</si>
  <si>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</si>
  <si>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</si>
  <si>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</si>
  <si>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</si>
  <si>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</si>
  <si>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</si>
  <si>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</si>
  <si>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</si>
  <si>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</si>
  <si>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</si>
  <si>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</si>
  <si>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</si>
  <si>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</si>
  <si>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</si>
  <si>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</si>
  <si>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</si>
  <si>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</si>
  <si>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</si>
  <si>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</si>
  <si>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</si>
  <si>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</si>
  <si>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</si>
  <si>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</si>
  <si>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</si>
  <si>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</si>
  <si>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</si>
  <si>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</si>
  <si>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</si>
  <si>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</si>
  <si>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</si>
  <si>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</si>
  <si>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(опт Баранова+Назьмова+Кафанова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</si>
</sst>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5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7" fillId="9" borderId="8" xfId="0" applyFont="1" applyFill="1" applyBorder="1" applyAlignment="1">
      <alignment horizontal="center" vertical="center"/>
    </xf>
    <xf numFmtId="1" fontId="28" fillId="9" borderId="8" xfId="0" applyNumberFormat="1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center" vertical="center"/>
    </xf>
    <xf numFmtId="2" fontId="28" fillId="9" borderId="8" xfId="4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0" fillId="11" borderId="0" xfId="0" applyFont="1" applyFill="1"/>
    <xf numFmtId="1" fontId="30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1" fillId="11" borderId="4" xfId="0" applyNumberFormat="1" applyFont="1" applyFill="1" applyBorder="1" applyAlignment="1">
      <alignment horizontal="right"/>
    </xf>
    <xf numFmtId="2" fontId="31" fillId="11" borderId="19" xfId="0" applyNumberFormat="1" applyFont="1" applyFill="1" applyBorder="1" applyAlignment="1">
      <alignment horizontal="right"/>
    </xf>
    <xf numFmtId="0" fontId="31" fillId="11" borderId="19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 vertical="center"/>
    </xf>
    <xf numFmtId="0" fontId="30" fillId="13" borderId="0" xfId="0" applyFont="1" applyFill="1"/>
    <xf numFmtId="1" fontId="30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1" fillId="5" borderId="4" xfId="0" applyNumberFormat="1" applyFont="1" applyFill="1" applyBorder="1" applyAlignment="1">
      <alignment horizontal="right"/>
    </xf>
    <xf numFmtId="2" fontId="31" fillId="0" borderId="19" xfId="0" applyNumberFormat="1" applyFont="1" applyFill="1" applyBorder="1" applyAlignment="1">
      <alignment horizontal="right"/>
    </xf>
    <xf numFmtId="0" fontId="31" fillId="0" borderId="19" xfId="0" applyFont="1" applyFill="1" applyBorder="1" applyAlignment="1">
      <alignment horizontal="right"/>
    </xf>
    <xf numFmtId="0" fontId="31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0" fillId="11" borderId="8" xfId="0" applyNumberFormat="1" applyFont="1" applyFill="1" applyBorder="1"/>
    <xf numFmtId="0" fontId="31" fillId="11" borderId="16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/>
    </xf>
    <xf numFmtId="0" fontId="30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1" fillId="0" borderId="4" xfId="0" applyNumberFormat="1" applyFont="1" applyFill="1" applyBorder="1" applyAlignment="1">
      <alignment horizontal="right"/>
    </xf>
    <xf numFmtId="0" fontId="31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0" fillId="11" borderId="8" xfId="0" applyNumberFormat="1" applyFont="1" applyFill="1" applyBorder="1" applyAlignment="1">
      <alignment horizontal="right"/>
    </xf>
    <xf numFmtId="0" fontId="30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0" fillId="5" borderId="8" xfId="0" applyNumberFormat="1" applyFont="1" applyFill="1" applyBorder="1" applyAlignment="1">
      <alignment horizontal="right"/>
    </xf>
    <xf numFmtId="0" fontId="31" fillId="0" borderId="4" xfId="0" applyFont="1" applyFill="1" applyBorder="1" applyAlignment="1">
      <alignment horizontal="right"/>
    </xf>
    <xf numFmtId="2" fontId="31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0" zoomScaleNormal="80" workbookViewId="0">
      <pane ySplit="9" topLeftCell="A97" activePane="bottomLeft" state="frozen"/>
      <selection pane="bottomLeft" activeCell="J196" sqref="J19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5.5703125" style="3" customWidth="1"/>
    <col min="6" max="6" width="14.7109375" style="4" customWidth="1"/>
    <col min="7" max="7" width="11.5703125" style="4" customWidth="1"/>
    <col min="8" max="8" width="11.5703125" style="5" customWidth="1"/>
    <col min="9" max="9" width="14.28515625" style="5" customWidth="1"/>
    <col min="10" max="10" width="44.8554687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46313</v>
      </c>
      <c r="E3" s="7" t="s">
        <v>2</v>
      </c>
      <c r="F3" s="54">
        <f>D3+3</f>
        <v>46316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90</v>
      </c>
      <c r="F14" s="23">
        <v>1.35</v>
      </c>
      <c r="G14" s="23">
        <f t="shared" si="1"/>
        <v>90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25</v>
      </c>
      <c r="F15" s="23">
        <v>1.35</v>
      </c>
      <c r="G15" s="23">
        <f t="shared" si="1"/>
        <v>25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950</v>
      </c>
      <c r="F16" s="23">
        <v>1.35</v>
      </c>
      <c r="G16" s="23">
        <f t="shared" si="1"/>
        <v>950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135</v>
      </c>
      <c r="F17" s="23">
        <v>1.35</v>
      </c>
      <c r="G17" s="23">
        <f t="shared" si="1"/>
        <v>135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60</v>
      </c>
      <c r="F18" s="23">
        <v>1</v>
      </c>
      <c r="G18" s="23">
        <f t="shared" si="1"/>
        <v>60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15</v>
      </c>
      <c r="F29" s="23">
        <v>0.4</v>
      </c>
      <c r="G29" s="23">
        <f t="shared" si="4"/>
        <v>6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290</v>
      </c>
      <c r="F43" s="59">
        <v>2.1</v>
      </c>
      <c r="G43" s="23">
        <f t="shared" si="5"/>
        <v>290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200</v>
      </c>
      <c r="F44" s="59">
        <v>1.5</v>
      </c>
      <c r="G44" s="23">
        <f t="shared" si="5"/>
        <v>200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30</v>
      </c>
      <c r="F47" s="59">
        <v>1.5</v>
      </c>
      <c r="G47" s="23">
        <f t="shared" si="5"/>
        <v>30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10</v>
      </c>
      <c r="F57" s="59">
        <v>0.33</v>
      </c>
      <c r="G57" s="23">
        <f>E57*F57</f>
        <v>3.3000000000000003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40</v>
      </c>
      <c r="F66" s="23">
        <v>0.4</v>
      </c>
      <c r="G66" s="23">
        <f t="shared" si="6"/>
        <v>16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44</v>
      </c>
      <c r="F78" s="23">
        <v>1</v>
      </c>
      <c r="G78" s="23">
        <f t="shared" si="7"/>
        <v>44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15</v>
      </c>
      <c r="F81" s="23">
        <v>1</v>
      </c>
      <c r="G81" s="23">
        <f t="shared" si="7"/>
        <v>15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310</v>
      </c>
      <c r="F89" s="59">
        <v>0.81</v>
      </c>
      <c r="G89" s="23">
        <f t="shared" si="9"/>
        <v>310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160</v>
      </c>
      <c r="F91" s="59">
        <v>0.63</v>
      </c>
      <c r="G91" s="23">
        <f t="shared" ref="G91:G92" si="10">E91</f>
        <v>160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300</v>
      </c>
      <c r="F92" s="59">
        <v>0.7</v>
      </c>
      <c r="G92" s="23">
        <f t="shared" si="10"/>
        <v>300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30</v>
      </c>
      <c r="F97" s="23">
        <v>0.35</v>
      </c>
      <c r="G97" s="23">
        <f t="shared" si="11"/>
        <v>10.5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</v>
      </c>
      <c r="F98" s="23">
        <v>0.35</v>
      </c>
      <c r="G98" s="23">
        <f t="shared" si="11"/>
        <v>10.5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>
        <v>10</v>
      </c>
      <c r="F106" s="170">
        <v>0.31</v>
      </c>
      <c r="G106" s="23">
        <f t="shared" ref="G106:G107" si="12">E106*F106</f>
        <v>3.1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8</v>
      </c>
      <c r="F118" s="59">
        <v>0.48799999999999999</v>
      </c>
      <c r="G118" s="23">
        <f t="shared" si="13"/>
        <v>8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>
        <v>8</v>
      </c>
      <c r="F119" s="156">
        <v>0.5</v>
      </c>
      <c r="G119" s="157">
        <f>E119</f>
        <v>8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80</v>
      </c>
      <c r="F154" s="59">
        <v>1.35</v>
      </c>
      <c r="G154" s="23">
        <f t="shared" ref="G154:G157" si="17">E154</f>
        <v>80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10</v>
      </c>
      <c r="F159" s="59">
        <v>0.4</v>
      </c>
      <c r="G159" s="23">
        <f t="shared" si="18"/>
        <v>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customHeight="1" thickBot="1" x14ac:dyDescent="0.3">
      <c r="A176" s="149">
        <v>6929</v>
      </c>
      <c r="B176" s="169" t="s">
        <v>236</v>
      </c>
      <c r="C176" s="51" t="s">
        <v>22</v>
      </c>
      <c r="D176" s="52">
        <v>1001085476929</v>
      </c>
      <c r="E176" s="24">
        <v>8</v>
      </c>
      <c r="F176" s="170">
        <v>1.375</v>
      </c>
      <c r="G176" s="165">
        <f>E176</f>
        <v>8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2908</v>
      </c>
      <c r="F186" s="17"/>
      <c r="G186" s="17">
        <f>SUM(G11:G185)</f>
        <v>2816.4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2026-10-14T11:38:03Z</dcterms:modified>
</cp:coreProperties>
</file>