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25C91DFF-C778-4002-B7E3-F3D0D3F11B2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Sheet!$A$3:$AF$22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22" i="1" l="1"/>
  <c r="P21" i="1"/>
  <c r="S21" i="1" s="1"/>
  <c r="P20" i="1"/>
  <c r="P19" i="1"/>
  <c r="S19" i="1" s="1"/>
  <c r="P18" i="1"/>
  <c r="P17" i="1"/>
  <c r="S17" i="1" s="1"/>
  <c r="AF15" i="1"/>
  <c r="P7" i="1"/>
  <c r="S7" i="1" s="1"/>
  <c r="P8" i="1"/>
  <c r="S8" i="1" s="1"/>
  <c r="P9" i="1"/>
  <c r="Q9" i="1" s="1"/>
  <c r="S9" i="1" s="1"/>
  <c r="P10" i="1"/>
  <c r="Q10" i="1" s="1"/>
  <c r="S10" i="1" s="1"/>
  <c r="P11" i="1"/>
  <c r="Q11" i="1" s="1"/>
  <c r="S11" i="1" s="1"/>
  <c r="P12" i="1"/>
  <c r="Q12" i="1" s="1"/>
  <c r="S12" i="1" s="1"/>
  <c r="P13" i="1"/>
  <c r="Q13" i="1" s="1"/>
  <c r="S13" i="1" s="1"/>
  <c r="P14" i="1"/>
  <c r="Q14" i="1" s="1"/>
  <c r="S14" i="1" s="1"/>
  <c r="P15" i="1"/>
  <c r="S15" i="1" s="1"/>
  <c r="P16" i="1"/>
  <c r="Q16" i="1" s="1"/>
  <c r="S16" i="1" s="1"/>
  <c r="P6" i="1"/>
  <c r="Q6" i="1" s="1"/>
  <c r="S6" i="1" s="1"/>
  <c r="L16" i="1"/>
  <c r="L15" i="1"/>
  <c r="L14" i="1"/>
  <c r="L13" i="1"/>
  <c r="L12" i="1"/>
  <c r="L11" i="1"/>
  <c r="L10" i="1"/>
  <c r="L9" i="1"/>
  <c r="AF8" i="1"/>
  <c r="L8" i="1"/>
  <c r="AF7" i="1"/>
  <c r="L7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T22" i="1" l="1"/>
  <c r="S22" i="1"/>
  <c r="T20" i="1"/>
  <c r="S20" i="1"/>
  <c r="T18" i="1"/>
  <c r="S18" i="1"/>
  <c r="T21" i="1"/>
  <c r="T19" i="1"/>
  <c r="T17" i="1"/>
  <c r="T7" i="1"/>
  <c r="T8" i="1"/>
  <c r="T9" i="1"/>
  <c r="T10" i="1"/>
  <c r="T11" i="1"/>
  <c r="T12" i="1"/>
  <c r="T13" i="1"/>
  <c r="AF14" i="1"/>
  <c r="T14" i="1"/>
  <c r="T15" i="1"/>
  <c r="T16" i="1"/>
  <c r="T6" i="1"/>
  <c r="P5" i="1"/>
  <c r="Q5" i="1"/>
  <c r="L5" i="1"/>
  <c r="AF9" i="1" l="1"/>
  <c r="AF10" i="1"/>
  <c r="AF11" i="1"/>
  <c r="AF12" i="1"/>
  <c r="AF13" i="1"/>
  <c r="AF16" i="1"/>
  <c r="AF6" i="1"/>
  <c r="AF5" i="1" l="1"/>
</calcChain>
</file>

<file path=xl/sharedStrings.xml><?xml version="1.0" encoding="utf-8"?>
<sst xmlns="http://schemas.openxmlformats.org/spreadsheetml/2006/main" count="97" uniqueCount="57">
  <si>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</si>
  <si>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</si>
  <si>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</si>
  <si>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</si>
  <si>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</si>
  <si>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</si>
  <si>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</si>
  <si>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</si>
  <si>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</si>
  <si>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</si>
  <si>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</si>
  <si>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</si>
  <si>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</si>
  <si>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</si>
  <si>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</si>
  <si>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</si>
  <si>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</si>
  <si>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</si>
  <si>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</si>
  <si>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</si>
  <si>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</si>
  <si>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</si>
  <si>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</si>
  <si>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</si>
  <si>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</si>
  <si>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</si>
  <si>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</si>
  <si>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</si>
  <si>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</si>
  <si>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</si>
  <si>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</si>
  <si>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</si>
  <si>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</si>
  <si>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</si>
  <si>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</si>
  <si>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</si>
  <si>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</si>
  <si>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</si>
  <si>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184кг в уценку (29,09,26)</t>
  </si>
  <si>
    <t>5755 БЛИНЧ.КРУГЛЫЕ С ТВОРОГОМ 4,5кг зам. ПМ ОСТАНКИНО</t>
  </si>
  <si>
    <t>54кг в уценку (29,09,26)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</si>
  <si>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</si>
  <si>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</si>
  <si>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</si>
  <si>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</si>
  <si>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</si>
  <si>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</si>
  <si>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</si>
  <si>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</si>
  <si>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05,10,26 - завод не отгрузил / 76шт списано (12,09,26 инвенторизация)</t>
  </si>
  <si>
    <t>7085 ОСТАНКИНСКИЕ пельм пл. 0.7кг 10шт.зам.(7085)</t>
  </si>
  <si>
    <t>РАЗОВО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</si>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</sst>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" sqref="T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4" width="1" customWidth="1"/>
    <col min="15" max="17" width="7" customWidth="1"/>
    <col min="18" max="18" width="7" style="15" customWidth="1"/>
    <col min="19" max="20" width="5" customWidth="1"/>
    <col min="21" max="30" width="6" customWidth="1"/>
    <col min="31" max="31" width="48.8554687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457</v>
      </c>
      <c r="F5" s="4">
        <f>SUM(F6:F499)</f>
        <v>729.40800000000002</v>
      </c>
      <c r="G5" s="7"/>
      <c r="H5" s="1"/>
      <c r="I5" s="1"/>
      <c r="J5" s="1"/>
      <c r="K5" s="4">
        <f t="shared" ref="K5:R5" si="0">SUM(K6:K499)</f>
        <v>467</v>
      </c>
      <c r="L5" s="4">
        <f t="shared" si="0"/>
        <v>-10</v>
      </c>
      <c r="M5" s="4">
        <f t="shared" si="0"/>
        <v>0</v>
      </c>
      <c r="N5" s="4">
        <f t="shared" si="0"/>
        <v>0</v>
      </c>
      <c r="O5" s="4">
        <f t="shared" si="0"/>
        <v>455</v>
      </c>
      <c r="P5" s="4">
        <f t="shared" si="0"/>
        <v>91.4</v>
      </c>
      <c r="Q5" s="4">
        <f t="shared" si="0"/>
        <v>557.79999999999995</v>
      </c>
      <c r="R5" s="4">
        <f t="shared" si="0"/>
        <v>1190</v>
      </c>
      <c r="S5" s="1"/>
      <c r="T5" s="1"/>
      <c r="U5" s="4">
        <f t="shared" ref="U5:AD5" si="1">SUM(U6:U499)</f>
        <v>16.824400000000001</v>
      </c>
      <c r="V5" s="4">
        <f t="shared" si="1"/>
        <v>14.9</v>
      </c>
      <c r="W5" s="4">
        <f t="shared" si="1"/>
        <v>67.129599999999996</v>
      </c>
      <c r="X5" s="4">
        <f t="shared" si="1"/>
        <v>51.828400000000002</v>
      </c>
      <c r="Y5" s="4">
        <f t="shared" si="1"/>
        <v>21.6</v>
      </c>
      <c r="Z5" s="4">
        <f t="shared" si="1"/>
        <v>100.2</v>
      </c>
      <c r="AA5" s="4">
        <f t="shared" si="1"/>
        <v>57.6</v>
      </c>
      <c r="AB5" s="4">
        <f t="shared" si="1"/>
        <v>15.600000000000001</v>
      </c>
      <c r="AC5" s="4">
        <f t="shared" si="1"/>
        <v>19</v>
      </c>
      <c r="AD5" s="4">
        <f t="shared" si="1"/>
        <v>136.226</v>
      </c>
      <c r="AE5" s="1"/>
      <c r="AF5" s="4">
        <f>SUM(AF6:AF499)</f>
        <v>204.89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20</v>
      </c>
      <c r="D6" s="1"/>
      <c r="E6" s="1">
        <v>12</v>
      </c>
      <c r="F6" s="1">
        <v>8</v>
      </c>
      <c r="G6" s="7">
        <v>0.42</v>
      </c>
      <c r="H6" s="1">
        <v>120</v>
      </c>
      <c r="I6" s="1" t="s">
        <v>35</v>
      </c>
      <c r="J6" s="1"/>
      <c r="K6" s="1">
        <v>12</v>
      </c>
      <c r="L6" s="1">
        <f t="shared" ref="L6:L16" si="2">E6-K6</f>
        <v>0</v>
      </c>
      <c r="M6" s="1"/>
      <c r="N6" s="1"/>
      <c r="O6" s="1"/>
      <c r="P6" s="1">
        <f>E6/5</f>
        <v>2.4</v>
      </c>
      <c r="Q6" s="5">
        <f>15*P6-O6-F6</f>
        <v>28</v>
      </c>
      <c r="R6" s="13">
        <v>50</v>
      </c>
      <c r="S6" s="1">
        <f>(F6+O6+Q6)/P6</f>
        <v>15</v>
      </c>
      <c r="T6" s="1">
        <f>(F6+O6)/P6</f>
        <v>3.3333333333333335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2.2000000000000002</v>
      </c>
      <c r="AA6" s="1">
        <v>0.6</v>
      </c>
      <c r="AB6" s="1">
        <v>0.6</v>
      </c>
      <c r="AC6" s="1">
        <v>0</v>
      </c>
      <c r="AD6" s="1">
        <v>8.4</v>
      </c>
      <c r="AE6" s="9" t="s">
        <v>49</v>
      </c>
      <c r="AF6" s="1">
        <f t="shared" ref="AF6:AF16" si="3">G6*Q6</f>
        <v>11.76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-4.5919999999999996</v>
      </c>
      <c r="D7" s="1"/>
      <c r="E7" s="1"/>
      <c r="F7" s="1">
        <v>-4.5919999999999996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>
        <v>20</v>
      </c>
      <c r="P7" s="1">
        <f t="shared" ref="P7:P16" si="4">E7/5</f>
        <v>0</v>
      </c>
      <c r="Q7" s="5"/>
      <c r="R7" s="13">
        <v>50</v>
      </c>
      <c r="S7" s="1" t="e">
        <f t="shared" ref="S7:S16" si="5">(F7+O7+Q7)/P7</f>
        <v>#DIV/0!</v>
      </c>
      <c r="T7" s="1" t="e">
        <f t="shared" ref="T7:T16" si="6">(F7+O7)/P7</f>
        <v>#DIV/0!</v>
      </c>
      <c r="U7" s="1">
        <v>0.91839999999999988</v>
      </c>
      <c r="V7" s="1">
        <v>0</v>
      </c>
      <c r="W7" s="1">
        <v>0.91799999999999993</v>
      </c>
      <c r="X7" s="1">
        <v>0.91679999999999995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0.91880000000000006</v>
      </c>
      <c r="AE7" s="1" t="s">
        <v>38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37</v>
      </c>
      <c r="C8" s="1"/>
      <c r="D8" s="1"/>
      <c r="E8" s="1"/>
      <c r="F8" s="1"/>
      <c r="G8" s="7">
        <v>1</v>
      </c>
      <c r="H8" s="1">
        <v>120</v>
      </c>
      <c r="I8" s="1" t="s">
        <v>35</v>
      </c>
      <c r="J8" s="1"/>
      <c r="K8" s="1"/>
      <c r="L8" s="1">
        <f t="shared" si="2"/>
        <v>0</v>
      </c>
      <c r="M8" s="1"/>
      <c r="N8" s="1"/>
      <c r="O8" s="1">
        <v>15</v>
      </c>
      <c r="P8" s="1">
        <f t="shared" si="4"/>
        <v>0</v>
      </c>
      <c r="Q8" s="5"/>
      <c r="R8" s="13">
        <v>50</v>
      </c>
      <c r="S8" s="1" t="e">
        <f t="shared" si="5"/>
        <v>#DIV/0!</v>
      </c>
      <c r="T8" s="1" t="e">
        <f t="shared" si="6"/>
        <v>#DIV/0!</v>
      </c>
      <c r="U8" s="1">
        <v>0.90600000000000003</v>
      </c>
      <c r="V8" s="1">
        <v>0.9</v>
      </c>
      <c r="W8" s="1">
        <v>1.8116000000000001</v>
      </c>
      <c r="X8" s="1">
        <v>0.91159999999999997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0.9071999999999999</v>
      </c>
      <c r="AE8" s="1" t="s">
        <v>40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34</v>
      </c>
      <c r="C9" s="1">
        <v>20</v>
      </c>
      <c r="D9" s="1">
        <v>30</v>
      </c>
      <c r="E9" s="1">
        <v>20</v>
      </c>
      <c r="F9" s="1">
        <v>30</v>
      </c>
      <c r="G9" s="7">
        <v>0.42</v>
      </c>
      <c r="H9" s="1">
        <v>120</v>
      </c>
      <c r="I9" s="1" t="s">
        <v>35</v>
      </c>
      <c r="J9" s="1"/>
      <c r="K9" s="1">
        <v>20</v>
      </c>
      <c r="L9" s="1">
        <f t="shared" si="2"/>
        <v>0</v>
      </c>
      <c r="M9" s="1"/>
      <c r="N9" s="1"/>
      <c r="O9" s="1"/>
      <c r="P9" s="1">
        <f t="shared" si="4"/>
        <v>4</v>
      </c>
      <c r="Q9" s="5">
        <f t="shared" ref="Q9" si="7">15*P9-O9-F9</f>
        <v>30</v>
      </c>
      <c r="R9" s="13">
        <v>100</v>
      </c>
      <c r="S9" s="1">
        <f t="shared" si="5"/>
        <v>15</v>
      </c>
      <c r="T9" s="1">
        <f t="shared" si="6"/>
        <v>7.5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/>
      <c r="AF9" s="1">
        <f t="shared" si="3"/>
        <v>12.6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34</v>
      </c>
      <c r="C10" s="1">
        <v>201</v>
      </c>
      <c r="D10" s="1"/>
      <c r="E10" s="1">
        <v>74</v>
      </c>
      <c r="F10" s="1">
        <v>127</v>
      </c>
      <c r="G10" s="7">
        <v>0.3</v>
      </c>
      <c r="H10" s="1">
        <v>120</v>
      </c>
      <c r="I10" s="1" t="s">
        <v>35</v>
      </c>
      <c r="J10" s="1"/>
      <c r="K10" s="1">
        <v>71</v>
      </c>
      <c r="L10" s="1">
        <f t="shared" si="2"/>
        <v>3</v>
      </c>
      <c r="M10" s="1"/>
      <c r="N10" s="1"/>
      <c r="O10" s="1"/>
      <c r="P10" s="1">
        <f t="shared" si="4"/>
        <v>14.8</v>
      </c>
      <c r="Q10" s="5">
        <f>14*P10-O10-F10</f>
        <v>80.200000000000017</v>
      </c>
      <c r="R10" s="13">
        <v>150</v>
      </c>
      <c r="S10" s="1">
        <f t="shared" si="5"/>
        <v>14</v>
      </c>
      <c r="T10" s="1">
        <f t="shared" si="6"/>
        <v>8.5810810810810807</v>
      </c>
      <c r="U10" s="1">
        <v>1.8</v>
      </c>
      <c r="V10" s="1">
        <v>1.4</v>
      </c>
      <c r="W10" s="1">
        <v>13</v>
      </c>
      <c r="X10" s="1">
        <v>5.8</v>
      </c>
      <c r="Y10" s="1">
        <v>3.4</v>
      </c>
      <c r="Z10" s="1">
        <v>21.6</v>
      </c>
      <c r="AA10" s="1">
        <v>12.2</v>
      </c>
      <c r="AB10" s="1">
        <v>1.2</v>
      </c>
      <c r="AC10" s="1">
        <v>2.4</v>
      </c>
      <c r="AD10" s="1">
        <v>37.4</v>
      </c>
      <c r="AE10" s="1"/>
      <c r="AF10" s="1">
        <f t="shared" si="3"/>
        <v>24.060000000000006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122</v>
      </c>
      <c r="D11" s="1">
        <v>12</v>
      </c>
      <c r="E11" s="1">
        <v>57</v>
      </c>
      <c r="F11" s="1">
        <v>67</v>
      </c>
      <c r="G11" s="7">
        <v>0.3</v>
      </c>
      <c r="H11" s="1">
        <v>120</v>
      </c>
      <c r="I11" s="1" t="s">
        <v>35</v>
      </c>
      <c r="J11" s="1"/>
      <c r="K11" s="1">
        <v>51</v>
      </c>
      <c r="L11" s="1">
        <f t="shared" si="2"/>
        <v>6</v>
      </c>
      <c r="M11" s="1"/>
      <c r="N11" s="1"/>
      <c r="O11" s="1">
        <v>20</v>
      </c>
      <c r="P11" s="1">
        <f t="shared" si="4"/>
        <v>11.4</v>
      </c>
      <c r="Q11" s="5">
        <f t="shared" ref="Q11:Q16" si="8">14*P11-O11-F11</f>
        <v>72.599999999999994</v>
      </c>
      <c r="R11" s="13">
        <v>150</v>
      </c>
      <c r="S11" s="1">
        <f t="shared" si="5"/>
        <v>13.999999999999998</v>
      </c>
      <c r="T11" s="1">
        <f t="shared" si="6"/>
        <v>7.6315789473684212</v>
      </c>
      <c r="U11" s="1">
        <v>3.4</v>
      </c>
      <c r="V11" s="1">
        <v>1.2</v>
      </c>
      <c r="W11" s="1">
        <v>9.6</v>
      </c>
      <c r="X11" s="1">
        <v>3.4</v>
      </c>
      <c r="Y11" s="1">
        <v>3.6</v>
      </c>
      <c r="Z11" s="1">
        <v>9</v>
      </c>
      <c r="AA11" s="1">
        <v>5.8</v>
      </c>
      <c r="AB11" s="1">
        <v>1.4</v>
      </c>
      <c r="AC11" s="1">
        <v>4.4000000000000004</v>
      </c>
      <c r="AD11" s="1">
        <v>8.8000000000000007</v>
      </c>
      <c r="AE11" s="1"/>
      <c r="AF11" s="1">
        <f t="shared" si="3"/>
        <v>21.779999999999998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34</v>
      </c>
      <c r="C12" s="1">
        <v>234</v>
      </c>
      <c r="D12" s="1"/>
      <c r="E12" s="1">
        <v>84</v>
      </c>
      <c r="F12" s="1">
        <v>150</v>
      </c>
      <c r="G12" s="7">
        <v>0.35</v>
      </c>
      <c r="H12" s="1">
        <v>120</v>
      </c>
      <c r="I12" s="1" t="s">
        <v>35</v>
      </c>
      <c r="J12" s="1"/>
      <c r="K12" s="1">
        <v>82</v>
      </c>
      <c r="L12" s="1">
        <f t="shared" si="2"/>
        <v>2</v>
      </c>
      <c r="M12" s="1"/>
      <c r="N12" s="1"/>
      <c r="O12" s="1"/>
      <c r="P12" s="1">
        <f t="shared" si="4"/>
        <v>16.8</v>
      </c>
      <c r="Q12" s="5">
        <f t="shared" si="8"/>
        <v>85.200000000000017</v>
      </c>
      <c r="R12" s="13">
        <v>150</v>
      </c>
      <c r="S12" s="1">
        <f t="shared" si="5"/>
        <v>14</v>
      </c>
      <c r="T12" s="1">
        <f t="shared" si="6"/>
        <v>8.9285714285714288</v>
      </c>
      <c r="U12" s="1">
        <v>4</v>
      </c>
      <c r="V12" s="1">
        <v>3</v>
      </c>
      <c r="W12" s="1">
        <v>8.1999999999999993</v>
      </c>
      <c r="X12" s="1">
        <v>11</v>
      </c>
      <c r="Y12" s="1">
        <v>2.6</v>
      </c>
      <c r="Z12" s="1">
        <v>24.6</v>
      </c>
      <c r="AA12" s="1">
        <v>11.8</v>
      </c>
      <c r="AB12" s="1">
        <v>2.4</v>
      </c>
      <c r="AC12" s="1">
        <v>2.6</v>
      </c>
      <c r="AD12" s="1">
        <v>37.6</v>
      </c>
      <c r="AE12" s="1"/>
      <c r="AF12" s="1">
        <f t="shared" si="3"/>
        <v>29.820000000000004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34</v>
      </c>
      <c r="C13" s="1">
        <v>74</v>
      </c>
      <c r="D13" s="1">
        <v>12</v>
      </c>
      <c r="E13" s="1">
        <v>58</v>
      </c>
      <c r="F13" s="1">
        <v>19</v>
      </c>
      <c r="G13" s="7">
        <v>0.3</v>
      </c>
      <c r="H13" s="1">
        <v>120</v>
      </c>
      <c r="I13" s="1" t="s">
        <v>35</v>
      </c>
      <c r="J13" s="1"/>
      <c r="K13" s="1">
        <v>52</v>
      </c>
      <c r="L13" s="1">
        <f t="shared" si="2"/>
        <v>6</v>
      </c>
      <c r="M13" s="1"/>
      <c r="N13" s="1"/>
      <c r="O13" s="1"/>
      <c r="P13" s="1">
        <f t="shared" si="4"/>
        <v>11.6</v>
      </c>
      <c r="Q13" s="5">
        <f>12*P13-O13-F13</f>
        <v>120.19999999999999</v>
      </c>
      <c r="R13" s="13">
        <v>150</v>
      </c>
      <c r="S13" s="1">
        <f t="shared" si="5"/>
        <v>12</v>
      </c>
      <c r="T13" s="1">
        <f t="shared" si="6"/>
        <v>1.6379310344827587</v>
      </c>
      <c r="U13" s="1">
        <v>0.6</v>
      </c>
      <c r="V13" s="1">
        <v>1</v>
      </c>
      <c r="W13" s="1">
        <v>6</v>
      </c>
      <c r="X13" s="1">
        <v>4.8</v>
      </c>
      <c r="Y13" s="1">
        <v>3</v>
      </c>
      <c r="Z13" s="1">
        <v>6.8</v>
      </c>
      <c r="AA13" s="1">
        <v>5.8</v>
      </c>
      <c r="AB13" s="1">
        <v>3.2</v>
      </c>
      <c r="AC13" s="1">
        <v>3.8</v>
      </c>
      <c r="AD13" s="1">
        <v>0.2</v>
      </c>
      <c r="AE13" s="1"/>
      <c r="AF13" s="1">
        <f t="shared" si="3"/>
        <v>36.059999999999995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34</v>
      </c>
      <c r="C14" s="1">
        <v>246</v>
      </c>
      <c r="D14" s="1"/>
      <c r="E14" s="1">
        <v>87</v>
      </c>
      <c r="F14" s="1">
        <v>157</v>
      </c>
      <c r="G14" s="7">
        <v>0.35</v>
      </c>
      <c r="H14" s="1">
        <v>120</v>
      </c>
      <c r="I14" s="1" t="s">
        <v>35</v>
      </c>
      <c r="J14" s="1"/>
      <c r="K14" s="1">
        <v>79</v>
      </c>
      <c r="L14" s="1">
        <f t="shared" si="2"/>
        <v>8</v>
      </c>
      <c r="M14" s="1"/>
      <c r="N14" s="1"/>
      <c r="O14" s="1"/>
      <c r="P14" s="1">
        <f t="shared" si="4"/>
        <v>17.399999999999999</v>
      </c>
      <c r="Q14" s="5">
        <f t="shared" si="8"/>
        <v>86.599999999999966</v>
      </c>
      <c r="R14" s="13"/>
      <c r="S14" s="1">
        <f t="shared" si="5"/>
        <v>14</v>
      </c>
      <c r="T14" s="1">
        <f t="shared" si="6"/>
        <v>9.0229885057471275</v>
      </c>
      <c r="U14" s="1">
        <v>4.2</v>
      </c>
      <c r="V14" s="1">
        <v>2.4</v>
      </c>
      <c r="W14" s="1">
        <v>18.8</v>
      </c>
      <c r="X14" s="1">
        <v>13.4</v>
      </c>
      <c r="Y14" s="1">
        <v>5</v>
      </c>
      <c r="Z14" s="1">
        <v>29.2</v>
      </c>
      <c r="AA14" s="1">
        <v>19.600000000000001</v>
      </c>
      <c r="AB14" s="1">
        <v>3.8</v>
      </c>
      <c r="AC14" s="1">
        <v>4.4000000000000004</v>
      </c>
      <c r="AD14" s="1">
        <v>39.4</v>
      </c>
      <c r="AE14" s="1"/>
      <c r="AF14" s="1">
        <f t="shared" si="3"/>
        <v>30.309999999999985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34</v>
      </c>
      <c r="C15" s="1">
        <v>101</v>
      </c>
      <c r="D15" s="1">
        <v>20</v>
      </c>
      <c r="E15" s="1"/>
      <c r="F15" s="1">
        <v>99</v>
      </c>
      <c r="G15" s="7">
        <v>0.3</v>
      </c>
      <c r="H15" s="1">
        <v>120</v>
      </c>
      <c r="I15" s="1" t="s">
        <v>35</v>
      </c>
      <c r="J15" s="1"/>
      <c r="K15" s="1">
        <v>22</v>
      </c>
      <c r="L15" s="1">
        <f t="shared" si="2"/>
        <v>-22</v>
      </c>
      <c r="M15" s="1"/>
      <c r="N15" s="1"/>
      <c r="O15" s="1"/>
      <c r="P15" s="1">
        <f t="shared" si="4"/>
        <v>0</v>
      </c>
      <c r="Q15" s="5"/>
      <c r="R15" s="13"/>
      <c r="S15" s="1" t="e">
        <f t="shared" si="5"/>
        <v>#DIV/0!</v>
      </c>
      <c r="T15" s="1" t="e">
        <f t="shared" si="6"/>
        <v>#DIV/0!</v>
      </c>
      <c r="U15" s="1">
        <v>0</v>
      </c>
      <c r="V15" s="1">
        <v>0</v>
      </c>
      <c r="W15" s="1">
        <v>0.2</v>
      </c>
      <c r="X15" s="1">
        <v>0.2</v>
      </c>
      <c r="Y15" s="1">
        <v>0</v>
      </c>
      <c r="Z15" s="1">
        <v>1</v>
      </c>
      <c r="AA15" s="1">
        <v>0.6</v>
      </c>
      <c r="AB15" s="1">
        <v>0.6</v>
      </c>
      <c r="AC15" s="1">
        <v>0.4</v>
      </c>
      <c r="AD15" s="1">
        <v>1</v>
      </c>
      <c r="AE15" s="1"/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34</v>
      </c>
      <c r="C16" s="1">
        <v>92</v>
      </c>
      <c r="D16" s="1">
        <v>55</v>
      </c>
      <c r="E16" s="1">
        <v>65</v>
      </c>
      <c r="F16" s="1">
        <v>77</v>
      </c>
      <c r="G16" s="7">
        <v>0.7</v>
      </c>
      <c r="H16" s="1">
        <v>180</v>
      </c>
      <c r="I16" s="1" t="s">
        <v>35</v>
      </c>
      <c r="J16" s="1"/>
      <c r="K16" s="1">
        <v>78</v>
      </c>
      <c r="L16" s="1">
        <f t="shared" si="2"/>
        <v>-13</v>
      </c>
      <c r="M16" s="1"/>
      <c r="N16" s="1"/>
      <c r="O16" s="1">
        <v>50</v>
      </c>
      <c r="P16" s="1">
        <f t="shared" si="4"/>
        <v>13</v>
      </c>
      <c r="Q16" s="5">
        <f t="shared" si="8"/>
        <v>55</v>
      </c>
      <c r="R16" s="13">
        <v>100</v>
      </c>
      <c r="S16" s="1">
        <f t="shared" si="5"/>
        <v>14</v>
      </c>
      <c r="T16" s="1">
        <f t="shared" si="6"/>
        <v>9.7692307692307701</v>
      </c>
      <c r="U16" s="1">
        <v>1</v>
      </c>
      <c r="V16" s="1">
        <v>5</v>
      </c>
      <c r="W16" s="1">
        <v>8.6</v>
      </c>
      <c r="X16" s="1">
        <v>10.4</v>
      </c>
      <c r="Y16" s="1">
        <v>4</v>
      </c>
      <c r="Z16" s="1">
        <v>5.8</v>
      </c>
      <c r="AA16" s="1">
        <v>1.2</v>
      </c>
      <c r="AB16" s="1">
        <v>2.4</v>
      </c>
      <c r="AC16" s="1">
        <v>1</v>
      </c>
      <c r="AD16" s="1">
        <v>1.6</v>
      </c>
      <c r="AE16" s="1"/>
      <c r="AF16" s="1">
        <f t="shared" si="3"/>
        <v>38.5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0" t="s">
        <v>50</v>
      </c>
      <c r="B17" s="10" t="s">
        <v>34</v>
      </c>
      <c r="C17" s="10"/>
      <c r="D17" s="10"/>
      <c r="E17" s="10"/>
      <c r="F17" s="10"/>
      <c r="G17" s="11">
        <v>0.7</v>
      </c>
      <c r="H17" s="10"/>
      <c r="I17" s="10" t="s">
        <v>51</v>
      </c>
      <c r="J17" s="10"/>
      <c r="K17" s="10"/>
      <c r="L17" s="10"/>
      <c r="M17" s="10"/>
      <c r="N17" s="10"/>
      <c r="O17" s="10">
        <v>70</v>
      </c>
      <c r="P17" s="10">
        <f t="shared" ref="P17:P22" si="9">E17/5</f>
        <v>0</v>
      </c>
      <c r="Q17" s="12"/>
      <c r="R17" s="14">
        <v>40</v>
      </c>
      <c r="S17" s="10" t="e">
        <f t="shared" ref="S17:S22" si="10">(F17+O17+Q17)/P17</f>
        <v>#DIV/0!</v>
      </c>
      <c r="T17" s="10" t="e">
        <f t="shared" ref="T17:T22" si="11">(F17+O17)/P17</f>
        <v>#DIV/0!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/>
      <c r="AF17" s="10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0" t="s">
        <v>52</v>
      </c>
      <c r="B18" s="10" t="s">
        <v>34</v>
      </c>
      <c r="C18" s="10"/>
      <c r="D18" s="10"/>
      <c r="E18" s="10"/>
      <c r="F18" s="10"/>
      <c r="G18" s="11">
        <v>0.5</v>
      </c>
      <c r="H18" s="10"/>
      <c r="I18" s="10" t="s">
        <v>51</v>
      </c>
      <c r="J18" s="10"/>
      <c r="K18" s="10"/>
      <c r="L18" s="10"/>
      <c r="M18" s="10"/>
      <c r="N18" s="10"/>
      <c r="O18" s="10">
        <v>50</v>
      </c>
      <c r="P18" s="10">
        <f t="shared" si="9"/>
        <v>0</v>
      </c>
      <c r="Q18" s="12"/>
      <c r="R18" s="14">
        <v>40</v>
      </c>
      <c r="S18" s="10" t="e">
        <f t="shared" si="10"/>
        <v>#DIV/0!</v>
      </c>
      <c r="T18" s="10" t="e">
        <f t="shared" si="11"/>
        <v>#DIV/0!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/>
      <c r="AF18" s="10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0" t="s">
        <v>53</v>
      </c>
      <c r="B19" s="10" t="s">
        <v>34</v>
      </c>
      <c r="C19" s="10"/>
      <c r="D19" s="10"/>
      <c r="E19" s="10"/>
      <c r="F19" s="10"/>
      <c r="G19" s="11">
        <v>0.42</v>
      </c>
      <c r="H19" s="10"/>
      <c r="I19" s="10" t="s">
        <v>51</v>
      </c>
      <c r="J19" s="10"/>
      <c r="K19" s="10"/>
      <c r="L19" s="10"/>
      <c r="M19" s="10"/>
      <c r="N19" s="10"/>
      <c r="O19" s="10">
        <v>70</v>
      </c>
      <c r="P19" s="10">
        <f t="shared" si="9"/>
        <v>0</v>
      </c>
      <c r="Q19" s="12"/>
      <c r="R19" s="14">
        <v>40</v>
      </c>
      <c r="S19" s="10" t="e">
        <f t="shared" si="10"/>
        <v>#DIV/0!</v>
      </c>
      <c r="T19" s="10" t="e">
        <f t="shared" si="11"/>
        <v>#DIV/0!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/>
      <c r="AF19" s="10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0" t="s">
        <v>54</v>
      </c>
      <c r="B20" s="10" t="s">
        <v>34</v>
      </c>
      <c r="C20" s="10"/>
      <c r="D20" s="10"/>
      <c r="E20" s="10"/>
      <c r="F20" s="10"/>
      <c r="G20" s="11">
        <v>0.7</v>
      </c>
      <c r="H20" s="10"/>
      <c r="I20" s="10" t="s">
        <v>51</v>
      </c>
      <c r="J20" s="10"/>
      <c r="K20" s="10"/>
      <c r="L20" s="10"/>
      <c r="M20" s="10"/>
      <c r="N20" s="10"/>
      <c r="O20" s="10">
        <v>50</v>
      </c>
      <c r="P20" s="10">
        <f t="shared" si="9"/>
        <v>0</v>
      </c>
      <c r="Q20" s="12"/>
      <c r="R20" s="14">
        <v>40</v>
      </c>
      <c r="S20" s="10" t="e">
        <f t="shared" si="10"/>
        <v>#DIV/0!</v>
      </c>
      <c r="T20" s="10" t="e">
        <f t="shared" si="11"/>
        <v>#DIV/0!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/>
      <c r="AF20" s="10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0" t="s">
        <v>55</v>
      </c>
      <c r="B21" s="10" t="s">
        <v>37</v>
      </c>
      <c r="C21" s="10"/>
      <c r="D21" s="10"/>
      <c r="E21" s="10"/>
      <c r="F21" s="10"/>
      <c r="G21" s="11">
        <v>1</v>
      </c>
      <c r="H21" s="10"/>
      <c r="I21" s="10" t="s">
        <v>51</v>
      </c>
      <c r="J21" s="10"/>
      <c r="K21" s="10"/>
      <c r="L21" s="10"/>
      <c r="M21" s="10"/>
      <c r="N21" s="10"/>
      <c r="O21" s="10">
        <v>40</v>
      </c>
      <c r="P21" s="10">
        <f t="shared" si="9"/>
        <v>0</v>
      </c>
      <c r="Q21" s="12"/>
      <c r="R21" s="14">
        <v>40</v>
      </c>
      <c r="S21" s="10" t="e">
        <f t="shared" si="10"/>
        <v>#DIV/0!</v>
      </c>
      <c r="T21" s="10" t="e">
        <f t="shared" si="11"/>
        <v>#DIV/0!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/>
      <c r="AF21" s="10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0" t="s">
        <v>56</v>
      </c>
      <c r="B22" s="10" t="s">
        <v>34</v>
      </c>
      <c r="C22" s="10"/>
      <c r="D22" s="10"/>
      <c r="E22" s="10"/>
      <c r="F22" s="10"/>
      <c r="G22" s="11">
        <v>0.42</v>
      </c>
      <c r="H22" s="10"/>
      <c r="I22" s="10" t="s">
        <v>51</v>
      </c>
      <c r="J22" s="10"/>
      <c r="K22" s="10"/>
      <c r="L22" s="10"/>
      <c r="M22" s="10"/>
      <c r="N22" s="10"/>
      <c r="O22" s="10">
        <v>70</v>
      </c>
      <c r="P22" s="10">
        <f t="shared" si="9"/>
        <v>0</v>
      </c>
      <c r="Q22" s="12"/>
      <c r="R22" s="14">
        <v>40</v>
      </c>
      <c r="S22" s="10" t="e">
        <f t="shared" si="10"/>
        <v>#DIV/0!</v>
      </c>
      <c r="T22" s="10" t="e">
        <f t="shared" si="11"/>
        <v>#DIV/0!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/>
      <c r="AF22" s="10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22" xr:uid="{02862A24-9793-48AC-8BC2-9720436B269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2026-10-12T16:56:43Z</dcterms:created>
  <dcterms:modified xsi:type="dcterms:W3CDTF">2026-10-14T11:47:35Z</dcterms:modified>
</cp:coreProperties>
</file>