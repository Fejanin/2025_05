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1B1B2DA2-14B8-49D1-8604-ECC4E11AC32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Sheet!$A$3:$AM$55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T7" i="1" l="1"/>
  <c r="T8" i="1"/>
  <c r="T9" i="1"/>
  <c r="T10" i="1"/>
  <c r="T12" i="1"/>
  <c r="T13" i="1"/>
  <c r="T14" i="1"/>
  <c r="T18" i="1"/>
  <c r="T19" i="1"/>
  <c r="T22" i="1"/>
  <c r="T23" i="1"/>
  <c r="T25" i="1"/>
  <c r="T27" i="1"/>
  <c r="T28" i="1"/>
  <c r="T29" i="1"/>
  <c r="T31" i="1"/>
  <c r="T42" i="1"/>
  <c r="T46" i="1"/>
  <c r="T47" i="1"/>
  <c r="T51" i="1"/>
  <c r="T55" i="1"/>
  <c r="T5" i="1"/>
  <c r="W20" i="1" l="1"/>
  <c r="Q55" i="1" l="1"/>
  <c r="Q9" i="1"/>
  <c r="W21" i="1"/>
  <c r="AN21" i="1" s="1"/>
  <c r="AM42" i="1"/>
  <c r="W7" i="1"/>
  <c r="AN7" i="1" s="1"/>
  <c r="W8" i="1"/>
  <c r="AN8" i="1" s="1"/>
  <c r="W9" i="1"/>
  <c r="AN9" i="1" s="1"/>
  <c r="W10" i="1"/>
  <c r="AN10" i="1" s="1"/>
  <c r="W11" i="1"/>
  <c r="AN11" i="1" s="1"/>
  <c r="W12" i="1"/>
  <c r="AN12" i="1" s="1"/>
  <c r="W13" i="1"/>
  <c r="AN13" i="1" s="1"/>
  <c r="W14" i="1"/>
  <c r="AN14" i="1" s="1"/>
  <c r="W15" i="1"/>
  <c r="AN15" i="1" s="1"/>
  <c r="W16" i="1"/>
  <c r="AN16" i="1" s="1"/>
  <c r="W17" i="1"/>
  <c r="AN17" i="1" s="1"/>
  <c r="W18" i="1"/>
  <c r="AN18" i="1" s="1"/>
  <c r="W19" i="1"/>
  <c r="AN19" i="1" s="1"/>
  <c r="W22" i="1"/>
  <c r="AN22" i="1" s="1"/>
  <c r="W23" i="1"/>
  <c r="AN23" i="1" s="1"/>
  <c r="W24" i="1"/>
  <c r="AN24" i="1" s="1"/>
  <c r="W25" i="1"/>
  <c r="AN25" i="1" s="1"/>
  <c r="W26" i="1"/>
  <c r="AN26" i="1" s="1"/>
  <c r="W27" i="1"/>
  <c r="AN27" i="1" s="1"/>
  <c r="W28" i="1"/>
  <c r="AN28" i="1" s="1"/>
  <c r="W29" i="1"/>
  <c r="AN29" i="1" s="1"/>
  <c r="W30" i="1"/>
  <c r="AN30" i="1" s="1"/>
  <c r="W31" i="1"/>
  <c r="AN31" i="1" s="1"/>
  <c r="W32" i="1"/>
  <c r="AN32" i="1" s="1"/>
  <c r="W33" i="1"/>
  <c r="AN33" i="1" s="1"/>
  <c r="W34" i="1"/>
  <c r="AN34" i="1" s="1"/>
  <c r="W35" i="1"/>
  <c r="AN35" i="1" s="1"/>
  <c r="W36" i="1"/>
  <c r="AN36" i="1" s="1"/>
  <c r="W37" i="1"/>
  <c r="AN37" i="1" s="1"/>
  <c r="W38" i="1"/>
  <c r="AN38" i="1" s="1"/>
  <c r="W39" i="1"/>
  <c r="AN39" i="1" s="1"/>
  <c r="W40" i="1"/>
  <c r="AN40" i="1" s="1"/>
  <c r="W41" i="1"/>
  <c r="AN41" i="1" s="1"/>
  <c r="W42" i="1"/>
  <c r="AN42" i="1" s="1"/>
  <c r="W43" i="1"/>
  <c r="AN43" i="1" s="1"/>
  <c r="W44" i="1"/>
  <c r="AN44" i="1" s="1"/>
  <c r="W45" i="1"/>
  <c r="AN45" i="1" s="1"/>
  <c r="W46" i="1"/>
  <c r="AN46" i="1" s="1"/>
  <c r="W47" i="1"/>
  <c r="AN47" i="1" s="1"/>
  <c r="W48" i="1"/>
  <c r="AN48" i="1" s="1"/>
  <c r="W49" i="1"/>
  <c r="AN49" i="1" s="1"/>
  <c r="W50" i="1"/>
  <c r="AN50" i="1" s="1"/>
  <c r="W51" i="1"/>
  <c r="AN51" i="1" s="1"/>
  <c r="W52" i="1"/>
  <c r="AN52" i="1" s="1"/>
  <c r="W53" i="1"/>
  <c r="AN53" i="1" s="1"/>
  <c r="W54" i="1"/>
  <c r="AN54" i="1" s="1"/>
  <c r="W55" i="1"/>
  <c r="AN55" i="1" s="1"/>
  <c r="W6" i="1"/>
  <c r="AM9" i="1"/>
  <c r="AM10" i="1"/>
  <c r="V11" i="1"/>
  <c r="AM11" i="1" s="1"/>
  <c r="AM13" i="1"/>
  <c r="V15" i="1"/>
  <c r="AM15" i="1" s="1"/>
  <c r="V16" i="1"/>
  <c r="AM16" i="1" s="1"/>
  <c r="V17" i="1"/>
  <c r="AM17" i="1" s="1"/>
  <c r="V20" i="1"/>
  <c r="AM20" i="1" s="1"/>
  <c r="V21" i="1"/>
  <c r="AM21" i="1" s="1"/>
  <c r="V24" i="1"/>
  <c r="AM24" i="1" s="1"/>
  <c r="AM25" i="1"/>
  <c r="V26" i="1"/>
  <c r="AM26" i="1" s="1"/>
  <c r="AM28" i="1"/>
  <c r="V30" i="1"/>
  <c r="AM30" i="1" s="1"/>
  <c r="V32" i="1"/>
  <c r="AM32" i="1" s="1"/>
  <c r="V33" i="1"/>
  <c r="AM33" i="1" s="1"/>
  <c r="V34" i="1"/>
  <c r="AM34" i="1" s="1"/>
  <c r="V35" i="1"/>
  <c r="AM35" i="1" s="1"/>
  <c r="V36" i="1"/>
  <c r="AM36" i="1" s="1"/>
  <c r="V37" i="1"/>
  <c r="AM37" i="1" s="1"/>
  <c r="V38" i="1"/>
  <c r="AM38" i="1" s="1"/>
  <c r="V39" i="1"/>
  <c r="AM39" i="1" s="1"/>
  <c r="V40" i="1"/>
  <c r="AM40" i="1" s="1"/>
  <c r="V41" i="1"/>
  <c r="AM41" i="1" s="1"/>
  <c r="V43" i="1"/>
  <c r="AM43" i="1" s="1"/>
  <c r="V44" i="1"/>
  <c r="AM44" i="1" s="1"/>
  <c r="V45" i="1"/>
  <c r="AM45" i="1" s="1"/>
  <c r="V48" i="1"/>
  <c r="AM48" i="1" s="1"/>
  <c r="V49" i="1"/>
  <c r="AM49" i="1" s="1"/>
  <c r="V50" i="1"/>
  <c r="AM50" i="1" s="1"/>
  <c r="V52" i="1"/>
  <c r="AM52" i="1" s="1"/>
  <c r="V53" i="1"/>
  <c r="AM53" i="1" s="1"/>
  <c r="V54" i="1"/>
  <c r="AM54" i="1" s="1"/>
  <c r="AM55" i="1"/>
  <c r="V6" i="1"/>
  <c r="X9" i="1"/>
  <c r="X10" i="1"/>
  <c r="X12" i="1"/>
  <c r="X13" i="1"/>
  <c r="X14" i="1"/>
  <c r="X22" i="1"/>
  <c r="X25" i="1"/>
  <c r="X27" i="1"/>
  <c r="X28" i="1"/>
  <c r="X29" i="1"/>
  <c r="X42" i="1"/>
  <c r="X55" i="1"/>
  <c r="Y5" i="1"/>
  <c r="Z55" i="1" l="1"/>
  <c r="Z9" i="1"/>
  <c r="X5" i="1"/>
  <c r="AN6" i="1"/>
  <c r="AM6" i="1"/>
  <c r="AA55" i="1" l="1"/>
  <c r="L55" i="1"/>
  <c r="Q54" i="1"/>
  <c r="L54" i="1"/>
  <c r="Q53" i="1"/>
  <c r="L53" i="1"/>
  <c r="F52" i="1"/>
  <c r="E52" i="1"/>
  <c r="E5" i="1" s="1"/>
  <c r="Q51" i="1"/>
  <c r="AA51" i="1" s="1"/>
  <c r="L51" i="1"/>
  <c r="Q50" i="1"/>
  <c r="Z50" i="1" s="1"/>
  <c r="L50" i="1"/>
  <c r="Q49" i="1"/>
  <c r="L49" i="1"/>
  <c r="Q48" i="1"/>
  <c r="L48" i="1"/>
  <c r="Q47" i="1"/>
  <c r="AA47" i="1" s="1"/>
  <c r="L47" i="1"/>
  <c r="Q46" i="1"/>
  <c r="R46" i="1" s="1"/>
  <c r="L46" i="1"/>
  <c r="Q45" i="1"/>
  <c r="L45" i="1"/>
  <c r="Q44" i="1"/>
  <c r="L44" i="1"/>
  <c r="Q43" i="1"/>
  <c r="Z43" i="1" s="1"/>
  <c r="L43" i="1"/>
  <c r="Q42" i="1"/>
  <c r="Z42" i="1" s="1"/>
  <c r="L42" i="1"/>
  <c r="Q41" i="1"/>
  <c r="Z41" i="1" s="1"/>
  <c r="L41" i="1"/>
  <c r="Q40" i="1"/>
  <c r="Z40" i="1" s="1"/>
  <c r="L40" i="1"/>
  <c r="Q39" i="1"/>
  <c r="Z39" i="1" s="1"/>
  <c r="L39" i="1"/>
  <c r="Q38" i="1"/>
  <c r="L38" i="1"/>
  <c r="Q37" i="1"/>
  <c r="Z37" i="1" s="1"/>
  <c r="L37" i="1"/>
  <c r="Q36" i="1"/>
  <c r="Z36" i="1" s="1"/>
  <c r="L36" i="1"/>
  <c r="Q35" i="1"/>
  <c r="Z35" i="1" s="1"/>
  <c r="L35" i="1"/>
  <c r="Q34" i="1"/>
  <c r="Z34" i="1" s="1"/>
  <c r="L34" i="1"/>
  <c r="Q33" i="1"/>
  <c r="Z33" i="1" s="1"/>
  <c r="L33" i="1"/>
  <c r="Q32" i="1"/>
  <c r="L32" i="1"/>
  <c r="Q31" i="1"/>
  <c r="L31" i="1"/>
  <c r="Q30" i="1"/>
  <c r="L30" i="1"/>
  <c r="Q29" i="1"/>
  <c r="L29" i="1"/>
  <c r="Q28" i="1"/>
  <c r="Z28" i="1" s="1"/>
  <c r="L28" i="1"/>
  <c r="Q27" i="1"/>
  <c r="L27" i="1"/>
  <c r="Q26" i="1"/>
  <c r="L26" i="1"/>
  <c r="Q25" i="1"/>
  <c r="Z25" i="1" s="1"/>
  <c r="L25" i="1"/>
  <c r="Q24" i="1"/>
  <c r="Z24" i="1" s="1"/>
  <c r="L24" i="1"/>
  <c r="Q23" i="1"/>
  <c r="AA23" i="1" s="1"/>
  <c r="L23" i="1"/>
  <c r="Q22" i="1"/>
  <c r="L22" i="1"/>
  <c r="Q21" i="1"/>
  <c r="L21" i="1"/>
  <c r="Q20" i="1"/>
  <c r="L20" i="1"/>
  <c r="Q19" i="1"/>
  <c r="AA19" i="1" s="1"/>
  <c r="L19" i="1"/>
  <c r="Q18" i="1"/>
  <c r="AA18" i="1" s="1"/>
  <c r="L18" i="1"/>
  <c r="Q17" i="1"/>
  <c r="L17" i="1"/>
  <c r="Q16" i="1"/>
  <c r="L16" i="1"/>
  <c r="Q15" i="1"/>
  <c r="L15" i="1"/>
  <c r="Q14" i="1"/>
  <c r="L14" i="1"/>
  <c r="Q13" i="1"/>
  <c r="Z13" i="1" s="1"/>
  <c r="L13" i="1"/>
  <c r="Q12" i="1"/>
  <c r="L12" i="1"/>
  <c r="Q11" i="1"/>
  <c r="L11" i="1"/>
  <c r="Q10" i="1"/>
  <c r="L10" i="1"/>
  <c r="AA9" i="1"/>
  <c r="L9" i="1"/>
  <c r="Q8" i="1"/>
  <c r="R8" i="1" s="1"/>
  <c r="L8" i="1"/>
  <c r="Q7" i="1"/>
  <c r="L7" i="1"/>
  <c r="Q6" i="1"/>
  <c r="L6" i="1"/>
  <c r="AK5" i="1"/>
  <c r="AJ5" i="1"/>
  <c r="AI5" i="1"/>
  <c r="AH5" i="1"/>
  <c r="AG5" i="1"/>
  <c r="AF5" i="1"/>
  <c r="AE5" i="1"/>
  <c r="AD5" i="1"/>
  <c r="AC5" i="1"/>
  <c r="AB5" i="1"/>
  <c r="P5" i="1"/>
  <c r="O5" i="1"/>
  <c r="N5" i="1"/>
  <c r="M5" i="1"/>
  <c r="K5" i="1"/>
  <c r="AA6" i="1" l="1"/>
  <c r="Z6" i="1"/>
  <c r="AA10" i="1"/>
  <c r="Z10" i="1"/>
  <c r="AA11" i="1"/>
  <c r="Z11" i="1"/>
  <c r="R12" i="1"/>
  <c r="Z12" i="1"/>
  <c r="AA14" i="1"/>
  <c r="Z14" i="1"/>
  <c r="AA15" i="1"/>
  <c r="Z15" i="1"/>
  <c r="AA16" i="1"/>
  <c r="Z16" i="1"/>
  <c r="AA17" i="1"/>
  <c r="Z17" i="1"/>
  <c r="S20" i="1"/>
  <c r="Z20" i="1"/>
  <c r="AA21" i="1"/>
  <c r="Z21" i="1"/>
  <c r="AA22" i="1"/>
  <c r="Z22" i="1"/>
  <c r="AA26" i="1"/>
  <c r="Z26" i="1"/>
  <c r="R27" i="1"/>
  <c r="AM27" i="1" s="1"/>
  <c r="Z27" i="1"/>
  <c r="R29" i="1"/>
  <c r="Z29" i="1"/>
  <c r="AA30" i="1"/>
  <c r="Z30" i="1"/>
  <c r="AA32" i="1"/>
  <c r="Z32" i="1"/>
  <c r="AA38" i="1"/>
  <c r="Z38" i="1"/>
  <c r="AA44" i="1"/>
  <c r="Z44" i="1"/>
  <c r="AA45" i="1"/>
  <c r="Z45" i="1"/>
  <c r="AA48" i="1"/>
  <c r="Z48" i="1"/>
  <c r="AA49" i="1"/>
  <c r="Z49" i="1"/>
  <c r="F5" i="1"/>
  <c r="Z52" i="1"/>
  <c r="AA53" i="1"/>
  <c r="Z53" i="1"/>
  <c r="AA54" i="1"/>
  <c r="Z54" i="1"/>
  <c r="V8" i="1"/>
  <c r="AM12" i="1"/>
  <c r="AN20" i="1"/>
  <c r="W5" i="1"/>
  <c r="AM29" i="1"/>
  <c r="V46" i="1"/>
  <c r="AN5" i="1"/>
  <c r="S5" i="1"/>
  <c r="R51" i="1"/>
  <c r="V51" i="1" s="1"/>
  <c r="R23" i="1"/>
  <c r="V23" i="1" s="1"/>
  <c r="R7" i="1"/>
  <c r="V7" i="1" s="1"/>
  <c r="Z7" i="1" s="1"/>
  <c r="AA41" i="1"/>
  <c r="AA50" i="1"/>
  <c r="R22" i="1"/>
  <c r="AM22" i="1" s="1"/>
  <c r="AA37" i="1"/>
  <c r="R14" i="1"/>
  <c r="AM14" i="1" s="1"/>
  <c r="AA46" i="1"/>
  <c r="R18" i="1"/>
  <c r="V18" i="1" s="1"/>
  <c r="AA13" i="1"/>
  <c r="AA25" i="1"/>
  <c r="R19" i="1"/>
  <c r="V19" i="1" s="1"/>
  <c r="AA27" i="1"/>
  <c r="R47" i="1"/>
  <c r="V47" i="1" s="1"/>
  <c r="R31" i="1"/>
  <c r="V31" i="1" s="1"/>
  <c r="AA33" i="1"/>
  <c r="AA7" i="1"/>
  <c r="AA35" i="1"/>
  <c r="AA31" i="1"/>
  <c r="AA43" i="1"/>
  <c r="AA39" i="1"/>
  <c r="AA29" i="1"/>
  <c r="L52" i="1"/>
  <c r="L5" i="1" s="1"/>
  <c r="Q52" i="1"/>
  <c r="AA42" i="1"/>
  <c r="AA20" i="1"/>
  <c r="AA28" i="1"/>
  <c r="AA36" i="1"/>
  <c r="AA40" i="1"/>
  <c r="AA12" i="1"/>
  <c r="AA24" i="1"/>
  <c r="AA34" i="1"/>
  <c r="AA8" i="1"/>
  <c r="AM31" i="1" l="1"/>
  <c r="Z31" i="1"/>
  <c r="AM18" i="1"/>
  <c r="Z18" i="1"/>
  <c r="AM23" i="1"/>
  <c r="Z23" i="1"/>
  <c r="AM46" i="1"/>
  <c r="Z46" i="1"/>
  <c r="AM47" i="1"/>
  <c r="Z47" i="1"/>
  <c r="AM19" i="1"/>
  <c r="Z19" i="1"/>
  <c r="AM51" i="1"/>
  <c r="Z51" i="1"/>
  <c r="AM8" i="1"/>
  <c r="Z8" i="1"/>
  <c r="AM7" i="1"/>
  <c r="V5" i="1"/>
  <c r="Q5" i="1"/>
  <c r="AA52" i="1"/>
  <c r="R5" i="1"/>
  <c r="AM5" i="1" l="1"/>
</calcChain>
</file>

<file path=xl/sharedStrings.xml><?xml version="1.0" encoding="utf-8"?>
<sst xmlns="http://schemas.openxmlformats.org/spreadsheetml/2006/main" count="248" uniqueCount="117">
  <si>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</si>
  <si>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</si>
  <si>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</si>
  <si>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</si>
  <si>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</si>
  <si>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</si>
  <si>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</si>
  <si>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</si>
  <si>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</si>
  <si>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</si>
  <si>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</si>
  <si>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</si>
  <si>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</si>
  <si>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</si>
  <si>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</si>
  <si>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</si>
  <si>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</si>
  <si>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</si>
  <si>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</si>
  <si>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</si>
  <si>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</si>
  <si>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</si>
  <si>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26,10,</t>
  </si>
  <si>
    <t>02,11,масло</t>
  </si>
  <si>
    <t>27,10,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</si>
  <si>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</si>
  <si>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</si>
  <si>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</si>
  <si>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</si>
  <si>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</si>
  <si>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</si>
  <si>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</si>
  <si>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</si>
  <si>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</si>
  <si>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</si>
  <si>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</si>
  <si>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</si>
  <si>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</si>
  <si>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</si>
  <si>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</si>
  <si>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</si>
  <si>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</si>
  <si>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</si>
  <si>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</si>
  <si>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</si>
  <si>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</si>
  <si>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</si>
  <si>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</si>
  <si>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</si>
  <si>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</si>
  <si>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</si>
  <si>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</si>
  <si>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</si>
  <si>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37шт списано (30,09,26)</t>
  </si>
  <si>
    <t>Масло "Папа может" 82,5% 180гр  Останкино</t>
  </si>
  <si>
    <t>Масло сливочное 72,5 % 180 гр.(10 шт) СЛАВЯНА  Останкино</t>
  </si>
  <si>
    <t>2800шт потребность от одного клиента (Божок / 15,10,26) / 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</si>
  <si>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</si>
  <si>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</si>
  <si>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</si>
  <si>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</si>
  <si>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</si>
  <si>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</si>
  <si>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</si>
  <si>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</si>
  <si>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</si>
  <si>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8кг списано (30,09,26)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</si>
  <si>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</si>
  <si>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</si>
  <si>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</si>
  <si>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</si>
  <si>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</si>
  <si>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</si>
  <si>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</si>
  <si>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</si>
  <si>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</si>
  <si>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</si>
  <si>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</si>
  <si>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</si>
  <si>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</si>
  <si>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</si>
  <si>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</si>
  <si>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</si>
  <si>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нужно увеличить продажи / не стабильные продажи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</si>
  <si>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</si>
  <si>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</si>
  <si>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</si>
  <si>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</si>
  <si>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</si>
  <si>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</si>
  <si>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</si>
  <si>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</si>
  <si>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</si>
  <si>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</si>
  <si>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</si>
  <si>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не стабильные продажи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</si>
  <si>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</si>
  <si>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</si>
  <si>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</si>
  <si>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</si>
  <si>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243кг разовая продажа (15,10,26)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</si>
  <si>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9шт списано (19,09,26)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</si>
  <si>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72шт списано (19,09,26)</t>
    </r>
  </si>
  <si>
    <t>нужно увеличить продажи / 60шт списано (22,09,26) / 56шт списано (19,09,26)</t>
  </si>
  <si>
    <t>нужно увеличить продажи / 121 шт списана (29,08,26 - пересорт)</t>
  </si>
  <si>
    <t>нужно увеличить продажи / 34шт списано (22,09,26) / 19шт списано (19,09,26)</t>
  </si>
  <si>
    <t>нужно увеличить продажи</t>
  </si>
  <si>
    <t>масло</t>
  </si>
  <si>
    <t>09,11,</t>
  </si>
  <si>
    <t>ТК</t>
  </si>
  <si>
    <t>Титенок</t>
  </si>
  <si>
    <t>в ноябре будет дефицит (не созрел на заводе - Симбирева) / 152кг разовая продажа (15,10,26)</t>
  </si>
  <si>
    <t>заказ</t>
  </si>
  <si>
    <t>02,11,</t>
  </si>
  <si>
    <t>итого1</t>
  </si>
  <si>
    <t>итого</t>
  </si>
  <si>
    <t>09,11,масло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</si>
</sst>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0" borderId="1" xfId="1" applyNumberFormat="1" applyFont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  <xf numFmtId="164" fontId="7" fillId="2" borderId="1" xfId="1" applyNumberFormat="1" applyFont="1" applyFill="1"/>
    <xf numFmtId="164" fontId="1" fillId="8" borderId="2" xfId="1" applyNumberFormat="1" applyFill="1" applyBorder="1"/>
    <xf numFmtId="164" fontId="9" fillId="0" borderId="1" xfId="1" applyNumberFormat="1" applyFont="1"/>
    <xf numFmtId="164" fontId="9" fillId="3" borderId="1" xfId="1" applyNumberFormat="1" applyFont="1" applyFill="1"/>
    <xf numFmtId="164" fontId="9" fillId="0" borderId="2" xfId="1" applyNumberFormat="1" applyFont="1" applyBorder="1"/>
    <xf numFmtId="0" fontId="8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27,10,26%20&#1073;&#1088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R1">
            <v>18</v>
          </cell>
          <cell r="S1">
            <v>23</v>
          </cell>
        </row>
        <row r="2">
          <cell r="S2" t="str">
            <v>09,11,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расчет</v>
          </cell>
        </row>
        <row r="4">
          <cell r="O4" t="str">
            <v>26,10,</v>
          </cell>
          <cell r="P4" t="str">
            <v>02,11,масло</v>
          </cell>
          <cell r="Q4" t="str">
            <v>27,10,</v>
          </cell>
          <cell r="S4" t="str">
            <v>масло</v>
          </cell>
          <cell r="U4" t="str">
            <v>масло</v>
          </cell>
        </row>
        <row r="5">
          <cell r="E5">
            <v>3930.1869999999999</v>
          </cell>
          <cell r="F5">
            <v>8349.9200000000019</v>
          </cell>
          <cell r="K5">
            <v>4174.8999999999996</v>
          </cell>
          <cell r="L5">
            <v>-244.71299999999999</v>
          </cell>
          <cell r="M5">
            <v>0</v>
          </cell>
          <cell r="N5">
            <v>0</v>
          </cell>
          <cell r="O5">
            <v>7498</v>
          </cell>
          <cell r="P5">
            <v>1900</v>
          </cell>
          <cell r="Q5">
            <v>786.03740000000005</v>
          </cell>
          <cell r="R5">
            <v>1273.4202</v>
          </cell>
          <cell r="S5">
            <v>476.40000000000009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19</v>
          </cell>
          <cell r="D6">
            <v>2</v>
          </cell>
          <cell r="F6">
            <v>17</v>
          </cell>
          <cell r="G6">
            <v>5.5E-2</v>
          </cell>
          <cell r="H6">
            <v>120</v>
          </cell>
          <cell r="L6">
            <v>0</v>
          </cell>
          <cell r="Q6">
            <v>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38</v>
          </cell>
          <cell r="E7">
            <v>30</v>
          </cell>
          <cell r="F7">
            <v>1</v>
          </cell>
          <cell r="G7">
            <v>0.1</v>
          </cell>
          <cell r="H7">
            <v>120</v>
          </cell>
          <cell r="K7">
            <v>30</v>
          </cell>
          <cell r="L7">
            <v>0</v>
          </cell>
          <cell r="Q7">
            <v>6</v>
          </cell>
          <cell r="R7">
            <v>59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28</v>
          </cell>
          <cell r="D8">
            <v>4</v>
          </cell>
          <cell r="E8">
            <v>11</v>
          </cell>
          <cell r="F8">
            <v>15</v>
          </cell>
          <cell r="G8">
            <v>0.1</v>
          </cell>
          <cell r="H8">
            <v>120</v>
          </cell>
          <cell r="K8">
            <v>11</v>
          </cell>
          <cell r="L8">
            <v>0</v>
          </cell>
          <cell r="Q8">
            <v>2.2000000000000002</v>
          </cell>
          <cell r="R8">
            <v>22.400000000000006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52.081000000000003</v>
          </cell>
          <cell r="D9">
            <v>191.78200000000001</v>
          </cell>
          <cell r="E9">
            <v>64.697999999999993</v>
          </cell>
          <cell r="F9">
            <v>-4.5999999999999999E-2</v>
          </cell>
          <cell r="G9">
            <v>1</v>
          </cell>
          <cell r="H9">
            <v>120</v>
          </cell>
          <cell r="I9" t="str">
            <v>ТЗ 14дн+1нд доставка</v>
          </cell>
          <cell r="K9">
            <v>68.3</v>
          </cell>
          <cell r="L9">
            <v>-3.6020000000000039</v>
          </cell>
          <cell r="O9">
            <v>400</v>
          </cell>
          <cell r="Q9">
            <v>12.939599999999999</v>
          </cell>
          <cell r="T9" t="str">
            <v xml:space="preserve">800 потребность команды </v>
          </cell>
        </row>
        <row r="10">
          <cell r="A10" t="str">
            <v>4931  Сыр полутвердый "Купеческий" с ароматом топленого молока, с м.д.ж. 50% ОСТАНКИНО</v>
          </cell>
          <cell r="B10" t="str">
            <v>кг</v>
          </cell>
          <cell r="C10">
            <v>133.87799999999999</v>
          </cell>
          <cell r="D10">
            <v>142.75800000000001</v>
          </cell>
          <cell r="E10">
            <v>29.564</v>
          </cell>
          <cell r="F10">
            <v>95.266000000000005</v>
          </cell>
          <cell r="G10">
            <v>1</v>
          </cell>
          <cell r="H10">
            <v>180</v>
          </cell>
          <cell r="I10" t="str">
            <v>ТЗ 14дн+1нд доставка</v>
          </cell>
          <cell r="K10">
            <v>31.6</v>
          </cell>
          <cell r="L10">
            <v>-2.0360000000000014</v>
          </cell>
          <cell r="O10">
            <v>33</v>
          </cell>
          <cell r="Q10">
            <v>5.9127999999999998</v>
          </cell>
          <cell r="T10" t="str">
            <v xml:space="preserve">150 потребность команды </v>
          </cell>
        </row>
        <row r="11">
          <cell r="A11" t="str">
            <v>6948249 Майонезный соус провансаль 824,5гр деликатес.с массовой долей жирн.25% Коровино Останкино</v>
          </cell>
          <cell r="B11" t="str">
            <v>шт</v>
          </cell>
          <cell r="C11">
            <v>142</v>
          </cell>
          <cell r="D11">
            <v>48</v>
          </cell>
          <cell r="E11">
            <v>11</v>
          </cell>
          <cell r="F11">
            <v>127</v>
          </cell>
          <cell r="G11">
            <v>0.82450000000000001</v>
          </cell>
          <cell r="H11">
            <v>180</v>
          </cell>
          <cell r="I11" t="str">
            <v>ТЗ 14дн+1нд доставка</v>
          </cell>
          <cell r="K11">
            <v>11</v>
          </cell>
          <cell r="L11">
            <v>0</v>
          </cell>
          <cell r="Q11">
            <v>2.2000000000000002</v>
          </cell>
        </row>
        <row r="12">
          <cell r="A12" t="str">
            <v>6948256 Майонез провансаль классич.оливковый Папа может 372гр с массовой долей жирн. 67% Останкино</v>
          </cell>
          <cell r="B12" t="str">
            <v>шт</v>
          </cell>
          <cell r="C12">
            <v>276</v>
          </cell>
          <cell r="D12">
            <v>48</v>
          </cell>
          <cell r="E12">
            <v>129</v>
          </cell>
          <cell r="F12">
            <v>131</v>
          </cell>
          <cell r="G12">
            <v>0.372</v>
          </cell>
          <cell r="H12">
            <v>180</v>
          </cell>
          <cell r="I12" t="str">
            <v>ТЗ 14дн+1нд доставка</v>
          </cell>
          <cell r="K12">
            <v>130</v>
          </cell>
          <cell r="L12">
            <v>-1</v>
          </cell>
          <cell r="O12">
            <v>300</v>
          </cell>
          <cell r="Q12">
            <v>25.8</v>
          </cell>
          <cell r="R12">
            <v>33.400000000000034</v>
          </cell>
          <cell r="T12" t="str">
            <v>300 большие сроки + стоят задачи</v>
          </cell>
        </row>
        <row r="13">
          <cell r="A13" t="str">
            <v>6948263 Майонез провансаль классич.оливковый Папа может 744гр с массовой долей жирн. 67% Останкино</v>
          </cell>
          <cell r="B13" t="str">
            <v>шт</v>
          </cell>
          <cell r="C13">
            <v>113</v>
          </cell>
          <cell r="D13">
            <v>76</v>
          </cell>
          <cell r="E13">
            <v>111</v>
          </cell>
          <cell r="F13">
            <v>64</v>
          </cell>
          <cell r="G13">
            <v>0.74399999999999999</v>
          </cell>
          <cell r="H13">
            <v>180</v>
          </cell>
          <cell r="I13" t="str">
            <v>ТЗ 14дн+1нд доставка</v>
          </cell>
          <cell r="K13">
            <v>111</v>
          </cell>
          <cell r="L13">
            <v>0</v>
          </cell>
          <cell r="O13">
            <v>504</v>
          </cell>
          <cell r="Q13">
            <v>22.2</v>
          </cell>
          <cell r="T13" t="str">
            <v>400 большие сроки + стоят задачи</v>
          </cell>
        </row>
        <row r="14">
          <cell r="A14" t="str">
            <v>6948270 Майонез провансаль классич.Папа может 372гр с массовой долей жирн. 67% Останкино</v>
          </cell>
          <cell r="B14" t="str">
            <v>шт</v>
          </cell>
          <cell r="C14">
            <v>123</v>
          </cell>
          <cell r="D14">
            <v>97</v>
          </cell>
          <cell r="E14">
            <v>182</v>
          </cell>
          <cell r="G14">
            <v>0.372</v>
          </cell>
          <cell r="H14">
            <v>180</v>
          </cell>
          <cell r="I14" t="str">
            <v>ТЗ 14дн+1нд доставка</v>
          </cell>
          <cell r="K14">
            <v>203</v>
          </cell>
          <cell r="L14">
            <v>-21</v>
          </cell>
          <cell r="O14">
            <v>600</v>
          </cell>
          <cell r="Q14">
            <v>36.4</v>
          </cell>
          <cell r="R14">
            <v>55.199999999999932</v>
          </cell>
          <cell r="T14" t="str">
            <v>400 большие сроки + стоят задачи</v>
          </cell>
        </row>
        <row r="15">
          <cell r="A15" t="str">
            <v>6948287 Майонез провансаль классич.Папа может 744гр с массовой долей жирн. 67% Останкино</v>
          </cell>
          <cell r="B15" t="str">
            <v>шт</v>
          </cell>
          <cell r="C15">
            <v>6</v>
          </cell>
          <cell r="D15">
            <v>677</v>
          </cell>
          <cell r="E15">
            <v>90</v>
          </cell>
          <cell r="F15">
            <v>489</v>
          </cell>
          <cell r="G15">
            <v>0.74399999999999999</v>
          </cell>
          <cell r="H15">
            <v>180</v>
          </cell>
          <cell r="I15" t="str">
            <v>ТЗ 14дн+1нд доставка</v>
          </cell>
          <cell r="K15">
            <v>186</v>
          </cell>
          <cell r="L15">
            <v>-96</v>
          </cell>
          <cell r="O15">
            <v>600</v>
          </cell>
          <cell r="Q15">
            <v>18</v>
          </cell>
        </row>
        <row r="16">
          <cell r="A16" t="str">
            <v>9988421 Творожный Сыр 60 % С маринованными огурчиками и укропом  Останкино</v>
          </cell>
          <cell r="B16" t="str">
            <v>шт</v>
          </cell>
          <cell r="C16">
            <v>37</v>
          </cell>
          <cell r="D16">
            <v>5</v>
          </cell>
          <cell r="E16">
            <v>4</v>
          </cell>
          <cell r="F16">
            <v>26</v>
          </cell>
          <cell r="G16">
            <v>0.14000000000000001</v>
          </cell>
          <cell r="H16">
            <v>180</v>
          </cell>
          <cell r="K16">
            <v>8</v>
          </cell>
          <cell r="L16">
            <v>-4</v>
          </cell>
          <cell r="Q16">
            <v>0.8</v>
          </cell>
        </row>
        <row r="17">
          <cell r="A17" t="str">
            <v>9988438 Плавленый Сыр 45% "С ветчиной" СТМ"ПапаМожет" 180гр  Останкино</v>
          </cell>
          <cell r="B17" t="str">
            <v>шт</v>
          </cell>
          <cell r="C17">
            <v>57</v>
          </cell>
          <cell r="D17">
            <v>119</v>
          </cell>
          <cell r="E17">
            <v>63</v>
          </cell>
          <cell r="F17">
            <v>87</v>
          </cell>
          <cell r="G17">
            <v>0.18</v>
          </cell>
          <cell r="H17">
            <v>270</v>
          </cell>
          <cell r="I17" t="str">
            <v>ТЗ 14дн+1нд доставка</v>
          </cell>
          <cell r="K17">
            <v>63</v>
          </cell>
          <cell r="L17">
            <v>0</v>
          </cell>
          <cell r="O17">
            <v>192</v>
          </cell>
          <cell r="Q17">
            <v>12.6</v>
          </cell>
        </row>
        <row r="18">
          <cell r="A18" t="str">
            <v>9988445 Плавленый Сыр 45%"С грибами" СТМ"ПапаМожет" 180 гр  Останкино</v>
          </cell>
          <cell r="B18" t="str">
            <v>шт</v>
          </cell>
          <cell r="C18">
            <v>138</v>
          </cell>
          <cell r="D18">
            <v>142</v>
          </cell>
          <cell r="E18">
            <v>56</v>
          </cell>
          <cell r="F18">
            <v>172</v>
          </cell>
          <cell r="G18">
            <v>0.18</v>
          </cell>
          <cell r="H18">
            <v>270</v>
          </cell>
          <cell r="I18" t="str">
            <v>ТЗ 14дн+1нд доставка</v>
          </cell>
          <cell r="K18">
            <v>56</v>
          </cell>
          <cell r="L18">
            <v>0</v>
          </cell>
          <cell r="Q18">
            <v>11.2</v>
          </cell>
          <cell r="R18">
            <v>29.599999999999994</v>
          </cell>
        </row>
        <row r="19">
          <cell r="A19" t="str">
            <v>Cыр Перлини со вкусом Васаби 40% 100гр (8шт)  Останкино</v>
          </cell>
          <cell r="B19" t="str">
            <v>шт</v>
          </cell>
          <cell r="C19">
            <v>39</v>
          </cell>
          <cell r="D19">
            <v>16</v>
          </cell>
          <cell r="E19">
            <v>14</v>
          </cell>
          <cell r="F19">
            <v>28</v>
          </cell>
          <cell r="G19">
            <v>0.1</v>
          </cell>
          <cell r="H19">
            <v>60</v>
          </cell>
          <cell r="K19">
            <v>14</v>
          </cell>
          <cell r="L19">
            <v>0</v>
          </cell>
          <cell r="Q19">
            <v>2.8</v>
          </cell>
          <cell r="R19">
            <v>22.4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1391</v>
          </cell>
          <cell r="D20">
            <v>1583</v>
          </cell>
          <cell r="E20">
            <v>614</v>
          </cell>
          <cell r="F20">
            <v>1348</v>
          </cell>
          <cell r="G20">
            <v>0.18</v>
          </cell>
          <cell r="H20">
            <v>180</v>
          </cell>
          <cell r="I20" t="str">
            <v>ТЗ 14дн+1нд доставка</v>
          </cell>
          <cell r="K20">
            <v>614</v>
          </cell>
          <cell r="L20">
            <v>0</v>
          </cell>
          <cell r="O20">
            <v>100</v>
          </cell>
          <cell r="P20">
            <v>900</v>
          </cell>
          <cell r="Q20">
            <v>122.8</v>
          </cell>
          <cell r="S20">
            <v>476.40000000000009</v>
          </cell>
          <cell r="U20">
            <v>1000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1125</v>
          </cell>
          <cell r="D21">
            <v>1091</v>
          </cell>
          <cell r="E21">
            <v>571</v>
          </cell>
          <cell r="F21">
            <v>1171</v>
          </cell>
          <cell r="G21">
            <v>0.18</v>
          </cell>
          <cell r="H21">
            <v>180</v>
          </cell>
          <cell r="I21" t="str">
            <v>ТЗ 14дн+1нд доставка</v>
          </cell>
          <cell r="K21">
            <v>571</v>
          </cell>
          <cell r="L21">
            <v>0</v>
          </cell>
          <cell r="O21">
            <v>980</v>
          </cell>
          <cell r="P21">
            <v>1000</v>
          </cell>
          <cell r="Q21">
            <v>114.2</v>
          </cell>
          <cell r="U21">
            <v>1000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14</v>
          </cell>
          <cell r="D22">
            <v>14</v>
          </cell>
          <cell r="E22">
            <v>8</v>
          </cell>
          <cell r="F22">
            <v>12</v>
          </cell>
          <cell r="G22">
            <v>0.4</v>
          </cell>
          <cell r="H22">
            <v>270</v>
          </cell>
          <cell r="I22" t="str">
            <v>ТЗ 14дн+1нд доставка</v>
          </cell>
          <cell r="K22">
            <v>8</v>
          </cell>
          <cell r="L22">
            <v>0</v>
          </cell>
          <cell r="O22">
            <v>8</v>
          </cell>
          <cell r="Q22">
            <v>1.6</v>
          </cell>
          <cell r="R22">
            <v>8.8000000000000007</v>
          </cell>
          <cell r="T22">
            <v>30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72</v>
          </cell>
          <cell r="E23">
            <v>42</v>
          </cell>
          <cell r="F23">
            <v>29</v>
          </cell>
          <cell r="G23">
            <v>0.4</v>
          </cell>
          <cell r="H23">
            <v>270</v>
          </cell>
          <cell r="I23" t="str">
            <v>ТЗ 14дн+1нд доставка</v>
          </cell>
          <cell r="K23">
            <v>43</v>
          </cell>
          <cell r="L23">
            <v>-1</v>
          </cell>
          <cell r="Q23">
            <v>8.4</v>
          </cell>
          <cell r="R23">
            <v>80.2</v>
          </cell>
        </row>
        <row r="24">
          <cell r="A24" t="str">
            <v>Плавленый сыр "Шоколадный" 30% 180гр Папа Может Останкино</v>
          </cell>
          <cell r="B24" t="str">
            <v>шт</v>
          </cell>
          <cell r="C24">
            <v>101</v>
          </cell>
          <cell r="D24">
            <v>16</v>
          </cell>
          <cell r="E24">
            <v>16</v>
          </cell>
          <cell r="F24">
            <v>84</v>
          </cell>
          <cell r="G24">
            <v>0.18</v>
          </cell>
          <cell r="H24">
            <v>270</v>
          </cell>
          <cell r="I24" t="str">
            <v>ТЗ 14дн+1нд доставка</v>
          </cell>
          <cell r="K24">
            <v>17</v>
          </cell>
          <cell r="L24">
            <v>-1</v>
          </cell>
          <cell r="Q24">
            <v>3.2</v>
          </cell>
        </row>
        <row r="25">
          <cell r="A25" t="str">
            <v>Продукт По-Росийски Классический с ЗМЖ 50% 200г Коровино Останкино</v>
          </cell>
          <cell r="B25" t="str">
            <v>шт</v>
          </cell>
          <cell r="C25">
            <v>41</v>
          </cell>
          <cell r="E25">
            <v>14</v>
          </cell>
          <cell r="F25">
            <v>27</v>
          </cell>
          <cell r="G25">
            <v>0.2</v>
          </cell>
          <cell r="H25">
            <v>120</v>
          </cell>
          <cell r="K25">
            <v>14</v>
          </cell>
          <cell r="L25">
            <v>0</v>
          </cell>
          <cell r="O25">
            <v>36</v>
          </cell>
          <cell r="Q25">
            <v>2.8</v>
          </cell>
          <cell r="T25">
            <v>20</v>
          </cell>
        </row>
        <row r="26">
          <cell r="A26" t="str">
            <v>Продукт По-Росийски Классический с ЗМЖ 50% ВЕС Коровино Останкино</v>
          </cell>
          <cell r="B26" t="str">
            <v>кг</v>
          </cell>
          <cell r="G26">
            <v>0</v>
          </cell>
          <cell r="H26">
            <v>180</v>
          </cell>
          <cell r="I26" t="str">
            <v>нет потребности</v>
          </cell>
          <cell r="L26">
            <v>0</v>
          </cell>
          <cell r="Q26">
            <v>0</v>
          </cell>
        </row>
        <row r="27">
          <cell r="A27" t="str">
            <v>Продукт белково-жировой Сметанковый 50% ВЕС Коровино Останкино</v>
          </cell>
          <cell r="B27" t="str">
            <v>кг</v>
          </cell>
          <cell r="C27">
            <v>39.005000000000003</v>
          </cell>
          <cell r="D27">
            <v>2.0499999999999998</v>
          </cell>
          <cell r="E27">
            <v>16.754999999999999</v>
          </cell>
          <cell r="F27">
            <v>24.3</v>
          </cell>
          <cell r="G27">
            <v>1</v>
          </cell>
          <cell r="H27">
            <v>180</v>
          </cell>
          <cell r="I27" t="str">
            <v>ТЗ 14дн+1нд доставка</v>
          </cell>
          <cell r="K27">
            <v>17</v>
          </cell>
          <cell r="L27">
            <v>-0.24500000000000099</v>
          </cell>
          <cell r="Q27">
            <v>3.351</v>
          </cell>
          <cell r="R27">
            <v>32.667000000000002</v>
          </cell>
          <cell r="T27">
            <v>200</v>
          </cell>
        </row>
        <row r="28">
          <cell r="A28" t="str">
            <v>Сыр "Пармезан" 40% кусок 180 гр  ОСТАНКИНО</v>
          </cell>
          <cell r="B28" t="str">
            <v>шт</v>
          </cell>
          <cell r="C28">
            <v>73</v>
          </cell>
          <cell r="D28">
            <v>51</v>
          </cell>
          <cell r="E28">
            <v>41</v>
          </cell>
          <cell r="F28">
            <v>74</v>
          </cell>
          <cell r="G28">
            <v>0.18</v>
          </cell>
          <cell r="H28">
            <v>150</v>
          </cell>
          <cell r="I28" t="str">
            <v>ТЗ 14дн+1нд доставка</v>
          </cell>
          <cell r="K28">
            <v>41</v>
          </cell>
          <cell r="L28">
            <v>0</v>
          </cell>
          <cell r="O28">
            <v>198</v>
          </cell>
          <cell r="Q28">
            <v>8.1999999999999993</v>
          </cell>
          <cell r="T28">
            <v>100</v>
          </cell>
        </row>
        <row r="29">
          <cell r="A29" t="str">
            <v>Сыр Боккончини копченый 40% 100 гр.  ОСТАНКИНО</v>
          </cell>
          <cell r="B29" t="str">
            <v>шт</v>
          </cell>
          <cell r="C29">
            <v>120</v>
          </cell>
          <cell r="D29">
            <v>61</v>
          </cell>
          <cell r="E29">
            <v>31</v>
          </cell>
          <cell r="F29">
            <v>105</v>
          </cell>
          <cell r="G29">
            <v>0.1</v>
          </cell>
          <cell r="H29">
            <v>90</v>
          </cell>
          <cell r="K29">
            <v>32</v>
          </cell>
          <cell r="L29">
            <v>-1</v>
          </cell>
          <cell r="Q29">
            <v>6.2</v>
          </cell>
          <cell r="R29">
            <v>6.6000000000000085</v>
          </cell>
          <cell r="T29">
            <v>50</v>
          </cell>
        </row>
        <row r="30">
          <cell r="A30" t="str">
            <v>Сыр Косичка сырная 45% 100г/8шт Папа Может Останкино</v>
          </cell>
          <cell r="B30" t="str">
            <v>шт</v>
          </cell>
          <cell r="C30">
            <v>127</v>
          </cell>
          <cell r="D30">
            <v>101</v>
          </cell>
          <cell r="E30">
            <v>8</v>
          </cell>
          <cell r="F30">
            <v>79</v>
          </cell>
          <cell r="G30">
            <v>0.1</v>
          </cell>
          <cell r="H30">
            <v>60</v>
          </cell>
          <cell r="K30">
            <v>77</v>
          </cell>
          <cell r="L30">
            <v>-69</v>
          </cell>
          <cell r="O30">
            <v>496</v>
          </cell>
          <cell r="Q30">
            <v>1.6</v>
          </cell>
        </row>
        <row r="31">
          <cell r="A31" t="str">
            <v>Сыр Косичка сырная копченая 43% 100г/8шт Папа Может Останкино</v>
          </cell>
          <cell r="B31" t="str">
            <v>шт</v>
          </cell>
          <cell r="C31">
            <v>254</v>
          </cell>
          <cell r="D31">
            <v>178</v>
          </cell>
          <cell r="E31">
            <v>87</v>
          </cell>
          <cell r="F31">
            <v>198</v>
          </cell>
          <cell r="G31">
            <v>0.1</v>
          </cell>
          <cell r="H31">
            <v>90</v>
          </cell>
          <cell r="K31">
            <v>83</v>
          </cell>
          <cell r="L31">
            <v>4</v>
          </cell>
          <cell r="O31">
            <v>96</v>
          </cell>
          <cell r="Q31">
            <v>17.399999999999999</v>
          </cell>
          <cell r="R31">
            <v>19.199999999999989</v>
          </cell>
        </row>
        <row r="32">
          <cell r="A32" t="str">
            <v>Сыр ПАПА МОЖЕТ "Гауда Голд" 45 % 180 гр (10шт) Останкино</v>
          </cell>
          <cell r="B32" t="str">
            <v>шт</v>
          </cell>
          <cell r="C32">
            <v>86</v>
          </cell>
          <cell r="D32">
            <v>605</v>
          </cell>
          <cell r="E32">
            <v>101</v>
          </cell>
          <cell r="F32">
            <v>466</v>
          </cell>
          <cell r="G32">
            <v>0.18</v>
          </cell>
          <cell r="H32">
            <v>150</v>
          </cell>
          <cell r="I32" t="str">
            <v>ТЗ 14дн+1нд доставка</v>
          </cell>
          <cell r="K32">
            <v>120</v>
          </cell>
          <cell r="L32">
            <v>-19</v>
          </cell>
          <cell r="O32">
            <v>100</v>
          </cell>
          <cell r="Q32">
            <v>20.2</v>
          </cell>
        </row>
        <row r="33">
          <cell r="A33" t="str">
            <v>Сыр ПАПА МОЖЕТ "Голландский традиционный" 45% 180 гр (10шт)  Останкино</v>
          </cell>
          <cell r="B33" t="str">
            <v>шт</v>
          </cell>
          <cell r="C33">
            <v>510</v>
          </cell>
          <cell r="D33">
            <v>511</v>
          </cell>
          <cell r="E33">
            <v>214</v>
          </cell>
          <cell r="F33">
            <v>735</v>
          </cell>
          <cell r="G33">
            <v>0.18</v>
          </cell>
          <cell r="H33">
            <v>150</v>
          </cell>
          <cell r="I33" t="str">
            <v>ТЗ 14дн+1нд доставка</v>
          </cell>
          <cell r="K33">
            <v>214</v>
          </cell>
          <cell r="L33">
            <v>0</v>
          </cell>
          <cell r="O33">
            <v>100</v>
          </cell>
          <cell r="Q33">
            <v>42.8</v>
          </cell>
        </row>
        <row r="34">
          <cell r="A34" t="str">
            <v>Сыр ПАПА МОЖЕТ "Министерский" 180 г фасованный массовая  Останкино</v>
          </cell>
          <cell r="B34" t="str">
            <v>шт</v>
          </cell>
          <cell r="C34">
            <v>125</v>
          </cell>
          <cell r="D34">
            <v>265</v>
          </cell>
          <cell r="E34">
            <v>39</v>
          </cell>
          <cell r="F34">
            <v>290</v>
          </cell>
          <cell r="G34">
            <v>0.18</v>
          </cell>
          <cell r="H34">
            <v>150</v>
          </cell>
          <cell r="I34" t="str">
            <v>ТЗ 14дн+1нд доставка</v>
          </cell>
          <cell r="K34">
            <v>39</v>
          </cell>
          <cell r="L34">
            <v>0</v>
          </cell>
          <cell r="O34">
            <v>100</v>
          </cell>
          <cell r="Q34">
            <v>7.8</v>
          </cell>
        </row>
        <row r="35">
          <cell r="A35" t="str">
            <v>Сыр ПАПА МОЖЕТ "Папин завтрак"  45% 180 г  Останкино</v>
          </cell>
          <cell r="B35" t="str">
            <v>шт</v>
          </cell>
          <cell r="C35">
            <v>67</v>
          </cell>
          <cell r="D35">
            <v>205</v>
          </cell>
          <cell r="E35">
            <v>50</v>
          </cell>
          <cell r="F35">
            <v>206</v>
          </cell>
          <cell r="G35">
            <v>0.18</v>
          </cell>
          <cell r="H35">
            <v>150</v>
          </cell>
          <cell r="I35" t="str">
            <v>ТЗ 14дн+1нд доставка</v>
          </cell>
          <cell r="K35">
            <v>60</v>
          </cell>
          <cell r="L35">
            <v>-10</v>
          </cell>
          <cell r="O35">
            <v>200</v>
          </cell>
          <cell r="Q35">
            <v>10</v>
          </cell>
        </row>
        <row r="36">
          <cell r="A36" t="str">
            <v>Сыр ПАПА МОЖЕТ "Российский традиционный"45 % 180 г Останкино</v>
          </cell>
          <cell r="B36" t="str">
            <v>шт</v>
          </cell>
          <cell r="C36">
            <v>659</v>
          </cell>
          <cell r="D36">
            <v>387</v>
          </cell>
          <cell r="E36">
            <v>216</v>
          </cell>
          <cell r="F36">
            <v>535</v>
          </cell>
          <cell r="G36">
            <v>0.18</v>
          </cell>
          <cell r="H36">
            <v>150</v>
          </cell>
          <cell r="I36" t="str">
            <v>ТЗ 14дн+1нд доставка</v>
          </cell>
          <cell r="K36">
            <v>216</v>
          </cell>
          <cell r="L36">
            <v>0</v>
          </cell>
          <cell r="O36">
            <v>400</v>
          </cell>
          <cell r="Q36">
            <v>43.2</v>
          </cell>
        </row>
        <row r="37">
          <cell r="A37" t="str">
            <v>Сыр ПАПА МОЖЕТ "Тильзитер" фасованный массовая доля жира в сухом веществе 45%, 180г  Останкино</v>
          </cell>
          <cell r="B37" t="str">
            <v>шт</v>
          </cell>
          <cell r="C37">
            <v>136</v>
          </cell>
          <cell r="D37">
            <v>203</v>
          </cell>
          <cell r="E37">
            <v>98</v>
          </cell>
          <cell r="F37">
            <v>234</v>
          </cell>
          <cell r="G37">
            <v>0.18</v>
          </cell>
          <cell r="H37">
            <v>150</v>
          </cell>
          <cell r="I37" t="str">
            <v>ТЗ 14дн+1нд доставка</v>
          </cell>
          <cell r="K37">
            <v>98</v>
          </cell>
          <cell r="L37">
            <v>0</v>
          </cell>
          <cell r="O37">
            <v>400</v>
          </cell>
          <cell r="Q37">
            <v>19.600000000000001</v>
          </cell>
        </row>
        <row r="38">
          <cell r="A38" t="str">
            <v>Сыр Скаморца свежий 100 гр.  ОСТАНКИНО</v>
          </cell>
          <cell r="B38" t="str">
            <v>шт</v>
          </cell>
          <cell r="C38">
            <v>1</v>
          </cell>
          <cell r="D38">
            <v>34</v>
          </cell>
          <cell r="E38">
            <v>6</v>
          </cell>
          <cell r="F38">
            <v>25</v>
          </cell>
          <cell r="G38">
            <v>0.1</v>
          </cell>
          <cell r="H38">
            <v>60</v>
          </cell>
          <cell r="K38">
            <v>6</v>
          </cell>
          <cell r="L38">
            <v>0</v>
          </cell>
          <cell r="Q38">
            <v>1.2</v>
          </cell>
        </row>
        <row r="39">
          <cell r="A39" t="str">
            <v>Сыр Творожный с зеленью 60% Папа может 140 гр.  Останкино</v>
          </cell>
          <cell r="B39" t="str">
            <v>шт</v>
          </cell>
          <cell r="C39">
            <v>106</v>
          </cell>
          <cell r="D39">
            <v>53</v>
          </cell>
          <cell r="E39">
            <v>16</v>
          </cell>
          <cell r="F39">
            <v>103</v>
          </cell>
          <cell r="G39">
            <v>0.14000000000000001</v>
          </cell>
          <cell r="H39">
            <v>180</v>
          </cell>
          <cell r="K39">
            <v>16</v>
          </cell>
          <cell r="L39">
            <v>0</v>
          </cell>
          <cell r="Q39">
            <v>3.2</v>
          </cell>
        </row>
        <row r="40">
          <cell r="A40" t="str">
            <v>Сыр плавленный Сливочный ж.45% 180г ТМ Папа может (16шт)  Останкино</v>
          </cell>
          <cell r="B40" t="str">
            <v>шт</v>
          </cell>
          <cell r="C40">
            <v>126</v>
          </cell>
          <cell r="D40">
            <v>19</v>
          </cell>
          <cell r="E40">
            <v>86</v>
          </cell>
          <cell r="F40">
            <v>27</v>
          </cell>
          <cell r="G40">
            <v>0.18</v>
          </cell>
          <cell r="H40">
            <v>270</v>
          </cell>
          <cell r="I40" t="str">
            <v>ТЗ 14дн+1нд доставка</v>
          </cell>
          <cell r="K40">
            <v>86</v>
          </cell>
          <cell r="L40">
            <v>0</v>
          </cell>
          <cell r="O40">
            <v>608</v>
          </cell>
          <cell r="Q40">
            <v>17.2</v>
          </cell>
        </row>
        <row r="41">
          <cell r="A41" t="str">
            <v>Сыр полутвердый "Гауда" с массовой долей жира в пересчете на сухое вещество 45%,   Останкино</v>
          </cell>
          <cell r="B41" t="str">
            <v>кг</v>
          </cell>
          <cell r="C41">
            <v>49.932000000000002</v>
          </cell>
          <cell r="D41">
            <v>3.4279999999999999</v>
          </cell>
          <cell r="E41">
            <v>6.6719999999999997</v>
          </cell>
          <cell r="F41">
            <v>40.043999999999997</v>
          </cell>
          <cell r="G41">
            <v>1</v>
          </cell>
          <cell r="H41">
            <v>180</v>
          </cell>
          <cell r="I41" t="str">
            <v>ТЗ 14дн+1нд доставка</v>
          </cell>
          <cell r="K41">
            <v>6.7</v>
          </cell>
          <cell r="L41">
            <v>-2.8000000000000469E-2</v>
          </cell>
          <cell r="Q41">
            <v>1.3344</v>
          </cell>
        </row>
        <row r="42">
          <cell r="A42" t="str">
            <v>Сыр полутвердый "Голландский" с массовой долей жира в пересчете на сухое  Останкино</v>
          </cell>
          <cell r="B42" t="str">
            <v>кг</v>
          </cell>
          <cell r="C42">
            <v>102.944</v>
          </cell>
          <cell r="E42">
            <v>13.656000000000001</v>
          </cell>
          <cell r="F42">
            <v>78.957999999999998</v>
          </cell>
          <cell r="G42">
            <v>1</v>
          </cell>
          <cell r="H42">
            <v>180</v>
          </cell>
          <cell r="I42" t="str">
            <v>ТЗ 14дн+1нд доставка</v>
          </cell>
          <cell r="K42">
            <v>14</v>
          </cell>
          <cell r="L42">
            <v>-0.34399999999999942</v>
          </cell>
          <cell r="Q42">
            <v>2.7312000000000003</v>
          </cell>
          <cell r="T42">
            <v>30</v>
          </cell>
        </row>
        <row r="43">
          <cell r="A43" t="str">
            <v>Сыр полутвердый "Российский" с массовой долей жира 50%  Останкино</v>
          </cell>
          <cell r="B43" t="str">
            <v>кг</v>
          </cell>
          <cell r="C43">
            <v>-1.034</v>
          </cell>
          <cell r="D43">
            <v>1.034</v>
          </cell>
          <cell r="G43">
            <v>0</v>
          </cell>
          <cell r="I43" t="str">
            <v>дубль</v>
          </cell>
          <cell r="J43" t="str">
            <v>3323 Сыр Российский цилиндр 1/4 пленка ЮКМП м.д.ж. 50%  ОСТАНКИНО</v>
          </cell>
          <cell r="K43">
            <v>33.200000000000003</v>
          </cell>
          <cell r="L43">
            <v>-33.200000000000003</v>
          </cell>
          <cell r="Q43">
            <v>0</v>
          </cell>
        </row>
        <row r="44">
          <cell r="A44" t="str">
            <v>Сыр полутвердый "Сметанковый", с масс долей жира в пересчете на сухое вещес50%, брус  Останкино</v>
          </cell>
          <cell r="B44" t="str">
            <v>кг</v>
          </cell>
          <cell r="C44">
            <v>29.065000000000001</v>
          </cell>
          <cell r="D44">
            <v>83.043999999999997</v>
          </cell>
          <cell r="E44">
            <v>43.07</v>
          </cell>
          <cell r="F44">
            <v>38.527999999999999</v>
          </cell>
          <cell r="G44">
            <v>1</v>
          </cell>
          <cell r="H44">
            <v>180</v>
          </cell>
          <cell r="I44" t="str">
            <v>ТЗ 14дн+1нд доставка</v>
          </cell>
          <cell r="K44">
            <v>47.5</v>
          </cell>
          <cell r="L44">
            <v>-4.43</v>
          </cell>
          <cell r="O44">
            <v>148</v>
          </cell>
          <cell r="Q44">
            <v>8.6140000000000008</v>
          </cell>
        </row>
        <row r="45">
          <cell r="A45" t="str">
            <v>Сыр полутвердый "Тильзитер" с массовой долей жира в пересчете на сухое вещество 45%. 1/5  Останкино</v>
          </cell>
          <cell r="B45" t="str">
            <v>кг</v>
          </cell>
          <cell r="C45">
            <v>49.148000000000003</v>
          </cell>
          <cell r="D45">
            <v>30.616</v>
          </cell>
          <cell r="F45">
            <v>46.235999999999997</v>
          </cell>
          <cell r="G45">
            <v>1</v>
          </cell>
          <cell r="H45">
            <v>180</v>
          </cell>
          <cell r="I45" t="str">
            <v>ТЗ 14дн+1нд доставка</v>
          </cell>
          <cell r="L45">
            <v>0</v>
          </cell>
          <cell r="Q45">
            <v>0</v>
          </cell>
        </row>
        <row r="46">
          <cell r="A46" t="str">
            <v>Сыр рассольный жирный Чечил 45% 100 гр  ОСТАНКИНО</v>
          </cell>
          <cell r="B46" t="str">
            <v>шт</v>
          </cell>
          <cell r="C46">
            <v>473</v>
          </cell>
          <cell r="D46">
            <v>64</v>
          </cell>
          <cell r="E46">
            <v>174</v>
          </cell>
          <cell r="F46">
            <v>231</v>
          </cell>
          <cell r="G46">
            <v>0.1</v>
          </cell>
          <cell r="H46">
            <v>60</v>
          </cell>
          <cell r="K46">
            <v>174</v>
          </cell>
          <cell r="L46">
            <v>0</v>
          </cell>
          <cell r="O46">
            <v>48</v>
          </cell>
          <cell r="Q46">
            <v>34.799999999999997</v>
          </cell>
          <cell r="R46">
            <v>347.4</v>
          </cell>
        </row>
        <row r="47">
          <cell r="A47" t="str">
            <v>Сыр рассольный жирный Чечил копченый 43% 100 гр  Останкино</v>
          </cell>
          <cell r="B47" t="str">
            <v>шт</v>
          </cell>
          <cell r="C47">
            <v>479</v>
          </cell>
          <cell r="D47">
            <v>25</v>
          </cell>
          <cell r="E47">
            <v>122</v>
          </cell>
          <cell r="F47">
            <v>330</v>
          </cell>
          <cell r="G47">
            <v>0.1</v>
          </cell>
          <cell r="H47">
            <v>90</v>
          </cell>
          <cell r="K47">
            <v>121</v>
          </cell>
          <cell r="L47">
            <v>1</v>
          </cell>
          <cell r="Q47">
            <v>24.4</v>
          </cell>
          <cell r="R47">
            <v>109.19999999999999</v>
          </cell>
        </row>
        <row r="48">
          <cell r="A48" t="str">
            <v>Сыр творожный Сливочный 140 гр.  Останкино</v>
          </cell>
          <cell r="B48" t="str">
            <v>шт</v>
          </cell>
          <cell r="C48">
            <v>90</v>
          </cell>
          <cell r="D48">
            <v>68</v>
          </cell>
          <cell r="E48">
            <v>43</v>
          </cell>
          <cell r="F48">
            <v>73</v>
          </cell>
          <cell r="G48">
            <v>0.14000000000000001</v>
          </cell>
          <cell r="H48">
            <v>180</v>
          </cell>
          <cell r="K48">
            <v>43</v>
          </cell>
          <cell r="L48">
            <v>0</v>
          </cell>
          <cell r="O48">
            <v>96</v>
          </cell>
          <cell r="Q48">
            <v>8.6</v>
          </cell>
        </row>
        <row r="49">
          <cell r="A49" t="str">
            <v>Сыч/Прод Коровино Российский 50% 200г НОВАЯ СЗМЖ  ОСТАНКИНО</v>
          </cell>
          <cell r="B49" t="str">
            <v>шт</v>
          </cell>
          <cell r="C49">
            <v>78</v>
          </cell>
          <cell r="D49">
            <v>110</v>
          </cell>
          <cell r="E49">
            <v>23</v>
          </cell>
          <cell r="F49">
            <v>123</v>
          </cell>
          <cell r="G49">
            <v>0.2</v>
          </cell>
          <cell r="H49">
            <v>120</v>
          </cell>
          <cell r="K49">
            <v>23</v>
          </cell>
          <cell r="L49">
            <v>0</v>
          </cell>
          <cell r="O49">
            <v>40</v>
          </cell>
          <cell r="Q49">
            <v>4.5999999999999996</v>
          </cell>
        </row>
        <row r="50">
          <cell r="A50" t="str">
            <v>Сыч/Прод Коровино Российский 50% 200г СЗМЖ  Останкино</v>
          </cell>
          <cell r="B50" t="str">
            <v>шт</v>
          </cell>
          <cell r="C50">
            <v>20</v>
          </cell>
          <cell r="G50">
            <v>0</v>
          </cell>
          <cell r="I50" t="str">
            <v>дубль</v>
          </cell>
          <cell r="J50" t="str">
            <v>Сыч/Прод Коровино Российский 50% 200г НОВАЯ СЗМЖ  ОСТАНКИНО</v>
          </cell>
          <cell r="L50">
            <v>0</v>
          </cell>
          <cell r="Q50">
            <v>0</v>
          </cell>
        </row>
        <row r="51">
          <cell r="A51" t="str">
            <v>Сыч/Прод Коровино Российский Оригин 50% ВЕС НОВАЯ (3,5 кг)  ОСТАНКИНО</v>
          </cell>
          <cell r="B51" t="str">
            <v>кг</v>
          </cell>
          <cell r="D51">
            <v>558.97400000000005</v>
          </cell>
          <cell r="E51">
            <v>325.678</v>
          </cell>
          <cell r="F51">
            <v>184.274</v>
          </cell>
          <cell r="G51">
            <v>1</v>
          </cell>
          <cell r="H51">
            <v>120</v>
          </cell>
          <cell r="I51" t="str">
            <v>ТЗ 14дн+1нд доставка</v>
          </cell>
          <cell r="K51">
            <v>320</v>
          </cell>
          <cell r="L51">
            <v>5.6779999999999973</v>
          </cell>
          <cell r="O51">
            <v>150</v>
          </cell>
          <cell r="Q51">
            <v>65.135599999999997</v>
          </cell>
          <cell r="R51">
            <v>447.3531999999999</v>
          </cell>
        </row>
        <row r="52">
          <cell r="A52" t="str">
            <v>Сыч/Прод Коровино Тильзитер 50% 200г НОВАЯ СЗМЖ  ОСТАНКИНО</v>
          </cell>
          <cell r="B52" t="str">
            <v>шт</v>
          </cell>
          <cell r="C52">
            <v>14</v>
          </cell>
          <cell r="D52">
            <v>84</v>
          </cell>
          <cell r="E52">
            <v>25</v>
          </cell>
          <cell r="F52">
            <v>71</v>
          </cell>
          <cell r="G52">
            <v>0.2</v>
          </cell>
          <cell r="H52">
            <v>120</v>
          </cell>
          <cell r="K52">
            <v>14</v>
          </cell>
          <cell r="L52">
            <v>11</v>
          </cell>
          <cell r="O52">
            <v>70</v>
          </cell>
          <cell r="Q52">
            <v>5</v>
          </cell>
        </row>
        <row r="53">
          <cell r="A53" t="str">
            <v>Сыч/Прод Коровино Тильзитер 50% 200г СЗМЖ  ОСТАНКИНО</v>
          </cell>
          <cell r="B53" t="str">
            <v>шт</v>
          </cell>
          <cell r="C53">
            <v>34</v>
          </cell>
          <cell r="E53">
            <v>11</v>
          </cell>
          <cell r="F53">
            <v>-13</v>
          </cell>
          <cell r="G53">
            <v>0</v>
          </cell>
          <cell r="I53" t="str">
            <v>дубль</v>
          </cell>
          <cell r="J53" t="str">
            <v>Сыч/Прод Коровино Тильзитер 50% 200г НОВАЯ СЗМЖ  ОСТАНКИНО</v>
          </cell>
          <cell r="K53">
            <v>11</v>
          </cell>
          <cell r="L53">
            <v>0</v>
          </cell>
          <cell r="Q53">
            <v>2.2000000000000002</v>
          </cell>
        </row>
        <row r="54">
          <cell r="A54" t="str">
            <v>Сыч/Прод Коровино Тильзитер Оригин 50% ВЕС (5 кг брус) СЗМЖ  ОСТАНКИНО</v>
          </cell>
          <cell r="B54" t="str">
            <v>кг</v>
          </cell>
          <cell r="C54">
            <v>-3.6739999999999999</v>
          </cell>
          <cell r="D54">
            <v>3.6739999999999999</v>
          </cell>
          <cell r="G54">
            <v>0</v>
          </cell>
          <cell r="I54" t="str">
            <v>дубль</v>
          </cell>
          <cell r="J54" t="str">
            <v>Сыч/Прод Коровино Тильзитер Оригин 50% ВЕС НОВАЯ (5 кг брус) СЗМЖ  ОСТАНКИНО</v>
          </cell>
          <cell r="L54">
            <v>0</v>
          </cell>
          <cell r="Q54">
            <v>0</v>
          </cell>
        </row>
        <row r="55">
          <cell r="A55" t="str">
            <v>Сыч/Прод Коровино Тильзитер Оригин 50% ВЕС НОВАЯ (5 кг брус) СЗМЖ  ОСТАНКИНО</v>
          </cell>
          <cell r="B55" t="str">
            <v>кг</v>
          </cell>
          <cell r="C55">
            <v>7.7480000000000002</v>
          </cell>
          <cell r="D55">
            <v>390.92200000000003</v>
          </cell>
          <cell r="E55">
            <v>73.093999999999994</v>
          </cell>
          <cell r="F55">
            <v>122.36</v>
          </cell>
          <cell r="G55">
            <v>1</v>
          </cell>
          <cell r="H55">
            <v>120</v>
          </cell>
          <cell r="I55" t="str">
            <v>ТЗ 14дн+1нд доставка</v>
          </cell>
          <cell r="K55">
            <v>72.599999999999994</v>
          </cell>
          <cell r="L55">
            <v>0.49399999999999977</v>
          </cell>
          <cell r="O55">
            <v>495</v>
          </cell>
          <cell r="Q55">
            <v>14.618799999999998</v>
          </cell>
          <cell r="T55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22" sqref="U22"/>
    </sheetView>
  </sheetViews>
  <sheetFormatPr defaultRowHeight="15" x14ac:dyDescent="0.25"/>
  <cols>
    <col min="1" max="1" width="53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5.7109375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7" style="26" customWidth="1"/>
    <col min="22" max="23" width="7" customWidth="1"/>
    <col min="24" max="24" width="11" style="20" customWidth="1"/>
    <col min="25" max="25" width="7" style="20" customWidth="1"/>
    <col min="26" max="27" width="5" customWidth="1"/>
    <col min="28" max="37" width="6" customWidth="1"/>
    <col min="38" max="38" width="31.42578125" customWidth="1"/>
    <col min="39" max="40" width="7" customWidth="1"/>
    <col min="41" max="55" width="3" customWidth="1"/>
  </cols>
  <sheetData>
    <row r="1" spans="1:5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 t="s">
        <v>41</v>
      </c>
      <c r="Q1" s="1"/>
      <c r="R1" s="1">
        <v>18</v>
      </c>
      <c r="S1" s="1">
        <v>23</v>
      </c>
      <c r="T1" s="23"/>
      <c r="U1" s="23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>
        <v>342</v>
      </c>
      <c r="Q2" s="1"/>
      <c r="R2" s="1"/>
      <c r="S2" s="17" t="s">
        <v>108</v>
      </c>
      <c r="T2" s="23"/>
      <c r="U2" s="23"/>
      <c r="V2" s="1"/>
      <c r="W2" s="17" t="s">
        <v>108</v>
      </c>
      <c r="X2" s="17"/>
      <c r="Y2" s="17" t="s">
        <v>108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7" t="s">
        <v>108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16</v>
      </c>
      <c r="T3" s="21" t="s">
        <v>112</v>
      </c>
      <c r="U3" s="21" t="s">
        <v>112</v>
      </c>
      <c r="V3" s="3" t="s">
        <v>114</v>
      </c>
      <c r="W3" s="3" t="s">
        <v>115</v>
      </c>
      <c r="X3" s="21" t="s">
        <v>109</v>
      </c>
      <c r="Y3" s="21" t="s">
        <v>109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2" t="s">
        <v>21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7" t="s">
        <v>107</v>
      </c>
      <c r="T4" s="23" t="s">
        <v>113</v>
      </c>
      <c r="U4" s="23" t="s">
        <v>116</v>
      </c>
      <c r="V4" s="1"/>
      <c r="W4" s="17" t="s">
        <v>107</v>
      </c>
      <c r="X4" s="17" t="s">
        <v>110</v>
      </c>
      <c r="Y4" s="17" t="s">
        <v>107</v>
      </c>
      <c r="Z4" s="1"/>
      <c r="AA4" s="1"/>
      <c r="AB4" s="1" t="s">
        <v>25</v>
      </c>
      <c r="AC4" s="1" t="s">
        <v>26</v>
      </c>
      <c r="AD4" s="1" t="s">
        <v>27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  <c r="AK4" s="1" t="s">
        <v>34</v>
      </c>
      <c r="AL4" s="1"/>
      <c r="AM4" s="1"/>
      <c r="AN4" s="17" t="s">
        <v>107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5">
      <c r="A5" s="1"/>
      <c r="B5" s="1"/>
      <c r="C5" s="1"/>
      <c r="D5" s="1"/>
      <c r="E5" s="4">
        <f>SUM(E6:E498)</f>
        <v>3930.1869999999999</v>
      </c>
      <c r="F5" s="4">
        <f>SUM(F6:F498)</f>
        <v>8349.9200000000019</v>
      </c>
      <c r="G5" s="7"/>
      <c r="H5" s="1"/>
      <c r="I5" s="1"/>
      <c r="J5" s="1"/>
      <c r="K5" s="4">
        <f t="shared" ref="K5:Y5" si="0">SUM(K6:K498)</f>
        <v>4174.8999999999996</v>
      </c>
      <c r="L5" s="4">
        <f t="shared" si="0"/>
        <v>-244.71299999999999</v>
      </c>
      <c r="M5" s="4">
        <f t="shared" si="0"/>
        <v>0</v>
      </c>
      <c r="N5" s="4">
        <f t="shared" si="0"/>
        <v>0</v>
      </c>
      <c r="O5" s="4">
        <f t="shared" si="0"/>
        <v>7498</v>
      </c>
      <c r="P5" s="4">
        <f t="shared" si="0"/>
        <v>1900</v>
      </c>
      <c r="Q5" s="4">
        <f t="shared" si="0"/>
        <v>786.03740000000005</v>
      </c>
      <c r="R5" s="4">
        <f t="shared" si="0"/>
        <v>1273.4202</v>
      </c>
      <c r="S5" s="4">
        <f t="shared" si="0"/>
        <v>476.40000000000009</v>
      </c>
      <c r="T5" s="24">
        <f t="shared" si="0"/>
        <v>3718</v>
      </c>
      <c r="U5" s="24">
        <f t="shared" ref="U5" si="1">SUM(U6:U498)</f>
        <v>2000</v>
      </c>
      <c r="V5" s="4">
        <f t="shared" si="0"/>
        <v>3716.7531999999997</v>
      </c>
      <c r="W5" s="4">
        <f t="shared" si="0"/>
        <v>2000</v>
      </c>
      <c r="X5" s="4">
        <f t="shared" si="0"/>
        <v>530</v>
      </c>
      <c r="Y5" s="4">
        <f t="shared" si="0"/>
        <v>2000</v>
      </c>
      <c r="Z5" s="1"/>
      <c r="AA5" s="1"/>
      <c r="AB5" s="4">
        <f t="shared" ref="AB5:AK5" si="2">SUM(AB6:AB498)</f>
        <v>968.63120000000026</v>
      </c>
      <c r="AC5" s="4">
        <f t="shared" si="2"/>
        <v>750.47979999999995</v>
      </c>
      <c r="AD5" s="4">
        <f t="shared" si="2"/>
        <v>556.11720000000003</v>
      </c>
      <c r="AE5" s="4">
        <f t="shared" si="2"/>
        <v>481.44800000000009</v>
      </c>
      <c r="AF5" s="4">
        <f t="shared" si="2"/>
        <v>688.80179999999984</v>
      </c>
      <c r="AG5" s="4">
        <f t="shared" si="2"/>
        <v>535.40820000000008</v>
      </c>
      <c r="AH5" s="4">
        <f t="shared" si="2"/>
        <v>495.66180000000008</v>
      </c>
      <c r="AI5" s="4">
        <f t="shared" si="2"/>
        <v>819.01119999999992</v>
      </c>
      <c r="AJ5" s="4">
        <f t="shared" si="2"/>
        <v>494.43379999999996</v>
      </c>
      <c r="AK5" s="4">
        <f t="shared" si="2"/>
        <v>551.6876000000002</v>
      </c>
      <c r="AL5" s="1"/>
      <c r="AM5" s="4">
        <f>SUM(AM6:AM498)</f>
        <v>2419.7212</v>
      </c>
      <c r="AN5" s="4">
        <f>SUM(AN6:AN498)</f>
        <v>360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5">
      <c r="A6" s="1" t="s">
        <v>35</v>
      </c>
      <c r="B6" s="1" t="s">
        <v>36</v>
      </c>
      <c r="C6" s="1">
        <v>19</v>
      </c>
      <c r="D6" s="1">
        <v>2</v>
      </c>
      <c r="E6" s="1"/>
      <c r="F6" s="1">
        <v>17</v>
      </c>
      <c r="G6" s="7">
        <v>5.5E-2</v>
      </c>
      <c r="H6" s="1">
        <v>120</v>
      </c>
      <c r="I6" s="1"/>
      <c r="J6" s="1"/>
      <c r="K6" s="1"/>
      <c r="L6" s="1">
        <f t="shared" ref="L6:L37" si="3">E6-K6</f>
        <v>0</v>
      </c>
      <c r="M6" s="1"/>
      <c r="N6" s="1"/>
      <c r="O6" s="1"/>
      <c r="P6" s="1"/>
      <c r="Q6" s="1">
        <f t="shared" ref="Q6:Q37" si="4">E6/5</f>
        <v>0</v>
      </c>
      <c r="R6" s="5"/>
      <c r="S6" s="5"/>
      <c r="T6" s="25"/>
      <c r="U6" s="25"/>
      <c r="V6" s="5">
        <f>R6</f>
        <v>0</v>
      </c>
      <c r="W6" s="5">
        <f>S6</f>
        <v>0</v>
      </c>
      <c r="X6" s="18"/>
      <c r="Y6" s="18"/>
      <c r="Z6" s="1" t="e">
        <f>(F6+O6+P6+V6+W6)/Q6</f>
        <v>#DIV/0!</v>
      </c>
      <c r="AA6" s="1" t="e">
        <f t="shared" ref="AA6:AA37" si="5">(F6+O6+P6)/Q6</f>
        <v>#DIV/0!</v>
      </c>
      <c r="AB6" s="1">
        <v>0.6</v>
      </c>
      <c r="AC6" s="1">
        <v>1.4</v>
      </c>
      <c r="AD6" s="1">
        <v>0</v>
      </c>
      <c r="AE6" s="1">
        <v>0.4</v>
      </c>
      <c r="AF6" s="1">
        <v>1.4</v>
      </c>
      <c r="AG6" s="1">
        <v>0.2</v>
      </c>
      <c r="AH6" s="1">
        <v>0.6</v>
      </c>
      <c r="AI6" s="1">
        <v>0</v>
      </c>
      <c r="AJ6" s="1">
        <v>0.4</v>
      </c>
      <c r="AK6" s="1">
        <v>1.2</v>
      </c>
      <c r="AL6" s="14" t="s">
        <v>101</v>
      </c>
      <c r="AM6" s="1">
        <f>G6*V6</f>
        <v>0</v>
      </c>
      <c r="AN6" s="1">
        <f>G6*W6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1" t="s">
        <v>37</v>
      </c>
      <c r="B7" s="1" t="s">
        <v>36</v>
      </c>
      <c r="C7" s="1">
        <v>38</v>
      </c>
      <c r="D7" s="1"/>
      <c r="E7" s="1">
        <v>30</v>
      </c>
      <c r="F7" s="1">
        <v>1</v>
      </c>
      <c r="G7" s="7">
        <v>0.1</v>
      </c>
      <c r="H7" s="1">
        <v>120</v>
      </c>
      <c r="I7" s="1"/>
      <c r="J7" s="1"/>
      <c r="K7" s="1">
        <v>30</v>
      </c>
      <c r="L7" s="1">
        <f t="shared" si="3"/>
        <v>0</v>
      </c>
      <c r="M7" s="1"/>
      <c r="N7" s="1"/>
      <c r="O7" s="1"/>
      <c r="P7" s="1"/>
      <c r="Q7" s="1">
        <f t="shared" si="4"/>
        <v>6</v>
      </c>
      <c r="R7" s="5">
        <f>10*Q7-P7-O7-F7</f>
        <v>59</v>
      </c>
      <c r="S7" s="5"/>
      <c r="T7" s="25">
        <f>VLOOKUP(A7,заказ!A:B,2,0)</f>
        <v>48</v>
      </c>
      <c r="U7" s="25"/>
      <c r="V7" s="5">
        <f t="shared" ref="V7:V54" si="6">R7</f>
        <v>59</v>
      </c>
      <c r="W7" s="5">
        <f t="shared" ref="W7:W55" si="7">S7</f>
        <v>0</v>
      </c>
      <c r="X7" s="18"/>
      <c r="Y7" s="18"/>
      <c r="Z7" s="1">
        <f t="shared" ref="Z7:Z55" si="8">(F7+O7+P7+V7+W7)/Q7</f>
        <v>10</v>
      </c>
      <c r="AA7" s="1">
        <f t="shared" si="5"/>
        <v>0.16666666666666666</v>
      </c>
      <c r="AB7" s="1">
        <v>0.6</v>
      </c>
      <c r="AC7" s="1">
        <v>1</v>
      </c>
      <c r="AD7" s="1">
        <v>0</v>
      </c>
      <c r="AE7" s="1">
        <v>1</v>
      </c>
      <c r="AF7" s="1">
        <v>1.2</v>
      </c>
      <c r="AG7" s="1">
        <v>1.4</v>
      </c>
      <c r="AH7" s="1">
        <v>0.2</v>
      </c>
      <c r="AI7" s="1">
        <v>0</v>
      </c>
      <c r="AJ7" s="1">
        <v>0.4</v>
      </c>
      <c r="AK7" s="1">
        <v>1.6</v>
      </c>
      <c r="AL7" s="1"/>
      <c r="AM7" s="1">
        <f t="shared" ref="AM7:AM55" si="9">G7*V7</f>
        <v>5.9</v>
      </c>
      <c r="AN7" s="1">
        <f t="shared" ref="AN7:AN55" si="10">G7*W7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5">
      <c r="A8" s="1" t="s">
        <v>39</v>
      </c>
      <c r="B8" s="1" t="s">
        <v>36</v>
      </c>
      <c r="C8" s="1">
        <v>28</v>
      </c>
      <c r="D8" s="1">
        <v>4</v>
      </c>
      <c r="E8" s="1">
        <v>11</v>
      </c>
      <c r="F8" s="1">
        <v>15</v>
      </c>
      <c r="G8" s="7">
        <v>0.1</v>
      </c>
      <c r="H8" s="1">
        <v>120</v>
      </c>
      <c r="I8" s="1"/>
      <c r="J8" s="1"/>
      <c r="K8" s="1">
        <v>11</v>
      </c>
      <c r="L8" s="1">
        <f t="shared" si="3"/>
        <v>0</v>
      </c>
      <c r="M8" s="1"/>
      <c r="N8" s="1"/>
      <c r="O8" s="1"/>
      <c r="P8" s="1"/>
      <c r="Q8" s="1">
        <f t="shared" si="4"/>
        <v>2.2000000000000002</v>
      </c>
      <c r="R8" s="5">
        <f>17*Q8-P8-O8-F8</f>
        <v>22.400000000000006</v>
      </c>
      <c r="S8" s="5"/>
      <c r="T8" s="25">
        <f>VLOOKUP(A8,заказ!A:B,2,0)</f>
        <v>24</v>
      </c>
      <c r="U8" s="25"/>
      <c r="V8" s="5">
        <f t="shared" si="6"/>
        <v>22.400000000000006</v>
      </c>
      <c r="W8" s="5">
        <f t="shared" si="7"/>
        <v>0</v>
      </c>
      <c r="X8" s="18"/>
      <c r="Y8" s="18"/>
      <c r="Z8" s="1">
        <f t="shared" si="8"/>
        <v>17</v>
      </c>
      <c r="AA8" s="1">
        <f t="shared" si="5"/>
        <v>6.8181818181818175</v>
      </c>
      <c r="AB8" s="1">
        <v>0.6</v>
      </c>
      <c r="AC8" s="1">
        <v>1.6</v>
      </c>
      <c r="AD8" s="1">
        <v>0</v>
      </c>
      <c r="AE8" s="1">
        <v>1</v>
      </c>
      <c r="AF8" s="1">
        <v>1</v>
      </c>
      <c r="AG8" s="1">
        <v>0</v>
      </c>
      <c r="AH8" s="1">
        <v>0.8</v>
      </c>
      <c r="AI8" s="1">
        <v>0</v>
      </c>
      <c r="AJ8" s="1">
        <v>0</v>
      </c>
      <c r="AK8" s="1">
        <v>0.8</v>
      </c>
      <c r="AL8" s="1"/>
      <c r="AM8" s="1">
        <f t="shared" si="9"/>
        <v>2.2400000000000007</v>
      </c>
      <c r="AN8" s="1">
        <f t="shared" si="10"/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5">
      <c r="A9" s="1" t="s">
        <v>40</v>
      </c>
      <c r="B9" s="1" t="s">
        <v>41</v>
      </c>
      <c r="C9" s="1">
        <v>52.081000000000003</v>
      </c>
      <c r="D9" s="1">
        <v>191.78200000000001</v>
      </c>
      <c r="E9" s="1">
        <v>64.697999999999993</v>
      </c>
      <c r="F9" s="1">
        <v>-4.5999999999999999E-2</v>
      </c>
      <c r="G9" s="7">
        <v>1</v>
      </c>
      <c r="H9" s="1">
        <v>120</v>
      </c>
      <c r="I9" s="1" t="s">
        <v>42</v>
      </c>
      <c r="J9" s="1"/>
      <c r="K9" s="1">
        <v>68.3</v>
      </c>
      <c r="L9" s="1">
        <f t="shared" si="3"/>
        <v>-3.6020000000000039</v>
      </c>
      <c r="M9" s="1"/>
      <c r="N9" s="1"/>
      <c r="O9" s="1">
        <v>400</v>
      </c>
      <c r="P9" s="1"/>
      <c r="Q9" s="1">
        <f t="shared" si="4"/>
        <v>12.939599999999999</v>
      </c>
      <c r="R9" s="5"/>
      <c r="S9" s="5"/>
      <c r="T9" s="25">
        <f>VLOOKUP(A9,заказ!A:B,2,0)</f>
        <v>800</v>
      </c>
      <c r="U9" s="25"/>
      <c r="V9" s="22">
        <v>800</v>
      </c>
      <c r="W9" s="5">
        <f t="shared" si="7"/>
        <v>0</v>
      </c>
      <c r="X9" s="18" t="str">
        <f>VLOOKUP(A9,[1]Sheet!$A:$U,20,0)</f>
        <v xml:space="preserve">800 потребность команды </v>
      </c>
      <c r="Y9" s="18"/>
      <c r="Z9" s="1">
        <f t="shared" si="8"/>
        <v>92.735014992735486</v>
      </c>
      <c r="AA9" s="1">
        <f t="shared" si="5"/>
        <v>30.90930167856812</v>
      </c>
      <c r="AB9" s="1">
        <v>43.730600000000003</v>
      </c>
      <c r="AC9" s="1">
        <v>16.3568</v>
      </c>
      <c r="AD9" s="1">
        <v>6.4296000000000006</v>
      </c>
      <c r="AE9" s="1">
        <v>6.2531999999999996</v>
      </c>
      <c r="AF9" s="1">
        <v>9.1048000000000009</v>
      </c>
      <c r="AG9" s="1">
        <v>18.5504</v>
      </c>
      <c r="AH9" s="1">
        <v>11.003</v>
      </c>
      <c r="AI9" s="1">
        <v>11.139200000000001</v>
      </c>
      <c r="AJ9" s="1">
        <v>9.8320000000000007</v>
      </c>
      <c r="AK9" s="1">
        <v>7.8068</v>
      </c>
      <c r="AL9" s="1" t="s">
        <v>111</v>
      </c>
      <c r="AM9" s="1">
        <f t="shared" si="9"/>
        <v>800</v>
      </c>
      <c r="AN9" s="1">
        <f t="shared" si="10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5">
      <c r="A10" s="1" t="s">
        <v>43</v>
      </c>
      <c r="B10" s="1" t="s">
        <v>41</v>
      </c>
      <c r="C10" s="1">
        <v>133.87799999999999</v>
      </c>
      <c r="D10" s="1">
        <v>142.75800000000001</v>
      </c>
      <c r="E10" s="1">
        <v>29.564</v>
      </c>
      <c r="F10" s="1">
        <v>95.266000000000005</v>
      </c>
      <c r="G10" s="7">
        <v>1</v>
      </c>
      <c r="H10" s="1">
        <v>180</v>
      </c>
      <c r="I10" s="1" t="s">
        <v>42</v>
      </c>
      <c r="J10" s="1"/>
      <c r="K10" s="1">
        <v>31.6</v>
      </c>
      <c r="L10" s="1">
        <f t="shared" si="3"/>
        <v>-2.0360000000000014</v>
      </c>
      <c r="M10" s="1"/>
      <c r="N10" s="1"/>
      <c r="O10" s="1">
        <v>33</v>
      </c>
      <c r="P10" s="1"/>
      <c r="Q10" s="1">
        <f t="shared" si="4"/>
        <v>5.9127999999999998</v>
      </c>
      <c r="R10" s="5"/>
      <c r="S10" s="5"/>
      <c r="T10" s="25">
        <f>VLOOKUP(A10,заказ!A:B,2,0)</f>
        <v>148</v>
      </c>
      <c r="U10" s="25"/>
      <c r="V10" s="22">
        <v>150</v>
      </c>
      <c r="W10" s="5">
        <f t="shared" si="7"/>
        <v>0</v>
      </c>
      <c r="X10" s="18" t="str">
        <f>VLOOKUP(A10,[1]Sheet!$A:$U,20,0)</f>
        <v xml:space="preserve">150 потребность команды </v>
      </c>
      <c r="Y10" s="18"/>
      <c r="Z10" s="1">
        <f t="shared" si="8"/>
        <v>47.061629008253284</v>
      </c>
      <c r="AA10" s="1">
        <f t="shared" si="5"/>
        <v>21.692937356244084</v>
      </c>
      <c r="AB10" s="1">
        <v>0</v>
      </c>
      <c r="AC10" s="1">
        <v>2.9660000000000002</v>
      </c>
      <c r="AD10" s="1">
        <v>8.3856000000000002</v>
      </c>
      <c r="AE10" s="1">
        <v>1.9</v>
      </c>
      <c r="AF10" s="1">
        <v>1.3184</v>
      </c>
      <c r="AG10" s="1">
        <v>3.1696</v>
      </c>
      <c r="AH10" s="1">
        <v>1.2887999999999999</v>
      </c>
      <c r="AI10" s="1">
        <v>0.63559999999999994</v>
      </c>
      <c r="AJ10" s="1">
        <v>1.2452000000000001</v>
      </c>
      <c r="AK10" s="1">
        <v>0.61959999999999993</v>
      </c>
      <c r="AL10" s="1"/>
      <c r="AM10" s="1">
        <f t="shared" si="9"/>
        <v>150</v>
      </c>
      <c r="AN10" s="1">
        <f t="shared" si="10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5">
      <c r="A11" s="1" t="s">
        <v>44</v>
      </c>
      <c r="B11" s="1" t="s">
        <v>36</v>
      </c>
      <c r="C11" s="1">
        <v>142</v>
      </c>
      <c r="D11" s="1">
        <v>48</v>
      </c>
      <c r="E11" s="1">
        <v>11</v>
      </c>
      <c r="F11" s="1">
        <v>127</v>
      </c>
      <c r="G11" s="7">
        <v>0.82450000000000001</v>
      </c>
      <c r="H11" s="1">
        <v>180</v>
      </c>
      <c r="I11" s="1" t="s">
        <v>42</v>
      </c>
      <c r="J11" s="1"/>
      <c r="K11" s="1">
        <v>11</v>
      </c>
      <c r="L11" s="1">
        <f t="shared" si="3"/>
        <v>0</v>
      </c>
      <c r="M11" s="1"/>
      <c r="N11" s="1"/>
      <c r="O11" s="1"/>
      <c r="P11" s="1"/>
      <c r="Q11" s="1">
        <f t="shared" si="4"/>
        <v>2.2000000000000002</v>
      </c>
      <c r="R11" s="5"/>
      <c r="S11" s="5"/>
      <c r="T11" s="25"/>
      <c r="U11" s="25"/>
      <c r="V11" s="5">
        <f t="shared" si="6"/>
        <v>0</v>
      </c>
      <c r="W11" s="5">
        <f t="shared" si="7"/>
        <v>0</v>
      </c>
      <c r="X11" s="18"/>
      <c r="Y11" s="18"/>
      <c r="Z11" s="1">
        <f t="shared" si="8"/>
        <v>57.72727272727272</v>
      </c>
      <c r="AA11" s="1">
        <f t="shared" si="5"/>
        <v>57.72727272727272</v>
      </c>
      <c r="AB11" s="1">
        <v>0.4</v>
      </c>
      <c r="AC11" s="1">
        <v>0</v>
      </c>
      <c r="AD11" s="1">
        <v>0</v>
      </c>
      <c r="AE11" s="1">
        <v>0</v>
      </c>
      <c r="AF11" s="1">
        <v>0.4</v>
      </c>
      <c r="AG11" s="1">
        <v>0.8</v>
      </c>
      <c r="AH11" s="1">
        <v>0.4</v>
      </c>
      <c r="AI11" s="1">
        <v>0</v>
      </c>
      <c r="AJ11" s="1">
        <v>0.2</v>
      </c>
      <c r="AK11" s="1">
        <v>9.6</v>
      </c>
      <c r="AL11" s="14" t="s">
        <v>102</v>
      </c>
      <c r="AM11" s="1">
        <f t="shared" si="9"/>
        <v>0</v>
      </c>
      <c r="AN11" s="1">
        <f t="shared" si="10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5">
      <c r="A12" s="1" t="s">
        <v>45</v>
      </c>
      <c r="B12" s="1" t="s">
        <v>36</v>
      </c>
      <c r="C12" s="1">
        <v>276</v>
      </c>
      <c r="D12" s="1">
        <v>48</v>
      </c>
      <c r="E12" s="1">
        <v>129</v>
      </c>
      <c r="F12" s="1">
        <v>131</v>
      </c>
      <c r="G12" s="7">
        <v>0.372</v>
      </c>
      <c r="H12" s="1">
        <v>180</v>
      </c>
      <c r="I12" s="1" t="s">
        <v>42</v>
      </c>
      <c r="J12" s="1"/>
      <c r="K12" s="1">
        <v>130</v>
      </c>
      <c r="L12" s="1">
        <f t="shared" si="3"/>
        <v>-1</v>
      </c>
      <c r="M12" s="1"/>
      <c r="N12" s="1"/>
      <c r="O12" s="1">
        <v>300</v>
      </c>
      <c r="P12" s="1"/>
      <c r="Q12" s="1">
        <f t="shared" si="4"/>
        <v>25.8</v>
      </c>
      <c r="R12" s="5">
        <f t="shared" ref="R12:R22" si="11">18*Q12-P12-O12-F12</f>
        <v>33.400000000000034</v>
      </c>
      <c r="S12" s="5"/>
      <c r="T12" s="25">
        <f>VLOOKUP(A12,заказ!A:B,2,0)</f>
        <v>300</v>
      </c>
      <c r="U12" s="25"/>
      <c r="V12" s="5">
        <v>300</v>
      </c>
      <c r="W12" s="5">
        <f t="shared" si="7"/>
        <v>0</v>
      </c>
      <c r="X12" s="18" t="str">
        <f>VLOOKUP(A12,[1]Sheet!$A:$U,20,0)</f>
        <v>300 большие сроки + стоят задачи</v>
      </c>
      <c r="Y12" s="18"/>
      <c r="Z12" s="1">
        <f t="shared" si="8"/>
        <v>28.333333333333332</v>
      </c>
      <c r="AA12" s="1">
        <f t="shared" si="5"/>
        <v>16.705426356589147</v>
      </c>
      <c r="AB12" s="1">
        <v>28</v>
      </c>
      <c r="AC12" s="1">
        <v>19</v>
      </c>
      <c r="AD12" s="1">
        <v>17.600000000000001</v>
      </c>
      <c r="AE12" s="1">
        <v>9.8000000000000007</v>
      </c>
      <c r="AF12" s="1">
        <v>18.600000000000001</v>
      </c>
      <c r="AG12" s="1">
        <v>27.4</v>
      </c>
      <c r="AH12" s="1">
        <v>18</v>
      </c>
      <c r="AI12" s="1">
        <v>35.4</v>
      </c>
      <c r="AJ12" s="1">
        <v>16.2</v>
      </c>
      <c r="AK12" s="1">
        <v>25.8</v>
      </c>
      <c r="AL12" s="1"/>
      <c r="AM12" s="1">
        <f t="shared" si="9"/>
        <v>111.6</v>
      </c>
      <c r="AN12" s="1">
        <f t="shared" si="10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5">
      <c r="A13" s="1" t="s">
        <v>46</v>
      </c>
      <c r="B13" s="1" t="s">
        <v>36</v>
      </c>
      <c r="C13" s="1">
        <v>113</v>
      </c>
      <c r="D13" s="1">
        <v>76</v>
      </c>
      <c r="E13" s="1">
        <v>111</v>
      </c>
      <c r="F13" s="1">
        <v>64</v>
      </c>
      <c r="G13" s="7">
        <v>0.74399999999999999</v>
      </c>
      <c r="H13" s="1">
        <v>180</v>
      </c>
      <c r="I13" s="1" t="s">
        <v>42</v>
      </c>
      <c r="J13" s="1"/>
      <c r="K13" s="1">
        <v>111</v>
      </c>
      <c r="L13" s="1">
        <f t="shared" si="3"/>
        <v>0</v>
      </c>
      <c r="M13" s="1"/>
      <c r="N13" s="1"/>
      <c r="O13" s="1">
        <v>504</v>
      </c>
      <c r="P13" s="1"/>
      <c r="Q13" s="1">
        <f t="shared" si="4"/>
        <v>22.2</v>
      </c>
      <c r="R13" s="5"/>
      <c r="S13" s="5"/>
      <c r="T13" s="25">
        <f>VLOOKUP(A13,заказ!A:B,2,0)</f>
        <v>396</v>
      </c>
      <c r="U13" s="25"/>
      <c r="V13" s="22">
        <v>400</v>
      </c>
      <c r="W13" s="5">
        <f t="shared" si="7"/>
        <v>0</v>
      </c>
      <c r="X13" s="18" t="str">
        <f>VLOOKUP(A13,[1]Sheet!$A:$U,20,0)</f>
        <v>400 большие сроки + стоят задачи</v>
      </c>
      <c r="Y13" s="18"/>
      <c r="Z13" s="1">
        <f t="shared" si="8"/>
        <v>43.603603603603602</v>
      </c>
      <c r="AA13" s="1">
        <f t="shared" si="5"/>
        <v>25.585585585585587</v>
      </c>
      <c r="AB13" s="1">
        <v>38.4</v>
      </c>
      <c r="AC13" s="1">
        <v>-0.8</v>
      </c>
      <c r="AD13" s="1">
        <v>5.2</v>
      </c>
      <c r="AE13" s="1">
        <v>-5.8</v>
      </c>
      <c r="AF13" s="1">
        <v>29.4</v>
      </c>
      <c r="AG13" s="1">
        <v>18.2</v>
      </c>
      <c r="AH13" s="1">
        <v>11.4</v>
      </c>
      <c r="AI13" s="1">
        <v>27.6</v>
      </c>
      <c r="AJ13" s="1">
        <v>7.6</v>
      </c>
      <c r="AK13" s="1">
        <v>7.4</v>
      </c>
      <c r="AL13" s="1"/>
      <c r="AM13" s="1">
        <f t="shared" si="9"/>
        <v>297.60000000000002</v>
      </c>
      <c r="AN13" s="1">
        <f t="shared" si="10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5">
      <c r="A14" s="1" t="s">
        <v>47</v>
      </c>
      <c r="B14" s="1" t="s">
        <v>36</v>
      </c>
      <c r="C14" s="1">
        <v>123</v>
      </c>
      <c r="D14" s="1">
        <v>97</v>
      </c>
      <c r="E14" s="1">
        <v>182</v>
      </c>
      <c r="F14" s="1"/>
      <c r="G14" s="7">
        <v>0.372</v>
      </c>
      <c r="H14" s="1">
        <v>180</v>
      </c>
      <c r="I14" s="1" t="s">
        <v>42</v>
      </c>
      <c r="J14" s="1"/>
      <c r="K14" s="1">
        <v>203</v>
      </c>
      <c r="L14" s="1">
        <f t="shared" si="3"/>
        <v>-21</v>
      </c>
      <c r="M14" s="1"/>
      <c r="N14" s="1"/>
      <c r="O14" s="1">
        <v>600</v>
      </c>
      <c r="P14" s="1"/>
      <c r="Q14" s="1">
        <f t="shared" si="4"/>
        <v>36.4</v>
      </c>
      <c r="R14" s="5">
        <f t="shared" si="11"/>
        <v>55.199999999999932</v>
      </c>
      <c r="S14" s="5"/>
      <c r="T14" s="25">
        <f>VLOOKUP(A14,заказ!A:B,2,0)</f>
        <v>396</v>
      </c>
      <c r="U14" s="25"/>
      <c r="V14" s="5">
        <v>400</v>
      </c>
      <c r="W14" s="5">
        <f t="shared" si="7"/>
        <v>0</v>
      </c>
      <c r="X14" s="18" t="str">
        <f>VLOOKUP(A14,[1]Sheet!$A:$U,20,0)</f>
        <v>400 большие сроки + стоят задачи</v>
      </c>
      <c r="Y14" s="18"/>
      <c r="Z14" s="1">
        <f t="shared" si="8"/>
        <v>27.472527472527474</v>
      </c>
      <c r="AA14" s="1">
        <f t="shared" si="5"/>
        <v>16.483516483516485</v>
      </c>
      <c r="AB14" s="1">
        <v>41.2</v>
      </c>
      <c r="AC14" s="1">
        <v>42.2</v>
      </c>
      <c r="AD14" s="1">
        <v>27.8</v>
      </c>
      <c r="AE14" s="1">
        <v>4.8</v>
      </c>
      <c r="AF14" s="1">
        <v>37.200000000000003</v>
      </c>
      <c r="AG14" s="1">
        <v>22.2</v>
      </c>
      <c r="AH14" s="1">
        <v>25</v>
      </c>
      <c r="AI14" s="1">
        <v>53.2</v>
      </c>
      <c r="AJ14" s="1">
        <v>26.4</v>
      </c>
      <c r="AK14" s="1">
        <v>39</v>
      </c>
      <c r="AL14" s="1"/>
      <c r="AM14" s="1">
        <f t="shared" si="9"/>
        <v>148.80000000000001</v>
      </c>
      <c r="AN14" s="1">
        <f t="shared" si="10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5">
      <c r="A15" s="1" t="s">
        <v>48</v>
      </c>
      <c r="B15" s="1" t="s">
        <v>36</v>
      </c>
      <c r="C15" s="1">
        <v>6</v>
      </c>
      <c r="D15" s="1">
        <v>677</v>
      </c>
      <c r="E15" s="1">
        <v>90</v>
      </c>
      <c r="F15" s="1">
        <v>489</v>
      </c>
      <c r="G15" s="7">
        <v>0.74399999999999999</v>
      </c>
      <c r="H15" s="1">
        <v>180</v>
      </c>
      <c r="I15" s="1" t="s">
        <v>42</v>
      </c>
      <c r="J15" s="1"/>
      <c r="K15" s="1">
        <v>186</v>
      </c>
      <c r="L15" s="1">
        <f t="shared" si="3"/>
        <v>-96</v>
      </c>
      <c r="M15" s="1"/>
      <c r="N15" s="1"/>
      <c r="O15" s="1">
        <v>600</v>
      </c>
      <c r="P15" s="1"/>
      <c r="Q15" s="1">
        <f t="shared" si="4"/>
        <v>18</v>
      </c>
      <c r="R15" s="5"/>
      <c r="S15" s="5"/>
      <c r="T15" s="25"/>
      <c r="U15" s="25"/>
      <c r="V15" s="5">
        <f t="shared" si="6"/>
        <v>0</v>
      </c>
      <c r="W15" s="5">
        <f t="shared" si="7"/>
        <v>0</v>
      </c>
      <c r="X15" s="18"/>
      <c r="Y15" s="18"/>
      <c r="Z15" s="1">
        <f t="shared" si="8"/>
        <v>60.5</v>
      </c>
      <c r="AA15" s="1">
        <f t="shared" si="5"/>
        <v>60.5</v>
      </c>
      <c r="AB15" s="1">
        <v>72.2</v>
      </c>
      <c r="AC15" s="1">
        <v>57</v>
      </c>
      <c r="AD15" s="1">
        <v>26</v>
      </c>
      <c r="AE15" s="1">
        <v>15.2</v>
      </c>
      <c r="AF15" s="1">
        <v>37.200000000000003</v>
      </c>
      <c r="AG15" s="1">
        <v>50.4</v>
      </c>
      <c r="AH15" s="1">
        <v>33.799999999999997</v>
      </c>
      <c r="AI15" s="1">
        <v>43</v>
      </c>
      <c r="AJ15" s="1">
        <v>35.4</v>
      </c>
      <c r="AK15" s="1">
        <v>38.799999999999997</v>
      </c>
      <c r="AL15" s="1"/>
      <c r="AM15" s="1">
        <f t="shared" si="9"/>
        <v>0</v>
      </c>
      <c r="AN15" s="1">
        <f t="shared" si="10"/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5">
      <c r="A16" s="1" t="s">
        <v>49</v>
      </c>
      <c r="B16" s="1" t="s">
        <v>36</v>
      </c>
      <c r="C16" s="1">
        <v>37</v>
      </c>
      <c r="D16" s="1">
        <v>5</v>
      </c>
      <c r="E16" s="1">
        <v>4</v>
      </c>
      <c r="F16" s="1">
        <v>26</v>
      </c>
      <c r="G16" s="7">
        <v>0.14000000000000001</v>
      </c>
      <c r="H16" s="1">
        <v>180</v>
      </c>
      <c r="I16" s="1"/>
      <c r="J16" s="1"/>
      <c r="K16" s="1">
        <v>8</v>
      </c>
      <c r="L16" s="1">
        <f t="shared" si="3"/>
        <v>-4</v>
      </c>
      <c r="M16" s="1"/>
      <c r="N16" s="1"/>
      <c r="O16" s="1"/>
      <c r="P16" s="1"/>
      <c r="Q16" s="1">
        <f t="shared" si="4"/>
        <v>0.8</v>
      </c>
      <c r="R16" s="5"/>
      <c r="S16" s="5"/>
      <c r="T16" s="25"/>
      <c r="U16" s="25"/>
      <c r="V16" s="5">
        <f t="shared" si="6"/>
        <v>0</v>
      </c>
      <c r="W16" s="5">
        <f t="shared" si="7"/>
        <v>0</v>
      </c>
      <c r="X16" s="18"/>
      <c r="Y16" s="18"/>
      <c r="Z16" s="1">
        <f t="shared" si="8"/>
        <v>32.5</v>
      </c>
      <c r="AA16" s="1">
        <f t="shared" si="5"/>
        <v>32.5</v>
      </c>
      <c r="AB16" s="1">
        <v>1.6</v>
      </c>
      <c r="AC16" s="1">
        <v>1</v>
      </c>
      <c r="AD16" s="1">
        <v>2.4</v>
      </c>
      <c r="AE16" s="1">
        <v>2</v>
      </c>
      <c r="AF16" s="1">
        <v>2.6</v>
      </c>
      <c r="AG16" s="1">
        <v>0.4</v>
      </c>
      <c r="AH16" s="1">
        <v>3</v>
      </c>
      <c r="AI16" s="1">
        <v>5.8</v>
      </c>
      <c r="AJ16" s="1">
        <v>2.8</v>
      </c>
      <c r="AK16" s="1">
        <v>3.6</v>
      </c>
      <c r="AL16" s="15" t="s">
        <v>38</v>
      </c>
      <c r="AM16" s="1">
        <f t="shared" si="9"/>
        <v>0</v>
      </c>
      <c r="AN16" s="1">
        <f t="shared" si="10"/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5">
      <c r="A17" s="1" t="s">
        <v>50</v>
      </c>
      <c r="B17" s="1" t="s">
        <v>36</v>
      </c>
      <c r="C17" s="1">
        <v>57</v>
      </c>
      <c r="D17" s="1">
        <v>119</v>
      </c>
      <c r="E17" s="1">
        <v>63</v>
      </c>
      <c r="F17" s="1">
        <v>87</v>
      </c>
      <c r="G17" s="7">
        <v>0.18</v>
      </c>
      <c r="H17" s="1">
        <v>270</v>
      </c>
      <c r="I17" s="1" t="s">
        <v>42</v>
      </c>
      <c r="J17" s="1"/>
      <c r="K17" s="1">
        <v>63</v>
      </c>
      <c r="L17" s="1">
        <f t="shared" si="3"/>
        <v>0</v>
      </c>
      <c r="M17" s="1"/>
      <c r="N17" s="1"/>
      <c r="O17" s="1">
        <v>192</v>
      </c>
      <c r="P17" s="1"/>
      <c r="Q17" s="1">
        <f t="shared" si="4"/>
        <v>12.6</v>
      </c>
      <c r="R17" s="5"/>
      <c r="S17" s="5"/>
      <c r="T17" s="25"/>
      <c r="U17" s="25"/>
      <c r="V17" s="5">
        <f t="shared" si="6"/>
        <v>0</v>
      </c>
      <c r="W17" s="5">
        <f t="shared" si="7"/>
        <v>0</v>
      </c>
      <c r="X17" s="18"/>
      <c r="Y17" s="18"/>
      <c r="Z17" s="1">
        <f t="shared" si="8"/>
        <v>22.142857142857142</v>
      </c>
      <c r="AA17" s="1">
        <f t="shared" si="5"/>
        <v>22.142857142857142</v>
      </c>
      <c r="AB17" s="1">
        <v>13.6</v>
      </c>
      <c r="AC17" s="1">
        <v>13.2</v>
      </c>
      <c r="AD17" s="1">
        <v>8</v>
      </c>
      <c r="AE17" s="1">
        <v>3.6</v>
      </c>
      <c r="AF17" s="1">
        <v>10</v>
      </c>
      <c r="AG17" s="1">
        <v>4.5999999999999996</v>
      </c>
      <c r="AH17" s="1">
        <v>0.4</v>
      </c>
      <c r="AI17" s="1">
        <v>14.8</v>
      </c>
      <c r="AJ17" s="1">
        <v>1</v>
      </c>
      <c r="AK17" s="1">
        <v>3.2</v>
      </c>
      <c r="AL17" s="1"/>
      <c r="AM17" s="1">
        <f t="shared" si="9"/>
        <v>0</v>
      </c>
      <c r="AN17" s="1">
        <f t="shared" si="10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5">
      <c r="A18" s="1" t="s">
        <v>51</v>
      </c>
      <c r="B18" s="1" t="s">
        <v>36</v>
      </c>
      <c r="C18" s="1">
        <v>138</v>
      </c>
      <c r="D18" s="1">
        <v>142</v>
      </c>
      <c r="E18" s="1">
        <v>56</v>
      </c>
      <c r="F18" s="1">
        <v>172</v>
      </c>
      <c r="G18" s="7">
        <v>0.18</v>
      </c>
      <c r="H18" s="1">
        <v>270</v>
      </c>
      <c r="I18" s="1" t="s">
        <v>42</v>
      </c>
      <c r="J18" s="1"/>
      <c r="K18" s="1">
        <v>56</v>
      </c>
      <c r="L18" s="1">
        <f t="shared" si="3"/>
        <v>0</v>
      </c>
      <c r="M18" s="1"/>
      <c r="N18" s="1"/>
      <c r="O18" s="1"/>
      <c r="P18" s="1"/>
      <c r="Q18" s="1">
        <f t="shared" si="4"/>
        <v>11.2</v>
      </c>
      <c r="R18" s="5">
        <f t="shared" si="11"/>
        <v>29.599999999999994</v>
      </c>
      <c r="S18" s="5"/>
      <c r="T18" s="25">
        <f>VLOOKUP(A18,заказ!A:B,2,0)</f>
        <v>32</v>
      </c>
      <c r="U18" s="25"/>
      <c r="V18" s="5">
        <f t="shared" si="6"/>
        <v>29.599999999999994</v>
      </c>
      <c r="W18" s="5">
        <f t="shared" si="7"/>
        <v>0</v>
      </c>
      <c r="X18" s="18"/>
      <c r="Y18" s="18"/>
      <c r="Z18" s="1">
        <f t="shared" si="8"/>
        <v>18</v>
      </c>
      <c r="AA18" s="1">
        <f t="shared" si="5"/>
        <v>15.357142857142858</v>
      </c>
      <c r="AB18" s="1">
        <v>11.4</v>
      </c>
      <c r="AC18" s="1">
        <v>13.2</v>
      </c>
      <c r="AD18" s="1">
        <v>12.8</v>
      </c>
      <c r="AE18" s="1">
        <v>5.8</v>
      </c>
      <c r="AF18" s="1">
        <v>14</v>
      </c>
      <c r="AG18" s="1">
        <v>12.2</v>
      </c>
      <c r="AH18" s="1">
        <v>3.4</v>
      </c>
      <c r="AI18" s="1">
        <v>12.4</v>
      </c>
      <c r="AJ18" s="1">
        <v>12.2</v>
      </c>
      <c r="AK18" s="1">
        <v>8</v>
      </c>
      <c r="AL18" s="1"/>
      <c r="AM18" s="1">
        <f t="shared" si="9"/>
        <v>5.3279999999999985</v>
      </c>
      <c r="AN18" s="1">
        <f t="shared" si="10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5">
      <c r="A19" s="1" t="s">
        <v>52</v>
      </c>
      <c r="B19" s="1" t="s">
        <v>36</v>
      </c>
      <c r="C19" s="1">
        <v>39</v>
      </c>
      <c r="D19" s="1">
        <v>16</v>
      </c>
      <c r="E19" s="1">
        <v>14</v>
      </c>
      <c r="F19" s="1">
        <v>28</v>
      </c>
      <c r="G19" s="7">
        <v>0.1</v>
      </c>
      <c r="H19" s="1">
        <v>60</v>
      </c>
      <c r="I19" s="1"/>
      <c r="J19" s="1"/>
      <c r="K19" s="1">
        <v>14</v>
      </c>
      <c r="L19" s="1">
        <f t="shared" si="3"/>
        <v>0</v>
      </c>
      <c r="M19" s="1"/>
      <c r="N19" s="1"/>
      <c r="O19" s="1"/>
      <c r="P19" s="1"/>
      <c r="Q19" s="1">
        <f t="shared" si="4"/>
        <v>2.8</v>
      </c>
      <c r="R19" s="5">
        <f t="shared" si="11"/>
        <v>22.4</v>
      </c>
      <c r="S19" s="5"/>
      <c r="T19" s="25">
        <f>VLOOKUP(A19,заказ!A:B,2,0)</f>
        <v>24</v>
      </c>
      <c r="U19" s="25"/>
      <c r="V19" s="5">
        <f t="shared" si="6"/>
        <v>22.4</v>
      </c>
      <c r="W19" s="5">
        <f t="shared" si="7"/>
        <v>0</v>
      </c>
      <c r="X19" s="18"/>
      <c r="Y19" s="18"/>
      <c r="Z19" s="1">
        <f t="shared" si="8"/>
        <v>18</v>
      </c>
      <c r="AA19" s="1">
        <f t="shared" si="5"/>
        <v>10</v>
      </c>
      <c r="AB19" s="1">
        <v>0.2</v>
      </c>
      <c r="AC19" s="1">
        <v>2.8</v>
      </c>
      <c r="AD19" s="1">
        <v>-0.2</v>
      </c>
      <c r="AE19" s="1">
        <v>0.4</v>
      </c>
      <c r="AF19" s="1">
        <v>3.8</v>
      </c>
      <c r="AG19" s="1">
        <v>-0.4</v>
      </c>
      <c r="AH19" s="1">
        <v>1.8</v>
      </c>
      <c r="AI19" s="1">
        <v>2</v>
      </c>
      <c r="AJ19" s="1">
        <v>2.4</v>
      </c>
      <c r="AK19" s="1">
        <v>4</v>
      </c>
      <c r="AL19" s="1" t="s">
        <v>53</v>
      </c>
      <c r="AM19" s="1">
        <f t="shared" si="9"/>
        <v>2.2399999999999998</v>
      </c>
      <c r="AN19" s="1">
        <f t="shared" si="10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5">
      <c r="A20" s="16" t="s">
        <v>54</v>
      </c>
      <c r="B20" s="1" t="s">
        <v>36</v>
      </c>
      <c r="C20" s="1">
        <v>1391</v>
      </c>
      <c r="D20" s="1">
        <v>1583</v>
      </c>
      <c r="E20" s="1">
        <v>614</v>
      </c>
      <c r="F20" s="1">
        <v>1348</v>
      </c>
      <c r="G20" s="7">
        <v>0.18</v>
      </c>
      <c r="H20" s="1">
        <v>180</v>
      </c>
      <c r="I20" s="1" t="s">
        <v>42</v>
      </c>
      <c r="J20" s="1"/>
      <c r="K20" s="1">
        <v>614</v>
      </c>
      <c r="L20" s="1">
        <f t="shared" si="3"/>
        <v>0</v>
      </c>
      <c r="M20" s="1"/>
      <c r="N20" s="1"/>
      <c r="O20" s="1">
        <v>100</v>
      </c>
      <c r="P20" s="1">
        <v>900</v>
      </c>
      <c r="Q20" s="1">
        <f t="shared" si="4"/>
        <v>122.8</v>
      </c>
      <c r="R20" s="5"/>
      <c r="S20" s="5">
        <f>23*Q20-R20-P20-O20-F20</f>
        <v>476.40000000000009</v>
      </c>
      <c r="T20" s="25"/>
      <c r="U20" s="25">
        <v>1000</v>
      </c>
      <c r="V20" s="5">
        <f t="shared" si="6"/>
        <v>0</v>
      </c>
      <c r="W20" s="5">
        <f>Y20</f>
        <v>1000</v>
      </c>
      <c r="X20" s="18"/>
      <c r="Y20" s="1">
        <v>1000</v>
      </c>
      <c r="Z20" s="1">
        <f t="shared" si="8"/>
        <v>27.263843648208471</v>
      </c>
      <c r="AA20" s="1">
        <f t="shared" si="5"/>
        <v>19.120521172638437</v>
      </c>
      <c r="AB20" s="1">
        <v>121.6</v>
      </c>
      <c r="AC20" s="1">
        <v>101.4</v>
      </c>
      <c r="AD20" s="1">
        <v>87.6</v>
      </c>
      <c r="AE20" s="1">
        <v>117</v>
      </c>
      <c r="AF20" s="1">
        <v>117.2</v>
      </c>
      <c r="AG20" s="1">
        <v>40</v>
      </c>
      <c r="AH20" s="1">
        <v>85.8</v>
      </c>
      <c r="AI20" s="1">
        <v>89.8</v>
      </c>
      <c r="AJ20" s="1">
        <v>60.2</v>
      </c>
      <c r="AK20" s="1">
        <v>74.599999999999994</v>
      </c>
      <c r="AL20" s="1"/>
      <c r="AM20" s="1">
        <f t="shared" si="9"/>
        <v>0</v>
      </c>
      <c r="AN20" s="1">
        <f t="shared" si="10"/>
        <v>180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5">
      <c r="A21" s="16" t="s">
        <v>55</v>
      </c>
      <c r="B21" s="1" t="s">
        <v>36</v>
      </c>
      <c r="C21" s="1">
        <v>1125</v>
      </c>
      <c r="D21" s="1">
        <v>1091</v>
      </c>
      <c r="E21" s="1">
        <v>571</v>
      </c>
      <c r="F21" s="1">
        <v>1171</v>
      </c>
      <c r="G21" s="7">
        <v>0.18</v>
      </c>
      <c r="H21" s="1">
        <v>180</v>
      </c>
      <c r="I21" s="1" t="s">
        <v>42</v>
      </c>
      <c r="J21" s="1"/>
      <c r="K21" s="1">
        <v>571</v>
      </c>
      <c r="L21" s="1">
        <f t="shared" si="3"/>
        <v>0</v>
      </c>
      <c r="M21" s="1"/>
      <c r="N21" s="1"/>
      <c r="O21" s="1">
        <v>980</v>
      </c>
      <c r="P21" s="1">
        <v>1000</v>
      </c>
      <c r="Q21" s="1">
        <f t="shared" si="4"/>
        <v>114.2</v>
      </c>
      <c r="R21" s="5"/>
      <c r="S21" s="5"/>
      <c r="T21" s="25"/>
      <c r="U21" s="25">
        <v>1000</v>
      </c>
      <c r="V21" s="5">
        <f t="shared" si="6"/>
        <v>0</v>
      </c>
      <c r="W21" s="22">
        <f>Y21</f>
        <v>1000</v>
      </c>
      <c r="X21" s="18"/>
      <c r="Y21" s="1">
        <v>1000</v>
      </c>
      <c r="Z21" s="1">
        <f t="shared" si="8"/>
        <v>36.348511383537655</v>
      </c>
      <c r="AA21" s="1">
        <f t="shared" si="5"/>
        <v>27.591943957968475</v>
      </c>
      <c r="AB21" s="1">
        <v>134.80000000000001</v>
      </c>
      <c r="AC21" s="1">
        <v>129.4</v>
      </c>
      <c r="AD21" s="1">
        <v>104.8</v>
      </c>
      <c r="AE21" s="1">
        <v>50.2</v>
      </c>
      <c r="AF21" s="1">
        <v>84.2</v>
      </c>
      <c r="AG21" s="1">
        <v>38.4</v>
      </c>
      <c r="AH21" s="1">
        <v>42</v>
      </c>
      <c r="AI21" s="1">
        <v>110</v>
      </c>
      <c r="AJ21" s="1">
        <v>7.4</v>
      </c>
      <c r="AK21" s="1">
        <v>1.6</v>
      </c>
      <c r="AL21" s="1" t="s">
        <v>56</v>
      </c>
      <c r="AM21" s="1">
        <f t="shared" si="9"/>
        <v>0</v>
      </c>
      <c r="AN21" s="1">
        <f t="shared" si="10"/>
        <v>180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5">
      <c r="A22" s="1" t="s">
        <v>57</v>
      </c>
      <c r="B22" s="1" t="s">
        <v>36</v>
      </c>
      <c r="C22" s="1">
        <v>14</v>
      </c>
      <c r="D22" s="1">
        <v>14</v>
      </c>
      <c r="E22" s="1">
        <v>8</v>
      </c>
      <c r="F22" s="1">
        <v>12</v>
      </c>
      <c r="G22" s="7">
        <v>0.4</v>
      </c>
      <c r="H22" s="1">
        <v>270</v>
      </c>
      <c r="I22" s="1" t="s">
        <v>42</v>
      </c>
      <c r="J22" s="1"/>
      <c r="K22" s="1">
        <v>8</v>
      </c>
      <c r="L22" s="1">
        <f t="shared" si="3"/>
        <v>0</v>
      </c>
      <c r="M22" s="1"/>
      <c r="N22" s="1"/>
      <c r="O22" s="1">
        <v>8</v>
      </c>
      <c r="P22" s="1"/>
      <c r="Q22" s="1">
        <f t="shared" si="4"/>
        <v>1.6</v>
      </c>
      <c r="R22" s="5">
        <f t="shared" si="11"/>
        <v>8.8000000000000007</v>
      </c>
      <c r="S22" s="5"/>
      <c r="T22" s="25">
        <f>VLOOKUP(A22,заказ!A:B,2,0)</f>
        <v>32</v>
      </c>
      <c r="U22" s="25"/>
      <c r="V22" s="5">
        <v>30</v>
      </c>
      <c r="W22" s="5">
        <f t="shared" si="7"/>
        <v>0</v>
      </c>
      <c r="X22" s="18">
        <f>VLOOKUP(A22,[1]Sheet!$A:$U,20,0)</f>
        <v>30</v>
      </c>
      <c r="Y22" s="18"/>
      <c r="Z22" s="1">
        <f t="shared" si="8"/>
        <v>31.25</v>
      </c>
      <c r="AA22" s="1">
        <f t="shared" si="5"/>
        <v>12.5</v>
      </c>
      <c r="AB22" s="1">
        <v>0.6</v>
      </c>
      <c r="AC22" s="1">
        <v>1.4</v>
      </c>
      <c r="AD22" s="1">
        <v>0.4</v>
      </c>
      <c r="AE22" s="1">
        <v>1</v>
      </c>
      <c r="AF22" s="1">
        <v>1.4</v>
      </c>
      <c r="AG22" s="1">
        <v>0.2</v>
      </c>
      <c r="AH22" s="1">
        <v>1.2</v>
      </c>
      <c r="AI22" s="1">
        <v>1.2</v>
      </c>
      <c r="AJ22" s="1">
        <v>1</v>
      </c>
      <c r="AK22" s="1">
        <v>-0.2</v>
      </c>
      <c r="AL22" s="1"/>
      <c r="AM22" s="1">
        <f t="shared" si="9"/>
        <v>12</v>
      </c>
      <c r="AN22" s="1">
        <f t="shared" si="10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5">
      <c r="A23" s="1" t="s">
        <v>58</v>
      </c>
      <c r="B23" s="1" t="s">
        <v>36</v>
      </c>
      <c r="C23" s="1">
        <v>72</v>
      </c>
      <c r="D23" s="1"/>
      <c r="E23" s="1">
        <v>42</v>
      </c>
      <c r="F23" s="1">
        <v>29</v>
      </c>
      <c r="G23" s="7">
        <v>0.4</v>
      </c>
      <c r="H23" s="1">
        <v>270</v>
      </c>
      <c r="I23" s="1" t="s">
        <v>42</v>
      </c>
      <c r="J23" s="1"/>
      <c r="K23" s="1">
        <v>43</v>
      </c>
      <c r="L23" s="1">
        <f t="shared" si="3"/>
        <v>-1</v>
      </c>
      <c r="M23" s="1"/>
      <c r="N23" s="1"/>
      <c r="O23" s="1"/>
      <c r="P23" s="1"/>
      <c r="Q23" s="1">
        <f t="shared" si="4"/>
        <v>8.4</v>
      </c>
      <c r="R23" s="5">
        <f>13*Q23-P23-O23-F23</f>
        <v>80.2</v>
      </c>
      <c r="S23" s="5"/>
      <c r="T23" s="25">
        <f>VLOOKUP(A23,заказ!A:B,2,0)</f>
        <v>84</v>
      </c>
      <c r="U23" s="25"/>
      <c r="V23" s="5">
        <f t="shared" si="6"/>
        <v>80.2</v>
      </c>
      <c r="W23" s="5">
        <f t="shared" si="7"/>
        <v>0</v>
      </c>
      <c r="X23" s="18"/>
      <c r="Y23" s="18"/>
      <c r="Z23" s="1">
        <f t="shared" si="8"/>
        <v>13</v>
      </c>
      <c r="AA23" s="1">
        <f t="shared" si="5"/>
        <v>3.4523809523809521</v>
      </c>
      <c r="AB23" s="1">
        <v>0.2</v>
      </c>
      <c r="AC23" s="1">
        <v>1</v>
      </c>
      <c r="AD23" s="1">
        <v>0.6</v>
      </c>
      <c r="AE23" s="1">
        <v>0.2</v>
      </c>
      <c r="AF23" s="1">
        <v>0</v>
      </c>
      <c r="AG23" s="1">
        <v>0.4</v>
      </c>
      <c r="AH23" s="1">
        <v>0</v>
      </c>
      <c r="AI23" s="1">
        <v>0</v>
      </c>
      <c r="AJ23" s="1">
        <v>0</v>
      </c>
      <c r="AK23" s="1">
        <v>0</v>
      </c>
      <c r="AL23" s="1"/>
      <c r="AM23" s="1">
        <f t="shared" si="9"/>
        <v>32.080000000000005</v>
      </c>
      <c r="AN23" s="1">
        <f t="shared" si="10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5">
      <c r="A24" s="1" t="s">
        <v>59</v>
      </c>
      <c r="B24" s="1" t="s">
        <v>36</v>
      </c>
      <c r="C24" s="1">
        <v>101</v>
      </c>
      <c r="D24" s="1">
        <v>16</v>
      </c>
      <c r="E24" s="1">
        <v>16</v>
      </c>
      <c r="F24" s="1">
        <v>84</v>
      </c>
      <c r="G24" s="7">
        <v>0.18</v>
      </c>
      <c r="H24" s="1">
        <v>270</v>
      </c>
      <c r="I24" s="1" t="s">
        <v>42</v>
      </c>
      <c r="J24" s="1"/>
      <c r="K24" s="1">
        <v>17</v>
      </c>
      <c r="L24" s="1">
        <f t="shared" si="3"/>
        <v>-1</v>
      </c>
      <c r="M24" s="1"/>
      <c r="N24" s="1"/>
      <c r="O24" s="1"/>
      <c r="P24" s="1"/>
      <c r="Q24" s="1">
        <f t="shared" si="4"/>
        <v>3.2</v>
      </c>
      <c r="R24" s="5"/>
      <c r="S24" s="5"/>
      <c r="T24" s="25"/>
      <c r="U24" s="25"/>
      <c r="V24" s="5">
        <f t="shared" si="6"/>
        <v>0</v>
      </c>
      <c r="W24" s="5">
        <f t="shared" si="7"/>
        <v>0</v>
      </c>
      <c r="X24" s="18"/>
      <c r="Y24" s="18"/>
      <c r="Z24" s="1">
        <f t="shared" si="8"/>
        <v>26.25</v>
      </c>
      <c r="AA24" s="1">
        <f t="shared" si="5"/>
        <v>26.25</v>
      </c>
      <c r="AB24" s="1">
        <v>0.6</v>
      </c>
      <c r="AC24" s="1">
        <v>3.4</v>
      </c>
      <c r="AD24" s="1">
        <v>5</v>
      </c>
      <c r="AE24" s="1">
        <v>0.4</v>
      </c>
      <c r="AF24" s="1">
        <v>0.6</v>
      </c>
      <c r="AG24" s="1">
        <v>1.8</v>
      </c>
      <c r="AH24" s="1">
        <v>0.4</v>
      </c>
      <c r="AI24" s="1">
        <v>3.2</v>
      </c>
      <c r="AJ24" s="1">
        <v>0.2</v>
      </c>
      <c r="AK24" s="1">
        <v>19.600000000000001</v>
      </c>
      <c r="AL24" s="15" t="s">
        <v>38</v>
      </c>
      <c r="AM24" s="1">
        <f t="shared" si="9"/>
        <v>0</v>
      </c>
      <c r="AN24" s="1">
        <f t="shared" si="10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5">
      <c r="A25" s="1" t="s">
        <v>60</v>
      </c>
      <c r="B25" s="1" t="s">
        <v>36</v>
      </c>
      <c r="C25" s="1">
        <v>41</v>
      </c>
      <c r="D25" s="1"/>
      <c r="E25" s="1">
        <v>14</v>
      </c>
      <c r="F25" s="1">
        <v>27</v>
      </c>
      <c r="G25" s="7">
        <v>0.2</v>
      </c>
      <c r="H25" s="1">
        <v>120</v>
      </c>
      <c r="I25" s="1"/>
      <c r="J25" s="1"/>
      <c r="K25" s="1">
        <v>14</v>
      </c>
      <c r="L25" s="1">
        <f t="shared" si="3"/>
        <v>0</v>
      </c>
      <c r="M25" s="1"/>
      <c r="N25" s="1"/>
      <c r="O25" s="1">
        <v>36</v>
      </c>
      <c r="P25" s="1"/>
      <c r="Q25" s="1">
        <f t="shared" si="4"/>
        <v>2.8</v>
      </c>
      <c r="R25" s="5"/>
      <c r="S25" s="5"/>
      <c r="T25" s="25">
        <f>VLOOKUP(A25,заказ!A:B,2,0)</f>
        <v>24</v>
      </c>
      <c r="U25" s="25"/>
      <c r="V25" s="5">
        <v>20</v>
      </c>
      <c r="W25" s="5">
        <f t="shared" si="7"/>
        <v>0</v>
      </c>
      <c r="X25" s="18">
        <f>VLOOKUP(A25,[1]Sheet!$A:$U,20,0)</f>
        <v>20</v>
      </c>
      <c r="Y25" s="18"/>
      <c r="Z25" s="1">
        <f t="shared" si="8"/>
        <v>29.642857142857146</v>
      </c>
      <c r="AA25" s="1">
        <f t="shared" si="5"/>
        <v>22.5</v>
      </c>
      <c r="AB25" s="1">
        <v>1.4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 t="s">
        <v>61</v>
      </c>
      <c r="AM25" s="1">
        <f t="shared" si="9"/>
        <v>4</v>
      </c>
      <c r="AN25" s="1">
        <f t="shared" si="10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5">
      <c r="A26" s="9" t="s">
        <v>62</v>
      </c>
      <c r="B26" s="9" t="s">
        <v>41</v>
      </c>
      <c r="C26" s="9"/>
      <c r="D26" s="9"/>
      <c r="E26" s="9"/>
      <c r="F26" s="9"/>
      <c r="G26" s="10">
        <v>0</v>
      </c>
      <c r="H26" s="9">
        <v>180</v>
      </c>
      <c r="I26" s="9" t="s">
        <v>63</v>
      </c>
      <c r="J26" s="9"/>
      <c r="K26" s="9"/>
      <c r="L26" s="9">
        <f t="shared" si="3"/>
        <v>0</v>
      </c>
      <c r="M26" s="9"/>
      <c r="N26" s="9"/>
      <c r="O26" s="9"/>
      <c r="P26" s="9"/>
      <c r="Q26" s="9">
        <f t="shared" si="4"/>
        <v>0</v>
      </c>
      <c r="R26" s="11"/>
      <c r="S26" s="11"/>
      <c r="T26" s="25"/>
      <c r="U26" s="25"/>
      <c r="V26" s="5">
        <f t="shared" si="6"/>
        <v>0</v>
      </c>
      <c r="W26" s="5">
        <f t="shared" si="7"/>
        <v>0</v>
      </c>
      <c r="X26" s="18"/>
      <c r="Y26" s="19"/>
      <c r="Z26" s="1" t="e">
        <f t="shared" si="8"/>
        <v>#DIV/0!</v>
      </c>
      <c r="AA26" s="9" t="e">
        <f t="shared" si="5"/>
        <v>#DIV/0!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-0.36159999999999998</v>
      </c>
      <c r="AJ26" s="9">
        <v>0</v>
      </c>
      <c r="AK26" s="9">
        <v>0</v>
      </c>
      <c r="AL26" s="9" t="s">
        <v>64</v>
      </c>
      <c r="AM26" s="1">
        <f t="shared" si="9"/>
        <v>0</v>
      </c>
      <c r="AN26" s="1">
        <f t="shared" si="10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5">
      <c r="A27" s="1" t="s">
        <v>65</v>
      </c>
      <c r="B27" s="1" t="s">
        <v>41</v>
      </c>
      <c r="C27" s="1">
        <v>39.005000000000003</v>
      </c>
      <c r="D27" s="1">
        <v>2.0499999999999998</v>
      </c>
      <c r="E27" s="1">
        <v>16.754999999999999</v>
      </c>
      <c r="F27" s="1">
        <v>24.3</v>
      </c>
      <c r="G27" s="7">
        <v>1</v>
      </c>
      <c r="H27" s="1">
        <v>180</v>
      </c>
      <c r="I27" s="1" t="s">
        <v>42</v>
      </c>
      <c r="J27" s="1"/>
      <c r="K27" s="1">
        <v>17</v>
      </c>
      <c r="L27" s="1">
        <f t="shared" si="3"/>
        <v>-0.24500000000000099</v>
      </c>
      <c r="M27" s="1"/>
      <c r="N27" s="1"/>
      <c r="O27" s="1"/>
      <c r="P27" s="1"/>
      <c r="Q27" s="1">
        <f t="shared" si="4"/>
        <v>3.351</v>
      </c>
      <c r="R27" s="5">
        <f>17*Q27-P27-O27-F27</f>
        <v>32.667000000000002</v>
      </c>
      <c r="S27" s="5"/>
      <c r="T27" s="25">
        <f>VLOOKUP(A27,заказ!A:B,2,0)</f>
        <v>200</v>
      </c>
      <c r="U27" s="25"/>
      <c r="V27" s="22">
        <v>200</v>
      </c>
      <c r="W27" s="5">
        <f t="shared" si="7"/>
        <v>0</v>
      </c>
      <c r="X27" s="18">
        <f>VLOOKUP(A27,[1]Sheet!$A:$U,20,0)</f>
        <v>200</v>
      </c>
      <c r="Y27" s="18"/>
      <c r="Z27" s="1">
        <f t="shared" si="8"/>
        <v>66.935243210981795</v>
      </c>
      <c r="AA27" s="1">
        <f t="shared" si="5"/>
        <v>7.2515666965085055</v>
      </c>
      <c r="AB27" s="1">
        <v>1.9930000000000001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 t="s">
        <v>66</v>
      </c>
      <c r="AM27" s="1">
        <f t="shared" si="9"/>
        <v>200</v>
      </c>
      <c r="AN27" s="1">
        <f t="shared" si="10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5">
      <c r="A28" s="1" t="s">
        <v>67</v>
      </c>
      <c r="B28" s="1" t="s">
        <v>36</v>
      </c>
      <c r="C28" s="1">
        <v>73</v>
      </c>
      <c r="D28" s="1">
        <v>51</v>
      </c>
      <c r="E28" s="1">
        <v>41</v>
      </c>
      <c r="F28" s="1">
        <v>74</v>
      </c>
      <c r="G28" s="7">
        <v>0.18</v>
      </c>
      <c r="H28" s="1">
        <v>150</v>
      </c>
      <c r="I28" s="1" t="s">
        <v>42</v>
      </c>
      <c r="J28" s="1"/>
      <c r="K28" s="1">
        <v>41</v>
      </c>
      <c r="L28" s="1">
        <f t="shared" si="3"/>
        <v>0</v>
      </c>
      <c r="M28" s="1"/>
      <c r="N28" s="1"/>
      <c r="O28" s="1">
        <v>198</v>
      </c>
      <c r="P28" s="1"/>
      <c r="Q28" s="1">
        <f t="shared" si="4"/>
        <v>8.1999999999999993</v>
      </c>
      <c r="R28" s="5"/>
      <c r="S28" s="5"/>
      <c r="T28" s="25">
        <f>VLOOKUP(A28,заказ!A:B,2,0)</f>
        <v>102</v>
      </c>
      <c r="U28" s="25"/>
      <c r="V28" s="22">
        <v>100</v>
      </c>
      <c r="W28" s="5">
        <f t="shared" si="7"/>
        <v>0</v>
      </c>
      <c r="X28" s="18">
        <f>VLOOKUP(A28,[1]Sheet!$A:$U,20,0)</f>
        <v>100</v>
      </c>
      <c r="Y28" s="18"/>
      <c r="Z28" s="1">
        <f t="shared" si="8"/>
        <v>45.365853658536587</v>
      </c>
      <c r="AA28" s="1">
        <f t="shared" si="5"/>
        <v>33.170731707317074</v>
      </c>
      <c r="AB28" s="1">
        <v>13.2</v>
      </c>
      <c r="AC28" s="1">
        <v>8.1999999999999993</v>
      </c>
      <c r="AD28" s="1">
        <v>0</v>
      </c>
      <c r="AE28" s="1">
        <v>0</v>
      </c>
      <c r="AF28" s="1">
        <v>0</v>
      </c>
      <c r="AG28" s="1">
        <v>-0.4</v>
      </c>
      <c r="AH28" s="1">
        <v>-0.8</v>
      </c>
      <c r="AI28" s="1">
        <v>0</v>
      </c>
      <c r="AJ28" s="1">
        <v>0</v>
      </c>
      <c r="AK28" s="1">
        <v>2.8</v>
      </c>
      <c r="AL28" s="14" t="s">
        <v>103</v>
      </c>
      <c r="AM28" s="1">
        <f t="shared" si="9"/>
        <v>18</v>
      </c>
      <c r="AN28" s="1">
        <f t="shared" si="10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5">
      <c r="A29" s="1" t="s">
        <v>68</v>
      </c>
      <c r="B29" s="1" t="s">
        <v>36</v>
      </c>
      <c r="C29" s="1">
        <v>120</v>
      </c>
      <c r="D29" s="1">
        <v>61</v>
      </c>
      <c r="E29" s="1">
        <v>31</v>
      </c>
      <c r="F29" s="1">
        <v>105</v>
      </c>
      <c r="G29" s="7">
        <v>0.1</v>
      </c>
      <c r="H29" s="1">
        <v>90</v>
      </c>
      <c r="I29" s="1"/>
      <c r="J29" s="1"/>
      <c r="K29" s="1">
        <v>32</v>
      </c>
      <c r="L29" s="1">
        <f t="shared" si="3"/>
        <v>-1</v>
      </c>
      <c r="M29" s="1"/>
      <c r="N29" s="1"/>
      <c r="O29" s="1"/>
      <c r="P29" s="1"/>
      <c r="Q29" s="1">
        <f t="shared" si="4"/>
        <v>6.2</v>
      </c>
      <c r="R29" s="5">
        <f t="shared" ref="R29:R31" si="12">18*Q29-P29-O29-F29</f>
        <v>6.6000000000000085</v>
      </c>
      <c r="S29" s="5"/>
      <c r="T29" s="25">
        <f>VLOOKUP(A29,заказ!A:B,2,0)</f>
        <v>48</v>
      </c>
      <c r="U29" s="25"/>
      <c r="V29" s="5">
        <v>50</v>
      </c>
      <c r="W29" s="5">
        <f t="shared" si="7"/>
        <v>0</v>
      </c>
      <c r="X29" s="18">
        <f>VLOOKUP(A29,[1]Sheet!$A:$U,20,0)</f>
        <v>50</v>
      </c>
      <c r="Y29" s="18"/>
      <c r="Z29" s="1">
        <f t="shared" si="8"/>
        <v>25</v>
      </c>
      <c r="AA29" s="1">
        <f t="shared" si="5"/>
        <v>16.93548387096774</v>
      </c>
      <c r="AB29" s="1">
        <v>2</v>
      </c>
      <c r="AC29" s="1">
        <v>7.2</v>
      </c>
      <c r="AD29" s="1">
        <v>9</v>
      </c>
      <c r="AE29" s="1">
        <v>9</v>
      </c>
      <c r="AF29" s="1">
        <v>7.8</v>
      </c>
      <c r="AG29" s="1">
        <v>7.2</v>
      </c>
      <c r="AH29" s="1">
        <v>21.4</v>
      </c>
      <c r="AI29" s="1">
        <v>16.2</v>
      </c>
      <c r="AJ29" s="1">
        <v>9</v>
      </c>
      <c r="AK29" s="1">
        <v>9.1999999999999993</v>
      </c>
      <c r="AL29" s="1"/>
      <c r="AM29" s="1">
        <f t="shared" si="9"/>
        <v>5</v>
      </c>
      <c r="AN29" s="1">
        <f t="shared" si="10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5">
      <c r="A30" s="1" t="s">
        <v>69</v>
      </c>
      <c r="B30" s="1" t="s">
        <v>36</v>
      </c>
      <c r="C30" s="1">
        <v>127</v>
      </c>
      <c r="D30" s="1">
        <v>101</v>
      </c>
      <c r="E30" s="1">
        <v>8</v>
      </c>
      <c r="F30" s="1">
        <v>79</v>
      </c>
      <c r="G30" s="7">
        <v>0.1</v>
      </c>
      <c r="H30" s="1">
        <v>60</v>
      </c>
      <c r="I30" s="1"/>
      <c r="J30" s="1"/>
      <c r="K30" s="1">
        <v>77</v>
      </c>
      <c r="L30" s="1">
        <f t="shared" si="3"/>
        <v>-69</v>
      </c>
      <c r="M30" s="1"/>
      <c r="N30" s="1"/>
      <c r="O30" s="1">
        <v>496</v>
      </c>
      <c r="P30" s="1"/>
      <c r="Q30" s="1">
        <f t="shared" si="4"/>
        <v>1.6</v>
      </c>
      <c r="R30" s="5"/>
      <c r="S30" s="5"/>
      <c r="T30" s="25"/>
      <c r="U30" s="25"/>
      <c r="V30" s="5">
        <f t="shared" si="6"/>
        <v>0</v>
      </c>
      <c r="W30" s="5">
        <f t="shared" si="7"/>
        <v>0</v>
      </c>
      <c r="X30" s="18"/>
      <c r="Y30" s="18"/>
      <c r="Z30" s="1">
        <f t="shared" si="8"/>
        <v>359.375</v>
      </c>
      <c r="AA30" s="1">
        <f t="shared" si="5"/>
        <v>359.375</v>
      </c>
      <c r="AB30" s="1">
        <v>30.2</v>
      </c>
      <c r="AC30" s="1">
        <v>17.8</v>
      </c>
      <c r="AD30" s="1">
        <v>16.600000000000001</v>
      </c>
      <c r="AE30" s="1">
        <v>16.399999999999999</v>
      </c>
      <c r="AF30" s="1">
        <v>17.399999999999999</v>
      </c>
      <c r="AG30" s="1">
        <v>30.8</v>
      </c>
      <c r="AH30" s="1">
        <v>13.6</v>
      </c>
      <c r="AI30" s="1">
        <v>37.200000000000003</v>
      </c>
      <c r="AJ30" s="1">
        <v>35.4</v>
      </c>
      <c r="AK30" s="1">
        <v>27</v>
      </c>
      <c r="AL30" s="15" t="s">
        <v>38</v>
      </c>
      <c r="AM30" s="1">
        <f t="shared" si="9"/>
        <v>0</v>
      </c>
      <c r="AN30" s="1">
        <f t="shared" si="10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5">
      <c r="A31" s="1" t="s">
        <v>70</v>
      </c>
      <c r="B31" s="1" t="s">
        <v>36</v>
      </c>
      <c r="C31" s="1">
        <v>254</v>
      </c>
      <c r="D31" s="1">
        <v>178</v>
      </c>
      <c r="E31" s="1">
        <v>87</v>
      </c>
      <c r="F31" s="1">
        <v>198</v>
      </c>
      <c r="G31" s="7">
        <v>0.1</v>
      </c>
      <c r="H31" s="1">
        <v>90</v>
      </c>
      <c r="I31" s="1"/>
      <c r="J31" s="1"/>
      <c r="K31" s="1">
        <v>83</v>
      </c>
      <c r="L31" s="1">
        <f t="shared" si="3"/>
        <v>4</v>
      </c>
      <c r="M31" s="1"/>
      <c r="N31" s="1"/>
      <c r="O31" s="1">
        <v>96</v>
      </c>
      <c r="P31" s="1"/>
      <c r="Q31" s="1">
        <f t="shared" si="4"/>
        <v>17.399999999999999</v>
      </c>
      <c r="R31" s="5">
        <f t="shared" si="12"/>
        <v>19.199999999999989</v>
      </c>
      <c r="S31" s="5"/>
      <c r="T31" s="25">
        <f>VLOOKUP(A31,заказ!A:B,2,0)</f>
        <v>16</v>
      </c>
      <c r="U31" s="25"/>
      <c r="V31" s="5">
        <f t="shared" si="6"/>
        <v>19.199999999999989</v>
      </c>
      <c r="W31" s="5">
        <f t="shared" si="7"/>
        <v>0</v>
      </c>
      <c r="X31" s="18"/>
      <c r="Y31" s="18"/>
      <c r="Z31" s="1">
        <f t="shared" si="8"/>
        <v>18</v>
      </c>
      <c r="AA31" s="1">
        <f t="shared" si="5"/>
        <v>16.896551724137932</v>
      </c>
      <c r="AB31" s="1">
        <v>16</v>
      </c>
      <c r="AC31" s="1">
        <v>15</v>
      </c>
      <c r="AD31" s="1">
        <v>19.8</v>
      </c>
      <c r="AE31" s="1">
        <v>13.6</v>
      </c>
      <c r="AF31" s="1">
        <v>14.4</v>
      </c>
      <c r="AG31" s="1">
        <v>26</v>
      </c>
      <c r="AH31" s="1">
        <v>15.8</v>
      </c>
      <c r="AI31" s="1">
        <v>20.8</v>
      </c>
      <c r="AJ31" s="1">
        <v>22.6</v>
      </c>
      <c r="AK31" s="1">
        <v>23.8</v>
      </c>
      <c r="AL31" s="1"/>
      <c r="AM31" s="1">
        <f t="shared" si="9"/>
        <v>1.919999999999999</v>
      </c>
      <c r="AN31" s="1">
        <f t="shared" si="10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5">
      <c r="A32" s="1" t="s">
        <v>71</v>
      </c>
      <c r="B32" s="1" t="s">
        <v>36</v>
      </c>
      <c r="C32" s="1">
        <v>86</v>
      </c>
      <c r="D32" s="1">
        <v>605</v>
      </c>
      <c r="E32" s="1">
        <v>101</v>
      </c>
      <c r="F32" s="1">
        <v>466</v>
      </c>
      <c r="G32" s="7">
        <v>0.18</v>
      </c>
      <c r="H32" s="1">
        <v>150</v>
      </c>
      <c r="I32" s="1" t="s">
        <v>42</v>
      </c>
      <c r="J32" s="1"/>
      <c r="K32" s="1">
        <v>120</v>
      </c>
      <c r="L32" s="1">
        <f t="shared" si="3"/>
        <v>-19</v>
      </c>
      <c r="M32" s="1"/>
      <c r="N32" s="1"/>
      <c r="O32" s="1">
        <v>100</v>
      </c>
      <c r="P32" s="1"/>
      <c r="Q32" s="1">
        <f t="shared" si="4"/>
        <v>20.2</v>
      </c>
      <c r="R32" s="5"/>
      <c r="S32" s="5"/>
      <c r="T32" s="25"/>
      <c r="U32" s="25"/>
      <c r="V32" s="5">
        <f t="shared" si="6"/>
        <v>0</v>
      </c>
      <c r="W32" s="5">
        <f t="shared" si="7"/>
        <v>0</v>
      </c>
      <c r="X32" s="18"/>
      <c r="Y32" s="18"/>
      <c r="Z32" s="1">
        <f t="shared" si="8"/>
        <v>28.019801980198022</v>
      </c>
      <c r="AA32" s="1">
        <f t="shared" si="5"/>
        <v>28.019801980198022</v>
      </c>
      <c r="AB32" s="1">
        <v>18.8</v>
      </c>
      <c r="AC32" s="1">
        <v>32.6</v>
      </c>
      <c r="AD32" s="1">
        <v>0</v>
      </c>
      <c r="AE32" s="1">
        <v>-0.2</v>
      </c>
      <c r="AF32" s="1">
        <v>0</v>
      </c>
      <c r="AG32" s="1">
        <v>-0.2</v>
      </c>
      <c r="AH32" s="1">
        <v>-1</v>
      </c>
      <c r="AI32" s="1">
        <v>-0.6</v>
      </c>
      <c r="AJ32" s="1">
        <v>-0.8</v>
      </c>
      <c r="AK32" s="1">
        <v>-2.8</v>
      </c>
      <c r="AL32" s="1" t="s">
        <v>72</v>
      </c>
      <c r="AM32" s="1">
        <f t="shared" si="9"/>
        <v>0</v>
      </c>
      <c r="AN32" s="1">
        <f t="shared" si="10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5">
      <c r="A33" s="1" t="s">
        <v>73</v>
      </c>
      <c r="B33" s="1" t="s">
        <v>36</v>
      </c>
      <c r="C33" s="1">
        <v>510</v>
      </c>
      <c r="D33" s="1">
        <v>511</v>
      </c>
      <c r="E33" s="1">
        <v>214</v>
      </c>
      <c r="F33" s="1">
        <v>735</v>
      </c>
      <c r="G33" s="7">
        <v>0.18</v>
      </c>
      <c r="H33" s="1">
        <v>150</v>
      </c>
      <c r="I33" s="1" t="s">
        <v>42</v>
      </c>
      <c r="J33" s="1"/>
      <c r="K33" s="1">
        <v>214</v>
      </c>
      <c r="L33" s="1">
        <f t="shared" si="3"/>
        <v>0</v>
      </c>
      <c r="M33" s="1"/>
      <c r="N33" s="1"/>
      <c r="O33" s="1">
        <v>100</v>
      </c>
      <c r="P33" s="1"/>
      <c r="Q33" s="1">
        <f t="shared" si="4"/>
        <v>42.8</v>
      </c>
      <c r="R33" s="5"/>
      <c r="S33" s="5"/>
      <c r="T33" s="25"/>
      <c r="U33" s="25"/>
      <c r="V33" s="5">
        <f t="shared" si="6"/>
        <v>0</v>
      </c>
      <c r="W33" s="5">
        <f t="shared" si="7"/>
        <v>0</v>
      </c>
      <c r="X33" s="18"/>
      <c r="Y33" s="18"/>
      <c r="Z33" s="1">
        <f t="shared" si="8"/>
        <v>19.509345794392523</v>
      </c>
      <c r="AA33" s="1">
        <f t="shared" si="5"/>
        <v>19.509345794392523</v>
      </c>
      <c r="AB33" s="1">
        <v>29.2</v>
      </c>
      <c r="AC33" s="1">
        <v>59.6</v>
      </c>
      <c r="AD33" s="1">
        <v>52.2</v>
      </c>
      <c r="AE33" s="1">
        <v>21.6</v>
      </c>
      <c r="AF33" s="1">
        <v>13.4</v>
      </c>
      <c r="AG33" s="1">
        <v>50.6</v>
      </c>
      <c r="AH33" s="1">
        <v>14.8</v>
      </c>
      <c r="AI33" s="1">
        <v>37.799999999999997</v>
      </c>
      <c r="AJ33" s="1">
        <v>36.799999999999997</v>
      </c>
      <c r="AK33" s="1">
        <v>32</v>
      </c>
      <c r="AL33" s="1"/>
      <c r="AM33" s="1">
        <f t="shared" si="9"/>
        <v>0</v>
      </c>
      <c r="AN33" s="1">
        <f t="shared" si="10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5">
      <c r="A34" s="1" t="s">
        <v>74</v>
      </c>
      <c r="B34" s="1" t="s">
        <v>36</v>
      </c>
      <c r="C34" s="1">
        <v>125</v>
      </c>
      <c r="D34" s="1">
        <v>265</v>
      </c>
      <c r="E34" s="1">
        <v>39</v>
      </c>
      <c r="F34" s="1">
        <v>290</v>
      </c>
      <c r="G34" s="7">
        <v>0.18</v>
      </c>
      <c r="H34" s="1">
        <v>150</v>
      </c>
      <c r="I34" s="1" t="s">
        <v>42</v>
      </c>
      <c r="J34" s="1"/>
      <c r="K34" s="1">
        <v>39</v>
      </c>
      <c r="L34" s="1">
        <f t="shared" si="3"/>
        <v>0</v>
      </c>
      <c r="M34" s="1"/>
      <c r="N34" s="1"/>
      <c r="O34" s="1">
        <v>100</v>
      </c>
      <c r="P34" s="1"/>
      <c r="Q34" s="1">
        <f t="shared" si="4"/>
        <v>7.8</v>
      </c>
      <c r="R34" s="5"/>
      <c r="S34" s="5"/>
      <c r="T34" s="25"/>
      <c r="U34" s="25"/>
      <c r="V34" s="5">
        <f t="shared" si="6"/>
        <v>0</v>
      </c>
      <c r="W34" s="5">
        <f t="shared" si="7"/>
        <v>0</v>
      </c>
      <c r="X34" s="18"/>
      <c r="Y34" s="18"/>
      <c r="Z34" s="1">
        <f t="shared" si="8"/>
        <v>50</v>
      </c>
      <c r="AA34" s="1">
        <f t="shared" si="5"/>
        <v>50</v>
      </c>
      <c r="AB34" s="1">
        <v>9.6</v>
      </c>
      <c r="AC34" s="1">
        <v>9.4</v>
      </c>
      <c r="AD34" s="1">
        <v>9.6</v>
      </c>
      <c r="AE34" s="1">
        <v>5.8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4" t="s">
        <v>104</v>
      </c>
      <c r="AM34" s="1">
        <f t="shared" si="9"/>
        <v>0</v>
      </c>
      <c r="AN34" s="1">
        <f t="shared" si="10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5">
      <c r="A35" s="1" t="s">
        <v>75</v>
      </c>
      <c r="B35" s="1" t="s">
        <v>36</v>
      </c>
      <c r="C35" s="1">
        <v>67</v>
      </c>
      <c r="D35" s="1">
        <v>205</v>
      </c>
      <c r="E35" s="1">
        <v>50</v>
      </c>
      <c r="F35" s="1">
        <v>206</v>
      </c>
      <c r="G35" s="7">
        <v>0.18</v>
      </c>
      <c r="H35" s="1">
        <v>150</v>
      </c>
      <c r="I35" s="1" t="s">
        <v>42</v>
      </c>
      <c r="J35" s="1"/>
      <c r="K35" s="1">
        <v>60</v>
      </c>
      <c r="L35" s="1">
        <f t="shared" si="3"/>
        <v>-10</v>
      </c>
      <c r="M35" s="1"/>
      <c r="N35" s="1"/>
      <c r="O35" s="1">
        <v>200</v>
      </c>
      <c r="P35" s="1"/>
      <c r="Q35" s="1">
        <f t="shared" si="4"/>
        <v>10</v>
      </c>
      <c r="R35" s="5"/>
      <c r="S35" s="5"/>
      <c r="T35" s="25"/>
      <c r="U35" s="25"/>
      <c r="V35" s="5">
        <f t="shared" si="6"/>
        <v>0</v>
      </c>
      <c r="W35" s="5">
        <f t="shared" si="7"/>
        <v>0</v>
      </c>
      <c r="X35" s="18"/>
      <c r="Y35" s="18"/>
      <c r="Z35" s="1">
        <f t="shared" si="8"/>
        <v>40.6</v>
      </c>
      <c r="AA35" s="1">
        <f t="shared" si="5"/>
        <v>40.6</v>
      </c>
      <c r="AB35" s="1">
        <v>21</v>
      </c>
      <c r="AC35" s="1">
        <v>9.4</v>
      </c>
      <c r="AD35" s="1">
        <v>0</v>
      </c>
      <c r="AE35" s="1">
        <v>2</v>
      </c>
      <c r="AF35" s="1">
        <v>9.1999999999999993</v>
      </c>
      <c r="AG35" s="1">
        <v>1</v>
      </c>
      <c r="AH35" s="1">
        <v>6.6</v>
      </c>
      <c r="AI35" s="1">
        <v>11.8</v>
      </c>
      <c r="AJ35" s="1">
        <v>8</v>
      </c>
      <c r="AK35" s="1">
        <v>3.8</v>
      </c>
      <c r="AL35" s="14" t="s">
        <v>105</v>
      </c>
      <c r="AM35" s="1">
        <f t="shared" si="9"/>
        <v>0</v>
      </c>
      <c r="AN35" s="1">
        <f t="shared" si="10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5">
      <c r="A36" s="1" t="s">
        <v>76</v>
      </c>
      <c r="B36" s="1" t="s">
        <v>36</v>
      </c>
      <c r="C36" s="1">
        <v>659</v>
      </c>
      <c r="D36" s="1">
        <v>387</v>
      </c>
      <c r="E36" s="1">
        <v>216</v>
      </c>
      <c r="F36" s="1">
        <v>535</v>
      </c>
      <c r="G36" s="7">
        <v>0.18</v>
      </c>
      <c r="H36" s="1">
        <v>150</v>
      </c>
      <c r="I36" s="1" t="s">
        <v>42</v>
      </c>
      <c r="J36" s="1"/>
      <c r="K36" s="1">
        <v>216</v>
      </c>
      <c r="L36" s="1">
        <f t="shared" si="3"/>
        <v>0</v>
      </c>
      <c r="M36" s="1"/>
      <c r="N36" s="1"/>
      <c r="O36" s="1">
        <v>400</v>
      </c>
      <c r="P36" s="1"/>
      <c r="Q36" s="1">
        <f t="shared" si="4"/>
        <v>43.2</v>
      </c>
      <c r="R36" s="5"/>
      <c r="S36" s="5"/>
      <c r="T36" s="25"/>
      <c r="U36" s="25"/>
      <c r="V36" s="5">
        <f t="shared" si="6"/>
        <v>0</v>
      </c>
      <c r="W36" s="5">
        <f t="shared" si="7"/>
        <v>0</v>
      </c>
      <c r="X36" s="18"/>
      <c r="Y36" s="18"/>
      <c r="Z36" s="1">
        <f t="shared" si="8"/>
        <v>21.643518518518515</v>
      </c>
      <c r="AA36" s="1">
        <f t="shared" si="5"/>
        <v>21.643518518518515</v>
      </c>
      <c r="AB36" s="1">
        <v>64.8</v>
      </c>
      <c r="AC36" s="1">
        <v>43.6</v>
      </c>
      <c r="AD36" s="1">
        <v>56.2</v>
      </c>
      <c r="AE36" s="1">
        <v>60.4</v>
      </c>
      <c r="AF36" s="1">
        <v>60.4</v>
      </c>
      <c r="AG36" s="1">
        <v>47</v>
      </c>
      <c r="AH36" s="1">
        <v>29.4</v>
      </c>
      <c r="AI36" s="1">
        <v>71.8</v>
      </c>
      <c r="AJ36" s="1">
        <v>65.8</v>
      </c>
      <c r="AK36" s="1">
        <v>47.8</v>
      </c>
      <c r="AL36" s="1"/>
      <c r="AM36" s="1">
        <f t="shared" si="9"/>
        <v>0</v>
      </c>
      <c r="AN36" s="1">
        <f t="shared" si="10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5">
      <c r="A37" s="1" t="s">
        <v>77</v>
      </c>
      <c r="B37" s="1" t="s">
        <v>36</v>
      </c>
      <c r="C37" s="1">
        <v>136</v>
      </c>
      <c r="D37" s="1">
        <v>203</v>
      </c>
      <c r="E37" s="1">
        <v>98</v>
      </c>
      <c r="F37" s="1">
        <v>234</v>
      </c>
      <c r="G37" s="7">
        <v>0.18</v>
      </c>
      <c r="H37" s="1">
        <v>150</v>
      </c>
      <c r="I37" s="1" t="s">
        <v>42</v>
      </c>
      <c r="J37" s="1"/>
      <c r="K37" s="1">
        <v>98</v>
      </c>
      <c r="L37" s="1">
        <f t="shared" si="3"/>
        <v>0</v>
      </c>
      <c r="M37" s="1"/>
      <c r="N37" s="1"/>
      <c r="O37" s="1">
        <v>400</v>
      </c>
      <c r="P37" s="1"/>
      <c r="Q37" s="1">
        <f t="shared" si="4"/>
        <v>19.600000000000001</v>
      </c>
      <c r="R37" s="5"/>
      <c r="S37" s="5"/>
      <c r="T37" s="25"/>
      <c r="U37" s="25"/>
      <c r="V37" s="5">
        <f t="shared" si="6"/>
        <v>0</v>
      </c>
      <c r="W37" s="5">
        <f t="shared" si="7"/>
        <v>0</v>
      </c>
      <c r="X37" s="18"/>
      <c r="Y37" s="18"/>
      <c r="Z37" s="1">
        <f t="shared" si="8"/>
        <v>32.346938775510203</v>
      </c>
      <c r="AA37" s="1">
        <f t="shared" si="5"/>
        <v>32.346938775510203</v>
      </c>
      <c r="AB37" s="1">
        <v>30.2</v>
      </c>
      <c r="AC37" s="1">
        <v>22.2</v>
      </c>
      <c r="AD37" s="1">
        <v>0.2</v>
      </c>
      <c r="AE37" s="1">
        <v>16.8</v>
      </c>
      <c r="AF37" s="1">
        <v>16.600000000000001</v>
      </c>
      <c r="AG37" s="1">
        <v>13</v>
      </c>
      <c r="AH37" s="1">
        <v>5.8</v>
      </c>
      <c r="AI37" s="1">
        <v>33.200000000000003</v>
      </c>
      <c r="AJ37" s="1">
        <v>16.600000000000001</v>
      </c>
      <c r="AK37" s="1">
        <v>11.2</v>
      </c>
      <c r="AL37" s="15" t="s">
        <v>38</v>
      </c>
      <c r="AM37" s="1">
        <f t="shared" si="9"/>
        <v>0</v>
      </c>
      <c r="AN37" s="1">
        <f t="shared" si="10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5">
      <c r="A38" s="1" t="s">
        <v>78</v>
      </c>
      <c r="B38" s="1" t="s">
        <v>36</v>
      </c>
      <c r="C38" s="1">
        <v>1</v>
      </c>
      <c r="D38" s="1">
        <v>34</v>
      </c>
      <c r="E38" s="1">
        <v>6</v>
      </c>
      <c r="F38" s="1">
        <v>25</v>
      </c>
      <c r="G38" s="7">
        <v>0.1</v>
      </c>
      <c r="H38" s="1">
        <v>60</v>
      </c>
      <c r="I38" s="1"/>
      <c r="J38" s="1"/>
      <c r="K38" s="1">
        <v>6</v>
      </c>
      <c r="L38" s="1">
        <f t="shared" ref="L38:L55" si="13">E38-K38</f>
        <v>0</v>
      </c>
      <c r="M38" s="1"/>
      <c r="N38" s="1"/>
      <c r="O38" s="1"/>
      <c r="P38" s="1"/>
      <c r="Q38" s="1">
        <f t="shared" ref="Q38:Q55" si="14">E38/5</f>
        <v>1.2</v>
      </c>
      <c r="R38" s="5"/>
      <c r="S38" s="5"/>
      <c r="T38" s="25"/>
      <c r="U38" s="25"/>
      <c r="V38" s="5">
        <f t="shared" si="6"/>
        <v>0</v>
      </c>
      <c r="W38" s="5">
        <f t="shared" si="7"/>
        <v>0</v>
      </c>
      <c r="X38" s="18"/>
      <c r="Y38" s="18"/>
      <c r="Z38" s="1">
        <f t="shared" si="8"/>
        <v>20.833333333333336</v>
      </c>
      <c r="AA38" s="1">
        <f t="shared" ref="AA38:AA55" si="15">(F38+O38+P38)/Q38</f>
        <v>20.833333333333336</v>
      </c>
      <c r="AB38" s="1">
        <v>1</v>
      </c>
      <c r="AC38" s="1">
        <v>2</v>
      </c>
      <c r="AD38" s="1">
        <v>0</v>
      </c>
      <c r="AE38" s="1">
        <v>-0.2</v>
      </c>
      <c r="AF38" s="1">
        <v>0.8</v>
      </c>
      <c r="AG38" s="1">
        <v>0.6</v>
      </c>
      <c r="AH38" s="1">
        <v>0.2</v>
      </c>
      <c r="AI38" s="1">
        <v>0.8</v>
      </c>
      <c r="AJ38" s="1">
        <v>2.2000000000000002</v>
      </c>
      <c r="AK38" s="1">
        <v>0.2</v>
      </c>
      <c r="AL38" s="1" t="s">
        <v>79</v>
      </c>
      <c r="AM38" s="1">
        <f t="shared" si="9"/>
        <v>0</v>
      </c>
      <c r="AN38" s="1">
        <f t="shared" si="10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5">
      <c r="A39" s="1" t="s">
        <v>80</v>
      </c>
      <c r="B39" s="1" t="s">
        <v>36</v>
      </c>
      <c r="C39" s="1">
        <v>106</v>
      </c>
      <c r="D39" s="1">
        <v>53</v>
      </c>
      <c r="E39" s="1">
        <v>16</v>
      </c>
      <c r="F39" s="1">
        <v>103</v>
      </c>
      <c r="G39" s="7">
        <v>0.14000000000000001</v>
      </c>
      <c r="H39" s="1">
        <v>180</v>
      </c>
      <c r="I39" s="1"/>
      <c r="J39" s="1"/>
      <c r="K39" s="1">
        <v>16</v>
      </c>
      <c r="L39" s="1">
        <f t="shared" si="13"/>
        <v>0</v>
      </c>
      <c r="M39" s="1"/>
      <c r="N39" s="1"/>
      <c r="O39" s="1"/>
      <c r="P39" s="1"/>
      <c r="Q39" s="1">
        <f t="shared" si="14"/>
        <v>3.2</v>
      </c>
      <c r="R39" s="5"/>
      <c r="S39" s="5"/>
      <c r="T39" s="25"/>
      <c r="U39" s="25"/>
      <c r="V39" s="5">
        <f t="shared" si="6"/>
        <v>0</v>
      </c>
      <c r="W39" s="5">
        <f t="shared" si="7"/>
        <v>0</v>
      </c>
      <c r="X39" s="18"/>
      <c r="Y39" s="18"/>
      <c r="Z39" s="1">
        <f t="shared" si="8"/>
        <v>32.1875</v>
      </c>
      <c r="AA39" s="1">
        <f t="shared" si="15"/>
        <v>32.1875</v>
      </c>
      <c r="AB39" s="1">
        <v>5.2</v>
      </c>
      <c r="AC39" s="1">
        <v>8.6</v>
      </c>
      <c r="AD39" s="1">
        <v>0</v>
      </c>
      <c r="AE39" s="1">
        <v>2</v>
      </c>
      <c r="AF39" s="1">
        <v>6.4</v>
      </c>
      <c r="AG39" s="1">
        <v>1</v>
      </c>
      <c r="AH39" s="1">
        <v>2.4</v>
      </c>
      <c r="AI39" s="1">
        <v>7.8</v>
      </c>
      <c r="AJ39" s="1">
        <v>4</v>
      </c>
      <c r="AK39" s="1">
        <v>4.5999999999999996</v>
      </c>
      <c r="AL39" s="15" t="s">
        <v>38</v>
      </c>
      <c r="AM39" s="1">
        <f t="shared" si="9"/>
        <v>0</v>
      </c>
      <c r="AN39" s="1">
        <f t="shared" si="10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5">
      <c r="A40" s="1" t="s">
        <v>81</v>
      </c>
      <c r="B40" s="1" t="s">
        <v>36</v>
      </c>
      <c r="C40" s="1">
        <v>126</v>
      </c>
      <c r="D40" s="1">
        <v>19</v>
      </c>
      <c r="E40" s="1">
        <v>86</v>
      </c>
      <c r="F40" s="1">
        <v>27</v>
      </c>
      <c r="G40" s="7">
        <v>0.18</v>
      </c>
      <c r="H40" s="1">
        <v>270</v>
      </c>
      <c r="I40" s="1" t="s">
        <v>42</v>
      </c>
      <c r="J40" s="1"/>
      <c r="K40" s="1">
        <v>86</v>
      </c>
      <c r="L40" s="1">
        <f t="shared" si="13"/>
        <v>0</v>
      </c>
      <c r="M40" s="1"/>
      <c r="N40" s="1"/>
      <c r="O40" s="1">
        <v>608</v>
      </c>
      <c r="P40" s="1"/>
      <c r="Q40" s="1">
        <f t="shared" si="14"/>
        <v>17.2</v>
      </c>
      <c r="R40" s="5"/>
      <c r="S40" s="5"/>
      <c r="T40" s="25"/>
      <c r="U40" s="25"/>
      <c r="V40" s="5">
        <f t="shared" si="6"/>
        <v>0</v>
      </c>
      <c r="W40" s="5">
        <f t="shared" si="7"/>
        <v>0</v>
      </c>
      <c r="X40" s="18"/>
      <c r="Y40" s="18"/>
      <c r="Z40" s="1">
        <f t="shared" si="8"/>
        <v>36.918604651162795</v>
      </c>
      <c r="AA40" s="1">
        <f t="shared" si="15"/>
        <v>36.918604651162795</v>
      </c>
      <c r="AB40" s="1">
        <v>36.799999999999997</v>
      </c>
      <c r="AC40" s="1">
        <v>17.2</v>
      </c>
      <c r="AD40" s="1">
        <v>18.399999999999999</v>
      </c>
      <c r="AE40" s="1">
        <v>10.6</v>
      </c>
      <c r="AF40" s="1">
        <v>22</v>
      </c>
      <c r="AG40" s="1">
        <v>23</v>
      </c>
      <c r="AH40" s="1">
        <v>6.8</v>
      </c>
      <c r="AI40" s="1">
        <v>23.6</v>
      </c>
      <c r="AJ40" s="1">
        <v>19.2</v>
      </c>
      <c r="AK40" s="1">
        <v>10.8</v>
      </c>
      <c r="AL40" s="1"/>
      <c r="AM40" s="1">
        <f t="shared" si="9"/>
        <v>0</v>
      </c>
      <c r="AN40" s="1">
        <f t="shared" si="10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5">
      <c r="A41" s="1" t="s">
        <v>82</v>
      </c>
      <c r="B41" s="1" t="s">
        <v>41</v>
      </c>
      <c r="C41" s="1">
        <v>49.932000000000002</v>
      </c>
      <c r="D41" s="1">
        <v>3.4279999999999999</v>
      </c>
      <c r="E41" s="1">
        <v>6.6719999999999997</v>
      </c>
      <c r="F41" s="1">
        <v>40.043999999999997</v>
      </c>
      <c r="G41" s="7">
        <v>1</v>
      </c>
      <c r="H41" s="1">
        <v>180</v>
      </c>
      <c r="I41" s="1" t="s">
        <v>42</v>
      </c>
      <c r="J41" s="1"/>
      <c r="K41" s="1">
        <v>6.7</v>
      </c>
      <c r="L41" s="1">
        <f t="shared" si="13"/>
        <v>-2.8000000000000469E-2</v>
      </c>
      <c r="M41" s="1"/>
      <c r="N41" s="1"/>
      <c r="O41" s="1"/>
      <c r="P41" s="1"/>
      <c r="Q41" s="1">
        <f t="shared" si="14"/>
        <v>1.3344</v>
      </c>
      <c r="R41" s="5"/>
      <c r="S41" s="5"/>
      <c r="T41" s="25"/>
      <c r="U41" s="25"/>
      <c r="V41" s="5">
        <f t="shared" si="6"/>
        <v>0</v>
      </c>
      <c r="W41" s="5">
        <f t="shared" si="7"/>
        <v>0</v>
      </c>
      <c r="X41" s="18"/>
      <c r="Y41" s="18"/>
      <c r="Z41" s="1">
        <f t="shared" si="8"/>
        <v>30.008992805755394</v>
      </c>
      <c r="AA41" s="1">
        <f t="shared" si="15"/>
        <v>30.008992805755394</v>
      </c>
      <c r="AB41" s="1">
        <v>2.0076000000000001</v>
      </c>
      <c r="AC41" s="1">
        <v>1.2436</v>
      </c>
      <c r="AD41" s="1">
        <v>1.3131999999999999</v>
      </c>
      <c r="AE41" s="1">
        <v>2.9767999999999999</v>
      </c>
      <c r="AF41" s="1">
        <v>0</v>
      </c>
      <c r="AG41" s="1">
        <v>2.524</v>
      </c>
      <c r="AH41" s="1">
        <v>1.3311999999999999</v>
      </c>
      <c r="AI41" s="1">
        <v>0</v>
      </c>
      <c r="AJ41" s="1">
        <v>1.2927999999999999</v>
      </c>
      <c r="AK41" s="1">
        <v>17.328800000000001</v>
      </c>
      <c r="AL41" s="13" t="s">
        <v>83</v>
      </c>
      <c r="AM41" s="1">
        <f t="shared" si="9"/>
        <v>0</v>
      </c>
      <c r="AN41" s="1">
        <f t="shared" si="10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5">
      <c r="A42" s="1" t="s">
        <v>84</v>
      </c>
      <c r="B42" s="1" t="s">
        <v>41</v>
      </c>
      <c r="C42" s="1">
        <v>102.944</v>
      </c>
      <c r="D42" s="1"/>
      <c r="E42" s="1">
        <v>13.656000000000001</v>
      </c>
      <c r="F42" s="1">
        <v>78.957999999999998</v>
      </c>
      <c r="G42" s="7">
        <v>1</v>
      </c>
      <c r="H42" s="1">
        <v>180</v>
      </c>
      <c r="I42" s="1" t="s">
        <v>42</v>
      </c>
      <c r="J42" s="1"/>
      <c r="K42" s="1">
        <v>14</v>
      </c>
      <c r="L42" s="1">
        <f t="shared" si="13"/>
        <v>-0.34399999999999942</v>
      </c>
      <c r="M42" s="1"/>
      <c r="N42" s="1"/>
      <c r="O42" s="1"/>
      <c r="P42" s="1"/>
      <c r="Q42" s="1">
        <f t="shared" si="14"/>
        <v>2.7312000000000003</v>
      </c>
      <c r="R42" s="5"/>
      <c r="S42" s="5"/>
      <c r="T42" s="25">
        <f>VLOOKUP(A42,заказ!A:B,2,0)</f>
        <v>33</v>
      </c>
      <c r="U42" s="25"/>
      <c r="V42" s="5">
        <v>30</v>
      </c>
      <c r="W42" s="5">
        <f t="shared" si="7"/>
        <v>0</v>
      </c>
      <c r="X42" s="18">
        <f>VLOOKUP(A42,[1]Sheet!$A:$U,20,0)</f>
        <v>30</v>
      </c>
      <c r="Y42" s="18"/>
      <c r="Z42" s="1">
        <f t="shared" si="8"/>
        <v>39.893819566490912</v>
      </c>
      <c r="AA42" s="1">
        <f t="shared" si="15"/>
        <v>28.909636789689511</v>
      </c>
      <c r="AB42" s="1">
        <v>1.8868</v>
      </c>
      <c r="AC42" s="1">
        <v>2.0407999999999999</v>
      </c>
      <c r="AD42" s="1">
        <v>2.5371999999999999</v>
      </c>
      <c r="AE42" s="1">
        <v>4.7944000000000004</v>
      </c>
      <c r="AF42" s="1">
        <v>2.5684</v>
      </c>
      <c r="AG42" s="1">
        <v>1.9352</v>
      </c>
      <c r="AH42" s="1">
        <v>2.67</v>
      </c>
      <c r="AI42" s="1">
        <v>7.628400000000001</v>
      </c>
      <c r="AJ42" s="1">
        <v>3.3647999999999998</v>
      </c>
      <c r="AK42" s="1">
        <v>1.3460000000000001</v>
      </c>
      <c r="AL42" s="13" t="s">
        <v>106</v>
      </c>
      <c r="AM42" s="1">
        <f t="shared" si="9"/>
        <v>30</v>
      </c>
      <c r="AN42" s="1">
        <f t="shared" si="10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5">
      <c r="A43" s="9" t="s">
        <v>85</v>
      </c>
      <c r="B43" s="9" t="s">
        <v>41</v>
      </c>
      <c r="C43" s="9">
        <v>-1.034</v>
      </c>
      <c r="D43" s="9">
        <v>1.034</v>
      </c>
      <c r="E43" s="9"/>
      <c r="F43" s="9"/>
      <c r="G43" s="10">
        <v>0</v>
      </c>
      <c r="H43" s="9"/>
      <c r="I43" s="9" t="s">
        <v>86</v>
      </c>
      <c r="J43" s="9" t="s">
        <v>40</v>
      </c>
      <c r="K43" s="9">
        <v>33.200000000000003</v>
      </c>
      <c r="L43" s="9">
        <f t="shared" si="13"/>
        <v>-33.200000000000003</v>
      </c>
      <c r="M43" s="9"/>
      <c r="N43" s="9"/>
      <c r="O43" s="9"/>
      <c r="P43" s="9"/>
      <c r="Q43" s="9">
        <f t="shared" si="14"/>
        <v>0</v>
      </c>
      <c r="R43" s="11"/>
      <c r="S43" s="11"/>
      <c r="T43" s="25"/>
      <c r="U43" s="25"/>
      <c r="V43" s="5">
        <f t="shared" si="6"/>
        <v>0</v>
      </c>
      <c r="W43" s="5">
        <f t="shared" si="7"/>
        <v>0</v>
      </c>
      <c r="X43" s="18"/>
      <c r="Y43" s="19"/>
      <c r="Z43" s="1" t="e">
        <f t="shared" si="8"/>
        <v>#DIV/0!</v>
      </c>
      <c r="AA43" s="9" t="e">
        <f t="shared" si="15"/>
        <v>#DIV/0!</v>
      </c>
      <c r="AB43" s="9">
        <v>0.20680000000000001</v>
      </c>
      <c r="AC43" s="9">
        <v>0.64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/>
      <c r="AM43" s="1">
        <f t="shared" si="9"/>
        <v>0</v>
      </c>
      <c r="AN43" s="1">
        <f t="shared" si="10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5">
      <c r="A44" s="1" t="s">
        <v>87</v>
      </c>
      <c r="B44" s="1" t="s">
        <v>41</v>
      </c>
      <c r="C44" s="1">
        <v>29.065000000000001</v>
      </c>
      <c r="D44" s="1">
        <v>83.043999999999997</v>
      </c>
      <c r="E44" s="1">
        <v>43.07</v>
      </c>
      <c r="F44" s="1">
        <v>38.527999999999999</v>
      </c>
      <c r="G44" s="7">
        <v>1</v>
      </c>
      <c r="H44" s="1">
        <v>180</v>
      </c>
      <c r="I44" s="1" t="s">
        <v>42</v>
      </c>
      <c r="J44" s="1"/>
      <c r="K44" s="1">
        <v>47.5</v>
      </c>
      <c r="L44" s="1">
        <f t="shared" si="13"/>
        <v>-4.43</v>
      </c>
      <c r="M44" s="1"/>
      <c r="N44" s="1"/>
      <c r="O44" s="1">
        <v>148</v>
      </c>
      <c r="P44" s="1"/>
      <c r="Q44" s="1">
        <f t="shared" si="14"/>
        <v>8.6140000000000008</v>
      </c>
      <c r="R44" s="5"/>
      <c r="S44" s="5"/>
      <c r="T44" s="25"/>
      <c r="U44" s="25"/>
      <c r="V44" s="5">
        <f t="shared" si="6"/>
        <v>0</v>
      </c>
      <c r="W44" s="5">
        <f t="shared" si="7"/>
        <v>0</v>
      </c>
      <c r="X44" s="18"/>
      <c r="Y44" s="18"/>
      <c r="Z44" s="1">
        <f t="shared" si="8"/>
        <v>21.65405154399814</v>
      </c>
      <c r="AA44" s="1">
        <f t="shared" si="15"/>
        <v>21.65405154399814</v>
      </c>
      <c r="AB44" s="1">
        <v>11.287599999999999</v>
      </c>
      <c r="AC44" s="1">
        <v>9.5616000000000003</v>
      </c>
      <c r="AD44" s="1">
        <v>0</v>
      </c>
      <c r="AE44" s="1">
        <v>0.7</v>
      </c>
      <c r="AF44" s="1">
        <v>12.469799999999999</v>
      </c>
      <c r="AG44" s="1">
        <v>16.026800000000001</v>
      </c>
      <c r="AH44" s="1">
        <v>8.2444000000000006</v>
      </c>
      <c r="AI44" s="1">
        <v>13.1412</v>
      </c>
      <c r="AJ44" s="1">
        <v>13.5068</v>
      </c>
      <c r="AK44" s="1">
        <v>9.5599999999999987</v>
      </c>
      <c r="AL44" s="1"/>
      <c r="AM44" s="1">
        <f t="shared" si="9"/>
        <v>0</v>
      </c>
      <c r="AN44" s="1">
        <f t="shared" si="10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5">
      <c r="A45" s="1" t="s">
        <v>88</v>
      </c>
      <c r="B45" s="1" t="s">
        <v>41</v>
      </c>
      <c r="C45" s="1">
        <v>49.148000000000003</v>
      </c>
      <c r="D45" s="1">
        <v>30.616</v>
      </c>
      <c r="E45" s="1"/>
      <c r="F45" s="1">
        <v>46.235999999999997</v>
      </c>
      <c r="G45" s="7">
        <v>1</v>
      </c>
      <c r="H45" s="1">
        <v>180</v>
      </c>
      <c r="I45" s="1" t="s">
        <v>42</v>
      </c>
      <c r="J45" s="1"/>
      <c r="K45" s="1"/>
      <c r="L45" s="1">
        <f t="shared" si="13"/>
        <v>0</v>
      </c>
      <c r="M45" s="1"/>
      <c r="N45" s="1"/>
      <c r="O45" s="1"/>
      <c r="P45" s="1"/>
      <c r="Q45" s="1">
        <f t="shared" si="14"/>
        <v>0</v>
      </c>
      <c r="R45" s="5"/>
      <c r="S45" s="5"/>
      <c r="T45" s="25"/>
      <c r="U45" s="25"/>
      <c r="V45" s="5">
        <f t="shared" si="6"/>
        <v>0</v>
      </c>
      <c r="W45" s="5">
        <f t="shared" si="7"/>
        <v>0</v>
      </c>
      <c r="X45" s="18"/>
      <c r="Y45" s="18"/>
      <c r="Z45" s="1" t="e">
        <f t="shared" si="8"/>
        <v>#DIV/0!</v>
      </c>
      <c r="AA45" s="1" t="e">
        <f t="shared" si="15"/>
        <v>#DIV/0!</v>
      </c>
      <c r="AB45" s="1">
        <v>0.56679999999999997</v>
      </c>
      <c r="AC45" s="1">
        <v>1.8672</v>
      </c>
      <c r="AD45" s="1">
        <v>2.0668000000000002</v>
      </c>
      <c r="AE45" s="1">
        <v>2.6816</v>
      </c>
      <c r="AF45" s="1">
        <v>0.60240000000000005</v>
      </c>
      <c r="AG45" s="1">
        <v>0</v>
      </c>
      <c r="AH45" s="1">
        <v>1.3008</v>
      </c>
      <c r="AI45" s="1">
        <v>0</v>
      </c>
      <c r="AJ45" s="1">
        <v>1.274</v>
      </c>
      <c r="AK45" s="1">
        <v>3.7267999999999999</v>
      </c>
      <c r="AL45" s="15" t="s">
        <v>38</v>
      </c>
      <c r="AM45" s="1">
        <f t="shared" si="9"/>
        <v>0</v>
      </c>
      <c r="AN45" s="1">
        <f t="shared" si="10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5">
      <c r="A46" s="1" t="s">
        <v>89</v>
      </c>
      <c r="B46" s="1" t="s">
        <v>36</v>
      </c>
      <c r="C46" s="1">
        <v>473</v>
      </c>
      <c r="D46" s="1">
        <v>64</v>
      </c>
      <c r="E46" s="1">
        <v>174</v>
      </c>
      <c r="F46" s="1">
        <v>231</v>
      </c>
      <c r="G46" s="7">
        <v>0.1</v>
      </c>
      <c r="H46" s="1">
        <v>60</v>
      </c>
      <c r="I46" s="1"/>
      <c r="J46" s="1"/>
      <c r="K46" s="1">
        <v>174</v>
      </c>
      <c r="L46" s="1">
        <f t="shared" si="13"/>
        <v>0</v>
      </c>
      <c r="M46" s="1"/>
      <c r="N46" s="1"/>
      <c r="O46" s="1">
        <v>48</v>
      </c>
      <c r="P46" s="1"/>
      <c r="Q46" s="1">
        <f t="shared" si="14"/>
        <v>34.799999999999997</v>
      </c>
      <c r="R46" s="5">
        <f t="shared" ref="R46:R47" si="16">18*Q46-P46-O46-F46</f>
        <v>347.4</v>
      </c>
      <c r="S46" s="5"/>
      <c r="T46" s="25">
        <f>VLOOKUP(A46,заказ!A:B,2,0)</f>
        <v>348</v>
      </c>
      <c r="U46" s="25"/>
      <c r="V46" s="5">
        <f t="shared" si="6"/>
        <v>347.4</v>
      </c>
      <c r="W46" s="5">
        <f t="shared" si="7"/>
        <v>0</v>
      </c>
      <c r="X46" s="18"/>
      <c r="Y46" s="18"/>
      <c r="Z46" s="1">
        <f t="shared" si="8"/>
        <v>18</v>
      </c>
      <c r="AA46" s="1">
        <f t="shared" si="15"/>
        <v>8.0172413793103452</v>
      </c>
      <c r="AB46" s="1">
        <v>29.2</v>
      </c>
      <c r="AC46" s="1">
        <v>29.6</v>
      </c>
      <c r="AD46" s="1">
        <v>21.2</v>
      </c>
      <c r="AE46" s="1">
        <v>38.4</v>
      </c>
      <c r="AF46" s="1">
        <v>64.599999999999994</v>
      </c>
      <c r="AG46" s="1">
        <v>21.8</v>
      </c>
      <c r="AH46" s="1">
        <v>57</v>
      </c>
      <c r="AI46" s="1">
        <v>62.8</v>
      </c>
      <c r="AJ46" s="1">
        <v>4.8</v>
      </c>
      <c r="AK46" s="1">
        <v>45.8</v>
      </c>
      <c r="AL46" s="1"/>
      <c r="AM46" s="1">
        <f t="shared" si="9"/>
        <v>34.74</v>
      </c>
      <c r="AN46" s="1">
        <f t="shared" si="10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5">
      <c r="A47" s="1" t="s">
        <v>90</v>
      </c>
      <c r="B47" s="1" t="s">
        <v>36</v>
      </c>
      <c r="C47" s="1">
        <v>479</v>
      </c>
      <c r="D47" s="1">
        <v>25</v>
      </c>
      <c r="E47" s="1">
        <v>122</v>
      </c>
      <c r="F47" s="1">
        <v>330</v>
      </c>
      <c r="G47" s="7">
        <v>0.1</v>
      </c>
      <c r="H47" s="1">
        <v>90</v>
      </c>
      <c r="I47" s="1"/>
      <c r="J47" s="1"/>
      <c r="K47" s="1">
        <v>121</v>
      </c>
      <c r="L47" s="1">
        <f t="shared" si="13"/>
        <v>1</v>
      </c>
      <c r="M47" s="1"/>
      <c r="N47" s="1"/>
      <c r="O47" s="1"/>
      <c r="P47" s="1"/>
      <c r="Q47" s="1">
        <f t="shared" si="14"/>
        <v>24.4</v>
      </c>
      <c r="R47" s="5">
        <f t="shared" si="16"/>
        <v>109.19999999999999</v>
      </c>
      <c r="S47" s="5"/>
      <c r="T47" s="25">
        <f>VLOOKUP(A47,заказ!A:B,2,0)</f>
        <v>108</v>
      </c>
      <c r="U47" s="25"/>
      <c r="V47" s="5">
        <f t="shared" si="6"/>
        <v>109.19999999999999</v>
      </c>
      <c r="W47" s="5">
        <f t="shared" si="7"/>
        <v>0</v>
      </c>
      <c r="X47" s="18"/>
      <c r="Y47" s="18"/>
      <c r="Z47" s="1">
        <f t="shared" si="8"/>
        <v>18</v>
      </c>
      <c r="AA47" s="1">
        <f t="shared" si="15"/>
        <v>13.524590163934427</v>
      </c>
      <c r="AB47" s="1">
        <v>16.2</v>
      </c>
      <c r="AC47" s="1">
        <v>18.8</v>
      </c>
      <c r="AD47" s="1">
        <v>12.4</v>
      </c>
      <c r="AE47" s="1">
        <v>29.6</v>
      </c>
      <c r="AF47" s="1">
        <v>40.4</v>
      </c>
      <c r="AG47" s="1">
        <v>24.6</v>
      </c>
      <c r="AH47" s="1">
        <v>41.8</v>
      </c>
      <c r="AI47" s="1">
        <v>47</v>
      </c>
      <c r="AJ47" s="1">
        <v>33.4</v>
      </c>
      <c r="AK47" s="1">
        <v>34</v>
      </c>
      <c r="AL47" s="1"/>
      <c r="AM47" s="1">
        <f t="shared" si="9"/>
        <v>10.92</v>
      </c>
      <c r="AN47" s="1">
        <f t="shared" si="10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5">
      <c r="A48" s="1" t="s">
        <v>91</v>
      </c>
      <c r="B48" s="1" t="s">
        <v>36</v>
      </c>
      <c r="C48" s="1">
        <v>90</v>
      </c>
      <c r="D48" s="1">
        <v>68</v>
      </c>
      <c r="E48" s="1">
        <v>43</v>
      </c>
      <c r="F48" s="1">
        <v>73</v>
      </c>
      <c r="G48" s="7">
        <v>0.14000000000000001</v>
      </c>
      <c r="H48" s="1">
        <v>180</v>
      </c>
      <c r="I48" s="1"/>
      <c r="J48" s="1"/>
      <c r="K48" s="1">
        <v>43</v>
      </c>
      <c r="L48" s="1">
        <f t="shared" si="13"/>
        <v>0</v>
      </c>
      <c r="M48" s="1"/>
      <c r="N48" s="1"/>
      <c r="O48" s="1">
        <v>96</v>
      </c>
      <c r="P48" s="1"/>
      <c r="Q48" s="1">
        <f t="shared" si="14"/>
        <v>8.6</v>
      </c>
      <c r="R48" s="5"/>
      <c r="S48" s="5"/>
      <c r="T48" s="25"/>
      <c r="U48" s="25"/>
      <c r="V48" s="5">
        <f t="shared" si="6"/>
        <v>0</v>
      </c>
      <c r="W48" s="5">
        <f t="shared" si="7"/>
        <v>0</v>
      </c>
      <c r="X48" s="18"/>
      <c r="Y48" s="18"/>
      <c r="Z48" s="1">
        <f t="shared" si="8"/>
        <v>19.651162790697676</v>
      </c>
      <c r="AA48" s="1">
        <f t="shared" si="15"/>
        <v>19.651162790697676</v>
      </c>
      <c r="AB48" s="1">
        <v>8.8000000000000007</v>
      </c>
      <c r="AC48" s="1">
        <v>9</v>
      </c>
      <c r="AD48" s="1">
        <v>5</v>
      </c>
      <c r="AE48" s="1">
        <v>7.6</v>
      </c>
      <c r="AF48" s="1">
        <v>11.8</v>
      </c>
      <c r="AG48" s="1">
        <v>5.6</v>
      </c>
      <c r="AH48" s="1">
        <v>8</v>
      </c>
      <c r="AI48" s="1">
        <v>8.1999999999999993</v>
      </c>
      <c r="AJ48" s="1">
        <v>6.6</v>
      </c>
      <c r="AK48" s="1">
        <v>6.2</v>
      </c>
      <c r="AL48" s="1"/>
      <c r="AM48" s="1">
        <f t="shared" si="9"/>
        <v>0</v>
      </c>
      <c r="AN48" s="1">
        <f t="shared" si="10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5">
      <c r="A49" s="1" t="s">
        <v>92</v>
      </c>
      <c r="B49" s="1" t="s">
        <v>36</v>
      </c>
      <c r="C49" s="1">
        <v>78</v>
      </c>
      <c r="D49" s="1">
        <v>110</v>
      </c>
      <c r="E49" s="1">
        <v>23</v>
      </c>
      <c r="F49" s="1">
        <v>123</v>
      </c>
      <c r="G49" s="7">
        <v>0.2</v>
      </c>
      <c r="H49" s="1">
        <v>120</v>
      </c>
      <c r="I49" s="1"/>
      <c r="J49" s="1"/>
      <c r="K49" s="1">
        <v>23</v>
      </c>
      <c r="L49" s="1">
        <f t="shared" si="13"/>
        <v>0</v>
      </c>
      <c r="M49" s="1"/>
      <c r="N49" s="1"/>
      <c r="O49" s="1">
        <v>40</v>
      </c>
      <c r="P49" s="1"/>
      <c r="Q49" s="1">
        <f t="shared" si="14"/>
        <v>4.5999999999999996</v>
      </c>
      <c r="R49" s="5"/>
      <c r="S49" s="5"/>
      <c r="T49" s="25"/>
      <c r="U49" s="25"/>
      <c r="V49" s="5">
        <f t="shared" si="6"/>
        <v>0</v>
      </c>
      <c r="W49" s="5">
        <f t="shared" si="7"/>
        <v>0</v>
      </c>
      <c r="X49" s="18"/>
      <c r="Y49" s="18"/>
      <c r="Z49" s="1">
        <f t="shared" si="8"/>
        <v>35.434782608695656</v>
      </c>
      <c r="AA49" s="1">
        <f t="shared" si="15"/>
        <v>35.434782608695656</v>
      </c>
      <c r="AB49" s="1">
        <v>3.6</v>
      </c>
      <c r="AC49" s="1">
        <v>3.2</v>
      </c>
      <c r="AD49" s="1">
        <v>7</v>
      </c>
      <c r="AE49" s="1">
        <v>2</v>
      </c>
      <c r="AF49" s="1">
        <v>5.4</v>
      </c>
      <c r="AG49" s="1">
        <v>5.2</v>
      </c>
      <c r="AH49" s="1">
        <v>2.6</v>
      </c>
      <c r="AI49" s="1">
        <v>1</v>
      </c>
      <c r="AJ49" s="1">
        <v>8.1999999999999993</v>
      </c>
      <c r="AK49" s="1">
        <v>3.6</v>
      </c>
      <c r="AL49" s="15" t="s">
        <v>38</v>
      </c>
      <c r="AM49" s="1">
        <f t="shared" si="9"/>
        <v>0</v>
      </c>
      <c r="AN49" s="1">
        <f t="shared" si="10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5">
      <c r="A50" s="9" t="s">
        <v>93</v>
      </c>
      <c r="B50" s="9" t="s">
        <v>36</v>
      </c>
      <c r="C50" s="9">
        <v>20</v>
      </c>
      <c r="D50" s="9"/>
      <c r="E50" s="9"/>
      <c r="F50" s="9"/>
      <c r="G50" s="10">
        <v>0</v>
      </c>
      <c r="H50" s="9"/>
      <c r="I50" s="9" t="s">
        <v>86</v>
      </c>
      <c r="J50" s="9" t="s">
        <v>92</v>
      </c>
      <c r="K50" s="9"/>
      <c r="L50" s="9">
        <f t="shared" si="13"/>
        <v>0</v>
      </c>
      <c r="M50" s="9"/>
      <c r="N50" s="9"/>
      <c r="O50" s="9"/>
      <c r="P50" s="9"/>
      <c r="Q50" s="9">
        <f t="shared" si="14"/>
        <v>0</v>
      </c>
      <c r="R50" s="11"/>
      <c r="S50" s="11"/>
      <c r="T50" s="25"/>
      <c r="U50" s="25"/>
      <c r="V50" s="5">
        <f t="shared" si="6"/>
        <v>0</v>
      </c>
      <c r="W50" s="5">
        <f t="shared" si="7"/>
        <v>0</v>
      </c>
      <c r="X50" s="18"/>
      <c r="Y50" s="19"/>
      <c r="Z50" s="1" t="e">
        <f t="shared" si="8"/>
        <v>#DIV/0!</v>
      </c>
      <c r="AA50" s="9" t="e">
        <f t="shared" si="15"/>
        <v>#DIV/0!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/>
      <c r="AM50" s="1">
        <f t="shared" si="9"/>
        <v>0</v>
      </c>
      <c r="AN50" s="1">
        <f t="shared" si="10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5">
      <c r="A51" s="1" t="s">
        <v>94</v>
      </c>
      <c r="B51" s="1" t="s">
        <v>41</v>
      </c>
      <c r="C51" s="1"/>
      <c r="D51" s="1">
        <v>558.97400000000005</v>
      </c>
      <c r="E51" s="1">
        <v>325.678</v>
      </c>
      <c r="F51" s="1">
        <v>184.274</v>
      </c>
      <c r="G51" s="7">
        <v>1</v>
      </c>
      <c r="H51" s="1">
        <v>120</v>
      </c>
      <c r="I51" s="1" t="s">
        <v>42</v>
      </c>
      <c r="J51" s="1"/>
      <c r="K51" s="1">
        <v>320</v>
      </c>
      <c r="L51" s="1">
        <f t="shared" si="13"/>
        <v>5.6779999999999973</v>
      </c>
      <c r="M51" s="1"/>
      <c r="N51" s="1"/>
      <c r="O51" s="1">
        <v>150</v>
      </c>
      <c r="P51" s="1"/>
      <c r="Q51" s="1">
        <f t="shared" si="14"/>
        <v>65.135599999999997</v>
      </c>
      <c r="R51" s="5">
        <f>12*Q51-P51-O51-F51</f>
        <v>447.3531999999999</v>
      </c>
      <c r="S51" s="5"/>
      <c r="T51" s="25">
        <f>VLOOKUP(A51,заказ!A:B,2,0)</f>
        <v>450</v>
      </c>
      <c r="U51" s="25"/>
      <c r="V51" s="5">
        <f t="shared" si="6"/>
        <v>447.3531999999999</v>
      </c>
      <c r="W51" s="5">
        <f t="shared" si="7"/>
        <v>0</v>
      </c>
      <c r="X51" s="18"/>
      <c r="Y51" s="18"/>
      <c r="Z51" s="1">
        <f t="shared" si="8"/>
        <v>12</v>
      </c>
      <c r="AA51" s="1">
        <f t="shared" si="15"/>
        <v>5.1319708423657726</v>
      </c>
      <c r="AB51" s="1">
        <v>41.976399999999998</v>
      </c>
      <c r="AC51" s="1">
        <v>0.61639999999999995</v>
      </c>
      <c r="AD51" s="1">
        <v>0.63360000000000005</v>
      </c>
      <c r="AE51" s="1">
        <v>0</v>
      </c>
      <c r="AF51" s="1">
        <v>2.5788000000000002</v>
      </c>
      <c r="AG51" s="1">
        <v>10.383800000000001</v>
      </c>
      <c r="AH51" s="1">
        <v>0</v>
      </c>
      <c r="AI51" s="1">
        <v>0</v>
      </c>
      <c r="AJ51" s="1">
        <v>0.83499999999999996</v>
      </c>
      <c r="AK51" s="1">
        <v>0</v>
      </c>
      <c r="AL51" s="1" t="s">
        <v>95</v>
      </c>
      <c r="AM51" s="1">
        <f t="shared" si="9"/>
        <v>447.3531999999999</v>
      </c>
      <c r="AN51" s="1">
        <f t="shared" si="10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5">
      <c r="A52" s="1" t="s">
        <v>96</v>
      </c>
      <c r="B52" s="1" t="s">
        <v>36</v>
      </c>
      <c r="C52" s="1">
        <v>14</v>
      </c>
      <c r="D52" s="1">
        <v>84</v>
      </c>
      <c r="E52" s="12">
        <f>14+E53</f>
        <v>25</v>
      </c>
      <c r="F52" s="12">
        <f>84+F53</f>
        <v>71</v>
      </c>
      <c r="G52" s="7">
        <v>0.2</v>
      </c>
      <c r="H52" s="1">
        <v>120</v>
      </c>
      <c r="I52" s="1"/>
      <c r="J52" s="1"/>
      <c r="K52" s="1">
        <v>14</v>
      </c>
      <c r="L52" s="1">
        <f t="shared" si="13"/>
        <v>11</v>
      </c>
      <c r="M52" s="1"/>
      <c r="N52" s="1"/>
      <c r="O52" s="1">
        <v>70</v>
      </c>
      <c r="P52" s="1"/>
      <c r="Q52" s="1">
        <f t="shared" si="14"/>
        <v>5</v>
      </c>
      <c r="R52" s="5"/>
      <c r="S52" s="5"/>
      <c r="T52" s="25"/>
      <c r="U52" s="25"/>
      <c r="V52" s="5">
        <f t="shared" si="6"/>
        <v>0</v>
      </c>
      <c r="W52" s="5">
        <f t="shared" si="7"/>
        <v>0</v>
      </c>
      <c r="X52" s="18"/>
      <c r="Y52" s="18"/>
      <c r="Z52" s="1">
        <f t="shared" si="8"/>
        <v>28.2</v>
      </c>
      <c r="AA52" s="1">
        <f t="shared" si="15"/>
        <v>28.2</v>
      </c>
      <c r="AB52" s="1">
        <v>5.6</v>
      </c>
      <c r="AC52" s="1">
        <v>4.4000000000000004</v>
      </c>
      <c r="AD52" s="1">
        <v>1.8</v>
      </c>
      <c r="AE52" s="1">
        <v>6</v>
      </c>
      <c r="AF52" s="1">
        <v>4.8</v>
      </c>
      <c r="AG52" s="1">
        <v>5.6</v>
      </c>
      <c r="AH52" s="1">
        <v>1.8</v>
      </c>
      <c r="AI52" s="1">
        <v>3.4</v>
      </c>
      <c r="AJ52" s="1">
        <v>8.6</v>
      </c>
      <c r="AK52" s="1">
        <v>3.6</v>
      </c>
      <c r="AL52" s="1"/>
      <c r="AM52" s="1">
        <f t="shared" si="9"/>
        <v>0</v>
      </c>
      <c r="AN52" s="1">
        <f t="shared" si="10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5">
      <c r="A53" s="9" t="s">
        <v>97</v>
      </c>
      <c r="B53" s="9" t="s">
        <v>36</v>
      </c>
      <c r="C53" s="9">
        <v>34</v>
      </c>
      <c r="D53" s="9"/>
      <c r="E53" s="12">
        <v>11</v>
      </c>
      <c r="F53" s="12">
        <v>-13</v>
      </c>
      <c r="G53" s="10">
        <v>0</v>
      </c>
      <c r="H53" s="9"/>
      <c r="I53" s="9" t="s">
        <v>86</v>
      </c>
      <c r="J53" s="9" t="s">
        <v>96</v>
      </c>
      <c r="K53" s="9">
        <v>11</v>
      </c>
      <c r="L53" s="9">
        <f t="shared" si="13"/>
        <v>0</v>
      </c>
      <c r="M53" s="9"/>
      <c r="N53" s="9"/>
      <c r="O53" s="9"/>
      <c r="P53" s="9"/>
      <c r="Q53" s="9">
        <f t="shared" si="14"/>
        <v>2.2000000000000002</v>
      </c>
      <c r="R53" s="11"/>
      <c r="S53" s="11"/>
      <c r="T53" s="25"/>
      <c r="U53" s="25"/>
      <c r="V53" s="5">
        <f t="shared" si="6"/>
        <v>0</v>
      </c>
      <c r="W53" s="5">
        <f t="shared" si="7"/>
        <v>0</v>
      </c>
      <c r="X53" s="18"/>
      <c r="Y53" s="19"/>
      <c r="Z53" s="1">
        <f t="shared" si="8"/>
        <v>-5.9090909090909083</v>
      </c>
      <c r="AA53" s="9">
        <f t="shared" si="15"/>
        <v>-5.9090909090909083</v>
      </c>
      <c r="AB53" s="9">
        <v>0</v>
      </c>
      <c r="AC53" s="9">
        <v>0.8</v>
      </c>
      <c r="AD53" s="9">
        <v>1.2</v>
      </c>
      <c r="AE53" s="9">
        <v>0.6</v>
      </c>
      <c r="AF53" s="9">
        <v>0</v>
      </c>
      <c r="AG53" s="9">
        <v>0.8</v>
      </c>
      <c r="AH53" s="9">
        <v>0</v>
      </c>
      <c r="AI53" s="9">
        <v>0.2</v>
      </c>
      <c r="AJ53" s="9">
        <v>2.8</v>
      </c>
      <c r="AK53" s="9">
        <v>0</v>
      </c>
      <c r="AL53" s="9"/>
      <c r="AM53" s="1">
        <f t="shared" si="9"/>
        <v>0</v>
      </c>
      <c r="AN53" s="1">
        <f t="shared" si="10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5">
      <c r="A54" s="9" t="s">
        <v>98</v>
      </c>
      <c r="B54" s="9" t="s">
        <v>41</v>
      </c>
      <c r="C54" s="9">
        <v>-3.6739999999999999</v>
      </c>
      <c r="D54" s="9">
        <v>3.6739999999999999</v>
      </c>
      <c r="E54" s="9"/>
      <c r="F54" s="9"/>
      <c r="G54" s="10">
        <v>0</v>
      </c>
      <c r="H54" s="9"/>
      <c r="I54" s="9" t="s">
        <v>86</v>
      </c>
      <c r="J54" s="9" t="s">
        <v>99</v>
      </c>
      <c r="K54" s="9"/>
      <c r="L54" s="9">
        <f t="shared" si="13"/>
        <v>0</v>
      </c>
      <c r="M54" s="9"/>
      <c r="N54" s="9"/>
      <c r="O54" s="9"/>
      <c r="P54" s="9"/>
      <c r="Q54" s="9">
        <f t="shared" si="14"/>
        <v>0</v>
      </c>
      <c r="R54" s="11"/>
      <c r="S54" s="11"/>
      <c r="T54" s="25"/>
      <c r="U54" s="25"/>
      <c r="V54" s="5">
        <f t="shared" si="6"/>
        <v>0</v>
      </c>
      <c r="W54" s="5">
        <f t="shared" si="7"/>
        <v>0</v>
      </c>
      <c r="X54" s="18"/>
      <c r="Y54" s="19"/>
      <c r="Z54" s="1" t="e">
        <f t="shared" si="8"/>
        <v>#DIV/0!</v>
      </c>
      <c r="AA54" s="9" t="e">
        <f t="shared" si="15"/>
        <v>#DIV/0!</v>
      </c>
      <c r="AB54" s="9">
        <v>0</v>
      </c>
      <c r="AC54" s="9">
        <v>0.73480000000000001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/>
      <c r="AM54" s="1">
        <f t="shared" si="9"/>
        <v>0</v>
      </c>
      <c r="AN54" s="1">
        <f t="shared" si="10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5">
      <c r="A55" s="1" t="s">
        <v>99</v>
      </c>
      <c r="B55" s="1" t="s">
        <v>41</v>
      </c>
      <c r="C55" s="1">
        <v>7.7480000000000002</v>
      </c>
      <c r="D55" s="1">
        <v>390.92200000000003</v>
      </c>
      <c r="E55" s="1">
        <v>73.093999999999994</v>
      </c>
      <c r="F55" s="1">
        <v>122.36</v>
      </c>
      <c r="G55" s="7">
        <v>1</v>
      </c>
      <c r="H55" s="1">
        <v>120</v>
      </c>
      <c r="I55" s="1" t="s">
        <v>42</v>
      </c>
      <c r="J55" s="1"/>
      <c r="K55" s="1">
        <v>72.599999999999994</v>
      </c>
      <c r="L55" s="1">
        <f t="shared" si="13"/>
        <v>0.49399999999999977</v>
      </c>
      <c r="M55" s="1"/>
      <c r="N55" s="1"/>
      <c r="O55" s="1">
        <v>495</v>
      </c>
      <c r="P55" s="1"/>
      <c r="Q55" s="1">
        <f t="shared" si="14"/>
        <v>14.618799999999998</v>
      </c>
      <c r="R55" s="5"/>
      <c r="S55" s="5"/>
      <c r="T55" s="25">
        <f>VLOOKUP(A55,заказ!A:B,2,0)</f>
        <v>105</v>
      </c>
      <c r="U55" s="25"/>
      <c r="V55" s="22">
        <v>100</v>
      </c>
      <c r="W55" s="5">
        <f t="shared" si="7"/>
        <v>0</v>
      </c>
      <c r="X55" s="18">
        <f>VLOOKUP(A55,[1]Sheet!$A:$U,20,0)</f>
        <v>100</v>
      </c>
      <c r="Y55" s="18"/>
      <c r="Z55" s="1">
        <f t="shared" si="8"/>
        <v>49.07105918406436</v>
      </c>
      <c r="AA55" s="1">
        <f t="shared" si="15"/>
        <v>42.230552439324711</v>
      </c>
      <c r="AB55" s="1">
        <v>55.575599999999987</v>
      </c>
      <c r="AC55" s="1">
        <v>7.6525999999999996</v>
      </c>
      <c r="AD55" s="1">
        <v>6.1512000000000002</v>
      </c>
      <c r="AE55" s="1">
        <v>13.141999999999999</v>
      </c>
      <c r="AF55" s="1">
        <v>4.5591999999999997</v>
      </c>
      <c r="AG55" s="1">
        <v>1.4184000000000001</v>
      </c>
      <c r="AH55" s="1">
        <v>15.4236</v>
      </c>
      <c r="AI55" s="1">
        <v>5.4283999999999999</v>
      </c>
      <c r="AJ55" s="1">
        <v>6.0831999999999997</v>
      </c>
      <c r="AK55" s="1">
        <v>9.0995999999999988</v>
      </c>
      <c r="AL55" s="1" t="s">
        <v>100</v>
      </c>
      <c r="AM55" s="1">
        <f t="shared" si="9"/>
        <v>100</v>
      </c>
      <c r="AN55" s="1">
        <f t="shared" si="10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23"/>
      <c r="U56" s="23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3"/>
      <c r="U57" s="2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3"/>
      <c r="U58" s="23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3"/>
      <c r="U59" s="2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3"/>
      <c r="U60" s="23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3"/>
      <c r="U61" s="23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3"/>
      <c r="U62" s="23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3"/>
      <c r="U63" s="23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3"/>
      <c r="U64" s="23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3"/>
      <c r="U65" s="23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3"/>
      <c r="U66" s="23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3"/>
      <c r="U67" s="23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3"/>
      <c r="U68" s="23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3"/>
      <c r="U69" s="23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3"/>
      <c r="U70" s="23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3"/>
      <c r="U71" s="23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3"/>
      <c r="U72" s="23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3"/>
      <c r="U73" s="23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3"/>
      <c r="U74" s="23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3"/>
      <c r="U75" s="23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23"/>
      <c r="U76" s="23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23"/>
      <c r="U77" s="23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23"/>
      <c r="U78" s="23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23"/>
      <c r="U79" s="23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23"/>
      <c r="U80" s="23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23"/>
      <c r="U81" s="23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3"/>
      <c r="U82" s="23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23"/>
      <c r="U83" s="23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3"/>
      <c r="U84" s="23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23"/>
      <c r="U85" s="23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23"/>
      <c r="U86" s="23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23"/>
      <c r="U87" s="23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23"/>
      <c r="U88" s="23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23"/>
      <c r="U89" s="23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23"/>
      <c r="U90" s="23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23"/>
      <c r="U91" s="23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23"/>
      <c r="U92" s="23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23"/>
      <c r="U93" s="23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23"/>
      <c r="U94" s="23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23"/>
      <c r="U95" s="23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23"/>
      <c r="U96" s="23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23"/>
      <c r="U97" s="23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3"/>
      <c r="U98" s="23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23"/>
      <c r="U99" s="23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3"/>
      <c r="U100" s="23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3"/>
      <c r="U101" s="23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3"/>
      <c r="U102" s="23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23"/>
      <c r="U103" s="23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3"/>
      <c r="U104" s="23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23"/>
      <c r="U105" s="23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23"/>
      <c r="U106" s="23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23"/>
      <c r="U107" s="23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23"/>
      <c r="U108" s="23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23"/>
      <c r="U109" s="23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23"/>
      <c r="U110" s="23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23"/>
      <c r="U111" s="23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23"/>
      <c r="U112" s="23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3"/>
      <c r="U113" s="23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23"/>
      <c r="U114" s="23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23"/>
      <c r="U115" s="23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23"/>
      <c r="U116" s="23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23"/>
      <c r="U117" s="23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3"/>
      <c r="U118" s="23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3"/>
      <c r="U119" s="23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3"/>
      <c r="U120" s="23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23"/>
      <c r="U121" s="23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23"/>
      <c r="U122" s="23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3"/>
      <c r="U123" s="23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23"/>
      <c r="U124" s="23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23"/>
      <c r="U125" s="23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3"/>
      <c r="U126" s="23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3"/>
      <c r="U127" s="23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3"/>
      <c r="U128" s="23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3"/>
      <c r="U129" s="23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3"/>
      <c r="U130" s="23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23"/>
      <c r="U131" s="23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23"/>
      <c r="U132" s="23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3"/>
      <c r="U133" s="23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23"/>
      <c r="U134" s="23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3"/>
      <c r="U135" s="23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3"/>
      <c r="U136" s="23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3"/>
      <c r="U137" s="23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3"/>
      <c r="U138" s="23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3"/>
      <c r="U139" s="23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3"/>
      <c r="U140" s="23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3"/>
      <c r="U141" s="23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3"/>
      <c r="U142" s="23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3"/>
      <c r="U143" s="23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3"/>
      <c r="U144" s="23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3"/>
      <c r="U145" s="23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3"/>
      <c r="U146" s="23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3"/>
      <c r="U147" s="23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3"/>
      <c r="U148" s="23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3"/>
      <c r="U149" s="23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3"/>
      <c r="U150" s="23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3"/>
      <c r="U151" s="23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3"/>
      <c r="U152" s="23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3"/>
      <c r="U153" s="23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3"/>
      <c r="U154" s="23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3"/>
      <c r="U155" s="23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3"/>
      <c r="U156" s="23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3"/>
      <c r="U157" s="23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3"/>
      <c r="U158" s="23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3"/>
      <c r="U159" s="23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3"/>
      <c r="U160" s="23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3"/>
      <c r="U161" s="23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3"/>
      <c r="U162" s="23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3"/>
      <c r="U163" s="23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3"/>
      <c r="U164" s="23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3"/>
      <c r="U165" s="23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3"/>
      <c r="U166" s="23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3"/>
      <c r="U167" s="23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3"/>
      <c r="U168" s="23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3"/>
      <c r="U169" s="23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3"/>
      <c r="U170" s="23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3"/>
      <c r="U171" s="23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3"/>
      <c r="U172" s="23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3"/>
      <c r="U173" s="23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3"/>
      <c r="U174" s="23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3"/>
      <c r="U175" s="23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3"/>
      <c r="U176" s="23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3"/>
      <c r="U177" s="23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3"/>
      <c r="U178" s="23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3"/>
      <c r="U179" s="23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3"/>
      <c r="U180" s="23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3"/>
      <c r="U181" s="23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3"/>
      <c r="U182" s="23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3"/>
      <c r="U183" s="23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3"/>
      <c r="U184" s="23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3"/>
      <c r="U185" s="23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3"/>
      <c r="U186" s="23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3"/>
      <c r="U187" s="23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3"/>
      <c r="U188" s="23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3"/>
      <c r="U189" s="23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3"/>
      <c r="U190" s="23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3"/>
      <c r="U191" s="23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3"/>
      <c r="U192" s="23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3"/>
      <c r="U193" s="23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3"/>
      <c r="U194" s="23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3"/>
      <c r="U195" s="23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3"/>
      <c r="U196" s="23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3"/>
      <c r="U197" s="23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3"/>
      <c r="U198" s="23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3"/>
      <c r="U199" s="23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3"/>
      <c r="U200" s="23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3"/>
      <c r="U201" s="23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3"/>
      <c r="U202" s="23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3"/>
      <c r="U203" s="23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3"/>
      <c r="U204" s="23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3"/>
      <c r="U205" s="23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3"/>
      <c r="U206" s="23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3"/>
      <c r="U207" s="23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3"/>
      <c r="U208" s="23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3"/>
      <c r="U209" s="23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3"/>
      <c r="U210" s="23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3"/>
      <c r="U211" s="23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3"/>
      <c r="U212" s="23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3"/>
      <c r="U213" s="23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3"/>
      <c r="U214" s="23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3"/>
      <c r="U215" s="23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3"/>
      <c r="U216" s="23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3"/>
      <c r="U217" s="23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3"/>
      <c r="U218" s="23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3"/>
      <c r="U219" s="23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3"/>
      <c r="U220" s="23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3"/>
      <c r="U221" s="23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3"/>
      <c r="U222" s="23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3"/>
      <c r="U223" s="23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3"/>
      <c r="U224" s="23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3"/>
      <c r="U225" s="23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3"/>
      <c r="U226" s="23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3"/>
      <c r="U227" s="23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3"/>
      <c r="U228" s="23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3"/>
      <c r="U229" s="23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3"/>
      <c r="U230" s="23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3"/>
      <c r="U231" s="23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3"/>
      <c r="U232" s="23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3"/>
      <c r="U233" s="23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3"/>
      <c r="U234" s="23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3"/>
      <c r="U235" s="23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3"/>
      <c r="U236" s="23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3"/>
      <c r="U237" s="23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3"/>
      <c r="U238" s="23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3"/>
      <c r="U239" s="23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3"/>
      <c r="U240" s="23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3"/>
      <c r="U241" s="23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3"/>
      <c r="U242" s="23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3"/>
      <c r="U243" s="23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3"/>
      <c r="U244" s="23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3"/>
      <c r="U245" s="23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3"/>
      <c r="U246" s="23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3"/>
      <c r="U247" s="23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3"/>
      <c r="U248" s="23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3"/>
      <c r="U249" s="23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3"/>
      <c r="U250" s="23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3"/>
      <c r="U251" s="23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3"/>
      <c r="U252" s="23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3"/>
      <c r="U253" s="23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3"/>
      <c r="U254" s="23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3"/>
      <c r="U255" s="23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3"/>
      <c r="U256" s="23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3"/>
      <c r="U257" s="23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3"/>
      <c r="U258" s="23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3"/>
      <c r="U259" s="23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3"/>
      <c r="U260" s="23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3"/>
      <c r="U261" s="23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3"/>
      <c r="U262" s="23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3"/>
      <c r="U263" s="23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3"/>
      <c r="U264" s="23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3"/>
      <c r="U265" s="23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3"/>
      <c r="U266" s="23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3"/>
      <c r="U267" s="23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3"/>
      <c r="U268" s="23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3"/>
      <c r="U269" s="23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3"/>
      <c r="U270" s="23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3"/>
      <c r="U271" s="23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3"/>
      <c r="U272" s="23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3"/>
      <c r="U273" s="23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3"/>
      <c r="U274" s="23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3"/>
      <c r="U275" s="23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3"/>
      <c r="U276" s="23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3"/>
      <c r="U277" s="23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3"/>
      <c r="U278" s="23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3"/>
      <c r="U279" s="23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3"/>
      <c r="U280" s="23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3"/>
      <c r="U281" s="23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3"/>
      <c r="U282" s="23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3"/>
      <c r="U283" s="23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3"/>
      <c r="U284" s="23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3"/>
      <c r="U285" s="23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3"/>
      <c r="U286" s="23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3"/>
      <c r="U287" s="23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3"/>
      <c r="U288" s="23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3"/>
      <c r="U289" s="23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3"/>
      <c r="U290" s="23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3"/>
      <c r="U291" s="23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3"/>
      <c r="U292" s="23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3"/>
      <c r="U293" s="23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3"/>
      <c r="U294" s="23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3"/>
      <c r="U295" s="23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3"/>
      <c r="U296" s="23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3"/>
      <c r="U297" s="23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3"/>
      <c r="U298" s="23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3"/>
      <c r="U299" s="23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3"/>
      <c r="U300" s="23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3"/>
      <c r="U301" s="23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3"/>
      <c r="U302" s="23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3"/>
      <c r="U303" s="23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3"/>
      <c r="U304" s="23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3"/>
      <c r="U305" s="23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3"/>
      <c r="U306" s="23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3"/>
      <c r="U307" s="23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3"/>
      <c r="U308" s="23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3"/>
      <c r="U309" s="23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3"/>
      <c r="U310" s="23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3"/>
      <c r="U311" s="23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3"/>
      <c r="U312" s="23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3"/>
      <c r="U313" s="23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3"/>
      <c r="U314" s="23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3"/>
      <c r="U315" s="23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3"/>
      <c r="U316" s="23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3"/>
      <c r="U317" s="23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3"/>
      <c r="U318" s="23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3"/>
      <c r="U319" s="23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3"/>
      <c r="U320" s="23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3"/>
      <c r="U321" s="23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3"/>
      <c r="U322" s="23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3"/>
      <c r="U323" s="23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3"/>
      <c r="U324" s="23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3"/>
      <c r="U325" s="23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3"/>
      <c r="U326" s="23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3"/>
      <c r="U327" s="23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3"/>
      <c r="U328" s="23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3"/>
      <c r="U329" s="23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3"/>
      <c r="U330" s="23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3"/>
      <c r="U331" s="23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3"/>
      <c r="U332" s="23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3"/>
      <c r="U333" s="23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3"/>
      <c r="U334" s="23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3"/>
      <c r="U335" s="23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3"/>
      <c r="U336" s="23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3"/>
      <c r="U337" s="23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3"/>
      <c r="U338" s="23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3"/>
      <c r="U339" s="23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3"/>
      <c r="U340" s="23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3"/>
      <c r="U341" s="23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3"/>
      <c r="U342" s="23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3"/>
      <c r="U343" s="23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3"/>
      <c r="U344" s="23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3"/>
      <c r="U345" s="23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3"/>
      <c r="U346" s="23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3"/>
      <c r="U347" s="23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3"/>
      <c r="U348" s="23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3"/>
      <c r="U349" s="23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3"/>
      <c r="U350" s="23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3"/>
      <c r="U351" s="23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3"/>
      <c r="U352" s="23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3"/>
      <c r="U353" s="23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3"/>
      <c r="U354" s="23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3"/>
      <c r="U355" s="23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3"/>
      <c r="U356" s="23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3"/>
      <c r="U357" s="23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3"/>
      <c r="U358" s="23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3"/>
      <c r="U359" s="23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3"/>
      <c r="U360" s="23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3"/>
      <c r="U361" s="23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3"/>
      <c r="U362" s="23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3"/>
      <c r="U363" s="23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3"/>
      <c r="U364" s="23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3"/>
      <c r="U365" s="23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3"/>
      <c r="U366" s="23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3"/>
      <c r="U367" s="23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3"/>
      <c r="U368" s="23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3"/>
      <c r="U369" s="23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3"/>
      <c r="U370" s="23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3"/>
      <c r="U371" s="23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3"/>
      <c r="U372" s="23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3"/>
      <c r="U373" s="23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3"/>
      <c r="U374" s="23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3"/>
      <c r="U375" s="23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3"/>
      <c r="U376" s="23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3"/>
      <c r="U377" s="23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3"/>
      <c r="U378" s="23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3"/>
      <c r="U379" s="23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3"/>
      <c r="U380" s="23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3"/>
      <c r="U381" s="23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3"/>
      <c r="U382" s="23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3"/>
      <c r="U383" s="23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3"/>
      <c r="U384" s="23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3"/>
      <c r="U385" s="23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3"/>
      <c r="U386" s="23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3"/>
      <c r="U387" s="23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3"/>
      <c r="U388" s="23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3"/>
      <c r="U389" s="23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3"/>
      <c r="U390" s="23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3"/>
      <c r="U391" s="23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3"/>
      <c r="U392" s="23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3"/>
      <c r="U393" s="23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3"/>
      <c r="U394" s="23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3"/>
      <c r="U395" s="23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3"/>
      <c r="U396" s="23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3"/>
      <c r="U397" s="23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3"/>
      <c r="U398" s="23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3"/>
      <c r="U399" s="23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3"/>
      <c r="U400" s="23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3"/>
      <c r="U401" s="23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3"/>
      <c r="U402" s="23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3"/>
      <c r="U403" s="23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3"/>
      <c r="U404" s="23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3"/>
      <c r="U405" s="23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3"/>
      <c r="U406" s="23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3"/>
      <c r="U407" s="23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3"/>
      <c r="U408" s="23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3"/>
      <c r="U409" s="23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3"/>
      <c r="U410" s="23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3"/>
      <c r="U411" s="23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3"/>
      <c r="U412" s="23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3"/>
      <c r="U413" s="23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3"/>
      <c r="U414" s="23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3"/>
      <c r="U415" s="23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3"/>
      <c r="U416" s="23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3"/>
      <c r="U417" s="23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3"/>
      <c r="U418" s="23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3"/>
      <c r="U419" s="23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3"/>
      <c r="U420" s="23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3"/>
      <c r="U421" s="23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3"/>
      <c r="U422" s="23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3"/>
      <c r="U423" s="23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3"/>
      <c r="U424" s="23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3"/>
      <c r="U425" s="23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3"/>
      <c r="U426" s="23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3"/>
      <c r="U427" s="23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3"/>
      <c r="U428" s="23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3"/>
      <c r="U429" s="23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3"/>
      <c r="U430" s="23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3"/>
      <c r="U431" s="23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3"/>
      <c r="U432" s="23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3"/>
      <c r="U433" s="23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3"/>
      <c r="U434" s="23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3"/>
      <c r="U435" s="23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3"/>
      <c r="U436" s="23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3"/>
      <c r="U437" s="23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3"/>
      <c r="U438" s="23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3"/>
      <c r="U439" s="23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3"/>
      <c r="U440" s="23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3"/>
      <c r="U441" s="23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3"/>
      <c r="U442" s="23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3"/>
      <c r="U443" s="23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3"/>
      <c r="U444" s="23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3"/>
      <c r="U445" s="23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3"/>
      <c r="U446" s="23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3"/>
      <c r="U447" s="23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3"/>
      <c r="U448" s="23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3"/>
      <c r="U449" s="23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3"/>
      <c r="U450" s="23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3"/>
      <c r="U451" s="23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3"/>
      <c r="U452" s="23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3"/>
      <c r="U453" s="23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3"/>
      <c r="U454" s="23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3"/>
      <c r="U455" s="23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3"/>
      <c r="U456" s="23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3"/>
      <c r="U457" s="23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3"/>
      <c r="U458" s="23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3"/>
      <c r="U459" s="23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3"/>
      <c r="U460" s="23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3"/>
      <c r="U461" s="23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3"/>
      <c r="U462" s="23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3"/>
      <c r="U463" s="23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3"/>
      <c r="U464" s="23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3"/>
      <c r="U465" s="23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3"/>
      <c r="U466" s="23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3"/>
      <c r="U467" s="23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3"/>
      <c r="U468" s="23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3"/>
      <c r="U469" s="23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3"/>
      <c r="U470" s="23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3"/>
      <c r="U471" s="23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3"/>
      <c r="U472" s="23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3"/>
      <c r="U473" s="23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3"/>
      <c r="U474" s="23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3"/>
      <c r="U475" s="23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3"/>
      <c r="U476" s="23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3"/>
      <c r="U477" s="23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3"/>
      <c r="U478" s="23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3"/>
      <c r="U479" s="23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3"/>
      <c r="U480" s="23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3"/>
      <c r="U481" s="23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3"/>
      <c r="U482" s="23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3"/>
      <c r="U483" s="23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3"/>
      <c r="U484" s="23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3"/>
      <c r="U485" s="23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3"/>
      <c r="U486" s="23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3"/>
      <c r="U487" s="23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3"/>
      <c r="U488" s="23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3"/>
      <c r="U489" s="23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3"/>
      <c r="U490" s="23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3"/>
      <c r="U491" s="23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3"/>
      <c r="U492" s="23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3"/>
      <c r="U493" s="23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3"/>
      <c r="U494" s="23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3"/>
      <c r="U495" s="23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3"/>
      <c r="U496" s="23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3"/>
      <c r="U497" s="23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3"/>
      <c r="U498" s="23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</sheetData>
  <autoFilter ref="A3:AM55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CFEB-DCD0-4955-A258-67F6A75BA13A}">
  <dimension ref="A1:B2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37</v>
      </c>
      <c r="B1">
        <v>48</v>
      </c>
    </row>
    <row r="2" spans="1:2" x14ac:dyDescent="0.25">
      <c r="A2" t="s">
        <v>39</v>
      </c>
      <c r="B2">
        <v>24</v>
      </c>
    </row>
    <row r="3" spans="1:2" x14ac:dyDescent="0.25">
      <c r="A3" t="s">
        <v>40</v>
      </c>
      <c r="B3">
        <v>800</v>
      </c>
    </row>
    <row r="4" spans="1:2" x14ac:dyDescent="0.25">
      <c r="A4" t="s">
        <v>43</v>
      </c>
      <c r="B4">
        <v>148</v>
      </c>
    </row>
    <row r="5" spans="1:2" x14ac:dyDescent="0.25">
      <c r="A5" t="s">
        <v>45</v>
      </c>
      <c r="B5">
        <v>300</v>
      </c>
    </row>
    <row r="6" spans="1:2" x14ac:dyDescent="0.25">
      <c r="A6" t="s">
        <v>46</v>
      </c>
      <c r="B6">
        <v>396</v>
      </c>
    </row>
    <row r="7" spans="1:2" x14ac:dyDescent="0.25">
      <c r="A7" t="s">
        <v>47</v>
      </c>
      <c r="B7">
        <v>396</v>
      </c>
    </row>
    <row r="8" spans="1:2" x14ac:dyDescent="0.25">
      <c r="A8" t="s">
        <v>51</v>
      </c>
      <c r="B8">
        <v>32</v>
      </c>
    </row>
    <row r="9" spans="1:2" x14ac:dyDescent="0.25">
      <c r="A9" t="s">
        <v>52</v>
      </c>
      <c r="B9">
        <v>24</v>
      </c>
    </row>
    <row r="10" spans="1:2" x14ac:dyDescent="0.25">
      <c r="A10" t="s">
        <v>57</v>
      </c>
      <c r="B10">
        <v>32</v>
      </c>
    </row>
    <row r="11" spans="1:2" x14ac:dyDescent="0.25">
      <c r="A11" t="s">
        <v>58</v>
      </c>
      <c r="B11">
        <v>84</v>
      </c>
    </row>
    <row r="12" spans="1:2" x14ac:dyDescent="0.25">
      <c r="A12" t="s">
        <v>60</v>
      </c>
      <c r="B12">
        <v>24</v>
      </c>
    </row>
    <row r="13" spans="1:2" x14ac:dyDescent="0.25">
      <c r="A13" t="s">
        <v>65</v>
      </c>
      <c r="B13">
        <v>200</v>
      </c>
    </row>
    <row r="14" spans="1:2" x14ac:dyDescent="0.25">
      <c r="A14" t="s">
        <v>67</v>
      </c>
      <c r="B14">
        <v>102</v>
      </c>
    </row>
    <row r="15" spans="1:2" x14ac:dyDescent="0.25">
      <c r="A15" t="s">
        <v>68</v>
      </c>
      <c r="B15">
        <v>48</v>
      </c>
    </row>
    <row r="16" spans="1:2" x14ac:dyDescent="0.25">
      <c r="A16" t="s">
        <v>70</v>
      </c>
      <c r="B16">
        <v>16</v>
      </c>
    </row>
    <row r="17" spans="1:2" x14ac:dyDescent="0.25">
      <c r="A17" t="s">
        <v>84</v>
      </c>
      <c r="B17">
        <v>33</v>
      </c>
    </row>
    <row r="18" spans="1:2" x14ac:dyDescent="0.25">
      <c r="A18" t="s">
        <v>89</v>
      </c>
      <c r="B18">
        <v>348</v>
      </c>
    </row>
    <row r="19" spans="1:2" x14ac:dyDescent="0.25">
      <c r="A19" t="s">
        <v>90</v>
      </c>
      <c r="B19">
        <v>108</v>
      </c>
    </row>
    <row r="20" spans="1:2" x14ac:dyDescent="0.25">
      <c r="A20" t="s">
        <v>94</v>
      </c>
      <c r="B20">
        <v>450</v>
      </c>
    </row>
    <row r="21" spans="1:2" x14ac:dyDescent="0.25">
      <c r="A21" t="s">
        <v>99</v>
      </c>
      <c r="B21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2026-10-27T15:52:25Z</dcterms:created>
  <dcterms:modified xsi:type="dcterms:W3CDTF">2026-10-29T12:29:08Z</dcterms:modified>
</cp:coreProperties>
</file>