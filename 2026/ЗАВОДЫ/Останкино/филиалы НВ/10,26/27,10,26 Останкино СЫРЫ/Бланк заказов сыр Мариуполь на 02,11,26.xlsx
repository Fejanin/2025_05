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50667AEB-854D-4570-BE18-6742CCABFFB1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<sst xmlns="http://schemas.openxmlformats.org/spreadsheetml/2006/main" count="83" uniqueCount="78">
  <si>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</si>
  <si>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</si>
  <si>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</si>
  <si>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</si>
  <si>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</si>
  <si>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</si>
  <si>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</si>
  <si>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</si>
  <si>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</si>
  <si>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</si>
  <si>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</si>
  <si>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</si>
  <si>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</si>
  <si>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</si>
  <si>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</si>
  <si>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</si>
  <si>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</si>
  <si>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</si>
  <si>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</si>
  <si>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</si>
  <si>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</si>
  <si>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</si>
  <si>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</si>
  <si>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</si>
  <si>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</si>
  <si>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</si>
  <si>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</si>
  <si>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</si>
  <si>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</si>
  <si>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</si>
  <si>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</si>
  <si>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</si>
  <si>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</si>
  <si>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</si>
  <si>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</si>
  <si>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</si>
  <si>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</si>
  <si>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</si>
  <si>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</si>
  <si>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</si>
  <si>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</si>
  <si>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</si>
  <si>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</si>
  <si>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</si>
  <si>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</si>
  <si>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</si>
  <si>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</si>
  <si>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</si>
  <si>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</si>
  <si>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</si>
  <si>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</si>
  <si>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</si>
  <si>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</si>
  <si>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</si>
  <si>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</si>
  <si>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</si>
  <si>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</si>
  <si>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</si>
  <si>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</si>
  <si>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</si>
  <si>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</si>
  <si>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</si>
  <si>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</si>
  <si>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</si>
  <si>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</si>
  <si>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</si>
  <si>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</si>
  <si>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</si>
  <si>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</si>
  <si>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Новое Время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</si>
  <si>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</si>
  <si>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</si>
  <si>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</si>
  <si>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</si>
  <si>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</si>
  <si>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</si>
  <si>
    <t>Майонез провансаль классический с массовой долей жира 67% ТМ «ПАПА МОЖЕТ» 186г дой-пак с дозатором</t>
  </si>
  <si>
    <t>Майонез провансаль классический оливковый с массовой долей жира 67% ТМ «ПАПА МОЖЕТ» 186г дой-пак с дозатором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</si>
</sst>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  <font>
      <sz val="10"/>
      <color rgb="FFFF0000"/>
      <name val="Arial Cyr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  <xf numFmtId="0" fontId="17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34" activePane="bottomLeft" state="frozen"/>
      <selection pane="bottomLeft" activeCell="F62" sqref="F62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69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>
        <v>80</v>
      </c>
      <c r="E4" s="14"/>
      <c r="F4" s="8">
        <f>D4/C4</f>
        <v>8</v>
      </c>
      <c r="G4" s="12">
        <v>0.18</v>
      </c>
      <c r="H4" s="8">
        <f>G4*D4</f>
        <v>14.399999999999999</v>
      </c>
      <c r="I4" s="8"/>
    </row>
    <row r="5" spans="1:9" ht="25.5">
      <c r="A5" s="33">
        <v>8783323</v>
      </c>
      <c r="B5" s="34" t="s">
        <v>70</v>
      </c>
      <c r="C5" s="31">
        <v>4</v>
      </c>
      <c r="D5" s="21"/>
      <c r="E5" s="21"/>
      <c r="F5" s="8">
        <f>E5/5</f>
        <v>0</v>
      </c>
      <c r="G5" s="22">
        <v>1.8</v>
      </c>
      <c r="H5" s="23">
        <f>E5</f>
        <v>0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>
        <v>70</v>
      </c>
      <c r="E6" s="14"/>
      <c r="F6" s="8">
        <f>D6/C6</f>
        <v>7</v>
      </c>
      <c r="G6" s="12">
        <v>0.18</v>
      </c>
      <c r="H6" s="8">
        <f>G6*D6</f>
        <v>12.6</v>
      </c>
      <c r="I6" s="8"/>
    </row>
    <row r="7" spans="1:9" ht="25.5">
      <c r="A7" s="33">
        <v>8785235</v>
      </c>
      <c r="B7" s="34" t="s">
        <v>71</v>
      </c>
      <c r="C7" s="13">
        <v>5</v>
      </c>
      <c r="D7" s="14"/>
      <c r="E7" s="14"/>
      <c r="F7" s="8">
        <f>E7/16.5</f>
        <v>0</v>
      </c>
      <c r="G7" s="8">
        <v>3.5</v>
      </c>
      <c r="H7" s="8">
        <f>E7</f>
        <v>0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/>
      <c r="E8" s="14"/>
      <c r="F8" s="8">
        <f>D8/C8</f>
        <v>0</v>
      </c>
      <c r="G8" s="12">
        <v>0.18</v>
      </c>
      <c r="H8" s="8">
        <f>G8*D8</f>
        <v>0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/>
      <c r="F9" s="8">
        <f>E9/16.5</f>
        <v>0</v>
      </c>
      <c r="G9" s="8">
        <v>3.5</v>
      </c>
      <c r="H9" s="8">
        <f>E9</f>
        <v>0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/>
      <c r="E10" s="14"/>
      <c r="F10" s="8">
        <f>D10/C10</f>
        <v>0</v>
      </c>
      <c r="G10" s="12">
        <v>0.18</v>
      </c>
      <c r="H10" s="8">
        <f>G10*D10</f>
        <v>0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/>
      <c r="F11" s="8">
        <f>E11/16.5</f>
        <v>0</v>
      </c>
      <c r="G11" s="8">
        <v>3.5</v>
      </c>
      <c r="H11" s="8">
        <f>E11</f>
        <v>0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/>
      <c r="E12" s="14"/>
      <c r="F12" s="8">
        <f>D12/C12</f>
        <v>0</v>
      </c>
      <c r="G12" s="12">
        <v>0.2</v>
      </c>
      <c r="H12" s="8">
        <f>G12*D12</f>
        <v>0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/>
      <c r="E13" s="14"/>
      <c r="F13" s="8">
        <f>D13/C13</f>
        <v>0</v>
      </c>
      <c r="G13" s="12">
        <v>0.18</v>
      </c>
      <c r="H13" s="8">
        <f>G13*D13</f>
        <v>0</v>
      </c>
      <c r="I13" s="8"/>
    </row>
    <row r="14" spans="1:9" ht="38.25">
      <c r="A14" s="28">
        <v>8784931</v>
      </c>
      <c r="B14" s="34" t="s">
        <v>72</v>
      </c>
      <c r="C14" s="25">
        <v>5</v>
      </c>
      <c r="D14" s="14"/>
      <c r="E14" s="14">
        <v>66</v>
      </c>
      <c r="F14" s="8">
        <f>E14/16.5</f>
        <v>4</v>
      </c>
      <c r="G14" s="12">
        <v>3.5</v>
      </c>
      <c r="H14" s="8">
        <f>E14</f>
        <v>66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/>
      <c r="E15" s="14"/>
      <c r="F15" s="8">
        <f t="shared" ref="F15:F23" si="0">D15/C15</f>
        <v>0</v>
      </c>
      <c r="G15" s="12">
        <v>0.18</v>
      </c>
      <c r="H15" s="8">
        <f t="shared" ref="H15:H23" si="1">G15*D15</f>
        <v>0</v>
      </c>
      <c r="I15" s="8"/>
    </row>
    <row r="16" spans="1:9">
      <c r="A16" s="11">
        <v>1018967</v>
      </c>
      <c r="B16" s="12" t="s">
        <v>37</v>
      </c>
      <c r="C16" s="13">
        <v>10</v>
      </c>
      <c r="D16" s="14"/>
      <c r="E16" s="14"/>
      <c r="F16" s="8">
        <f t="shared" si="0"/>
        <v>0</v>
      </c>
      <c r="G16" s="12">
        <v>0.18</v>
      </c>
      <c r="H16" s="8">
        <f t="shared" si="1"/>
        <v>0</v>
      </c>
      <c r="I16" s="8"/>
    </row>
    <row r="17" spans="1:9">
      <c r="A17" s="11">
        <v>8444194</v>
      </c>
      <c r="B17" s="27" t="s">
        <v>15</v>
      </c>
      <c r="C17" s="13">
        <v>6</v>
      </c>
      <c r="D17" s="14">
        <v>54</v>
      </c>
      <c r="E17" s="14"/>
      <c r="F17" s="8">
        <f t="shared" si="0"/>
        <v>9</v>
      </c>
      <c r="G17" s="12">
        <v>0.1</v>
      </c>
      <c r="H17" s="8">
        <f t="shared" si="1"/>
        <v>5.4</v>
      </c>
      <c r="I17" s="8"/>
    </row>
    <row r="18" spans="1:9">
      <c r="A18" s="11">
        <v>8444187</v>
      </c>
      <c r="B18" s="27" t="s">
        <v>16</v>
      </c>
      <c r="C18" s="13">
        <v>6</v>
      </c>
      <c r="D18" s="14">
        <v>60</v>
      </c>
      <c r="E18" s="14"/>
      <c r="F18" s="8">
        <f t="shared" si="0"/>
        <v>10</v>
      </c>
      <c r="G18" s="12">
        <v>0.1</v>
      </c>
      <c r="H18" s="8">
        <f t="shared" si="1"/>
        <v>6</v>
      </c>
      <c r="I18" s="8"/>
    </row>
    <row r="19" spans="1:9">
      <c r="A19" s="11">
        <v>8444163</v>
      </c>
      <c r="B19" s="27" t="s">
        <v>17</v>
      </c>
      <c r="C19" s="13">
        <v>8</v>
      </c>
      <c r="D19" s="14">
        <v>40</v>
      </c>
      <c r="E19" s="14"/>
      <c r="F19" s="8">
        <f t="shared" si="0"/>
        <v>5</v>
      </c>
      <c r="G19" s="12">
        <v>0.1</v>
      </c>
      <c r="H19" s="8">
        <f t="shared" si="1"/>
        <v>4</v>
      </c>
      <c r="I19" s="8"/>
    </row>
    <row r="20" spans="1:9">
      <c r="A20" s="11">
        <v>8444170</v>
      </c>
      <c r="B20" s="27" t="s">
        <v>52</v>
      </c>
      <c r="C20" s="13">
        <v>8</v>
      </c>
      <c r="D20" s="14"/>
      <c r="E20" s="14"/>
      <c r="F20" s="8">
        <f t="shared" si="0"/>
        <v>0</v>
      </c>
      <c r="G20" s="12">
        <v>0.1</v>
      </c>
      <c r="H20" s="8">
        <f t="shared" si="1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>
        <v>16</v>
      </c>
      <c r="E21" s="14"/>
      <c r="F21" s="8">
        <f t="shared" si="0"/>
        <v>1</v>
      </c>
      <c r="G21" s="12">
        <v>0.14000000000000001</v>
      </c>
      <c r="H21" s="8">
        <f t="shared" si="1"/>
        <v>2.2400000000000002</v>
      </c>
      <c r="I21" s="8"/>
    </row>
    <row r="22" spans="1:9">
      <c r="A22" s="11">
        <v>9988391</v>
      </c>
      <c r="B22" s="27" t="s">
        <v>19</v>
      </c>
      <c r="C22" s="13">
        <v>16</v>
      </c>
      <c r="D22" s="14"/>
      <c r="E22" s="14"/>
      <c r="F22" s="8">
        <f t="shared" si="0"/>
        <v>0</v>
      </c>
      <c r="G22" s="12">
        <v>0.14000000000000001</v>
      </c>
      <c r="H22" s="8">
        <f t="shared" si="1"/>
        <v>0</v>
      </c>
      <c r="I22" s="8"/>
    </row>
    <row r="23" spans="1:9">
      <c r="A23" s="11">
        <v>5034819</v>
      </c>
      <c r="B23" s="27" t="s">
        <v>20</v>
      </c>
      <c r="C23" s="13">
        <v>6</v>
      </c>
      <c r="D23" s="14">
        <v>6</v>
      </c>
      <c r="E23" s="14"/>
      <c r="F23" s="8">
        <f t="shared" si="0"/>
        <v>1</v>
      </c>
      <c r="G23" s="12">
        <v>0.18</v>
      </c>
      <c r="H23" s="8">
        <f t="shared" si="1"/>
        <v>1.08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/>
      <c r="F25" s="8">
        <f>E25/16.5</f>
        <v>0</v>
      </c>
      <c r="G25" s="12">
        <v>3.2</v>
      </c>
      <c r="H25" s="8">
        <f>E25</f>
        <v>0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/>
      <c r="E26" s="14"/>
      <c r="F26" s="8">
        <f t="shared" ref="F26:F38" si="2">D26/C26</f>
        <v>0</v>
      </c>
      <c r="G26" s="12">
        <v>0.4</v>
      </c>
      <c r="H26" s="8">
        <f t="shared" ref="H26:H31" si="3">G26*D26</f>
        <v>0</v>
      </c>
      <c r="I26" s="8"/>
    </row>
    <row r="27" spans="1:9">
      <c r="A27" s="11">
        <v>9988476</v>
      </c>
      <c r="B27" s="27" t="s">
        <v>24</v>
      </c>
      <c r="C27" s="13">
        <v>28</v>
      </c>
      <c r="D27" s="14"/>
      <c r="E27" s="14"/>
      <c r="F27" s="8">
        <f t="shared" si="2"/>
        <v>0</v>
      </c>
      <c r="G27" s="12">
        <v>0.4</v>
      </c>
      <c r="H27" s="8">
        <f t="shared" si="3"/>
        <v>0</v>
      </c>
      <c r="I27" s="8"/>
    </row>
    <row r="28" spans="1:9">
      <c r="A28" s="11">
        <v>9988681</v>
      </c>
      <c r="B28" s="27" t="s">
        <v>32</v>
      </c>
      <c r="C28" s="13">
        <v>16</v>
      </c>
      <c r="D28" s="14"/>
      <c r="E28" s="14"/>
      <c r="F28" s="8">
        <f t="shared" si="2"/>
        <v>0</v>
      </c>
      <c r="G28" s="12">
        <v>0.18</v>
      </c>
      <c r="H28" s="8">
        <f t="shared" si="3"/>
        <v>0</v>
      </c>
      <c r="I28" s="8"/>
    </row>
    <row r="29" spans="1:9">
      <c r="A29" s="11">
        <v>9988438</v>
      </c>
      <c r="B29" s="27" t="s">
        <v>25</v>
      </c>
      <c r="C29" s="13">
        <v>16</v>
      </c>
      <c r="D29" s="14"/>
      <c r="E29" s="14"/>
      <c r="F29" s="8">
        <f t="shared" si="2"/>
        <v>0</v>
      </c>
      <c r="G29" s="12">
        <v>0.18</v>
      </c>
      <c r="H29" s="8">
        <f t="shared" si="3"/>
        <v>0</v>
      </c>
      <c r="I29" s="8"/>
    </row>
    <row r="30" spans="1:9">
      <c r="A30" s="11">
        <v>9988445</v>
      </c>
      <c r="B30" s="27" t="s">
        <v>26</v>
      </c>
      <c r="C30" s="13">
        <v>16</v>
      </c>
      <c r="D30" s="14">
        <v>16</v>
      </c>
      <c r="E30" s="14"/>
      <c r="F30" s="8">
        <f t="shared" si="2"/>
        <v>1</v>
      </c>
      <c r="G30" s="12">
        <v>0.18</v>
      </c>
      <c r="H30" s="8">
        <f t="shared" si="3"/>
        <v>2.88</v>
      </c>
      <c r="I30" s="8"/>
    </row>
    <row r="31" spans="1:9">
      <c r="A31" s="11">
        <v>9988421</v>
      </c>
      <c r="B31" s="27" t="s">
        <v>27</v>
      </c>
      <c r="C31" s="13">
        <v>16</v>
      </c>
      <c r="D31" s="14"/>
      <c r="E31" s="14"/>
      <c r="F31" s="8">
        <f t="shared" si="2"/>
        <v>0</v>
      </c>
      <c r="G31" s="12">
        <v>0.14000000000000001</v>
      </c>
      <c r="H31" s="8">
        <f t="shared" si="3"/>
        <v>0</v>
      </c>
      <c r="I31" s="8"/>
    </row>
    <row r="32" spans="1:9">
      <c r="A32" s="11">
        <v>9988674</v>
      </c>
      <c r="B32" s="27" t="s">
        <v>33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>D32*G32</f>
        <v>0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/>
      <c r="E35" s="14"/>
      <c r="F35" s="8">
        <f t="shared" si="2"/>
        <v>0</v>
      </c>
      <c r="G35" s="12">
        <v>0.1</v>
      </c>
      <c r="H35" s="8">
        <f>D35*G35</f>
        <v>0</v>
      </c>
      <c r="I35" s="8"/>
    </row>
    <row r="36" spans="1:9">
      <c r="A36" s="11">
        <v>8445160</v>
      </c>
      <c r="B36" s="27" t="s">
        <v>67</v>
      </c>
      <c r="C36" s="13">
        <v>8</v>
      </c>
      <c r="D36" s="14">
        <v>24</v>
      </c>
      <c r="E36" s="14"/>
      <c r="F36" s="8">
        <f t="shared" si="2"/>
        <v>3</v>
      </c>
      <c r="G36" s="12">
        <v>0.1</v>
      </c>
      <c r="H36" s="8">
        <f>G36*D36</f>
        <v>2.4000000000000004</v>
      </c>
      <c r="I36" s="8"/>
    </row>
    <row r="37" spans="1:9">
      <c r="A37" s="11">
        <v>8445177</v>
      </c>
      <c r="B37" s="27" t="s">
        <v>68</v>
      </c>
      <c r="C37" s="13">
        <v>8</v>
      </c>
      <c r="D37" s="14">
        <v>40</v>
      </c>
      <c r="E37" s="14"/>
      <c r="F37" s="8">
        <f t="shared" si="2"/>
        <v>5</v>
      </c>
      <c r="G37" s="12">
        <v>0.1</v>
      </c>
      <c r="H37" s="8">
        <f>G37*D37</f>
        <v>4</v>
      </c>
      <c r="I37" s="8"/>
    </row>
    <row r="38" spans="1:9">
      <c r="A38" s="11" t="s">
        <v>58</v>
      </c>
      <c r="B38" s="12" t="s">
        <v>59</v>
      </c>
      <c r="C38" s="13">
        <v>10</v>
      </c>
      <c r="D38" s="14"/>
      <c r="E38" s="14"/>
      <c r="F38" s="8">
        <f t="shared" si="2"/>
        <v>0</v>
      </c>
      <c r="G38" s="12">
        <v>0.2</v>
      </c>
      <c r="H38" s="8">
        <f>G38*D38</f>
        <v>0</v>
      </c>
      <c r="I38" s="8"/>
    </row>
    <row r="39" spans="1:9">
      <c r="A39" s="11" t="s">
        <v>60</v>
      </c>
      <c r="B39" s="12" t="s">
        <v>61</v>
      </c>
      <c r="C39" s="13">
        <v>4</v>
      </c>
      <c r="D39" s="14"/>
      <c r="E39" s="14"/>
      <c r="F39" s="8">
        <f>E39/15</f>
        <v>0</v>
      </c>
      <c r="G39" s="12">
        <v>3.5</v>
      </c>
      <c r="H39" s="8">
        <f>E39</f>
        <v>0</v>
      </c>
      <c r="I39" s="8" t="s">
        <v>62</v>
      </c>
    </row>
    <row r="40" spans="1:9" s="10" customFormat="1">
      <c r="A40" s="11" t="s">
        <v>63</v>
      </c>
      <c r="B40" s="12" t="s">
        <v>64</v>
      </c>
      <c r="C40" s="13">
        <v>10</v>
      </c>
      <c r="D40" s="14"/>
      <c r="E40" s="14"/>
      <c r="F40" s="8">
        <f>D40/C40</f>
        <v>0</v>
      </c>
      <c r="G40" s="12">
        <v>0.2</v>
      </c>
      <c r="H40" s="8">
        <f>G40*D40</f>
        <v>0</v>
      </c>
      <c r="I40" s="8"/>
    </row>
    <row r="41" spans="1:9" s="10" customFormat="1" ht="11.25" customHeight="1">
      <c r="A41" s="11" t="s">
        <v>65</v>
      </c>
      <c r="B41" s="12" t="s">
        <v>66</v>
      </c>
      <c r="C41" s="13">
        <v>4</v>
      </c>
      <c r="D41" s="14"/>
      <c r="E41" s="14"/>
      <c r="F41" s="8">
        <f>E41/15</f>
        <v>0</v>
      </c>
      <c r="G41" s="12">
        <v>3.5</v>
      </c>
      <c r="H41" s="8">
        <f>E41</f>
        <v>0</v>
      </c>
      <c r="I41" s="8" t="s">
        <v>62</v>
      </c>
    </row>
    <row r="42" spans="1:9" s="15" customFormat="1">
      <c r="A42" s="11">
        <v>7100108</v>
      </c>
      <c r="B42" s="27" t="s">
        <v>44</v>
      </c>
      <c r="C42" s="13">
        <v>12</v>
      </c>
      <c r="D42" s="14"/>
      <c r="E42" s="14"/>
      <c r="F42" s="8">
        <f>D42/C42</f>
        <v>0</v>
      </c>
      <c r="G42" s="12">
        <v>0.2</v>
      </c>
      <c r="H42" s="8">
        <f>D42*G42</f>
        <v>0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9985949</v>
      </c>
      <c r="B46" s="27" t="s">
        <v>49</v>
      </c>
      <c r="C46" s="13">
        <v>10</v>
      </c>
      <c r="D46" s="14"/>
      <c r="E46" s="14"/>
      <c r="F46" s="8">
        <f>D46/C46</f>
        <v>0</v>
      </c>
      <c r="G46" s="32">
        <v>1</v>
      </c>
      <c r="H46" s="8">
        <f>G46*D46</f>
        <v>0</v>
      </c>
      <c r="I46" s="8"/>
    </row>
    <row r="47" spans="1:9">
      <c r="A47" s="11">
        <v>8786928</v>
      </c>
      <c r="B47" s="27" t="s">
        <v>50</v>
      </c>
      <c r="C47" s="13">
        <v>4</v>
      </c>
      <c r="D47" s="14"/>
      <c r="E47" s="14"/>
      <c r="F47" s="8">
        <f>E47/6</f>
        <v>0</v>
      </c>
      <c r="G47" s="12">
        <v>1.5</v>
      </c>
      <c r="H47" s="8">
        <f>E47</f>
        <v>0</v>
      </c>
      <c r="I47" s="8" t="s">
        <v>51</v>
      </c>
    </row>
    <row r="48" spans="1:9">
      <c r="A48" s="11">
        <v>6948270</v>
      </c>
      <c r="B48" s="27" t="s">
        <v>53</v>
      </c>
      <c r="C48" s="13">
        <v>12</v>
      </c>
      <c r="D48" s="14">
        <v>276</v>
      </c>
      <c r="E48" s="14"/>
      <c r="F48" s="8">
        <f t="shared" ref="F48:F57" si="4">D48/C48</f>
        <v>23</v>
      </c>
      <c r="G48" s="12">
        <v>0.372</v>
      </c>
      <c r="H48" s="8">
        <f t="shared" ref="H48:H57" si="5">G48*D48</f>
        <v>102.672</v>
      </c>
      <c r="I48" s="8"/>
    </row>
    <row r="49" spans="1:9">
      <c r="A49" s="11">
        <v>6948287</v>
      </c>
      <c r="B49" s="27" t="s">
        <v>54</v>
      </c>
      <c r="C49" s="13">
        <v>12</v>
      </c>
      <c r="D49" s="14">
        <v>252</v>
      </c>
      <c r="E49" s="14"/>
      <c r="F49" s="8">
        <f t="shared" si="4"/>
        <v>21</v>
      </c>
      <c r="G49" s="12">
        <v>0.74399999999999999</v>
      </c>
      <c r="H49" s="8">
        <f t="shared" si="5"/>
        <v>187.488</v>
      </c>
      <c r="I49" s="8"/>
    </row>
    <row r="50" spans="1:9">
      <c r="A50" s="11">
        <v>6948256</v>
      </c>
      <c r="B50" s="27" t="s">
        <v>55</v>
      </c>
      <c r="C50" s="13">
        <v>12</v>
      </c>
      <c r="D50" s="14">
        <v>120</v>
      </c>
      <c r="E50" s="14"/>
      <c r="F50" s="8">
        <f t="shared" si="4"/>
        <v>10</v>
      </c>
      <c r="G50" s="12">
        <v>0.372</v>
      </c>
      <c r="H50" s="8">
        <f t="shared" si="5"/>
        <v>44.64</v>
      </c>
      <c r="I50" s="8"/>
    </row>
    <row r="51" spans="1:9">
      <c r="A51" s="11">
        <v>6948263</v>
      </c>
      <c r="B51" s="27" t="s">
        <v>56</v>
      </c>
      <c r="C51" s="13">
        <v>12</v>
      </c>
      <c r="D51" s="14"/>
      <c r="E51" s="14"/>
      <c r="F51" s="8">
        <f t="shared" si="4"/>
        <v>0</v>
      </c>
      <c r="G51" s="12">
        <v>0.74399999999999999</v>
      </c>
      <c r="H51" s="8">
        <f t="shared" si="5"/>
        <v>0</v>
      </c>
      <c r="I51" s="8"/>
    </row>
    <row r="52" spans="1:9">
      <c r="A52" s="11">
        <v>6948249</v>
      </c>
      <c r="B52" s="27" t="s">
        <v>57</v>
      </c>
      <c r="C52" s="13">
        <v>12</v>
      </c>
      <c r="D52" s="14"/>
      <c r="E52" s="14"/>
      <c r="F52" s="8">
        <f t="shared" si="4"/>
        <v>0</v>
      </c>
      <c r="G52" s="12">
        <v>0.82499999999999996</v>
      </c>
      <c r="H52" s="8">
        <f t="shared" si="5"/>
        <v>0</v>
      </c>
      <c r="I52" s="8"/>
    </row>
    <row r="53" spans="1:9">
      <c r="A53" s="26">
        <v>2105201</v>
      </c>
      <c r="B53" s="30" t="s">
        <v>73</v>
      </c>
      <c r="C53" s="13">
        <v>24</v>
      </c>
      <c r="D53" s="14"/>
      <c r="E53" s="14"/>
      <c r="F53" s="8">
        <f t="shared" si="4"/>
        <v>0</v>
      </c>
      <c r="G53" s="12">
        <v>0.1</v>
      </c>
      <c r="H53" s="8">
        <f t="shared" si="5"/>
        <v>0</v>
      </c>
      <c r="I53" s="8"/>
    </row>
    <row r="54" spans="1:9">
      <c r="A54" s="26">
        <v>2103201</v>
      </c>
      <c r="B54" s="30" t="s">
        <v>74</v>
      </c>
      <c r="C54" s="13">
        <v>24</v>
      </c>
      <c r="D54" s="14"/>
      <c r="E54" s="14"/>
      <c r="F54" s="8">
        <f t="shared" si="4"/>
        <v>0</v>
      </c>
      <c r="G54" s="12">
        <v>0.1</v>
      </c>
      <c r="H54" s="8">
        <f t="shared" si="5"/>
        <v>0</v>
      </c>
      <c r="I54" s="8"/>
    </row>
    <row r="55" spans="1:9">
      <c r="A55" s="26">
        <v>1103201</v>
      </c>
      <c r="B55" s="30" t="s">
        <v>75</v>
      </c>
      <c r="C55" s="13">
        <v>24</v>
      </c>
      <c r="D55" s="14"/>
      <c r="E55" s="14"/>
      <c r="F55" s="8">
        <f t="shared" si="4"/>
        <v>0</v>
      </c>
      <c r="G55" s="12">
        <v>5.5E-2</v>
      </c>
      <c r="H55" s="8">
        <f t="shared" si="5"/>
        <v>0</v>
      </c>
      <c r="I55" s="8"/>
    </row>
    <row r="56" spans="1:9">
      <c r="A56" s="26">
        <v>6948362</v>
      </c>
      <c r="B56" s="30" t="s">
        <v>76</v>
      </c>
      <c r="C56" s="35">
        <v>20</v>
      </c>
      <c r="D56" s="21"/>
      <c r="E56" s="21"/>
      <c r="F56" s="23">
        <f t="shared" si="4"/>
        <v>0</v>
      </c>
      <c r="G56" s="22">
        <v>0.186</v>
      </c>
      <c r="H56" s="23">
        <f t="shared" si="5"/>
        <v>0</v>
      </c>
      <c r="I56" s="8"/>
    </row>
    <row r="57" spans="1:9">
      <c r="A57" s="26">
        <v>6948508</v>
      </c>
      <c r="B57" s="30" t="s">
        <v>77</v>
      </c>
      <c r="C57" s="35">
        <v>20</v>
      </c>
      <c r="D57" s="21"/>
      <c r="E57" s="21"/>
      <c r="F57" s="23">
        <f t="shared" si="4"/>
        <v>0</v>
      </c>
      <c r="G57" s="22">
        <v>0.186</v>
      </c>
      <c r="H57" s="23">
        <f t="shared" si="5"/>
        <v>0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455.79999999999995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2026-10-29T12:13:27Z</dcterms:modified>
</cp:coreProperties>
</file>