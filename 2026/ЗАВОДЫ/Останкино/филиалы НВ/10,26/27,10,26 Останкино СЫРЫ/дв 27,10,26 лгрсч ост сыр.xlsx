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A8B29E1-A0CB-4E3F-9C5E-72AEE113AFD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Sheet!$A$3:$AL$42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T7" i="1" l="1"/>
  <c r="T11" i="1"/>
  <c r="T14" i="1"/>
  <c r="T15" i="1"/>
  <c r="T22" i="1"/>
  <c r="T23" i="1"/>
  <c r="T26" i="1"/>
  <c r="T27" i="1"/>
  <c r="T36" i="1"/>
  <c r="T37" i="1"/>
  <c r="T38" i="1"/>
  <c r="T39" i="1"/>
  <c r="T40" i="1"/>
  <c r="T5" i="1" s="1"/>
  <c r="T41" i="1"/>
  <c r="T42" i="1"/>
  <c r="S42" i="1" l="1"/>
  <c r="S41" i="1"/>
  <c r="AK41" i="1" s="1"/>
  <c r="AK42" i="1"/>
  <c r="AL42" i="1"/>
  <c r="X42" i="1"/>
  <c r="R42" i="1"/>
  <c r="Y42" i="1" s="1"/>
  <c r="R41" i="1"/>
  <c r="X41" i="1" s="1"/>
  <c r="AL41" i="1"/>
  <c r="Y41" i="1" l="1"/>
  <c r="AK17" i="1"/>
  <c r="AK24" i="1"/>
  <c r="AK25" i="1"/>
  <c r="R7" i="1"/>
  <c r="S7" i="1" s="1"/>
  <c r="R8" i="1"/>
  <c r="Y8" i="1" s="1"/>
  <c r="R9" i="1"/>
  <c r="Y9" i="1" s="1"/>
  <c r="R10" i="1"/>
  <c r="Y10" i="1" s="1"/>
  <c r="R11" i="1"/>
  <c r="Y11" i="1" s="1"/>
  <c r="R12" i="1"/>
  <c r="R13" i="1"/>
  <c r="R14" i="1"/>
  <c r="S14" i="1" s="1"/>
  <c r="R15" i="1"/>
  <c r="S15" i="1" s="1"/>
  <c r="R16" i="1"/>
  <c r="X16" i="1" s="1"/>
  <c r="R17" i="1"/>
  <c r="X17" i="1" s="1"/>
  <c r="R18" i="1"/>
  <c r="V18" i="1" s="1"/>
  <c r="R19" i="1"/>
  <c r="R20" i="1"/>
  <c r="Y20" i="1" s="1"/>
  <c r="R21" i="1"/>
  <c r="Y21" i="1" s="1"/>
  <c r="R22" i="1"/>
  <c r="Y22" i="1" s="1"/>
  <c r="R23" i="1"/>
  <c r="Y23" i="1" s="1"/>
  <c r="R24" i="1"/>
  <c r="Y24" i="1" s="1"/>
  <c r="R25" i="1"/>
  <c r="Y25" i="1" s="1"/>
  <c r="R26" i="1"/>
  <c r="Y26" i="1" s="1"/>
  <c r="R27" i="1"/>
  <c r="S27" i="1" s="1"/>
  <c r="R28" i="1"/>
  <c r="R29" i="1"/>
  <c r="R30" i="1"/>
  <c r="R31" i="1"/>
  <c r="R32" i="1"/>
  <c r="R33" i="1"/>
  <c r="Y33" i="1" s="1"/>
  <c r="R34" i="1"/>
  <c r="Y34" i="1" s="1"/>
  <c r="R35" i="1"/>
  <c r="Y35" i="1" s="1"/>
  <c r="R36" i="1"/>
  <c r="Y36" i="1" s="1"/>
  <c r="R37" i="1"/>
  <c r="Y37" i="1" s="1"/>
  <c r="R38" i="1"/>
  <c r="Y38" i="1" s="1"/>
  <c r="R39" i="1"/>
  <c r="Y39" i="1" s="1"/>
  <c r="R40" i="1"/>
  <c r="S40" i="1" s="1"/>
  <c r="X40" i="1" s="1"/>
  <c r="R6" i="1"/>
  <c r="Y6" i="1" s="1"/>
  <c r="AL7" i="1"/>
  <c r="AL8" i="1"/>
  <c r="AL9" i="1"/>
  <c r="AL10" i="1"/>
  <c r="AL11" i="1"/>
  <c r="AL12" i="1"/>
  <c r="AL13" i="1"/>
  <c r="AL14" i="1"/>
  <c r="AL15" i="1"/>
  <c r="AL16" i="1"/>
  <c r="AL17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6" i="1"/>
  <c r="L40" i="1"/>
  <c r="L39" i="1"/>
  <c r="L38" i="1"/>
  <c r="L37" i="1"/>
  <c r="L36" i="1"/>
  <c r="AK35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AK20" i="1"/>
  <c r="L20" i="1"/>
  <c r="L19" i="1"/>
  <c r="L18" i="1"/>
  <c r="L17" i="1"/>
  <c r="AK16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Q5" i="1"/>
  <c r="P5" i="1"/>
  <c r="O5" i="1"/>
  <c r="N5" i="1"/>
  <c r="M5" i="1"/>
  <c r="K5" i="1"/>
  <c r="F5" i="1"/>
  <c r="E5" i="1"/>
  <c r="AL18" i="1" l="1"/>
  <c r="AL5" i="1" s="1"/>
  <c r="V5" i="1"/>
  <c r="S37" i="1"/>
  <c r="Y40" i="1"/>
  <c r="S11" i="1"/>
  <c r="Y7" i="1"/>
  <c r="AK15" i="1"/>
  <c r="X15" i="1"/>
  <c r="Y17" i="1"/>
  <c r="Y16" i="1"/>
  <c r="Y15" i="1"/>
  <c r="Y18" i="1"/>
  <c r="S36" i="1"/>
  <c r="X35" i="1"/>
  <c r="S26" i="1"/>
  <c r="AK26" i="1" s="1"/>
  <c r="S22" i="1"/>
  <c r="X22" i="1" s="1"/>
  <c r="X20" i="1"/>
  <c r="Y19" i="1"/>
  <c r="X12" i="1"/>
  <c r="AK12" i="1"/>
  <c r="X14" i="1"/>
  <c r="AK14" i="1"/>
  <c r="X13" i="1"/>
  <c r="AK13" i="1"/>
  <c r="X33" i="1"/>
  <c r="AK33" i="1"/>
  <c r="AK29" i="1"/>
  <c r="X29" i="1"/>
  <c r="AK7" i="1"/>
  <c r="X7" i="1"/>
  <c r="AK32" i="1"/>
  <c r="X32" i="1"/>
  <c r="AK31" i="1"/>
  <c r="X31" i="1"/>
  <c r="AK8" i="1"/>
  <c r="X8" i="1"/>
  <c r="AK28" i="1"/>
  <c r="X28" i="1"/>
  <c r="AK19" i="1"/>
  <c r="X19" i="1"/>
  <c r="X30" i="1"/>
  <c r="AK30" i="1"/>
  <c r="X27" i="1"/>
  <c r="AK27" i="1"/>
  <c r="AK18" i="1"/>
  <c r="X18" i="1"/>
  <c r="Y32" i="1"/>
  <c r="S23" i="1"/>
  <c r="X23" i="1" s="1"/>
  <c r="Y31" i="1"/>
  <c r="AK21" i="1"/>
  <c r="Y30" i="1"/>
  <c r="S39" i="1"/>
  <c r="Y29" i="1"/>
  <c r="S38" i="1"/>
  <c r="Y28" i="1"/>
  <c r="Y14" i="1"/>
  <c r="Y27" i="1"/>
  <c r="Y13" i="1"/>
  <c r="Y12" i="1"/>
  <c r="AK40" i="1"/>
  <c r="AK22" i="1"/>
  <c r="X25" i="1"/>
  <c r="X24" i="1"/>
  <c r="R5" i="1"/>
  <c r="L5" i="1"/>
  <c r="X26" i="1" l="1"/>
  <c r="X36" i="1"/>
  <c r="AK36" i="1"/>
  <c r="AK37" i="1"/>
  <c r="X37" i="1"/>
  <c r="X21" i="1"/>
  <c r="X6" i="1"/>
  <c r="AK6" i="1"/>
  <c r="X9" i="1"/>
  <c r="AK9" i="1"/>
  <c r="AK23" i="1"/>
  <c r="X38" i="1"/>
  <c r="AK38" i="1"/>
  <c r="X10" i="1"/>
  <c r="AK10" i="1"/>
  <c r="AK39" i="1"/>
  <c r="X39" i="1"/>
  <c r="X11" i="1"/>
  <c r="AK11" i="1"/>
  <c r="S5" i="1"/>
  <c r="X34" i="1"/>
  <c r="AK34" i="1"/>
  <c r="AK5" i="1" l="1"/>
</calcChain>
</file>

<file path=xl/sharedStrings.xml><?xml version="1.0" encoding="utf-8"?>
<sst xmlns="http://schemas.openxmlformats.org/spreadsheetml/2006/main" count="167" uniqueCount="92">
  <si>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</si>
  <si>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</si>
  <si>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</si>
  <si>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</si>
  <si>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</si>
  <si>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</si>
  <si>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</si>
  <si>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</si>
  <si>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</si>
  <si>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</si>
  <si>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</si>
  <si>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</si>
  <si>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</si>
  <si>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</si>
  <si>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</si>
  <si>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</si>
  <si>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</si>
  <si>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</si>
  <si>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</si>
  <si>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</si>
  <si>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</si>
  <si>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ошибка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</si>
  <si>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</si>
  <si>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</si>
  <si>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</si>
  <si>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</si>
  <si>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</si>
  <si>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</si>
  <si>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</si>
  <si>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</si>
  <si>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</si>
  <si>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</si>
  <si>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</si>
  <si>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</si>
  <si>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</si>
  <si>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</si>
  <si>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</si>
  <si>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</si>
  <si>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</si>
  <si>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</si>
  <si>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</si>
  <si>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</si>
  <si>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</si>
  <si>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</si>
  <si>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</si>
  <si>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нужно увеличить продажи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</si>
  <si>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</si>
  <si>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</si>
  <si>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</si>
  <si>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</si>
  <si>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</si>
  <si>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</si>
  <si>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</si>
  <si>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</si>
  <si>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</si>
  <si>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</si>
  <si>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</si>
  <si>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</si>
  <si>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</si>
  <si>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</si>
  <si>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</si>
  <si>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</si>
  <si>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</si>
  <si>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</si>
  <si>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</si>
  <si>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</si>
  <si>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</si>
  <si>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</si>
  <si>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</si>
  <si>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28,09,26 завод не отгрузил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</si>
  <si>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</si>
  <si>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</si>
  <si>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</si>
  <si>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</si>
  <si>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</si>
  <si>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</si>
  <si>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масло</t>
  </si>
  <si>
    <t>09,11,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</si>
  <si>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ВЫЧЕСТЬ из остатка 320кг (ошибка инвенторизации - 25,07,26)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</si>
  <si>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18кг списано (29,08,26 инвенторизация)</t>
    </r>
  </si>
  <si>
    <t>132шт в уценку (04,08,26) / 400шт в уценку (24,07,26)</t>
  </si>
  <si>
    <t>127кг в уценке (04,09,26)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</si>
  <si>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</si>
  <si>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</si>
  <si>
    <t>ТК</t>
  </si>
  <si>
    <t>Чепрасова</t>
  </si>
  <si>
    <t>новинка</t>
  </si>
  <si>
    <t>заказ</t>
  </si>
  <si>
    <t>02,11,</t>
  </si>
  <si>
    <t>итого1</t>
  </si>
  <si>
    <t>итого</t>
  </si>
  <si>
    <t>09,11,масло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</si>
</sst>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23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 Cyr"/>
      <charset val="204"/>
    </font>
    <font>
      <sz val="10"/>
      <color rgb="FF000000"/>
      <name val="Liberation Sans1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Liberation Sans1"/>
      <charset val="204"/>
    </font>
    <font>
      <b/>
      <sz val="10"/>
      <color rgb="FFFFFFFF"/>
      <name val="Liberation Sans1"/>
      <charset val="204"/>
    </font>
    <font>
      <sz val="10"/>
      <color rgb="FFCC0000"/>
      <name val="Liberation Sans1"/>
      <charset val="204"/>
    </font>
    <font>
      <sz val="10"/>
      <color rgb="FF9C0006"/>
      <name val="Liberation Sans1"/>
      <charset val="204"/>
    </font>
    <font>
      <i/>
      <sz val="10"/>
      <color rgb="FF808080"/>
      <name val="Liberation Sans1"/>
      <charset val="204"/>
    </font>
    <font>
      <sz val="10"/>
      <color rgb="FF006600"/>
      <name val="Liberation Sans1"/>
      <charset val="204"/>
    </font>
    <font>
      <b/>
      <sz val="24"/>
      <color rgb="FF000000"/>
      <name val="Liberation Sans1"/>
      <charset val="204"/>
    </font>
    <font>
      <b/>
      <sz val="18"/>
      <color rgb="FF000000"/>
      <name val="Liberation Sans1"/>
      <charset val="204"/>
    </font>
    <font>
      <b/>
      <sz val="12"/>
      <color rgb="FF000000"/>
      <name val="Liberation Sans1"/>
      <charset val="204"/>
    </font>
    <font>
      <u/>
      <sz val="10"/>
      <color rgb="FF0000EE"/>
      <name val="Liberation Sans1"/>
      <charset val="204"/>
    </font>
    <font>
      <sz val="10"/>
      <color rgb="FF996600"/>
      <name val="Liberation Sans1"/>
      <charset val="204"/>
    </font>
    <font>
      <sz val="10"/>
      <color rgb="FF333333"/>
      <name val="Liberation Sans1"/>
      <charset val="204"/>
    </font>
    <font>
      <b/>
      <i/>
      <u/>
      <sz val="10"/>
      <color rgb="FF000000"/>
      <name val="Liberation Sans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FFC7CE"/>
        <bgColor rgb="FFFFC7CE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5">
    <xf numFmtId="0" fontId="0" fillId="0" borderId="1"/>
    <xf numFmtId="0" fontId="1" fillId="0" borderId="1"/>
    <xf numFmtId="0" fontId="6" fillId="0" borderId="1"/>
    <xf numFmtId="0" fontId="7" fillId="0" borderId="1"/>
    <xf numFmtId="0" fontId="8" fillId="0" borderId="1" applyNumberFormat="0" applyBorder="0" applyProtection="0"/>
    <xf numFmtId="0" fontId="9" fillId="0" borderId="1" applyNumberFormat="0" applyBorder="0" applyProtection="0"/>
    <xf numFmtId="0" fontId="10" fillId="0" borderId="1" applyNumberFormat="0" applyBorder="0" applyProtection="0"/>
    <xf numFmtId="0" fontId="11" fillId="6" borderId="1" applyNumberFormat="0" applyBorder="0" applyProtection="0"/>
    <xf numFmtId="0" fontId="11" fillId="7" borderId="1" applyNumberFormat="0" applyBorder="0" applyProtection="0"/>
    <xf numFmtId="0" fontId="10" fillId="8" borderId="1" applyNumberFormat="0" applyBorder="0" applyProtection="0"/>
    <xf numFmtId="0" fontId="12" fillId="9" borderId="1" applyNumberFormat="0" applyBorder="0" applyProtection="0"/>
    <xf numFmtId="0" fontId="13" fillId="10" borderId="1" applyNumberFormat="0" applyBorder="0" applyProtection="0"/>
    <xf numFmtId="0" fontId="11" fillId="11" borderId="1" applyNumberFormat="0" applyBorder="0" applyProtection="0"/>
    <xf numFmtId="0" fontId="14" fillId="0" borderId="1" applyNumberFormat="0" applyBorder="0" applyProtection="0"/>
    <xf numFmtId="0" fontId="15" fillId="12" borderId="1" applyNumberFormat="0" applyBorder="0" applyProtection="0"/>
    <xf numFmtId="0" fontId="16" fillId="0" borderId="1" applyNumberFormat="0" applyBorder="0" applyProtection="0"/>
    <xf numFmtId="0" fontId="17" fillId="0" borderId="1" applyNumberFormat="0" applyBorder="0" applyProtection="0"/>
    <xf numFmtId="0" fontId="18" fillId="0" borderId="1" applyNumberFormat="0" applyBorder="0" applyProtection="0"/>
    <xf numFmtId="0" fontId="19" fillId="0" borderId="1" applyNumberFormat="0" applyBorder="0" applyProtection="0"/>
    <xf numFmtId="0" fontId="20" fillId="13" borderId="1" applyNumberFormat="0" applyBorder="0" applyProtection="0"/>
    <xf numFmtId="0" fontId="21" fillId="13" borderId="3" applyNumberFormat="0" applyProtection="0"/>
    <xf numFmtId="0" fontId="22" fillId="0" borderId="1" applyNumberFormat="0" applyBorder="0" applyProtection="0"/>
    <xf numFmtId="0" fontId="7" fillId="0" borderId="1" applyNumberFormat="0" applyFont="0" applyBorder="0" applyProtection="0"/>
    <xf numFmtId="0" fontId="7" fillId="0" borderId="1" applyNumberFormat="0" applyFont="0" applyBorder="0" applyProtection="0"/>
    <xf numFmtId="0" fontId="12" fillId="0" borderId="1" applyNumberFormat="0" applyBorder="0" applyProtection="0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5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5">
    <cellStyle name="0,0_x000a_NA_x000a_ 10" xfId="5" xr:uid="{ED934217-510D-4BC9-8AE5-534DAFCAB533}"/>
    <cellStyle name="Accent" xfId="6" xr:uid="{8600878F-4C56-4BD2-9CF8-30EF89D19A8B}"/>
    <cellStyle name="Accent 1" xfId="7" xr:uid="{3F1D6672-5D57-473A-8472-780FC03FF59C}"/>
    <cellStyle name="Accent 2" xfId="8" xr:uid="{ACE38F99-5361-4657-93CC-DE163AE44C23}"/>
    <cellStyle name="Accent 3" xfId="9" xr:uid="{342C1505-7BD0-45E9-8850-B009369B41E6}"/>
    <cellStyle name="Arial10px" xfId="1" xr:uid="{00000000-0005-0000-0000-000001000000}"/>
    <cellStyle name="Bad" xfId="10" xr:uid="{F0C27FD1-E95D-4795-AA7F-BC3951A34DBE}"/>
    <cellStyle name="ConditionalStyle_366" xfId="11" xr:uid="{0BF1DFDB-1E8F-4072-8A62-681F62DC3A8E}"/>
    <cellStyle name="Error" xfId="12" xr:uid="{C8AB0573-5AE2-4787-A21E-8FF28D0C358B}"/>
    <cellStyle name="Footnote" xfId="13" xr:uid="{3D15F081-E4F8-4134-9D94-A7EDC29666DD}"/>
    <cellStyle name="Good" xfId="14" xr:uid="{24D35AB0-6751-4F91-BBB0-A59CB9EBCEFA}"/>
    <cellStyle name="Heading" xfId="15" xr:uid="{D43A2A06-DD22-4C95-B965-A048C67CE54B}"/>
    <cellStyle name="Heading 1" xfId="16" xr:uid="{9ED3FFB4-EC9C-4284-B65C-379BDE70E0DE}"/>
    <cellStyle name="Heading 2" xfId="17" xr:uid="{88D38D7B-0E34-42EF-BB06-0969673829DD}"/>
    <cellStyle name="Hyperlink" xfId="18" xr:uid="{E22AB314-AC73-4A13-8DFE-A28B82E7DD18}"/>
    <cellStyle name="Neutral" xfId="19" xr:uid="{F7A86FAE-0E08-4719-8AB0-2B78164EB81B}"/>
    <cellStyle name="Note" xfId="20" xr:uid="{75A5C7AD-B27D-4AB1-A7A3-A0EC489CC8DF}"/>
    <cellStyle name="Result" xfId="21" xr:uid="{93496F44-5DC7-419C-932E-60000F2D8E50}"/>
    <cellStyle name="Status" xfId="22" xr:uid="{A602C4AB-DF6F-4729-BE13-511527160477}"/>
    <cellStyle name="Text" xfId="23" xr:uid="{19A30164-9E73-408B-A8D8-198309ED722B}"/>
    <cellStyle name="Warning" xfId="24" xr:uid="{DEFDDD9A-2332-44D6-B714-405918E405DA}"/>
    <cellStyle name="Обычный" xfId="0" builtinId="0"/>
    <cellStyle name="Обычный 2" xfId="3" xr:uid="{367AF6E7-6B0D-45C7-B3E3-9817014D308B}"/>
    <cellStyle name="Обычный 4" xfId="2" xr:uid="{551CD109-2C9E-420C-B6FF-D1B6317AAF73}"/>
    <cellStyle name="Обычный 5" xfId="4" xr:uid="{785A65A2-7355-4B85-A48D-7DB28A1CFC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4" sqref="W14"/>
    </sheetView>
  </sheetViews>
  <sheetFormatPr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4062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7" style="15" customWidth="1"/>
    <col min="22" max="22" width="7" customWidth="1"/>
    <col min="23" max="23" width="7" style="15" customWidth="1"/>
    <col min="24" max="25" width="5" customWidth="1"/>
    <col min="26" max="35" width="6" customWidth="1"/>
    <col min="36" max="36" width="45" customWidth="1"/>
    <col min="37" max="38" width="7" customWidth="1"/>
    <col min="39" max="52" width="3" customWidth="1"/>
  </cols>
  <sheetData>
    <row r="1" spans="1:52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 t="s">
        <v>41</v>
      </c>
      <c r="R1" s="1"/>
      <c r="S1" s="1">
        <v>17</v>
      </c>
      <c r="T1" s="1"/>
      <c r="U1" s="1"/>
      <c r="V1" s="1">
        <v>22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>
        <v>18</v>
      </c>
      <c r="R2" s="1"/>
      <c r="S2" s="1"/>
      <c r="T2" s="1"/>
      <c r="U2" s="1"/>
      <c r="V2" s="9" t="s">
        <v>77</v>
      </c>
      <c r="W2" s="9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9" t="s">
        <v>77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89</v>
      </c>
      <c r="T3" s="3" t="s">
        <v>87</v>
      </c>
      <c r="U3" s="3" t="s">
        <v>87</v>
      </c>
      <c r="V3" s="3" t="s">
        <v>90</v>
      </c>
      <c r="W3" s="3" t="s">
        <v>84</v>
      </c>
      <c r="X3" s="2" t="s">
        <v>16</v>
      </c>
      <c r="Y3" s="2" t="s">
        <v>17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18</v>
      </c>
      <c r="AG3" s="2" t="s">
        <v>18</v>
      </c>
      <c r="AH3" s="2" t="s">
        <v>18</v>
      </c>
      <c r="AI3" s="2" t="s">
        <v>18</v>
      </c>
      <c r="AJ3" s="2" t="s">
        <v>19</v>
      </c>
      <c r="AK3" s="2" t="s">
        <v>20</v>
      </c>
      <c r="AL3" s="2" t="s">
        <v>20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24</v>
      </c>
      <c r="S4" s="1"/>
      <c r="T4" s="1" t="s">
        <v>88</v>
      </c>
      <c r="U4" s="1" t="s">
        <v>91</v>
      </c>
      <c r="V4" s="9" t="s">
        <v>76</v>
      </c>
      <c r="W4" s="9" t="s">
        <v>85</v>
      </c>
      <c r="X4" s="1"/>
      <c r="Y4" s="1"/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/>
      <c r="AL4" s="9" t="s">
        <v>76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4">
        <f>SUM(E6:E499)</f>
        <v>1570.2109999999998</v>
      </c>
      <c r="F5" s="4">
        <f>SUM(F6:F499)</f>
        <v>3456.9839999999999</v>
      </c>
      <c r="G5" s="7"/>
      <c r="H5" s="1"/>
      <c r="I5" s="1"/>
      <c r="J5" s="1"/>
      <c r="K5" s="4">
        <f t="shared" ref="K5:V5" si="0">SUM(K6:K499)</f>
        <v>1713</v>
      </c>
      <c r="L5" s="4">
        <f t="shared" si="0"/>
        <v>-142.78899999999999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1776</v>
      </c>
      <c r="Q5" s="4">
        <f t="shared" si="0"/>
        <v>100</v>
      </c>
      <c r="R5" s="4">
        <f t="shared" si="0"/>
        <v>314.04220000000004</v>
      </c>
      <c r="S5" s="4">
        <f t="shared" si="0"/>
        <v>1430.45</v>
      </c>
      <c r="T5" s="4">
        <f t="shared" si="0"/>
        <v>1426</v>
      </c>
      <c r="U5" s="4">
        <f t="shared" ref="U5" si="1">SUM(U6:U499)</f>
        <v>210</v>
      </c>
      <c r="V5" s="4">
        <f t="shared" si="0"/>
        <v>208.60000000000002</v>
      </c>
      <c r="W5" s="4"/>
      <c r="X5" s="1"/>
      <c r="Y5" s="1"/>
      <c r="Z5" s="4">
        <f t="shared" ref="Z5:AI5" si="2">SUM(Z6:Z499)</f>
        <v>339.06539999999995</v>
      </c>
      <c r="AA5" s="4">
        <f t="shared" si="2"/>
        <v>318.79100000000005</v>
      </c>
      <c r="AB5" s="4">
        <f t="shared" si="2"/>
        <v>298.00299999999999</v>
      </c>
      <c r="AC5" s="4">
        <f t="shared" si="2"/>
        <v>305.68039999999996</v>
      </c>
      <c r="AD5" s="4">
        <f t="shared" si="2"/>
        <v>255.13099999999997</v>
      </c>
      <c r="AE5" s="4">
        <f t="shared" si="2"/>
        <v>344.86660000000001</v>
      </c>
      <c r="AF5" s="4">
        <f t="shared" si="2"/>
        <v>356.29920000000016</v>
      </c>
      <c r="AG5" s="4">
        <f t="shared" si="2"/>
        <v>297.89479999999998</v>
      </c>
      <c r="AH5" s="4">
        <f t="shared" si="2"/>
        <v>334.9140000000001</v>
      </c>
      <c r="AI5" s="4">
        <f t="shared" si="2"/>
        <v>295.55619999999999</v>
      </c>
      <c r="AJ5" s="1"/>
      <c r="AK5" s="4">
        <f>SUM(AK6:AK499)</f>
        <v>557.24720000000002</v>
      </c>
      <c r="AL5" s="4">
        <f>SUM(AL6:AL499)</f>
        <v>37.548000000000002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1" t="s">
        <v>35</v>
      </c>
      <c r="B6" s="1" t="s">
        <v>36</v>
      </c>
      <c r="C6" s="1">
        <v>48</v>
      </c>
      <c r="D6" s="1"/>
      <c r="E6" s="1">
        <v>1</v>
      </c>
      <c r="F6" s="1">
        <v>46</v>
      </c>
      <c r="G6" s="7">
        <v>5.5E-2</v>
      </c>
      <c r="H6" s="1">
        <v>120</v>
      </c>
      <c r="I6" s="1"/>
      <c r="J6" s="1"/>
      <c r="K6" s="1">
        <v>1</v>
      </c>
      <c r="L6" s="1">
        <f t="shared" ref="L6:L40" si="3">E6-K6</f>
        <v>0</v>
      </c>
      <c r="M6" s="1"/>
      <c r="N6" s="1"/>
      <c r="O6" s="1"/>
      <c r="P6" s="1"/>
      <c r="Q6" s="1"/>
      <c r="R6" s="1">
        <f>E6/5</f>
        <v>0.2</v>
      </c>
      <c r="S6" s="5"/>
      <c r="T6" s="5"/>
      <c r="U6" s="5"/>
      <c r="V6" s="5"/>
      <c r="W6" s="14"/>
      <c r="X6" s="1">
        <f>(F6+O6+P6+Q6+S6+V6)/R6</f>
        <v>230</v>
      </c>
      <c r="Y6" s="1">
        <f>(F6+O6+P6+Q6)/R6</f>
        <v>230</v>
      </c>
      <c r="Z6" s="1">
        <v>1</v>
      </c>
      <c r="AA6" s="1">
        <v>0.4</v>
      </c>
      <c r="AB6" s="1">
        <v>1.2</v>
      </c>
      <c r="AC6" s="1">
        <v>2.2000000000000002</v>
      </c>
      <c r="AD6" s="1">
        <v>0.2</v>
      </c>
      <c r="AE6" s="1">
        <v>3.2</v>
      </c>
      <c r="AF6" s="1">
        <v>0.4</v>
      </c>
      <c r="AG6" s="1">
        <v>2.4</v>
      </c>
      <c r="AH6" s="1">
        <v>1.6</v>
      </c>
      <c r="AI6" s="1">
        <v>0</v>
      </c>
      <c r="AJ6" s="11" t="s">
        <v>37</v>
      </c>
      <c r="AK6" s="1">
        <f t="shared" ref="AK6:AK42" si="4">G6*S6</f>
        <v>0</v>
      </c>
      <c r="AL6" s="1">
        <f t="shared" ref="AL6:AL42" si="5">G6*V6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1" t="s">
        <v>38</v>
      </c>
      <c r="B7" s="1" t="s">
        <v>36</v>
      </c>
      <c r="C7" s="1">
        <v>31</v>
      </c>
      <c r="D7" s="1">
        <v>4</v>
      </c>
      <c r="E7" s="1">
        <v>18</v>
      </c>
      <c r="F7" s="1">
        <v>9</v>
      </c>
      <c r="G7" s="7">
        <v>0.1</v>
      </c>
      <c r="H7" s="1">
        <v>120</v>
      </c>
      <c r="I7" s="1"/>
      <c r="J7" s="1"/>
      <c r="K7" s="1">
        <v>22</v>
      </c>
      <c r="L7" s="1">
        <f t="shared" si="3"/>
        <v>-4</v>
      </c>
      <c r="M7" s="1"/>
      <c r="N7" s="1"/>
      <c r="O7" s="1"/>
      <c r="P7" s="1">
        <v>24</v>
      </c>
      <c r="Q7" s="1"/>
      <c r="R7" s="1">
        <f t="shared" ref="R7:R40" si="6">E7/5</f>
        <v>3.6</v>
      </c>
      <c r="S7" s="5">
        <f t="shared" ref="S7:S40" si="7">17*R7-Q7-P7-O7-F7</f>
        <v>28.200000000000003</v>
      </c>
      <c r="T7" s="5">
        <f>VLOOKUP(A7,заказ!A:B,2,0)</f>
        <v>24</v>
      </c>
      <c r="U7" s="5"/>
      <c r="V7" s="5"/>
      <c r="W7" s="14"/>
      <c r="X7" s="1">
        <f t="shared" ref="X7:X40" si="8">(F7+O7+P7+Q7+S7+V7)/R7</f>
        <v>17</v>
      </c>
      <c r="Y7" s="1">
        <f t="shared" ref="Y7:Y40" si="9">(F7+O7+P7+Q7)/R7</f>
        <v>9.1666666666666661</v>
      </c>
      <c r="Z7" s="1">
        <v>3.6</v>
      </c>
      <c r="AA7" s="1">
        <v>1.8</v>
      </c>
      <c r="AB7" s="1">
        <v>2.4</v>
      </c>
      <c r="AC7" s="1">
        <v>2.8</v>
      </c>
      <c r="AD7" s="1">
        <v>2</v>
      </c>
      <c r="AE7" s="1">
        <v>5.6</v>
      </c>
      <c r="AF7" s="1">
        <v>6.2</v>
      </c>
      <c r="AG7" s="1">
        <v>4</v>
      </c>
      <c r="AH7" s="1">
        <v>9.4</v>
      </c>
      <c r="AI7" s="1">
        <v>0.4</v>
      </c>
      <c r="AJ7" s="1"/>
      <c r="AK7" s="1">
        <f t="shared" si="4"/>
        <v>2.8200000000000003</v>
      </c>
      <c r="AL7" s="1">
        <f t="shared" si="5"/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1" t="s">
        <v>39</v>
      </c>
      <c r="B8" s="1" t="s">
        <v>36</v>
      </c>
      <c r="C8" s="1">
        <v>42</v>
      </c>
      <c r="D8" s="1"/>
      <c r="E8" s="1">
        <v>8</v>
      </c>
      <c r="F8" s="1">
        <v>28</v>
      </c>
      <c r="G8" s="7">
        <v>0.1</v>
      </c>
      <c r="H8" s="1">
        <v>120</v>
      </c>
      <c r="I8" s="1"/>
      <c r="J8" s="1"/>
      <c r="K8" s="1">
        <v>8</v>
      </c>
      <c r="L8" s="1">
        <f t="shared" si="3"/>
        <v>0</v>
      </c>
      <c r="M8" s="1"/>
      <c r="N8" s="1"/>
      <c r="O8" s="1"/>
      <c r="P8" s="1">
        <v>24</v>
      </c>
      <c r="Q8" s="1"/>
      <c r="R8" s="1">
        <f t="shared" si="6"/>
        <v>1.6</v>
      </c>
      <c r="S8" s="5"/>
      <c r="T8" s="5"/>
      <c r="U8" s="5"/>
      <c r="V8" s="5"/>
      <c r="W8" s="14"/>
      <c r="X8" s="1">
        <f t="shared" si="8"/>
        <v>32.5</v>
      </c>
      <c r="Y8" s="1">
        <f t="shared" si="9"/>
        <v>32.5</v>
      </c>
      <c r="Z8" s="1">
        <v>4.2</v>
      </c>
      <c r="AA8" s="1">
        <v>0.2</v>
      </c>
      <c r="AB8" s="1">
        <v>1.4</v>
      </c>
      <c r="AC8" s="1">
        <v>2.4</v>
      </c>
      <c r="AD8" s="1">
        <v>1.4</v>
      </c>
      <c r="AE8" s="1">
        <v>2.6</v>
      </c>
      <c r="AF8" s="1">
        <v>4.8</v>
      </c>
      <c r="AG8" s="1">
        <v>3.4</v>
      </c>
      <c r="AH8" s="1">
        <v>7.6</v>
      </c>
      <c r="AI8" s="1">
        <v>0.4</v>
      </c>
      <c r="AJ8" s="11" t="s">
        <v>37</v>
      </c>
      <c r="AK8" s="1">
        <f t="shared" si="4"/>
        <v>0</v>
      </c>
      <c r="AL8" s="1">
        <f t="shared" si="5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1" t="s">
        <v>40</v>
      </c>
      <c r="B9" s="1" t="s">
        <v>41</v>
      </c>
      <c r="C9" s="1">
        <v>365.61599999999999</v>
      </c>
      <c r="D9" s="1">
        <v>174.899</v>
      </c>
      <c r="E9" s="1">
        <v>32.127000000000002</v>
      </c>
      <c r="F9" s="1">
        <v>453.60199999999998</v>
      </c>
      <c r="G9" s="7">
        <v>1</v>
      </c>
      <c r="H9" s="1">
        <v>120</v>
      </c>
      <c r="I9" s="1"/>
      <c r="J9" s="1"/>
      <c r="K9" s="1">
        <v>37.1</v>
      </c>
      <c r="L9" s="1">
        <f t="shared" si="3"/>
        <v>-4.972999999999999</v>
      </c>
      <c r="M9" s="1"/>
      <c r="N9" s="1"/>
      <c r="O9" s="1">
        <v>-320</v>
      </c>
      <c r="P9" s="1">
        <v>70</v>
      </c>
      <c r="Q9" s="1"/>
      <c r="R9" s="1">
        <f t="shared" si="6"/>
        <v>6.4254000000000007</v>
      </c>
      <c r="S9" s="5"/>
      <c r="T9" s="5"/>
      <c r="U9" s="5"/>
      <c r="V9" s="5"/>
      <c r="W9" s="14"/>
      <c r="X9" s="1">
        <f t="shared" si="8"/>
        <v>31.68705450244342</v>
      </c>
      <c r="Y9" s="1">
        <f t="shared" si="9"/>
        <v>31.68705450244342</v>
      </c>
      <c r="Z9" s="1">
        <v>10.175000000000001</v>
      </c>
      <c r="AA9" s="1">
        <v>9.1402000000000001</v>
      </c>
      <c r="AB9" s="1">
        <v>10.6038</v>
      </c>
      <c r="AC9" s="1">
        <v>8.9152000000000005</v>
      </c>
      <c r="AD9" s="1">
        <v>4.7877999999999998</v>
      </c>
      <c r="AE9" s="1">
        <v>13.945</v>
      </c>
      <c r="AF9" s="1">
        <v>3.8052000000000001</v>
      </c>
      <c r="AG9" s="1">
        <v>0</v>
      </c>
      <c r="AH9" s="1">
        <v>8.1988000000000003</v>
      </c>
      <c r="AI9" s="1">
        <v>12.0482</v>
      </c>
      <c r="AJ9" s="12" t="s">
        <v>78</v>
      </c>
      <c r="AK9" s="1">
        <f t="shared" si="4"/>
        <v>0</v>
      </c>
      <c r="AL9" s="1">
        <f t="shared" si="5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1" t="s">
        <v>42</v>
      </c>
      <c r="B10" s="1" t="s">
        <v>41</v>
      </c>
      <c r="C10" s="1">
        <v>40.887999999999998</v>
      </c>
      <c r="D10" s="1">
        <v>2.98</v>
      </c>
      <c r="E10" s="1">
        <v>5.7960000000000003</v>
      </c>
      <c r="F10" s="1">
        <v>29.044</v>
      </c>
      <c r="G10" s="7">
        <v>1</v>
      </c>
      <c r="H10" s="1">
        <v>180</v>
      </c>
      <c r="I10" s="1"/>
      <c r="J10" s="1"/>
      <c r="K10" s="1">
        <v>7</v>
      </c>
      <c r="L10" s="1">
        <f t="shared" si="3"/>
        <v>-1.2039999999999997</v>
      </c>
      <c r="M10" s="1"/>
      <c r="N10" s="1"/>
      <c r="O10" s="1"/>
      <c r="P10" s="1"/>
      <c r="Q10" s="1"/>
      <c r="R10" s="1">
        <f t="shared" si="6"/>
        <v>1.1592</v>
      </c>
      <c r="S10" s="5"/>
      <c r="T10" s="5"/>
      <c r="U10" s="5"/>
      <c r="V10" s="5"/>
      <c r="W10" s="14"/>
      <c r="X10" s="1">
        <f t="shared" si="8"/>
        <v>25.055210489993097</v>
      </c>
      <c r="Y10" s="1">
        <f t="shared" si="9"/>
        <v>25.055210489993097</v>
      </c>
      <c r="Z10" s="1">
        <v>3.0459999999999998</v>
      </c>
      <c r="AA10" s="1">
        <v>3.5596000000000001</v>
      </c>
      <c r="AB10" s="1">
        <v>2.3111999999999999</v>
      </c>
      <c r="AC10" s="1">
        <v>3.9127999999999998</v>
      </c>
      <c r="AD10" s="1">
        <v>4.5728</v>
      </c>
      <c r="AE10" s="1">
        <v>6.242</v>
      </c>
      <c r="AF10" s="1">
        <v>3.8908</v>
      </c>
      <c r="AG10" s="1">
        <v>3.9020000000000001</v>
      </c>
      <c r="AH10" s="1">
        <v>4.0808</v>
      </c>
      <c r="AI10" s="1">
        <v>2.5880000000000001</v>
      </c>
      <c r="AJ10" s="10" t="s">
        <v>45</v>
      </c>
      <c r="AK10" s="1">
        <f t="shared" si="4"/>
        <v>0</v>
      </c>
      <c r="AL10" s="1">
        <f t="shared" si="5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 t="s">
        <v>43</v>
      </c>
      <c r="B11" s="1" t="s">
        <v>36</v>
      </c>
      <c r="C11" s="1">
        <v>30</v>
      </c>
      <c r="D11" s="1">
        <v>6</v>
      </c>
      <c r="E11" s="1">
        <v>30</v>
      </c>
      <c r="F11" s="1"/>
      <c r="G11" s="7">
        <v>0.82450000000000001</v>
      </c>
      <c r="H11" s="1">
        <v>180</v>
      </c>
      <c r="I11" s="1"/>
      <c r="J11" s="1"/>
      <c r="K11" s="1">
        <v>30</v>
      </c>
      <c r="L11" s="1">
        <f t="shared" si="3"/>
        <v>0</v>
      </c>
      <c r="M11" s="1"/>
      <c r="N11" s="1"/>
      <c r="O11" s="1"/>
      <c r="P11" s="1">
        <v>12</v>
      </c>
      <c r="Q11" s="1"/>
      <c r="R11" s="1">
        <f t="shared" si="6"/>
        <v>6</v>
      </c>
      <c r="S11" s="5">
        <f>12*R11-Q11-P11-O11-F11</f>
        <v>60</v>
      </c>
      <c r="T11" s="5">
        <f>VLOOKUP(A11,заказ!A:B,2,0)</f>
        <v>60</v>
      </c>
      <c r="U11" s="5"/>
      <c r="V11" s="5"/>
      <c r="W11" s="14"/>
      <c r="X11" s="1">
        <f t="shared" si="8"/>
        <v>12</v>
      </c>
      <c r="Y11" s="1">
        <f t="shared" si="9"/>
        <v>2</v>
      </c>
      <c r="Z11" s="1">
        <v>0</v>
      </c>
      <c r="AA11" s="1">
        <v>0</v>
      </c>
      <c r="AB11" s="1">
        <v>0.8</v>
      </c>
      <c r="AC11" s="1">
        <v>0</v>
      </c>
      <c r="AD11" s="1">
        <v>0.8</v>
      </c>
      <c r="AE11" s="1">
        <v>0.4</v>
      </c>
      <c r="AF11" s="1">
        <v>0.8</v>
      </c>
      <c r="AG11" s="1">
        <v>1</v>
      </c>
      <c r="AH11" s="1">
        <v>1</v>
      </c>
      <c r="AI11" s="1">
        <v>3</v>
      </c>
      <c r="AJ11" s="1"/>
      <c r="AK11" s="1">
        <f t="shared" si="4"/>
        <v>49.47</v>
      </c>
      <c r="AL11" s="1">
        <f t="shared" si="5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 t="s">
        <v>44</v>
      </c>
      <c r="B12" s="1" t="s">
        <v>36</v>
      </c>
      <c r="C12" s="1">
        <v>360</v>
      </c>
      <c r="D12" s="1">
        <v>5</v>
      </c>
      <c r="E12" s="1">
        <v>63</v>
      </c>
      <c r="F12" s="1">
        <v>246</v>
      </c>
      <c r="G12" s="7">
        <v>0.372</v>
      </c>
      <c r="H12" s="1">
        <v>180</v>
      </c>
      <c r="I12" s="1"/>
      <c r="J12" s="1"/>
      <c r="K12" s="1">
        <v>63</v>
      </c>
      <c r="L12" s="1">
        <f t="shared" si="3"/>
        <v>0</v>
      </c>
      <c r="M12" s="1"/>
      <c r="N12" s="1"/>
      <c r="O12" s="1"/>
      <c r="P12" s="1"/>
      <c r="Q12" s="1"/>
      <c r="R12" s="1">
        <f t="shared" si="6"/>
        <v>12.6</v>
      </c>
      <c r="S12" s="5"/>
      <c r="T12" s="5"/>
      <c r="U12" s="5"/>
      <c r="V12" s="5"/>
      <c r="W12" s="14"/>
      <c r="X12" s="1">
        <f t="shared" si="8"/>
        <v>19.523809523809526</v>
      </c>
      <c r="Y12" s="1">
        <f t="shared" si="9"/>
        <v>19.523809523809526</v>
      </c>
      <c r="Z12" s="1">
        <v>15.6</v>
      </c>
      <c r="AA12" s="1">
        <v>18</v>
      </c>
      <c r="AB12" s="1">
        <v>14.2</v>
      </c>
      <c r="AC12" s="1">
        <v>13.6</v>
      </c>
      <c r="AD12" s="1">
        <v>0</v>
      </c>
      <c r="AE12" s="1">
        <v>16.8</v>
      </c>
      <c r="AF12" s="1">
        <v>32.200000000000003</v>
      </c>
      <c r="AG12" s="1">
        <v>13.2</v>
      </c>
      <c r="AH12" s="1">
        <v>15</v>
      </c>
      <c r="AI12" s="1">
        <v>22.8</v>
      </c>
      <c r="AJ12" s="1"/>
      <c r="AK12" s="1">
        <f t="shared" si="4"/>
        <v>0</v>
      </c>
      <c r="AL12" s="1">
        <f t="shared" si="5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" t="s">
        <v>46</v>
      </c>
      <c r="B13" s="1" t="s">
        <v>36</v>
      </c>
      <c r="C13" s="1">
        <v>302</v>
      </c>
      <c r="D13" s="1"/>
      <c r="E13" s="1">
        <v>40</v>
      </c>
      <c r="F13" s="1">
        <v>247</v>
      </c>
      <c r="G13" s="7">
        <v>0.74399999999999999</v>
      </c>
      <c r="H13" s="1">
        <v>180</v>
      </c>
      <c r="I13" s="1"/>
      <c r="J13" s="1"/>
      <c r="K13" s="1">
        <v>40</v>
      </c>
      <c r="L13" s="1">
        <f t="shared" si="3"/>
        <v>0</v>
      </c>
      <c r="M13" s="1"/>
      <c r="N13" s="1"/>
      <c r="O13" s="1"/>
      <c r="P13" s="1"/>
      <c r="Q13" s="1"/>
      <c r="R13" s="1">
        <f t="shared" si="6"/>
        <v>8</v>
      </c>
      <c r="S13" s="5"/>
      <c r="T13" s="5"/>
      <c r="U13" s="5"/>
      <c r="V13" s="5"/>
      <c r="W13" s="14"/>
      <c r="X13" s="1">
        <f t="shared" si="8"/>
        <v>30.875</v>
      </c>
      <c r="Y13" s="1">
        <f t="shared" si="9"/>
        <v>30.875</v>
      </c>
      <c r="Z13" s="1">
        <v>16.600000000000001</v>
      </c>
      <c r="AA13" s="1">
        <v>16.600000000000001</v>
      </c>
      <c r="AB13" s="1">
        <v>3.6</v>
      </c>
      <c r="AC13" s="1">
        <v>24</v>
      </c>
      <c r="AD13" s="1">
        <v>16.399999999999999</v>
      </c>
      <c r="AE13" s="1">
        <v>8.1999999999999993</v>
      </c>
      <c r="AF13" s="1">
        <v>16.600000000000001</v>
      </c>
      <c r="AG13" s="1">
        <v>5.2</v>
      </c>
      <c r="AH13" s="1">
        <v>7</v>
      </c>
      <c r="AI13" s="1">
        <v>12.6</v>
      </c>
      <c r="AJ13" s="11" t="s">
        <v>37</v>
      </c>
      <c r="AK13" s="1">
        <f t="shared" si="4"/>
        <v>0</v>
      </c>
      <c r="AL13" s="1">
        <f t="shared" si="5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 t="s">
        <v>47</v>
      </c>
      <c r="B14" s="1" t="s">
        <v>36</v>
      </c>
      <c r="C14" s="1">
        <v>287</v>
      </c>
      <c r="D14" s="1">
        <v>17</v>
      </c>
      <c r="E14" s="1">
        <v>170</v>
      </c>
      <c r="F14" s="1">
        <v>71</v>
      </c>
      <c r="G14" s="7">
        <v>0.372</v>
      </c>
      <c r="H14" s="1">
        <v>180</v>
      </c>
      <c r="I14" s="1"/>
      <c r="J14" s="1"/>
      <c r="K14" s="1">
        <v>170</v>
      </c>
      <c r="L14" s="1">
        <f t="shared" si="3"/>
        <v>0</v>
      </c>
      <c r="M14" s="1"/>
      <c r="N14" s="1"/>
      <c r="O14" s="1"/>
      <c r="P14" s="1">
        <v>468</v>
      </c>
      <c r="Q14" s="1"/>
      <c r="R14" s="1">
        <f t="shared" si="6"/>
        <v>34</v>
      </c>
      <c r="S14" s="5">
        <f t="shared" si="7"/>
        <v>39</v>
      </c>
      <c r="T14" s="5">
        <f>VLOOKUP(A14,заказ!A:B,2,0)</f>
        <v>36</v>
      </c>
      <c r="U14" s="5"/>
      <c r="V14" s="5"/>
      <c r="W14" s="14"/>
      <c r="X14" s="1">
        <f t="shared" si="8"/>
        <v>17</v>
      </c>
      <c r="Y14" s="1">
        <f t="shared" si="9"/>
        <v>15.852941176470589</v>
      </c>
      <c r="Z14" s="1">
        <v>40.6</v>
      </c>
      <c r="AA14" s="1">
        <v>24.8</v>
      </c>
      <c r="AB14" s="1">
        <v>34.4</v>
      </c>
      <c r="AC14" s="1">
        <v>39.200000000000003</v>
      </c>
      <c r="AD14" s="1">
        <v>9.4</v>
      </c>
      <c r="AE14" s="1">
        <v>41.6</v>
      </c>
      <c r="AF14" s="1">
        <v>55.2</v>
      </c>
      <c r="AG14" s="1">
        <v>32.6</v>
      </c>
      <c r="AH14" s="1">
        <v>31.8</v>
      </c>
      <c r="AI14" s="1">
        <v>48.2</v>
      </c>
      <c r="AJ14" s="1"/>
      <c r="AK14" s="1">
        <f t="shared" si="4"/>
        <v>14.507999999999999</v>
      </c>
      <c r="AL14" s="1">
        <f t="shared" si="5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 t="s">
        <v>48</v>
      </c>
      <c r="B15" s="1" t="s">
        <v>36</v>
      </c>
      <c r="C15" s="1">
        <v>1</v>
      </c>
      <c r="D15" s="1">
        <v>648</v>
      </c>
      <c r="E15" s="1">
        <v>222</v>
      </c>
      <c r="F15" s="1">
        <v>363</v>
      </c>
      <c r="G15" s="7">
        <v>0.74399999999999999</v>
      </c>
      <c r="H15" s="1">
        <v>180</v>
      </c>
      <c r="I15" s="1"/>
      <c r="J15" s="1"/>
      <c r="K15" s="1">
        <v>251</v>
      </c>
      <c r="L15" s="1">
        <f t="shared" si="3"/>
        <v>-29</v>
      </c>
      <c r="M15" s="1"/>
      <c r="N15" s="1"/>
      <c r="O15" s="1"/>
      <c r="P15" s="1"/>
      <c r="Q15" s="1"/>
      <c r="R15" s="1">
        <f t="shared" si="6"/>
        <v>44.4</v>
      </c>
      <c r="S15" s="5">
        <f t="shared" si="7"/>
        <v>391.79999999999995</v>
      </c>
      <c r="T15" s="5">
        <f>VLOOKUP(A15,заказ!A:B,2,0)</f>
        <v>396</v>
      </c>
      <c r="U15" s="5"/>
      <c r="V15" s="5"/>
      <c r="W15" s="14"/>
      <c r="X15" s="1">
        <f t="shared" si="8"/>
        <v>17</v>
      </c>
      <c r="Y15" s="1">
        <f t="shared" si="9"/>
        <v>8.1756756756756754</v>
      </c>
      <c r="Z15" s="1">
        <v>31.2</v>
      </c>
      <c r="AA15" s="1">
        <v>43.8</v>
      </c>
      <c r="AB15" s="1">
        <v>32.4</v>
      </c>
      <c r="AC15" s="1">
        <v>10.199999999999999</v>
      </c>
      <c r="AD15" s="1">
        <v>38.200000000000003</v>
      </c>
      <c r="AE15" s="1">
        <v>27</v>
      </c>
      <c r="AF15" s="1">
        <v>21.6</v>
      </c>
      <c r="AG15" s="1">
        <v>31.8</v>
      </c>
      <c r="AH15" s="1">
        <v>35.200000000000003</v>
      </c>
      <c r="AI15" s="1">
        <v>35.200000000000003</v>
      </c>
      <c r="AJ15" s="1"/>
      <c r="AK15" s="1">
        <f t="shared" si="4"/>
        <v>291.49919999999997</v>
      </c>
      <c r="AL15" s="1">
        <f t="shared" si="5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1" t="s">
        <v>49</v>
      </c>
      <c r="B16" s="1" t="s">
        <v>36</v>
      </c>
      <c r="C16" s="1">
        <v>117</v>
      </c>
      <c r="D16" s="1">
        <v>2</v>
      </c>
      <c r="E16" s="1">
        <v>20</v>
      </c>
      <c r="F16" s="1">
        <v>93</v>
      </c>
      <c r="G16" s="7">
        <v>0.18</v>
      </c>
      <c r="H16" s="1">
        <v>270</v>
      </c>
      <c r="I16" s="1"/>
      <c r="J16" s="1"/>
      <c r="K16" s="1">
        <v>20</v>
      </c>
      <c r="L16" s="1">
        <f t="shared" si="3"/>
        <v>0</v>
      </c>
      <c r="M16" s="1"/>
      <c r="N16" s="1"/>
      <c r="O16" s="1"/>
      <c r="P16" s="1">
        <v>48</v>
      </c>
      <c r="Q16" s="1"/>
      <c r="R16" s="1">
        <f t="shared" si="6"/>
        <v>4</v>
      </c>
      <c r="S16" s="5"/>
      <c r="T16" s="5"/>
      <c r="U16" s="5"/>
      <c r="V16" s="5"/>
      <c r="W16" s="14"/>
      <c r="X16" s="1">
        <f t="shared" si="8"/>
        <v>35.25</v>
      </c>
      <c r="Y16" s="1">
        <f t="shared" si="9"/>
        <v>35.25</v>
      </c>
      <c r="Z16" s="1">
        <v>9.6</v>
      </c>
      <c r="AA16" s="1">
        <v>4.4000000000000004</v>
      </c>
      <c r="AB16" s="1">
        <v>9.6</v>
      </c>
      <c r="AC16" s="1">
        <v>11.2</v>
      </c>
      <c r="AD16" s="1">
        <v>5</v>
      </c>
      <c r="AE16" s="1">
        <v>3.4</v>
      </c>
      <c r="AF16" s="1">
        <v>12.4</v>
      </c>
      <c r="AG16" s="1">
        <v>4.5999999999999996</v>
      </c>
      <c r="AH16" s="1">
        <v>9.6</v>
      </c>
      <c r="AI16" s="1">
        <v>5.6</v>
      </c>
      <c r="AJ16" s="11" t="s">
        <v>37</v>
      </c>
      <c r="AK16" s="1">
        <f t="shared" si="4"/>
        <v>0</v>
      </c>
      <c r="AL16" s="1">
        <f t="shared" si="5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3" t="s">
        <v>50</v>
      </c>
      <c r="B17" s="1" t="s">
        <v>36</v>
      </c>
      <c r="C17" s="1">
        <v>22</v>
      </c>
      <c r="D17" s="1">
        <v>536</v>
      </c>
      <c r="E17" s="1">
        <v>77</v>
      </c>
      <c r="F17" s="1">
        <v>440</v>
      </c>
      <c r="G17" s="7">
        <v>0.18</v>
      </c>
      <c r="H17" s="1">
        <v>180</v>
      </c>
      <c r="I17" s="1"/>
      <c r="J17" s="1"/>
      <c r="K17" s="1">
        <v>82</v>
      </c>
      <c r="L17" s="1">
        <f t="shared" si="3"/>
        <v>-5</v>
      </c>
      <c r="M17" s="1"/>
      <c r="N17" s="1"/>
      <c r="O17" s="1"/>
      <c r="P17" s="1"/>
      <c r="Q17" s="1"/>
      <c r="R17" s="1">
        <f t="shared" si="6"/>
        <v>15.4</v>
      </c>
      <c r="S17" s="5"/>
      <c r="T17" s="5"/>
      <c r="U17" s="5"/>
      <c r="V17" s="5"/>
      <c r="W17" s="14"/>
      <c r="X17" s="1">
        <f t="shared" si="8"/>
        <v>28.571428571428569</v>
      </c>
      <c r="Y17" s="1">
        <f t="shared" si="9"/>
        <v>28.571428571428569</v>
      </c>
      <c r="Z17" s="1">
        <v>12</v>
      </c>
      <c r="AA17" s="1">
        <v>34.799999999999997</v>
      </c>
      <c r="AB17" s="1">
        <v>18.600000000000001</v>
      </c>
      <c r="AC17" s="1">
        <v>19.2</v>
      </c>
      <c r="AD17" s="1">
        <v>10.4</v>
      </c>
      <c r="AE17" s="1">
        <v>27.6</v>
      </c>
      <c r="AF17" s="1">
        <v>4</v>
      </c>
      <c r="AG17" s="1">
        <v>6.6</v>
      </c>
      <c r="AH17" s="1">
        <v>28.6</v>
      </c>
      <c r="AI17" s="1">
        <v>10.199999999999999</v>
      </c>
      <c r="AJ17" s="11" t="s">
        <v>37</v>
      </c>
      <c r="AK17" s="1">
        <f t="shared" si="4"/>
        <v>0</v>
      </c>
      <c r="AL17" s="1">
        <f t="shared" si="5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3" t="s">
        <v>51</v>
      </c>
      <c r="B18" s="1" t="s">
        <v>36</v>
      </c>
      <c r="C18" s="1">
        <v>4</v>
      </c>
      <c r="D18" s="1">
        <v>249</v>
      </c>
      <c r="E18" s="1">
        <v>99</v>
      </c>
      <c r="F18" s="1">
        <v>87</v>
      </c>
      <c r="G18" s="7">
        <v>0.18</v>
      </c>
      <c r="H18" s="1">
        <v>180</v>
      </c>
      <c r="I18" s="1"/>
      <c r="J18" s="1"/>
      <c r="K18" s="1">
        <v>102</v>
      </c>
      <c r="L18" s="1">
        <f t="shared" si="3"/>
        <v>-3</v>
      </c>
      <c r="M18" s="1"/>
      <c r="N18" s="1"/>
      <c r="O18" s="1"/>
      <c r="P18" s="1">
        <v>40</v>
      </c>
      <c r="Q18" s="1">
        <v>100</v>
      </c>
      <c r="R18" s="1">
        <f t="shared" si="6"/>
        <v>19.8</v>
      </c>
      <c r="S18" s="5"/>
      <c r="T18" s="5"/>
      <c r="U18" s="5">
        <v>210</v>
      </c>
      <c r="V18" s="5">
        <f>22*R18-Q18-P18-O18-F18</f>
        <v>208.60000000000002</v>
      </c>
      <c r="W18" s="14"/>
      <c r="X18" s="1">
        <f t="shared" si="8"/>
        <v>22</v>
      </c>
      <c r="Y18" s="1">
        <f t="shared" si="9"/>
        <v>11.464646464646464</v>
      </c>
      <c r="Z18" s="1">
        <v>15</v>
      </c>
      <c r="AA18" s="1">
        <v>12.4</v>
      </c>
      <c r="AB18" s="1">
        <v>21.2</v>
      </c>
      <c r="AC18" s="1">
        <v>9.8000000000000007</v>
      </c>
      <c r="AD18" s="1">
        <v>0.2</v>
      </c>
      <c r="AE18" s="1">
        <v>15</v>
      </c>
      <c r="AF18" s="1">
        <v>4.8</v>
      </c>
      <c r="AG18" s="1">
        <v>6.8</v>
      </c>
      <c r="AH18" s="1">
        <v>9.8000000000000007</v>
      </c>
      <c r="AI18" s="1">
        <v>5.6</v>
      </c>
      <c r="AJ18" s="9" t="s">
        <v>80</v>
      </c>
      <c r="AK18" s="1">
        <f t="shared" si="4"/>
        <v>0</v>
      </c>
      <c r="AL18" s="1">
        <f t="shared" si="5"/>
        <v>37.548000000000002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 t="s">
        <v>52</v>
      </c>
      <c r="B19" s="1" t="s">
        <v>36</v>
      </c>
      <c r="C19" s="1">
        <v>10</v>
      </c>
      <c r="D19" s="1">
        <v>1</v>
      </c>
      <c r="E19" s="1">
        <v>3</v>
      </c>
      <c r="F19" s="1">
        <v>8</v>
      </c>
      <c r="G19" s="7">
        <v>0.4</v>
      </c>
      <c r="H19" s="1">
        <v>270</v>
      </c>
      <c r="I19" s="1"/>
      <c r="J19" s="1"/>
      <c r="K19" s="1">
        <v>3</v>
      </c>
      <c r="L19" s="1">
        <f t="shared" si="3"/>
        <v>0</v>
      </c>
      <c r="M19" s="1"/>
      <c r="N19" s="1"/>
      <c r="O19" s="1"/>
      <c r="P19" s="1"/>
      <c r="Q19" s="1"/>
      <c r="R19" s="1">
        <f t="shared" si="6"/>
        <v>0.6</v>
      </c>
      <c r="S19" s="5"/>
      <c r="T19" s="5"/>
      <c r="U19" s="5"/>
      <c r="V19" s="5"/>
      <c r="W19" s="14"/>
      <c r="X19" s="1">
        <f t="shared" si="8"/>
        <v>13.333333333333334</v>
      </c>
      <c r="Y19" s="1">
        <f t="shared" si="9"/>
        <v>13.333333333333334</v>
      </c>
      <c r="Z19" s="1">
        <v>0.4</v>
      </c>
      <c r="AA19" s="1">
        <v>0.4</v>
      </c>
      <c r="AB19" s="1">
        <v>0</v>
      </c>
      <c r="AC19" s="1">
        <v>0</v>
      </c>
      <c r="AD19" s="1">
        <v>0.8</v>
      </c>
      <c r="AE19" s="1">
        <v>0</v>
      </c>
      <c r="AF19" s="1">
        <v>0</v>
      </c>
      <c r="AG19" s="1">
        <v>1</v>
      </c>
      <c r="AH19" s="1">
        <v>0</v>
      </c>
      <c r="AI19" s="1">
        <v>0</v>
      </c>
      <c r="AJ19" s="1"/>
      <c r="AK19" s="1">
        <f t="shared" si="4"/>
        <v>0</v>
      </c>
      <c r="AL19" s="1">
        <f t="shared" si="5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 t="s">
        <v>53</v>
      </c>
      <c r="B20" s="1" t="s">
        <v>36</v>
      </c>
      <c r="C20" s="1">
        <v>32</v>
      </c>
      <c r="D20" s="1">
        <v>4</v>
      </c>
      <c r="E20" s="1">
        <v>1</v>
      </c>
      <c r="F20" s="1">
        <v>22</v>
      </c>
      <c r="G20" s="7">
        <v>0.4</v>
      </c>
      <c r="H20" s="1">
        <v>270</v>
      </c>
      <c r="I20" s="1"/>
      <c r="J20" s="1"/>
      <c r="K20" s="1">
        <v>1</v>
      </c>
      <c r="L20" s="1">
        <f t="shared" si="3"/>
        <v>0</v>
      </c>
      <c r="M20" s="1"/>
      <c r="N20" s="1"/>
      <c r="O20" s="1"/>
      <c r="P20" s="1"/>
      <c r="Q20" s="1"/>
      <c r="R20" s="1">
        <f t="shared" si="6"/>
        <v>0.2</v>
      </c>
      <c r="S20" s="5"/>
      <c r="T20" s="5"/>
      <c r="U20" s="5"/>
      <c r="V20" s="5"/>
      <c r="W20" s="14"/>
      <c r="X20" s="1">
        <f t="shared" si="8"/>
        <v>110</v>
      </c>
      <c r="Y20" s="1">
        <f t="shared" si="9"/>
        <v>110</v>
      </c>
      <c r="Z20" s="1">
        <v>1</v>
      </c>
      <c r="AA20" s="1">
        <v>0.6</v>
      </c>
      <c r="AB20" s="1">
        <v>1.4</v>
      </c>
      <c r="AC20" s="1">
        <v>1.6</v>
      </c>
      <c r="AD20" s="1">
        <v>0.6</v>
      </c>
      <c r="AE20" s="1">
        <v>0.6</v>
      </c>
      <c r="AF20" s="1">
        <v>0.8</v>
      </c>
      <c r="AG20" s="1">
        <v>1</v>
      </c>
      <c r="AH20" s="1">
        <v>0.8</v>
      </c>
      <c r="AI20" s="1">
        <v>0.4</v>
      </c>
      <c r="AJ20" s="11" t="s">
        <v>37</v>
      </c>
      <c r="AK20" s="1">
        <f t="shared" si="4"/>
        <v>0</v>
      </c>
      <c r="AL20" s="1">
        <f t="shared" si="5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 t="s">
        <v>54</v>
      </c>
      <c r="B21" s="1" t="s">
        <v>36</v>
      </c>
      <c r="C21" s="1">
        <v>51</v>
      </c>
      <c r="D21" s="1">
        <v>45</v>
      </c>
      <c r="E21" s="1">
        <v>23</v>
      </c>
      <c r="F21" s="1">
        <v>73</v>
      </c>
      <c r="G21" s="7">
        <v>0.18</v>
      </c>
      <c r="H21" s="1">
        <v>150</v>
      </c>
      <c r="I21" s="1"/>
      <c r="J21" s="1"/>
      <c r="K21" s="1">
        <v>23</v>
      </c>
      <c r="L21" s="1">
        <f t="shared" si="3"/>
        <v>0</v>
      </c>
      <c r="M21" s="1"/>
      <c r="N21" s="1"/>
      <c r="O21" s="1"/>
      <c r="P21" s="1"/>
      <c r="Q21" s="1"/>
      <c r="R21" s="1">
        <f t="shared" si="6"/>
        <v>4.5999999999999996</v>
      </c>
      <c r="S21" s="5"/>
      <c r="T21" s="5"/>
      <c r="U21" s="5"/>
      <c r="V21" s="5"/>
      <c r="W21" s="14"/>
      <c r="X21" s="1">
        <f t="shared" si="8"/>
        <v>15.869565217391306</v>
      </c>
      <c r="Y21" s="1">
        <f t="shared" si="9"/>
        <v>15.869565217391306</v>
      </c>
      <c r="Z21" s="1">
        <v>3.2</v>
      </c>
      <c r="AA21" s="1">
        <v>0.4</v>
      </c>
      <c r="AB21" s="1">
        <v>3</v>
      </c>
      <c r="AC21" s="1">
        <v>0.8</v>
      </c>
      <c r="AD21" s="1">
        <v>3.2</v>
      </c>
      <c r="AE21" s="1">
        <v>4.5999999999999996</v>
      </c>
      <c r="AF21" s="1">
        <v>0</v>
      </c>
      <c r="AG21" s="1">
        <v>0</v>
      </c>
      <c r="AH21" s="1">
        <v>2.6</v>
      </c>
      <c r="AI21" s="1">
        <v>0.8</v>
      </c>
      <c r="AJ21" s="1"/>
      <c r="AK21" s="1">
        <f t="shared" si="4"/>
        <v>0</v>
      </c>
      <c r="AL21" s="1">
        <f t="shared" si="5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 t="s">
        <v>55</v>
      </c>
      <c r="B22" s="1" t="s">
        <v>36</v>
      </c>
      <c r="C22" s="1">
        <v>103</v>
      </c>
      <c r="D22" s="1">
        <v>6</v>
      </c>
      <c r="E22" s="1">
        <v>26</v>
      </c>
      <c r="F22" s="1">
        <v>54</v>
      </c>
      <c r="G22" s="7">
        <v>0.1</v>
      </c>
      <c r="H22" s="1">
        <v>90</v>
      </c>
      <c r="I22" s="1"/>
      <c r="J22" s="1"/>
      <c r="K22" s="1">
        <v>27</v>
      </c>
      <c r="L22" s="1">
        <f t="shared" si="3"/>
        <v>-1</v>
      </c>
      <c r="M22" s="1"/>
      <c r="N22" s="1"/>
      <c r="O22" s="1"/>
      <c r="P22" s="1"/>
      <c r="Q22" s="1"/>
      <c r="R22" s="1">
        <f t="shared" si="6"/>
        <v>5.2</v>
      </c>
      <c r="S22" s="5">
        <f t="shared" si="7"/>
        <v>34.400000000000006</v>
      </c>
      <c r="T22" s="5">
        <f>VLOOKUP(A22,заказ!A:B,2,0)</f>
        <v>32</v>
      </c>
      <c r="U22" s="5"/>
      <c r="V22" s="5"/>
      <c r="W22" s="14"/>
      <c r="X22" s="1">
        <f t="shared" si="8"/>
        <v>17</v>
      </c>
      <c r="Y22" s="1">
        <f t="shared" si="9"/>
        <v>10.384615384615385</v>
      </c>
      <c r="Z22" s="1">
        <v>4</v>
      </c>
      <c r="AA22" s="1">
        <v>3</v>
      </c>
      <c r="AB22" s="1">
        <v>4.5999999999999996</v>
      </c>
      <c r="AC22" s="1">
        <v>9.1999999999999993</v>
      </c>
      <c r="AD22" s="1">
        <v>1.6</v>
      </c>
      <c r="AE22" s="1">
        <v>8.6</v>
      </c>
      <c r="AF22" s="1">
        <v>7.8</v>
      </c>
      <c r="AG22" s="1">
        <v>8</v>
      </c>
      <c r="AH22" s="1">
        <v>7.2</v>
      </c>
      <c r="AI22" s="1">
        <v>6.6</v>
      </c>
      <c r="AJ22" s="1"/>
      <c r="AK22" s="1">
        <f t="shared" si="4"/>
        <v>3.4400000000000008</v>
      </c>
      <c r="AL22" s="1">
        <f t="shared" si="5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1" t="s">
        <v>56</v>
      </c>
      <c r="B23" s="1" t="s">
        <v>36</v>
      </c>
      <c r="C23" s="1">
        <v>109</v>
      </c>
      <c r="D23" s="1">
        <v>195</v>
      </c>
      <c r="E23" s="1">
        <v>112</v>
      </c>
      <c r="F23" s="1">
        <v>151</v>
      </c>
      <c r="G23" s="7">
        <v>0.18</v>
      </c>
      <c r="H23" s="1">
        <v>150</v>
      </c>
      <c r="I23" s="1"/>
      <c r="J23" s="1"/>
      <c r="K23" s="1">
        <v>121</v>
      </c>
      <c r="L23" s="1">
        <f t="shared" si="3"/>
        <v>-9</v>
      </c>
      <c r="M23" s="1"/>
      <c r="N23" s="1"/>
      <c r="O23" s="1"/>
      <c r="P23" s="1">
        <v>210</v>
      </c>
      <c r="Q23" s="1"/>
      <c r="R23" s="1">
        <f t="shared" si="6"/>
        <v>22.4</v>
      </c>
      <c r="S23" s="5">
        <f t="shared" si="7"/>
        <v>19.799999999999955</v>
      </c>
      <c r="T23" s="5">
        <f>VLOOKUP(A23,заказ!A:B,2,0)</f>
        <v>20</v>
      </c>
      <c r="U23" s="5"/>
      <c r="V23" s="5"/>
      <c r="W23" s="14"/>
      <c r="X23" s="1">
        <f t="shared" si="8"/>
        <v>17</v>
      </c>
      <c r="Y23" s="1">
        <f t="shared" si="9"/>
        <v>16.116071428571431</v>
      </c>
      <c r="Z23" s="1">
        <v>27.4</v>
      </c>
      <c r="AA23" s="1">
        <v>23.8</v>
      </c>
      <c r="AB23" s="1">
        <v>18.2</v>
      </c>
      <c r="AC23" s="1">
        <v>23.6</v>
      </c>
      <c r="AD23" s="1">
        <v>34</v>
      </c>
      <c r="AE23" s="1">
        <v>27.8</v>
      </c>
      <c r="AF23" s="1">
        <v>25</v>
      </c>
      <c r="AG23" s="1">
        <v>24</v>
      </c>
      <c r="AH23" s="1">
        <v>23.2</v>
      </c>
      <c r="AI23" s="1">
        <v>17.2</v>
      </c>
      <c r="AJ23" s="1" t="s">
        <v>57</v>
      </c>
      <c r="AK23" s="1">
        <f t="shared" si="4"/>
        <v>3.5639999999999916</v>
      </c>
      <c r="AL23" s="1">
        <f t="shared" si="5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 t="s">
        <v>58</v>
      </c>
      <c r="B24" s="1" t="s">
        <v>36</v>
      </c>
      <c r="C24" s="1">
        <v>13</v>
      </c>
      <c r="D24" s="1">
        <v>137</v>
      </c>
      <c r="E24" s="1">
        <v>58</v>
      </c>
      <c r="F24" s="1">
        <v>65</v>
      </c>
      <c r="G24" s="7">
        <v>0.18</v>
      </c>
      <c r="H24" s="1">
        <v>150</v>
      </c>
      <c r="I24" s="1"/>
      <c r="J24" s="1"/>
      <c r="K24" s="1">
        <v>65</v>
      </c>
      <c r="L24" s="1">
        <f t="shared" si="3"/>
        <v>-7</v>
      </c>
      <c r="M24" s="1"/>
      <c r="N24" s="1"/>
      <c r="O24" s="1"/>
      <c r="P24" s="1">
        <v>250</v>
      </c>
      <c r="Q24" s="1"/>
      <c r="R24" s="1">
        <f t="shared" si="6"/>
        <v>11.6</v>
      </c>
      <c r="S24" s="5"/>
      <c r="T24" s="5"/>
      <c r="U24" s="5"/>
      <c r="V24" s="5"/>
      <c r="W24" s="14"/>
      <c r="X24" s="1">
        <f t="shared" si="8"/>
        <v>27.155172413793103</v>
      </c>
      <c r="Y24" s="1">
        <f t="shared" si="9"/>
        <v>27.155172413793103</v>
      </c>
      <c r="Z24" s="1">
        <v>21.6</v>
      </c>
      <c r="AA24" s="1">
        <v>14.2</v>
      </c>
      <c r="AB24" s="1">
        <v>16.600000000000001</v>
      </c>
      <c r="AC24" s="1">
        <v>14.2</v>
      </c>
      <c r="AD24" s="1">
        <v>11.2</v>
      </c>
      <c r="AE24" s="1">
        <v>14.8</v>
      </c>
      <c r="AF24" s="1">
        <v>21.2</v>
      </c>
      <c r="AG24" s="1">
        <v>14.6</v>
      </c>
      <c r="AH24" s="1">
        <v>10.8</v>
      </c>
      <c r="AI24" s="1">
        <v>16.399999999999999</v>
      </c>
      <c r="AJ24" s="1"/>
      <c r="AK24" s="1">
        <f t="shared" si="4"/>
        <v>0</v>
      </c>
      <c r="AL24" s="1">
        <f t="shared" si="5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 t="s">
        <v>59</v>
      </c>
      <c r="B25" s="1" t="s">
        <v>36</v>
      </c>
      <c r="C25" s="1">
        <v>31</v>
      </c>
      <c r="D25" s="1">
        <v>128</v>
      </c>
      <c r="E25" s="1">
        <v>34</v>
      </c>
      <c r="F25" s="1">
        <v>96</v>
      </c>
      <c r="G25" s="7">
        <v>0.18</v>
      </c>
      <c r="H25" s="1">
        <v>150</v>
      </c>
      <c r="I25" s="1"/>
      <c r="J25" s="1"/>
      <c r="K25" s="1">
        <v>34</v>
      </c>
      <c r="L25" s="1">
        <f t="shared" si="3"/>
        <v>0</v>
      </c>
      <c r="M25" s="1"/>
      <c r="N25" s="1"/>
      <c r="O25" s="1"/>
      <c r="P25" s="1">
        <v>110</v>
      </c>
      <c r="Q25" s="1"/>
      <c r="R25" s="1">
        <f t="shared" si="6"/>
        <v>6.8</v>
      </c>
      <c r="S25" s="5"/>
      <c r="T25" s="5"/>
      <c r="U25" s="5"/>
      <c r="V25" s="5"/>
      <c r="W25" s="14"/>
      <c r="X25" s="1">
        <f t="shared" si="8"/>
        <v>30.294117647058826</v>
      </c>
      <c r="Y25" s="1">
        <f t="shared" si="9"/>
        <v>30.294117647058826</v>
      </c>
      <c r="Z25" s="1">
        <v>14.2</v>
      </c>
      <c r="AA25" s="1">
        <v>7.4</v>
      </c>
      <c r="AB25" s="1">
        <v>13.4</v>
      </c>
      <c r="AC25" s="1">
        <v>9.8000000000000007</v>
      </c>
      <c r="AD25" s="1">
        <v>5</v>
      </c>
      <c r="AE25" s="1">
        <v>2</v>
      </c>
      <c r="AF25" s="1">
        <v>17.600000000000001</v>
      </c>
      <c r="AG25" s="1">
        <v>8.4</v>
      </c>
      <c r="AH25" s="1">
        <v>4.5999999999999996</v>
      </c>
      <c r="AI25" s="1">
        <v>10.199999999999999</v>
      </c>
      <c r="AJ25" s="1"/>
      <c r="AK25" s="1">
        <f t="shared" si="4"/>
        <v>0</v>
      </c>
      <c r="AL25" s="1">
        <f t="shared" si="5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" t="s">
        <v>60</v>
      </c>
      <c r="B26" s="1" t="s">
        <v>36</v>
      </c>
      <c r="C26" s="1">
        <v>-2</v>
      </c>
      <c r="D26" s="1">
        <v>123</v>
      </c>
      <c r="E26" s="1">
        <v>41</v>
      </c>
      <c r="F26" s="1">
        <v>72</v>
      </c>
      <c r="G26" s="7">
        <v>0.18</v>
      </c>
      <c r="H26" s="1">
        <v>150</v>
      </c>
      <c r="I26" s="1"/>
      <c r="J26" s="1"/>
      <c r="K26" s="1">
        <v>44</v>
      </c>
      <c r="L26" s="1">
        <f t="shared" si="3"/>
        <v>-3</v>
      </c>
      <c r="M26" s="1"/>
      <c r="N26" s="1"/>
      <c r="O26" s="1"/>
      <c r="P26" s="1"/>
      <c r="Q26" s="1"/>
      <c r="R26" s="1">
        <f t="shared" si="6"/>
        <v>8.1999999999999993</v>
      </c>
      <c r="S26" s="5">
        <f t="shared" si="7"/>
        <v>67.399999999999977</v>
      </c>
      <c r="T26" s="5">
        <f>VLOOKUP(A26,заказ!A:B,2,0)</f>
        <v>70</v>
      </c>
      <c r="U26" s="5"/>
      <c r="V26" s="5"/>
      <c r="W26" s="14"/>
      <c r="X26" s="1">
        <f t="shared" si="8"/>
        <v>17</v>
      </c>
      <c r="Y26" s="1">
        <f t="shared" si="9"/>
        <v>8.7804878048780495</v>
      </c>
      <c r="Z26" s="1">
        <v>0.8</v>
      </c>
      <c r="AA26" s="1">
        <v>7.2</v>
      </c>
      <c r="AB26" s="1">
        <v>6.6</v>
      </c>
      <c r="AC26" s="1">
        <v>3.2</v>
      </c>
      <c r="AD26" s="1">
        <v>6.2</v>
      </c>
      <c r="AE26" s="1">
        <v>5</v>
      </c>
      <c r="AF26" s="1">
        <v>4</v>
      </c>
      <c r="AG26" s="1">
        <v>9</v>
      </c>
      <c r="AH26" s="1">
        <v>7.8</v>
      </c>
      <c r="AI26" s="1">
        <v>6.4</v>
      </c>
      <c r="AJ26" s="1"/>
      <c r="AK26" s="1">
        <f t="shared" si="4"/>
        <v>12.131999999999996</v>
      </c>
      <c r="AL26" s="1">
        <f t="shared" si="5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 t="s">
        <v>61</v>
      </c>
      <c r="B27" s="1" t="s">
        <v>36</v>
      </c>
      <c r="C27" s="1">
        <v>6</v>
      </c>
      <c r="D27" s="1">
        <v>323</v>
      </c>
      <c r="E27" s="1">
        <v>98</v>
      </c>
      <c r="F27" s="1">
        <v>170</v>
      </c>
      <c r="G27" s="7">
        <v>0.18</v>
      </c>
      <c r="H27" s="1">
        <v>150</v>
      </c>
      <c r="I27" s="1"/>
      <c r="J27" s="1"/>
      <c r="K27" s="1">
        <v>121</v>
      </c>
      <c r="L27" s="1">
        <f t="shared" si="3"/>
        <v>-23</v>
      </c>
      <c r="M27" s="1"/>
      <c r="N27" s="1"/>
      <c r="O27" s="1"/>
      <c r="P27" s="1">
        <v>40</v>
      </c>
      <c r="Q27" s="1"/>
      <c r="R27" s="1">
        <f t="shared" si="6"/>
        <v>19.600000000000001</v>
      </c>
      <c r="S27" s="5">
        <f t="shared" si="7"/>
        <v>123.20000000000005</v>
      </c>
      <c r="T27" s="5">
        <f>VLOOKUP(A27,заказ!A:B,2,0)</f>
        <v>120</v>
      </c>
      <c r="U27" s="5"/>
      <c r="V27" s="5"/>
      <c r="W27" s="14"/>
      <c r="X27" s="1">
        <f t="shared" si="8"/>
        <v>17</v>
      </c>
      <c r="Y27" s="1">
        <f t="shared" si="9"/>
        <v>10.714285714285714</v>
      </c>
      <c r="Z27" s="1">
        <v>19.399999999999999</v>
      </c>
      <c r="AA27" s="1">
        <v>22.8</v>
      </c>
      <c r="AB27" s="1">
        <v>20.399999999999999</v>
      </c>
      <c r="AC27" s="1">
        <v>13.4</v>
      </c>
      <c r="AD27" s="1">
        <v>13.4</v>
      </c>
      <c r="AE27" s="1">
        <v>27.2</v>
      </c>
      <c r="AF27" s="1">
        <v>22.2</v>
      </c>
      <c r="AG27" s="1">
        <v>20.399999999999999</v>
      </c>
      <c r="AH27" s="1">
        <v>18.2</v>
      </c>
      <c r="AI27" s="1">
        <v>19.8</v>
      </c>
      <c r="AJ27" s="1"/>
      <c r="AK27" s="1">
        <f t="shared" si="4"/>
        <v>22.176000000000009</v>
      </c>
      <c r="AL27" s="1">
        <f t="shared" si="5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 t="s">
        <v>62</v>
      </c>
      <c r="B28" s="1" t="s">
        <v>36</v>
      </c>
      <c r="C28" s="1">
        <v>7</v>
      </c>
      <c r="D28" s="1">
        <v>61</v>
      </c>
      <c r="E28" s="1">
        <v>26</v>
      </c>
      <c r="F28" s="1">
        <v>36</v>
      </c>
      <c r="G28" s="7">
        <v>0.18</v>
      </c>
      <c r="H28" s="1">
        <v>150</v>
      </c>
      <c r="I28" s="1"/>
      <c r="J28" s="1"/>
      <c r="K28" s="1">
        <v>33</v>
      </c>
      <c r="L28" s="1">
        <f t="shared" si="3"/>
        <v>-7</v>
      </c>
      <c r="M28" s="1"/>
      <c r="N28" s="1"/>
      <c r="O28" s="1"/>
      <c r="P28" s="1">
        <v>110</v>
      </c>
      <c r="Q28" s="1"/>
      <c r="R28" s="1">
        <f t="shared" si="6"/>
        <v>5.2</v>
      </c>
      <c r="S28" s="5"/>
      <c r="T28" s="5"/>
      <c r="U28" s="5"/>
      <c r="V28" s="5"/>
      <c r="W28" s="14"/>
      <c r="X28" s="1">
        <f t="shared" si="8"/>
        <v>28.076923076923077</v>
      </c>
      <c r="Y28" s="1">
        <f t="shared" si="9"/>
        <v>28.076923076923077</v>
      </c>
      <c r="Z28" s="1">
        <v>9.8000000000000007</v>
      </c>
      <c r="AA28" s="1">
        <v>6.4</v>
      </c>
      <c r="AB28" s="1">
        <v>5.6</v>
      </c>
      <c r="AC28" s="1">
        <v>3.8</v>
      </c>
      <c r="AD28" s="1">
        <v>8.6</v>
      </c>
      <c r="AE28" s="1">
        <v>8.6</v>
      </c>
      <c r="AF28" s="1">
        <v>10.8</v>
      </c>
      <c r="AG28" s="1">
        <v>5.2</v>
      </c>
      <c r="AH28" s="1">
        <v>9.4</v>
      </c>
      <c r="AI28" s="1">
        <v>10.199999999999999</v>
      </c>
      <c r="AJ28" s="1"/>
      <c r="AK28" s="1">
        <f t="shared" si="4"/>
        <v>0</v>
      </c>
      <c r="AL28" s="1">
        <f t="shared" si="5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1" t="s">
        <v>63</v>
      </c>
      <c r="B29" s="1" t="s">
        <v>41</v>
      </c>
      <c r="C29" s="1">
        <v>36.363999999999997</v>
      </c>
      <c r="D29" s="1"/>
      <c r="E29" s="1"/>
      <c r="F29" s="1">
        <v>36.363999999999997</v>
      </c>
      <c r="G29" s="7">
        <v>1</v>
      </c>
      <c r="H29" s="1">
        <v>180</v>
      </c>
      <c r="I29" s="1"/>
      <c r="J29" s="1"/>
      <c r="K29" s="1"/>
      <c r="L29" s="1">
        <f t="shared" si="3"/>
        <v>0</v>
      </c>
      <c r="M29" s="1"/>
      <c r="N29" s="1"/>
      <c r="O29" s="1"/>
      <c r="P29" s="1"/>
      <c r="Q29" s="1"/>
      <c r="R29" s="1">
        <f t="shared" si="6"/>
        <v>0</v>
      </c>
      <c r="S29" s="5"/>
      <c r="T29" s="5"/>
      <c r="U29" s="5"/>
      <c r="V29" s="5"/>
      <c r="W29" s="14"/>
      <c r="X29" s="1" t="e">
        <f t="shared" si="8"/>
        <v>#DIV/0!</v>
      </c>
      <c r="Y29" s="1" t="e">
        <f t="shared" si="9"/>
        <v>#DIV/0!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1" t="s">
        <v>37</v>
      </c>
      <c r="AK29" s="1">
        <f t="shared" si="4"/>
        <v>0</v>
      </c>
      <c r="AL29" s="1">
        <f t="shared" si="5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1" t="s">
        <v>64</v>
      </c>
      <c r="B30" s="1" t="s">
        <v>36</v>
      </c>
      <c r="C30" s="1">
        <v>45</v>
      </c>
      <c r="D30" s="1">
        <v>53</v>
      </c>
      <c r="E30" s="1">
        <v>19</v>
      </c>
      <c r="F30" s="1">
        <v>72</v>
      </c>
      <c r="G30" s="7">
        <v>0.14000000000000001</v>
      </c>
      <c r="H30" s="1">
        <v>180</v>
      </c>
      <c r="I30" s="1"/>
      <c r="J30" s="1"/>
      <c r="K30" s="1">
        <v>19</v>
      </c>
      <c r="L30" s="1">
        <f t="shared" si="3"/>
        <v>0</v>
      </c>
      <c r="M30" s="1"/>
      <c r="N30" s="1"/>
      <c r="O30" s="1"/>
      <c r="P30" s="1"/>
      <c r="Q30" s="1"/>
      <c r="R30" s="1">
        <f t="shared" si="6"/>
        <v>3.8</v>
      </c>
      <c r="S30" s="5"/>
      <c r="T30" s="5"/>
      <c r="U30" s="5"/>
      <c r="V30" s="5"/>
      <c r="W30" s="14"/>
      <c r="X30" s="1">
        <f t="shared" si="8"/>
        <v>18.947368421052634</v>
      </c>
      <c r="Y30" s="1">
        <f t="shared" si="9"/>
        <v>18.947368421052634</v>
      </c>
      <c r="Z30" s="1">
        <v>4.2</v>
      </c>
      <c r="AA30" s="1">
        <v>2.8</v>
      </c>
      <c r="AB30" s="1">
        <v>6.6</v>
      </c>
      <c r="AC30" s="1">
        <v>5.2</v>
      </c>
      <c r="AD30" s="1">
        <v>7.8</v>
      </c>
      <c r="AE30" s="1">
        <v>2.8</v>
      </c>
      <c r="AF30" s="1">
        <v>5.6</v>
      </c>
      <c r="AG30" s="1">
        <v>9.8000000000000007</v>
      </c>
      <c r="AH30" s="1">
        <v>7.2</v>
      </c>
      <c r="AI30" s="1">
        <v>4.8</v>
      </c>
      <c r="AJ30" s="1"/>
      <c r="AK30" s="1">
        <f t="shared" si="4"/>
        <v>0</v>
      </c>
      <c r="AL30" s="1">
        <f t="shared" si="5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 t="s">
        <v>65</v>
      </c>
      <c r="B31" s="1" t="s">
        <v>36</v>
      </c>
      <c r="C31" s="1">
        <v>134</v>
      </c>
      <c r="D31" s="1">
        <v>13</v>
      </c>
      <c r="E31" s="1">
        <v>23</v>
      </c>
      <c r="F31" s="1">
        <v>100</v>
      </c>
      <c r="G31" s="7">
        <v>0.18</v>
      </c>
      <c r="H31" s="1">
        <v>270</v>
      </c>
      <c r="I31" s="1"/>
      <c r="J31" s="1"/>
      <c r="K31" s="1">
        <v>23</v>
      </c>
      <c r="L31" s="1">
        <f t="shared" si="3"/>
        <v>0</v>
      </c>
      <c r="M31" s="1"/>
      <c r="N31" s="1"/>
      <c r="O31" s="1"/>
      <c r="P31" s="1">
        <v>32</v>
      </c>
      <c r="Q31" s="1"/>
      <c r="R31" s="1">
        <f t="shared" si="6"/>
        <v>4.5999999999999996</v>
      </c>
      <c r="S31" s="5"/>
      <c r="T31" s="5"/>
      <c r="U31" s="5"/>
      <c r="V31" s="5"/>
      <c r="W31" s="14"/>
      <c r="X31" s="1">
        <f t="shared" si="8"/>
        <v>28.695652173913047</v>
      </c>
      <c r="Y31" s="1">
        <f t="shared" si="9"/>
        <v>28.695652173913047</v>
      </c>
      <c r="Z31" s="1">
        <v>10.4</v>
      </c>
      <c r="AA31" s="1">
        <v>4.8</v>
      </c>
      <c r="AB31" s="1">
        <v>9.1999999999999993</v>
      </c>
      <c r="AC31" s="1">
        <v>13</v>
      </c>
      <c r="AD31" s="1">
        <v>8.8000000000000007</v>
      </c>
      <c r="AE31" s="1">
        <v>3.4</v>
      </c>
      <c r="AF31" s="1">
        <v>10</v>
      </c>
      <c r="AG31" s="1">
        <v>3.6</v>
      </c>
      <c r="AH31" s="1">
        <v>11.8</v>
      </c>
      <c r="AI31" s="1">
        <v>3.8</v>
      </c>
      <c r="AJ31" s="10" t="s">
        <v>45</v>
      </c>
      <c r="AK31" s="1">
        <f t="shared" si="4"/>
        <v>0</v>
      </c>
      <c r="AL31" s="1">
        <f t="shared" si="5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1" t="s">
        <v>66</v>
      </c>
      <c r="B32" s="1" t="s">
        <v>41</v>
      </c>
      <c r="C32" s="1">
        <v>60.841999999999999</v>
      </c>
      <c r="D32" s="1"/>
      <c r="E32" s="1"/>
      <c r="F32" s="1">
        <v>57.78</v>
      </c>
      <c r="G32" s="7">
        <v>1</v>
      </c>
      <c r="H32" s="1">
        <v>180</v>
      </c>
      <c r="I32" s="1"/>
      <c r="J32" s="1"/>
      <c r="K32" s="1"/>
      <c r="L32" s="1">
        <f t="shared" si="3"/>
        <v>0</v>
      </c>
      <c r="M32" s="1"/>
      <c r="N32" s="1"/>
      <c r="O32" s="1"/>
      <c r="P32" s="1"/>
      <c r="Q32" s="1"/>
      <c r="R32" s="1">
        <f t="shared" si="6"/>
        <v>0</v>
      </c>
      <c r="S32" s="5"/>
      <c r="T32" s="5"/>
      <c r="U32" s="5"/>
      <c r="V32" s="5"/>
      <c r="W32" s="14"/>
      <c r="X32" s="1" t="e">
        <f t="shared" si="8"/>
        <v>#DIV/0!</v>
      </c>
      <c r="Y32" s="1" t="e">
        <f t="shared" si="9"/>
        <v>#DIV/0!</v>
      </c>
      <c r="Z32" s="1">
        <v>0.63480000000000003</v>
      </c>
      <c r="AA32" s="1">
        <v>0</v>
      </c>
      <c r="AB32" s="1">
        <v>0</v>
      </c>
      <c r="AC32" s="1">
        <v>3.3952</v>
      </c>
      <c r="AD32" s="1">
        <v>1.7916000000000001</v>
      </c>
      <c r="AE32" s="1">
        <v>0.64680000000000004</v>
      </c>
      <c r="AF32" s="1">
        <v>0.61040000000000005</v>
      </c>
      <c r="AG32" s="1">
        <v>0</v>
      </c>
      <c r="AH32" s="1">
        <v>0.69920000000000004</v>
      </c>
      <c r="AI32" s="1">
        <v>1.3295999999999999</v>
      </c>
      <c r="AJ32" s="12" t="s">
        <v>79</v>
      </c>
      <c r="AK32" s="1">
        <f t="shared" si="4"/>
        <v>0</v>
      </c>
      <c r="AL32" s="1">
        <f t="shared" si="5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1" t="s">
        <v>67</v>
      </c>
      <c r="B33" s="1" t="s">
        <v>41</v>
      </c>
      <c r="C33" s="1">
        <v>56.073999999999998</v>
      </c>
      <c r="D33" s="1"/>
      <c r="E33" s="1">
        <v>9.8780000000000001</v>
      </c>
      <c r="F33" s="1">
        <v>40.450000000000003</v>
      </c>
      <c r="G33" s="7">
        <v>1</v>
      </c>
      <c r="H33" s="1">
        <v>180</v>
      </c>
      <c r="I33" s="1"/>
      <c r="J33" s="1"/>
      <c r="K33" s="1">
        <v>9.9</v>
      </c>
      <c r="L33" s="1">
        <f t="shared" si="3"/>
        <v>-2.2000000000000242E-2</v>
      </c>
      <c r="M33" s="1"/>
      <c r="N33" s="1"/>
      <c r="O33" s="1"/>
      <c r="P33" s="1">
        <v>16</v>
      </c>
      <c r="Q33" s="1"/>
      <c r="R33" s="1">
        <f t="shared" si="6"/>
        <v>1.9756</v>
      </c>
      <c r="S33" s="5"/>
      <c r="T33" s="5"/>
      <c r="U33" s="5"/>
      <c r="V33" s="5"/>
      <c r="W33" s="14"/>
      <c r="X33" s="1">
        <f t="shared" si="8"/>
        <v>28.573597894310591</v>
      </c>
      <c r="Y33" s="1">
        <f t="shared" si="9"/>
        <v>28.573597894310591</v>
      </c>
      <c r="Z33" s="1">
        <v>4.6375999999999999</v>
      </c>
      <c r="AA33" s="1">
        <v>1.7132000000000001</v>
      </c>
      <c r="AB33" s="1">
        <v>1.3268</v>
      </c>
      <c r="AC33" s="1">
        <v>5.9131999999999998</v>
      </c>
      <c r="AD33" s="1">
        <v>2.468</v>
      </c>
      <c r="AE33" s="1">
        <v>4.2824</v>
      </c>
      <c r="AF33" s="1">
        <v>4.2279999999999998</v>
      </c>
      <c r="AG33" s="1">
        <v>1.8388</v>
      </c>
      <c r="AH33" s="1">
        <v>1.8648</v>
      </c>
      <c r="AI33" s="1">
        <v>2.508</v>
      </c>
      <c r="AJ33" s="10" t="s">
        <v>45</v>
      </c>
      <c r="AK33" s="1">
        <f t="shared" si="4"/>
        <v>0</v>
      </c>
      <c r="AL33" s="1">
        <f t="shared" si="5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1" t="s">
        <v>68</v>
      </c>
      <c r="B34" s="1" t="s">
        <v>36</v>
      </c>
      <c r="C34" s="1"/>
      <c r="D34" s="1">
        <v>24</v>
      </c>
      <c r="E34" s="1">
        <v>12</v>
      </c>
      <c r="F34" s="1">
        <v>5</v>
      </c>
      <c r="G34" s="7">
        <v>0.1</v>
      </c>
      <c r="H34" s="1">
        <v>60</v>
      </c>
      <c r="I34" s="1"/>
      <c r="J34" s="1"/>
      <c r="K34" s="1">
        <v>28</v>
      </c>
      <c r="L34" s="1">
        <f t="shared" si="3"/>
        <v>-16</v>
      </c>
      <c r="M34" s="1"/>
      <c r="N34" s="1"/>
      <c r="O34" s="1"/>
      <c r="P34" s="1">
        <v>78</v>
      </c>
      <c r="Q34" s="1"/>
      <c r="R34" s="1">
        <f t="shared" si="6"/>
        <v>2.4</v>
      </c>
      <c r="S34" s="5"/>
      <c r="T34" s="5"/>
      <c r="U34" s="5"/>
      <c r="V34" s="5"/>
      <c r="W34" s="14"/>
      <c r="X34" s="1">
        <f t="shared" si="8"/>
        <v>34.583333333333336</v>
      </c>
      <c r="Y34" s="1">
        <f t="shared" si="9"/>
        <v>34.583333333333336</v>
      </c>
      <c r="Z34" s="1">
        <v>6</v>
      </c>
      <c r="AA34" s="1">
        <v>2.6</v>
      </c>
      <c r="AB34" s="1">
        <v>3.2</v>
      </c>
      <c r="AC34" s="1">
        <v>5</v>
      </c>
      <c r="AD34" s="1">
        <v>4.5999999999999996</v>
      </c>
      <c r="AE34" s="1">
        <v>3.6</v>
      </c>
      <c r="AF34" s="1">
        <v>4.8</v>
      </c>
      <c r="AG34" s="1">
        <v>6.4</v>
      </c>
      <c r="AH34" s="1">
        <v>7.6</v>
      </c>
      <c r="AI34" s="1">
        <v>2.8</v>
      </c>
      <c r="AJ34" s="1" t="s">
        <v>69</v>
      </c>
      <c r="AK34" s="1">
        <f t="shared" si="4"/>
        <v>0</v>
      </c>
      <c r="AL34" s="1">
        <f t="shared" si="5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1" t="s">
        <v>70</v>
      </c>
      <c r="B35" s="1" t="s">
        <v>36</v>
      </c>
      <c r="C35" s="1">
        <v>104</v>
      </c>
      <c r="D35" s="1">
        <v>8</v>
      </c>
      <c r="E35" s="1">
        <v>21</v>
      </c>
      <c r="F35" s="1">
        <v>74</v>
      </c>
      <c r="G35" s="7">
        <v>0.1</v>
      </c>
      <c r="H35" s="1">
        <v>90</v>
      </c>
      <c r="I35" s="1"/>
      <c r="J35" s="1"/>
      <c r="K35" s="1">
        <v>21</v>
      </c>
      <c r="L35" s="1">
        <f t="shared" si="3"/>
        <v>0</v>
      </c>
      <c r="M35" s="1"/>
      <c r="N35" s="1"/>
      <c r="O35" s="1"/>
      <c r="P35" s="1">
        <v>12</v>
      </c>
      <c r="Q35" s="1"/>
      <c r="R35" s="1">
        <f t="shared" si="6"/>
        <v>4.2</v>
      </c>
      <c r="S35" s="5"/>
      <c r="T35" s="5"/>
      <c r="U35" s="5"/>
      <c r="V35" s="5"/>
      <c r="W35" s="14"/>
      <c r="X35" s="1">
        <f t="shared" si="8"/>
        <v>20.476190476190474</v>
      </c>
      <c r="Y35" s="1">
        <f t="shared" si="9"/>
        <v>20.476190476190474</v>
      </c>
      <c r="Z35" s="1">
        <v>7.2</v>
      </c>
      <c r="AA35" s="1">
        <v>8</v>
      </c>
      <c r="AB35" s="1">
        <v>0.6</v>
      </c>
      <c r="AC35" s="1">
        <v>10.6</v>
      </c>
      <c r="AD35" s="1">
        <v>8.1999999999999993</v>
      </c>
      <c r="AE35" s="1">
        <v>4.4000000000000004</v>
      </c>
      <c r="AF35" s="1">
        <v>3</v>
      </c>
      <c r="AG35" s="1">
        <v>4.5999999999999996</v>
      </c>
      <c r="AH35" s="1">
        <v>12.6</v>
      </c>
      <c r="AI35" s="1">
        <v>6.2</v>
      </c>
      <c r="AJ35" s="1"/>
      <c r="AK35" s="1">
        <f t="shared" si="4"/>
        <v>0</v>
      </c>
      <c r="AL35" s="1">
        <f t="shared" si="5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1" t="s">
        <v>71</v>
      </c>
      <c r="B36" s="1" t="s">
        <v>36</v>
      </c>
      <c r="C36" s="1">
        <v>58</v>
      </c>
      <c r="D36" s="1">
        <v>48</v>
      </c>
      <c r="E36" s="1">
        <v>38</v>
      </c>
      <c r="F36" s="1">
        <v>55</v>
      </c>
      <c r="G36" s="7">
        <v>0.14000000000000001</v>
      </c>
      <c r="H36" s="1">
        <v>180</v>
      </c>
      <c r="I36" s="1"/>
      <c r="J36" s="1"/>
      <c r="K36" s="1">
        <v>38</v>
      </c>
      <c r="L36" s="1">
        <f t="shared" si="3"/>
        <v>0</v>
      </c>
      <c r="M36" s="1"/>
      <c r="N36" s="1"/>
      <c r="O36" s="1"/>
      <c r="P36" s="1">
        <v>32</v>
      </c>
      <c r="Q36" s="1"/>
      <c r="R36" s="1">
        <f t="shared" si="6"/>
        <v>7.6</v>
      </c>
      <c r="S36" s="5">
        <f t="shared" si="7"/>
        <v>42.199999999999989</v>
      </c>
      <c r="T36" s="5">
        <f>VLOOKUP(A36,заказ!A:B,2,0)</f>
        <v>48</v>
      </c>
      <c r="U36" s="5"/>
      <c r="V36" s="5"/>
      <c r="W36" s="14"/>
      <c r="X36" s="1">
        <f t="shared" si="8"/>
        <v>17</v>
      </c>
      <c r="Y36" s="1">
        <f t="shared" si="9"/>
        <v>11.447368421052632</v>
      </c>
      <c r="Z36" s="1">
        <v>7.2</v>
      </c>
      <c r="AA36" s="1">
        <v>7.4</v>
      </c>
      <c r="AB36" s="1">
        <v>8.8000000000000007</v>
      </c>
      <c r="AC36" s="1">
        <v>8</v>
      </c>
      <c r="AD36" s="1">
        <v>7.2</v>
      </c>
      <c r="AE36" s="1">
        <v>2.2000000000000002</v>
      </c>
      <c r="AF36" s="1">
        <v>8.1999999999999993</v>
      </c>
      <c r="AG36" s="1">
        <v>9.6</v>
      </c>
      <c r="AH36" s="1">
        <v>4</v>
      </c>
      <c r="AI36" s="1">
        <v>5.8</v>
      </c>
      <c r="AJ36" s="1"/>
      <c r="AK36" s="1">
        <f t="shared" si="4"/>
        <v>5.9079999999999986</v>
      </c>
      <c r="AL36" s="1">
        <f t="shared" si="5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1" t="s">
        <v>72</v>
      </c>
      <c r="B37" s="1" t="s">
        <v>36</v>
      </c>
      <c r="C37" s="1">
        <v>78</v>
      </c>
      <c r="D37" s="1">
        <v>185</v>
      </c>
      <c r="E37" s="1">
        <v>164</v>
      </c>
      <c r="F37" s="1">
        <v>38</v>
      </c>
      <c r="G37" s="7">
        <v>0.2</v>
      </c>
      <c r="H37" s="1">
        <v>120</v>
      </c>
      <c r="I37" s="1"/>
      <c r="J37" s="1"/>
      <c r="K37" s="1">
        <v>160</v>
      </c>
      <c r="L37" s="1">
        <f t="shared" si="3"/>
        <v>4</v>
      </c>
      <c r="M37" s="1"/>
      <c r="N37" s="1"/>
      <c r="O37" s="1"/>
      <c r="P37" s="1">
        <v>170</v>
      </c>
      <c r="Q37" s="1"/>
      <c r="R37" s="1">
        <f t="shared" si="6"/>
        <v>32.799999999999997</v>
      </c>
      <c r="S37" s="5">
        <f>16*R37-Q37-P37-O37-F37</f>
        <v>316.79999999999995</v>
      </c>
      <c r="T37" s="5">
        <f>VLOOKUP(A37,заказ!A:B,2,0)</f>
        <v>320</v>
      </c>
      <c r="U37" s="5"/>
      <c r="V37" s="5"/>
      <c r="W37" s="14"/>
      <c r="X37" s="1">
        <f t="shared" si="8"/>
        <v>16</v>
      </c>
      <c r="Y37" s="1">
        <f t="shared" si="9"/>
        <v>6.3414634146341466</v>
      </c>
      <c r="Z37" s="1">
        <v>24.2</v>
      </c>
      <c r="AA37" s="1">
        <v>17.399999999999999</v>
      </c>
      <c r="AB37" s="1">
        <v>19.8</v>
      </c>
      <c r="AC37" s="1">
        <v>17.2</v>
      </c>
      <c r="AD37" s="1">
        <v>21.6</v>
      </c>
      <c r="AE37" s="1">
        <v>33.6</v>
      </c>
      <c r="AF37" s="1">
        <v>27.6</v>
      </c>
      <c r="AG37" s="1">
        <v>28.6</v>
      </c>
      <c r="AH37" s="1">
        <v>19.600000000000001</v>
      </c>
      <c r="AI37" s="1">
        <v>9</v>
      </c>
      <c r="AJ37" s="1"/>
      <c r="AK37" s="1">
        <f t="shared" si="4"/>
        <v>63.359999999999992</v>
      </c>
      <c r="AL37" s="1">
        <f t="shared" si="5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 t="s">
        <v>73</v>
      </c>
      <c r="B38" s="1" t="s">
        <v>41</v>
      </c>
      <c r="C38" s="1">
        <v>15.872</v>
      </c>
      <c r="D38" s="1">
        <v>3.2839999999999998</v>
      </c>
      <c r="E38" s="1">
        <v>15.992000000000001</v>
      </c>
      <c r="F38" s="1">
        <v>3.1640000000000001</v>
      </c>
      <c r="G38" s="7">
        <v>1</v>
      </c>
      <c r="H38" s="1">
        <v>120</v>
      </c>
      <c r="I38" s="1"/>
      <c r="J38" s="1"/>
      <c r="K38" s="1">
        <v>17.5</v>
      </c>
      <c r="L38" s="1">
        <f t="shared" si="3"/>
        <v>-1.5079999999999991</v>
      </c>
      <c r="M38" s="1"/>
      <c r="N38" s="1"/>
      <c r="O38" s="1"/>
      <c r="P38" s="1">
        <v>30</v>
      </c>
      <c r="Q38" s="1"/>
      <c r="R38" s="1">
        <f t="shared" si="6"/>
        <v>3.1984000000000004</v>
      </c>
      <c r="S38" s="5">
        <f t="shared" si="7"/>
        <v>21.208800000000004</v>
      </c>
      <c r="T38" s="5">
        <f>VLOOKUP(A38,заказ!A:B,2,0)</f>
        <v>15</v>
      </c>
      <c r="U38" s="5"/>
      <c r="V38" s="5"/>
      <c r="W38" s="14"/>
      <c r="X38" s="1">
        <f t="shared" si="8"/>
        <v>17</v>
      </c>
      <c r="Y38" s="1">
        <f t="shared" si="9"/>
        <v>10.368934467233617</v>
      </c>
      <c r="Z38" s="1">
        <v>2.5720000000000001</v>
      </c>
      <c r="AA38" s="1">
        <v>1.2916000000000001</v>
      </c>
      <c r="AB38" s="1">
        <v>0.6492</v>
      </c>
      <c r="AC38" s="1">
        <v>0.61599999999999999</v>
      </c>
      <c r="AD38" s="1">
        <v>1.9108000000000001</v>
      </c>
      <c r="AE38" s="1">
        <v>1.9503999999999999</v>
      </c>
      <c r="AF38" s="1">
        <v>0</v>
      </c>
      <c r="AG38" s="1">
        <v>3.2932000000000001</v>
      </c>
      <c r="AH38" s="1">
        <v>3.2704</v>
      </c>
      <c r="AI38" s="1">
        <v>4.3572000000000006</v>
      </c>
      <c r="AJ38" s="1"/>
      <c r="AK38" s="1">
        <f t="shared" si="4"/>
        <v>21.208800000000004</v>
      </c>
      <c r="AL38" s="1">
        <f t="shared" si="5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 t="s">
        <v>74</v>
      </c>
      <c r="B39" s="1" t="s">
        <v>36</v>
      </c>
      <c r="C39" s="1">
        <v>40</v>
      </c>
      <c r="D39" s="1">
        <v>140</v>
      </c>
      <c r="E39" s="1">
        <v>49</v>
      </c>
      <c r="F39" s="1">
        <v>96</v>
      </c>
      <c r="G39" s="7">
        <v>0.2</v>
      </c>
      <c r="H39" s="1">
        <v>120</v>
      </c>
      <c r="I39" s="1"/>
      <c r="J39" s="1"/>
      <c r="K39" s="1">
        <v>81</v>
      </c>
      <c r="L39" s="1">
        <f t="shared" si="3"/>
        <v>-32</v>
      </c>
      <c r="M39" s="1"/>
      <c r="N39" s="1"/>
      <c r="O39" s="1"/>
      <c r="P39" s="1"/>
      <c r="Q39" s="1"/>
      <c r="R39" s="1">
        <f t="shared" si="6"/>
        <v>9.8000000000000007</v>
      </c>
      <c r="S39" s="5">
        <f t="shared" si="7"/>
        <v>70.600000000000023</v>
      </c>
      <c r="T39" s="5">
        <f>VLOOKUP(A39,заказ!A:B,2,0)</f>
        <v>70</v>
      </c>
      <c r="U39" s="5"/>
      <c r="V39" s="5"/>
      <c r="W39" s="14"/>
      <c r="X39" s="1">
        <f t="shared" si="8"/>
        <v>17</v>
      </c>
      <c r="Y39" s="1">
        <f t="shared" si="9"/>
        <v>9.7959183673469372</v>
      </c>
      <c r="Z39" s="1">
        <v>7.6</v>
      </c>
      <c r="AA39" s="1">
        <v>14.6</v>
      </c>
      <c r="AB39" s="1">
        <v>3.8</v>
      </c>
      <c r="AC39" s="1">
        <v>8.1999999999999993</v>
      </c>
      <c r="AD39" s="1">
        <v>12.8</v>
      </c>
      <c r="AE39" s="1">
        <v>17.2</v>
      </c>
      <c r="AF39" s="1">
        <v>14.8</v>
      </c>
      <c r="AG39" s="1">
        <v>16.2</v>
      </c>
      <c r="AH39" s="1">
        <v>12.8</v>
      </c>
      <c r="AI39" s="1">
        <v>6.8</v>
      </c>
      <c r="AJ39" s="1"/>
      <c r="AK39" s="1">
        <f t="shared" si="4"/>
        <v>14.120000000000005</v>
      </c>
      <c r="AL39" s="1">
        <f t="shared" si="5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1" t="s">
        <v>75</v>
      </c>
      <c r="B40" s="1" t="s">
        <v>41</v>
      </c>
      <c r="C40" s="1">
        <v>6.8760000000000003</v>
      </c>
      <c r="D40" s="1">
        <v>26.61</v>
      </c>
      <c r="E40" s="1">
        <v>10.417999999999999</v>
      </c>
      <c r="F40" s="1">
        <v>19.579999999999998</v>
      </c>
      <c r="G40" s="7">
        <v>1</v>
      </c>
      <c r="H40" s="1">
        <v>120</v>
      </c>
      <c r="I40" s="1"/>
      <c r="J40" s="1"/>
      <c r="K40" s="1">
        <v>10.5</v>
      </c>
      <c r="L40" s="1">
        <f t="shared" si="3"/>
        <v>-8.2000000000000739E-2</v>
      </c>
      <c r="M40" s="1"/>
      <c r="N40" s="1"/>
      <c r="O40" s="1"/>
      <c r="P40" s="1"/>
      <c r="Q40" s="1"/>
      <c r="R40" s="1">
        <f t="shared" si="6"/>
        <v>2.0835999999999997</v>
      </c>
      <c r="S40" s="5">
        <f t="shared" si="7"/>
        <v>15.841199999999994</v>
      </c>
      <c r="T40" s="5">
        <f>VLOOKUP(A40,заказ!A:B,2,0)</f>
        <v>15</v>
      </c>
      <c r="U40" s="5"/>
      <c r="V40" s="5"/>
      <c r="W40" s="14"/>
      <c r="X40" s="1">
        <f t="shared" si="8"/>
        <v>17</v>
      </c>
      <c r="Y40" s="1">
        <f t="shared" si="9"/>
        <v>9.3971971587636798</v>
      </c>
      <c r="Z40" s="1">
        <v>0</v>
      </c>
      <c r="AA40" s="1">
        <v>2.0863999999999998</v>
      </c>
      <c r="AB40" s="1">
        <v>1.512</v>
      </c>
      <c r="AC40" s="1">
        <v>1.528</v>
      </c>
      <c r="AD40" s="1">
        <v>0</v>
      </c>
      <c r="AE40" s="1">
        <v>0</v>
      </c>
      <c r="AF40" s="1">
        <v>1.3648</v>
      </c>
      <c r="AG40" s="1">
        <v>6.8608000000000002</v>
      </c>
      <c r="AH40" s="1">
        <v>0</v>
      </c>
      <c r="AI40" s="1">
        <v>1.5251999999999999</v>
      </c>
      <c r="AJ40" s="9" t="s">
        <v>81</v>
      </c>
      <c r="AK40" s="1">
        <f t="shared" si="4"/>
        <v>15.841199999999994</v>
      </c>
      <c r="AL40" s="1">
        <f t="shared" si="5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 t="s">
        <v>82</v>
      </c>
      <c r="B41" s="1" t="s">
        <v>36</v>
      </c>
      <c r="C41" s="1"/>
      <c r="D41" s="1"/>
      <c r="E41" s="1"/>
      <c r="F41" s="1"/>
      <c r="G41" s="7">
        <v>0.186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f t="shared" ref="R41:R42" si="10">E41/5</f>
        <v>0</v>
      </c>
      <c r="S41" s="5">
        <f>W41</f>
        <v>100</v>
      </c>
      <c r="T41" s="5">
        <f>VLOOKUP(A41,заказ!A:B,2,0)</f>
        <v>100</v>
      </c>
      <c r="U41" s="5"/>
      <c r="V41" s="5"/>
      <c r="W41" s="14">
        <v>100</v>
      </c>
      <c r="X41" s="1" t="e">
        <f t="shared" ref="X41:X42" si="11">(F41+O41+P41+Q41+S41+V41)/R41</f>
        <v>#DIV/0!</v>
      </c>
      <c r="Y41" s="1" t="e">
        <f t="shared" ref="Y41:Y42" si="12">(F41+O41+P41+Q41)/R41</f>
        <v>#DIV/0!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 t="s">
        <v>86</v>
      </c>
      <c r="AK41" s="1">
        <f t="shared" si="4"/>
        <v>18.600000000000001</v>
      </c>
      <c r="AL41" s="1">
        <f t="shared" si="5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 t="s">
        <v>83</v>
      </c>
      <c r="B42" s="1" t="s">
        <v>36</v>
      </c>
      <c r="C42" s="1"/>
      <c r="D42" s="1"/>
      <c r="E42" s="1"/>
      <c r="F42" s="1"/>
      <c r="G42" s="7">
        <v>0.186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>
        <f t="shared" si="10"/>
        <v>0</v>
      </c>
      <c r="S42" s="5">
        <f>W42</f>
        <v>100</v>
      </c>
      <c r="T42" s="5">
        <f>VLOOKUP(A42,заказ!A:B,2,0)</f>
        <v>100</v>
      </c>
      <c r="U42" s="5"/>
      <c r="V42" s="5"/>
      <c r="W42" s="14">
        <v>100</v>
      </c>
      <c r="X42" s="1" t="e">
        <f t="shared" si="11"/>
        <v>#DIV/0!</v>
      </c>
      <c r="Y42" s="1" t="e">
        <f t="shared" si="12"/>
        <v>#DIV/0!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 t="s">
        <v>86</v>
      </c>
      <c r="AK42" s="1">
        <f t="shared" si="4"/>
        <v>18.600000000000001</v>
      </c>
      <c r="AL42" s="1">
        <f t="shared" si="5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L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1D39-1CB2-4D92-8D9D-FAFE293BFF41}">
  <dimension ref="A1:B15"/>
  <sheetViews>
    <sheetView workbookViewId="0">
      <selection activeCell="C1" sqref="C1"/>
    </sheetView>
  </sheetViews>
  <sheetFormatPr defaultRowHeight="15"/>
  <sheetData>
    <row r="1" spans="1:2">
      <c r="A1" t="s">
        <v>38</v>
      </c>
      <c r="B1">
        <v>24</v>
      </c>
    </row>
    <row r="2" spans="1:2">
      <c r="A2" t="s">
        <v>43</v>
      </c>
      <c r="B2">
        <v>60</v>
      </c>
    </row>
    <row r="3" spans="1:2">
      <c r="A3" t="s">
        <v>47</v>
      </c>
      <c r="B3">
        <v>36</v>
      </c>
    </row>
    <row r="4" spans="1:2">
      <c r="A4" t="s">
        <v>48</v>
      </c>
      <c r="B4">
        <v>396</v>
      </c>
    </row>
    <row r="5" spans="1:2">
      <c r="A5" t="s">
        <v>55</v>
      </c>
      <c r="B5">
        <v>32</v>
      </c>
    </row>
    <row r="6" spans="1:2">
      <c r="A6" t="s">
        <v>56</v>
      </c>
      <c r="B6">
        <v>20</v>
      </c>
    </row>
    <row r="7" spans="1:2">
      <c r="A7" t="s">
        <v>60</v>
      </c>
      <c r="B7">
        <v>70</v>
      </c>
    </row>
    <row r="8" spans="1:2">
      <c r="A8" t="s">
        <v>61</v>
      </c>
      <c r="B8">
        <v>120</v>
      </c>
    </row>
    <row r="9" spans="1:2">
      <c r="A9" t="s">
        <v>71</v>
      </c>
      <c r="B9">
        <v>48</v>
      </c>
    </row>
    <row r="10" spans="1:2">
      <c r="A10" t="s">
        <v>72</v>
      </c>
      <c r="B10">
        <v>320</v>
      </c>
    </row>
    <row r="11" spans="1:2">
      <c r="A11" t="s">
        <v>73</v>
      </c>
      <c r="B11">
        <v>15</v>
      </c>
    </row>
    <row r="12" spans="1:2">
      <c r="A12" t="s">
        <v>74</v>
      </c>
      <c r="B12">
        <v>70</v>
      </c>
    </row>
    <row r="13" spans="1:2">
      <c r="A13" t="s">
        <v>75</v>
      </c>
      <c r="B13">
        <v>15</v>
      </c>
    </row>
    <row r="14" spans="1:2">
      <c r="A14" t="s">
        <v>82</v>
      </c>
      <c r="B14">
        <v>100</v>
      </c>
    </row>
    <row r="15" spans="1:2">
      <c r="A15" t="s">
        <v>83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2026-10-27T16:29:32Z</dcterms:created>
  <dcterms:modified xsi:type="dcterms:W3CDTF">2026-10-29T12:30:20Z</dcterms:modified>
</cp:coreProperties>
</file>