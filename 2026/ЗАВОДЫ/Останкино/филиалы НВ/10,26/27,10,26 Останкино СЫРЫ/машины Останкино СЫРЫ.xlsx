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BFFF9800-E7D4-4A6C-8640-D725190ADD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6" i="1"/>
  <c r="E13" i="1"/>
  <c r="E16" i="1" s="1"/>
  <c r="D13" i="1" l="1"/>
  <c r="D16" i="1" s="1"/>
  <c r="C13" i="1"/>
  <c r="B13" i="1"/>
  <c r="F5" i="1"/>
  <c r="F4" i="1"/>
  <c r="F3" i="1"/>
  <c r="F2" i="1"/>
  <c r="F13" i="1" l="1"/>
  <c r="C16" i="1"/>
</calcChain>
</file>

<file path=xl/sharedStrings.xml><?xml version="1.0" encoding="utf-8"?>
<sst xmlns="http://schemas.openxmlformats.org/spreadsheetml/2006/main" count="23" uniqueCount="21">
  <si>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</si>
  <si>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</si>
  <si>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</si>
  <si>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</si>
  <si>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</si>
  <si>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</si>
  <si>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</si>
  <si>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</si>
  <si>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</si>
  <si>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</si>
  <si>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</si>
  <si>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</si>
  <si>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</si>
  <si>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</si>
  <si>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Малахутин</t>
  </si>
  <si>
    <t>Мариуполь</t>
  </si>
  <si>
    <t>с Крымом</t>
  </si>
  <si>
    <t>осн.заказ</t>
  </si>
  <si>
    <t>предзаказ</t>
  </si>
  <si>
    <t>сети</t>
  </si>
  <si>
    <t>на 02,11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</si>
</sst>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28" sqref="I2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7" x14ac:dyDescent="0.25">
      <c r="A1" s="4" t="s">
        <v>9</v>
      </c>
      <c r="B1" s="4" t="s">
        <v>10</v>
      </c>
      <c r="C1" s="4" t="s">
        <v>17</v>
      </c>
      <c r="D1" s="4" t="s">
        <v>18</v>
      </c>
      <c r="E1" s="4" t="s">
        <v>19</v>
      </c>
      <c r="F1" s="4" t="s">
        <v>11</v>
      </c>
    </row>
    <row r="2" spans="1:7" hidden="1" x14ac:dyDescent="0.25">
      <c r="A2" s="2" t="s">
        <v>0</v>
      </c>
      <c r="B2" s="2"/>
      <c r="C2" s="2"/>
      <c r="D2" s="2"/>
      <c r="E2" s="2"/>
      <c r="F2" s="2" t="e">
        <f>B2-C2-D2-#REF!-#REF!</f>
        <v>#REF!</v>
      </c>
    </row>
    <row r="3" spans="1:7" hidden="1" x14ac:dyDescent="0.25">
      <c r="A3" s="2" t="s">
        <v>6</v>
      </c>
      <c r="B3" s="2"/>
      <c r="C3" s="2"/>
      <c r="D3" s="2"/>
      <c r="E3" s="2"/>
      <c r="F3" s="2" t="e">
        <f>B3-C3-D3-#REF!-#REF!</f>
        <v>#REF!</v>
      </c>
    </row>
    <row r="4" spans="1:7" hidden="1" x14ac:dyDescent="0.25">
      <c r="A4" s="2" t="s">
        <v>5</v>
      </c>
      <c r="B4" s="2"/>
      <c r="C4" s="2"/>
      <c r="D4" s="2"/>
      <c r="E4" s="2"/>
      <c r="F4" s="2" t="e">
        <f>B4-C4-D4-#REF!-#REF!</f>
        <v>#REF!</v>
      </c>
    </row>
    <row r="5" spans="1:7" hidden="1" x14ac:dyDescent="0.25">
      <c r="A5" s="2" t="s">
        <v>14</v>
      </c>
      <c r="B5" s="2"/>
      <c r="C5" s="2"/>
      <c r="D5" s="2"/>
      <c r="E5" s="2"/>
      <c r="F5" s="2" t="e">
        <f>B5-C5-D5-#REF!-#REF!</f>
        <v>#REF!</v>
      </c>
    </row>
    <row r="6" spans="1:7" x14ac:dyDescent="0.25">
      <c r="A6" s="2" t="s">
        <v>1</v>
      </c>
      <c r="B6" s="2">
        <v>2768</v>
      </c>
      <c r="C6" s="2">
        <v>2426</v>
      </c>
      <c r="D6" s="2">
        <v>342</v>
      </c>
      <c r="E6" s="2"/>
      <c r="F6" s="2">
        <f>B6-C6-D6-E6</f>
        <v>0</v>
      </c>
      <c r="G6" t="s">
        <v>16</v>
      </c>
    </row>
    <row r="7" spans="1:7" x14ac:dyDescent="0.25">
      <c r="A7" s="2" t="s">
        <v>2</v>
      </c>
      <c r="B7" s="2">
        <v>1057</v>
      </c>
      <c r="C7" s="2">
        <v>541</v>
      </c>
      <c r="D7" s="2">
        <v>126</v>
      </c>
      <c r="E7" s="2">
        <v>390</v>
      </c>
      <c r="F7" s="2">
        <f t="shared" ref="F7:F13" si="0">B7-C7-D7-E7</f>
        <v>0</v>
      </c>
    </row>
    <row r="8" spans="1:7" x14ac:dyDescent="0.25">
      <c r="A8" s="2" t="s">
        <v>3</v>
      </c>
      <c r="B8" s="2">
        <v>572</v>
      </c>
      <c r="C8" s="2">
        <v>554</v>
      </c>
      <c r="D8" s="2">
        <v>18</v>
      </c>
      <c r="E8" s="2"/>
      <c r="F8" s="2">
        <f t="shared" si="0"/>
        <v>0</v>
      </c>
    </row>
    <row r="9" spans="1:7" x14ac:dyDescent="0.25">
      <c r="A9" s="2" t="s">
        <v>15</v>
      </c>
      <c r="B9" s="2">
        <v>478</v>
      </c>
      <c r="C9" s="2">
        <v>455</v>
      </c>
      <c r="D9" s="2">
        <v>23</v>
      </c>
      <c r="E9" s="2"/>
      <c r="F9" s="2">
        <f t="shared" si="0"/>
        <v>0</v>
      </c>
      <c r="G9" t="s">
        <v>16</v>
      </c>
    </row>
    <row r="10" spans="1:7" x14ac:dyDescent="0.25">
      <c r="A10" s="2" t="s">
        <v>4</v>
      </c>
      <c r="B10" s="2">
        <v>1545</v>
      </c>
      <c r="C10" s="2">
        <v>915</v>
      </c>
      <c r="D10" s="2">
        <v>630</v>
      </c>
      <c r="E10" s="2"/>
      <c r="F10" s="2">
        <f t="shared" si="0"/>
        <v>0</v>
      </c>
      <c r="G10" t="s">
        <v>16</v>
      </c>
    </row>
    <row r="11" spans="1:7" hidden="1" x14ac:dyDescent="0.25">
      <c r="A11" s="2" t="s">
        <v>8</v>
      </c>
      <c r="B11" s="2"/>
      <c r="C11" s="2"/>
      <c r="D11" s="2"/>
      <c r="E11" s="2"/>
      <c r="F11" s="2">
        <f t="shared" si="0"/>
        <v>0</v>
      </c>
    </row>
    <row r="12" spans="1:7" hidden="1" x14ac:dyDescent="0.25">
      <c r="A12" s="2" t="s">
        <v>7</v>
      </c>
      <c r="B12" s="2"/>
      <c r="C12" s="2"/>
      <c r="D12" s="2"/>
      <c r="E12" s="2"/>
      <c r="F12" s="2">
        <f t="shared" si="0"/>
        <v>0</v>
      </c>
    </row>
    <row r="13" spans="1:7" s="1" customFormat="1" x14ac:dyDescent="0.25">
      <c r="A13" s="3" t="s">
        <v>13</v>
      </c>
      <c r="B13" s="3">
        <f t="shared" ref="B13:D13" si="1">SUM(B2:B12)</f>
        <v>6420</v>
      </c>
      <c r="C13" s="3">
        <f t="shared" si="1"/>
        <v>4891</v>
      </c>
      <c r="D13" s="3">
        <f t="shared" si="1"/>
        <v>1139</v>
      </c>
      <c r="E13" s="3">
        <f t="shared" ref="E13" si="2">SUM(E2:E12)</f>
        <v>390</v>
      </c>
      <c r="F13" s="2">
        <f t="shared" si="0"/>
        <v>0</v>
      </c>
    </row>
    <row r="14" spans="1:7" x14ac:dyDescent="0.25">
      <c r="D14" t="s">
        <v>20</v>
      </c>
    </row>
    <row r="15" spans="1:7" ht="15.75" thickBot="1" x14ac:dyDescent="0.3">
      <c r="C15" s="8" t="s">
        <v>12</v>
      </c>
      <c r="D15" s="8"/>
      <c r="E15" s="7"/>
    </row>
    <row r="16" spans="1:7" ht="15.75" thickBot="1" x14ac:dyDescent="0.3">
      <c r="C16" s="5">
        <f>IF(ROUNDUP(C13/500,0)&gt;32,32,ROUNDUP(C13/500,0))</f>
        <v>10</v>
      </c>
      <c r="D16" s="6">
        <f t="shared" ref="D16:E16" si="3">IF(ROUNDUP(D13/500,0)&gt;32,32,ROUNDUP(D13/500,0))</f>
        <v>3</v>
      </c>
      <c r="E16" s="6">
        <f t="shared" si="3"/>
        <v>1</v>
      </c>
    </row>
  </sheetData>
  <mergeCells count="1">
    <mergeCell ref="C15:D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2026-10-29T12:56:01Z</dcterms:modified>
</cp:coreProperties>
</file>