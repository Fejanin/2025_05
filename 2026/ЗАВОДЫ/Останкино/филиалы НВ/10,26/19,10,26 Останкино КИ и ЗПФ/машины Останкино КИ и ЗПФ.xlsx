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3648AB6-36CE-491D-A894-E2B1C67820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0" i="1" l="1"/>
  <c r="F17" i="1"/>
  <c r="G3" i="1" l="1"/>
  <c r="G4" i="1"/>
  <c r="G5" i="1"/>
  <c r="G6" i="1"/>
  <c r="G7" i="1"/>
  <c r="G8" i="1"/>
  <c r="G9" i="1"/>
  <c r="G10" i="1"/>
  <c r="G11" i="1"/>
  <c r="G12" i="1"/>
  <c r="G13" i="1"/>
  <c r="G14" i="1"/>
  <c r="G16" i="1"/>
  <c r="G2" i="1"/>
  <c r="C17" i="1" l="1"/>
  <c r="C20" i="1" s="1"/>
  <c r="D17" i="1"/>
  <c r="D20" i="1" s="1"/>
  <c r="E17" i="1"/>
  <c r="E20" i="1" s="1"/>
  <c r="B17" i="1"/>
  <c r="G17" i="1" l="1"/>
</calcChain>
</file>

<file path=xl/sharedStrings.xml><?xml version="1.0" encoding="utf-8"?>
<sst xmlns="http://schemas.openxmlformats.org/spreadsheetml/2006/main" count="34" uniqueCount="31">
  <si>
    <t>Бердянск</t>
  </si>
  <si>
    <t>Донецк</t>
  </si>
  <si>
    <t>Луганск</t>
  </si>
  <si>
    <t>Мелитополь</t>
  </si>
  <si>
    <t>ПРС ЛП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</si>
  <si>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</si>
  <si>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</si>
  <si>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</si>
  <si>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</si>
  <si>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</si>
  <si>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</si>
  <si>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</si>
  <si>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</si>
  <si>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</si>
  <si>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</si>
  <si>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</si>
  <si>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</si>
  <si>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</si>
  <si>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</si>
  <si>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</si>
  <si>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</si>
  <si>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Мароиуполь ЗПФ</t>
  </si>
  <si>
    <t>в третью машину Крыма</t>
  </si>
  <si>
    <t>САП 25,10</t>
  </si>
  <si>
    <t>САП 26,10</t>
  </si>
  <si>
    <t>САП 27,10</t>
  </si>
  <si>
    <t>САП 28,10</t>
  </si>
  <si>
    <t>Малахутин ЛП</t>
  </si>
  <si>
    <t>Байдерман</t>
  </si>
  <si>
    <t>Грация(Бердянск)</t>
  </si>
  <si>
    <t>Грация(Мариуполь)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</si>
</sst>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N23" sqref="N2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9.85546875" customWidth="1"/>
    <col min="7" max="7" width="8.140625" bestFit="1" customWidth="1"/>
    <col min="8" max="8" width="26.85546875" customWidth="1"/>
  </cols>
  <sheetData>
    <row r="1" spans="1:8" x14ac:dyDescent="0.25">
      <c r="A1" s="5" t="s">
        <v>5</v>
      </c>
      <c r="B1" s="5" t="s">
        <v>6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7</v>
      </c>
    </row>
    <row r="2" spans="1:8" x14ac:dyDescent="0.25">
      <c r="A2" s="2" t="s">
        <v>27</v>
      </c>
      <c r="B2" s="2">
        <v>966</v>
      </c>
      <c r="C2" s="2">
        <v>966</v>
      </c>
      <c r="D2" s="2"/>
      <c r="E2" s="2"/>
      <c r="F2" s="2"/>
      <c r="G2" s="2">
        <f>B2-C2-D2-E2-F2</f>
        <v>0</v>
      </c>
    </row>
    <row r="3" spans="1:8" x14ac:dyDescent="0.25">
      <c r="A3" s="2" t="s">
        <v>4</v>
      </c>
      <c r="B3" s="2">
        <v>2912</v>
      </c>
      <c r="C3" s="2">
        <v>2912</v>
      </c>
      <c r="D3" s="2"/>
      <c r="E3" s="2"/>
      <c r="F3" s="2"/>
      <c r="G3" s="2">
        <f t="shared" ref="G3:G16" si="0">B3-C3-D3-E3-F3</f>
        <v>0</v>
      </c>
    </row>
    <row r="4" spans="1:8" x14ac:dyDescent="0.25">
      <c r="A4" s="6" t="s">
        <v>0</v>
      </c>
      <c r="B4" s="6">
        <v>7424</v>
      </c>
      <c r="C4" s="6"/>
      <c r="D4" s="6"/>
      <c r="E4" s="6">
        <v>7424</v>
      </c>
      <c r="F4" s="6"/>
      <c r="G4" s="6">
        <f t="shared" si="0"/>
        <v>0</v>
      </c>
      <c r="H4" s="7" t="s">
        <v>15</v>
      </c>
    </row>
    <row r="5" spans="1:8" x14ac:dyDescent="0.25">
      <c r="A5" s="6" t="s">
        <v>10</v>
      </c>
      <c r="B5" s="6">
        <v>364</v>
      </c>
      <c r="C5" s="6"/>
      <c r="D5" s="6"/>
      <c r="E5" s="6">
        <v>364</v>
      </c>
      <c r="F5" s="6"/>
      <c r="G5" s="6">
        <f t="shared" si="0"/>
        <v>0</v>
      </c>
      <c r="H5" s="7" t="s">
        <v>15</v>
      </c>
    </row>
    <row r="6" spans="1:8" x14ac:dyDescent="0.25">
      <c r="A6" s="10" t="s">
        <v>20</v>
      </c>
      <c r="B6" s="10">
        <v>2610</v>
      </c>
      <c r="C6" s="10"/>
      <c r="D6" s="10"/>
      <c r="E6" s="10"/>
      <c r="F6" s="10">
        <v>2610</v>
      </c>
      <c r="G6" s="10">
        <f t="shared" si="0"/>
        <v>0</v>
      </c>
      <c r="H6" s="11" t="s">
        <v>22</v>
      </c>
    </row>
    <row r="7" spans="1:8" x14ac:dyDescent="0.25">
      <c r="A7" s="10" t="s">
        <v>21</v>
      </c>
      <c r="B7" s="10">
        <v>65</v>
      </c>
      <c r="C7" s="10"/>
      <c r="D7" s="10"/>
      <c r="E7" s="10"/>
      <c r="F7" s="10">
        <v>65</v>
      </c>
      <c r="G7" s="10">
        <f t="shared" si="0"/>
        <v>0</v>
      </c>
      <c r="H7" s="11" t="s">
        <v>22</v>
      </c>
    </row>
    <row r="8" spans="1:8" x14ac:dyDescent="0.25">
      <c r="A8" s="2" t="s">
        <v>1</v>
      </c>
      <c r="B8" s="2">
        <v>12081</v>
      </c>
      <c r="C8" s="2">
        <v>7507</v>
      </c>
      <c r="D8" s="2">
        <v>4574</v>
      </c>
      <c r="E8" s="2"/>
      <c r="F8" s="2"/>
      <c r="G8" s="2">
        <f t="shared" si="0"/>
        <v>0</v>
      </c>
    </row>
    <row r="9" spans="1:8" x14ac:dyDescent="0.25">
      <c r="A9" s="2" t="s">
        <v>11</v>
      </c>
      <c r="B9" s="2">
        <v>446</v>
      </c>
      <c r="C9" s="2"/>
      <c r="D9" s="2">
        <v>446</v>
      </c>
      <c r="E9" s="2"/>
      <c r="F9" s="2"/>
      <c r="G9" s="2">
        <f t="shared" si="0"/>
        <v>0</v>
      </c>
    </row>
    <row r="10" spans="1:8" x14ac:dyDescent="0.25">
      <c r="A10" s="2" t="s">
        <v>2</v>
      </c>
      <c r="B10" s="2">
        <v>11465</v>
      </c>
      <c r="C10" s="2"/>
      <c r="D10" s="2">
        <v>11465</v>
      </c>
      <c r="E10" s="2"/>
      <c r="F10" s="2"/>
      <c r="G10" s="2">
        <f t="shared" si="0"/>
        <v>0</v>
      </c>
      <c r="H10" t="s">
        <v>14</v>
      </c>
    </row>
    <row r="11" spans="1:8" x14ac:dyDescent="0.25">
      <c r="A11" s="2" t="s">
        <v>12</v>
      </c>
      <c r="B11" s="2">
        <v>144</v>
      </c>
      <c r="C11" s="2"/>
      <c r="D11" s="2">
        <v>144</v>
      </c>
      <c r="E11" s="2"/>
      <c r="F11" s="2"/>
      <c r="G11" s="2">
        <f t="shared" si="0"/>
        <v>0</v>
      </c>
    </row>
    <row r="12" spans="1:8" x14ac:dyDescent="0.25">
      <c r="A12" s="8" t="s">
        <v>3</v>
      </c>
      <c r="B12" s="8">
        <v>5802</v>
      </c>
      <c r="C12" s="8"/>
      <c r="D12" s="8">
        <v>5802</v>
      </c>
      <c r="E12" s="8"/>
      <c r="F12" s="8"/>
      <c r="G12" s="8">
        <f t="shared" si="0"/>
        <v>0</v>
      </c>
      <c r="H12" s="9" t="s">
        <v>16</v>
      </c>
    </row>
    <row r="13" spans="1:8" x14ac:dyDescent="0.25">
      <c r="A13" s="8" t="s">
        <v>13</v>
      </c>
      <c r="B13" s="8">
        <v>296</v>
      </c>
      <c r="C13" s="8"/>
      <c r="D13" s="8">
        <v>296</v>
      </c>
      <c r="E13" s="8"/>
      <c r="F13" s="8"/>
      <c r="G13" s="8">
        <f t="shared" si="0"/>
        <v>0</v>
      </c>
      <c r="H13" s="9" t="s">
        <v>16</v>
      </c>
    </row>
    <row r="14" spans="1:8" x14ac:dyDescent="0.25">
      <c r="A14" s="2" t="s">
        <v>28</v>
      </c>
      <c r="B14" s="2">
        <v>2755</v>
      </c>
      <c r="C14" s="2"/>
      <c r="D14" s="2">
        <v>2755</v>
      </c>
      <c r="E14" s="2"/>
      <c r="F14" s="2"/>
      <c r="G14" s="2">
        <f t="shared" si="0"/>
        <v>0</v>
      </c>
    </row>
    <row r="15" spans="1:8" x14ac:dyDescent="0.25">
      <c r="A15" s="2" t="s">
        <v>29</v>
      </c>
      <c r="B15" s="2">
        <v>778</v>
      </c>
      <c r="C15" s="2"/>
      <c r="D15" s="2"/>
      <c r="E15" s="2">
        <v>778</v>
      </c>
      <c r="F15" s="2"/>
      <c r="G15" s="2"/>
    </row>
    <row r="16" spans="1:8" x14ac:dyDescent="0.25">
      <c r="A16" s="2" t="s">
        <v>30</v>
      </c>
      <c r="B16" s="2">
        <v>3649</v>
      </c>
      <c r="C16" s="2"/>
      <c r="D16" s="2"/>
      <c r="E16" s="2"/>
      <c r="F16" s="2">
        <v>3649</v>
      </c>
      <c r="G16" s="2">
        <f t="shared" si="0"/>
        <v>0</v>
      </c>
    </row>
    <row r="17" spans="1:7" s="1" customFormat="1" x14ac:dyDescent="0.25">
      <c r="A17" s="4" t="s">
        <v>9</v>
      </c>
      <c r="B17" s="4">
        <f t="shared" ref="B17:G17" si="1">SUM(B2:B16)</f>
        <v>51757</v>
      </c>
      <c r="C17" s="4">
        <f t="shared" si="1"/>
        <v>11385</v>
      </c>
      <c r="D17" s="4">
        <f t="shared" si="1"/>
        <v>25482</v>
      </c>
      <c r="E17" s="4">
        <f t="shared" si="1"/>
        <v>8566</v>
      </c>
      <c r="F17" s="4">
        <f t="shared" si="1"/>
        <v>6324</v>
      </c>
      <c r="G17" s="4">
        <f t="shared" si="1"/>
        <v>0</v>
      </c>
    </row>
    <row r="18" spans="1:7" ht="15.75" thickBot="1" x14ac:dyDescent="0.3">
      <c r="C18" t="s">
        <v>17</v>
      </c>
      <c r="D18" t="s">
        <v>18</v>
      </c>
      <c r="E18" t="s">
        <v>19</v>
      </c>
    </row>
    <row r="19" spans="1:7" ht="15.75" thickBot="1" x14ac:dyDescent="0.3">
      <c r="C19" s="12" t="s">
        <v>8</v>
      </c>
      <c r="D19" s="13"/>
      <c r="E19" s="13"/>
      <c r="F19" s="14"/>
    </row>
    <row r="20" spans="1:7" x14ac:dyDescent="0.25">
      <c r="C20" s="3">
        <f>IF(ROUNDUP(C17/500,0)&gt;32,32,ROUNDUP(C17/500,0))</f>
        <v>23</v>
      </c>
      <c r="D20" s="3">
        <f t="shared" ref="D20:F20" si="2">IF(ROUNDUP(D17/500,0)&gt;32,32,ROUNDUP(D17/500,0))</f>
        <v>32</v>
      </c>
      <c r="E20" s="3">
        <f t="shared" si="2"/>
        <v>18</v>
      </c>
      <c r="F20" s="3">
        <f t="shared" si="2"/>
        <v>13</v>
      </c>
    </row>
  </sheetData>
  <mergeCells count="1">
    <mergeCell ref="C19:F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2026-10-21T13:10:08Z</dcterms:modified>
</cp:coreProperties>
</file>