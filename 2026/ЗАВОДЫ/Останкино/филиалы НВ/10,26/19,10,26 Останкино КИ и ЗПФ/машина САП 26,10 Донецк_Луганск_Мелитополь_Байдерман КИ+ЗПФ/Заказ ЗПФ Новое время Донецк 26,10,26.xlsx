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DD27406-52E3-420D-891E-A7B8DD1AEC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" i="1" l="1"/>
  <c r="G31" i="1"/>
  <c r="G30" i="1" l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F3" i="1"/>
</calcChain>
</file>

<file path=xl/sharedStrings.xml><?xml version="1.0" encoding="utf-8"?>
<sst xmlns="http://schemas.openxmlformats.org/spreadsheetml/2006/main" count="73" uniqueCount="52">
  <si>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</si>
  <si>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</si>
  <si>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</si>
  <si>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</si>
  <si>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</si>
  <si>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</si>
  <si>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</si>
  <si>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</si>
  <si>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Донецк г, Чаадаева ул. д.1</t>
  </si>
  <si>
    <t>Луганская Народная Республика</t>
  </si>
  <si>
    <t>Луганск г., Рабочая ул. д.10А</t>
  </si>
  <si>
    <t>Донецкая Народная Республика</t>
  </si>
  <si>
    <t xml:space="preserve">Ответственные: </t>
  </si>
  <si>
    <t>ООО "НОВОЕ ВРЕМЯ" 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</si>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</sst>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J33" sqref="J33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1">
        <v>130133080</v>
      </c>
      <c r="E1" s="56" t="s">
        <v>1</v>
      </c>
      <c r="F1" s="57"/>
      <c r="G1" s="57"/>
      <c r="H1" s="57"/>
      <c r="I1" s="57"/>
      <c r="J1" s="58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55">
        <v>46321</v>
      </c>
      <c r="E3" s="7" t="s">
        <v>7</v>
      </c>
      <c r="F3" s="55">
        <f>D3+3</f>
        <v>46324</v>
      </c>
      <c r="G3" s="66" t="s">
        <v>8</v>
      </c>
      <c r="H3" s="57"/>
      <c r="I3" s="57"/>
      <c r="J3" s="58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8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  <c r="K5" s="26">
        <v>130439503</v>
      </c>
      <c r="L5" t="s">
        <v>13</v>
      </c>
    </row>
    <row r="6" spans="1:14" ht="15.75" customHeight="1" thickBot="1" x14ac:dyDescent="0.3">
      <c r="D6" s="37" t="s">
        <v>14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15</v>
      </c>
      <c r="D7" s="36" t="s">
        <v>16</v>
      </c>
      <c r="E7" s="11" t="s">
        <v>17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18</v>
      </c>
      <c r="B9" s="42" t="s">
        <v>19</v>
      </c>
      <c r="C9" s="12" t="s">
        <v>20</v>
      </c>
      <c r="D9" s="33" t="s">
        <v>21</v>
      </c>
      <c r="E9" s="25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29" t="s">
        <v>27</v>
      </c>
      <c r="K9" s="27"/>
    </row>
    <row r="10" spans="1:14" ht="16.5" customHeight="1" thickTop="1" thickBot="1" x14ac:dyDescent="0.3">
      <c r="A10" s="45"/>
      <c r="B10" s="40" t="s">
        <v>28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29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2" t="str">
        <f t="shared" ref="A12:A21" si="0">RIGHT(D12,4)</f>
        <v>5897</v>
      </c>
      <c r="B12" s="48" t="s">
        <v>30</v>
      </c>
      <c r="C12" s="46" t="s">
        <v>31</v>
      </c>
      <c r="D12" s="47">
        <v>1002134615897</v>
      </c>
      <c r="E12" s="23">
        <v>20</v>
      </c>
      <c r="F12" s="22">
        <v>0.42</v>
      </c>
      <c r="G12" s="22">
        <f t="shared" ref="G12:G19" si="1">E12*F12</f>
        <v>8.4</v>
      </c>
      <c r="H12" s="14">
        <v>4.2</v>
      </c>
      <c r="I12" s="14">
        <v>120</v>
      </c>
      <c r="J12" s="28"/>
    </row>
    <row r="13" spans="1:14" ht="16.5" customHeight="1" x14ac:dyDescent="0.25">
      <c r="A13" s="52" t="str">
        <f t="shared" si="0"/>
        <v>6149</v>
      </c>
      <c r="B13" s="48" t="s">
        <v>32</v>
      </c>
      <c r="C13" s="46" t="s">
        <v>31</v>
      </c>
      <c r="D13" s="47">
        <v>1002131166149</v>
      </c>
      <c r="E13" s="23">
        <v>170</v>
      </c>
      <c r="F13" s="22">
        <v>0.3</v>
      </c>
      <c r="G13" s="22">
        <f t="shared" si="1"/>
        <v>51</v>
      </c>
      <c r="H13" s="14">
        <v>3.6</v>
      </c>
      <c r="I13" s="14">
        <v>120</v>
      </c>
      <c r="J13" s="28"/>
    </row>
    <row r="14" spans="1:14" ht="16.5" customHeight="1" x14ac:dyDescent="0.25">
      <c r="A14" s="52" t="str">
        <f t="shared" si="0"/>
        <v>6819</v>
      </c>
      <c r="B14" s="48" t="s">
        <v>33</v>
      </c>
      <c r="C14" s="46" t="s">
        <v>31</v>
      </c>
      <c r="D14" s="47">
        <v>1002134276819</v>
      </c>
      <c r="E14" s="23">
        <v>20</v>
      </c>
      <c r="F14" s="22">
        <v>0.3</v>
      </c>
      <c r="G14" s="22">
        <f t="shared" si="1"/>
        <v>6</v>
      </c>
      <c r="H14" s="14">
        <v>3.6</v>
      </c>
      <c r="I14" s="14">
        <v>120</v>
      </c>
      <c r="J14" s="28"/>
    </row>
    <row r="15" spans="1:14" ht="16.5" customHeight="1" x14ac:dyDescent="0.25">
      <c r="A15" s="52" t="str">
        <f t="shared" si="0"/>
        <v>6202</v>
      </c>
      <c r="B15" s="48" t="s">
        <v>34</v>
      </c>
      <c r="C15" s="46" t="s">
        <v>31</v>
      </c>
      <c r="D15" s="47">
        <v>1002131186202</v>
      </c>
      <c r="E15" s="23">
        <v>180</v>
      </c>
      <c r="F15" s="22">
        <v>0.3</v>
      </c>
      <c r="G15" s="22">
        <f t="shared" si="1"/>
        <v>54</v>
      </c>
      <c r="H15" s="14">
        <v>3.6</v>
      </c>
      <c r="I15" s="14">
        <v>120</v>
      </c>
      <c r="J15" s="28"/>
    </row>
    <row r="16" spans="1:14" ht="16.5" customHeight="1" x14ac:dyDescent="0.25">
      <c r="A16" s="52" t="str">
        <f t="shared" si="0"/>
        <v>6148</v>
      </c>
      <c r="B16" s="48" t="s">
        <v>35</v>
      </c>
      <c r="C16" s="46" t="s">
        <v>31</v>
      </c>
      <c r="D16" s="47">
        <v>1002133376148</v>
      </c>
      <c r="E16" s="23">
        <v>260</v>
      </c>
      <c r="F16" s="22">
        <v>0.3</v>
      </c>
      <c r="G16" s="22">
        <f t="shared" si="1"/>
        <v>78</v>
      </c>
      <c r="H16" s="14">
        <v>3.6</v>
      </c>
      <c r="I16" s="14">
        <v>120</v>
      </c>
      <c r="J16" s="28"/>
    </row>
    <row r="17" spans="1:10" ht="16.5" customHeight="1" x14ac:dyDescent="0.25">
      <c r="A17" s="52" t="str">
        <f t="shared" si="0"/>
        <v>6209</v>
      </c>
      <c r="B17" s="48" t="s">
        <v>36</v>
      </c>
      <c r="C17" s="46" t="s">
        <v>31</v>
      </c>
      <c r="D17" s="47">
        <v>1002131146209</v>
      </c>
      <c r="E17" s="23">
        <v>110</v>
      </c>
      <c r="F17" s="22">
        <v>0.35</v>
      </c>
      <c r="G17" s="22">
        <f t="shared" si="1"/>
        <v>38.5</v>
      </c>
      <c r="H17" s="14">
        <v>4.2</v>
      </c>
      <c r="I17" s="14">
        <v>120</v>
      </c>
      <c r="J17" s="28"/>
    </row>
    <row r="18" spans="1:10" ht="16.5" customHeight="1" x14ac:dyDescent="0.25">
      <c r="A18" s="52" t="str">
        <f t="shared" si="0"/>
        <v>6168</v>
      </c>
      <c r="B18" s="48" t="s">
        <v>37</v>
      </c>
      <c r="C18" s="46" t="s">
        <v>31</v>
      </c>
      <c r="D18" s="47">
        <v>1002131156168</v>
      </c>
      <c r="E18" s="23">
        <v>80</v>
      </c>
      <c r="F18" s="22">
        <v>0.35</v>
      </c>
      <c r="G18" s="22">
        <f t="shared" si="1"/>
        <v>28</v>
      </c>
      <c r="H18" s="14">
        <v>4.2</v>
      </c>
      <c r="I18" s="14">
        <v>120</v>
      </c>
      <c r="J18" s="28"/>
    </row>
    <row r="19" spans="1:10" ht="16.5" customHeight="1" x14ac:dyDescent="0.25">
      <c r="A19" s="52" t="str">
        <f t="shared" si="0"/>
        <v>5579</v>
      </c>
      <c r="B19" s="48" t="s">
        <v>38</v>
      </c>
      <c r="C19" s="46" t="s">
        <v>31</v>
      </c>
      <c r="D19" s="47">
        <v>1002134275579</v>
      </c>
      <c r="E19" s="23">
        <v>20</v>
      </c>
      <c r="F19" s="22">
        <v>0.42</v>
      </c>
      <c r="G19" s="22">
        <f t="shared" si="1"/>
        <v>8.4</v>
      </c>
      <c r="H19" s="14">
        <v>4.2</v>
      </c>
      <c r="I19" s="14">
        <v>120</v>
      </c>
      <c r="J19" s="28"/>
    </row>
    <row r="20" spans="1:10" ht="16.5" customHeight="1" x14ac:dyDescent="0.25">
      <c r="A20" s="52" t="str">
        <f t="shared" si="0"/>
        <v>5754</v>
      </c>
      <c r="B20" s="53" t="s">
        <v>39</v>
      </c>
      <c r="C20" s="46" t="s">
        <v>40</v>
      </c>
      <c r="D20" s="47">
        <v>1002131155754</v>
      </c>
      <c r="E20" s="23"/>
      <c r="F20" s="22">
        <v>4.5</v>
      </c>
      <c r="G20" s="54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2" t="str">
        <f t="shared" si="0"/>
        <v>5755</v>
      </c>
      <c r="B21" s="48" t="s">
        <v>41</v>
      </c>
      <c r="C21" s="46" t="s">
        <v>40</v>
      </c>
      <c r="D21" s="47">
        <v>1002131185755</v>
      </c>
      <c r="E21" s="23"/>
      <c r="F21" s="22">
        <v>4.5</v>
      </c>
      <c r="G21" s="54">
        <f>E21</f>
        <v>0</v>
      </c>
      <c r="H21" s="14">
        <v>4.5</v>
      </c>
      <c r="I21" s="14">
        <v>120</v>
      </c>
      <c r="J21" s="28"/>
    </row>
    <row r="22" spans="1:10" ht="15.75" customHeight="1" x14ac:dyDescent="0.25">
      <c r="A22" s="50"/>
      <c r="B22" s="59" t="s">
        <v>42</v>
      </c>
      <c r="C22" s="60"/>
      <c r="D22" s="61"/>
      <c r="E22" s="62"/>
      <c r="F22" s="63"/>
      <c r="G22" s="63"/>
      <c r="H22" s="64"/>
      <c r="I22" s="64"/>
      <c r="J22" s="65"/>
    </row>
    <row r="23" spans="1:10" ht="16.5" customHeight="1" x14ac:dyDescent="0.25">
      <c r="A23" s="52" t="str">
        <f t="shared" ref="A23:A30" si="2">RIGHT(D23,4)</f>
        <v>7216</v>
      </c>
      <c r="B23" s="53" t="s">
        <v>43</v>
      </c>
      <c r="C23" s="46" t="s">
        <v>31</v>
      </c>
      <c r="D23" s="47">
        <v>1002116437216</v>
      </c>
      <c r="E23" s="23">
        <v>130</v>
      </c>
      <c r="F23" s="22">
        <v>0.7</v>
      </c>
      <c r="G23" s="54">
        <f t="shared" ref="G23:G29" si="3">E23*F23</f>
        <v>91</v>
      </c>
      <c r="H23" s="14"/>
      <c r="I23" s="14"/>
      <c r="J23" s="28"/>
    </row>
    <row r="24" spans="1:10" x14ac:dyDescent="0.25">
      <c r="A24" s="52" t="str">
        <f t="shared" si="2"/>
        <v>6824</v>
      </c>
      <c r="B24" s="53" t="s">
        <v>44</v>
      </c>
      <c r="C24" s="46" t="s">
        <v>31</v>
      </c>
      <c r="D24" s="47">
        <v>1002112606824</v>
      </c>
      <c r="E24" s="23">
        <v>30</v>
      </c>
      <c r="F24" s="22">
        <v>0.5</v>
      </c>
      <c r="G24" s="54">
        <f t="shared" si="3"/>
        <v>15</v>
      </c>
      <c r="H24" s="14"/>
      <c r="I24" s="14"/>
      <c r="J24" s="28"/>
    </row>
    <row r="25" spans="1:10" x14ac:dyDescent="0.25">
      <c r="A25" s="52" t="str">
        <f t="shared" si="2"/>
        <v>7049</v>
      </c>
      <c r="B25" s="53" t="s">
        <v>45</v>
      </c>
      <c r="C25" s="46" t="s">
        <v>31</v>
      </c>
      <c r="D25" s="47">
        <v>1002151787049</v>
      </c>
      <c r="E25" s="23">
        <v>25</v>
      </c>
      <c r="F25" s="22">
        <v>0.42</v>
      </c>
      <c r="G25" s="54">
        <f t="shared" si="3"/>
        <v>10.5</v>
      </c>
      <c r="H25" s="14"/>
      <c r="I25" s="14"/>
      <c r="J25" s="28"/>
    </row>
    <row r="26" spans="1:10" x14ac:dyDescent="0.25">
      <c r="A26" s="52" t="str">
        <f t="shared" si="2"/>
        <v>7085</v>
      </c>
      <c r="B26" s="53" t="s">
        <v>46</v>
      </c>
      <c r="C26" s="46" t="s">
        <v>31</v>
      </c>
      <c r="D26" s="47">
        <v>1002112607085</v>
      </c>
      <c r="E26" s="23">
        <v>30</v>
      </c>
      <c r="F26" s="22">
        <v>0.7</v>
      </c>
      <c r="G26" s="54">
        <f t="shared" si="3"/>
        <v>21</v>
      </c>
      <c r="H26" s="14"/>
      <c r="I26" s="14"/>
      <c r="J26" s="28"/>
    </row>
    <row r="27" spans="1:10" x14ac:dyDescent="0.25">
      <c r="A27" s="52" t="str">
        <f t="shared" si="2"/>
        <v>7212</v>
      </c>
      <c r="B27" s="53" t="s">
        <v>47</v>
      </c>
      <c r="C27" s="46" t="s">
        <v>31</v>
      </c>
      <c r="D27" s="47">
        <v>1002112857212</v>
      </c>
      <c r="E27" s="23">
        <v>30</v>
      </c>
      <c r="F27" s="22">
        <v>0.42</v>
      </c>
      <c r="G27" s="54">
        <f t="shared" si="3"/>
        <v>12.6</v>
      </c>
      <c r="H27" s="14"/>
      <c r="I27" s="14"/>
      <c r="J27" s="28"/>
    </row>
    <row r="28" spans="1:10" x14ac:dyDescent="0.25">
      <c r="A28" s="52" t="str">
        <f t="shared" si="2"/>
        <v>7214</v>
      </c>
      <c r="B28" s="53" t="s">
        <v>48</v>
      </c>
      <c r="C28" s="46" t="s">
        <v>31</v>
      </c>
      <c r="D28" s="47">
        <v>1002112857214</v>
      </c>
      <c r="E28" s="23">
        <v>20</v>
      </c>
      <c r="F28" s="22">
        <v>0.7</v>
      </c>
      <c r="G28" s="54">
        <f t="shared" si="3"/>
        <v>14</v>
      </c>
      <c r="H28" s="14"/>
      <c r="I28" s="14"/>
      <c r="J28" s="28"/>
    </row>
    <row r="29" spans="1:10" x14ac:dyDescent="0.25">
      <c r="A29" s="52" t="str">
        <f t="shared" si="2"/>
        <v>7224</v>
      </c>
      <c r="B29" s="53" t="s">
        <v>49</v>
      </c>
      <c r="C29" s="46" t="s">
        <v>31</v>
      </c>
      <c r="D29" s="47">
        <v>1002116517224</v>
      </c>
      <c r="E29" s="23">
        <v>25</v>
      </c>
      <c r="F29" s="22">
        <v>0.4</v>
      </c>
      <c r="G29" s="54">
        <f t="shared" si="3"/>
        <v>10</v>
      </c>
      <c r="H29" s="14"/>
      <c r="I29" s="14"/>
      <c r="J29" s="28"/>
    </row>
    <row r="30" spans="1:10" ht="15.75" customHeight="1" thickBot="1" x14ac:dyDescent="0.3">
      <c r="A30" s="52" t="str">
        <f t="shared" si="2"/>
        <v>7375</v>
      </c>
      <c r="B30" s="53" t="s">
        <v>50</v>
      </c>
      <c r="C30" s="46" t="s">
        <v>40</v>
      </c>
      <c r="D30" s="47">
        <v>1002112857375</v>
      </c>
      <c r="E30" s="23"/>
      <c r="F30" s="22">
        <v>1</v>
      </c>
      <c r="G30" s="54">
        <f>E30</f>
        <v>0</v>
      </c>
      <c r="H30" s="14"/>
      <c r="I30" s="14"/>
      <c r="J30" s="28"/>
    </row>
    <row r="31" spans="1:10" ht="16.5" customHeight="1" thickTop="1" thickBot="1" x14ac:dyDescent="0.3">
      <c r="A31" s="49"/>
      <c r="B31" s="43" t="s">
        <v>51</v>
      </c>
      <c r="C31" s="15"/>
      <c r="D31" s="34"/>
      <c r="E31" s="16">
        <f>SUM(E10:E30)</f>
        <v>1150</v>
      </c>
      <c r="F31" s="16"/>
      <c r="G31" s="16">
        <f>SUM(G12:G30)</f>
        <v>446.4</v>
      </c>
      <c r="H31" s="16"/>
      <c r="I31" s="16"/>
      <c r="J31" s="16"/>
    </row>
    <row r="32" spans="1:10" ht="15.75" customHeight="1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2026-10-21T12:52:52Z</dcterms:modified>
</cp:coreProperties>
</file>