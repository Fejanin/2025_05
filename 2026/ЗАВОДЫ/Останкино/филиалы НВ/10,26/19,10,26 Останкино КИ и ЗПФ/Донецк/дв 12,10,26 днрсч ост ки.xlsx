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39929F2-923C-4408-A647-39355D34D4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6" i="1" l="1"/>
  <c r="U109" i="1"/>
  <c r="U68" i="1"/>
  <c r="T68" i="1" s="1"/>
  <c r="U64" i="1"/>
  <c r="U63" i="1"/>
  <c r="T63" i="1" s="1"/>
  <c r="U47" i="1"/>
  <c r="T47" i="1" s="1"/>
  <c r="U44" i="1"/>
  <c r="U32" i="1"/>
  <c r="T32" i="1" s="1"/>
  <c r="U26" i="1"/>
  <c r="U13" i="1"/>
  <c r="U10" i="1"/>
  <c r="T10" i="1"/>
  <c r="T12" i="1"/>
  <c r="T13" i="1"/>
  <c r="T17" i="1"/>
  <c r="T21" i="1"/>
  <c r="T26" i="1"/>
  <c r="T28" i="1"/>
  <c r="T40" i="1"/>
  <c r="T42" i="1"/>
  <c r="T44" i="1"/>
  <c r="T64" i="1"/>
  <c r="T93" i="1"/>
  <c r="T94" i="1"/>
  <c r="T98" i="1"/>
  <c r="T99" i="1"/>
  <c r="T100" i="1"/>
  <c r="T106" i="1"/>
  <c r="T108" i="1"/>
  <c r="T109" i="1"/>
  <c r="T110" i="1"/>
  <c r="T114" i="1"/>
  <c r="T115" i="1"/>
  <c r="S14" i="1"/>
  <c r="T14" i="1" s="1"/>
  <c r="S16" i="1"/>
  <c r="T16" i="1" s="1"/>
  <c r="S18" i="1"/>
  <c r="T18" i="1" s="1"/>
  <c r="S20" i="1"/>
  <c r="S23" i="1"/>
  <c r="T23" i="1" s="1"/>
  <c r="S24" i="1"/>
  <c r="S25" i="1"/>
  <c r="T25" i="1" s="1"/>
  <c r="S27" i="1"/>
  <c r="S33" i="1"/>
  <c r="T33" i="1" s="1"/>
  <c r="S34" i="1"/>
  <c r="S35" i="1"/>
  <c r="T35" i="1" s="1"/>
  <c r="S36" i="1"/>
  <c r="S37" i="1"/>
  <c r="T37" i="1" s="1"/>
  <c r="S38" i="1"/>
  <c r="S41" i="1"/>
  <c r="T41" i="1" s="1"/>
  <c r="S43" i="1"/>
  <c r="S45" i="1"/>
  <c r="T45" i="1" s="1"/>
  <c r="S46" i="1"/>
  <c r="S48" i="1"/>
  <c r="S50" i="1"/>
  <c r="S53" i="1"/>
  <c r="S55" i="1"/>
  <c r="S59" i="1"/>
  <c r="T59" i="1" s="1"/>
  <c r="S62" i="1"/>
  <c r="S65" i="1"/>
  <c r="T65" i="1" s="1"/>
  <c r="S66" i="1"/>
  <c r="S67" i="1"/>
  <c r="T67" i="1" s="1"/>
  <c r="S69" i="1"/>
  <c r="S71" i="1"/>
  <c r="T71" i="1" s="1"/>
  <c r="S72" i="1"/>
  <c r="S73" i="1"/>
  <c r="T73" i="1" s="1"/>
  <c r="S74" i="1"/>
  <c r="S77" i="1"/>
  <c r="T77" i="1" s="1"/>
  <c r="S78" i="1"/>
  <c r="S79" i="1"/>
  <c r="T79" i="1" s="1"/>
  <c r="S85" i="1"/>
  <c r="S88" i="1"/>
  <c r="T88" i="1" s="1"/>
  <c r="S90" i="1"/>
  <c r="S91" i="1"/>
  <c r="T91" i="1" s="1"/>
  <c r="S92" i="1"/>
  <c r="S97" i="1"/>
  <c r="T97" i="1" s="1"/>
  <c r="S101" i="1"/>
  <c r="S103" i="1"/>
  <c r="S104" i="1"/>
  <c r="S105" i="1"/>
  <c r="T105" i="1" s="1"/>
  <c r="S107" i="1"/>
  <c r="S111" i="1"/>
  <c r="T111" i="1" s="1"/>
  <c r="S112" i="1"/>
  <c r="T112" i="1" s="1"/>
  <c r="S113" i="1"/>
  <c r="T113" i="1" s="1"/>
  <c r="S116" i="1"/>
  <c r="T116" i="1" s="1"/>
  <c r="S117" i="1"/>
  <c r="T117" i="1" s="1"/>
  <c r="S118" i="1"/>
  <c r="T118" i="1" s="1"/>
  <c r="S119" i="1"/>
  <c r="T119" i="1" s="1"/>
  <c r="S6" i="1"/>
  <c r="W10" i="1"/>
  <c r="W12" i="1"/>
  <c r="W13" i="1"/>
  <c r="W17" i="1"/>
  <c r="W21" i="1"/>
  <c r="W26" i="1"/>
  <c r="W32" i="1"/>
  <c r="W64" i="1"/>
  <c r="W110" i="1"/>
  <c r="T48" i="1" l="1"/>
  <c r="U53" i="1"/>
  <c r="T53" i="1" s="1"/>
  <c r="U103" i="1"/>
  <c r="T103" i="1" s="1"/>
  <c r="T6" i="1"/>
  <c r="T107" i="1"/>
  <c r="T104" i="1"/>
  <c r="T101" i="1"/>
  <c r="T92" i="1"/>
  <c r="T90" i="1"/>
  <c r="T85" i="1"/>
  <c r="T78" i="1"/>
  <c r="T74" i="1"/>
  <c r="T72" i="1"/>
  <c r="T69" i="1"/>
  <c r="T66" i="1"/>
  <c r="T62" i="1"/>
  <c r="T55" i="1"/>
  <c r="T50" i="1"/>
  <c r="T46" i="1"/>
  <c r="T43" i="1"/>
  <c r="T38" i="1"/>
  <c r="T36" i="1"/>
  <c r="T34" i="1"/>
  <c r="T27" i="1"/>
  <c r="T24" i="1"/>
  <c r="T20" i="1"/>
  <c r="Q117" i="1"/>
  <c r="X117" i="1" s="1"/>
  <c r="Q118" i="1"/>
  <c r="X118" i="1" s="1"/>
  <c r="Q119" i="1"/>
  <c r="X119" i="1" s="1"/>
  <c r="Y117" i="1" l="1"/>
  <c r="Y119" i="1"/>
  <c r="Y118" i="1"/>
  <c r="P97" i="1"/>
  <c r="P5" i="1" s="1"/>
  <c r="O97" i="1"/>
  <c r="O115" i="1"/>
  <c r="O113" i="1"/>
  <c r="M116" i="1"/>
  <c r="Q116" i="1" s="1"/>
  <c r="X116" i="1" s="1"/>
  <c r="L116" i="1"/>
  <c r="F115" i="1"/>
  <c r="E115" i="1"/>
  <c r="M115" i="1" s="1"/>
  <c r="Q115" i="1" s="1"/>
  <c r="M114" i="1"/>
  <c r="Q114" i="1" s="1"/>
  <c r="X114" i="1" s="1"/>
  <c r="L114" i="1"/>
  <c r="F113" i="1"/>
  <c r="E113" i="1"/>
  <c r="M113" i="1" s="1"/>
  <c r="Q113" i="1" s="1"/>
  <c r="M112" i="1"/>
  <c r="Q112" i="1" s="1"/>
  <c r="X112" i="1" s="1"/>
  <c r="L112" i="1"/>
  <c r="M111" i="1"/>
  <c r="Q111" i="1" s="1"/>
  <c r="L111" i="1"/>
  <c r="M110" i="1"/>
  <c r="Q110" i="1" s="1"/>
  <c r="Y110" i="1" s="1"/>
  <c r="L110" i="1"/>
  <c r="M109" i="1"/>
  <c r="Q109" i="1" s="1"/>
  <c r="L109" i="1"/>
  <c r="M108" i="1"/>
  <c r="Q108" i="1" s="1"/>
  <c r="L108" i="1"/>
  <c r="M107" i="1"/>
  <c r="Q107" i="1" s="1"/>
  <c r="X107" i="1" s="1"/>
  <c r="L107" i="1"/>
  <c r="M106" i="1"/>
  <c r="Q106" i="1" s="1"/>
  <c r="X106" i="1" s="1"/>
  <c r="L106" i="1"/>
  <c r="M105" i="1"/>
  <c r="Q105" i="1" s="1"/>
  <c r="X105" i="1" s="1"/>
  <c r="L105" i="1"/>
  <c r="M104" i="1"/>
  <c r="Q104" i="1" s="1"/>
  <c r="X104" i="1" s="1"/>
  <c r="L104" i="1"/>
  <c r="M103" i="1"/>
  <c r="Q103" i="1" s="1"/>
  <c r="X103" i="1" s="1"/>
  <c r="L103" i="1"/>
  <c r="M102" i="1"/>
  <c r="Q102" i="1" s="1"/>
  <c r="L102" i="1"/>
  <c r="M101" i="1"/>
  <c r="Q101" i="1" s="1"/>
  <c r="X101" i="1" s="1"/>
  <c r="L101" i="1"/>
  <c r="M100" i="1"/>
  <c r="Q100" i="1" s="1"/>
  <c r="R100" i="1" s="1"/>
  <c r="L100" i="1"/>
  <c r="M99" i="1"/>
  <c r="Q99" i="1" s="1"/>
  <c r="R99" i="1" s="1"/>
  <c r="L99" i="1"/>
  <c r="M98" i="1"/>
  <c r="Q98" i="1" s="1"/>
  <c r="L98" i="1"/>
  <c r="F97" i="1"/>
  <c r="E97" i="1"/>
  <c r="M97" i="1" s="1"/>
  <c r="Q97" i="1" s="1"/>
  <c r="M96" i="1"/>
  <c r="Q96" i="1" s="1"/>
  <c r="L96" i="1"/>
  <c r="M95" i="1"/>
  <c r="Q95" i="1" s="1"/>
  <c r="R95" i="1" s="1"/>
  <c r="S95" i="1" s="1"/>
  <c r="L95" i="1"/>
  <c r="M94" i="1"/>
  <c r="L94" i="1"/>
  <c r="M93" i="1"/>
  <c r="Q93" i="1" s="1"/>
  <c r="R93" i="1" s="1"/>
  <c r="L93" i="1"/>
  <c r="M92" i="1"/>
  <c r="Q92" i="1" s="1"/>
  <c r="X92" i="1" s="1"/>
  <c r="L92" i="1"/>
  <c r="M91" i="1"/>
  <c r="Q91" i="1" s="1"/>
  <c r="X91" i="1" s="1"/>
  <c r="L91" i="1"/>
  <c r="M90" i="1"/>
  <c r="Q90" i="1" s="1"/>
  <c r="X90" i="1" s="1"/>
  <c r="L90" i="1"/>
  <c r="M89" i="1"/>
  <c r="Q89" i="1" s="1"/>
  <c r="R89" i="1" s="1"/>
  <c r="S89" i="1" s="1"/>
  <c r="L89" i="1"/>
  <c r="M88" i="1"/>
  <c r="Q88" i="1" s="1"/>
  <c r="L88" i="1"/>
  <c r="M87" i="1"/>
  <c r="Q87" i="1" s="1"/>
  <c r="L87" i="1"/>
  <c r="M86" i="1"/>
  <c r="Q86" i="1" s="1"/>
  <c r="Y86" i="1" s="1"/>
  <c r="L86" i="1"/>
  <c r="M85" i="1"/>
  <c r="Q85" i="1" s="1"/>
  <c r="X85" i="1" s="1"/>
  <c r="L85" i="1"/>
  <c r="M84" i="1"/>
  <c r="Q84" i="1" s="1"/>
  <c r="L84" i="1"/>
  <c r="M83" i="1"/>
  <c r="Q83" i="1" s="1"/>
  <c r="R83" i="1" s="1"/>
  <c r="S83" i="1" s="1"/>
  <c r="L83" i="1"/>
  <c r="M82" i="1"/>
  <c r="Q82" i="1" s="1"/>
  <c r="L82" i="1"/>
  <c r="M81" i="1"/>
  <c r="Q81" i="1" s="1"/>
  <c r="R81" i="1" s="1"/>
  <c r="S81" i="1" s="1"/>
  <c r="L81" i="1"/>
  <c r="M80" i="1"/>
  <c r="Q80" i="1" s="1"/>
  <c r="R80" i="1" s="1"/>
  <c r="S80" i="1" s="1"/>
  <c r="L80" i="1"/>
  <c r="M79" i="1"/>
  <c r="Q79" i="1" s="1"/>
  <c r="X79" i="1" s="1"/>
  <c r="L79" i="1"/>
  <c r="M78" i="1"/>
  <c r="Q78" i="1" s="1"/>
  <c r="L78" i="1"/>
  <c r="M77" i="1"/>
  <c r="Q77" i="1" s="1"/>
  <c r="X77" i="1" s="1"/>
  <c r="L77" i="1"/>
  <c r="M76" i="1"/>
  <c r="Q76" i="1" s="1"/>
  <c r="Y76" i="1" s="1"/>
  <c r="L76" i="1"/>
  <c r="M75" i="1"/>
  <c r="Q75" i="1" s="1"/>
  <c r="Y75" i="1" s="1"/>
  <c r="L75" i="1"/>
  <c r="M74" i="1"/>
  <c r="Q74" i="1" s="1"/>
  <c r="X74" i="1" s="1"/>
  <c r="L74" i="1"/>
  <c r="M73" i="1"/>
  <c r="Q73" i="1" s="1"/>
  <c r="X73" i="1" s="1"/>
  <c r="L73" i="1"/>
  <c r="M72" i="1"/>
  <c r="Q72" i="1" s="1"/>
  <c r="L72" i="1"/>
  <c r="M71" i="1"/>
  <c r="Q71" i="1" s="1"/>
  <c r="X71" i="1" s="1"/>
  <c r="L71" i="1"/>
  <c r="M70" i="1"/>
  <c r="Q70" i="1" s="1"/>
  <c r="Y70" i="1" s="1"/>
  <c r="L70" i="1"/>
  <c r="M69" i="1"/>
  <c r="Q69" i="1" s="1"/>
  <c r="L69" i="1"/>
  <c r="M68" i="1"/>
  <c r="Q68" i="1" s="1"/>
  <c r="Y68" i="1" s="1"/>
  <c r="L68" i="1"/>
  <c r="M67" i="1"/>
  <c r="Q67" i="1" s="1"/>
  <c r="X67" i="1" s="1"/>
  <c r="L67" i="1"/>
  <c r="M66" i="1"/>
  <c r="Q66" i="1" s="1"/>
  <c r="X66" i="1" s="1"/>
  <c r="L66" i="1"/>
  <c r="M65" i="1"/>
  <c r="Q65" i="1" s="1"/>
  <c r="X65" i="1" s="1"/>
  <c r="L65" i="1"/>
  <c r="M64" i="1"/>
  <c r="Q64" i="1" s="1"/>
  <c r="L64" i="1"/>
  <c r="M63" i="1"/>
  <c r="Q63" i="1" s="1"/>
  <c r="R63" i="1" s="1"/>
  <c r="L63" i="1"/>
  <c r="M62" i="1"/>
  <c r="Q62" i="1" s="1"/>
  <c r="X62" i="1" s="1"/>
  <c r="L62" i="1"/>
  <c r="M61" i="1"/>
  <c r="Q61" i="1" s="1"/>
  <c r="R61" i="1" s="1"/>
  <c r="S61" i="1" s="1"/>
  <c r="T61" i="1" s="1"/>
  <c r="L61" i="1"/>
  <c r="M60" i="1"/>
  <c r="Q60" i="1" s="1"/>
  <c r="R60" i="1" s="1"/>
  <c r="S60" i="1" s="1"/>
  <c r="L60" i="1"/>
  <c r="M59" i="1"/>
  <c r="Q59" i="1" s="1"/>
  <c r="X59" i="1" s="1"/>
  <c r="L59" i="1"/>
  <c r="M58" i="1"/>
  <c r="Q58" i="1" s="1"/>
  <c r="R58" i="1" s="1"/>
  <c r="S58" i="1" s="1"/>
  <c r="T58" i="1" s="1"/>
  <c r="L58" i="1"/>
  <c r="M57" i="1"/>
  <c r="Q57" i="1" s="1"/>
  <c r="R57" i="1" s="1"/>
  <c r="S57" i="1" s="1"/>
  <c r="T57" i="1" s="1"/>
  <c r="L57" i="1"/>
  <c r="M56" i="1"/>
  <c r="Q56" i="1" s="1"/>
  <c r="L56" i="1"/>
  <c r="M55" i="1"/>
  <c r="Q55" i="1" s="1"/>
  <c r="X55" i="1" s="1"/>
  <c r="L55" i="1"/>
  <c r="M54" i="1"/>
  <c r="Q54" i="1" s="1"/>
  <c r="L54" i="1"/>
  <c r="M53" i="1"/>
  <c r="Q53" i="1" s="1"/>
  <c r="X53" i="1" s="1"/>
  <c r="L53" i="1"/>
  <c r="M52" i="1"/>
  <c r="Q52" i="1" s="1"/>
  <c r="L52" i="1"/>
  <c r="M51" i="1"/>
  <c r="Q51" i="1" s="1"/>
  <c r="R51" i="1" s="1"/>
  <c r="S51" i="1" s="1"/>
  <c r="L51" i="1"/>
  <c r="M50" i="1"/>
  <c r="Q50" i="1" s="1"/>
  <c r="X50" i="1" s="1"/>
  <c r="L50" i="1"/>
  <c r="M49" i="1"/>
  <c r="Q49" i="1" s="1"/>
  <c r="L49" i="1"/>
  <c r="M48" i="1"/>
  <c r="Q48" i="1" s="1"/>
  <c r="X48" i="1" s="1"/>
  <c r="L48" i="1"/>
  <c r="M47" i="1"/>
  <c r="Q47" i="1" s="1"/>
  <c r="R47" i="1" s="1"/>
  <c r="L47" i="1"/>
  <c r="M46" i="1"/>
  <c r="Q46" i="1" s="1"/>
  <c r="X46" i="1" s="1"/>
  <c r="L46" i="1"/>
  <c r="M45" i="1"/>
  <c r="Q45" i="1" s="1"/>
  <c r="X45" i="1" s="1"/>
  <c r="L45" i="1"/>
  <c r="M44" i="1"/>
  <c r="Q44" i="1" s="1"/>
  <c r="R44" i="1" s="1"/>
  <c r="L44" i="1"/>
  <c r="M43" i="1"/>
  <c r="Q43" i="1" s="1"/>
  <c r="X43" i="1" s="1"/>
  <c r="L43" i="1"/>
  <c r="M42" i="1"/>
  <c r="Q42" i="1" s="1"/>
  <c r="X42" i="1" s="1"/>
  <c r="L42" i="1"/>
  <c r="M41" i="1"/>
  <c r="Q41" i="1" s="1"/>
  <c r="X41" i="1" s="1"/>
  <c r="L41" i="1"/>
  <c r="M40" i="1"/>
  <c r="Q40" i="1" s="1"/>
  <c r="X40" i="1" s="1"/>
  <c r="L40" i="1"/>
  <c r="M39" i="1"/>
  <c r="Q39" i="1" s="1"/>
  <c r="R39" i="1" s="1"/>
  <c r="S39" i="1" s="1"/>
  <c r="T39" i="1" s="1"/>
  <c r="L39" i="1"/>
  <c r="M38" i="1"/>
  <c r="Q38" i="1" s="1"/>
  <c r="X38" i="1" s="1"/>
  <c r="L38" i="1"/>
  <c r="M37" i="1"/>
  <c r="Q37" i="1" s="1"/>
  <c r="X37" i="1" s="1"/>
  <c r="L37" i="1"/>
  <c r="M36" i="1"/>
  <c r="Q36" i="1" s="1"/>
  <c r="X36" i="1" s="1"/>
  <c r="L36" i="1"/>
  <c r="M35" i="1"/>
  <c r="Q35" i="1" s="1"/>
  <c r="X35" i="1" s="1"/>
  <c r="L35" i="1"/>
  <c r="M34" i="1"/>
  <c r="Q34" i="1" s="1"/>
  <c r="X34" i="1" s="1"/>
  <c r="L34" i="1"/>
  <c r="M33" i="1"/>
  <c r="Q33" i="1" s="1"/>
  <c r="X33" i="1" s="1"/>
  <c r="L33" i="1"/>
  <c r="M32" i="1"/>
  <c r="Q32" i="1" s="1"/>
  <c r="L32" i="1"/>
  <c r="M31" i="1"/>
  <c r="Q31" i="1" s="1"/>
  <c r="R31" i="1" s="1"/>
  <c r="S31" i="1" s="1"/>
  <c r="L31" i="1"/>
  <c r="M30" i="1"/>
  <c r="Q30" i="1" s="1"/>
  <c r="R30" i="1" s="1"/>
  <c r="S30" i="1" s="1"/>
  <c r="T30" i="1" s="1"/>
  <c r="L30" i="1"/>
  <c r="M29" i="1"/>
  <c r="Q29" i="1" s="1"/>
  <c r="R29" i="1" s="1"/>
  <c r="S29" i="1" s="1"/>
  <c r="L29" i="1"/>
  <c r="M28" i="1"/>
  <c r="Q28" i="1" s="1"/>
  <c r="X28" i="1" s="1"/>
  <c r="L28" i="1"/>
  <c r="M27" i="1"/>
  <c r="Q27" i="1" s="1"/>
  <c r="X27" i="1" s="1"/>
  <c r="L27" i="1"/>
  <c r="M26" i="1"/>
  <c r="Q26" i="1" s="1"/>
  <c r="L26" i="1"/>
  <c r="M25" i="1"/>
  <c r="Q25" i="1" s="1"/>
  <c r="X25" i="1" s="1"/>
  <c r="L25" i="1"/>
  <c r="M24" i="1"/>
  <c r="Q24" i="1" s="1"/>
  <c r="X24" i="1" s="1"/>
  <c r="L24" i="1"/>
  <c r="M23" i="1"/>
  <c r="Q23" i="1" s="1"/>
  <c r="X23" i="1" s="1"/>
  <c r="L23" i="1"/>
  <c r="M22" i="1"/>
  <c r="Q22" i="1" s="1"/>
  <c r="L22" i="1"/>
  <c r="M21" i="1"/>
  <c r="Q21" i="1" s="1"/>
  <c r="X21" i="1" s="1"/>
  <c r="L21" i="1"/>
  <c r="M20" i="1"/>
  <c r="Q20" i="1" s="1"/>
  <c r="X20" i="1" s="1"/>
  <c r="L20" i="1"/>
  <c r="M19" i="1"/>
  <c r="Q19" i="1" s="1"/>
  <c r="R19" i="1" s="1"/>
  <c r="S19" i="1" s="1"/>
  <c r="T19" i="1" s="1"/>
  <c r="L19" i="1"/>
  <c r="M18" i="1"/>
  <c r="Q18" i="1" s="1"/>
  <c r="X18" i="1" s="1"/>
  <c r="L18" i="1"/>
  <c r="M17" i="1"/>
  <c r="L17" i="1"/>
  <c r="M16" i="1"/>
  <c r="Q16" i="1" s="1"/>
  <c r="X16" i="1" s="1"/>
  <c r="L16" i="1"/>
  <c r="M15" i="1"/>
  <c r="Q15" i="1" s="1"/>
  <c r="R15" i="1" s="1"/>
  <c r="S15" i="1" s="1"/>
  <c r="L15" i="1"/>
  <c r="M14" i="1"/>
  <c r="Q14" i="1" s="1"/>
  <c r="X14" i="1" s="1"/>
  <c r="L14" i="1"/>
  <c r="M13" i="1"/>
  <c r="Q13" i="1" s="1"/>
  <c r="R13" i="1" s="1"/>
  <c r="L13" i="1"/>
  <c r="M12" i="1"/>
  <c r="Q12" i="1" s="1"/>
  <c r="R12" i="1" s="1"/>
  <c r="L12" i="1"/>
  <c r="M11" i="1"/>
  <c r="Q11" i="1" s="1"/>
  <c r="R11" i="1" s="1"/>
  <c r="S11" i="1" s="1"/>
  <c r="T11" i="1" s="1"/>
  <c r="L11" i="1"/>
  <c r="M10" i="1"/>
  <c r="Q10" i="1" s="1"/>
  <c r="R10" i="1" s="1"/>
  <c r="L10" i="1"/>
  <c r="M9" i="1"/>
  <c r="Q9" i="1" s="1"/>
  <c r="R9" i="1" s="1"/>
  <c r="S9" i="1" s="1"/>
  <c r="L9" i="1"/>
  <c r="M8" i="1"/>
  <c r="Q8" i="1" s="1"/>
  <c r="R8" i="1" s="1"/>
  <c r="S8" i="1" s="1"/>
  <c r="T8" i="1" s="1"/>
  <c r="L8" i="1"/>
  <c r="M7" i="1"/>
  <c r="Q7" i="1" s="1"/>
  <c r="R7" i="1" s="1"/>
  <c r="S7" i="1" s="1"/>
  <c r="L7" i="1"/>
  <c r="M6" i="1"/>
  <c r="Q6" i="1" s="1"/>
  <c r="X6" i="1" s="1"/>
  <c r="L6" i="1"/>
  <c r="AI5" i="1"/>
  <c r="AH5" i="1"/>
  <c r="AG5" i="1"/>
  <c r="AF5" i="1"/>
  <c r="AE5" i="1"/>
  <c r="AD5" i="1"/>
  <c r="AC5" i="1"/>
  <c r="AB5" i="1"/>
  <c r="AA5" i="1"/>
  <c r="Z5" i="1"/>
  <c r="N5" i="1"/>
  <c r="K5" i="1"/>
  <c r="T7" i="1" l="1"/>
  <c r="U7" i="1"/>
  <c r="T9" i="1"/>
  <c r="U9" i="1"/>
  <c r="T15" i="1"/>
  <c r="U15" i="1"/>
  <c r="T29" i="1"/>
  <c r="U29" i="1"/>
  <c r="T31" i="1"/>
  <c r="U31" i="1"/>
  <c r="T51" i="1"/>
  <c r="U51" i="1"/>
  <c r="T60" i="1"/>
  <c r="U60" i="1"/>
  <c r="T80" i="1"/>
  <c r="U80" i="1"/>
  <c r="T81" i="1"/>
  <c r="U81" i="1"/>
  <c r="T83" i="1"/>
  <c r="U83" i="1"/>
  <c r="T89" i="1"/>
  <c r="U89" i="1"/>
  <c r="T95" i="1"/>
  <c r="U95" i="1"/>
  <c r="X17" i="1"/>
  <c r="Q17" i="1"/>
  <c r="X94" i="1"/>
  <c r="Q94" i="1"/>
  <c r="X7" i="1"/>
  <c r="X8" i="1"/>
  <c r="X9" i="1"/>
  <c r="X10" i="1"/>
  <c r="X11" i="1"/>
  <c r="X12" i="1"/>
  <c r="X13" i="1"/>
  <c r="X15" i="1"/>
  <c r="X19" i="1"/>
  <c r="X29" i="1"/>
  <c r="X30" i="1"/>
  <c r="X31" i="1"/>
  <c r="X39" i="1"/>
  <c r="X44" i="1"/>
  <c r="X47" i="1"/>
  <c r="X51" i="1"/>
  <c r="X57" i="1"/>
  <c r="X58" i="1"/>
  <c r="X60" i="1"/>
  <c r="X61" i="1"/>
  <c r="X63" i="1"/>
  <c r="Y69" i="1"/>
  <c r="X69" i="1"/>
  <c r="Y72" i="1"/>
  <c r="X72" i="1"/>
  <c r="Y78" i="1"/>
  <c r="X78" i="1"/>
  <c r="X80" i="1"/>
  <c r="X81" i="1"/>
  <c r="X83" i="1"/>
  <c r="Y88" i="1"/>
  <c r="X88" i="1"/>
  <c r="X89" i="1"/>
  <c r="X93" i="1"/>
  <c r="X95" i="1"/>
  <c r="X97" i="1"/>
  <c r="X99" i="1"/>
  <c r="X100" i="1"/>
  <c r="Y108" i="1"/>
  <c r="X108" i="1"/>
  <c r="Y111" i="1"/>
  <c r="X111" i="1"/>
  <c r="X113" i="1"/>
  <c r="X115" i="1"/>
  <c r="R84" i="1"/>
  <c r="S84" i="1" s="1"/>
  <c r="R22" i="1"/>
  <c r="S22" i="1" s="1"/>
  <c r="R68" i="1"/>
  <c r="R70" i="1"/>
  <c r="S70" i="1" s="1"/>
  <c r="R110" i="1"/>
  <c r="R49" i="1"/>
  <c r="S49" i="1" s="1"/>
  <c r="Y77" i="1"/>
  <c r="Y87" i="1"/>
  <c r="R87" i="1"/>
  <c r="S87" i="1" s="1"/>
  <c r="R96" i="1"/>
  <c r="S96" i="1" s="1"/>
  <c r="R32" i="1"/>
  <c r="R76" i="1"/>
  <c r="S76" i="1" s="1"/>
  <c r="T76" i="1" s="1"/>
  <c r="R86" i="1"/>
  <c r="S86" i="1" s="1"/>
  <c r="R54" i="1"/>
  <c r="S54" i="1" s="1"/>
  <c r="T54" i="1" s="1"/>
  <c r="Y71" i="1"/>
  <c r="R82" i="1"/>
  <c r="S82" i="1" s="1"/>
  <c r="T82" i="1" s="1"/>
  <c r="Y109" i="1"/>
  <c r="R109" i="1"/>
  <c r="R26" i="1"/>
  <c r="R52" i="1"/>
  <c r="S52" i="1" s="1"/>
  <c r="R56" i="1"/>
  <c r="S56" i="1" s="1"/>
  <c r="T56" i="1" s="1"/>
  <c r="R64" i="1"/>
  <c r="R75" i="1"/>
  <c r="S75" i="1" s="1"/>
  <c r="R98" i="1"/>
  <c r="R102" i="1"/>
  <c r="S102" i="1" s="1"/>
  <c r="T102" i="1" s="1"/>
  <c r="F5" i="1"/>
  <c r="Y113" i="1"/>
  <c r="O5" i="1"/>
  <c r="M5" i="1"/>
  <c r="Y97" i="1"/>
  <c r="Y115" i="1"/>
  <c r="Y80" i="1"/>
  <c r="Y84" i="1"/>
  <c r="Y100" i="1"/>
  <c r="Y104" i="1"/>
  <c r="Y112" i="1"/>
  <c r="Y116" i="1"/>
  <c r="Y53" i="1"/>
  <c r="Y57" i="1"/>
  <c r="Y61" i="1"/>
  <c r="Y65" i="1"/>
  <c r="Y91" i="1"/>
  <c r="Y95" i="1"/>
  <c r="E5" i="1"/>
  <c r="Y55" i="1"/>
  <c r="Y59" i="1"/>
  <c r="Y63" i="1"/>
  <c r="Y67" i="1"/>
  <c r="Y74" i="1"/>
  <c r="Y82" i="1"/>
  <c r="Y89" i="1"/>
  <c r="Y93" i="1"/>
  <c r="Y98" i="1"/>
  <c r="Y102" i="1"/>
  <c r="Y106" i="1"/>
  <c r="Y7" i="1"/>
  <c r="Y9" i="1"/>
  <c r="Y11" i="1"/>
  <c r="Y13" i="1"/>
  <c r="Y15" i="1"/>
  <c r="Y17" i="1"/>
  <c r="Y19" i="1"/>
  <c r="Y21" i="1"/>
  <c r="Y23" i="1"/>
  <c r="Y34" i="1"/>
  <c r="Y38" i="1"/>
  <c r="Y40" i="1"/>
  <c r="Y44" i="1"/>
  <c r="Y46" i="1"/>
  <c r="Y48" i="1"/>
  <c r="Y6" i="1"/>
  <c r="Q5" i="1"/>
  <c r="Y8" i="1"/>
  <c r="Y10" i="1"/>
  <c r="Y12" i="1"/>
  <c r="Y14" i="1"/>
  <c r="Y16" i="1"/>
  <c r="Y18" i="1"/>
  <c r="Y20" i="1"/>
  <c r="Y22" i="1"/>
  <c r="Y24" i="1"/>
  <c r="Y36" i="1"/>
  <c r="Y39" i="1"/>
  <c r="Y41" i="1"/>
  <c r="Y45" i="1"/>
  <c r="Y47" i="1"/>
  <c r="Y51" i="1"/>
  <c r="Y25" i="1"/>
  <c r="Y26" i="1"/>
  <c r="Y27" i="1"/>
  <c r="Y28" i="1"/>
  <c r="Y29" i="1"/>
  <c r="Y30" i="1"/>
  <c r="Y31" i="1"/>
  <c r="Y32" i="1"/>
  <c r="Y33" i="1"/>
  <c r="Y35" i="1"/>
  <c r="Y37" i="1"/>
  <c r="Y42" i="1"/>
  <c r="Y43" i="1"/>
  <c r="Y49" i="1"/>
  <c r="Y50" i="1"/>
  <c r="L113" i="1"/>
  <c r="Y52" i="1"/>
  <c r="Y54" i="1"/>
  <c r="Y56" i="1"/>
  <c r="Y58" i="1"/>
  <c r="Y60" i="1"/>
  <c r="Y62" i="1"/>
  <c r="Y64" i="1"/>
  <c r="Y66" i="1"/>
  <c r="Y73" i="1"/>
  <c r="Y79" i="1"/>
  <c r="Y81" i="1"/>
  <c r="Y83" i="1"/>
  <c r="Y85" i="1"/>
  <c r="Y90" i="1"/>
  <c r="Y92" i="1"/>
  <c r="Y94" i="1"/>
  <c r="Y96" i="1"/>
  <c r="L97" i="1"/>
  <c r="Y99" i="1"/>
  <c r="Y101" i="1"/>
  <c r="Y103" i="1"/>
  <c r="Y105" i="1"/>
  <c r="Y107" i="1"/>
  <c r="Y114" i="1"/>
  <c r="L115" i="1"/>
  <c r="U52" i="1" l="1"/>
  <c r="T52" i="1" s="1"/>
  <c r="U96" i="1"/>
  <c r="T96" i="1" s="1"/>
  <c r="U49" i="1"/>
  <c r="T49" i="1" s="1"/>
  <c r="U70" i="1"/>
  <c r="T70" i="1" s="1"/>
  <c r="U22" i="1"/>
  <c r="T22" i="1" s="1"/>
  <c r="U75" i="1"/>
  <c r="T75" i="1" s="1"/>
  <c r="U86" i="1"/>
  <c r="T86" i="1" s="1"/>
  <c r="U87" i="1"/>
  <c r="T87" i="1" s="1"/>
  <c r="U84" i="1"/>
  <c r="T84" i="1" s="1"/>
  <c r="X102" i="1"/>
  <c r="X75" i="1"/>
  <c r="X56" i="1"/>
  <c r="X26" i="1"/>
  <c r="X86" i="1"/>
  <c r="X32" i="1"/>
  <c r="X87" i="1"/>
  <c r="X110" i="1"/>
  <c r="X68" i="1"/>
  <c r="X84" i="1"/>
  <c r="S5" i="1"/>
  <c r="X98" i="1"/>
  <c r="X64" i="1"/>
  <c r="X52" i="1"/>
  <c r="X109" i="1"/>
  <c r="X82" i="1"/>
  <c r="X54" i="1"/>
  <c r="X76" i="1"/>
  <c r="X96" i="1"/>
  <c r="X49" i="1"/>
  <c r="X70" i="1"/>
  <c r="X22" i="1"/>
  <c r="R5" i="1"/>
  <c r="L5" i="1"/>
  <c r="T5" i="1" l="1"/>
  <c r="U5" i="1"/>
  <c r="AK5" i="1"/>
</calcChain>
</file>

<file path=xl/sharedStrings.xml><?xml version="1.0" encoding="utf-8"?>
<sst xmlns="http://schemas.openxmlformats.org/spreadsheetml/2006/main" count="463" uniqueCount="200">
  <si>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</si>
  <si>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</si>
  <si>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</si>
  <si>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</si>
  <si>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</si>
  <si>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</si>
  <si>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</si>
  <si>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</si>
  <si>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</si>
  <si>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</si>
  <si>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</si>
  <si>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</si>
  <si>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</si>
  <si>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</si>
  <si>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</si>
  <si>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</si>
  <si>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</si>
  <si>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</si>
  <si>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</si>
  <si>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</si>
  <si>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</si>
  <si>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</si>
  <si>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</si>
  <si>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</si>
  <si>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</si>
  <si>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</si>
  <si>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</si>
  <si>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</si>
  <si>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</si>
  <si>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</si>
  <si>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</si>
  <si>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</si>
  <si>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</si>
  <si>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</si>
  <si>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</si>
  <si>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</si>
  <si>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</si>
  <si>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</si>
  <si>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</si>
  <si>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</si>
  <si>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</si>
  <si>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</si>
  <si>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</si>
  <si>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</si>
  <si>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</si>
  <si>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</si>
  <si>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</si>
  <si>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</si>
  <si>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</si>
  <si>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</si>
  <si>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</si>
  <si>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</si>
  <si>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</si>
  <si>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</si>
  <si>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</si>
  <si>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</si>
  <si>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</si>
  <si>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</si>
  <si>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</si>
  <si>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нужно увеличить продажи!!!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</si>
  <si>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</si>
  <si>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</si>
  <si>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</si>
  <si>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</si>
  <si>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</si>
  <si>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</si>
  <si>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</si>
  <si>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</si>
  <si>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</si>
  <si>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</si>
  <si>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</si>
  <si>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</si>
  <si>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</si>
  <si>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</si>
  <si>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</si>
  <si>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</si>
  <si>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</si>
  <si>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</si>
  <si>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</si>
  <si>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</si>
  <si>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</si>
  <si>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</si>
  <si>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</si>
  <si>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</si>
  <si>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</si>
  <si>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</si>
  <si>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 / товар под Карлова, Баранова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</si>
  <si>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</si>
  <si>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</si>
  <si>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</si>
  <si>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</si>
  <si>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</si>
  <si>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</si>
  <si>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</si>
  <si>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</si>
  <si>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</si>
  <si>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</si>
  <si>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</si>
  <si>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</si>
  <si>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</si>
  <si>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</si>
  <si>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</si>
  <si>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</si>
  <si>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</si>
  <si>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</si>
  <si>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</si>
  <si>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</si>
  <si>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</si>
  <si>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</si>
  <si>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</si>
  <si>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</si>
  <si>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</si>
  <si>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</si>
  <si>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</si>
  <si>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</si>
  <si>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</si>
  <si>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</si>
  <si>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</si>
  <si>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</si>
  <si>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</si>
  <si>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</si>
  <si>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</si>
  <si>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</si>
  <si>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</si>
  <si>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</si>
  <si>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</si>
  <si>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</si>
  <si>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  ОСТАНКИНО</t>
  </si>
  <si>
    <t>нужно увеличить продажи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</si>
  <si>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</si>
  <si>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</si>
  <si>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</si>
  <si>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</si>
  <si>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</si>
  <si>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</si>
  <si>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</si>
  <si>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</si>
  <si>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</si>
  <si>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</si>
  <si>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</si>
  <si>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</si>
  <si>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</si>
  <si>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</si>
  <si>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</si>
  <si>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</si>
  <si>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</si>
  <si>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</si>
  <si>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</si>
  <si>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</si>
  <si>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</si>
  <si>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</si>
  <si>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</si>
  <si>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</si>
  <si>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</si>
  <si>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</si>
  <si>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</si>
  <si>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</si>
  <si>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</si>
  <si>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</si>
  <si>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</si>
  <si>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</si>
  <si>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</si>
  <si>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</si>
  <si>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</si>
  <si>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</si>
  <si>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</si>
  <si>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</si>
  <si>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</si>
  <si>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</si>
  <si>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</si>
  <si>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</si>
  <si>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</si>
  <si>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</si>
  <si>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46шт в уценку (22,09,26) / 36шт в уценку (17,09,26) / 66шт в уценку (14,09,26) / новинка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</si>
  <si>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</si>
  <si>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</si>
  <si>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</si>
  <si>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7647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</si>
  <si>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</si>
  <si>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</si>
  <si>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19,08,26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</si>
  <si>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54кг в уценку (06,10,26)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</si>
  <si>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09,09,26</t>
    </r>
  </si>
  <si>
    <t>нужно увеличить продажи / 800шт отгрузка/ВОЗВРАТ ЮгТех (24/26,09,26)</t>
  </si>
  <si>
    <t>534кг в уценку (07,10,26)</t>
  </si>
  <si>
    <t>заказываем с 19,08,26</t>
  </si>
  <si>
    <t>7512 ЧАЙНАЯ Останкино вар н/о мгс 1*3</t>
  </si>
  <si>
    <t>6764 СЛИВОЧНЫЕ сос ц/о мгс 1*4</t>
  </si>
  <si>
    <t>7224 МЯСНЫЕ ПРЕМИУМ пельм кор.0.4кг зам. (7224)</t>
  </si>
  <si>
    <t>РАЗОВО</t>
  </si>
  <si>
    <t>ТК</t>
  </si>
  <si>
    <t>Титенок</t>
  </si>
  <si>
    <t>ТК ком</t>
  </si>
  <si>
    <t>итого</t>
  </si>
  <si>
    <t>600шт ЮгТех заказано (14,10,26)</t>
  </si>
  <si>
    <t>1100шт ЮгТех заказано (14,10,26)</t>
  </si>
  <si>
    <t>заказ</t>
  </si>
  <si>
    <t>18,10,</t>
  </si>
  <si>
    <t>19,10,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</si>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</sst>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6" fillId="6" borderId="1" xfId="1" applyNumberFormat="1" applyFont="1" applyFill="1"/>
    <xf numFmtId="164" fontId="7" fillId="4" borderId="1" xfId="1" applyNumberFormat="1" applyFont="1" applyFill="1"/>
    <xf numFmtId="164" fontId="4" fillId="4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,10,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11,10,</v>
          </cell>
          <cell r="P4" t="str">
            <v>12,10,</v>
          </cell>
          <cell r="Q4" t="str">
            <v>12,10,</v>
          </cell>
        </row>
        <row r="5">
          <cell r="E5">
            <v>18298.444</v>
          </cell>
          <cell r="F5">
            <v>20961.11</v>
          </cell>
          <cell r="K5">
            <v>21893.653999999999</v>
          </cell>
          <cell r="L5">
            <v>-3595.21</v>
          </cell>
          <cell r="M5">
            <v>16578.518000000004</v>
          </cell>
          <cell r="N5">
            <v>1719.9260000000002</v>
          </cell>
          <cell r="O5">
            <v>10250</v>
          </cell>
          <cell r="P5">
            <v>8153</v>
          </cell>
          <cell r="Q5">
            <v>3315.7036000000003</v>
          </cell>
          <cell r="R5">
            <v>15158.0846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10.877000000000001</v>
          </cell>
          <cell r="E6">
            <v>2.71</v>
          </cell>
          <cell r="F6">
            <v>8.1669999999999998</v>
          </cell>
          <cell r="G6">
            <v>1</v>
          </cell>
          <cell r="H6">
            <v>120</v>
          </cell>
          <cell r="I6" t="str">
            <v>матрица</v>
          </cell>
          <cell r="K6">
            <v>2.5499999999999998</v>
          </cell>
          <cell r="L6">
            <v>0.16000000000000014</v>
          </cell>
          <cell r="M6">
            <v>2.71</v>
          </cell>
          <cell r="O6">
            <v>11</v>
          </cell>
          <cell r="Q6">
            <v>0.54200000000000004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502</v>
          </cell>
          <cell r="D7">
            <v>23</v>
          </cell>
          <cell r="E7">
            <v>243</v>
          </cell>
          <cell r="F7">
            <v>244</v>
          </cell>
          <cell r="G7">
            <v>0.4</v>
          </cell>
          <cell r="H7">
            <v>60</v>
          </cell>
          <cell r="I7" t="str">
            <v>матрица</v>
          </cell>
          <cell r="K7">
            <v>316</v>
          </cell>
          <cell r="L7">
            <v>-73</v>
          </cell>
          <cell r="M7">
            <v>243</v>
          </cell>
          <cell r="O7">
            <v>130</v>
          </cell>
          <cell r="P7">
            <v>107</v>
          </cell>
          <cell r="Q7">
            <v>48.6</v>
          </cell>
          <cell r="R7">
            <v>248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9.4760000000000009</v>
          </cell>
          <cell r="D8">
            <v>8.0329999999999995</v>
          </cell>
          <cell r="E8">
            <v>6.95</v>
          </cell>
          <cell r="F8">
            <v>9.5649999999999995</v>
          </cell>
          <cell r="G8">
            <v>1</v>
          </cell>
          <cell r="H8">
            <v>120</v>
          </cell>
          <cell r="I8" t="str">
            <v>матрица</v>
          </cell>
          <cell r="K8">
            <v>6</v>
          </cell>
          <cell r="L8">
            <v>0.95000000000000018</v>
          </cell>
          <cell r="M8">
            <v>6.95</v>
          </cell>
          <cell r="O8">
            <v>7</v>
          </cell>
          <cell r="Q8">
            <v>1.3900000000000001</v>
          </cell>
          <cell r="R8">
            <v>4.2850000000000019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163</v>
          </cell>
          <cell r="D9">
            <v>264</v>
          </cell>
          <cell r="E9">
            <v>210</v>
          </cell>
          <cell r="F9">
            <v>196</v>
          </cell>
          <cell r="G9">
            <v>0.25</v>
          </cell>
          <cell r="H9">
            <v>120</v>
          </cell>
          <cell r="I9" t="str">
            <v>матрица</v>
          </cell>
          <cell r="K9">
            <v>218</v>
          </cell>
          <cell r="L9">
            <v>-8</v>
          </cell>
          <cell r="M9">
            <v>194</v>
          </cell>
          <cell r="N9">
            <v>16</v>
          </cell>
          <cell r="O9">
            <v>0</v>
          </cell>
          <cell r="Q9">
            <v>38.799999999999997</v>
          </cell>
          <cell r="R9">
            <v>386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716.99300000000005</v>
          </cell>
          <cell r="D10">
            <v>1139.655</v>
          </cell>
          <cell r="E10">
            <v>867.37800000000004</v>
          </cell>
          <cell r="F10">
            <v>925.40700000000004</v>
          </cell>
          <cell r="G10">
            <v>1</v>
          </cell>
          <cell r="H10">
            <v>60</v>
          </cell>
          <cell r="I10" t="str">
            <v>матрица</v>
          </cell>
          <cell r="K10">
            <v>938.49099999999999</v>
          </cell>
          <cell r="L10">
            <v>-71.112999999999943</v>
          </cell>
          <cell r="M10">
            <v>695.68700000000001</v>
          </cell>
          <cell r="N10">
            <v>171.691</v>
          </cell>
          <cell r="O10">
            <v>615</v>
          </cell>
          <cell r="P10">
            <v>503</v>
          </cell>
          <cell r="Q10">
            <v>139.13740000000001</v>
          </cell>
          <cell r="R10">
            <v>43.65400000000011</v>
          </cell>
          <cell r="S10" t="str">
            <v>400 под опт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49.966999999999999</v>
          </cell>
          <cell r="E11">
            <v>12.894</v>
          </cell>
          <cell r="F11">
            <v>33.613999999999997</v>
          </cell>
          <cell r="G11">
            <v>1</v>
          </cell>
          <cell r="H11">
            <v>120</v>
          </cell>
          <cell r="I11" t="str">
            <v>матрица</v>
          </cell>
          <cell r="K11">
            <v>12.5</v>
          </cell>
          <cell r="L11">
            <v>0.39400000000000013</v>
          </cell>
          <cell r="M11">
            <v>12.894</v>
          </cell>
          <cell r="O11">
            <v>0</v>
          </cell>
          <cell r="Q11">
            <v>2.5788000000000002</v>
          </cell>
          <cell r="R11">
            <v>5.0680000000000049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143.79499999999999</v>
          </cell>
          <cell r="D12">
            <v>95.74</v>
          </cell>
          <cell r="E12">
            <v>118.996</v>
          </cell>
          <cell r="F12">
            <v>110.15300000000001</v>
          </cell>
          <cell r="G12">
            <v>1</v>
          </cell>
          <cell r="H12">
            <v>60</v>
          </cell>
          <cell r="I12" t="str">
            <v>матрица</v>
          </cell>
          <cell r="K12">
            <v>134.20400000000001</v>
          </cell>
          <cell r="L12">
            <v>-15.208000000000013</v>
          </cell>
          <cell r="M12">
            <v>98.691999999999993</v>
          </cell>
          <cell r="N12">
            <v>20.303999999999998</v>
          </cell>
          <cell r="O12">
            <v>92</v>
          </cell>
          <cell r="P12">
            <v>76</v>
          </cell>
          <cell r="Q12">
            <v>19.738399999999999</v>
          </cell>
          <cell r="R12">
            <v>17.922999999999959</v>
          </cell>
          <cell r="S12" t="str">
            <v>60 под опт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455.42399999999998</v>
          </cell>
          <cell r="D13">
            <v>605.38900000000001</v>
          </cell>
          <cell r="E13">
            <v>396.24900000000002</v>
          </cell>
          <cell r="F13">
            <v>598.68600000000004</v>
          </cell>
          <cell r="G13">
            <v>1</v>
          </cell>
          <cell r="H13">
            <v>60</v>
          </cell>
          <cell r="I13" t="str">
            <v>матрица</v>
          </cell>
          <cell r="K13">
            <v>461.31200000000001</v>
          </cell>
          <cell r="L13">
            <v>-65.062999999999988</v>
          </cell>
          <cell r="M13">
            <v>355.73700000000002</v>
          </cell>
          <cell r="N13">
            <v>40.512</v>
          </cell>
          <cell r="O13">
            <v>133</v>
          </cell>
          <cell r="P13">
            <v>108</v>
          </cell>
          <cell r="Q13">
            <v>71.147400000000005</v>
          </cell>
          <cell r="R13">
            <v>227.52499999999998</v>
          </cell>
          <cell r="S13" t="str">
            <v>450 под опт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10</v>
          </cell>
          <cell r="D14">
            <v>3</v>
          </cell>
          <cell r="E14">
            <v>10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107</v>
          </cell>
          <cell r="L14">
            <v>-97</v>
          </cell>
          <cell r="M14">
            <v>10</v>
          </cell>
          <cell r="O14">
            <v>49</v>
          </cell>
          <cell r="P14">
            <v>41</v>
          </cell>
          <cell r="Q14">
            <v>2</v>
          </cell>
          <cell r="R14">
            <v>100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118.735</v>
          </cell>
          <cell r="D15">
            <v>28.768000000000001</v>
          </cell>
          <cell r="E15">
            <v>64.186999999999998</v>
          </cell>
          <cell r="F15">
            <v>79.206999999999994</v>
          </cell>
          <cell r="G15">
            <v>1</v>
          </cell>
          <cell r="H15">
            <v>60</v>
          </cell>
          <cell r="I15" t="str">
            <v>матрица</v>
          </cell>
          <cell r="K15">
            <v>68.099999999999994</v>
          </cell>
          <cell r="L15">
            <v>-3.9129999999999967</v>
          </cell>
          <cell r="M15">
            <v>64.186999999999998</v>
          </cell>
          <cell r="O15">
            <v>0</v>
          </cell>
          <cell r="Q15">
            <v>12.837399999999999</v>
          </cell>
          <cell r="R15">
            <v>113.35399999999998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196</v>
          </cell>
          <cell r="D16">
            <v>16</v>
          </cell>
          <cell r="E16">
            <v>55</v>
          </cell>
          <cell r="F16">
            <v>153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60</v>
          </cell>
          <cell r="L16">
            <v>-5</v>
          </cell>
          <cell r="M16">
            <v>39</v>
          </cell>
          <cell r="N16">
            <v>16</v>
          </cell>
          <cell r="O16">
            <v>35</v>
          </cell>
          <cell r="Q16">
            <v>7.8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835</v>
          </cell>
          <cell r="D17">
            <v>202</v>
          </cell>
          <cell r="E17">
            <v>197</v>
          </cell>
          <cell r="F17">
            <v>818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384</v>
          </cell>
          <cell r="L17">
            <v>-187</v>
          </cell>
          <cell r="M17">
            <v>137</v>
          </cell>
          <cell r="N17">
            <v>60</v>
          </cell>
          <cell r="O17">
            <v>0</v>
          </cell>
          <cell r="Q17">
            <v>27.4</v>
          </cell>
          <cell r="S17" t="str">
            <v>100 под опт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429.762</v>
          </cell>
          <cell r="D18">
            <v>507.56</v>
          </cell>
          <cell r="E18">
            <v>346.18799999999999</v>
          </cell>
          <cell r="F18">
            <v>430.755</v>
          </cell>
          <cell r="G18">
            <v>1</v>
          </cell>
          <cell r="H18">
            <v>45</v>
          </cell>
          <cell r="I18" t="str">
            <v>матрица</v>
          </cell>
          <cell r="K18">
            <v>365.59</v>
          </cell>
          <cell r="L18">
            <v>-19.401999999999987</v>
          </cell>
          <cell r="M18">
            <v>295.89799999999997</v>
          </cell>
          <cell r="N18">
            <v>50.29</v>
          </cell>
          <cell r="O18">
            <v>359</v>
          </cell>
          <cell r="P18">
            <v>293</v>
          </cell>
          <cell r="Q18">
            <v>59.179599999999994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20.981000000000002</v>
          </cell>
          <cell r="E19">
            <v>18.971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18.5</v>
          </cell>
          <cell r="L19">
            <v>0.47100000000000009</v>
          </cell>
          <cell r="M19">
            <v>18.971</v>
          </cell>
          <cell r="O19">
            <v>18</v>
          </cell>
          <cell r="Q19">
            <v>3.7942</v>
          </cell>
          <cell r="R19">
            <v>38.912999999999997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264</v>
          </cell>
          <cell r="D20">
            <v>257</v>
          </cell>
          <cell r="E20">
            <v>263</v>
          </cell>
          <cell r="F20">
            <v>249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275</v>
          </cell>
          <cell r="L20">
            <v>-12</v>
          </cell>
          <cell r="M20">
            <v>263</v>
          </cell>
          <cell r="O20">
            <v>378</v>
          </cell>
          <cell r="P20">
            <v>309</v>
          </cell>
          <cell r="Q20">
            <v>52.6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144.60400000000001</v>
          </cell>
          <cell r="D21">
            <v>393.589</v>
          </cell>
          <cell r="E21">
            <v>212.73</v>
          </cell>
          <cell r="F21">
            <v>302.87200000000001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240.57599999999999</v>
          </cell>
          <cell r="L21">
            <v>-27.846000000000004</v>
          </cell>
          <cell r="M21">
            <v>172.25399999999999</v>
          </cell>
          <cell r="N21">
            <v>40.475999999999999</v>
          </cell>
          <cell r="O21">
            <v>165</v>
          </cell>
          <cell r="P21">
            <v>135</v>
          </cell>
          <cell r="Q21">
            <v>34.450800000000001</v>
          </cell>
          <cell r="S21" t="str">
            <v>60 под опт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105</v>
          </cell>
          <cell r="D22">
            <v>1</v>
          </cell>
          <cell r="E22">
            <v>64</v>
          </cell>
          <cell r="F22">
            <v>41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157</v>
          </cell>
          <cell r="L22">
            <v>-93</v>
          </cell>
          <cell r="M22">
            <v>64</v>
          </cell>
          <cell r="O22">
            <v>0</v>
          </cell>
          <cell r="Q22">
            <v>12.8</v>
          </cell>
          <cell r="R22">
            <v>125.4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29.206</v>
          </cell>
          <cell r="D23">
            <v>29.03</v>
          </cell>
          <cell r="E23">
            <v>9.6750000000000007</v>
          </cell>
          <cell r="F23">
            <v>34.86</v>
          </cell>
          <cell r="G23">
            <v>1</v>
          </cell>
          <cell r="H23">
            <v>40</v>
          </cell>
          <cell r="I23" t="str">
            <v>матрица</v>
          </cell>
          <cell r="K23">
            <v>14.7</v>
          </cell>
          <cell r="L23">
            <v>-5.0249999999999986</v>
          </cell>
          <cell r="M23">
            <v>9.6750000000000007</v>
          </cell>
          <cell r="O23">
            <v>0</v>
          </cell>
          <cell r="Q23">
            <v>1.9350000000000001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D24">
            <v>12</v>
          </cell>
          <cell r="E24">
            <v>8</v>
          </cell>
          <cell r="F24">
            <v>2</v>
          </cell>
          <cell r="G24">
            <v>0</v>
          </cell>
          <cell r="I24" t="str">
            <v>не в матрице</v>
          </cell>
          <cell r="K24">
            <v>17</v>
          </cell>
          <cell r="L24">
            <v>-9</v>
          </cell>
          <cell r="M24">
            <v>-2</v>
          </cell>
          <cell r="N24">
            <v>10</v>
          </cell>
          <cell r="Q24">
            <v>-0.4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507.36200000000002</v>
          </cell>
          <cell r="D25">
            <v>149.327</v>
          </cell>
          <cell r="E25">
            <v>283.27199999999999</v>
          </cell>
          <cell r="F25">
            <v>357.10599999999999</v>
          </cell>
          <cell r="G25">
            <v>1</v>
          </cell>
          <cell r="H25">
            <v>60</v>
          </cell>
          <cell r="I25" t="str">
            <v>матрица</v>
          </cell>
          <cell r="K25">
            <v>299.88900000000001</v>
          </cell>
          <cell r="L25">
            <v>-16.617000000000019</v>
          </cell>
          <cell r="M25">
            <v>242.583</v>
          </cell>
          <cell r="N25">
            <v>40.689</v>
          </cell>
          <cell r="O25">
            <v>252</v>
          </cell>
          <cell r="P25">
            <v>207</v>
          </cell>
          <cell r="Q25">
            <v>48.516599999999997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567</v>
          </cell>
          <cell r="D26">
            <v>468</v>
          </cell>
          <cell r="E26">
            <v>372</v>
          </cell>
          <cell r="F26">
            <v>639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388</v>
          </cell>
          <cell r="L26">
            <v>-16</v>
          </cell>
          <cell r="M26">
            <v>352</v>
          </cell>
          <cell r="N26">
            <v>20</v>
          </cell>
          <cell r="O26">
            <v>0</v>
          </cell>
          <cell r="Q26">
            <v>70.400000000000006</v>
          </cell>
          <cell r="R26">
            <v>417</v>
          </cell>
          <cell r="S26" t="str">
            <v>1017шт(600шт под листовку ЮгТех)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122</v>
          </cell>
          <cell r="D27">
            <v>56</v>
          </cell>
          <cell r="E27">
            <v>120</v>
          </cell>
          <cell r="F27">
            <v>48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132</v>
          </cell>
          <cell r="L27">
            <v>-12</v>
          </cell>
          <cell r="M27">
            <v>110</v>
          </cell>
          <cell r="N27">
            <v>10</v>
          </cell>
          <cell r="O27">
            <v>159</v>
          </cell>
          <cell r="P27">
            <v>131</v>
          </cell>
          <cell r="Q27">
            <v>22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63</v>
          </cell>
          <cell r="D28">
            <v>25</v>
          </cell>
          <cell r="E28">
            <v>87</v>
          </cell>
          <cell r="F28">
            <v>1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185</v>
          </cell>
          <cell r="L28">
            <v>-98</v>
          </cell>
          <cell r="M28">
            <v>63</v>
          </cell>
          <cell r="N28">
            <v>24</v>
          </cell>
          <cell r="O28">
            <v>107</v>
          </cell>
          <cell r="P28">
            <v>88</v>
          </cell>
          <cell r="Q28">
            <v>12.6</v>
          </cell>
          <cell r="R28">
            <v>30</v>
          </cell>
          <cell r="S28">
            <v>70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531.62900000000002</v>
          </cell>
          <cell r="D29">
            <v>230.91</v>
          </cell>
          <cell r="E29">
            <v>259.51600000000002</v>
          </cell>
          <cell r="F29">
            <v>-36.497</v>
          </cell>
          <cell r="G29">
            <v>1</v>
          </cell>
          <cell r="H29">
            <v>45</v>
          </cell>
          <cell r="I29" t="str">
            <v>матрица</v>
          </cell>
          <cell r="K29">
            <v>276.31200000000001</v>
          </cell>
          <cell r="L29">
            <v>-16.795999999999992</v>
          </cell>
          <cell r="M29">
            <v>180.90400000000002</v>
          </cell>
          <cell r="N29">
            <v>78.611999999999995</v>
          </cell>
          <cell r="O29">
            <v>39</v>
          </cell>
          <cell r="Q29">
            <v>36.180800000000005</v>
          </cell>
          <cell r="R29">
            <v>359.30500000000006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54</v>
          </cell>
          <cell r="D30">
            <v>82</v>
          </cell>
          <cell r="E30">
            <v>74</v>
          </cell>
          <cell r="F30">
            <v>46</v>
          </cell>
          <cell r="G30">
            <v>0.4</v>
          </cell>
          <cell r="H30">
            <v>60</v>
          </cell>
          <cell r="I30" t="str">
            <v>матрица</v>
          </cell>
          <cell r="K30">
            <v>88</v>
          </cell>
          <cell r="L30">
            <v>-14</v>
          </cell>
          <cell r="M30">
            <v>74</v>
          </cell>
          <cell r="O30">
            <v>54</v>
          </cell>
          <cell r="P30">
            <v>44</v>
          </cell>
          <cell r="Q30">
            <v>14.8</v>
          </cell>
          <cell r="R30">
            <v>78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873</v>
          </cell>
          <cell r="D31">
            <v>850</v>
          </cell>
          <cell r="E31">
            <v>822</v>
          </cell>
          <cell r="F31">
            <v>875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1307</v>
          </cell>
          <cell r="L31">
            <v>-485</v>
          </cell>
          <cell r="M31">
            <v>822</v>
          </cell>
          <cell r="O31">
            <v>605</v>
          </cell>
          <cell r="P31">
            <v>495</v>
          </cell>
          <cell r="Q31">
            <v>164.4</v>
          </cell>
          <cell r="R31">
            <v>162.20000000000027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990</v>
          </cell>
          <cell r="D32">
            <v>413</v>
          </cell>
          <cell r="E32">
            <v>650</v>
          </cell>
          <cell r="F32">
            <v>717</v>
          </cell>
          <cell r="G32">
            <v>0.4</v>
          </cell>
          <cell r="H32">
            <v>60</v>
          </cell>
          <cell r="I32" t="str">
            <v>матрица</v>
          </cell>
          <cell r="K32">
            <v>697</v>
          </cell>
          <cell r="L32">
            <v>-47</v>
          </cell>
          <cell r="M32">
            <v>618</v>
          </cell>
          <cell r="N32">
            <v>32</v>
          </cell>
          <cell r="O32">
            <v>245</v>
          </cell>
          <cell r="P32">
            <v>200</v>
          </cell>
          <cell r="Q32">
            <v>123.6</v>
          </cell>
          <cell r="R32">
            <v>692</v>
          </cell>
          <cell r="S32" t="str">
            <v>740 под опт</v>
          </cell>
        </row>
        <row r="33">
          <cell r="A33" t="str">
            <v>6411 ВЕТЧ.РУБЛЕНАЯ ПМ в/у срез 0.3кг 6шт.  ОСТАНКИНО</v>
          </cell>
          <cell r="B33" t="str">
            <v>шт</v>
          </cell>
          <cell r="C33">
            <v>12</v>
          </cell>
          <cell r="F33">
            <v>12</v>
          </cell>
          <cell r="G33">
            <v>0</v>
          </cell>
          <cell r="H33">
            <v>45</v>
          </cell>
          <cell r="I33" t="str">
            <v>вывод</v>
          </cell>
          <cell r="L33">
            <v>0</v>
          </cell>
          <cell r="M33">
            <v>0</v>
          </cell>
          <cell r="O33">
            <v>0</v>
          </cell>
          <cell r="Q33">
            <v>0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22</v>
          </cell>
          <cell r="F34">
            <v>22</v>
          </cell>
          <cell r="G34">
            <v>0</v>
          </cell>
          <cell r="I34" t="str">
            <v>не в матрице</v>
          </cell>
          <cell r="L34">
            <v>0</v>
          </cell>
          <cell r="M34">
            <v>0</v>
          </cell>
          <cell r="O34">
            <v>0</v>
          </cell>
          <cell r="Q34">
            <v>0</v>
          </cell>
        </row>
        <row r="35">
          <cell r="A35" t="str">
            <v>6459 СЕРВЕЛАТ ШВЕЙЦАРСК. в/к с/н в/у 1/100*10  Останкино</v>
          </cell>
          <cell r="B35" t="str">
            <v>шт</v>
          </cell>
          <cell r="C35">
            <v>10</v>
          </cell>
          <cell r="F35">
            <v>10</v>
          </cell>
          <cell r="G35">
            <v>0</v>
          </cell>
          <cell r="I35" t="str">
            <v>не в матрице</v>
          </cell>
          <cell r="L35">
            <v>0</v>
          </cell>
          <cell r="M35">
            <v>0</v>
          </cell>
          <cell r="O35">
            <v>0</v>
          </cell>
          <cell r="Q35">
            <v>0</v>
          </cell>
        </row>
        <row r="36">
          <cell r="A36" t="str">
            <v>6475 Сосиски Папа может 400г С сыром  ОСТАНКИНО</v>
          </cell>
          <cell r="B36" t="str">
            <v>шт</v>
          </cell>
          <cell r="C36">
            <v>18</v>
          </cell>
          <cell r="F36">
            <v>18</v>
          </cell>
          <cell r="G36">
            <v>0</v>
          </cell>
          <cell r="I36" t="str">
            <v>не в матрице</v>
          </cell>
          <cell r="K36">
            <v>79</v>
          </cell>
          <cell r="L36">
            <v>-79</v>
          </cell>
          <cell r="M36">
            <v>0</v>
          </cell>
          <cell r="O36">
            <v>0</v>
          </cell>
          <cell r="Q36">
            <v>0</v>
          </cell>
        </row>
        <row r="37">
          <cell r="A37" t="str">
            <v>6495 ВЕТЧ.МРАМОРНАЯ в/у срез 0,3кг 6шт_45с  Останкино</v>
          </cell>
          <cell r="B37" t="str">
            <v>шт</v>
          </cell>
          <cell r="C37">
            <v>88</v>
          </cell>
          <cell r="D37">
            <v>4</v>
          </cell>
          <cell r="E37">
            <v>48</v>
          </cell>
          <cell r="F37">
            <v>8</v>
          </cell>
          <cell r="G37">
            <v>0</v>
          </cell>
          <cell r="H37">
            <v>45</v>
          </cell>
          <cell r="I37" t="str">
            <v>вывод</v>
          </cell>
          <cell r="J37" t="str">
            <v>7725 ВЕТ.МРАМОРНАЯ в/у срез 0.3кг 6шт_62  ОСТАНКИНО</v>
          </cell>
          <cell r="K37">
            <v>147</v>
          </cell>
          <cell r="L37">
            <v>-99</v>
          </cell>
          <cell r="M37">
            <v>48</v>
          </cell>
          <cell r="O37">
            <v>40</v>
          </cell>
          <cell r="Q37">
            <v>9.6</v>
          </cell>
        </row>
        <row r="38">
          <cell r="A38" t="str">
            <v>6498 МОЛОЧНАЯ Папа может вар п/о  ОСТАНКИНО</v>
          </cell>
          <cell r="B38" t="str">
            <v>кг</v>
          </cell>
          <cell r="C38">
            <v>95.617000000000004</v>
          </cell>
          <cell r="D38">
            <v>219.51900000000001</v>
          </cell>
          <cell r="E38">
            <v>98.49</v>
          </cell>
          <cell r="F38">
            <v>216.64599999999999</v>
          </cell>
          <cell r="G38">
            <v>1</v>
          </cell>
          <cell r="H38">
            <v>60</v>
          </cell>
          <cell r="I38" t="str">
            <v>матрица</v>
          </cell>
          <cell r="K38">
            <v>107.483</v>
          </cell>
          <cell r="L38">
            <v>-8.9930000000000092</v>
          </cell>
          <cell r="M38">
            <v>70.506999999999991</v>
          </cell>
          <cell r="N38">
            <v>27.983000000000001</v>
          </cell>
          <cell r="O38">
            <v>66</v>
          </cell>
          <cell r="P38">
            <v>54</v>
          </cell>
          <cell r="Q38">
            <v>14.101399999999998</v>
          </cell>
        </row>
        <row r="39">
          <cell r="A39" t="str">
            <v>6527 ШПИКАЧКИ СОЧНЫЕ ПМ сар б/о мгс 1*3 45с ОСТАНКИНО</v>
          </cell>
          <cell r="B39" t="str">
            <v>кг</v>
          </cell>
          <cell r="C39">
            <v>99.981999999999999</v>
          </cell>
          <cell r="D39">
            <v>3.1440000000000001</v>
          </cell>
          <cell r="E39">
            <v>47.646000000000001</v>
          </cell>
          <cell r="F39">
            <v>49.207000000000001</v>
          </cell>
          <cell r="G39">
            <v>1</v>
          </cell>
          <cell r="H39">
            <v>45</v>
          </cell>
          <cell r="I39" t="str">
            <v>матрица</v>
          </cell>
          <cell r="K39">
            <v>57.8</v>
          </cell>
          <cell r="L39">
            <v>-10.153999999999996</v>
          </cell>
          <cell r="M39">
            <v>47.646000000000001</v>
          </cell>
          <cell r="O39">
            <v>14</v>
          </cell>
          <cell r="Q39">
            <v>9.5291999999999994</v>
          </cell>
          <cell r="R39">
            <v>79.730999999999995</v>
          </cell>
        </row>
        <row r="40">
          <cell r="A40" t="str">
            <v>6550 МЯСНЫЕ Папа может сар б/о мгс 1*3 О 45с  Останкино</v>
          </cell>
          <cell r="B40" t="str">
            <v>кг</v>
          </cell>
          <cell r="C40">
            <v>10.212</v>
          </cell>
          <cell r="D40">
            <v>182.22800000000001</v>
          </cell>
          <cell r="E40">
            <v>55.750999999999998</v>
          </cell>
          <cell r="F40">
            <v>127.65600000000001</v>
          </cell>
          <cell r="G40">
            <v>1</v>
          </cell>
          <cell r="H40">
            <v>45</v>
          </cell>
          <cell r="I40" t="str">
            <v>матрица</v>
          </cell>
          <cell r="K40">
            <v>86.787000000000006</v>
          </cell>
          <cell r="L40">
            <v>-31.036000000000008</v>
          </cell>
          <cell r="M40">
            <v>40.064</v>
          </cell>
          <cell r="N40">
            <v>15.686999999999999</v>
          </cell>
          <cell r="O40">
            <v>40</v>
          </cell>
          <cell r="Q40">
            <v>8.0128000000000004</v>
          </cell>
          <cell r="S40">
            <v>20</v>
          </cell>
        </row>
        <row r="41">
          <cell r="A41" t="str">
            <v>6602 БАВАРСКИЕ ПМ сос ц/о мгс 0,35кг 8шт  Останкино</v>
          </cell>
          <cell r="B41" t="str">
            <v>шт</v>
          </cell>
          <cell r="C41">
            <v>60</v>
          </cell>
          <cell r="D41">
            <v>499</v>
          </cell>
          <cell r="E41">
            <v>33</v>
          </cell>
          <cell r="F41">
            <v>482</v>
          </cell>
          <cell r="G41">
            <v>0</v>
          </cell>
          <cell r="I41" t="str">
            <v>не в матрице</v>
          </cell>
          <cell r="K41">
            <v>54</v>
          </cell>
          <cell r="L41">
            <v>-21</v>
          </cell>
          <cell r="M41">
            <v>33</v>
          </cell>
          <cell r="O41">
            <v>0</v>
          </cell>
          <cell r="Q41">
            <v>6.6</v>
          </cell>
        </row>
        <row r="42">
          <cell r="A42" t="str">
            <v>6608 С ГОВЯДИНОЙ ОРИГИН. сар б/о мгс 1*3_45с  ОСТАНКИНО</v>
          </cell>
          <cell r="B42" t="str">
            <v>кг</v>
          </cell>
          <cell r="C42">
            <v>157.54599999999999</v>
          </cell>
          <cell r="D42">
            <v>41.232999999999997</v>
          </cell>
          <cell r="E42">
            <v>94.468000000000004</v>
          </cell>
          <cell r="F42">
            <v>86.903000000000006</v>
          </cell>
          <cell r="G42">
            <v>1</v>
          </cell>
          <cell r="H42">
            <v>45</v>
          </cell>
          <cell r="I42" t="str">
            <v>матрица</v>
          </cell>
          <cell r="K42">
            <v>113.59699999999999</v>
          </cell>
          <cell r="L42">
            <v>-19.128999999999991</v>
          </cell>
          <cell r="M42">
            <v>79.070999999999998</v>
          </cell>
          <cell r="N42">
            <v>15.397</v>
          </cell>
          <cell r="O42">
            <v>93</v>
          </cell>
          <cell r="P42">
            <v>77</v>
          </cell>
          <cell r="Q42">
            <v>15.8142</v>
          </cell>
          <cell r="S42">
            <v>30</v>
          </cell>
        </row>
        <row r="43">
          <cell r="A43" t="str">
            <v>6609 С ГОВЯДИНОЙ ПМ сар б/о мгс 0,4 кг_45с</v>
          </cell>
          <cell r="B43" t="str">
            <v>шт</v>
          </cell>
          <cell r="D43">
            <v>30</v>
          </cell>
          <cell r="E43">
            <v>30</v>
          </cell>
          <cell r="G43">
            <v>0</v>
          </cell>
          <cell r="I43" t="str">
            <v>не в матрице</v>
          </cell>
          <cell r="K43">
            <v>30</v>
          </cell>
          <cell r="L43">
            <v>0</v>
          </cell>
          <cell r="M43">
            <v>0</v>
          </cell>
          <cell r="N43">
            <v>30</v>
          </cell>
          <cell r="Q43">
            <v>0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298</v>
          </cell>
          <cell r="D44">
            <v>553</v>
          </cell>
          <cell r="E44">
            <v>378</v>
          </cell>
          <cell r="F44">
            <v>444</v>
          </cell>
          <cell r="G44">
            <v>0.3</v>
          </cell>
          <cell r="H44">
            <v>45</v>
          </cell>
          <cell r="I44" t="str">
            <v>матрица</v>
          </cell>
          <cell r="K44">
            <v>425</v>
          </cell>
          <cell r="L44">
            <v>-47</v>
          </cell>
          <cell r="M44">
            <v>378</v>
          </cell>
          <cell r="O44">
            <v>132</v>
          </cell>
          <cell r="P44">
            <v>108</v>
          </cell>
          <cell r="Q44">
            <v>75.599999999999994</v>
          </cell>
          <cell r="R44">
            <v>450</v>
          </cell>
          <cell r="S44">
            <v>480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57.34</v>
          </cell>
          <cell r="D45">
            <v>95.97</v>
          </cell>
          <cell r="E45">
            <v>13.71</v>
          </cell>
          <cell r="F45">
            <v>136.202</v>
          </cell>
          <cell r="G45">
            <v>1</v>
          </cell>
          <cell r="H45">
            <v>30</v>
          </cell>
          <cell r="I45" t="str">
            <v>матрица</v>
          </cell>
          <cell r="K45">
            <v>15.138</v>
          </cell>
          <cell r="L45">
            <v>-1.427999999999999</v>
          </cell>
          <cell r="M45">
            <v>13.71</v>
          </cell>
          <cell r="O45">
            <v>0</v>
          </cell>
          <cell r="Q45">
            <v>2.742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6.125</v>
          </cell>
          <cell r="E46">
            <v>1.534</v>
          </cell>
          <cell r="F46">
            <v>4.5910000000000002</v>
          </cell>
          <cell r="G46">
            <v>1</v>
          </cell>
          <cell r="H46">
            <v>45</v>
          </cell>
          <cell r="I46" t="str">
            <v>матрица</v>
          </cell>
          <cell r="K46">
            <v>1.5</v>
          </cell>
          <cell r="L46">
            <v>3.400000000000003E-2</v>
          </cell>
          <cell r="M46">
            <v>1.534</v>
          </cell>
          <cell r="O46">
            <v>11</v>
          </cell>
          <cell r="Q46">
            <v>0.30680000000000002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1012</v>
          </cell>
          <cell r="D47">
            <v>981</v>
          </cell>
          <cell r="E47">
            <v>1159</v>
          </cell>
          <cell r="F47">
            <v>775</v>
          </cell>
          <cell r="G47">
            <v>0.35</v>
          </cell>
          <cell r="H47">
            <v>45</v>
          </cell>
          <cell r="I47" t="str">
            <v>матрица</v>
          </cell>
          <cell r="K47">
            <v>1244</v>
          </cell>
          <cell r="L47">
            <v>-85</v>
          </cell>
          <cell r="M47">
            <v>1079</v>
          </cell>
          <cell r="N47">
            <v>80</v>
          </cell>
          <cell r="O47">
            <v>661</v>
          </cell>
          <cell r="P47">
            <v>541</v>
          </cell>
          <cell r="Q47">
            <v>215.8</v>
          </cell>
          <cell r="R47">
            <v>1260</v>
          </cell>
          <cell r="S47">
            <v>1300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68</v>
          </cell>
          <cell r="D48">
            <v>16</v>
          </cell>
          <cell r="E48">
            <v>22</v>
          </cell>
          <cell r="F48">
            <v>1</v>
          </cell>
          <cell r="G48">
            <v>0</v>
          </cell>
          <cell r="H48">
            <v>45</v>
          </cell>
          <cell r="I48" t="str">
            <v>вывод</v>
          </cell>
          <cell r="J48" t="str">
            <v>7490 СОЧНЫЙ ГРИЛЬ сос ц/о мгс 0.41кг_Даблпак  ОСТАНКИНО</v>
          </cell>
          <cell r="K48">
            <v>262</v>
          </cell>
          <cell r="L48">
            <v>-240</v>
          </cell>
          <cell r="M48">
            <v>22</v>
          </cell>
          <cell r="O48">
            <v>68</v>
          </cell>
          <cell r="P48">
            <v>56</v>
          </cell>
          <cell r="Q48">
            <v>4.4000000000000004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118</v>
          </cell>
          <cell r="D49">
            <v>72</v>
          </cell>
          <cell r="E49">
            <v>88</v>
          </cell>
          <cell r="F49">
            <v>96</v>
          </cell>
          <cell r="G49">
            <v>0.41</v>
          </cell>
          <cell r="H49">
            <v>45</v>
          </cell>
          <cell r="I49" t="str">
            <v>матрица</v>
          </cell>
          <cell r="K49">
            <v>104</v>
          </cell>
          <cell r="L49">
            <v>-16</v>
          </cell>
          <cell r="M49">
            <v>88</v>
          </cell>
          <cell r="O49">
            <v>0</v>
          </cell>
          <cell r="Q49">
            <v>17.600000000000001</v>
          </cell>
          <cell r="R49">
            <v>168</v>
          </cell>
        </row>
        <row r="50">
          <cell r="A50" t="str">
            <v>6754 БАЛЫК И ШЕЙКА с/в с/н мгс 1/90 8 шт ОСТАНКИНО</v>
          </cell>
          <cell r="B50" t="str">
            <v>шт</v>
          </cell>
          <cell r="D50">
            <v>16</v>
          </cell>
          <cell r="E50">
            <v>16</v>
          </cell>
          <cell r="G50">
            <v>0</v>
          </cell>
          <cell r="I50" t="str">
            <v>не в матрице</v>
          </cell>
          <cell r="K50">
            <v>16</v>
          </cell>
          <cell r="L50">
            <v>0</v>
          </cell>
          <cell r="M50">
            <v>0</v>
          </cell>
          <cell r="N50">
            <v>16</v>
          </cell>
          <cell r="Q50">
            <v>0</v>
          </cell>
        </row>
        <row r="51">
          <cell r="A51" t="str">
            <v>6765 РУБЛЕНЫЕ сос ц/о мгс 0,36кг 6шт  Останкино</v>
          </cell>
          <cell r="B51" t="str">
            <v>шт</v>
          </cell>
          <cell r="C51">
            <v>265</v>
          </cell>
          <cell r="D51">
            <v>69</v>
          </cell>
          <cell r="E51">
            <v>138</v>
          </cell>
          <cell r="F51">
            <v>186</v>
          </cell>
          <cell r="G51">
            <v>0.36</v>
          </cell>
          <cell r="H51">
            <v>45</v>
          </cell>
          <cell r="I51" t="str">
            <v>матрица</v>
          </cell>
          <cell r="K51">
            <v>281</v>
          </cell>
          <cell r="L51">
            <v>-143</v>
          </cell>
          <cell r="M51">
            <v>138</v>
          </cell>
          <cell r="O51">
            <v>0</v>
          </cell>
          <cell r="Q51">
            <v>27.6</v>
          </cell>
          <cell r="R51">
            <v>228</v>
          </cell>
        </row>
        <row r="52">
          <cell r="A52" t="str">
            <v>6787 СЕРВЕЛАТ КРЕМЛЕВСКИЙ в/к в/у 0,33кг 8шт  Останкино</v>
          </cell>
          <cell r="B52" t="str">
            <v>шт</v>
          </cell>
          <cell r="C52">
            <v>273</v>
          </cell>
          <cell r="D52">
            <v>112</v>
          </cell>
          <cell r="E52">
            <v>285</v>
          </cell>
          <cell r="F52">
            <v>94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329</v>
          </cell>
          <cell r="L52">
            <v>-44</v>
          </cell>
          <cell r="M52">
            <v>285</v>
          </cell>
          <cell r="O52">
            <v>158</v>
          </cell>
          <cell r="P52">
            <v>129</v>
          </cell>
          <cell r="Q52">
            <v>57</v>
          </cell>
          <cell r="R52">
            <v>474</v>
          </cell>
        </row>
        <row r="53">
          <cell r="A53" t="str">
            <v>6797 С ИНДЕЙКОЙ Папа может вар п/о 0,4кг 8шт. ОСТАНКИНО</v>
          </cell>
          <cell r="B53" t="str">
            <v>шт</v>
          </cell>
          <cell r="C53">
            <v>-12</v>
          </cell>
          <cell r="D53">
            <v>36</v>
          </cell>
          <cell r="E53">
            <v>27</v>
          </cell>
          <cell r="F53">
            <v>-8</v>
          </cell>
          <cell r="G53">
            <v>0.4</v>
          </cell>
          <cell r="H53">
            <v>60</v>
          </cell>
          <cell r="I53" t="str">
            <v>матрица</v>
          </cell>
          <cell r="K53">
            <v>182</v>
          </cell>
          <cell r="L53">
            <v>-155</v>
          </cell>
          <cell r="M53">
            <v>-5</v>
          </cell>
          <cell r="N53">
            <v>32</v>
          </cell>
          <cell r="O53">
            <v>66</v>
          </cell>
          <cell r="P53">
            <v>54</v>
          </cell>
          <cell r="Q53">
            <v>-1</v>
          </cell>
          <cell r="R53">
            <v>150</v>
          </cell>
        </row>
        <row r="54">
          <cell r="A54" t="str">
            <v>6807 СЕРВЕЛАТ ЕВРОПЕЙСКИЙ в/к в/у 0,33кг 8шт  Останкино</v>
          </cell>
          <cell r="B54" t="str">
            <v>шт</v>
          </cell>
          <cell r="C54">
            <v>3</v>
          </cell>
          <cell r="D54">
            <v>25</v>
          </cell>
          <cell r="E54">
            <v>13</v>
          </cell>
          <cell r="F54">
            <v>12</v>
          </cell>
          <cell r="G54">
            <v>0.33</v>
          </cell>
          <cell r="H54">
            <v>45</v>
          </cell>
          <cell r="I54" t="str">
            <v>матрица</v>
          </cell>
          <cell r="K54">
            <v>21</v>
          </cell>
          <cell r="L54">
            <v>-8</v>
          </cell>
          <cell r="M54">
            <v>13</v>
          </cell>
          <cell r="O54">
            <v>0</v>
          </cell>
          <cell r="Q54">
            <v>2.6</v>
          </cell>
          <cell r="R54">
            <v>27</v>
          </cell>
        </row>
        <row r="55">
          <cell r="A55" t="str">
            <v>6829  МОЛОЧНЫЕ КЛАССИЧЕСКИЕ сос п/о мгс 2*4 С  Останккино</v>
          </cell>
          <cell r="B55" t="str">
            <v>кг</v>
          </cell>
          <cell r="C55">
            <v>521.89300000000003</v>
          </cell>
          <cell r="D55">
            <v>128.578</v>
          </cell>
          <cell r="E55">
            <v>336.07400000000001</v>
          </cell>
          <cell r="F55">
            <v>271.101</v>
          </cell>
          <cell r="G55">
            <v>1</v>
          </cell>
          <cell r="H55">
            <v>45</v>
          </cell>
          <cell r="I55" t="str">
            <v>матрица</v>
          </cell>
          <cell r="K55">
            <v>371.952</v>
          </cell>
          <cell r="L55">
            <v>-35.877999999999986</v>
          </cell>
          <cell r="M55">
            <v>276.822</v>
          </cell>
          <cell r="N55">
            <v>59.252000000000002</v>
          </cell>
          <cell r="O55">
            <v>401</v>
          </cell>
          <cell r="P55">
            <v>328</v>
          </cell>
          <cell r="Q55">
            <v>55.364400000000003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44</v>
          </cell>
          <cell r="E56">
            <v>44</v>
          </cell>
          <cell r="F56">
            <v>-3</v>
          </cell>
          <cell r="G56">
            <v>0.4</v>
          </cell>
          <cell r="H56">
            <v>45</v>
          </cell>
          <cell r="I56" t="str">
            <v>матрица</v>
          </cell>
          <cell r="K56">
            <v>49</v>
          </cell>
          <cell r="L56">
            <v>-5</v>
          </cell>
          <cell r="M56">
            <v>44</v>
          </cell>
          <cell r="O56">
            <v>34</v>
          </cell>
          <cell r="P56">
            <v>28</v>
          </cell>
          <cell r="Q56">
            <v>8.8000000000000007</v>
          </cell>
          <cell r="R56">
            <v>73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9.8019999999999996</v>
          </cell>
          <cell r="D57">
            <v>29.821999999999999</v>
          </cell>
          <cell r="E57">
            <v>13.817</v>
          </cell>
          <cell r="F57">
            <v>13.853</v>
          </cell>
          <cell r="G57">
            <v>1</v>
          </cell>
          <cell r="H57">
            <v>60</v>
          </cell>
          <cell r="I57" t="str">
            <v>ротация на код 7754</v>
          </cell>
          <cell r="K57">
            <v>20.8</v>
          </cell>
          <cell r="L57">
            <v>-6.9830000000000005</v>
          </cell>
          <cell r="M57">
            <v>13.817</v>
          </cell>
          <cell r="O57">
            <v>6</v>
          </cell>
          <cell r="Q57">
            <v>2.7633999999999999</v>
          </cell>
          <cell r="R57">
            <v>21.597999999999999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33.093000000000004</v>
          </cell>
          <cell r="D58">
            <v>3.02</v>
          </cell>
          <cell r="E58">
            <v>21.321000000000002</v>
          </cell>
          <cell r="F58">
            <v>10.596</v>
          </cell>
          <cell r="G58">
            <v>1</v>
          </cell>
          <cell r="H58">
            <v>60</v>
          </cell>
          <cell r="I58" t="str">
            <v>матрица</v>
          </cell>
          <cell r="K58">
            <v>34.299999999999997</v>
          </cell>
          <cell r="L58">
            <v>-12.978999999999996</v>
          </cell>
          <cell r="M58">
            <v>21.321000000000002</v>
          </cell>
          <cell r="O58">
            <v>4</v>
          </cell>
          <cell r="Q58">
            <v>4.2642000000000007</v>
          </cell>
          <cell r="R58">
            <v>40.838600000000014</v>
          </cell>
        </row>
        <row r="59">
          <cell r="A59" t="str">
            <v>6929 КАРБОНАД ДОМАШНИЙ ПМ к/в кр/к в/у  ОСТАНКИНО</v>
          </cell>
          <cell r="B59" t="str">
            <v>кг</v>
          </cell>
          <cell r="C59">
            <v>58.33</v>
          </cell>
          <cell r="D59">
            <v>1.1120000000000001</v>
          </cell>
          <cell r="E59">
            <v>6.4740000000000002</v>
          </cell>
          <cell r="F59">
            <v>47.746000000000002</v>
          </cell>
          <cell r="G59">
            <v>1</v>
          </cell>
          <cell r="H59">
            <v>45</v>
          </cell>
          <cell r="I59" t="str">
            <v>матрица</v>
          </cell>
          <cell r="K59">
            <v>7.2</v>
          </cell>
          <cell r="L59">
            <v>-0.72599999999999998</v>
          </cell>
          <cell r="M59">
            <v>6.4740000000000002</v>
          </cell>
          <cell r="O59">
            <v>0</v>
          </cell>
          <cell r="Q59">
            <v>1.2948</v>
          </cell>
        </row>
        <row r="60">
          <cell r="A60" t="str">
            <v>6967 БУРГУНДИЯ Папа может с/к в/у 1/250 8шт  Останкино</v>
          </cell>
          <cell r="B60" t="str">
            <v>шт</v>
          </cell>
          <cell r="C60">
            <v>123</v>
          </cell>
          <cell r="E60">
            <v>67</v>
          </cell>
          <cell r="F60">
            <v>44</v>
          </cell>
          <cell r="G60">
            <v>0.25</v>
          </cell>
          <cell r="H60">
            <v>120</v>
          </cell>
          <cell r="I60" t="str">
            <v>матрица</v>
          </cell>
          <cell r="K60">
            <v>70</v>
          </cell>
          <cell r="L60">
            <v>-3</v>
          </cell>
          <cell r="M60">
            <v>67</v>
          </cell>
          <cell r="O60">
            <v>0</v>
          </cell>
          <cell r="Q60">
            <v>13.4</v>
          </cell>
          <cell r="R60">
            <v>130.20000000000002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10.451000000000001</v>
          </cell>
          <cell r="D61">
            <v>30.167999999999999</v>
          </cell>
          <cell r="E61">
            <v>16.66</v>
          </cell>
          <cell r="F61">
            <v>20.852</v>
          </cell>
          <cell r="G61">
            <v>1</v>
          </cell>
          <cell r="H61">
            <v>45</v>
          </cell>
          <cell r="I61" t="str">
            <v>матрица</v>
          </cell>
          <cell r="K61">
            <v>19.7</v>
          </cell>
          <cell r="L61">
            <v>-3.0399999999999991</v>
          </cell>
          <cell r="M61">
            <v>16.66</v>
          </cell>
          <cell r="O61">
            <v>0</v>
          </cell>
          <cell r="Q61">
            <v>3.3319999999999999</v>
          </cell>
          <cell r="R61">
            <v>29.127999999999997</v>
          </cell>
        </row>
        <row r="62">
          <cell r="A62" t="str">
            <v>7040 С ИНДЕЙКОЙ ПМ сос ц/о в/у 1/270 8шт.  ОСТАНКИНО</v>
          </cell>
          <cell r="B62" t="str">
            <v>шт</v>
          </cell>
          <cell r="C62">
            <v>-1</v>
          </cell>
          <cell r="F62">
            <v>-1</v>
          </cell>
          <cell r="G62">
            <v>0.27</v>
          </cell>
          <cell r="I62" t="str">
            <v>матрица</v>
          </cell>
          <cell r="K62">
            <v>4</v>
          </cell>
          <cell r="L62">
            <v>-4</v>
          </cell>
          <cell r="M62">
            <v>0</v>
          </cell>
          <cell r="O62">
            <v>20</v>
          </cell>
          <cell r="Q62">
            <v>0</v>
          </cell>
          <cell r="R62">
            <v>8</v>
          </cell>
        </row>
        <row r="63">
          <cell r="A63" t="str">
            <v>7059 ШПИКАЧКИ СОЧНЫЕ С БЕК. п/о мгс 0,3кг 60с ОСТАНКИНО</v>
          </cell>
          <cell r="B63" t="str">
            <v>шт</v>
          </cell>
          <cell r="C63">
            <v>142</v>
          </cell>
          <cell r="D63">
            <v>50</v>
          </cell>
          <cell r="E63">
            <v>76</v>
          </cell>
          <cell r="F63">
            <v>107</v>
          </cell>
          <cell r="G63">
            <v>0.3</v>
          </cell>
          <cell r="H63">
            <v>60</v>
          </cell>
          <cell r="I63" t="str">
            <v>матрица</v>
          </cell>
          <cell r="K63">
            <v>81</v>
          </cell>
          <cell r="L63">
            <v>-5</v>
          </cell>
          <cell r="M63">
            <v>76</v>
          </cell>
          <cell r="O63">
            <v>0</v>
          </cell>
          <cell r="Q63">
            <v>15.2</v>
          </cell>
          <cell r="R63">
            <v>121</v>
          </cell>
          <cell r="S63">
            <v>150</v>
          </cell>
        </row>
        <row r="64">
          <cell r="A64" t="str">
            <v>7066 СОЧНЫЕ ПМ сос п/о мгс 0,41кг 10шт 50с  Останкино</v>
          </cell>
          <cell r="B64" t="str">
            <v>шт</v>
          </cell>
          <cell r="C64">
            <v>1501</v>
          </cell>
          <cell r="D64">
            <v>1454</v>
          </cell>
          <cell r="E64">
            <v>984</v>
          </cell>
          <cell r="F64">
            <v>1924</v>
          </cell>
          <cell r="G64">
            <v>0.41</v>
          </cell>
          <cell r="H64">
            <v>50</v>
          </cell>
          <cell r="I64" t="str">
            <v>матрица</v>
          </cell>
          <cell r="K64">
            <v>1062</v>
          </cell>
          <cell r="L64">
            <v>-78</v>
          </cell>
          <cell r="M64">
            <v>984</v>
          </cell>
          <cell r="O64">
            <v>251</v>
          </cell>
          <cell r="P64">
            <v>206</v>
          </cell>
          <cell r="Q64">
            <v>196.8</v>
          </cell>
          <cell r="R64">
            <v>571</v>
          </cell>
          <cell r="S64" t="str">
            <v>1671(1100шт под листовку ЮгТех)</v>
          </cell>
        </row>
        <row r="65">
          <cell r="A65" t="str">
            <v>7070 СОЧНЫЕ ПМ сос п/о 1,5*4_А_50с  Останкино</v>
          </cell>
          <cell r="B65" t="str">
            <v>кг</v>
          </cell>
          <cell r="C65">
            <v>341.06799999999998</v>
          </cell>
          <cell r="D65">
            <v>411.71</v>
          </cell>
          <cell r="E65">
            <v>201.27500000000001</v>
          </cell>
          <cell r="F65">
            <v>521.44200000000001</v>
          </cell>
          <cell r="G65">
            <v>1</v>
          </cell>
          <cell r="H65">
            <v>50</v>
          </cell>
          <cell r="I65" t="str">
            <v>матрица</v>
          </cell>
          <cell r="K65">
            <v>214.7</v>
          </cell>
          <cell r="L65">
            <v>-13.424999999999983</v>
          </cell>
          <cell r="M65">
            <v>201.27500000000001</v>
          </cell>
          <cell r="O65">
            <v>221</v>
          </cell>
          <cell r="P65">
            <v>180</v>
          </cell>
          <cell r="Q65">
            <v>40.255000000000003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69</v>
          </cell>
          <cell r="D66">
            <v>168</v>
          </cell>
          <cell r="E66">
            <v>32</v>
          </cell>
          <cell r="F66">
            <v>193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48</v>
          </cell>
          <cell r="L66">
            <v>-16</v>
          </cell>
          <cell r="M66">
            <v>32</v>
          </cell>
          <cell r="O66">
            <v>0</v>
          </cell>
          <cell r="Q66">
            <v>6.4</v>
          </cell>
        </row>
        <row r="67">
          <cell r="A67" t="str">
            <v>7075 МОЛОЧ.ПРЕМИУМ ПМ сос п/о мгс 1,5*4_О_50с  Останкино</v>
          </cell>
          <cell r="B67" t="str">
            <v>кг</v>
          </cell>
          <cell r="G67">
            <v>0</v>
          </cell>
          <cell r="I67" t="str">
            <v>матрица</v>
          </cell>
          <cell r="K67">
            <v>1.5</v>
          </cell>
          <cell r="L67">
            <v>-1.5</v>
          </cell>
          <cell r="M67">
            <v>0</v>
          </cell>
          <cell r="O67">
            <v>0</v>
          </cell>
          <cell r="Q67">
            <v>0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337</v>
          </cell>
          <cell r="D68">
            <v>1328</v>
          </cell>
          <cell r="E68">
            <v>619</v>
          </cell>
          <cell r="F68">
            <v>986</v>
          </cell>
          <cell r="G68">
            <v>0.41</v>
          </cell>
          <cell r="H68">
            <v>50</v>
          </cell>
          <cell r="I68" t="str">
            <v>матрица</v>
          </cell>
          <cell r="K68">
            <v>664</v>
          </cell>
          <cell r="L68">
            <v>-45</v>
          </cell>
          <cell r="M68">
            <v>619</v>
          </cell>
          <cell r="O68">
            <v>282</v>
          </cell>
          <cell r="P68">
            <v>230</v>
          </cell>
          <cell r="Q68">
            <v>123.8</v>
          </cell>
          <cell r="R68">
            <v>359</v>
          </cell>
          <cell r="S68">
            <v>400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160.11099999999999</v>
          </cell>
          <cell r="D69">
            <v>75.480999999999995</v>
          </cell>
          <cell r="E69">
            <v>49.402000000000001</v>
          </cell>
          <cell r="F69">
            <v>174.488</v>
          </cell>
          <cell r="G69">
            <v>1</v>
          </cell>
          <cell r="H69">
            <v>50</v>
          </cell>
          <cell r="I69" t="str">
            <v>матрица</v>
          </cell>
          <cell r="K69">
            <v>57.1</v>
          </cell>
          <cell r="L69">
            <v>-7.6980000000000004</v>
          </cell>
          <cell r="M69">
            <v>49.402000000000001</v>
          </cell>
          <cell r="O69">
            <v>0</v>
          </cell>
          <cell r="Q69">
            <v>9.8803999999999998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C70">
            <v>115</v>
          </cell>
          <cell r="D70">
            <v>211</v>
          </cell>
          <cell r="E70">
            <v>106</v>
          </cell>
          <cell r="F70">
            <v>207</v>
          </cell>
          <cell r="G70">
            <v>0.3</v>
          </cell>
          <cell r="H70">
            <v>50</v>
          </cell>
          <cell r="I70" t="str">
            <v>матрица</v>
          </cell>
          <cell r="K70">
            <v>123</v>
          </cell>
          <cell r="L70">
            <v>-17</v>
          </cell>
          <cell r="M70">
            <v>106</v>
          </cell>
          <cell r="O70">
            <v>0</v>
          </cell>
          <cell r="Q70">
            <v>21.2</v>
          </cell>
          <cell r="R70">
            <v>111</v>
          </cell>
        </row>
        <row r="71">
          <cell r="A71" t="str">
            <v>7103 БЕКОН Останкино с/к с/н в/у 1/180_50с  Останкино</v>
          </cell>
          <cell r="B71" t="str">
            <v>шт</v>
          </cell>
          <cell r="C71">
            <v>239.46</v>
          </cell>
          <cell r="D71">
            <v>191</v>
          </cell>
          <cell r="E71">
            <v>175</v>
          </cell>
          <cell r="F71">
            <v>228.46</v>
          </cell>
          <cell r="G71">
            <v>0.18</v>
          </cell>
          <cell r="H71">
            <v>50</v>
          </cell>
          <cell r="I71" t="str">
            <v>матрица</v>
          </cell>
          <cell r="K71">
            <v>200</v>
          </cell>
          <cell r="L71">
            <v>-25</v>
          </cell>
          <cell r="M71">
            <v>135</v>
          </cell>
          <cell r="N71">
            <v>40</v>
          </cell>
          <cell r="O71">
            <v>126</v>
          </cell>
          <cell r="P71">
            <v>104</v>
          </cell>
          <cell r="Q71">
            <v>27</v>
          </cell>
        </row>
        <row r="72">
          <cell r="A72" t="str">
            <v>7123 ВЕНСКИЕ ПРЕМИУМ сос б/о мгс 0.3кг 6шт.  ОСТАНКИНО</v>
          </cell>
          <cell r="B72" t="str">
            <v>шт</v>
          </cell>
          <cell r="D72">
            <v>12</v>
          </cell>
          <cell r="E72">
            <v>12</v>
          </cell>
          <cell r="G72">
            <v>0</v>
          </cell>
          <cell r="I72" t="str">
            <v>не в матрице</v>
          </cell>
          <cell r="K72">
            <v>12</v>
          </cell>
          <cell r="L72">
            <v>0</v>
          </cell>
          <cell r="M72">
            <v>0</v>
          </cell>
          <cell r="N72">
            <v>12</v>
          </cell>
          <cell r="Q72">
            <v>0</v>
          </cell>
        </row>
        <row r="73">
          <cell r="A73" t="str">
            <v>7143 БРАУНШВЕЙГСКАЯ ГОСТ с/к в/у 1/220 8шт.  ОСТАНКИНО</v>
          </cell>
          <cell r="B73" t="str">
            <v>шт</v>
          </cell>
          <cell r="C73">
            <v>17</v>
          </cell>
          <cell r="D73">
            <v>16</v>
          </cell>
          <cell r="F73">
            <v>33</v>
          </cell>
          <cell r="G73">
            <v>0.22</v>
          </cell>
          <cell r="H73">
            <v>120</v>
          </cell>
          <cell r="I73" t="str">
            <v>матрица</v>
          </cell>
          <cell r="L73">
            <v>0</v>
          </cell>
          <cell r="M73">
            <v>0</v>
          </cell>
          <cell r="O73">
            <v>0</v>
          </cell>
          <cell r="Q73">
            <v>0</v>
          </cell>
        </row>
        <row r="74">
          <cell r="A74" t="str">
            <v>7149 БАЛЫКОВАЯ Коровино п/к в/у 0,84кг_50с  Останкино</v>
          </cell>
          <cell r="B74" t="str">
            <v>кг</v>
          </cell>
          <cell r="D74">
            <v>36</v>
          </cell>
          <cell r="E74">
            <v>36</v>
          </cell>
          <cell r="G74">
            <v>0</v>
          </cell>
          <cell r="I74" t="str">
            <v>матрица</v>
          </cell>
          <cell r="K74">
            <v>36</v>
          </cell>
          <cell r="L74">
            <v>0</v>
          </cell>
          <cell r="M74">
            <v>0</v>
          </cell>
          <cell r="N74">
            <v>36</v>
          </cell>
          <cell r="O74">
            <v>0</v>
          </cell>
          <cell r="Q74">
            <v>0</v>
          </cell>
        </row>
        <row r="75">
          <cell r="A75" t="str">
            <v>7154 СЕРВЕЛАТ ЗЕРНИСТЫЙ ПМ в/к в/у 0,35кг_50с  Останкино</v>
          </cell>
          <cell r="B75" t="str">
            <v>шт</v>
          </cell>
          <cell r="C75">
            <v>1002.3440000000001</v>
          </cell>
          <cell r="D75">
            <v>549</v>
          </cell>
          <cell r="E75">
            <v>1119</v>
          </cell>
          <cell r="F75">
            <v>356.34399999999999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1177</v>
          </cell>
          <cell r="L75">
            <v>-58</v>
          </cell>
          <cell r="M75">
            <v>1015</v>
          </cell>
          <cell r="N75">
            <v>104</v>
          </cell>
          <cell r="O75">
            <v>554</v>
          </cell>
          <cell r="P75">
            <v>454</v>
          </cell>
          <cell r="Q75">
            <v>203</v>
          </cell>
          <cell r="R75">
            <v>1680.6559999999999</v>
          </cell>
        </row>
        <row r="76">
          <cell r="A76" t="str">
            <v>7156 СЕРВЕЛАТ КОПЧ.НА БУКЕ в/к в/у 0.35кг_50с  ОСТАНКИНО</v>
          </cell>
          <cell r="B76" t="str">
            <v>шт</v>
          </cell>
          <cell r="C76">
            <v>99</v>
          </cell>
          <cell r="E76">
            <v>40</v>
          </cell>
          <cell r="F76">
            <v>57</v>
          </cell>
          <cell r="G76">
            <v>0.35</v>
          </cell>
          <cell r="H76">
            <v>50</v>
          </cell>
          <cell r="I76" t="str">
            <v>матрица</v>
          </cell>
          <cell r="K76">
            <v>42</v>
          </cell>
          <cell r="L76">
            <v>-2</v>
          </cell>
          <cell r="M76">
            <v>40</v>
          </cell>
          <cell r="O76">
            <v>0</v>
          </cell>
          <cell r="Q76">
            <v>8</v>
          </cell>
          <cell r="R76">
            <v>63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252.00700000000001</v>
          </cell>
          <cell r="D77">
            <v>300.67700000000002</v>
          </cell>
          <cell r="E77">
            <v>167.214</v>
          </cell>
          <cell r="F77">
            <v>263.44499999999999</v>
          </cell>
          <cell r="G77">
            <v>1</v>
          </cell>
          <cell r="H77">
            <v>50</v>
          </cell>
          <cell r="I77" t="str">
            <v>матрица</v>
          </cell>
          <cell r="K77">
            <v>178.74</v>
          </cell>
          <cell r="L77">
            <v>-11.52600000000001</v>
          </cell>
          <cell r="M77">
            <v>111.274</v>
          </cell>
          <cell r="N77">
            <v>55.94</v>
          </cell>
          <cell r="O77">
            <v>158</v>
          </cell>
          <cell r="P77">
            <v>130</v>
          </cell>
          <cell r="Q77">
            <v>22.254799999999999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14</v>
          </cell>
          <cell r="F78">
            <v>14</v>
          </cell>
          <cell r="G78">
            <v>0</v>
          </cell>
          <cell r="H78">
            <v>50</v>
          </cell>
          <cell r="I78" t="str">
            <v>не в матрице</v>
          </cell>
          <cell r="L78">
            <v>0</v>
          </cell>
          <cell r="M78">
            <v>0</v>
          </cell>
          <cell r="O78">
            <v>0</v>
          </cell>
          <cell r="Q78">
            <v>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339.81700000000001</v>
          </cell>
          <cell r="D79">
            <v>770.25699999999995</v>
          </cell>
          <cell r="E79">
            <v>346.86399999999998</v>
          </cell>
          <cell r="F79">
            <v>469.822</v>
          </cell>
          <cell r="G79">
            <v>1</v>
          </cell>
          <cell r="H79">
            <v>50</v>
          </cell>
          <cell r="I79" t="str">
            <v>матрица</v>
          </cell>
          <cell r="K79">
            <v>365.59300000000002</v>
          </cell>
          <cell r="L79">
            <v>-18.729000000000042</v>
          </cell>
          <cell r="M79">
            <v>285.77099999999996</v>
          </cell>
          <cell r="N79">
            <v>61.093000000000004</v>
          </cell>
          <cell r="O79">
            <v>341</v>
          </cell>
          <cell r="P79">
            <v>279</v>
          </cell>
          <cell r="Q79">
            <v>57.154199999999989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1114</v>
          </cell>
          <cell r="D80">
            <v>1254</v>
          </cell>
          <cell r="E80">
            <v>1315</v>
          </cell>
          <cell r="F80">
            <v>1004</v>
          </cell>
          <cell r="G80">
            <v>0.35</v>
          </cell>
          <cell r="H80">
            <v>50</v>
          </cell>
          <cell r="I80" t="str">
            <v>матрица</v>
          </cell>
          <cell r="K80">
            <v>1373</v>
          </cell>
          <cell r="L80">
            <v>-58</v>
          </cell>
          <cell r="M80">
            <v>1259</v>
          </cell>
          <cell r="N80">
            <v>56</v>
          </cell>
          <cell r="O80">
            <v>290</v>
          </cell>
          <cell r="P80">
            <v>237</v>
          </cell>
          <cell r="Q80">
            <v>251.8</v>
          </cell>
          <cell r="R80">
            <v>2246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119</v>
          </cell>
          <cell r="D81">
            <v>141</v>
          </cell>
          <cell r="E81">
            <v>109</v>
          </cell>
          <cell r="F81">
            <v>129</v>
          </cell>
          <cell r="G81">
            <v>0.3</v>
          </cell>
          <cell r="H81">
            <v>50</v>
          </cell>
          <cell r="I81" t="str">
            <v>матрица</v>
          </cell>
          <cell r="K81">
            <v>123</v>
          </cell>
          <cell r="L81">
            <v>-14</v>
          </cell>
          <cell r="M81">
            <v>109</v>
          </cell>
          <cell r="O81">
            <v>0</v>
          </cell>
          <cell r="Q81">
            <v>21.8</v>
          </cell>
          <cell r="R81">
            <v>198</v>
          </cell>
        </row>
        <row r="82">
          <cell r="A82" t="str">
            <v>7231 КЛАССИЧЕСКАЯ ПМ вар п/о 0,3кг 8 шт_209к  Останкино</v>
          </cell>
          <cell r="B82" t="str">
            <v>шт</v>
          </cell>
          <cell r="C82">
            <v>50</v>
          </cell>
          <cell r="D82">
            <v>24</v>
          </cell>
          <cell r="E82">
            <v>44</v>
          </cell>
          <cell r="F82">
            <v>14</v>
          </cell>
          <cell r="G82">
            <v>0.3</v>
          </cell>
          <cell r="H82">
            <v>60</v>
          </cell>
          <cell r="I82" t="str">
            <v>матрица</v>
          </cell>
          <cell r="K82">
            <v>66</v>
          </cell>
          <cell r="L82">
            <v>-22</v>
          </cell>
          <cell r="M82">
            <v>44</v>
          </cell>
          <cell r="O82">
            <v>36</v>
          </cell>
          <cell r="P82">
            <v>29</v>
          </cell>
          <cell r="Q82">
            <v>8.8000000000000007</v>
          </cell>
          <cell r="R82">
            <v>53</v>
          </cell>
        </row>
        <row r="83">
          <cell r="A83" t="str">
            <v>7232 БОЯNСКАЯ ПМ п/к в/у 0,28кг 8шт_209к  Останкино</v>
          </cell>
          <cell r="B83" t="str">
            <v>шт</v>
          </cell>
          <cell r="C83">
            <v>82</v>
          </cell>
          <cell r="D83">
            <v>179</v>
          </cell>
          <cell r="E83">
            <v>156</v>
          </cell>
          <cell r="F83">
            <v>98</v>
          </cell>
          <cell r="G83">
            <v>0.28000000000000003</v>
          </cell>
          <cell r="H83">
            <v>50</v>
          </cell>
          <cell r="I83" t="str">
            <v>матрица</v>
          </cell>
          <cell r="K83">
            <v>181</v>
          </cell>
          <cell r="L83">
            <v>-25</v>
          </cell>
          <cell r="M83">
            <v>124</v>
          </cell>
          <cell r="N83">
            <v>32</v>
          </cell>
          <cell r="O83">
            <v>45</v>
          </cell>
          <cell r="P83">
            <v>36</v>
          </cell>
          <cell r="Q83">
            <v>24.8</v>
          </cell>
          <cell r="R83">
            <v>193</v>
          </cell>
        </row>
        <row r="84">
          <cell r="A84" t="str">
            <v>7236 СЕРВЕЛАТ КАРЕЛЬСКИЙ в/к в/у 0,28кг_209к  Останкино</v>
          </cell>
          <cell r="B84" t="str">
            <v>шт</v>
          </cell>
          <cell r="C84">
            <v>262</v>
          </cell>
          <cell r="D84">
            <v>144</v>
          </cell>
          <cell r="E84">
            <v>376</v>
          </cell>
          <cell r="F84">
            <v>14</v>
          </cell>
          <cell r="G84">
            <v>0.28000000000000003</v>
          </cell>
          <cell r="H84">
            <v>45</v>
          </cell>
          <cell r="I84" t="str">
            <v>матрица</v>
          </cell>
          <cell r="K84">
            <v>422</v>
          </cell>
          <cell r="L84">
            <v>-46</v>
          </cell>
          <cell r="M84">
            <v>320</v>
          </cell>
          <cell r="N84">
            <v>56</v>
          </cell>
          <cell r="O84">
            <v>132</v>
          </cell>
          <cell r="P84">
            <v>108</v>
          </cell>
          <cell r="Q84">
            <v>64</v>
          </cell>
          <cell r="R84">
            <v>642</v>
          </cell>
        </row>
        <row r="85">
          <cell r="A85" t="str">
            <v>7237 СЕРВЕЛАТ ШВАРЦЕР ПМ в/к в/у 0,28кг_209к  Останкино</v>
          </cell>
          <cell r="B85" t="str">
            <v>шт</v>
          </cell>
          <cell r="D85">
            <v>2</v>
          </cell>
          <cell r="E85">
            <v>-2</v>
          </cell>
          <cell r="F85">
            <v>2</v>
          </cell>
          <cell r="G85">
            <v>0</v>
          </cell>
          <cell r="I85" t="str">
            <v>не в матрице</v>
          </cell>
          <cell r="L85">
            <v>-2</v>
          </cell>
          <cell r="M85">
            <v>-2</v>
          </cell>
          <cell r="Q85">
            <v>-0.4</v>
          </cell>
        </row>
        <row r="86">
          <cell r="A86" t="str">
            <v>7241 САЛЯМИ Папа может п/к в/у 0,28кг ОСТАНКИНО</v>
          </cell>
          <cell r="B86" t="str">
            <v>шт</v>
          </cell>
          <cell r="C86">
            <v>254</v>
          </cell>
          <cell r="D86">
            <v>224</v>
          </cell>
          <cell r="E86">
            <v>305</v>
          </cell>
          <cell r="F86">
            <v>154</v>
          </cell>
          <cell r="G86">
            <v>0.28000000000000003</v>
          </cell>
          <cell r="H86">
            <v>45</v>
          </cell>
          <cell r="I86" t="str">
            <v>матрица</v>
          </cell>
          <cell r="K86">
            <v>338</v>
          </cell>
          <cell r="L86">
            <v>-33</v>
          </cell>
          <cell r="M86">
            <v>249</v>
          </cell>
          <cell r="N86">
            <v>56</v>
          </cell>
          <cell r="O86">
            <v>142</v>
          </cell>
          <cell r="P86">
            <v>116</v>
          </cell>
          <cell r="Q86">
            <v>49.8</v>
          </cell>
          <cell r="R86">
            <v>335</v>
          </cell>
        </row>
        <row r="87">
          <cell r="A87" t="str">
            <v>7255 МЯСНЫЕ С ГОВЯД.ПМ сос п/о мгс 0.4кг 6шт.  ОСТАНКИНО</v>
          </cell>
          <cell r="B87" t="str">
            <v>шт</v>
          </cell>
          <cell r="C87">
            <v>676</v>
          </cell>
          <cell r="D87">
            <v>244</v>
          </cell>
          <cell r="E87">
            <v>466</v>
          </cell>
          <cell r="F87">
            <v>428</v>
          </cell>
          <cell r="G87">
            <v>0.4</v>
          </cell>
          <cell r="H87">
            <v>50</v>
          </cell>
          <cell r="I87" t="str">
            <v>матрица</v>
          </cell>
          <cell r="K87">
            <v>509</v>
          </cell>
          <cell r="L87">
            <v>-43</v>
          </cell>
          <cell r="M87">
            <v>442</v>
          </cell>
          <cell r="N87">
            <v>24</v>
          </cell>
          <cell r="O87">
            <v>12</v>
          </cell>
          <cell r="Q87">
            <v>88.4</v>
          </cell>
          <cell r="R87">
            <v>886</v>
          </cell>
        </row>
        <row r="88">
          <cell r="A88" t="str">
            <v>7288 БАЛЫК с/к с/н в/у 1/100 10шт ОСТАНКИНО</v>
          </cell>
          <cell r="B88" t="str">
            <v>шт</v>
          </cell>
          <cell r="D88">
            <v>2</v>
          </cell>
          <cell r="E88">
            <v>-2</v>
          </cell>
          <cell r="F88">
            <v>2</v>
          </cell>
          <cell r="G88">
            <v>0</v>
          </cell>
          <cell r="I88" t="str">
            <v>не в матрице</v>
          </cell>
          <cell r="L88">
            <v>-2</v>
          </cell>
          <cell r="M88">
            <v>-2</v>
          </cell>
          <cell r="Q88">
            <v>-0.4</v>
          </cell>
        </row>
        <row r="89">
          <cell r="A89" t="str">
            <v>7299 НАБОР ДЛЯ ПИЦЦЫ Папа Может с/к в/у  ОСТАНКИНО</v>
          </cell>
          <cell r="B89" t="str">
            <v>кг</v>
          </cell>
          <cell r="C89">
            <v>70.671999999999997</v>
          </cell>
          <cell r="D89">
            <v>74.233000000000004</v>
          </cell>
          <cell r="E89">
            <v>92.236000000000004</v>
          </cell>
          <cell r="F89">
            <v>14.775</v>
          </cell>
          <cell r="G89">
            <v>1</v>
          </cell>
          <cell r="H89">
            <v>30</v>
          </cell>
          <cell r="I89" t="str">
            <v>матрица</v>
          </cell>
          <cell r="K89">
            <v>119.3</v>
          </cell>
          <cell r="L89">
            <v>-27.063999999999993</v>
          </cell>
          <cell r="M89">
            <v>92.236000000000004</v>
          </cell>
          <cell r="O89">
            <v>82</v>
          </cell>
          <cell r="P89">
            <v>68</v>
          </cell>
          <cell r="Q89">
            <v>18.447200000000002</v>
          </cell>
          <cell r="R89">
            <v>111.93300000000002</v>
          </cell>
        </row>
        <row r="90">
          <cell r="A90" t="str">
            <v>7344 КОНСЕРВЫ МЯС.ГОВЯДИНА ТУШ. В/С 338г_ЧЗ  ОСТАНКИНО</v>
          </cell>
          <cell r="B90" t="str">
            <v>шт</v>
          </cell>
          <cell r="C90">
            <v>106</v>
          </cell>
          <cell r="E90">
            <v>2</v>
          </cell>
          <cell r="F90">
            <v>104</v>
          </cell>
          <cell r="G90">
            <v>0.33800000000000002</v>
          </cell>
          <cell r="H90" t="str">
            <v>3 года</v>
          </cell>
          <cell r="I90" t="str">
            <v>матрица</v>
          </cell>
          <cell r="K90">
            <v>2</v>
          </cell>
          <cell r="L90">
            <v>0</v>
          </cell>
          <cell r="M90">
            <v>2</v>
          </cell>
          <cell r="O90">
            <v>0</v>
          </cell>
          <cell r="Q90">
            <v>0.4</v>
          </cell>
        </row>
        <row r="91">
          <cell r="A91" t="str">
            <v>7345 КОНСЕРВЫ МЯС.СВИНИНА ТУШ. В/С 325г_ЧЗ  ОСТАНКИНО</v>
          </cell>
          <cell r="B91" t="str">
            <v>шт</v>
          </cell>
          <cell r="C91">
            <v>80</v>
          </cell>
          <cell r="E91">
            <v>2</v>
          </cell>
          <cell r="F91">
            <v>78</v>
          </cell>
          <cell r="G91">
            <v>0.32500000000000001</v>
          </cell>
          <cell r="H91" t="str">
            <v>3 года</v>
          </cell>
          <cell r="I91" t="str">
            <v>матрица</v>
          </cell>
          <cell r="K91">
            <v>2</v>
          </cell>
          <cell r="L91">
            <v>0</v>
          </cell>
          <cell r="M91">
            <v>2</v>
          </cell>
          <cell r="O91">
            <v>0</v>
          </cell>
          <cell r="Q91">
            <v>0.4</v>
          </cell>
        </row>
        <row r="92">
          <cell r="A92" t="str">
            <v>7382  САЛЯМИ МЕЛКОЗЕРНЕНАЯ с/к в/у1/120 8шт.  ОСТАНКИНО</v>
          </cell>
          <cell r="B92" t="str">
            <v>шт</v>
          </cell>
          <cell r="C92">
            <v>164</v>
          </cell>
          <cell r="D92">
            <v>360</v>
          </cell>
          <cell r="E92">
            <v>170</v>
          </cell>
          <cell r="F92">
            <v>331</v>
          </cell>
          <cell r="G92">
            <v>0.12</v>
          </cell>
          <cell r="H92">
            <v>60</v>
          </cell>
          <cell r="I92" t="str">
            <v>матрица</v>
          </cell>
          <cell r="K92">
            <v>190</v>
          </cell>
          <cell r="L92">
            <v>-20</v>
          </cell>
          <cell r="M92">
            <v>146</v>
          </cell>
          <cell r="N92">
            <v>24</v>
          </cell>
          <cell r="O92">
            <v>104</v>
          </cell>
          <cell r="P92">
            <v>86</v>
          </cell>
          <cell r="Q92">
            <v>29.2</v>
          </cell>
        </row>
        <row r="93">
          <cell r="A93" t="str">
            <v>7386 БАРСЕЛОНА ПМ с/к в/у 1/150  ОСТАНКИНО</v>
          </cell>
          <cell r="B93" t="str">
            <v>шт</v>
          </cell>
          <cell r="C93">
            <v>12</v>
          </cell>
          <cell r="D93">
            <v>117</v>
          </cell>
          <cell r="E93">
            <v>40</v>
          </cell>
          <cell r="F93">
            <v>81</v>
          </cell>
          <cell r="G93">
            <v>0.15</v>
          </cell>
          <cell r="H93">
            <v>90</v>
          </cell>
          <cell r="I93" t="str">
            <v>матрица</v>
          </cell>
          <cell r="K93">
            <v>54</v>
          </cell>
          <cell r="L93">
            <v>-14</v>
          </cell>
          <cell r="M93">
            <v>40</v>
          </cell>
          <cell r="O93">
            <v>20</v>
          </cell>
          <cell r="Q93">
            <v>8</v>
          </cell>
          <cell r="R93">
            <v>19</v>
          </cell>
          <cell r="S93">
            <v>50</v>
          </cell>
        </row>
        <row r="94">
          <cell r="A94" t="str">
            <v>7456 САЛЯМИ ФИНСКАЯ Папа может с/к в/у 1/150  ОСТАНКИНО</v>
          </cell>
          <cell r="B94" t="str">
            <v>шт</v>
          </cell>
          <cell r="C94">
            <v>2</v>
          </cell>
          <cell r="D94">
            <v>84</v>
          </cell>
          <cell r="E94">
            <v>8</v>
          </cell>
          <cell r="F94">
            <v>72</v>
          </cell>
          <cell r="G94">
            <v>0.15</v>
          </cell>
          <cell r="H94">
            <v>90</v>
          </cell>
          <cell r="I94" t="str">
            <v>матрица</v>
          </cell>
          <cell r="K94">
            <v>45</v>
          </cell>
          <cell r="L94">
            <v>-37</v>
          </cell>
          <cell r="M94">
            <v>8</v>
          </cell>
          <cell r="O94">
            <v>20</v>
          </cell>
          <cell r="Q94">
            <v>1.6</v>
          </cell>
          <cell r="S94">
            <v>40</v>
          </cell>
        </row>
        <row r="95">
          <cell r="A95" t="str">
            <v>7461 ДЛЯ ДЕТЕЙ Папа Может сос п/о мгс 0,33кг ОСТАНКИНО</v>
          </cell>
          <cell r="B95" t="str">
            <v>шт</v>
          </cell>
          <cell r="C95">
            <v>417</v>
          </cell>
          <cell r="D95">
            <v>282</v>
          </cell>
          <cell r="E95">
            <v>359</v>
          </cell>
          <cell r="F95">
            <v>293</v>
          </cell>
          <cell r="G95">
            <v>0.33</v>
          </cell>
          <cell r="H95">
            <v>30</v>
          </cell>
          <cell r="I95" t="str">
            <v>матрица</v>
          </cell>
          <cell r="K95">
            <v>390</v>
          </cell>
          <cell r="L95">
            <v>-31</v>
          </cell>
          <cell r="M95">
            <v>299</v>
          </cell>
          <cell r="N95">
            <v>60</v>
          </cell>
          <cell r="O95">
            <v>35</v>
          </cell>
          <cell r="P95">
            <v>28</v>
          </cell>
          <cell r="Q95">
            <v>59.8</v>
          </cell>
          <cell r="R95">
            <v>541</v>
          </cell>
        </row>
        <row r="96">
          <cell r="A96" t="str">
            <v>7485 РИЕТ МЯСНОЙ С ГРИБАМИ ПМ п/о 1/150  ОСТАНКИНО</v>
          </cell>
          <cell r="B96" t="str">
            <v>шт</v>
          </cell>
          <cell r="C96">
            <v>492</v>
          </cell>
          <cell r="D96">
            <v>106</v>
          </cell>
          <cell r="E96">
            <v>399</v>
          </cell>
          <cell r="F96">
            <v>131</v>
          </cell>
          <cell r="G96">
            <v>0.15</v>
          </cell>
          <cell r="H96">
            <v>60</v>
          </cell>
          <cell r="I96" t="str">
            <v>матрица</v>
          </cell>
          <cell r="K96">
            <v>440</v>
          </cell>
          <cell r="L96">
            <v>-41</v>
          </cell>
          <cell r="M96">
            <v>399</v>
          </cell>
          <cell r="O96">
            <v>529</v>
          </cell>
          <cell r="P96">
            <v>432</v>
          </cell>
          <cell r="Q96">
            <v>79.8</v>
          </cell>
          <cell r="R96">
            <v>105</v>
          </cell>
        </row>
        <row r="97">
          <cell r="A97" t="str">
            <v>7490 СОЧНЫЙ ГРИЛЬ сос ц/о мгс 0.41кг_Даблпак  ОСТАНКИНО</v>
          </cell>
          <cell r="B97" t="str">
            <v>шт</v>
          </cell>
          <cell r="D97">
            <v>520</v>
          </cell>
          <cell r="E97">
            <v>22</v>
          </cell>
          <cell r="F97">
            <v>521</v>
          </cell>
          <cell r="G97">
            <v>0.41</v>
          </cell>
          <cell r="H97">
            <v>45</v>
          </cell>
          <cell r="I97" t="str">
            <v>матрица</v>
          </cell>
          <cell r="L97">
            <v>22</v>
          </cell>
          <cell r="M97">
            <v>22</v>
          </cell>
          <cell r="O97">
            <v>68</v>
          </cell>
          <cell r="P97">
            <v>56</v>
          </cell>
          <cell r="Q97">
            <v>4.4000000000000004</v>
          </cell>
        </row>
        <row r="98">
          <cell r="A98" t="str">
            <v>7513 ВОСКРЕСЕНСКАЯ ВЯЛЕНАЯ в/к в/у срез 1/260  ОСТАНКИНО</v>
          </cell>
          <cell r="B98" t="str">
            <v>шт</v>
          </cell>
          <cell r="C98">
            <v>54</v>
          </cell>
          <cell r="D98">
            <v>92</v>
          </cell>
          <cell r="E98">
            <v>108</v>
          </cell>
          <cell r="F98">
            <v>19</v>
          </cell>
          <cell r="G98">
            <v>0.26</v>
          </cell>
          <cell r="H98">
            <v>45</v>
          </cell>
          <cell r="I98" t="str">
            <v>матрица</v>
          </cell>
          <cell r="K98">
            <v>146</v>
          </cell>
          <cell r="L98">
            <v>-38</v>
          </cell>
          <cell r="M98">
            <v>108</v>
          </cell>
          <cell r="O98">
            <v>137</v>
          </cell>
          <cell r="P98">
            <v>113</v>
          </cell>
          <cell r="Q98">
            <v>21.6</v>
          </cell>
          <cell r="R98">
            <v>55</v>
          </cell>
          <cell r="S98">
            <v>90</v>
          </cell>
        </row>
        <row r="99">
          <cell r="A99" t="str">
            <v>7514 ЛЮБИТЕЛЬСКАЯ ОСТАНКИНСКАЯ вар п/о в/у  ОСТАНКИНО</v>
          </cell>
          <cell r="B99" t="str">
            <v>кг</v>
          </cell>
          <cell r="C99">
            <v>58.66</v>
          </cell>
          <cell r="D99">
            <v>109.795</v>
          </cell>
          <cell r="E99">
            <v>53.268000000000001</v>
          </cell>
          <cell r="F99">
            <v>103.431</v>
          </cell>
          <cell r="G99">
            <v>1</v>
          </cell>
          <cell r="H99">
            <v>30</v>
          </cell>
          <cell r="I99" t="str">
            <v>матрица</v>
          </cell>
          <cell r="K99">
            <v>56.1</v>
          </cell>
          <cell r="L99">
            <v>-2.8320000000000007</v>
          </cell>
          <cell r="M99">
            <v>53.268000000000001</v>
          </cell>
          <cell r="O99">
            <v>10</v>
          </cell>
          <cell r="Q99">
            <v>10.653600000000001</v>
          </cell>
          <cell r="R99">
            <v>46.373000000000005</v>
          </cell>
          <cell r="S99">
            <v>70</v>
          </cell>
        </row>
        <row r="100">
          <cell r="A100" t="str">
            <v>7516 НОВОМОСКОВСКАЯ в/к в/у срез 0.31кг  ОСТАНКИНО</v>
          </cell>
          <cell r="B100" t="str">
            <v>шт</v>
          </cell>
          <cell r="C100">
            <v>51</v>
          </cell>
          <cell r="D100">
            <v>100</v>
          </cell>
          <cell r="E100">
            <v>94</v>
          </cell>
          <cell r="F100">
            <v>46</v>
          </cell>
          <cell r="G100">
            <v>0.31</v>
          </cell>
          <cell r="H100">
            <v>45</v>
          </cell>
          <cell r="I100" t="str">
            <v>матрица</v>
          </cell>
          <cell r="K100">
            <v>106</v>
          </cell>
          <cell r="L100">
            <v>-12</v>
          </cell>
          <cell r="M100">
            <v>94</v>
          </cell>
          <cell r="O100">
            <v>99</v>
          </cell>
          <cell r="P100">
            <v>81</v>
          </cell>
          <cell r="Q100">
            <v>18.8</v>
          </cell>
          <cell r="R100">
            <v>56</v>
          </cell>
          <cell r="S100">
            <v>90</v>
          </cell>
        </row>
        <row r="101">
          <cell r="A101" t="str">
            <v>7518 ТЕЛЯЧЬЯ ГОСТ Останкино вар п/о в/у  ОСТАНКИНО</v>
          </cell>
          <cell r="B101" t="str">
            <v>кг</v>
          </cell>
          <cell r="C101">
            <v>-1.3759999999999999</v>
          </cell>
          <cell r="D101">
            <v>33.962000000000003</v>
          </cell>
          <cell r="E101">
            <v>5.5220000000000002</v>
          </cell>
          <cell r="F101">
            <v>25.166</v>
          </cell>
          <cell r="G101">
            <v>1</v>
          </cell>
          <cell r="H101">
            <v>30</v>
          </cell>
          <cell r="I101" t="str">
            <v>матрица</v>
          </cell>
          <cell r="K101">
            <v>10.5</v>
          </cell>
          <cell r="L101">
            <v>-4.9779999999999998</v>
          </cell>
          <cell r="M101">
            <v>5.5220000000000002</v>
          </cell>
          <cell r="O101">
            <v>10</v>
          </cell>
          <cell r="Q101">
            <v>1.1044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211</v>
          </cell>
          <cell r="D102">
            <v>144</v>
          </cell>
          <cell r="E102">
            <v>169</v>
          </cell>
          <cell r="F102">
            <v>160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193</v>
          </cell>
          <cell r="L102">
            <v>-24</v>
          </cell>
          <cell r="M102">
            <v>133</v>
          </cell>
          <cell r="N102">
            <v>36</v>
          </cell>
          <cell r="O102">
            <v>98</v>
          </cell>
          <cell r="P102">
            <v>80</v>
          </cell>
          <cell r="Q102">
            <v>26.6</v>
          </cell>
          <cell r="R102">
            <v>61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83</v>
          </cell>
          <cell r="D103">
            <v>42</v>
          </cell>
          <cell r="E103">
            <v>98</v>
          </cell>
          <cell r="G103">
            <v>0.35</v>
          </cell>
          <cell r="H103">
            <v>60</v>
          </cell>
          <cell r="I103" t="str">
            <v>матрица</v>
          </cell>
          <cell r="K103">
            <v>327</v>
          </cell>
          <cell r="L103">
            <v>-229</v>
          </cell>
          <cell r="M103">
            <v>98</v>
          </cell>
          <cell r="O103">
            <v>225</v>
          </cell>
          <cell r="P103">
            <v>185</v>
          </cell>
          <cell r="Q103">
            <v>19.600000000000001</v>
          </cell>
          <cell r="R103">
            <v>250</v>
          </cell>
        </row>
        <row r="104">
          <cell r="A104" t="str">
            <v>7562 КРАКОВСКАЯ ГОСТ Останкино п/к н/о мгс  ОСТАНКИНО</v>
          </cell>
          <cell r="B104" t="str">
            <v>кг</v>
          </cell>
          <cell r="C104">
            <v>118.313</v>
          </cell>
          <cell r="D104">
            <v>12.555</v>
          </cell>
          <cell r="E104">
            <v>13.999000000000001</v>
          </cell>
          <cell r="F104">
            <v>59.713999999999999</v>
          </cell>
          <cell r="G104">
            <v>1</v>
          </cell>
          <cell r="H104">
            <v>45</v>
          </cell>
          <cell r="I104" t="str">
            <v>матрица</v>
          </cell>
          <cell r="K104">
            <v>16.64</v>
          </cell>
          <cell r="L104">
            <v>-2.641</v>
          </cell>
          <cell r="M104">
            <v>13.999000000000001</v>
          </cell>
          <cell r="O104">
            <v>0</v>
          </cell>
          <cell r="Q104">
            <v>2.7998000000000003</v>
          </cell>
        </row>
        <row r="105">
          <cell r="A105" t="str">
            <v>7564 Балыковая в/к в/у Останкино Вес  ОСТАНКИНО</v>
          </cell>
          <cell r="B105" t="str">
            <v>кг</v>
          </cell>
          <cell r="C105">
            <v>22.702000000000002</v>
          </cell>
          <cell r="D105">
            <v>10.199999999999999</v>
          </cell>
          <cell r="E105">
            <v>5.0030000000000001</v>
          </cell>
          <cell r="F105">
            <v>25.321000000000002</v>
          </cell>
          <cell r="G105">
            <v>1</v>
          </cell>
          <cell r="H105">
            <v>45</v>
          </cell>
          <cell r="I105" t="str">
            <v>матрица</v>
          </cell>
          <cell r="K105">
            <v>5.5</v>
          </cell>
          <cell r="L105">
            <v>-0.49699999999999989</v>
          </cell>
          <cell r="M105">
            <v>5.0030000000000001</v>
          </cell>
          <cell r="O105">
            <v>0</v>
          </cell>
          <cell r="Q105">
            <v>1.0005999999999999</v>
          </cell>
        </row>
        <row r="106">
          <cell r="A106" t="str">
            <v>7603 БАЛЫКОВАЯ в/к в/у 0.33кг 8шт. ОСТАНКИНО</v>
          </cell>
          <cell r="B106" t="str">
            <v>шт</v>
          </cell>
          <cell r="C106">
            <v>112</v>
          </cell>
          <cell r="D106">
            <v>211</v>
          </cell>
          <cell r="E106">
            <v>163</v>
          </cell>
          <cell r="F106">
            <v>152</v>
          </cell>
          <cell r="G106">
            <v>0.33</v>
          </cell>
          <cell r="H106">
            <v>45</v>
          </cell>
          <cell r="I106" t="str">
            <v>матрица</v>
          </cell>
          <cell r="K106">
            <v>172</v>
          </cell>
          <cell r="L106">
            <v>-9</v>
          </cell>
          <cell r="M106">
            <v>83</v>
          </cell>
          <cell r="N106">
            <v>80</v>
          </cell>
          <cell r="O106">
            <v>82</v>
          </cell>
          <cell r="P106">
            <v>68</v>
          </cell>
          <cell r="Q106">
            <v>16.600000000000001</v>
          </cell>
          <cell r="S106">
            <v>40</v>
          </cell>
        </row>
        <row r="107">
          <cell r="A107" t="str">
            <v>7612 БАЛЫК с/к с/н в/у 1/100 10шт_  ОСТАНКИНО</v>
          </cell>
          <cell r="B107" t="str">
            <v>шт</v>
          </cell>
          <cell r="C107">
            <v>-2</v>
          </cell>
          <cell r="D107">
            <v>30</v>
          </cell>
          <cell r="E107">
            <v>30</v>
          </cell>
          <cell r="F107">
            <v>-2</v>
          </cell>
          <cell r="G107">
            <v>0</v>
          </cell>
          <cell r="H107">
            <v>60</v>
          </cell>
          <cell r="I107" t="str">
            <v>вывод</v>
          </cell>
          <cell r="K107">
            <v>39</v>
          </cell>
          <cell r="L107">
            <v>-9</v>
          </cell>
          <cell r="M107">
            <v>0</v>
          </cell>
          <cell r="N107">
            <v>30</v>
          </cell>
          <cell r="O107">
            <v>0</v>
          </cell>
          <cell r="Q107">
            <v>0</v>
          </cell>
        </row>
        <row r="108">
          <cell r="A108" t="str">
            <v>7613 АРОМАТНАЯ с/к с/н в/у 1/100 10шт_Л10  ОСТАНКИНО</v>
          </cell>
          <cell r="B108" t="str">
            <v>шт</v>
          </cell>
          <cell r="C108">
            <v>1</v>
          </cell>
          <cell r="D108">
            <v>252</v>
          </cell>
          <cell r="E108">
            <v>161</v>
          </cell>
          <cell r="F108">
            <v>75</v>
          </cell>
          <cell r="G108">
            <v>0.1</v>
          </cell>
          <cell r="H108">
            <v>60</v>
          </cell>
          <cell r="I108" t="str">
            <v>матрица</v>
          </cell>
          <cell r="K108">
            <v>228</v>
          </cell>
          <cell r="L108">
            <v>-67</v>
          </cell>
          <cell r="M108">
            <v>131</v>
          </cell>
          <cell r="N108">
            <v>30</v>
          </cell>
          <cell r="O108">
            <v>178</v>
          </cell>
          <cell r="P108">
            <v>146</v>
          </cell>
          <cell r="Q108">
            <v>26.2</v>
          </cell>
          <cell r="S108">
            <v>40</v>
          </cell>
        </row>
        <row r="109">
          <cell r="A109" t="str">
            <v>7616 ЭКСТРА Папа может с/к с/н в/у 1/100_  ОСТАНКИНО</v>
          </cell>
          <cell r="B109" t="str">
            <v>шт</v>
          </cell>
          <cell r="C109">
            <v>331</v>
          </cell>
          <cell r="D109">
            <v>458</v>
          </cell>
          <cell r="E109">
            <v>298</v>
          </cell>
          <cell r="F109">
            <v>471</v>
          </cell>
          <cell r="G109">
            <v>0.1</v>
          </cell>
          <cell r="H109">
            <v>60</v>
          </cell>
          <cell r="I109" t="str">
            <v>матрица</v>
          </cell>
          <cell r="K109">
            <v>321</v>
          </cell>
          <cell r="L109">
            <v>-23</v>
          </cell>
          <cell r="M109">
            <v>278</v>
          </cell>
          <cell r="N109">
            <v>20</v>
          </cell>
          <cell r="O109">
            <v>58</v>
          </cell>
          <cell r="P109">
            <v>48</v>
          </cell>
          <cell r="Q109">
            <v>55.6</v>
          </cell>
          <cell r="R109">
            <v>257</v>
          </cell>
          <cell r="S109">
            <v>290</v>
          </cell>
        </row>
        <row r="110">
          <cell r="A110" t="str">
            <v>7632 ЭКСТРА Папа может вар п/о 0.4кг 8шт_195к  ОСТАНКИНО</v>
          </cell>
          <cell r="B110" t="str">
            <v>шт</v>
          </cell>
          <cell r="C110">
            <v>692</v>
          </cell>
          <cell r="D110">
            <v>20</v>
          </cell>
          <cell r="E110">
            <v>384</v>
          </cell>
          <cell r="F110">
            <v>274</v>
          </cell>
          <cell r="G110">
            <v>0.4</v>
          </cell>
          <cell r="H110">
            <v>60</v>
          </cell>
          <cell r="I110" t="str">
            <v>матрица</v>
          </cell>
          <cell r="K110">
            <v>409</v>
          </cell>
          <cell r="L110">
            <v>-25</v>
          </cell>
          <cell r="M110">
            <v>384</v>
          </cell>
          <cell r="O110">
            <v>478</v>
          </cell>
          <cell r="P110">
            <v>391</v>
          </cell>
          <cell r="Q110">
            <v>76.8</v>
          </cell>
          <cell r="R110">
            <v>9</v>
          </cell>
          <cell r="S110" t="str">
            <v>70 под опт</v>
          </cell>
        </row>
        <row r="111">
          <cell r="A111" t="str">
            <v>7651 ХОЧУ ВЕТЧ.МРАМОР. ПМ с/н мгс 1/100_Л11  ОСТАНКИНО</v>
          </cell>
          <cell r="B111" t="str">
            <v>шт</v>
          </cell>
          <cell r="E111">
            <v>3</v>
          </cell>
          <cell r="F111">
            <v>-5</v>
          </cell>
          <cell r="G111">
            <v>0</v>
          </cell>
          <cell r="I111" t="str">
            <v>вывод</v>
          </cell>
          <cell r="J111" t="str">
            <v>7731 ХОЧУ ВЕТЧ. МРАМОР. с/н мгс 1/100_45с_Л11  ОСТАНКИНО</v>
          </cell>
          <cell r="K111">
            <v>25</v>
          </cell>
          <cell r="L111">
            <v>-22</v>
          </cell>
          <cell r="M111">
            <v>3</v>
          </cell>
          <cell r="O111">
            <v>50</v>
          </cell>
          <cell r="Q111">
            <v>0.6</v>
          </cell>
        </row>
        <row r="112">
          <cell r="A112" t="str">
            <v>7710 КРАКОВСКАЯ ГОСТ п/к н/о мгс 0.3кг  ОСТАНКИНО</v>
          </cell>
          <cell r="B112" t="str">
            <v>шт</v>
          </cell>
          <cell r="C112">
            <v>5</v>
          </cell>
          <cell r="D112">
            <v>107</v>
          </cell>
          <cell r="E112">
            <v>8</v>
          </cell>
          <cell r="F112">
            <v>100</v>
          </cell>
          <cell r="G112">
            <v>0.3</v>
          </cell>
          <cell r="H112">
            <v>45</v>
          </cell>
          <cell r="I112" t="str">
            <v>матрица</v>
          </cell>
          <cell r="K112">
            <v>19</v>
          </cell>
          <cell r="L112">
            <v>-11</v>
          </cell>
          <cell r="M112">
            <v>8</v>
          </cell>
          <cell r="O112">
            <v>20</v>
          </cell>
          <cell r="Q112">
            <v>1.6</v>
          </cell>
        </row>
        <row r="113">
          <cell r="A113" t="str">
            <v>7725 ВЕТ.МРАМОРНАЯ в/у срез 0.3кг 6шт_62  ОСТАНКИНО</v>
          </cell>
          <cell r="B113" t="str">
            <v>шт</v>
          </cell>
          <cell r="D113">
            <v>276</v>
          </cell>
          <cell r="E113">
            <v>48</v>
          </cell>
          <cell r="F113">
            <v>284</v>
          </cell>
          <cell r="G113">
            <v>0.3</v>
          </cell>
          <cell r="H113">
            <v>62</v>
          </cell>
          <cell r="I113" t="str">
            <v>матрица</v>
          </cell>
          <cell r="L113">
            <v>48</v>
          </cell>
          <cell r="M113">
            <v>48</v>
          </cell>
          <cell r="O113">
            <v>40</v>
          </cell>
          <cell r="Q113">
            <v>9.6</v>
          </cell>
        </row>
        <row r="114">
          <cell r="A114" t="str">
            <v>7730 ХОЧУ ВЕТЧ.ИЗ СВ.ОТРУБА мгс 1/100_45с_Л11  ОСТАНКИНО</v>
          </cell>
          <cell r="B114" t="str">
            <v>шт</v>
          </cell>
          <cell r="D114">
            <v>40</v>
          </cell>
          <cell r="F114">
            <v>39</v>
          </cell>
          <cell r="G114">
            <v>0.1</v>
          </cell>
          <cell r="H114">
            <v>45</v>
          </cell>
          <cell r="I114" t="str">
            <v>матрица</v>
          </cell>
          <cell r="L114">
            <v>0</v>
          </cell>
          <cell r="M114">
            <v>0</v>
          </cell>
          <cell r="Q114">
            <v>0</v>
          </cell>
          <cell r="S114">
            <v>70</v>
          </cell>
        </row>
        <row r="115">
          <cell r="A115" t="str">
            <v>7731 ХОЧУ ВЕТЧ. МРАМОР. с/н мгс 1/100_45с_Л11  ОСТАНКИНО</v>
          </cell>
          <cell r="B115" t="str">
            <v>шт</v>
          </cell>
          <cell r="D115">
            <v>40</v>
          </cell>
          <cell r="E115">
            <v>3</v>
          </cell>
          <cell r="F115">
            <v>35</v>
          </cell>
          <cell r="G115">
            <v>0.1</v>
          </cell>
          <cell r="H115">
            <v>45</v>
          </cell>
          <cell r="I115" t="str">
            <v>матрица</v>
          </cell>
          <cell r="L115">
            <v>3</v>
          </cell>
          <cell r="M115">
            <v>3</v>
          </cell>
          <cell r="O115">
            <v>50</v>
          </cell>
          <cell r="Q115">
            <v>0.6</v>
          </cell>
          <cell r="S115">
            <v>70</v>
          </cell>
        </row>
        <row r="116">
          <cell r="A116" t="str">
            <v>8014 ДОКТОРСКАЯ ПРЕМИУМ вар п/о(п)    ОСТАНКИНО</v>
          </cell>
          <cell r="B116" t="str">
            <v>кг</v>
          </cell>
          <cell r="C116">
            <v>22.609000000000002</v>
          </cell>
          <cell r="D116">
            <v>10.845000000000001</v>
          </cell>
          <cell r="F116">
            <v>33.454000000000001</v>
          </cell>
          <cell r="G116">
            <v>1</v>
          </cell>
          <cell r="H116">
            <v>60</v>
          </cell>
          <cell r="I116" t="str">
            <v>матрица</v>
          </cell>
          <cell r="L116">
            <v>0</v>
          </cell>
          <cell r="M116">
            <v>0</v>
          </cell>
          <cell r="O116">
            <v>0</v>
          </cell>
          <cell r="Q116">
            <v>0</v>
          </cell>
        </row>
        <row r="117">
          <cell r="A117" t="str">
            <v>7512 ЧАЙНАЯ Останкино вар н/о мгс 1*3</v>
          </cell>
          <cell r="B117" t="str">
            <v>кг</v>
          </cell>
          <cell r="G117">
            <v>0</v>
          </cell>
          <cell r="I117" t="str">
            <v>РАЗОВО</v>
          </cell>
          <cell r="P117">
            <v>50</v>
          </cell>
          <cell r="Q117">
            <v>0</v>
          </cell>
        </row>
        <row r="118">
          <cell r="A118" t="str">
            <v>6764 СЛИВОЧНЫЕ сос ц/о мгс 1*4</v>
          </cell>
          <cell r="B118" t="str">
            <v>кг</v>
          </cell>
          <cell r="G118">
            <v>0</v>
          </cell>
          <cell r="I118" t="str">
            <v>РАЗОВО</v>
          </cell>
          <cell r="P118">
            <v>40</v>
          </cell>
          <cell r="Q118">
            <v>0</v>
          </cell>
        </row>
        <row r="119">
          <cell r="A119" t="str">
            <v>7224 МЯСНЫЕ ПРЕМИУМ пельм кор.0.4кг зам. (7224)</v>
          </cell>
          <cell r="B119" t="str">
            <v>шт</v>
          </cell>
          <cell r="G119">
            <v>0</v>
          </cell>
          <cell r="I119" t="str">
            <v>РАЗОВО</v>
          </cell>
          <cell r="P119">
            <v>60</v>
          </cell>
          <cell r="Q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" sqref="AL1"/>
    </sheetView>
  </sheetViews>
  <sheetFormatPr defaultRowHeight="15" x14ac:dyDescent="0.25"/>
  <cols>
    <col min="1" max="1" width="53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21" width="7" customWidth="1"/>
    <col min="22" max="22" width="7" style="25" customWidth="1"/>
    <col min="23" max="23" width="16.7109375" style="25" customWidth="1"/>
    <col min="24" max="25" width="5" customWidth="1"/>
    <col min="26" max="35" width="6" customWidth="1"/>
    <col min="36" max="36" width="20" customWidth="1"/>
    <col min="37" max="38" width="7" customWidth="1"/>
    <col min="39" max="52" width="3" customWidth="1"/>
  </cols>
  <sheetData>
    <row r="1" spans="1:52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26">
        <v>0.55000000000000004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 t="s">
        <v>199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193</v>
      </c>
      <c r="T3" s="2" t="s">
        <v>196</v>
      </c>
      <c r="U3" s="2" t="s">
        <v>196</v>
      </c>
      <c r="V3" s="2" t="s">
        <v>190</v>
      </c>
      <c r="W3" s="2" t="s">
        <v>192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20</v>
      </c>
      <c r="AK3" s="1" t="s">
        <v>21</v>
      </c>
      <c r="AL3" s="1" t="s">
        <v>21</v>
      </c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23</v>
      </c>
      <c r="R4" s="9"/>
      <c r="S4" s="9"/>
      <c r="T4" s="9" t="s">
        <v>197</v>
      </c>
      <c r="U4" s="9" t="s">
        <v>198</v>
      </c>
      <c r="V4" s="9" t="s">
        <v>191</v>
      </c>
      <c r="W4" s="9"/>
      <c r="X4" s="9"/>
      <c r="Y4" s="9"/>
      <c r="Z4" s="9" t="s">
        <v>24</v>
      </c>
      <c r="AA4" s="9" t="s">
        <v>25</v>
      </c>
      <c r="AB4" s="9" t="s">
        <v>26</v>
      </c>
      <c r="AC4" s="9" t="s">
        <v>27</v>
      </c>
      <c r="AD4" s="9" t="s">
        <v>28</v>
      </c>
      <c r="AE4" s="9" t="s">
        <v>29</v>
      </c>
      <c r="AF4" s="9" t="s">
        <v>30</v>
      </c>
      <c r="AG4" s="9" t="s">
        <v>31</v>
      </c>
      <c r="AH4" s="9" t="s">
        <v>32</v>
      </c>
      <c r="AI4" s="9" t="s">
        <v>33</v>
      </c>
      <c r="AJ4" s="9"/>
      <c r="AK4" s="9" t="s">
        <v>197</v>
      </c>
      <c r="AL4" s="9" t="s">
        <v>198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x14ac:dyDescent="0.25">
      <c r="A5" s="9"/>
      <c r="B5" s="9"/>
      <c r="C5" s="9"/>
      <c r="D5" s="9"/>
      <c r="E5" s="3">
        <f>SUM(E6:E497)</f>
        <v>18298.444</v>
      </c>
      <c r="F5" s="3">
        <f>SUM(F6:F497)</f>
        <v>20961.11</v>
      </c>
      <c r="G5" s="6"/>
      <c r="H5" s="9"/>
      <c r="I5" s="9"/>
      <c r="J5" s="9"/>
      <c r="K5" s="3">
        <f t="shared" ref="K5:T5" si="0">SUM(K6:K497)</f>
        <v>21893.653999999999</v>
      </c>
      <c r="L5" s="3">
        <f t="shared" si="0"/>
        <v>-3595.21</v>
      </c>
      <c r="M5" s="3">
        <f t="shared" si="0"/>
        <v>16578.518000000004</v>
      </c>
      <c r="N5" s="3">
        <f t="shared" si="0"/>
        <v>1719.9260000000002</v>
      </c>
      <c r="O5" s="3">
        <f t="shared" si="0"/>
        <v>10250</v>
      </c>
      <c r="P5" s="3">
        <f t="shared" si="0"/>
        <v>8153</v>
      </c>
      <c r="Q5" s="3">
        <f t="shared" si="0"/>
        <v>3315.7036000000003</v>
      </c>
      <c r="R5" s="3">
        <f t="shared" si="0"/>
        <v>15158.0846</v>
      </c>
      <c r="S5" s="3">
        <f t="shared" si="0"/>
        <v>18244</v>
      </c>
      <c r="T5" s="3">
        <f t="shared" si="0"/>
        <v>9035</v>
      </c>
      <c r="U5" s="3">
        <f t="shared" ref="U5" si="1">SUM(U6:U497)</f>
        <v>9209</v>
      </c>
      <c r="V5" s="3"/>
      <c r="W5" s="3"/>
      <c r="X5" s="9"/>
      <c r="Y5" s="9"/>
      <c r="Z5" s="3">
        <f t="shared" ref="Z5:AI5" si="2">SUM(Z6:Z497)</f>
        <v>3616.305600000001</v>
      </c>
      <c r="AA5" s="3">
        <f t="shared" si="2"/>
        <v>3732.5130000000004</v>
      </c>
      <c r="AB5" s="3">
        <f t="shared" si="2"/>
        <v>3704.648999999999</v>
      </c>
      <c r="AC5" s="3">
        <f t="shared" si="2"/>
        <v>4053.4702000000011</v>
      </c>
      <c r="AD5" s="3">
        <f t="shared" si="2"/>
        <v>3803.7256000000002</v>
      </c>
      <c r="AE5" s="3">
        <f t="shared" si="2"/>
        <v>4063.1035999999999</v>
      </c>
      <c r="AF5" s="3">
        <f t="shared" si="2"/>
        <v>3687.2408000000005</v>
      </c>
      <c r="AG5" s="3">
        <f t="shared" si="2"/>
        <v>3904.813000000001</v>
      </c>
      <c r="AH5" s="3">
        <f t="shared" si="2"/>
        <v>2968.3865999999985</v>
      </c>
      <c r="AI5" s="3">
        <f t="shared" si="2"/>
        <v>3738.7068000000013</v>
      </c>
      <c r="AJ5" s="9"/>
      <c r="AK5" s="3">
        <f>SUM(AK6:AK497)</f>
        <v>3655.5600000000009</v>
      </c>
      <c r="AL5" s="3">
        <f>SUM(AL6:AL497)</f>
        <v>3554.8600000000006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x14ac:dyDescent="0.25">
      <c r="A6" s="9" t="s">
        <v>34</v>
      </c>
      <c r="B6" s="9" t="s">
        <v>35</v>
      </c>
      <c r="C6" s="9">
        <v>10.877000000000001</v>
      </c>
      <c r="D6" s="9"/>
      <c r="E6" s="9">
        <v>2.71</v>
      </c>
      <c r="F6" s="9">
        <v>8.1669999999999998</v>
      </c>
      <c r="G6" s="6">
        <v>1</v>
      </c>
      <c r="H6" s="9">
        <v>120</v>
      </c>
      <c r="I6" s="9" t="s">
        <v>36</v>
      </c>
      <c r="J6" s="9"/>
      <c r="K6" s="9">
        <v>2.5499999999999998</v>
      </c>
      <c r="L6" s="9">
        <f t="shared" ref="L6:L37" si="3">E6-K6</f>
        <v>0.16000000000000014</v>
      </c>
      <c r="M6" s="9">
        <f t="shared" ref="M6:M37" si="4">E6-N6</f>
        <v>2.71</v>
      </c>
      <c r="N6" s="9"/>
      <c r="O6" s="9">
        <v>11</v>
      </c>
      <c r="P6" s="9"/>
      <c r="Q6" s="9">
        <f t="shared" ref="Q6:Q37" si="5">M6/5</f>
        <v>0.54200000000000004</v>
      </c>
      <c r="R6" s="4"/>
      <c r="S6" s="4">
        <f>ROUND(R6,0)</f>
        <v>0</v>
      </c>
      <c r="T6" s="4">
        <f>ROUND(S6-U6,0)</f>
        <v>0</v>
      </c>
      <c r="U6" s="4"/>
      <c r="V6" s="22"/>
      <c r="W6" s="22"/>
      <c r="X6" s="9">
        <f>(F6+O6+P6+S6)/Q6</f>
        <v>35.363468634686349</v>
      </c>
      <c r="Y6" s="9">
        <f t="shared" ref="Y6:Y37" si="6">(F6+O6+P6)/Q6</f>
        <v>35.363468634686349</v>
      </c>
      <c r="Z6" s="9">
        <v>1.4428000000000001</v>
      </c>
      <c r="AA6" s="9">
        <v>0.64219999999999999</v>
      </c>
      <c r="AB6" s="9">
        <v>0.87660000000000005</v>
      </c>
      <c r="AC6" s="9">
        <v>0.55179999999999996</v>
      </c>
      <c r="AD6" s="9">
        <v>1.7470000000000001</v>
      </c>
      <c r="AE6" s="9">
        <v>1.9588000000000001</v>
      </c>
      <c r="AF6" s="9">
        <v>0</v>
      </c>
      <c r="AG6" s="9">
        <v>0</v>
      </c>
      <c r="AH6" s="9">
        <v>0</v>
      </c>
      <c r="AI6" s="9">
        <v>0</v>
      </c>
      <c r="AJ6" s="17" t="s">
        <v>128</v>
      </c>
      <c r="AK6" s="9">
        <f>G6*T6</f>
        <v>0</v>
      </c>
      <c r="AL6" s="9">
        <f>G6*U6</f>
        <v>0</v>
      </c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A7" s="9" t="s">
        <v>38</v>
      </c>
      <c r="B7" s="9" t="s">
        <v>39</v>
      </c>
      <c r="C7" s="9">
        <v>502</v>
      </c>
      <c r="D7" s="9">
        <v>23</v>
      </c>
      <c r="E7" s="9">
        <v>243</v>
      </c>
      <c r="F7" s="9">
        <v>244</v>
      </c>
      <c r="G7" s="6">
        <v>0.4</v>
      </c>
      <c r="H7" s="9">
        <v>60</v>
      </c>
      <c r="I7" s="9" t="s">
        <v>36</v>
      </c>
      <c r="J7" s="9"/>
      <c r="K7" s="9">
        <v>316</v>
      </c>
      <c r="L7" s="9">
        <f t="shared" si="3"/>
        <v>-73</v>
      </c>
      <c r="M7" s="9">
        <f t="shared" si="4"/>
        <v>243</v>
      </c>
      <c r="N7" s="9"/>
      <c r="O7" s="9">
        <v>130</v>
      </c>
      <c r="P7" s="9">
        <v>107</v>
      </c>
      <c r="Q7" s="9">
        <f t="shared" si="5"/>
        <v>48.6</v>
      </c>
      <c r="R7" s="4">
        <f t="shared" ref="R7:R19" si="7">15*Q7-P7-O7-F7</f>
        <v>248</v>
      </c>
      <c r="S7" s="4">
        <f t="shared" ref="S7:S70" si="8">ROUND(R7,0)</f>
        <v>248</v>
      </c>
      <c r="T7" s="4">
        <f t="shared" ref="T7:T70" si="9">ROUND(S7-U7,0)</f>
        <v>112</v>
      </c>
      <c r="U7" s="4">
        <f>ROUND(S7*$U$1,0)</f>
        <v>136</v>
      </c>
      <c r="V7" s="22"/>
      <c r="W7" s="22"/>
      <c r="X7" s="9">
        <f t="shared" ref="X7:X70" si="10">(F7+O7+P7+S7)/Q7</f>
        <v>15</v>
      </c>
      <c r="Y7" s="9">
        <f t="shared" si="6"/>
        <v>9.8971193415637853</v>
      </c>
      <c r="Z7" s="9">
        <v>49.2</v>
      </c>
      <c r="AA7" s="9">
        <v>44.2</v>
      </c>
      <c r="AB7" s="9">
        <v>63.2</v>
      </c>
      <c r="AC7" s="9">
        <v>59.6</v>
      </c>
      <c r="AD7" s="9">
        <v>53.2</v>
      </c>
      <c r="AE7" s="9">
        <v>61.8</v>
      </c>
      <c r="AF7" s="9">
        <v>50.6</v>
      </c>
      <c r="AG7" s="9">
        <v>53.6</v>
      </c>
      <c r="AH7" s="9">
        <v>52.4</v>
      </c>
      <c r="AI7" s="9">
        <v>61.6</v>
      </c>
      <c r="AJ7" s="9"/>
      <c r="AK7" s="9">
        <f t="shared" ref="AK7:AL70" si="11">G7*T7</f>
        <v>44.800000000000004</v>
      </c>
      <c r="AL7" s="9">
        <f t="shared" ref="AL7:AL70" si="12">G7*U7</f>
        <v>54.400000000000006</v>
      </c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A8" s="9" t="s">
        <v>40</v>
      </c>
      <c r="B8" s="9" t="s">
        <v>35</v>
      </c>
      <c r="C8" s="9">
        <v>9.4760000000000009</v>
      </c>
      <c r="D8" s="9">
        <v>8.0329999999999995</v>
      </c>
      <c r="E8" s="9">
        <v>6.95</v>
      </c>
      <c r="F8" s="9">
        <v>9.5649999999999995</v>
      </c>
      <c r="G8" s="6">
        <v>1</v>
      </c>
      <c r="H8" s="9">
        <v>120</v>
      </c>
      <c r="I8" s="9" t="s">
        <v>36</v>
      </c>
      <c r="J8" s="9"/>
      <c r="K8" s="9">
        <v>6</v>
      </c>
      <c r="L8" s="9">
        <f t="shared" si="3"/>
        <v>0.95000000000000018</v>
      </c>
      <c r="M8" s="9">
        <f t="shared" si="4"/>
        <v>6.95</v>
      </c>
      <c r="N8" s="9"/>
      <c r="O8" s="9">
        <v>7</v>
      </c>
      <c r="P8" s="9"/>
      <c r="Q8" s="9">
        <f t="shared" si="5"/>
        <v>1.3900000000000001</v>
      </c>
      <c r="R8" s="4">
        <f t="shared" si="7"/>
        <v>4.2850000000000019</v>
      </c>
      <c r="S8" s="4">
        <f t="shared" si="8"/>
        <v>4</v>
      </c>
      <c r="T8" s="4">
        <f t="shared" si="9"/>
        <v>4</v>
      </c>
      <c r="U8" s="4"/>
      <c r="V8" s="22"/>
      <c r="W8" s="22"/>
      <c r="X8" s="9">
        <f t="shared" si="10"/>
        <v>14.794964028776976</v>
      </c>
      <c r="Y8" s="9">
        <f t="shared" si="6"/>
        <v>11.917266187050357</v>
      </c>
      <c r="Z8" s="9">
        <v>1.7829999999999999</v>
      </c>
      <c r="AA8" s="9">
        <v>1.9181999999999999</v>
      </c>
      <c r="AB8" s="9">
        <v>1.9998</v>
      </c>
      <c r="AC8" s="9">
        <v>1.2982</v>
      </c>
      <c r="AD8" s="9">
        <v>1.3169999999999999</v>
      </c>
      <c r="AE8" s="9">
        <v>2.0024000000000002</v>
      </c>
      <c r="AF8" s="9">
        <v>1.6033999999999999</v>
      </c>
      <c r="AG8" s="9">
        <v>3.3054000000000001</v>
      </c>
      <c r="AH8" s="9">
        <v>2.7782</v>
      </c>
      <c r="AI8" s="9">
        <v>1.0962000000000001</v>
      </c>
      <c r="AJ8" s="9"/>
      <c r="AK8" s="9">
        <f t="shared" si="11"/>
        <v>4</v>
      </c>
      <c r="AL8" s="9">
        <f t="shared" si="12"/>
        <v>0</v>
      </c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x14ac:dyDescent="0.25">
      <c r="A9" s="9" t="s">
        <v>41</v>
      </c>
      <c r="B9" s="9" t="s">
        <v>39</v>
      </c>
      <c r="C9" s="9">
        <v>163</v>
      </c>
      <c r="D9" s="9">
        <v>264</v>
      </c>
      <c r="E9" s="9">
        <v>210</v>
      </c>
      <c r="F9" s="9">
        <v>196</v>
      </c>
      <c r="G9" s="6">
        <v>0.25</v>
      </c>
      <c r="H9" s="9">
        <v>120</v>
      </c>
      <c r="I9" s="9" t="s">
        <v>36</v>
      </c>
      <c r="J9" s="9"/>
      <c r="K9" s="9">
        <v>218</v>
      </c>
      <c r="L9" s="9">
        <f t="shared" si="3"/>
        <v>-8</v>
      </c>
      <c r="M9" s="9">
        <f t="shared" si="4"/>
        <v>194</v>
      </c>
      <c r="N9" s="9">
        <v>16</v>
      </c>
      <c r="O9" s="9">
        <v>0</v>
      </c>
      <c r="P9" s="9"/>
      <c r="Q9" s="9">
        <f t="shared" si="5"/>
        <v>38.799999999999997</v>
      </c>
      <c r="R9" s="4">
        <f t="shared" si="7"/>
        <v>386</v>
      </c>
      <c r="S9" s="4">
        <f t="shared" si="8"/>
        <v>386</v>
      </c>
      <c r="T9" s="4">
        <f t="shared" si="9"/>
        <v>174</v>
      </c>
      <c r="U9" s="4">
        <f t="shared" ref="U9:U10" si="13">ROUND(S9*$U$1,0)</f>
        <v>212</v>
      </c>
      <c r="V9" s="22"/>
      <c r="W9" s="22"/>
      <c r="X9" s="9">
        <f t="shared" si="10"/>
        <v>15.000000000000002</v>
      </c>
      <c r="Y9" s="9">
        <f t="shared" si="6"/>
        <v>5.051546391752578</v>
      </c>
      <c r="Z9" s="9">
        <v>23.8</v>
      </c>
      <c r="AA9" s="9">
        <v>47.8</v>
      </c>
      <c r="AB9" s="9">
        <v>44.4</v>
      </c>
      <c r="AC9" s="9">
        <v>35.6</v>
      </c>
      <c r="AD9" s="9">
        <v>45.4</v>
      </c>
      <c r="AE9" s="9">
        <v>42.8</v>
      </c>
      <c r="AF9" s="9">
        <v>42</v>
      </c>
      <c r="AG9" s="9">
        <v>36.200000000000003</v>
      </c>
      <c r="AH9" s="9">
        <v>28.4</v>
      </c>
      <c r="AI9" s="9">
        <v>46.4</v>
      </c>
      <c r="AJ9" s="9"/>
      <c r="AK9" s="9">
        <f t="shared" si="11"/>
        <v>43.5</v>
      </c>
      <c r="AL9" s="9">
        <f t="shared" si="12"/>
        <v>53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25">
      <c r="A10" s="9" t="s">
        <v>42</v>
      </c>
      <c r="B10" s="9" t="s">
        <v>35</v>
      </c>
      <c r="C10" s="9">
        <v>716.99300000000005</v>
      </c>
      <c r="D10" s="9">
        <v>1139.655</v>
      </c>
      <c r="E10" s="9">
        <v>867.37800000000004</v>
      </c>
      <c r="F10" s="9">
        <v>925.40700000000004</v>
      </c>
      <c r="G10" s="6">
        <v>1</v>
      </c>
      <c r="H10" s="9">
        <v>60</v>
      </c>
      <c r="I10" s="9" t="s">
        <v>36</v>
      </c>
      <c r="J10" s="9"/>
      <c r="K10" s="9">
        <v>938.49099999999999</v>
      </c>
      <c r="L10" s="9">
        <f t="shared" si="3"/>
        <v>-71.112999999999943</v>
      </c>
      <c r="M10" s="9">
        <f t="shared" si="4"/>
        <v>695.68700000000001</v>
      </c>
      <c r="N10" s="9">
        <v>171.691</v>
      </c>
      <c r="O10" s="9">
        <v>615</v>
      </c>
      <c r="P10" s="9">
        <v>503</v>
      </c>
      <c r="Q10" s="9">
        <f t="shared" si="5"/>
        <v>139.13740000000001</v>
      </c>
      <c r="R10" s="4">
        <f t="shared" si="7"/>
        <v>43.65400000000011</v>
      </c>
      <c r="S10" s="4">
        <v>400</v>
      </c>
      <c r="T10" s="4">
        <f t="shared" si="9"/>
        <v>180</v>
      </c>
      <c r="U10" s="4">
        <f t="shared" si="13"/>
        <v>220</v>
      </c>
      <c r="V10" s="22">
        <v>400</v>
      </c>
      <c r="W10" s="22" t="str">
        <f>VLOOKUP(A10,[1]Sheet!$A:$S,19,0)</f>
        <v>400 под опт</v>
      </c>
      <c r="X10" s="9">
        <f t="shared" si="10"/>
        <v>17.561108659497734</v>
      </c>
      <c r="Y10" s="9">
        <f t="shared" si="6"/>
        <v>14.686252581980114</v>
      </c>
      <c r="Z10" s="9">
        <v>177.2208</v>
      </c>
      <c r="AA10" s="9">
        <v>162.0138</v>
      </c>
      <c r="AB10" s="9">
        <v>141.596</v>
      </c>
      <c r="AC10" s="9">
        <v>208.3434</v>
      </c>
      <c r="AD10" s="9">
        <v>225.7998</v>
      </c>
      <c r="AE10" s="9">
        <v>174.0976</v>
      </c>
      <c r="AF10" s="9">
        <v>215.34819999999999</v>
      </c>
      <c r="AG10" s="9">
        <v>230.37479999999999</v>
      </c>
      <c r="AH10" s="9">
        <v>177.86240000000001</v>
      </c>
      <c r="AI10" s="9">
        <v>189.81739999999999</v>
      </c>
      <c r="AJ10" s="9"/>
      <c r="AK10" s="9">
        <f t="shared" si="11"/>
        <v>180</v>
      </c>
      <c r="AL10" s="9">
        <f t="shared" si="12"/>
        <v>220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x14ac:dyDescent="0.25">
      <c r="A11" s="9" t="s">
        <v>43</v>
      </c>
      <c r="B11" s="9" t="s">
        <v>35</v>
      </c>
      <c r="C11" s="9">
        <v>49.966999999999999</v>
      </c>
      <c r="D11" s="9"/>
      <c r="E11" s="9">
        <v>12.894</v>
      </c>
      <c r="F11" s="9">
        <v>33.613999999999997</v>
      </c>
      <c r="G11" s="6">
        <v>1</v>
      </c>
      <c r="H11" s="9">
        <v>120</v>
      </c>
      <c r="I11" s="9" t="s">
        <v>36</v>
      </c>
      <c r="J11" s="9"/>
      <c r="K11" s="9">
        <v>12.5</v>
      </c>
      <c r="L11" s="9">
        <f t="shared" si="3"/>
        <v>0.39400000000000013</v>
      </c>
      <c r="M11" s="9">
        <f t="shared" si="4"/>
        <v>12.894</v>
      </c>
      <c r="N11" s="9"/>
      <c r="O11" s="9">
        <v>0</v>
      </c>
      <c r="P11" s="9"/>
      <c r="Q11" s="9">
        <f t="shared" si="5"/>
        <v>2.5788000000000002</v>
      </c>
      <c r="R11" s="4">
        <f t="shared" si="7"/>
        <v>5.0680000000000049</v>
      </c>
      <c r="S11" s="4">
        <f t="shared" si="8"/>
        <v>5</v>
      </c>
      <c r="T11" s="4">
        <f t="shared" si="9"/>
        <v>5</v>
      </c>
      <c r="U11" s="4"/>
      <c r="V11" s="22"/>
      <c r="W11" s="22"/>
      <c r="X11" s="9">
        <f t="shared" si="10"/>
        <v>14.973631146269581</v>
      </c>
      <c r="Y11" s="9">
        <f t="shared" si="6"/>
        <v>13.03474484256243</v>
      </c>
      <c r="Z11" s="9">
        <v>1.7874000000000001</v>
      </c>
      <c r="AA11" s="9">
        <v>3.0638000000000001</v>
      </c>
      <c r="AB11" s="9">
        <v>4.6503999999999994</v>
      </c>
      <c r="AC11" s="9">
        <v>2.274</v>
      </c>
      <c r="AD11" s="9">
        <v>3.2793999999999999</v>
      </c>
      <c r="AE11" s="9">
        <v>2.0808</v>
      </c>
      <c r="AF11" s="9">
        <v>1.0946</v>
      </c>
      <c r="AG11" s="9">
        <v>4.2603999999999997</v>
      </c>
      <c r="AH11" s="9">
        <v>2.5825999999999998</v>
      </c>
      <c r="AI11" s="9">
        <v>1.2851999999999999</v>
      </c>
      <c r="AJ11" s="9"/>
      <c r="AK11" s="9">
        <f t="shared" si="11"/>
        <v>5</v>
      </c>
      <c r="AL11" s="9">
        <f t="shared" si="12"/>
        <v>0</v>
      </c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x14ac:dyDescent="0.25">
      <c r="A12" s="9" t="s">
        <v>45</v>
      </c>
      <c r="B12" s="9" t="s">
        <v>35</v>
      </c>
      <c r="C12" s="9">
        <v>143.79499999999999</v>
      </c>
      <c r="D12" s="9">
        <v>95.74</v>
      </c>
      <c r="E12" s="9">
        <v>118.996</v>
      </c>
      <c r="F12" s="9">
        <v>110.15300000000001</v>
      </c>
      <c r="G12" s="6">
        <v>1</v>
      </c>
      <c r="H12" s="9">
        <v>60</v>
      </c>
      <c r="I12" s="9" t="s">
        <v>36</v>
      </c>
      <c r="J12" s="9"/>
      <c r="K12" s="9">
        <v>134.20400000000001</v>
      </c>
      <c r="L12" s="9">
        <f t="shared" si="3"/>
        <v>-15.208000000000013</v>
      </c>
      <c r="M12" s="9">
        <f t="shared" si="4"/>
        <v>98.691999999999993</v>
      </c>
      <c r="N12" s="9">
        <v>20.303999999999998</v>
      </c>
      <c r="O12" s="9">
        <v>92</v>
      </c>
      <c r="P12" s="9">
        <v>76</v>
      </c>
      <c r="Q12" s="9">
        <f t="shared" si="5"/>
        <v>19.738399999999999</v>
      </c>
      <c r="R12" s="4">
        <f t="shared" si="7"/>
        <v>17.922999999999959</v>
      </c>
      <c r="S12" s="4">
        <v>60</v>
      </c>
      <c r="T12" s="4">
        <f t="shared" si="9"/>
        <v>60</v>
      </c>
      <c r="U12" s="4"/>
      <c r="V12" s="22">
        <v>60</v>
      </c>
      <c r="W12" s="22" t="str">
        <f>VLOOKUP(A12,[1]Sheet!$A:$S,19,0)</f>
        <v>60 под опт</v>
      </c>
      <c r="X12" s="9">
        <f t="shared" si="10"/>
        <v>17.131733068536459</v>
      </c>
      <c r="Y12" s="9">
        <f t="shared" si="6"/>
        <v>14.091973006930655</v>
      </c>
      <c r="Z12" s="9">
        <v>25.496200000000002</v>
      </c>
      <c r="AA12" s="9">
        <v>22.7378</v>
      </c>
      <c r="AB12" s="9">
        <v>25.923200000000001</v>
      </c>
      <c r="AC12" s="9">
        <v>29.3096</v>
      </c>
      <c r="AD12" s="9">
        <v>25.694800000000001</v>
      </c>
      <c r="AE12" s="9">
        <v>20.074200000000001</v>
      </c>
      <c r="AF12" s="9">
        <v>38.593400000000003</v>
      </c>
      <c r="AG12" s="9">
        <v>13.6388</v>
      </c>
      <c r="AH12" s="9">
        <v>20.777999999999999</v>
      </c>
      <c r="AI12" s="9">
        <v>25.1952</v>
      </c>
      <c r="AJ12" s="9"/>
      <c r="AK12" s="9">
        <f t="shared" si="11"/>
        <v>60</v>
      </c>
      <c r="AL12" s="9">
        <f t="shared" si="12"/>
        <v>0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25">
      <c r="A13" s="9" t="s">
        <v>46</v>
      </c>
      <c r="B13" s="9" t="s">
        <v>35</v>
      </c>
      <c r="C13" s="9">
        <v>455.42399999999998</v>
      </c>
      <c r="D13" s="9">
        <v>605.38900000000001</v>
      </c>
      <c r="E13" s="9">
        <v>396.24900000000002</v>
      </c>
      <c r="F13" s="9">
        <v>598.68600000000004</v>
      </c>
      <c r="G13" s="6">
        <v>1</v>
      </c>
      <c r="H13" s="9">
        <v>60</v>
      </c>
      <c r="I13" s="9" t="s">
        <v>36</v>
      </c>
      <c r="J13" s="9"/>
      <c r="K13" s="9">
        <v>461.31200000000001</v>
      </c>
      <c r="L13" s="9">
        <f t="shared" si="3"/>
        <v>-65.062999999999988</v>
      </c>
      <c r="M13" s="9">
        <f t="shared" si="4"/>
        <v>355.73700000000002</v>
      </c>
      <c r="N13" s="9">
        <v>40.512</v>
      </c>
      <c r="O13" s="9">
        <v>133</v>
      </c>
      <c r="P13" s="9">
        <v>108</v>
      </c>
      <c r="Q13" s="9">
        <f t="shared" si="5"/>
        <v>71.147400000000005</v>
      </c>
      <c r="R13" s="4">
        <f t="shared" si="7"/>
        <v>227.52499999999998</v>
      </c>
      <c r="S13" s="4">
        <v>450</v>
      </c>
      <c r="T13" s="4">
        <f t="shared" si="9"/>
        <v>202</v>
      </c>
      <c r="U13" s="4">
        <f>ROUND(S13*$U$1,0)</f>
        <v>248</v>
      </c>
      <c r="V13" s="22">
        <v>450</v>
      </c>
      <c r="W13" s="22" t="str">
        <f>VLOOKUP(A13,[1]Sheet!$A:$S,19,0)</f>
        <v>450 под опт</v>
      </c>
      <c r="X13" s="9">
        <f t="shared" si="10"/>
        <v>18.126958961255085</v>
      </c>
      <c r="Y13" s="9">
        <f t="shared" si="6"/>
        <v>11.802061635421673</v>
      </c>
      <c r="Z13" s="9">
        <v>76.904600000000002</v>
      </c>
      <c r="AA13" s="9">
        <v>86.933199999999999</v>
      </c>
      <c r="AB13" s="9">
        <v>82.171599999999998</v>
      </c>
      <c r="AC13" s="9">
        <v>87.552800000000005</v>
      </c>
      <c r="AD13" s="9">
        <v>96.514600000000002</v>
      </c>
      <c r="AE13" s="9">
        <v>81.86760000000001</v>
      </c>
      <c r="AF13" s="9">
        <v>92.710000000000008</v>
      </c>
      <c r="AG13" s="9">
        <v>102.6878</v>
      </c>
      <c r="AH13" s="9">
        <v>70.695400000000006</v>
      </c>
      <c r="AI13" s="9">
        <v>93.634</v>
      </c>
      <c r="AJ13" s="9"/>
      <c r="AK13" s="9">
        <f t="shared" si="11"/>
        <v>202</v>
      </c>
      <c r="AL13" s="9">
        <f t="shared" si="12"/>
        <v>248</v>
      </c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x14ac:dyDescent="0.25">
      <c r="A14" s="9" t="s">
        <v>47</v>
      </c>
      <c r="B14" s="9" t="s">
        <v>39</v>
      </c>
      <c r="C14" s="9">
        <v>10</v>
      </c>
      <c r="D14" s="9">
        <v>3</v>
      </c>
      <c r="E14" s="9">
        <v>10</v>
      </c>
      <c r="F14" s="9"/>
      <c r="G14" s="6">
        <v>0.25</v>
      </c>
      <c r="H14" s="9">
        <v>120</v>
      </c>
      <c r="I14" s="9" t="s">
        <v>36</v>
      </c>
      <c r="J14" s="9"/>
      <c r="K14" s="9">
        <v>107</v>
      </c>
      <c r="L14" s="9">
        <f t="shared" si="3"/>
        <v>-97</v>
      </c>
      <c r="M14" s="9">
        <f t="shared" si="4"/>
        <v>10</v>
      </c>
      <c r="N14" s="9"/>
      <c r="O14" s="9">
        <v>49</v>
      </c>
      <c r="P14" s="9">
        <v>41</v>
      </c>
      <c r="Q14" s="9">
        <f t="shared" si="5"/>
        <v>2</v>
      </c>
      <c r="R14" s="4">
        <v>100</v>
      </c>
      <c r="S14" s="4">
        <f t="shared" si="8"/>
        <v>100</v>
      </c>
      <c r="T14" s="4">
        <f t="shared" si="9"/>
        <v>100</v>
      </c>
      <c r="U14" s="4"/>
      <c r="V14" s="22"/>
      <c r="W14" s="22"/>
      <c r="X14" s="9">
        <f t="shared" si="10"/>
        <v>95</v>
      </c>
      <c r="Y14" s="9">
        <f t="shared" si="6"/>
        <v>45</v>
      </c>
      <c r="Z14" s="9">
        <v>10</v>
      </c>
      <c r="AA14" s="9">
        <v>4</v>
      </c>
      <c r="AB14" s="9">
        <v>4.8</v>
      </c>
      <c r="AC14" s="9">
        <v>6</v>
      </c>
      <c r="AD14" s="9">
        <v>5.8</v>
      </c>
      <c r="AE14" s="9">
        <v>6.4</v>
      </c>
      <c r="AF14" s="9">
        <v>8.1999999999999993</v>
      </c>
      <c r="AG14" s="9">
        <v>12.2</v>
      </c>
      <c r="AH14" s="9">
        <v>7</v>
      </c>
      <c r="AI14" s="9">
        <v>15</v>
      </c>
      <c r="AJ14" s="9"/>
      <c r="AK14" s="9">
        <f t="shared" si="11"/>
        <v>25</v>
      </c>
      <c r="AL14" s="9">
        <f t="shared" si="12"/>
        <v>0</v>
      </c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x14ac:dyDescent="0.25">
      <c r="A15" s="9" t="s">
        <v>48</v>
      </c>
      <c r="B15" s="9" t="s">
        <v>35</v>
      </c>
      <c r="C15" s="9">
        <v>118.735</v>
      </c>
      <c r="D15" s="9">
        <v>28.768000000000001</v>
      </c>
      <c r="E15" s="9">
        <v>64.186999999999998</v>
      </c>
      <c r="F15" s="9">
        <v>79.206999999999994</v>
      </c>
      <c r="G15" s="6">
        <v>1</v>
      </c>
      <c r="H15" s="9">
        <v>60</v>
      </c>
      <c r="I15" s="9" t="s">
        <v>36</v>
      </c>
      <c r="J15" s="9"/>
      <c r="K15" s="9">
        <v>68.099999999999994</v>
      </c>
      <c r="L15" s="9">
        <f t="shared" si="3"/>
        <v>-3.9129999999999967</v>
      </c>
      <c r="M15" s="9">
        <f t="shared" si="4"/>
        <v>64.186999999999998</v>
      </c>
      <c r="N15" s="9"/>
      <c r="O15" s="9">
        <v>0</v>
      </c>
      <c r="P15" s="9"/>
      <c r="Q15" s="9">
        <f t="shared" si="5"/>
        <v>12.837399999999999</v>
      </c>
      <c r="R15" s="4">
        <f t="shared" si="7"/>
        <v>113.35399999999998</v>
      </c>
      <c r="S15" s="4">
        <f t="shared" si="8"/>
        <v>113</v>
      </c>
      <c r="T15" s="4">
        <f t="shared" si="9"/>
        <v>51</v>
      </c>
      <c r="U15" s="4">
        <f>ROUND(S15*$U$1,0)</f>
        <v>62</v>
      </c>
      <c r="V15" s="22"/>
      <c r="W15" s="22"/>
      <c r="X15" s="9">
        <f t="shared" si="10"/>
        <v>14.972424322682164</v>
      </c>
      <c r="Y15" s="9">
        <f t="shared" si="6"/>
        <v>6.1700188511692398</v>
      </c>
      <c r="Z15" s="9">
        <v>9.303799999999999</v>
      </c>
      <c r="AA15" s="9">
        <v>13.2</v>
      </c>
      <c r="AB15" s="9">
        <v>9.8795999999999999</v>
      </c>
      <c r="AC15" s="9">
        <v>18.919599999999999</v>
      </c>
      <c r="AD15" s="9">
        <v>14.2012</v>
      </c>
      <c r="AE15" s="9">
        <v>16.54</v>
      </c>
      <c r="AF15" s="9">
        <v>18.708400000000001</v>
      </c>
      <c r="AG15" s="9">
        <v>17.046800000000001</v>
      </c>
      <c r="AH15" s="9">
        <v>10.5136</v>
      </c>
      <c r="AI15" s="9">
        <v>19.4328</v>
      </c>
      <c r="AJ15" s="9"/>
      <c r="AK15" s="9">
        <f t="shared" si="11"/>
        <v>51</v>
      </c>
      <c r="AL15" s="9">
        <f t="shared" si="12"/>
        <v>62</v>
      </c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25">
      <c r="A16" s="9" t="s">
        <v>49</v>
      </c>
      <c r="B16" s="9" t="s">
        <v>39</v>
      </c>
      <c r="C16" s="9">
        <v>196</v>
      </c>
      <c r="D16" s="9">
        <v>16</v>
      </c>
      <c r="E16" s="9">
        <v>55</v>
      </c>
      <c r="F16" s="9">
        <v>153</v>
      </c>
      <c r="G16" s="6">
        <v>0.25</v>
      </c>
      <c r="H16" s="9">
        <v>120</v>
      </c>
      <c r="I16" s="9" t="s">
        <v>36</v>
      </c>
      <c r="J16" s="9"/>
      <c r="K16" s="9">
        <v>60</v>
      </c>
      <c r="L16" s="9">
        <f t="shared" si="3"/>
        <v>-5</v>
      </c>
      <c r="M16" s="9">
        <f t="shared" si="4"/>
        <v>39</v>
      </c>
      <c r="N16" s="9">
        <v>16</v>
      </c>
      <c r="O16" s="9">
        <v>35</v>
      </c>
      <c r="P16" s="9"/>
      <c r="Q16" s="9">
        <f t="shared" si="5"/>
        <v>7.8</v>
      </c>
      <c r="R16" s="4"/>
      <c r="S16" s="4">
        <f t="shared" si="8"/>
        <v>0</v>
      </c>
      <c r="T16" s="4">
        <f t="shared" si="9"/>
        <v>0</v>
      </c>
      <c r="U16" s="4"/>
      <c r="V16" s="22"/>
      <c r="W16" s="22"/>
      <c r="X16" s="9">
        <f t="shared" si="10"/>
        <v>24.102564102564102</v>
      </c>
      <c r="Y16" s="9">
        <f t="shared" si="6"/>
        <v>24.102564102564102</v>
      </c>
      <c r="Z16" s="9">
        <v>15.4</v>
      </c>
      <c r="AA16" s="9">
        <v>18</v>
      </c>
      <c r="AB16" s="9">
        <v>27.2</v>
      </c>
      <c r="AC16" s="9">
        <v>16.600000000000001</v>
      </c>
      <c r="AD16" s="9">
        <v>17.8</v>
      </c>
      <c r="AE16" s="9">
        <v>19.2</v>
      </c>
      <c r="AF16" s="9">
        <v>13.2</v>
      </c>
      <c r="AG16" s="9">
        <v>14.4</v>
      </c>
      <c r="AH16" s="9">
        <v>7.6</v>
      </c>
      <c r="AI16" s="9">
        <v>31</v>
      </c>
      <c r="AJ16" s="17" t="s">
        <v>44</v>
      </c>
      <c r="AK16" s="9">
        <f t="shared" si="11"/>
        <v>0</v>
      </c>
      <c r="AL16" s="9">
        <f t="shared" si="12"/>
        <v>0</v>
      </c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x14ac:dyDescent="0.25">
      <c r="A17" s="9" t="s">
        <v>50</v>
      </c>
      <c r="B17" s="9" t="s">
        <v>39</v>
      </c>
      <c r="C17" s="9">
        <v>835</v>
      </c>
      <c r="D17" s="9">
        <v>202</v>
      </c>
      <c r="E17" s="9">
        <v>197</v>
      </c>
      <c r="F17" s="9">
        <v>818</v>
      </c>
      <c r="G17" s="6">
        <v>0.4</v>
      </c>
      <c r="H17" s="9">
        <v>60</v>
      </c>
      <c r="I17" s="9" t="s">
        <v>36</v>
      </c>
      <c r="J17" s="9"/>
      <c r="K17" s="9">
        <v>384</v>
      </c>
      <c r="L17" s="9">
        <f t="shared" si="3"/>
        <v>-187</v>
      </c>
      <c r="M17" s="9">
        <f t="shared" si="4"/>
        <v>137</v>
      </c>
      <c r="N17" s="9">
        <v>60</v>
      </c>
      <c r="O17" s="9">
        <v>0</v>
      </c>
      <c r="P17" s="9"/>
      <c r="Q17" s="9">
        <f t="shared" si="5"/>
        <v>27.4</v>
      </c>
      <c r="R17" s="4"/>
      <c r="S17" s="4">
        <v>100</v>
      </c>
      <c r="T17" s="4">
        <f t="shared" si="9"/>
        <v>100</v>
      </c>
      <c r="U17" s="4"/>
      <c r="V17" s="22">
        <v>100</v>
      </c>
      <c r="W17" s="22" t="str">
        <f>VLOOKUP(A17,[1]Sheet!$A:$S,19,0)</f>
        <v>100 под опт</v>
      </c>
      <c r="X17" s="9">
        <f t="shared" si="10"/>
        <v>33.503649635036496</v>
      </c>
      <c r="Y17" s="9">
        <f t="shared" si="6"/>
        <v>29.854014598540147</v>
      </c>
      <c r="Z17" s="9">
        <v>54.2</v>
      </c>
      <c r="AA17" s="9">
        <v>68.399999999999977</v>
      </c>
      <c r="AB17" s="9">
        <v>114.2</v>
      </c>
      <c r="AC17" s="9">
        <v>167.4</v>
      </c>
      <c r="AD17" s="9">
        <v>53.6</v>
      </c>
      <c r="AE17" s="9">
        <v>60.2</v>
      </c>
      <c r="AF17" s="9">
        <v>72.400000000000006</v>
      </c>
      <c r="AG17" s="9">
        <v>75.599999999999994</v>
      </c>
      <c r="AH17" s="9">
        <v>61</v>
      </c>
      <c r="AI17" s="9">
        <v>63.2</v>
      </c>
      <c r="AJ17" s="17" t="s">
        <v>183</v>
      </c>
      <c r="AK17" s="9">
        <f t="shared" si="11"/>
        <v>40</v>
      </c>
      <c r="AL17" s="9">
        <f t="shared" si="12"/>
        <v>0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x14ac:dyDescent="0.25">
      <c r="A18" s="9" t="s">
        <v>51</v>
      </c>
      <c r="B18" s="9" t="s">
        <v>35</v>
      </c>
      <c r="C18" s="9">
        <v>429.762</v>
      </c>
      <c r="D18" s="9">
        <v>507.56</v>
      </c>
      <c r="E18" s="9">
        <v>346.18799999999999</v>
      </c>
      <c r="F18" s="9">
        <v>430.755</v>
      </c>
      <c r="G18" s="6">
        <v>1</v>
      </c>
      <c r="H18" s="9">
        <v>45</v>
      </c>
      <c r="I18" s="9" t="s">
        <v>36</v>
      </c>
      <c r="J18" s="9"/>
      <c r="K18" s="9">
        <v>365.59</v>
      </c>
      <c r="L18" s="9">
        <f t="shared" si="3"/>
        <v>-19.401999999999987</v>
      </c>
      <c r="M18" s="9">
        <f t="shared" si="4"/>
        <v>295.89799999999997</v>
      </c>
      <c r="N18" s="9">
        <v>50.29</v>
      </c>
      <c r="O18" s="9">
        <v>359</v>
      </c>
      <c r="P18" s="9">
        <v>293</v>
      </c>
      <c r="Q18" s="9">
        <f t="shared" si="5"/>
        <v>59.179599999999994</v>
      </c>
      <c r="R18" s="4"/>
      <c r="S18" s="4">
        <f t="shared" si="8"/>
        <v>0</v>
      </c>
      <c r="T18" s="4">
        <f t="shared" si="9"/>
        <v>0</v>
      </c>
      <c r="U18" s="4"/>
      <c r="V18" s="22"/>
      <c r="W18" s="22"/>
      <c r="X18" s="9">
        <f t="shared" si="10"/>
        <v>18.296085137446017</v>
      </c>
      <c r="Y18" s="9">
        <f t="shared" si="6"/>
        <v>18.296085137446017</v>
      </c>
      <c r="Z18" s="9">
        <v>89.127399999999994</v>
      </c>
      <c r="AA18" s="9">
        <v>73.948400000000007</v>
      </c>
      <c r="AB18" s="9">
        <v>78.153800000000004</v>
      </c>
      <c r="AC18" s="9">
        <v>67.917599999999993</v>
      </c>
      <c r="AD18" s="9">
        <v>65.837400000000002</v>
      </c>
      <c r="AE18" s="9">
        <v>51.108999999999988</v>
      </c>
      <c r="AF18" s="9">
        <v>43.211599999999997</v>
      </c>
      <c r="AG18" s="9">
        <v>32.240600000000001</v>
      </c>
      <c r="AH18" s="9">
        <v>32.985400000000013</v>
      </c>
      <c r="AI18" s="9">
        <v>53.372999999999998</v>
      </c>
      <c r="AJ18" s="17" t="s">
        <v>44</v>
      </c>
      <c r="AK18" s="9">
        <f t="shared" si="11"/>
        <v>0</v>
      </c>
      <c r="AL18" s="9">
        <f t="shared" si="12"/>
        <v>0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25">
      <c r="A19" s="9" t="s">
        <v>52</v>
      </c>
      <c r="B19" s="9" t="s">
        <v>35</v>
      </c>
      <c r="C19" s="9">
        <v>20.981000000000002</v>
      </c>
      <c r="D19" s="9"/>
      <c r="E19" s="9">
        <v>18.971</v>
      </c>
      <c r="F19" s="9"/>
      <c r="G19" s="6">
        <v>1</v>
      </c>
      <c r="H19" s="9">
        <v>120</v>
      </c>
      <c r="I19" s="9" t="s">
        <v>53</v>
      </c>
      <c r="J19" s="9"/>
      <c r="K19" s="9">
        <v>18.5</v>
      </c>
      <c r="L19" s="9">
        <f t="shared" si="3"/>
        <v>0.47100000000000009</v>
      </c>
      <c r="M19" s="9">
        <f t="shared" si="4"/>
        <v>18.971</v>
      </c>
      <c r="N19" s="9"/>
      <c r="O19" s="9">
        <v>18</v>
      </c>
      <c r="P19" s="9"/>
      <c r="Q19" s="9">
        <f t="shared" si="5"/>
        <v>3.7942</v>
      </c>
      <c r="R19" s="4">
        <f t="shared" si="7"/>
        <v>38.912999999999997</v>
      </c>
      <c r="S19" s="4">
        <f t="shared" si="8"/>
        <v>39</v>
      </c>
      <c r="T19" s="4">
        <f t="shared" si="9"/>
        <v>39</v>
      </c>
      <c r="U19" s="4"/>
      <c r="V19" s="22"/>
      <c r="W19" s="22"/>
      <c r="X19" s="9">
        <f t="shared" si="10"/>
        <v>15.022929734858469</v>
      </c>
      <c r="Y19" s="9">
        <f t="shared" si="6"/>
        <v>4.7440830741658324</v>
      </c>
      <c r="Z19" s="9">
        <v>3.0992000000000002</v>
      </c>
      <c r="AA19" s="9">
        <v>2.9062000000000001</v>
      </c>
      <c r="AB19" s="9">
        <v>3.0110000000000001</v>
      </c>
      <c r="AC19" s="9">
        <v>4.3907999999999996</v>
      </c>
      <c r="AD19" s="9">
        <v>4.1097999999999999</v>
      </c>
      <c r="AE19" s="9">
        <v>3.9178000000000002</v>
      </c>
      <c r="AF19" s="9">
        <v>1.0058</v>
      </c>
      <c r="AG19" s="9">
        <v>5.9120000000000008</v>
      </c>
      <c r="AH19" s="9">
        <v>4.2256</v>
      </c>
      <c r="AI19" s="9">
        <v>1.1032</v>
      </c>
      <c r="AJ19" s="9"/>
      <c r="AK19" s="9">
        <f t="shared" si="11"/>
        <v>39</v>
      </c>
      <c r="AL19" s="9">
        <f t="shared" si="12"/>
        <v>0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x14ac:dyDescent="0.25">
      <c r="A20" s="9" t="s">
        <v>54</v>
      </c>
      <c r="B20" s="9" t="s">
        <v>39</v>
      </c>
      <c r="C20" s="9">
        <v>264</v>
      </c>
      <c r="D20" s="9">
        <v>257</v>
      </c>
      <c r="E20" s="9">
        <v>263</v>
      </c>
      <c r="F20" s="9">
        <v>249</v>
      </c>
      <c r="G20" s="6">
        <v>0.4</v>
      </c>
      <c r="H20" s="9">
        <v>45</v>
      </c>
      <c r="I20" s="9" t="s">
        <v>36</v>
      </c>
      <c r="J20" s="9"/>
      <c r="K20" s="9">
        <v>275</v>
      </c>
      <c r="L20" s="9">
        <f t="shared" si="3"/>
        <v>-12</v>
      </c>
      <c r="M20" s="9">
        <f t="shared" si="4"/>
        <v>263</v>
      </c>
      <c r="N20" s="9"/>
      <c r="O20" s="9">
        <v>378</v>
      </c>
      <c r="P20" s="9">
        <v>309</v>
      </c>
      <c r="Q20" s="9">
        <f t="shared" si="5"/>
        <v>52.6</v>
      </c>
      <c r="R20" s="4"/>
      <c r="S20" s="4">
        <f t="shared" si="8"/>
        <v>0</v>
      </c>
      <c r="T20" s="4">
        <f t="shared" si="9"/>
        <v>0</v>
      </c>
      <c r="U20" s="4"/>
      <c r="V20" s="22"/>
      <c r="W20" s="22"/>
      <c r="X20" s="9">
        <f t="shared" si="10"/>
        <v>17.79467680608365</v>
      </c>
      <c r="Y20" s="9">
        <f t="shared" si="6"/>
        <v>17.79467680608365</v>
      </c>
      <c r="Z20" s="9">
        <v>81</v>
      </c>
      <c r="AA20" s="9">
        <v>62.8</v>
      </c>
      <c r="AB20" s="9">
        <v>71.599999999999994</v>
      </c>
      <c r="AC20" s="9">
        <v>55</v>
      </c>
      <c r="AD20" s="9">
        <v>75.599999999999994</v>
      </c>
      <c r="AE20" s="9">
        <v>83</v>
      </c>
      <c r="AF20" s="9">
        <v>62.4</v>
      </c>
      <c r="AG20" s="9">
        <v>72.2</v>
      </c>
      <c r="AH20" s="9">
        <v>78.2</v>
      </c>
      <c r="AI20" s="9">
        <v>26.4</v>
      </c>
      <c r="AJ20" s="17" t="s">
        <v>44</v>
      </c>
      <c r="AK20" s="9">
        <f t="shared" si="11"/>
        <v>0</v>
      </c>
      <c r="AL20" s="9">
        <f t="shared" si="12"/>
        <v>0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x14ac:dyDescent="0.25">
      <c r="A21" s="9" t="s">
        <v>55</v>
      </c>
      <c r="B21" s="9" t="s">
        <v>35</v>
      </c>
      <c r="C21" s="9">
        <v>144.60400000000001</v>
      </c>
      <c r="D21" s="9">
        <v>393.589</v>
      </c>
      <c r="E21" s="9">
        <v>212.73</v>
      </c>
      <c r="F21" s="9">
        <v>302.87200000000001</v>
      </c>
      <c r="G21" s="6">
        <v>1</v>
      </c>
      <c r="H21" s="9">
        <v>60</v>
      </c>
      <c r="I21" s="9" t="s">
        <v>36</v>
      </c>
      <c r="J21" s="9"/>
      <c r="K21" s="9">
        <v>240.57599999999999</v>
      </c>
      <c r="L21" s="9">
        <f t="shared" si="3"/>
        <v>-27.846000000000004</v>
      </c>
      <c r="M21" s="9">
        <f t="shared" si="4"/>
        <v>172.25399999999999</v>
      </c>
      <c r="N21" s="9">
        <v>40.475999999999999</v>
      </c>
      <c r="O21" s="9">
        <v>165</v>
      </c>
      <c r="P21" s="9">
        <v>135</v>
      </c>
      <c r="Q21" s="9">
        <f t="shared" si="5"/>
        <v>34.450800000000001</v>
      </c>
      <c r="R21" s="4"/>
      <c r="S21" s="4">
        <v>60</v>
      </c>
      <c r="T21" s="4">
        <f t="shared" si="9"/>
        <v>60</v>
      </c>
      <c r="U21" s="4"/>
      <c r="V21" s="22">
        <v>60</v>
      </c>
      <c r="W21" s="22" t="str">
        <f>VLOOKUP(A21,[1]Sheet!$A:$S,19,0)</f>
        <v>60 под опт</v>
      </c>
      <c r="X21" s="9">
        <f t="shared" si="10"/>
        <v>19.241120670637549</v>
      </c>
      <c r="Y21" s="9">
        <f t="shared" si="6"/>
        <v>17.499506542663742</v>
      </c>
      <c r="Z21" s="9">
        <v>44.968200000000003</v>
      </c>
      <c r="AA21" s="9">
        <v>41.046399999999998</v>
      </c>
      <c r="AB21" s="9">
        <v>37.994999999999997</v>
      </c>
      <c r="AC21" s="9">
        <v>53.6404</v>
      </c>
      <c r="AD21" s="9">
        <v>53.80319999999999</v>
      </c>
      <c r="AE21" s="9">
        <v>48.093400000000003</v>
      </c>
      <c r="AF21" s="9">
        <v>64.241</v>
      </c>
      <c r="AG21" s="9">
        <v>46.517200000000003</v>
      </c>
      <c r="AH21" s="9">
        <v>34.347799999999999</v>
      </c>
      <c r="AI21" s="9">
        <v>52.350999999999999</v>
      </c>
      <c r="AJ21" s="9"/>
      <c r="AK21" s="9">
        <f t="shared" si="11"/>
        <v>60</v>
      </c>
      <c r="AL21" s="9">
        <f t="shared" si="12"/>
        <v>0</v>
      </c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25">
      <c r="A22" s="9" t="s">
        <v>56</v>
      </c>
      <c r="B22" s="9" t="s">
        <v>39</v>
      </c>
      <c r="C22" s="9">
        <v>105</v>
      </c>
      <c r="D22" s="9">
        <v>1</v>
      </c>
      <c r="E22" s="9">
        <v>64</v>
      </c>
      <c r="F22" s="9">
        <v>41</v>
      </c>
      <c r="G22" s="6">
        <v>0.22</v>
      </c>
      <c r="H22" s="9">
        <v>120</v>
      </c>
      <c r="I22" s="9" t="s">
        <v>36</v>
      </c>
      <c r="J22" s="9"/>
      <c r="K22" s="9">
        <v>157</v>
      </c>
      <c r="L22" s="9">
        <f t="shared" si="3"/>
        <v>-93</v>
      </c>
      <c r="M22" s="9">
        <f t="shared" si="4"/>
        <v>64</v>
      </c>
      <c r="N22" s="9"/>
      <c r="O22" s="9">
        <v>0</v>
      </c>
      <c r="P22" s="9"/>
      <c r="Q22" s="9">
        <f t="shared" si="5"/>
        <v>12.8</v>
      </c>
      <c r="R22" s="4">
        <f>13*Q22-P22-O22-F22</f>
        <v>125.4</v>
      </c>
      <c r="S22" s="4">
        <f t="shared" si="8"/>
        <v>125</v>
      </c>
      <c r="T22" s="4">
        <f t="shared" si="9"/>
        <v>56</v>
      </c>
      <c r="U22" s="4">
        <f>ROUND(S22*$U$1,0)</f>
        <v>69</v>
      </c>
      <c r="V22" s="22"/>
      <c r="W22" s="22"/>
      <c r="X22" s="9">
        <f t="shared" si="10"/>
        <v>12.96875</v>
      </c>
      <c r="Y22" s="9">
        <f t="shared" si="6"/>
        <v>3.203125</v>
      </c>
      <c r="Z22" s="9">
        <v>27.2</v>
      </c>
      <c r="AA22" s="9">
        <v>45.6</v>
      </c>
      <c r="AB22" s="9">
        <v>38.6</v>
      </c>
      <c r="AC22" s="9">
        <v>109.6</v>
      </c>
      <c r="AD22" s="9">
        <v>56.8</v>
      </c>
      <c r="AE22" s="9">
        <v>145.4</v>
      </c>
      <c r="AF22" s="9">
        <v>43.4</v>
      </c>
      <c r="AG22" s="9">
        <v>27.8</v>
      </c>
      <c r="AH22" s="9">
        <v>20.399999999999999</v>
      </c>
      <c r="AI22" s="9">
        <v>30.4</v>
      </c>
      <c r="AJ22" s="9" t="s">
        <v>57</v>
      </c>
      <c r="AK22" s="9">
        <f t="shared" si="11"/>
        <v>12.32</v>
      </c>
      <c r="AL22" s="9">
        <f t="shared" si="12"/>
        <v>15.18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5">
      <c r="A23" s="9" t="s">
        <v>58</v>
      </c>
      <c r="B23" s="9" t="s">
        <v>35</v>
      </c>
      <c r="C23" s="9">
        <v>29.206</v>
      </c>
      <c r="D23" s="9">
        <v>29.03</v>
      </c>
      <c r="E23" s="9">
        <v>9.6750000000000007</v>
      </c>
      <c r="F23" s="9">
        <v>34.86</v>
      </c>
      <c r="G23" s="6">
        <v>1</v>
      </c>
      <c r="H23" s="9">
        <v>40</v>
      </c>
      <c r="I23" s="9" t="s">
        <v>36</v>
      </c>
      <c r="J23" s="9"/>
      <c r="K23" s="9">
        <v>14.7</v>
      </c>
      <c r="L23" s="9">
        <f t="shared" si="3"/>
        <v>-5.0249999999999986</v>
      </c>
      <c r="M23" s="9">
        <f t="shared" si="4"/>
        <v>9.6750000000000007</v>
      </c>
      <c r="N23" s="9"/>
      <c r="O23" s="9">
        <v>0</v>
      </c>
      <c r="P23" s="9"/>
      <c r="Q23" s="9">
        <f t="shared" si="5"/>
        <v>1.9350000000000001</v>
      </c>
      <c r="R23" s="4"/>
      <c r="S23" s="4">
        <f t="shared" si="8"/>
        <v>0</v>
      </c>
      <c r="T23" s="4">
        <f t="shared" si="9"/>
        <v>0</v>
      </c>
      <c r="U23" s="4"/>
      <c r="V23" s="22"/>
      <c r="W23" s="22"/>
      <c r="X23" s="9">
        <f t="shared" si="10"/>
        <v>18.015503875968992</v>
      </c>
      <c r="Y23" s="9">
        <f t="shared" si="6"/>
        <v>18.015503875968992</v>
      </c>
      <c r="Z23" s="9">
        <v>0.14360000000000001</v>
      </c>
      <c r="AA23" s="9">
        <v>3.6524000000000001</v>
      </c>
      <c r="AB23" s="9">
        <v>3.1720000000000002</v>
      </c>
      <c r="AC23" s="9">
        <v>3.3003999999999998</v>
      </c>
      <c r="AD23" s="9">
        <v>2.4624000000000001</v>
      </c>
      <c r="AE23" s="9">
        <v>1.75</v>
      </c>
      <c r="AF23" s="9">
        <v>3.7240000000000002</v>
      </c>
      <c r="AG23" s="9">
        <v>2.7128000000000001</v>
      </c>
      <c r="AH23" s="9">
        <v>2.968</v>
      </c>
      <c r="AI23" s="9">
        <v>3.1092</v>
      </c>
      <c r="AJ23" s="17" t="s">
        <v>44</v>
      </c>
      <c r="AK23" s="9">
        <f t="shared" si="11"/>
        <v>0</v>
      </c>
      <c r="AL23" s="9">
        <f t="shared" si="12"/>
        <v>0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x14ac:dyDescent="0.25">
      <c r="A24" s="10" t="s">
        <v>60</v>
      </c>
      <c r="B24" s="10" t="s">
        <v>39</v>
      </c>
      <c r="C24" s="10"/>
      <c r="D24" s="10">
        <v>12</v>
      </c>
      <c r="E24" s="10">
        <v>8</v>
      </c>
      <c r="F24" s="10">
        <v>2</v>
      </c>
      <c r="G24" s="11">
        <v>0</v>
      </c>
      <c r="H24" s="10"/>
      <c r="I24" s="12" t="s">
        <v>61</v>
      </c>
      <c r="J24" s="10"/>
      <c r="K24" s="10">
        <v>17</v>
      </c>
      <c r="L24" s="10">
        <f t="shared" si="3"/>
        <v>-9</v>
      </c>
      <c r="M24" s="10">
        <f t="shared" si="4"/>
        <v>-2</v>
      </c>
      <c r="N24" s="10">
        <v>10</v>
      </c>
      <c r="O24" s="10"/>
      <c r="P24" s="10"/>
      <c r="Q24" s="10">
        <f t="shared" si="5"/>
        <v>-0.4</v>
      </c>
      <c r="R24" s="13"/>
      <c r="S24" s="4">
        <f t="shared" si="8"/>
        <v>0</v>
      </c>
      <c r="T24" s="4">
        <f t="shared" si="9"/>
        <v>0</v>
      </c>
      <c r="U24" s="4"/>
      <c r="V24" s="23"/>
      <c r="W24" s="22"/>
      <c r="X24" s="9">
        <f t="shared" si="10"/>
        <v>-5</v>
      </c>
      <c r="Y24" s="10">
        <f t="shared" si="6"/>
        <v>-5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/>
      <c r="AK24" s="9">
        <f t="shared" si="11"/>
        <v>0</v>
      </c>
      <c r="AL24" s="9">
        <f t="shared" si="12"/>
        <v>0</v>
      </c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25">
      <c r="A25" s="9" t="s">
        <v>62</v>
      </c>
      <c r="B25" s="9" t="s">
        <v>35</v>
      </c>
      <c r="C25" s="9">
        <v>507.36200000000002</v>
      </c>
      <c r="D25" s="9">
        <v>149.327</v>
      </c>
      <c r="E25" s="9">
        <v>283.27199999999999</v>
      </c>
      <c r="F25" s="9">
        <v>357.10599999999999</v>
      </c>
      <c r="G25" s="6">
        <v>1</v>
      </c>
      <c r="H25" s="9">
        <v>60</v>
      </c>
      <c r="I25" s="9" t="s">
        <v>36</v>
      </c>
      <c r="J25" s="9"/>
      <c r="K25" s="9">
        <v>299.88900000000001</v>
      </c>
      <c r="L25" s="9">
        <f t="shared" si="3"/>
        <v>-16.617000000000019</v>
      </c>
      <c r="M25" s="9">
        <f t="shared" si="4"/>
        <v>242.583</v>
      </c>
      <c r="N25" s="9">
        <v>40.689</v>
      </c>
      <c r="O25" s="9">
        <v>252</v>
      </c>
      <c r="P25" s="9">
        <v>207</v>
      </c>
      <c r="Q25" s="9">
        <f t="shared" si="5"/>
        <v>48.516599999999997</v>
      </c>
      <c r="R25" s="4"/>
      <c r="S25" s="4">
        <f t="shared" si="8"/>
        <v>0</v>
      </c>
      <c r="T25" s="4">
        <f t="shared" si="9"/>
        <v>0</v>
      </c>
      <c r="U25" s="4"/>
      <c r="V25" s="22"/>
      <c r="W25" s="22"/>
      <c r="X25" s="9">
        <f t="shared" si="10"/>
        <v>16.821170485977998</v>
      </c>
      <c r="Y25" s="9">
        <f t="shared" si="6"/>
        <v>16.821170485977998</v>
      </c>
      <c r="Z25" s="9">
        <v>64.32419999999999</v>
      </c>
      <c r="AA25" s="9">
        <v>49.555399999999999</v>
      </c>
      <c r="AB25" s="9">
        <v>48.829599999999999</v>
      </c>
      <c r="AC25" s="9">
        <v>87.558400000000006</v>
      </c>
      <c r="AD25" s="9">
        <v>76.868399999999994</v>
      </c>
      <c r="AE25" s="9">
        <v>64.695399999999992</v>
      </c>
      <c r="AF25" s="9">
        <v>70.25139999999999</v>
      </c>
      <c r="AG25" s="9">
        <v>82.190599999999989</v>
      </c>
      <c r="AH25" s="9">
        <v>43.906599999999997</v>
      </c>
      <c r="AI25" s="9">
        <v>67.56280000000001</v>
      </c>
      <c r="AJ25" s="9"/>
      <c r="AK25" s="9">
        <f t="shared" si="11"/>
        <v>0</v>
      </c>
      <c r="AL25" s="9">
        <f t="shared" si="12"/>
        <v>0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x14ac:dyDescent="0.25">
      <c r="A26" s="9" t="s">
        <v>63</v>
      </c>
      <c r="B26" s="9" t="s">
        <v>39</v>
      </c>
      <c r="C26" s="9">
        <v>567</v>
      </c>
      <c r="D26" s="9">
        <v>468</v>
      </c>
      <c r="E26" s="9">
        <v>372</v>
      </c>
      <c r="F26" s="9">
        <v>639</v>
      </c>
      <c r="G26" s="6">
        <v>0.09</v>
      </c>
      <c r="H26" s="9">
        <v>60</v>
      </c>
      <c r="I26" s="9" t="s">
        <v>36</v>
      </c>
      <c r="J26" s="9"/>
      <c r="K26" s="9">
        <v>388</v>
      </c>
      <c r="L26" s="9">
        <f t="shared" si="3"/>
        <v>-16</v>
      </c>
      <c r="M26" s="9">
        <f t="shared" si="4"/>
        <v>352</v>
      </c>
      <c r="N26" s="9">
        <v>20</v>
      </c>
      <c r="O26" s="9">
        <v>0</v>
      </c>
      <c r="P26" s="9"/>
      <c r="Q26" s="9">
        <f t="shared" si="5"/>
        <v>70.400000000000006</v>
      </c>
      <c r="R26" s="4">
        <f t="shared" ref="R26:R32" si="14">15*Q26-P26-O26-F26</f>
        <v>417</v>
      </c>
      <c r="S26" s="4">
        <v>1017</v>
      </c>
      <c r="T26" s="4">
        <f t="shared" si="9"/>
        <v>458</v>
      </c>
      <c r="U26" s="4">
        <f>ROUND(S26*$U$1,0)</f>
        <v>559</v>
      </c>
      <c r="V26" s="22">
        <v>1017</v>
      </c>
      <c r="W26" s="22" t="str">
        <f>VLOOKUP(A26,[1]Sheet!$A:$S,19,0)</f>
        <v>1017шт(600шт под листовку ЮгТех)</v>
      </c>
      <c r="X26" s="9">
        <f t="shared" si="10"/>
        <v>23.52272727272727</v>
      </c>
      <c r="Y26" s="9">
        <f t="shared" si="6"/>
        <v>9.076704545454545</v>
      </c>
      <c r="Z26" s="9">
        <v>58.4</v>
      </c>
      <c r="AA26" s="9">
        <v>87.8</v>
      </c>
      <c r="AB26" s="9">
        <v>84</v>
      </c>
      <c r="AC26" s="9">
        <v>93.6</v>
      </c>
      <c r="AD26" s="9">
        <v>87</v>
      </c>
      <c r="AE26" s="9">
        <v>77.400000000000006</v>
      </c>
      <c r="AF26" s="9">
        <v>82</v>
      </c>
      <c r="AG26" s="9">
        <v>75</v>
      </c>
      <c r="AH26" s="9">
        <v>93.2</v>
      </c>
      <c r="AI26" s="9">
        <v>85.8</v>
      </c>
      <c r="AJ26" s="9" t="s">
        <v>194</v>
      </c>
      <c r="AK26" s="9">
        <f t="shared" si="11"/>
        <v>41.22</v>
      </c>
      <c r="AL26" s="9">
        <f t="shared" si="12"/>
        <v>50.309999999999995</v>
      </c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5">
      <c r="A27" s="9" t="s">
        <v>64</v>
      </c>
      <c r="B27" s="9" t="s">
        <v>39</v>
      </c>
      <c r="C27" s="9">
        <v>122</v>
      </c>
      <c r="D27" s="9">
        <v>56</v>
      </c>
      <c r="E27" s="9">
        <v>120</v>
      </c>
      <c r="F27" s="9">
        <v>48</v>
      </c>
      <c r="G27" s="6">
        <v>0.09</v>
      </c>
      <c r="H27" s="9">
        <v>45</v>
      </c>
      <c r="I27" s="9" t="s">
        <v>36</v>
      </c>
      <c r="J27" s="9"/>
      <c r="K27" s="9">
        <v>132</v>
      </c>
      <c r="L27" s="9">
        <f t="shared" si="3"/>
        <v>-12</v>
      </c>
      <c r="M27" s="9">
        <f t="shared" si="4"/>
        <v>110</v>
      </c>
      <c r="N27" s="9">
        <v>10</v>
      </c>
      <c r="O27" s="9">
        <v>159</v>
      </c>
      <c r="P27" s="9">
        <v>131</v>
      </c>
      <c r="Q27" s="9">
        <f t="shared" si="5"/>
        <v>22</v>
      </c>
      <c r="R27" s="4"/>
      <c r="S27" s="4">
        <f t="shared" si="8"/>
        <v>0</v>
      </c>
      <c r="T27" s="4">
        <f t="shared" si="9"/>
        <v>0</v>
      </c>
      <c r="U27" s="4"/>
      <c r="V27" s="22"/>
      <c r="W27" s="22"/>
      <c r="X27" s="9">
        <f t="shared" si="10"/>
        <v>15.363636363636363</v>
      </c>
      <c r="Y27" s="9">
        <f t="shared" si="6"/>
        <v>15.363636363636363</v>
      </c>
      <c r="Z27" s="9">
        <v>31.4</v>
      </c>
      <c r="AA27" s="9">
        <v>10.199999999999999</v>
      </c>
      <c r="AB27" s="9">
        <v>30.8</v>
      </c>
      <c r="AC27" s="9">
        <v>12.2</v>
      </c>
      <c r="AD27" s="9">
        <v>16.8</v>
      </c>
      <c r="AE27" s="9">
        <v>10.4</v>
      </c>
      <c r="AF27" s="9">
        <v>-0.6</v>
      </c>
      <c r="AG27" s="9">
        <v>13</v>
      </c>
      <c r="AH27" s="9">
        <v>4.5999999999999996</v>
      </c>
      <c r="AI27" s="9">
        <v>15</v>
      </c>
      <c r="AJ27" s="9"/>
      <c r="AK27" s="9">
        <f t="shared" si="11"/>
        <v>0</v>
      </c>
      <c r="AL27" s="9">
        <f t="shared" si="12"/>
        <v>0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25">
      <c r="A28" s="9" t="s">
        <v>65</v>
      </c>
      <c r="B28" s="9" t="s">
        <v>39</v>
      </c>
      <c r="C28" s="9">
        <v>63</v>
      </c>
      <c r="D28" s="9">
        <v>25</v>
      </c>
      <c r="E28" s="9">
        <v>87</v>
      </c>
      <c r="F28" s="9">
        <v>1</v>
      </c>
      <c r="G28" s="6">
        <v>0.15</v>
      </c>
      <c r="H28" s="9">
        <v>45</v>
      </c>
      <c r="I28" s="9" t="s">
        <v>36</v>
      </c>
      <c r="J28" s="9"/>
      <c r="K28" s="9">
        <v>185</v>
      </c>
      <c r="L28" s="9">
        <f t="shared" si="3"/>
        <v>-98</v>
      </c>
      <c r="M28" s="9">
        <f t="shared" si="4"/>
        <v>63</v>
      </c>
      <c r="N28" s="9">
        <v>24</v>
      </c>
      <c r="O28" s="9">
        <v>107</v>
      </c>
      <c r="P28" s="9">
        <v>88</v>
      </c>
      <c r="Q28" s="9">
        <f t="shared" si="5"/>
        <v>12.6</v>
      </c>
      <c r="R28" s="4">
        <v>30</v>
      </c>
      <c r="S28" s="4">
        <v>50</v>
      </c>
      <c r="T28" s="4">
        <f t="shared" si="9"/>
        <v>50</v>
      </c>
      <c r="U28" s="4"/>
      <c r="V28" s="22">
        <v>70</v>
      </c>
      <c r="W28" s="22"/>
      <c r="X28" s="9">
        <f t="shared" si="10"/>
        <v>19.523809523809526</v>
      </c>
      <c r="Y28" s="9">
        <f t="shared" si="6"/>
        <v>15.555555555555555</v>
      </c>
      <c r="Z28" s="9">
        <v>17.600000000000001</v>
      </c>
      <c r="AA28" s="9">
        <v>9.6</v>
      </c>
      <c r="AB28" s="9">
        <v>15</v>
      </c>
      <c r="AC28" s="9">
        <v>8.4</v>
      </c>
      <c r="AD28" s="9">
        <v>9</v>
      </c>
      <c r="AE28" s="9">
        <v>14</v>
      </c>
      <c r="AF28" s="9">
        <v>7.2</v>
      </c>
      <c r="AG28" s="9">
        <v>9.1999999999999993</v>
      </c>
      <c r="AH28" s="9">
        <v>4.4000000000000004</v>
      </c>
      <c r="AI28" s="9">
        <v>0</v>
      </c>
      <c r="AJ28" s="9" t="s">
        <v>66</v>
      </c>
      <c r="AK28" s="9">
        <f t="shared" si="11"/>
        <v>7.5</v>
      </c>
      <c r="AL28" s="9">
        <f t="shared" si="12"/>
        <v>0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x14ac:dyDescent="0.25">
      <c r="A29" s="9" t="s">
        <v>67</v>
      </c>
      <c r="B29" s="9" t="s">
        <v>35</v>
      </c>
      <c r="C29" s="9">
        <v>531.62900000000002</v>
      </c>
      <c r="D29" s="9">
        <v>230.91</v>
      </c>
      <c r="E29" s="9">
        <v>259.51600000000002</v>
      </c>
      <c r="F29" s="9">
        <v>-36.497</v>
      </c>
      <c r="G29" s="6">
        <v>1</v>
      </c>
      <c r="H29" s="9">
        <v>45</v>
      </c>
      <c r="I29" s="9" t="s">
        <v>36</v>
      </c>
      <c r="J29" s="9"/>
      <c r="K29" s="9">
        <v>276.31200000000001</v>
      </c>
      <c r="L29" s="9">
        <f t="shared" si="3"/>
        <v>-16.795999999999992</v>
      </c>
      <c r="M29" s="9">
        <f t="shared" si="4"/>
        <v>180.90400000000002</v>
      </c>
      <c r="N29" s="9">
        <v>78.611999999999995</v>
      </c>
      <c r="O29" s="9">
        <v>39</v>
      </c>
      <c r="P29" s="9"/>
      <c r="Q29" s="9">
        <f t="shared" si="5"/>
        <v>36.180800000000005</v>
      </c>
      <c r="R29" s="4">
        <f>10*Q29-P29-O29-F29</f>
        <v>359.30500000000006</v>
      </c>
      <c r="S29" s="4">
        <f t="shared" si="8"/>
        <v>359</v>
      </c>
      <c r="T29" s="4">
        <f t="shared" si="9"/>
        <v>162</v>
      </c>
      <c r="U29" s="4">
        <f>ROUND(S29*$U$1,0)</f>
        <v>197</v>
      </c>
      <c r="V29" s="22"/>
      <c r="W29" s="22"/>
      <c r="X29" s="9">
        <f t="shared" si="10"/>
        <v>9.9915701145358842</v>
      </c>
      <c r="Y29" s="9">
        <f t="shared" si="6"/>
        <v>6.91803387432008E-2</v>
      </c>
      <c r="Z29" s="9">
        <v>37.9636</v>
      </c>
      <c r="AA29" s="9">
        <v>32.721800000000002</v>
      </c>
      <c r="AB29" s="9">
        <v>29.015599999999999</v>
      </c>
      <c r="AC29" s="9">
        <v>67.201800000000006</v>
      </c>
      <c r="AD29" s="9">
        <v>52.8626</v>
      </c>
      <c r="AE29" s="9">
        <v>90.820000000000007</v>
      </c>
      <c r="AF29" s="9">
        <v>51.096400000000003</v>
      </c>
      <c r="AG29" s="9">
        <v>66.051999999999992</v>
      </c>
      <c r="AH29" s="9">
        <v>52.612400000000001</v>
      </c>
      <c r="AI29" s="9">
        <v>56.536999999999999</v>
      </c>
      <c r="AJ29" s="8" t="s">
        <v>184</v>
      </c>
      <c r="AK29" s="9">
        <f t="shared" si="11"/>
        <v>162</v>
      </c>
      <c r="AL29" s="9">
        <f t="shared" si="12"/>
        <v>197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x14ac:dyDescent="0.25">
      <c r="A30" s="9" t="s">
        <v>68</v>
      </c>
      <c r="B30" s="9" t="s">
        <v>39</v>
      </c>
      <c r="C30" s="9">
        <v>54</v>
      </c>
      <c r="D30" s="9">
        <v>82</v>
      </c>
      <c r="E30" s="9">
        <v>74</v>
      </c>
      <c r="F30" s="9">
        <v>46</v>
      </c>
      <c r="G30" s="6">
        <v>0.4</v>
      </c>
      <c r="H30" s="9">
        <v>60</v>
      </c>
      <c r="I30" s="9" t="s">
        <v>36</v>
      </c>
      <c r="J30" s="9"/>
      <c r="K30" s="9">
        <v>88</v>
      </c>
      <c r="L30" s="9">
        <f t="shared" si="3"/>
        <v>-14</v>
      </c>
      <c r="M30" s="9">
        <f t="shared" si="4"/>
        <v>74</v>
      </c>
      <c r="N30" s="9"/>
      <c r="O30" s="9">
        <v>54</v>
      </c>
      <c r="P30" s="9">
        <v>44</v>
      </c>
      <c r="Q30" s="9">
        <f t="shared" si="5"/>
        <v>14.8</v>
      </c>
      <c r="R30" s="4">
        <f t="shared" si="14"/>
        <v>78</v>
      </c>
      <c r="S30" s="4">
        <f t="shared" si="8"/>
        <v>78</v>
      </c>
      <c r="T30" s="4">
        <f t="shared" si="9"/>
        <v>78</v>
      </c>
      <c r="U30" s="4"/>
      <c r="V30" s="22"/>
      <c r="W30" s="22"/>
      <c r="X30" s="9">
        <f t="shared" si="10"/>
        <v>15</v>
      </c>
      <c r="Y30" s="9">
        <f t="shared" si="6"/>
        <v>9.7297297297297298</v>
      </c>
      <c r="Z30" s="9">
        <v>15.4</v>
      </c>
      <c r="AA30" s="9">
        <v>13.8</v>
      </c>
      <c r="AB30" s="9">
        <v>13.4</v>
      </c>
      <c r="AC30" s="9">
        <v>7.4</v>
      </c>
      <c r="AD30" s="9">
        <v>18</v>
      </c>
      <c r="AE30" s="9">
        <v>20.399999999999999</v>
      </c>
      <c r="AF30" s="9">
        <v>18.600000000000001</v>
      </c>
      <c r="AG30" s="9">
        <v>9</v>
      </c>
      <c r="AH30" s="9">
        <v>22.4</v>
      </c>
      <c r="AI30" s="9">
        <v>12.8</v>
      </c>
      <c r="AJ30" s="9"/>
      <c r="AK30" s="9">
        <f t="shared" si="11"/>
        <v>31.200000000000003</v>
      </c>
      <c r="AL30" s="9">
        <f t="shared" si="12"/>
        <v>0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25">
      <c r="A31" s="9" t="s">
        <v>69</v>
      </c>
      <c r="B31" s="9" t="s">
        <v>39</v>
      </c>
      <c r="C31" s="9">
        <v>873</v>
      </c>
      <c r="D31" s="9">
        <v>850</v>
      </c>
      <c r="E31" s="9">
        <v>822</v>
      </c>
      <c r="F31" s="9">
        <v>875</v>
      </c>
      <c r="G31" s="6">
        <v>0.4</v>
      </c>
      <c r="H31" s="9">
        <v>60</v>
      </c>
      <c r="I31" s="18" t="s">
        <v>70</v>
      </c>
      <c r="J31" s="9"/>
      <c r="K31" s="9">
        <v>1307</v>
      </c>
      <c r="L31" s="9">
        <f t="shared" si="3"/>
        <v>-485</v>
      </c>
      <c r="M31" s="9">
        <f t="shared" si="4"/>
        <v>822</v>
      </c>
      <c r="N31" s="9"/>
      <c r="O31" s="9">
        <v>605</v>
      </c>
      <c r="P31" s="9">
        <v>495</v>
      </c>
      <c r="Q31" s="9">
        <f t="shared" si="5"/>
        <v>164.4</v>
      </c>
      <c r="R31" s="4">
        <f>13*Q31-P31-O31-F31</f>
        <v>162.20000000000027</v>
      </c>
      <c r="S31" s="4">
        <f t="shared" si="8"/>
        <v>162</v>
      </c>
      <c r="T31" s="4">
        <f t="shared" si="9"/>
        <v>73</v>
      </c>
      <c r="U31" s="4">
        <f t="shared" ref="U31:U32" si="15">ROUND(S31*$U$1,0)</f>
        <v>89</v>
      </c>
      <c r="V31" s="22"/>
      <c r="W31" s="22"/>
      <c r="X31" s="9">
        <f t="shared" si="10"/>
        <v>12.998783454987834</v>
      </c>
      <c r="Y31" s="9">
        <f t="shared" si="6"/>
        <v>12.01338199513382</v>
      </c>
      <c r="Z31" s="9">
        <v>176.4</v>
      </c>
      <c r="AA31" s="9">
        <v>115</v>
      </c>
      <c r="AB31" s="9">
        <v>145.80000000000001</v>
      </c>
      <c r="AC31" s="9">
        <v>125.4</v>
      </c>
      <c r="AD31" s="9">
        <v>145.19999999999999</v>
      </c>
      <c r="AE31" s="9">
        <v>131.80000000000001</v>
      </c>
      <c r="AF31" s="9">
        <v>132.76</v>
      </c>
      <c r="AG31" s="9">
        <v>248</v>
      </c>
      <c r="AH31" s="9">
        <v>160</v>
      </c>
      <c r="AI31" s="9">
        <v>318.2</v>
      </c>
      <c r="AJ31" s="9" t="s">
        <v>71</v>
      </c>
      <c r="AK31" s="9">
        <f t="shared" si="11"/>
        <v>29.200000000000003</v>
      </c>
      <c r="AL31" s="9">
        <f t="shared" si="12"/>
        <v>35.6</v>
      </c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x14ac:dyDescent="0.25">
      <c r="A32" s="9" t="s">
        <v>72</v>
      </c>
      <c r="B32" s="9" t="s">
        <v>39</v>
      </c>
      <c r="C32" s="9">
        <v>990</v>
      </c>
      <c r="D32" s="9">
        <v>413</v>
      </c>
      <c r="E32" s="9">
        <v>650</v>
      </c>
      <c r="F32" s="9">
        <v>717</v>
      </c>
      <c r="G32" s="6">
        <v>0.4</v>
      </c>
      <c r="H32" s="9">
        <v>60</v>
      </c>
      <c r="I32" s="9" t="s">
        <v>36</v>
      </c>
      <c r="J32" s="9"/>
      <c r="K32" s="9">
        <v>697</v>
      </c>
      <c r="L32" s="9">
        <f t="shared" si="3"/>
        <v>-47</v>
      </c>
      <c r="M32" s="9">
        <f t="shared" si="4"/>
        <v>618</v>
      </c>
      <c r="N32" s="9">
        <v>32</v>
      </c>
      <c r="O32" s="9">
        <v>245</v>
      </c>
      <c r="P32" s="9">
        <v>200</v>
      </c>
      <c r="Q32" s="9">
        <f t="shared" si="5"/>
        <v>123.6</v>
      </c>
      <c r="R32" s="4">
        <f t="shared" si="14"/>
        <v>692</v>
      </c>
      <c r="S32" s="4">
        <v>740</v>
      </c>
      <c r="T32" s="4">
        <f t="shared" si="9"/>
        <v>333</v>
      </c>
      <c r="U32" s="4">
        <f t="shared" si="15"/>
        <v>407</v>
      </c>
      <c r="V32" s="22">
        <v>740</v>
      </c>
      <c r="W32" s="22" t="str">
        <f>VLOOKUP(A32,[1]Sheet!$A:$S,19,0)</f>
        <v>740 под опт</v>
      </c>
      <c r="X32" s="9">
        <f t="shared" si="10"/>
        <v>15.388349514563107</v>
      </c>
      <c r="Y32" s="9">
        <f t="shared" si="6"/>
        <v>9.401294498381878</v>
      </c>
      <c r="Z32" s="9">
        <v>120.6</v>
      </c>
      <c r="AA32" s="9">
        <v>131</v>
      </c>
      <c r="AB32" s="9">
        <v>147.6</v>
      </c>
      <c r="AC32" s="9">
        <v>149.19999999999999</v>
      </c>
      <c r="AD32" s="9">
        <v>137.06639999999999</v>
      </c>
      <c r="AE32" s="9">
        <v>230</v>
      </c>
      <c r="AF32" s="9">
        <v>186.12</v>
      </c>
      <c r="AG32" s="9">
        <v>301.39999999999998</v>
      </c>
      <c r="AH32" s="9">
        <v>140</v>
      </c>
      <c r="AI32" s="9">
        <v>155</v>
      </c>
      <c r="AJ32" s="9" t="s">
        <v>73</v>
      </c>
      <c r="AK32" s="9">
        <f t="shared" si="11"/>
        <v>133.20000000000002</v>
      </c>
      <c r="AL32" s="9">
        <f t="shared" si="12"/>
        <v>162.80000000000001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x14ac:dyDescent="0.25">
      <c r="A33" s="10" t="s">
        <v>74</v>
      </c>
      <c r="B33" s="10" t="s">
        <v>39</v>
      </c>
      <c r="C33" s="10">
        <v>12</v>
      </c>
      <c r="D33" s="10"/>
      <c r="E33" s="10"/>
      <c r="F33" s="10">
        <v>12</v>
      </c>
      <c r="G33" s="11">
        <v>0</v>
      </c>
      <c r="H33" s="10">
        <v>45</v>
      </c>
      <c r="I33" s="10" t="s">
        <v>75</v>
      </c>
      <c r="J33" s="10"/>
      <c r="K33" s="10"/>
      <c r="L33" s="10">
        <f t="shared" si="3"/>
        <v>0</v>
      </c>
      <c r="M33" s="10">
        <f t="shared" si="4"/>
        <v>0</v>
      </c>
      <c r="N33" s="10"/>
      <c r="O33" s="10">
        <v>0</v>
      </c>
      <c r="P33" s="10"/>
      <c r="Q33" s="10">
        <f t="shared" si="5"/>
        <v>0</v>
      </c>
      <c r="R33" s="13"/>
      <c r="S33" s="4">
        <f t="shared" si="8"/>
        <v>0</v>
      </c>
      <c r="T33" s="4">
        <f t="shared" si="9"/>
        <v>0</v>
      </c>
      <c r="U33" s="4"/>
      <c r="V33" s="23"/>
      <c r="W33" s="22"/>
      <c r="X33" s="9" t="e">
        <f t="shared" si="10"/>
        <v>#DIV/0!</v>
      </c>
      <c r="Y33" s="10" t="e">
        <f t="shared" si="6"/>
        <v>#DIV/0!</v>
      </c>
      <c r="Z33" s="10">
        <v>-0.2</v>
      </c>
      <c r="AA33" s="10">
        <v>0</v>
      </c>
      <c r="AB33" s="10">
        <v>0.2</v>
      </c>
      <c r="AC33" s="10">
        <v>1.2</v>
      </c>
      <c r="AD33" s="10">
        <v>1</v>
      </c>
      <c r="AE33" s="10">
        <v>1.2</v>
      </c>
      <c r="AF33" s="10">
        <v>3.2</v>
      </c>
      <c r="AG33" s="10">
        <v>7.2</v>
      </c>
      <c r="AH33" s="10">
        <v>0.8</v>
      </c>
      <c r="AI33" s="10">
        <v>1.4</v>
      </c>
      <c r="AJ33" s="14" t="s">
        <v>59</v>
      </c>
      <c r="AK33" s="9">
        <f t="shared" si="11"/>
        <v>0</v>
      </c>
      <c r="AL33" s="9">
        <f t="shared" si="12"/>
        <v>0</v>
      </c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25">
      <c r="A34" s="10" t="s">
        <v>76</v>
      </c>
      <c r="B34" s="10" t="s">
        <v>39</v>
      </c>
      <c r="C34" s="10">
        <v>22</v>
      </c>
      <c r="D34" s="10"/>
      <c r="E34" s="10"/>
      <c r="F34" s="10">
        <v>22</v>
      </c>
      <c r="G34" s="11">
        <v>0</v>
      </c>
      <c r="H34" s="10"/>
      <c r="I34" s="10" t="s">
        <v>61</v>
      </c>
      <c r="J34" s="10"/>
      <c r="K34" s="10"/>
      <c r="L34" s="10">
        <f t="shared" si="3"/>
        <v>0</v>
      </c>
      <c r="M34" s="10">
        <f t="shared" si="4"/>
        <v>0</v>
      </c>
      <c r="N34" s="10"/>
      <c r="O34" s="10">
        <v>0</v>
      </c>
      <c r="P34" s="10"/>
      <c r="Q34" s="10">
        <f t="shared" si="5"/>
        <v>0</v>
      </c>
      <c r="R34" s="13"/>
      <c r="S34" s="4">
        <f t="shared" si="8"/>
        <v>0</v>
      </c>
      <c r="T34" s="4">
        <f t="shared" si="9"/>
        <v>0</v>
      </c>
      <c r="U34" s="4"/>
      <c r="V34" s="23"/>
      <c r="W34" s="22"/>
      <c r="X34" s="9" t="e">
        <f t="shared" si="10"/>
        <v>#DIV/0!</v>
      </c>
      <c r="Y34" s="10" t="e">
        <f t="shared" si="6"/>
        <v>#DIV/0!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4" t="s">
        <v>59</v>
      </c>
      <c r="AK34" s="9">
        <f t="shared" si="11"/>
        <v>0</v>
      </c>
      <c r="AL34" s="9">
        <f t="shared" si="12"/>
        <v>0</v>
      </c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x14ac:dyDescent="0.25">
      <c r="A35" s="10" t="s">
        <v>77</v>
      </c>
      <c r="B35" s="10" t="s">
        <v>39</v>
      </c>
      <c r="C35" s="10">
        <v>10</v>
      </c>
      <c r="D35" s="10"/>
      <c r="E35" s="10"/>
      <c r="F35" s="10">
        <v>10</v>
      </c>
      <c r="G35" s="11">
        <v>0</v>
      </c>
      <c r="H35" s="10"/>
      <c r="I35" s="10" t="s">
        <v>61</v>
      </c>
      <c r="J35" s="10"/>
      <c r="K35" s="10"/>
      <c r="L35" s="10">
        <f t="shared" si="3"/>
        <v>0</v>
      </c>
      <c r="M35" s="10">
        <f t="shared" si="4"/>
        <v>0</v>
      </c>
      <c r="N35" s="10"/>
      <c r="O35" s="10">
        <v>0</v>
      </c>
      <c r="P35" s="10"/>
      <c r="Q35" s="10">
        <f t="shared" si="5"/>
        <v>0</v>
      </c>
      <c r="R35" s="13"/>
      <c r="S35" s="4">
        <f t="shared" si="8"/>
        <v>0</v>
      </c>
      <c r="T35" s="4">
        <f t="shared" si="9"/>
        <v>0</v>
      </c>
      <c r="U35" s="4"/>
      <c r="V35" s="23"/>
      <c r="W35" s="22"/>
      <c r="X35" s="9" t="e">
        <f t="shared" si="10"/>
        <v>#DIV/0!</v>
      </c>
      <c r="Y35" s="10" t="e">
        <f t="shared" si="6"/>
        <v>#DIV/0!</v>
      </c>
      <c r="Z35" s="10">
        <v>0</v>
      </c>
      <c r="AA35" s="10">
        <v>-0.6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4" t="s">
        <v>59</v>
      </c>
      <c r="AK35" s="9">
        <f t="shared" si="11"/>
        <v>0</v>
      </c>
      <c r="AL35" s="9">
        <f t="shared" si="12"/>
        <v>0</v>
      </c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x14ac:dyDescent="0.25">
      <c r="A36" s="10" t="s">
        <v>78</v>
      </c>
      <c r="B36" s="10" t="s">
        <v>39</v>
      </c>
      <c r="C36" s="10">
        <v>18</v>
      </c>
      <c r="D36" s="10"/>
      <c r="E36" s="10"/>
      <c r="F36" s="10">
        <v>18</v>
      </c>
      <c r="G36" s="11">
        <v>0</v>
      </c>
      <c r="H36" s="10"/>
      <c r="I36" s="10" t="s">
        <v>61</v>
      </c>
      <c r="J36" s="10"/>
      <c r="K36" s="10">
        <v>79</v>
      </c>
      <c r="L36" s="10">
        <f t="shared" si="3"/>
        <v>-79</v>
      </c>
      <c r="M36" s="10">
        <f t="shared" si="4"/>
        <v>0</v>
      </c>
      <c r="N36" s="10"/>
      <c r="O36" s="10">
        <v>0</v>
      </c>
      <c r="P36" s="10"/>
      <c r="Q36" s="10">
        <f t="shared" si="5"/>
        <v>0</v>
      </c>
      <c r="R36" s="13"/>
      <c r="S36" s="4">
        <f t="shared" si="8"/>
        <v>0</v>
      </c>
      <c r="T36" s="4">
        <f t="shared" si="9"/>
        <v>0</v>
      </c>
      <c r="U36" s="4"/>
      <c r="V36" s="23"/>
      <c r="W36" s="22"/>
      <c r="X36" s="9" t="e">
        <f t="shared" si="10"/>
        <v>#DIV/0!</v>
      </c>
      <c r="Y36" s="10" t="e">
        <f t="shared" si="6"/>
        <v>#DIV/0!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4" t="s">
        <v>59</v>
      </c>
      <c r="AK36" s="9">
        <f t="shared" si="11"/>
        <v>0</v>
      </c>
      <c r="AL36" s="9">
        <f t="shared" si="12"/>
        <v>0</v>
      </c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25">
      <c r="A37" s="10" t="s">
        <v>79</v>
      </c>
      <c r="B37" s="10" t="s">
        <v>39</v>
      </c>
      <c r="C37" s="10">
        <v>88</v>
      </c>
      <c r="D37" s="10">
        <v>4</v>
      </c>
      <c r="E37" s="15">
        <v>48</v>
      </c>
      <c r="F37" s="15">
        <v>8</v>
      </c>
      <c r="G37" s="11">
        <v>0</v>
      </c>
      <c r="H37" s="10">
        <v>45</v>
      </c>
      <c r="I37" s="12" t="s">
        <v>75</v>
      </c>
      <c r="J37" s="12" t="s">
        <v>80</v>
      </c>
      <c r="K37" s="10">
        <v>147</v>
      </c>
      <c r="L37" s="10">
        <f t="shared" si="3"/>
        <v>-99</v>
      </c>
      <c r="M37" s="10">
        <f t="shared" si="4"/>
        <v>48</v>
      </c>
      <c r="N37" s="10"/>
      <c r="O37" s="16">
        <v>40</v>
      </c>
      <c r="P37" s="10"/>
      <c r="Q37" s="10">
        <f t="shared" si="5"/>
        <v>9.6</v>
      </c>
      <c r="R37" s="13"/>
      <c r="S37" s="4">
        <f t="shared" si="8"/>
        <v>0</v>
      </c>
      <c r="T37" s="4">
        <f t="shared" si="9"/>
        <v>0</v>
      </c>
      <c r="U37" s="4"/>
      <c r="V37" s="23"/>
      <c r="W37" s="22"/>
      <c r="X37" s="9">
        <f t="shared" si="10"/>
        <v>5</v>
      </c>
      <c r="Y37" s="10">
        <f t="shared" si="6"/>
        <v>5</v>
      </c>
      <c r="Z37" s="10">
        <v>25.4</v>
      </c>
      <c r="AA37" s="10">
        <v>32.200000000000003</v>
      </c>
      <c r="AB37" s="10">
        <v>26.4</v>
      </c>
      <c r="AC37" s="10">
        <v>25.8</v>
      </c>
      <c r="AD37" s="10">
        <v>25.6</v>
      </c>
      <c r="AE37" s="10">
        <v>31.4</v>
      </c>
      <c r="AF37" s="10">
        <v>5</v>
      </c>
      <c r="AG37" s="10">
        <v>40.4</v>
      </c>
      <c r="AH37" s="10">
        <v>16.8</v>
      </c>
      <c r="AI37" s="10">
        <v>20.6</v>
      </c>
      <c r="AJ37" s="10" t="s">
        <v>81</v>
      </c>
      <c r="AK37" s="9">
        <f t="shared" si="11"/>
        <v>0</v>
      </c>
      <c r="AL37" s="9">
        <f t="shared" si="12"/>
        <v>0</v>
      </c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x14ac:dyDescent="0.25">
      <c r="A38" s="9" t="s">
        <v>82</v>
      </c>
      <c r="B38" s="9" t="s">
        <v>35</v>
      </c>
      <c r="C38" s="9">
        <v>95.617000000000004</v>
      </c>
      <c r="D38" s="9">
        <v>219.51900000000001</v>
      </c>
      <c r="E38" s="9">
        <v>98.49</v>
      </c>
      <c r="F38" s="9">
        <v>216.64599999999999</v>
      </c>
      <c r="G38" s="6">
        <v>1</v>
      </c>
      <c r="H38" s="9">
        <v>60</v>
      </c>
      <c r="I38" s="9" t="s">
        <v>36</v>
      </c>
      <c r="J38" s="9"/>
      <c r="K38" s="9">
        <v>107.483</v>
      </c>
      <c r="L38" s="9">
        <f t="shared" ref="L38:L69" si="16">E38-K38</f>
        <v>-8.9930000000000092</v>
      </c>
      <c r="M38" s="9">
        <f t="shared" ref="M38:M69" si="17">E38-N38</f>
        <v>70.506999999999991</v>
      </c>
      <c r="N38" s="9">
        <v>27.983000000000001</v>
      </c>
      <c r="O38" s="9">
        <v>66</v>
      </c>
      <c r="P38" s="9">
        <v>54</v>
      </c>
      <c r="Q38" s="9">
        <f t="shared" ref="Q38:Q69" si="18">M38/5</f>
        <v>14.101399999999998</v>
      </c>
      <c r="R38" s="4"/>
      <c r="S38" s="4">
        <f t="shared" si="8"/>
        <v>0</v>
      </c>
      <c r="T38" s="4">
        <f t="shared" si="9"/>
        <v>0</v>
      </c>
      <c r="U38" s="4"/>
      <c r="V38" s="22"/>
      <c r="W38" s="22"/>
      <c r="X38" s="9">
        <f t="shared" si="10"/>
        <v>23.87323244500546</v>
      </c>
      <c r="Y38" s="9">
        <f t="shared" ref="Y38:Y69" si="19">(F38+O38+P38)/Q38</f>
        <v>23.87323244500546</v>
      </c>
      <c r="Z38" s="9">
        <v>19.395199999999999</v>
      </c>
      <c r="AA38" s="9">
        <v>19.1096</v>
      </c>
      <c r="AB38" s="9">
        <v>20.542400000000001</v>
      </c>
      <c r="AC38" s="9">
        <v>27.1554</v>
      </c>
      <c r="AD38" s="9">
        <v>23.3902</v>
      </c>
      <c r="AE38" s="9">
        <v>23.227</v>
      </c>
      <c r="AF38" s="9">
        <v>29.584199999999999</v>
      </c>
      <c r="AG38" s="9">
        <v>27.789000000000001</v>
      </c>
      <c r="AH38" s="9">
        <v>19.216000000000001</v>
      </c>
      <c r="AI38" s="9">
        <v>22.330400000000001</v>
      </c>
      <c r="AJ38" s="9"/>
      <c r="AK38" s="9">
        <f t="shared" si="11"/>
        <v>0</v>
      </c>
      <c r="AL38" s="9">
        <f t="shared" si="12"/>
        <v>0</v>
      </c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x14ac:dyDescent="0.25">
      <c r="A39" s="9" t="s">
        <v>83</v>
      </c>
      <c r="B39" s="9" t="s">
        <v>35</v>
      </c>
      <c r="C39" s="9">
        <v>99.981999999999999</v>
      </c>
      <c r="D39" s="9">
        <v>3.1440000000000001</v>
      </c>
      <c r="E39" s="9">
        <v>47.646000000000001</v>
      </c>
      <c r="F39" s="9">
        <v>49.207000000000001</v>
      </c>
      <c r="G39" s="6">
        <v>1</v>
      </c>
      <c r="H39" s="9">
        <v>45</v>
      </c>
      <c r="I39" s="9" t="s">
        <v>36</v>
      </c>
      <c r="J39" s="9"/>
      <c r="K39" s="9">
        <v>57.8</v>
      </c>
      <c r="L39" s="9">
        <f t="shared" si="16"/>
        <v>-10.153999999999996</v>
      </c>
      <c r="M39" s="9">
        <f t="shared" si="17"/>
        <v>47.646000000000001</v>
      </c>
      <c r="N39" s="9"/>
      <c r="O39" s="9">
        <v>14</v>
      </c>
      <c r="P39" s="9"/>
      <c r="Q39" s="9">
        <f t="shared" si="18"/>
        <v>9.5291999999999994</v>
      </c>
      <c r="R39" s="4">
        <f t="shared" ref="R39" si="20">15*Q39-P39-O39-F39</f>
        <v>79.730999999999995</v>
      </c>
      <c r="S39" s="4">
        <f t="shared" si="8"/>
        <v>80</v>
      </c>
      <c r="T39" s="4">
        <f t="shared" si="9"/>
        <v>80</v>
      </c>
      <c r="U39" s="4"/>
      <c r="V39" s="22"/>
      <c r="W39" s="22"/>
      <c r="X39" s="9">
        <f t="shared" si="10"/>
        <v>15.028229022373337</v>
      </c>
      <c r="Y39" s="9">
        <f t="shared" si="19"/>
        <v>6.6329807329051764</v>
      </c>
      <c r="Z39" s="9">
        <v>7.5122</v>
      </c>
      <c r="AA39" s="9">
        <v>8.1552000000000007</v>
      </c>
      <c r="AB39" s="9">
        <v>10.848800000000001</v>
      </c>
      <c r="AC39" s="9">
        <v>9.6592000000000002</v>
      </c>
      <c r="AD39" s="9">
        <v>13.51</v>
      </c>
      <c r="AE39" s="9">
        <v>8.6110000000000007</v>
      </c>
      <c r="AF39" s="9">
        <v>12.738200000000001</v>
      </c>
      <c r="AG39" s="9">
        <v>10.3902</v>
      </c>
      <c r="AH39" s="9">
        <v>10.955399999999999</v>
      </c>
      <c r="AI39" s="9">
        <v>12.7638</v>
      </c>
      <c r="AJ39" s="9"/>
      <c r="AK39" s="9">
        <f t="shared" si="11"/>
        <v>80</v>
      </c>
      <c r="AL39" s="9">
        <f t="shared" si="12"/>
        <v>0</v>
      </c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x14ac:dyDescent="0.25">
      <c r="A40" s="9" t="s">
        <v>84</v>
      </c>
      <c r="B40" s="9" t="s">
        <v>35</v>
      </c>
      <c r="C40" s="9">
        <v>10.212</v>
      </c>
      <c r="D40" s="9">
        <v>182.22800000000001</v>
      </c>
      <c r="E40" s="9">
        <v>55.750999999999998</v>
      </c>
      <c r="F40" s="9">
        <v>127.65600000000001</v>
      </c>
      <c r="G40" s="6">
        <v>1</v>
      </c>
      <c r="H40" s="9">
        <v>45</v>
      </c>
      <c r="I40" s="9" t="s">
        <v>36</v>
      </c>
      <c r="J40" s="9"/>
      <c r="K40" s="9">
        <v>86.787000000000006</v>
      </c>
      <c r="L40" s="9">
        <f t="shared" si="16"/>
        <v>-31.036000000000008</v>
      </c>
      <c r="M40" s="9">
        <f t="shared" si="17"/>
        <v>40.064</v>
      </c>
      <c r="N40" s="9">
        <v>15.686999999999999</v>
      </c>
      <c r="O40" s="9">
        <v>40</v>
      </c>
      <c r="P40" s="9"/>
      <c r="Q40" s="9">
        <f t="shared" si="18"/>
        <v>8.0128000000000004</v>
      </c>
      <c r="R40" s="4"/>
      <c r="S40" s="4">
        <v>10</v>
      </c>
      <c r="T40" s="4">
        <f t="shared" si="9"/>
        <v>10</v>
      </c>
      <c r="U40" s="4"/>
      <c r="V40" s="22">
        <v>20</v>
      </c>
      <c r="W40" s="22"/>
      <c r="X40" s="9">
        <f t="shared" si="10"/>
        <v>22.171525559105429</v>
      </c>
      <c r="Y40" s="9">
        <f t="shared" si="19"/>
        <v>20.923522364217252</v>
      </c>
      <c r="Z40" s="9">
        <v>5.2281999999999993</v>
      </c>
      <c r="AA40" s="9">
        <v>17.227599999999999</v>
      </c>
      <c r="AB40" s="9">
        <v>15.8384</v>
      </c>
      <c r="AC40" s="9">
        <v>14.441599999999999</v>
      </c>
      <c r="AD40" s="9">
        <v>17.440999999999999</v>
      </c>
      <c r="AE40" s="9">
        <v>22.718399999999999</v>
      </c>
      <c r="AF40" s="9">
        <v>27.189</v>
      </c>
      <c r="AG40" s="9">
        <v>11.9834</v>
      </c>
      <c r="AH40" s="9">
        <v>13.699400000000001</v>
      </c>
      <c r="AI40" s="9">
        <v>35.602999999999987</v>
      </c>
      <c r="AJ40" s="17" t="s">
        <v>44</v>
      </c>
      <c r="AK40" s="9">
        <f t="shared" si="11"/>
        <v>10</v>
      </c>
      <c r="AL40" s="9">
        <f t="shared" si="12"/>
        <v>0</v>
      </c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x14ac:dyDescent="0.25">
      <c r="A41" s="10" t="s">
        <v>85</v>
      </c>
      <c r="B41" s="10" t="s">
        <v>39</v>
      </c>
      <c r="C41" s="10">
        <v>60</v>
      </c>
      <c r="D41" s="10">
        <v>499</v>
      </c>
      <c r="E41" s="10">
        <v>33</v>
      </c>
      <c r="F41" s="10">
        <v>482</v>
      </c>
      <c r="G41" s="11">
        <v>0</v>
      </c>
      <c r="H41" s="10"/>
      <c r="I41" s="10" t="s">
        <v>61</v>
      </c>
      <c r="J41" s="10"/>
      <c r="K41" s="10">
        <v>54</v>
      </c>
      <c r="L41" s="10">
        <f t="shared" si="16"/>
        <v>-21</v>
      </c>
      <c r="M41" s="10">
        <f t="shared" si="17"/>
        <v>33</v>
      </c>
      <c r="N41" s="10"/>
      <c r="O41" s="10">
        <v>0</v>
      </c>
      <c r="P41" s="10"/>
      <c r="Q41" s="10">
        <f t="shared" si="18"/>
        <v>6.6</v>
      </c>
      <c r="R41" s="13"/>
      <c r="S41" s="4">
        <f t="shared" si="8"/>
        <v>0</v>
      </c>
      <c r="T41" s="4">
        <f t="shared" si="9"/>
        <v>0</v>
      </c>
      <c r="U41" s="4"/>
      <c r="V41" s="23"/>
      <c r="W41" s="22"/>
      <c r="X41" s="9">
        <f t="shared" si="10"/>
        <v>73.030303030303031</v>
      </c>
      <c r="Y41" s="10">
        <f t="shared" si="19"/>
        <v>73.030303030303031</v>
      </c>
      <c r="Z41" s="10">
        <v>2.4</v>
      </c>
      <c r="AA41" s="10">
        <v>156.80000000000001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4" t="s">
        <v>86</v>
      </c>
      <c r="AK41" s="9">
        <f t="shared" si="11"/>
        <v>0</v>
      </c>
      <c r="AL41" s="9">
        <f t="shared" si="12"/>
        <v>0</v>
      </c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x14ac:dyDescent="0.25">
      <c r="A42" s="9" t="s">
        <v>87</v>
      </c>
      <c r="B42" s="9" t="s">
        <v>35</v>
      </c>
      <c r="C42" s="9">
        <v>157.54599999999999</v>
      </c>
      <c r="D42" s="9">
        <v>41.232999999999997</v>
      </c>
      <c r="E42" s="9">
        <v>94.468000000000004</v>
      </c>
      <c r="F42" s="9">
        <v>86.903000000000006</v>
      </c>
      <c r="G42" s="6">
        <v>1</v>
      </c>
      <c r="H42" s="9">
        <v>45</v>
      </c>
      <c r="I42" s="9" t="s">
        <v>36</v>
      </c>
      <c r="J42" s="9"/>
      <c r="K42" s="9">
        <v>113.59699999999999</v>
      </c>
      <c r="L42" s="9">
        <f t="shared" si="16"/>
        <v>-19.128999999999991</v>
      </c>
      <c r="M42" s="9">
        <f t="shared" si="17"/>
        <v>79.070999999999998</v>
      </c>
      <c r="N42" s="9">
        <v>15.397</v>
      </c>
      <c r="O42" s="9">
        <v>93</v>
      </c>
      <c r="P42" s="9">
        <v>77</v>
      </c>
      <c r="Q42" s="9">
        <f t="shared" si="18"/>
        <v>15.8142</v>
      </c>
      <c r="R42" s="4"/>
      <c r="S42" s="4">
        <v>15</v>
      </c>
      <c r="T42" s="4">
        <f t="shared" si="9"/>
        <v>15</v>
      </c>
      <c r="U42" s="4"/>
      <c r="V42" s="22">
        <v>30</v>
      </c>
      <c r="W42" s="22"/>
      <c r="X42" s="9">
        <f t="shared" si="10"/>
        <v>17.19359815861694</v>
      </c>
      <c r="Y42" s="9">
        <f t="shared" si="19"/>
        <v>16.245083532521406</v>
      </c>
      <c r="Z42" s="9">
        <v>21.527999999999999</v>
      </c>
      <c r="AA42" s="9">
        <v>15.0566</v>
      </c>
      <c r="AB42" s="9">
        <v>22.8264</v>
      </c>
      <c r="AC42" s="9">
        <v>30.696000000000009</v>
      </c>
      <c r="AD42" s="9">
        <v>33.184600000000003</v>
      </c>
      <c r="AE42" s="9">
        <v>27.101600000000001</v>
      </c>
      <c r="AF42" s="9">
        <v>30.218599999999999</v>
      </c>
      <c r="AG42" s="9">
        <v>37.081000000000003</v>
      </c>
      <c r="AH42" s="9">
        <v>15.3294</v>
      </c>
      <c r="AI42" s="9">
        <v>39.705199999999998</v>
      </c>
      <c r="AJ42" s="9"/>
      <c r="AK42" s="9">
        <f t="shared" si="11"/>
        <v>15</v>
      </c>
      <c r="AL42" s="9">
        <f t="shared" si="12"/>
        <v>0</v>
      </c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x14ac:dyDescent="0.25">
      <c r="A43" s="10" t="s">
        <v>88</v>
      </c>
      <c r="B43" s="10" t="s">
        <v>39</v>
      </c>
      <c r="C43" s="10"/>
      <c r="D43" s="10">
        <v>30</v>
      </c>
      <c r="E43" s="10">
        <v>30</v>
      </c>
      <c r="F43" s="10"/>
      <c r="G43" s="11">
        <v>0</v>
      </c>
      <c r="H43" s="10"/>
      <c r="I43" s="12" t="s">
        <v>61</v>
      </c>
      <c r="J43" s="10"/>
      <c r="K43" s="10">
        <v>30</v>
      </c>
      <c r="L43" s="10">
        <f t="shared" si="16"/>
        <v>0</v>
      </c>
      <c r="M43" s="10">
        <f t="shared" si="17"/>
        <v>0</v>
      </c>
      <c r="N43" s="10">
        <v>30</v>
      </c>
      <c r="O43" s="10"/>
      <c r="P43" s="10"/>
      <c r="Q43" s="10">
        <f t="shared" si="18"/>
        <v>0</v>
      </c>
      <c r="R43" s="13"/>
      <c r="S43" s="4">
        <f t="shared" si="8"/>
        <v>0</v>
      </c>
      <c r="T43" s="4">
        <f t="shared" si="9"/>
        <v>0</v>
      </c>
      <c r="U43" s="4"/>
      <c r="V43" s="23"/>
      <c r="W43" s="22"/>
      <c r="X43" s="9" t="e">
        <f t="shared" si="10"/>
        <v>#DIV/0!</v>
      </c>
      <c r="Y43" s="10" t="e">
        <f t="shared" si="19"/>
        <v>#DIV/0!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/>
      <c r="AK43" s="9">
        <f t="shared" si="11"/>
        <v>0</v>
      </c>
      <c r="AL43" s="9">
        <f t="shared" si="12"/>
        <v>0</v>
      </c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x14ac:dyDescent="0.25">
      <c r="A44" s="9" t="s">
        <v>89</v>
      </c>
      <c r="B44" s="9" t="s">
        <v>39</v>
      </c>
      <c r="C44" s="9">
        <v>298</v>
      </c>
      <c r="D44" s="9">
        <v>553</v>
      </c>
      <c r="E44" s="9">
        <v>378</v>
      </c>
      <c r="F44" s="9">
        <v>444</v>
      </c>
      <c r="G44" s="6">
        <v>0.3</v>
      </c>
      <c r="H44" s="9">
        <v>45</v>
      </c>
      <c r="I44" s="9" t="s">
        <v>36</v>
      </c>
      <c r="J44" s="9"/>
      <c r="K44" s="9">
        <v>425</v>
      </c>
      <c r="L44" s="9">
        <f t="shared" si="16"/>
        <v>-47</v>
      </c>
      <c r="M44" s="9">
        <f t="shared" si="17"/>
        <v>378</v>
      </c>
      <c r="N44" s="9"/>
      <c r="O44" s="9">
        <v>132</v>
      </c>
      <c r="P44" s="9">
        <v>108</v>
      </c>
      <c r="Q44" s="9">
        <f t="shared" si="18"/>
        <v>75.599999999999994</v>
      </c>
      <c r="R44" s="4">
        <f t="shared" ref="R44:R47" si="21">15*Q44-P44-O44-F44</f>
        <v>450</v>
      </c>
      <c r="S44" s="4">
        <v>480</v>
      </c>
      <c r="T44" s="4">
        <f t="shared" si="9"/>
        <v>216</v>
      </c>
      <c r="U44" s="4">
        <f>ROUND(S44*$U$1,0)</f>
        <v>264</v>
      </c>
      <c r="V44" s="22">
        <v>480</v>
      </c>
      <c r="W44" s="22"/>
      <c r="X44" s="9">
        <f t="shared" si="10"/>
        <v>15.396825396825397</v>
      </c>
      <c r="Y44" s="9">
        <f t="shared" si="19"/>
        <v>9.0476190476190474</v>
      </c>
      <c r="Z44" s="9">
        <v>69.8</v>
      </c>
      <c r="AA44" s="9">
        <v>76.599999999999994</v>
      </c>
      <c r="AB44" s="9">
        <v>65.400000000000006</v>
      </c>
      <c r="AC44" s="9">
        <v>46.4</v>
      </c>
      <c r="AD44" s="9">
        <v>47</v>
      </c>
      <c r="AE44" s="9">
        <v>40.4</v>
      </c>
      <c r="AF44" s="9">
        <v>35.799999999999997</v>
      </c>
      <c r="AG44" s="9">
        <v>-5.2</v>
      </c>
      <c r="AH44" s="9">
        <v>18</v>
      </c>
      <c r="AI44" s="9">
        <v>45.2</v>
      </c>
      <c r="AJ44" s="9" t="s">
        <v>90</v>
      </c>
      <c r="AK44" s="9">
        <f t="shared" si="11"/>
        <v>64.8</v>
      </c>
      <c r="AL44" s="9">
        <f t="shared" si="12"/>
        <v>79.2</v>
      </c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x14ac:dyDescent="0.25">
      <c r="A45" s="9" t="s">
        <v>91</v>
      </c>
      <c r="B45" s="9" t="s">
        <v>35</v>
      </c>
      <c r="C45" s="9">
        <v>57.34</v>
      </c>
      <c r="D45" s="9">
        <v>95.97</v>
      </c>
      <c r="E45" s="9">
        <v>13.71</v>
      </c>
      <c r="F45" s="9">
        <v>136.202</v>
      </c>
      <c r="G45" s="6">
        <v>1</v>
      </c>
      <c r="H45" s="9">
        <v>30</v>
      </c>
      <c r="I45" s="9" t="s">
        <v>36</v>
      </c>
      <c r="J45" s="9"/>
      <c r="K45" s="9">
        <v>15.138</v>
      </c>
      <c r="L45" s="9">
        <f t="shared" si="16"/>
        <v>-1.427999999999999</v>
      </c>
      <c r="M45" s="9">
        <f t="shared" si="17"/>
        <v>13.71</v>
      </c>
      <c r="N45" s="9"/>
      <c r="O45" s="9">
        <v>0</v>
      </c>
      <c r="P45" s="9"/>
      <c r="Q45" s="9">
        <f t="shared" si="18"/>
        <v>2.742</v>
      </c>
      <c r="R45" s="4"/>
      <c r="S45" s="4">
        <f t="shared" si="8"/>
        <v>0</v>
      </c>
      <c r="T45" s="4">
        <f t="shared" si="9"/>
        <v>0</v>
      </c>
      <c r="U45" s="4"/>
      <c r="V45" s="22"/>
      <c r="W45" s="22"/>
      <c r="X45" s="9">
        <f t="shared" si="10"/>
        <v>49.672501823486506</v>
      </c>
      <c r="Y45" s="9">
        <f t="shared" si="19"/>
        <v>49.672501823486506</v>
      </c>
      <c r="Z45" s="9">
        <v>4.5284000000000004</v>
      </c>
      <c r="AA45" s="9">
        <v>10.7372</v>
      </c>
      <c r="AB45" s="9">
        <v>8.6926000000000023</v>
      </c>
      <c r="AC45" s="9">
        <v>10.030799999999999</v>
      </c>
      <c r="AD45" s="9">
        <v>0.22880000000000039</v>
      </c>
      <c r="AE45" s="9">
        <v>10.464</v>
      </c>
      <c r="AF45" s="9">
        <v>0</v>
      </c>
      <c r="AG45" s="9">
        <v>0</v>
      </c>
      <c r="AH45" s="9">
        <v>0</v>
      </c>
      <c r="AI45" s="9">
        <v>0</v>
      </c>
      <c r="AJ45" s="17" t="s">
        <v>180</v>
      </c>
      <c r="AK45" s="9">
        <f t="shared" si="11"/>
        <v>0</v>
      </c>
      <c r="AL45" s="9">
        <f t="shared" si="12"/>
        <v>0</v>
      </c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x14ac:dyDescent="0.25">
      <c r="A46" s="9" t="s">
        <v>92</v>
      </c>
      <c r="B46" s="9" t="s">
        <v>35</v>
      </c>
      <c r="C46" s="9">
        <v>6.125</v>
      </c>
      <c r="D46" s="9"/>
      <c r="E46" s="9">
        <v>1.534</v>
      </c>
      <c r="F46" s="9">
        <v>4.5910000000000002</v>
      </c>
      <c r="G46" s="6">
        <v>1</v>
      </c>
      <c r="H46" s="9">
        <v>45</v>
      </c>
      <c r="I46" s="9" t="s">
        <v>36</v>
      </c>
      <c r="J46" s="9"/>
      <c r="K46" s="9">
        <v>1.5</v>
      </c>
      <c r="L46" s="9">
        <f t="shared" si="16"/>
        <v>3.400000000000003E-2</v>
      </c>
      <c r="M46" s="9">
        <f t="shared" si="17"/>
        <v>1.534</v>
      </c>
      <c r="N46" s="9"/>
      <c r="O46" s="9">
        <v>11</v>
      </c>
      <c r="P46" s="9"/>
      <c r="Q46" s="9">
        <f t="shared" si="18"/>
        <v>0.30680000000000002</v>
      </c>
      <c r="R46" s="4"/>
      <c r="S46" s="4">
        <f t="shared" si="8"/>
        <v>0</v>
      </c>
      <c r="T46" s="4">
        <f t="shared" si="9"/>
        <v>0</v>
      </c>
      <c r="U46" s="4"/>
      <c r="V46" s="22"/>
      <c r="W46" s="22"/>
      <c r="X46" s="9">
        <f t="shared" si="10"/>
        <v>50.818122555410689</v>
      </c>
      <c r="Y46" s="9">
        <f t="shared" si="19"/>
        <v>50.818122555410689</v>
      </c>
      <c r="Z46" s="9">
        <v>1.2243999999999999</v>
      </c>
      <c r="AA46" s="9">
        <v>0.62199999999999989</v>
      </c>
      <c r="AB46" s="9">
        <v>2.1983999999999999</v>
      </c>
      <c r="AC46" s="9">
        <v>0.60759999999999936</v>
      </c>
      <c r="AD46" s="9">
        <v>1.4392</v>
      </c>
      <c r="AE46" s="9">
        <v>0</v>
      </c>
      <c r="AF46" s="9">
        <v>0</v>
      </c>
      <c r="AG46" s="9">
        <v>-0.1052</v>
      </c>
      <c r="AH46" s="9">
        <v>0.93140000000000001</v>
      </c>
      <c r="AI46" s="9">
        <v>0.25059999999999999</v>
      </c>
      <c r="AJ46" s="17" t="s">
        <v>44</v>
      </c>
      <c r="AK46" s="9">
        <f t="shared" si="11"/>
        <v>0</v>
      </c>
      <c r="AL46" s="9">
        <f t="shared" si="12"/>
        <v>0</v>
      </c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x14ac:dyDescent="0.25">
      <c r="A47" s="9" t="s">
        <v>93</v>
      </c>
      <c r="B47" s="9" t="s">
        <v>39</v>
      </c>
      <c r="C47" s="9">
        <v>1012</v>
      </c>
      <c r="D47" s="9">
        <v>981</v>
      </c>
      <c r="E47" s="9">
        <v>1159</v>
      </c>
      <c r="F47" s="9">
        <v>775</v>
      </c>
      <c r="G47" s="6">
        <v>0.35</v>
      </c>
      <c r="H47" s="9">
        <v>45</v>
      </c>
      <c r="I47" s="9" t="s">
        <v>36</v>
      </c>
      <c r="J47" s="9"/>
      <c r="K47" s="9">
        <v>1244</v>
      </c>
      <c r="L47" s="9">
        <f t="shared" si="16"/>
        <v>-85</v>
      </c>
      <c r="M47" s="9">
        <f t="shared" si="17"/>
        <v>1079</v>
      </c>
      <c r="N47" s="9">
        <v>80</v>
      </c>
      <c r="O47" s="9">
        <v>661</v>
      </c>
      <c r="P47" s="9">
        <v>541</v>
      </c>
      <c r="Q47" s="9">
        <f t="shared" si="18"/>
        <v>215.8</v>
      </c>
      <c r="R47" s="4">
        <f t="shared" si="21"/>
        <v>1260</v>
      </c>
      <c r="S47" s="4">
        <v>1300</v>
      </c>
      <c r="T47" s="4">
        <f t="shared" si="9"/>
        <v>585</v>
      </c>
      <c r="U47" s="4">
        <f>ROUND(S47*$U$1,0)</f>
        <v>715</v>
      </c>
      <c r="V47" s="22">
        <v>1300</v>
      </c>
      <c r="W47" s="22"/>
      <c r="X47" s="9">
        <f t="shared" si="10"/>
        <v>15.185356811862835</v>
      </c>
      <c r="Y47" s="9">
        <f t="shared" si="19"/>
        <v>9.1612604263206663</v>
      </c>
      <c r="Z47" s="9">
        <v>205.6</v>
      </c>
      <c r="AA47" s="9">
        <v>194.2</v>
      </c>
      <c r="AB47" s="9">
        <v>197.6</v>
      </c>
      <c r="AC47" s="9">
        <v>207</v>
      </c>
      <c r="AD47" s="9">
        <v>186.6</v>
      </c>
      <c r="AE47" s="9">
        <v>205.4</v>
      </c>
      <c r="AF47" s="9">
        <v>193.4</v>
      </c>
      <c r="AG47" s="9">
        <v>235.3424</v>
      </c>
      <c r="AH47" s="9">
        <v>191.6</v>
      </c>
      <c r="AI47" s="9">
        <v>300.8</v>
      </c>
      <c r="AJ47" s="9"/>
      <c r="AK47" s="9">
        <f t="shared" si="11"/>
        <v>204.75</v>
      </c>
      <c r="AL47" s="9">
        <f t="shared" si="12"/>
        <v>250.24999999999997</v>
      </c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x14ac:dyDescent="0.25">
      <c r="A48" s="10" t="s">
        <v>94</v>
      </c>
      <c r="B48" s="10" t="s">
        <v>39</v>
      </c>
      <c r="C48" s="10">
        <v>68</v>
      </c>
      <c r="D48" s="10">
        <v>16</v>
      </c>
      <c r="E48" s="15">
        <v>22</v>
      </c>
      <c r="F48" s="15">
        <v>1</v>
      </c>
      <c r="G48" s="11">
        <v>0</v>
      </c>
      <c r="H48" s="10">
        <v>45</v>
      </c>
      <c r="I48" s="12" t="s">
        <v>75</v>
      </c>
      <c r="J48" s="12" t="s">
        <v>95</v>
      </c>
      <c r="K48" s="10">
        <v>262</v>
      </c>
      <c r="L48" s="10">
        <f t="shared" si="16"/>
        <v>-240</v>
      </c>
      <c r="M48" s="10">
        <f t="shared" si="17"/>
        <v>22</v>
      </c>
      <c r="N48" s="10"/>
      <c r="O48" s="16">
        <v>68</v>
      </c>
      <c r="P48" s="16">
        <v>56</v>
      </c>
      <c r="Q48" s="10">
        <f t="shared" si="18"/>
        <v>4.4000000000000004</v>
      </c>
      <c r="R48" s="13"/>
      <c r="S48" s="4">
        <f t="shared" si="8"/>
        <v>0</v>
      </c>
      <c r="T48" s="4">
        <f t="shared" si="9"/>
        <v>0</v>
      </c>
      <c r="U48" s="4"/>
      <c r="V48" s="23"/>
      <c r="W48" s="22"/>
      <c r="X48" s="9">
        <f t="shared" si="10"/>
        <v>28.409090909090907</v>
      </c>
      <c r="Y48" s="10">
        <f t="shared" si="19"/>
        <v>28.409090909090907</v>
      </c>
      <c r="Z48" s="10">
        <v>47.6</v>
      </c>
      <c r="AA48" s="10">
        <v>69.8</v>
      </c>
      <c r="AB48" s="10">
        <v>42.6</v>
      </c>
      <c r="AC48" s="10">
        <v>45.4</v>
      </c>
      <c r="AD48" s="10">
        <v>37.200000000000003</v>
      </c>
      <c r="AE48" s="10">
        <v>74</v>
      </c>
      <c r="AF48" s="10">
        <v>44.58</v>
      </c>
      <c r="AG48" s="10">
        <v>45.2</v>
      </c>
      <c r="AH48" s="10">
        <v>67.599999999999994</v>
      </c>
      <c r="AI48" s="10">
        <v>26.2</v>
      </c>
      <c r="AJ48" s="10" t="s">
        <v>96</v>
      </c>
      <c r="AK48" s="9">
        <f t="shared" si="11"/>
        <v>0</v>
      </c>
      <c r="AL48" s="9">
        <f t="shared" si="12"/>
        <v>0</v>
      </c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x14ac:dyDescent="0.25">
      <c r="A49" s="9" t="s">
        <v>97</v>
      </c>
      <c r="B49" s="9" t="s">
        <v>39</v>
      </c>
      <c r="C49" s="9">
        <v>118</v>
      </c>
      <c r="D49" s="9">
        <v>72</v>
      </c>
      <c r="E49" s="9">
        <v>88</v>
      </c>
      <c r="F49" s="9">
        <v>96</v>
      </c>
      <c r="G49" s="6">
        <v>0.41</v>
      </c>
      <c r="H49" s="9">
        <v>45</v>
      </c>
      <c r="I49" s="9" t="s">
        <v>36</v>
      </c>
      <c r="J49" s="9"/>
      <c r="K49" s="9">
        <v>104</v>
      </c>
      <c r="L49" s="9">
        <f t="shared" si="16"/>
        <v>-16</v>
      </c>
      <c r="M49" s="9">
        <f t="shared" si="17"/>
        <v>88</v>
      </c>
      <c r="N49" s="9"/>
      <c r="O49" s="9">
        <v>0</v>
      </c>
      <c r="P49" s="9"/>
      <c r="Q49" s="9">
        <f t="shared" si="18"/>
        <v>17.600000000000001</v>
      </c>
      <c r="R49" s="4">
        <f>15*Q49-P49-O49-F49</f>
        <v>168</v>
      </c>
      <c r="S49" s="4">
        <f t="shared" si="8"/>
        <v>168</v>
      </c>
      <c r="T49" s="4">
        <f t="shared" si="9"/>
        <v>76</v>
      </c>
      <c r="U49" s="4">
        <f>ROUND(S49*$U$1,0)</f>
        <v>92</v>
      </c>
      <c r="V49" s="22"/>
      <c r="W49" s="22"/>
      <c r="X49" s="9">
        <f t="shared" si="10"/>
        <v>14.999999999999998</v>
      </c>
      <c r="Y49" s="9">
        <f t="shared" si="19"/>
        <v>5.4545454545454541</v>
      </c>
      <c r="Z49" s="9">
        <v>10.6</v>
      </c>
      <c r="AA49" s="9">
        <v>17.2</v>
      </c>
      <c r="AB49" s="9">
        <v>18.399999999999999</v>
      </c>
      <c r="AC49" s="9">
        <v>18.2</v>
      </c>
      <c r="AD49" s="9">
        <v>19</v>
      </c>
      <c r="AE49" s="9">
        <v>8.6</v>
      </c>
      <c r="AF49" s="9">
        <v>30</v>
      </c>
      <c r="AG49" s="9">
        <v>8.1999999999999993</v>
      </c>
      <c r="AH49" s="9">
        <v>7.6</v>
      </c>
      <c r="AI49" s="9">
        <v>19</v>
      </c>
      <c r="AJ49" s="9"/>
      <c r="AK49" s="9">
        <f t="shared" si="11"/>
        <v>31.159999999999997</v>
      </c>
      <c r="AL49" s="9">
        <f t="shared" si="12"/>
        <v>37.72</v>
      </c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x14ac:dyDescent="0.25">
      <c r="A50" s="10" t="s">
        <v>98</v>
      </c>
      <c r="B50" s="10" t="s">
        <v>39</v>
      </c>
      <c r="C50" s="10"/>
      <c r="D50" s="10">
        <v>16</v>
      </c>
      <c r="E50" s="10">
        <v>16</v>
      </c>
      <c r="F50" s="10"/>
      <c r="G50" s="11">
        <v>0</v>
      </c>
      <c r="H50" s="10"/>
      <c r="I50" s="12" t="s">
        <v>61</v>
      </c>
      <c r="J50" s="10"/>
      <c r="K50" s="10">
        <v>16</v>
      </c>
      <c r="L50" s="10">
        <f t="shared" si="16"/>
        <v>0</v>
      </c>
      <c r="M50" s="10">
        <f t="shared" si="17"/>
        <v>0</v>
      </c>
      <c r="N50" s="10">
        <v>16</v>
      </c>
      <c r="O50" s="10"/>
      <c r="P50" s="10"/>
      <c r="Q50" s="10">
        <f t="shared" si="18"/>
        <v>0</v>
      </c>
      <c r="R50" s="13"/>
      <c r="S50" s="4">
        <f t="shared" si="8"/>
        <v>0</v>
      </c>
      <c r="T50" s="4">
        <f t="shared" si="9"/>
        <v>0</v>
      </c>
      <c r="U50" s="4"/>
      <c r="V50" s="23"/>
      <c r="W50" s="22"/>
      <c r="X50" s="9" t="e">
        <f t="shared" si="10"/>
        <v>#DIV/0!</v>
      </c>
      <c r="Y50" s="10" t="e">
        <f t="shared" si="19"/>
        <v>#DIV/0!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/>
      <c r="AK50" s="9">
        <f t="shared" si="11"/>
        <v>0</v>
      </c>
      <c r="AL50" s="9">
        <f t="shared" si="12"/>
        <v>0</v>
      </c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x14ac:dyDescent="0.25">
      <c r="A51" s="9" t="s">
        <v>99</v>
      </c>
      <c r="B51" s="9" t="s">
        <v>39</v>
      </c>
      <c r="C51" s="9">
        <v>265</v>
      </c>
      <c r="D51" s="9">
        <v>69</v>
      </c>
      <c r="E51" s="9">
        <v>138</v>
      </c>
      <c r="F51" s="9">
        <v>186</v>
      </c>
      <c r="G51" s="6">
        <v>0.36</v>
      </c>
      <c r="H51" s="9">
        <v>45</v>
      </c>
      <c r="I51" s="9" t="s">
        <v>36</v>
      </c>
      <c r="J51" s="9"/>
      <c r="K51" s="9">
        <v>281</v>
      </c>
      <c r="L51" s="9">
        <f t="shared" si="16"/>
        <v>-143</v>
      </c>
      <c r="M51" s="9">
        <f t="shared" si="17"/>
        <v>138</v>
      </c>
      <c r="N51" s="9"/>
      <c r="O51" s="9">
        <v>0</v>
      </c>
      <c r="P51" s="9"/>
      <c r="Q51" s="9">
        <f t="shared" si="18"/>
        <v>27.6</v>
      </c>
      <c r="R51" s="4">
        <f t="shared" ref="R51:R64" si="22">15*Q51-P51-O51-F51</f>
        <v>228</v>
      </c>
      <c r="S51" s="4">
        <f t="shared" si="8"/>
        <v>228</v>
      </c>
      <c r="T51" s="4">
        <f t="shared" si="9"/>
        <v>103</v>
      </c>
      <c r="U51" s="4">
        <f t="shared" ref="U51:U53" si="23">ROUND(S51*$U$1,0)</f>
        <v>125</v>
      </c>
      <c r="V51" s="22"/>
      <c r="W51" s="22"/>
      <c r="X51" s="9">
        <f t="shared" si="10"/>
        <v>15</v>
      </c>
      <c r="Y51" s="9">
        <f t="shared" si="19"/>
        <v>6.7391304347826084</v>
      </c>
      <c r="Z51" s="9">
        <v>21.2</v>
      </c>
      <c r="AA51" s="9">
        <v>22.8</v>
      </c>
      <c r="AB51" s="9">
        <v>22.2</v>
      </c>
      <c r="AC51" s="9">
        <v>36.4</v>
      </c>
      <c r="AD51" s="9">
        <v>47.8</v>
      </c>
      <c r="AE51" s="9">
        <v>64.8</v>
      </c>
      <c r="AF51" s="9">
        <v>26.2</v>
      </c>
      <c r="AG51" s="9">
        <v>56.2</v>
      </c>
      <c r="AH51" s="9">
        <v>19.600000000000001</v>
      </c>
      <c r="AI51" s="9">
        <v>40.4</v>
      </c>
      <c r="AJ51" s="9"/>
      <c r="AK51" s="9">
        <f t="shared" si="11"/>
        <v>37.08</v>
      </c>
      <c r="AL51" s="9">
        <f t="shared" si="12"/>
        <v>45</v>
      </c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x14ac:dyDescent="0.25">
      <c r="A52" s="9" t="s">
        <v>100</v>
      </c>
      <c r="B52" s="9" t="s">
        <v>39</v>
      </c>
      <c r="C52" s="9">
        <v>273</v>
      </c>
      <c r="D52" s="9">
        <v>112</v>
      </c>
      <c r="E52" s="9">
        <v>285</v>
      </c>
      <c r="F52" s="9">
        <v>94</v>
      </c>
      <c r="G52" s="6">
        <v>0.33</v>
      </c>
      <c r="H52" s="9">
        <v>45</v>
      </c>
      <c r="I52" s="9" t="s">
        <v>36</v>
      </c>
      <c r="J52" s="9"/>
      <c r="K52" s="9">
        <v>329</v>
      </c>
      <c r="L52" s="9">
        <f t="shared" si="16"/>
        <v>-44</v>
      </c>
      <c r="M52" s="9">
        <f t="shared" si="17"/>
        <v>285</v>
      </c>
      <c r="N52" s="9"/>
      <c r="O52" s="9">
        <v>158</v>
      </c>
      <c r="P52" s="9">
        <v>129</v>
      </c>
      <c r="Q52" s="9">
        <f t="shared" si="18"/>
        <v>57</v>
      </c>
      <c r="R52" s="4">
        <f t="shared" si="22"/>
        <v>474</v>
      </c>
      <c r="S52" s="4">
        <f t="shared" si="8"/>
        <v>474</v>
      </c>
      <c r="T52" s="4">
        <f t="shared" si="9"/>
        <v>213</v>
      </c>
      <c r="U52" s="4">
        <f t="shared" si="23"/>
        <v>261</v>
      </c>
      <c r="V52" s="22"/>
      <c r="W52" s="22"/>
      <c r="X52" s="9">
        <f t="shared" si="10"/>
        <v>15</v>
      </c>
      <c r="Y52" s="9">
        <f t="shared" si="19"/>
        <v>6.6842105263157894</v>
      </c>
      <c r="Z52" s="9">
        <v>45.2</v>
      </c>
      <c r="AA52" s="9">
        <v>48.4</v>
      </c>
      <c r="AB52" s="9">
        <v>55.4</v>
      </c>
      <c r="AC52" s="9">
        <v>43.2</v>
      </c>
      <c r="AD52" s="9">
        <v>47.6</v>
      </c>
      <c r="AE52" s="9">
        <v>37.799999999999997</v>
      </c>
      <c r="AF52" s="9">
        <v>60.8</v>
      </c>
      <c r="AG52" s="9">
        <v>13.8</v>
      </c>
      <c r="AH52" s="9">
        <v>81.2</v>
      </c>
      <c r="AI52" s="9">
        <v>11.4</v>
      </c>
      <c r="AJ52" s="9" t="s">
        <v>101</v>
      </c>
      <c r="AK52" s="9">
        <f t="shared" si="11"/>
        <v>70.290000000000006</v>
      </c>
      <c r="AL52" s="9">
        <f t="shared" si="12"/>
        <v>86.13000000000001</v>
      </c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x14ac:dyDescent="0.25">
      <c r="A53" s="9" t="s">
        <v>102</v>
      </c>
      <c r="B53" s="9" t="s">
        <v>39</v>
      </c>
      <c r="C53" s="9">
        <v>-12</v>
      </c>
      <c r="D53" s="9">
        <v>36</v>
      </c>
      <c r="E53" s="9">
        <v>27</v>
      </c>
      <c r="F53" s="9">
        <v>-8</v>
      </c>
      <c r="G53" s="6">
        <v>0.4</v>
      </c>
      <c r="H53" s="9">
        <v>60</v>
      </c>
      <c r="I53" s="9" t="s">
        <v>36</v>
      </c>
      <c r="J53" s="9"/>
      <c r="K53" s="9">
        <v>182</v>
      </c>
      <c r="L53" s="9">
        <f t="shared" si="16"/>
        <v>-155</v>
      </c>
      <c r="M53" s="9">
        <f t="shared" si="17"/>
        <v>-5</v>
      </c>
      <c r="N53" s="9">
        <v>32</v>
      </c>
      <c r="O53" s="9">
        <v>66</v>
      </c>
      <c r="P53" s="9">
        <v>54</v>
      </c>
      <c r="Q53" s="9">
        <f t="shared" si="18"/>
        <v>-1</v>
      </c>
      <c r="R53" s="4">
        <v>150</v>
      </c>
      <c r="S53" s="4">
        <f t="shared" si="8"/>
        <v>150</v>
      </c>
      <c r="T53" s="4">
        <f t="shared" si="9"/>
        <v>67</v>
      </c>
      <c r="U53" s="4">
        <f t="shared" si="23"/>
        <v>83</v>
      </c>
      <c r="V53" s="22"/>
      <c r="W53" s="22"/>
      <c r="X53" s="9">
        <f t="shared" si="10"/>
        <v>-262</v>
      </c>
      <c r="Y53" s="9">
        <f t="shared" si="19"/>
        <v>-112</v>
      </c>
      <c r="Z53" s="9">
        <v>1.2</v>
      </c>
      <c r="AA53" s="9">
        <v>1.6</v>
      </c>
      <c r="AB53" s="9">
        <v>6</v>
      </c>
      <c r="AC53" s="9">
        <v>10.6</v>
      </c>
      <c r="AD53" s="9">
        <v>10.4</v>
      </c>
      <c r="AE53" s="9">
        <v>21.2</v>
      </c>
      <c r="AF53" s="9">
        <v>18</v>
      </c>
      <c r="AG53" s="9">
        <v>27.2</v>
      </c>
      <c r="AH53" s="9">
        <v>39.6</v>
      </c>
      <c r="AI53" s="9">
        <v>24.4</v>
      </c>
      <c r="AJ53" s="9" t="s">
        <v>103</v>
      </c>
      <c r="AK53" s="9">
        <f t="shared" si="11"/>
        <v>26.8</v>
      </c>
      <c r="AL53" s="9">
        <f t="shared" si="12"/>
        <v>33.200000000000003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x14ac:dyDescent="0.25">
      <c r="A54" s="9" t="s">
        <v>104</v>
      </c>
      <c r="B54" s="9" t="s">
        <v>39</v>
      </c>
      <c r="C54" s="9">
        <v>3</v>
      </c>
      <c r="D54" s="9">
        <v>25</v>
      </c>
      <c r="E54" s="9">
        <v>13</v>
      </c>
      <c r="F54" s="9">
        <v>12</v>
      </c>
      <c r="G54" s="6">
        <v>0.33</v>
      </c>
      <c r="H54" s="9">
        <v>45</v>
      </c>
      <c r="I54" s="9" t="s">
        <v>36</v>
      </c>
      <c r="J54" s="9"/>
      <c r="K54" s="9">
        <v>21</v>
      </c>
      <c r="L54" s="9">
        <f t="shared" si="16"/>
        <v>-8</v>
      </c>
      <c r="M54" s="9">
        <f t="shared" si="17"/>
        <v>13</v>
      </c>
      <c r="N54" s="9"/>
      <c r="O54" s="9">
        <v>0</v>
      </c>
      <c r="P54" s="9"/>
      <c r="Q54" s="9">
        <f t="shared" si="18"/>
        <v>2.6</v>
      </c>
      <c r="R54" s="4">
        <f t="shared" si="22"/>
        <v>27</v>
      </c>
      <c r="S54" s="4">
        <f t="shared" si="8"/>
        <v>27</v>
      </c>
      <c r="T54" s="4">
        <f t="shared" si="9"/>
        <v>27</v>
      </c>
      <c r="U54" s="4"/>
      <c r="V54" s="22"/>
      <c r="W54" s="22"/>
      <c r="X54" s="9">
        <f t="shared" si="10"/>
        <v>15</v>
      </c>
      <c r="Y54" s="9">
        <f t="shared" si="19"/>
        <v>4.615384615384615</v>
      </c>
      <c r="Z54" s="9">
        <v>1.4</v>
      </c>
      <c r="AA54" s="9">
        <v>3.8</v>
      </c>
      <c r="AB54" s="9">
        <v>1.6</v>
      </c>
      <c r="AC54" s="9">
        <v>1</v>
      </c>
      <c r="AD54" s="9">
        <v>6</v>
      </c>
      <c r="AE54" s="9">
        <v>1.8</v>
      </c>
      <c r="AF54" s="9">
        <v>1.2</v>
      </c>
      <c r="AG54" s="9">
        <v>2.8</v>
      </c>
      <c r="AH54" s="9">
        <v>4.8</v>
      </c>
      <c r="AI54" s="9">
        <v>4</v>
      </c>
      <c r="AJ54" s="9"/>
      <c r="AK54" s="9">
        <f t="shared" si="11"/>
        <v>8.91</v>
      </c>
      <c r="AL54" s="9">
        <f t="shared" si="12"/>
        <v>0</v>
      </c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x14ac:dyDescent="0.25">
      <c r="A55" s="9" t="s">
        <v>105</v>
      </c>
      <c r="B55" s="9" t="s">
        <v>35</v>
      </c>
      <c r="C55" s="9">
        <v>521.89300000000003</v>
      </c>
      <c r="D55" s="9">
        <v>128.578</v>
      </c>
      <c r="E55" s="9">
        <v>336.07400000000001</v>
      </c>
      <c r="F55" s="9">
        <v>271.101</v>
      </c>
      <c r="G55" s="6">
        <v>1</v>
      </c>
      <c r="H55" s="9">
        <v>45</v>
      </c>
      <c r="I55" s="9" t="s">
        <v>36</v>
      </c>
      <c r="J55" s="9"/>
      <c r="K55" s="9">
        <v>371.952</v>
      </c>
      <c r="L55" s="9">
        <f t="shared" si="16"/>
        <v>-35.877999999999986</v>
      </c>
      <c r="M55" s="9">
        <f t="shared" si="17"/>
        <v>276.822</v>
      </c>
      <c r="N55" s="9">
        <v>59.252000000000002</v>
      </c>
      <c r="O55" s="9">
        <v>401</v>
      </c>
      <c r="P55" s="9">
        <v>328</v>
      </c>
      <c r="Q55" s="9">
        <f t="shared" si="18"/>
        <v>55.364400000000003</v>
      </c>
      <c r="R55" s="4"/>
      <c r="S55" s="4">
        <f t="shared" si="8"/>
        <v>0</v>
      </c>
      <c r="T55" s="4">
        <f t="shared" si="9"/>
        <v>0</v>
      </c>
      <c r="U55" s="4"/>
      <c r="V55" s="22"/>
      <c r="W55" s="22"/>
      <c r="X55" s="9">
        <f t="shared" si="10"/>
        <v>18.063972516635239</v>
      </c>
      <c r="Y55" s="9">
        <f t="shared" si="19"/>
        <v>18.063972516635239</v>
      </c>
      <c r="Z55" s="9">
        <v>83.219200000000001</v>
      </c>
      <c r="AA55" s="9">
        <v>58.816400000000002</v>
      </c>
      <c r="AB55" s="9">
        <v>82.268599999999992</v>
      </c>
      <c r="AC55" s="9">
        <v>87.326800000000006</v>
      </c>
      <c r="AD55" s="9">
        <v>101.8028</v>
      </c>
      <c r="AE55" s="9">
        <v>86.9572</v>
      </c>
      <c r="AF55" s="9">
        <v>72.214799999999997</v>
      </c>
      <c r="AG55" s="9">
        <v>115.35380000000001</v>
      </c>
      <c r="AH55" s="9">
        <v>57.2836</v>
      </c>
      <c r="AI55" s="9">
        <v>83.705999999999989</v>
      </c>
      <c r="AJ55" s="17" t="s">
        <v>44</v>
      </c>
      <c r="AK55" s="9">
        <f t="shared" si="11"/>
        <v>0</v>
      </c>
      <c r="AL55" s="9">
        <f t="shared" si="12"/>
        <v>0</v>
      </c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x14ac:dyDescent="0.25">
      <c r="A56" s="9" t="s">
        <v>106</v>
      </c>
      <c r="B56" s="9" t="s">
        <v>39</v>
      </c>
      <c r="C56" s="9">
        <v>44</v>
      </c>
      <c r="D56" s="9"/>
      <c r="E56" s="9">
        <v>44</v>
      </c>
      <c r="F56" s="9">
        <v>-3</v>
      </c>
      <c r="G56" s="6">
        <v>0.4</v>
      </c>
      <c r="H56" s="9">
        <v>45</v>
      </c>
      <c r="I56" s="9" t="s">
        <v>36</v>
      </c>
      <c r="J56" s="9"/>
      <c r="K56" s="9">
        <v>49</v>
      </c>
      <c r="L56" s="9">
        <f t="shared" si="16"/>
        <v>-5</v>
      </c>
      <c r="M56" s="9">
        <f t="shared" si="17"/>
        <v>44</v>
      </c>
      <c r="N56" s="9"/>
      <c r="O56" s="9">
        <v>34</v>
      </c>
      <c r="P56" s="9">
        <v>28</v>
      </c>
      <c r="Q56" s="9">
        <f t="shared" si="18"/>
        <v>8.8000000000000007</v>
      </c>
      <c r="R56" s="4">
        <f t="shared" si="22"/>
        <v>73</v>
      </c>
      <c r="S56" s="4">
        <f t="shared" si="8"/>
        <v>73</v>
      </c>
      <c r="T56" s="4">
        <f t="shared" si="9"/>
        <v>73</v>
      </c>
      <c r="U56" s="4"/>
      <c r="V56" s="22"/>
      <c r="W56" s="22"/>
      <c r="X56" s="9">
        <f t="shared" si="10"/>
        <v>14.999999999999998</v>
      </c>
      <c r="Y56" s="9">
        <f t="shared" si="19"/>
        <v>6.7045454545454541</v>
      </c>
      <c r="Z56" s="9">
        <v>7.2</v>
      </c>
      <c r="AA56" s="9">
        <v>2.4</v>
      </c>
      <c r="AB56" s="9">
        <v>8.6</v>
      </c>
      <c r="AC56" s="9">
        <v>5.4</v>
      </c>
      <c r="AD56" s="9">
        <v>5.8</v>
      </c>
      <c r="AE56" s="9">
        <v>5.6</v>
      </c>
      <c r="AF56" s="9">
        <v>0.4</v>
      </c>
      <c r="AG56" s="9">
        <v>8.6</v>
      </c>
      <c r="AH56" s="9">
        <v>2.2000000000000002</v>
      </c>
      <c r="AI56" s="9">
        <v>3.2</v>
      </c>
      <c r="AJ56" s="9"/>
      <c r="AK56" s="9">
        <f t="shared" si="11"/>
        <v>29.200000000000003</v>
      </c>
      <c r="AL56" s="9">
        <f t="shared" si="12"/>
        <v>0</v>
      </c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x14ac:dyDescent="0.25">
      <c r="A57" s="9" t="s">
        <v>107</v>
      </c>
      <c r="B57" s="9" t="s">
        <v>35</v>
      </c>
      <c r="C57" s="9">
        <v>9.8019999999999996</v>
      </c>
      <c r="D57" s="9">
        <v>29.821999999999999</v>
      </c>
      <c r="E57" s="9">
        <v>13.817</v>
      </c>
      <c r="F57" s="9">
        <v>13.853</v>
      </c>
      <c r="G57" s="6">
        <v>1</v>
      </c>
      <c r="H57" s="9">
        <v>60</v>
      </c>
      <c r="I57" s="9" t="s">
        <v>108</v>
      </c>
      <c r="J57" s="9"/>
      <c r="K57" s="9">
        <v>20.8</v>
      </c>
      <c r="L57" s="9">
        <f t="shared" si="16"/>
        <v>-6.9830000000000005</v>
      </c>
      <c r="M57" s="9">
        <f t="shared" si="17"/>
        <v>13.817</v>
      </c>
      <c r="N57" s="9"/>
      <c r="O57" s="9">
        <v>6</v>
      </c>
      <c r="P57" s="9"/>
      <c r="Q57" s="9">
        <f t="shared" si="18"/>
        <v>2.7633999999999999</v>
      </c>
      <c r="R57" s="4">
        <f t="shared" si="22"/>
        <v>21.597999999999999</v>
      </c>
      <c r="S57" s="4">
        <f t="shared" si="8"/>
        <v>22</v>
      </c>
      <c r="T57" s="4">
        <f t="shared" si="9"/>
        <v>22</v>
      </c>
      <c r="U57" s="4"/>
      <c r="V57" s="22"/>
      <c r="W57" s="22"/>
      <c r="X57" s="9">
        <f t="shared" si="10"/>
        <v>15.145472968082798</v>
      </c>
      <c r="Y57" s="9">
        <f t="shared" si="19"/>
        <v>7.1842657595715433</v>
      </c>
      <c r="Z57" s="9">
        <v>3.1187999999999998</v>
      </c>
      <c r="AA57" s="9">
        <v>3.8782000000000001</v>
      </c>
      <c r="AB57" s="9">
        <v>1.9338</v>
      </c>
      <c r="AC57" s="9">
        <v>3.7467999999999999</v>
      </c>
      <c r="AD57" s="9">
        <v>5.0811999999999999</v>
      </c>
      <c r="AE57" s="9">
        <v>1.054</v>
      </c>
      <c r="AF57" s="9">
        <v>2.3641999999999999</v>
      </c>
      <c r="AG57" s="9">
        <v>4.2598000000000003</v>
      </c>
      <c r="AH57" s="9">
        <v>2.7410000000000001</v>
      </c>
      <c r="AI57" s="9">
        <v>2.54</v>
      </c>
      <c r="AJ57" s="9"/>
      <c r="AK57" s="9">
        <f t="shared" si="11"/>
        <v>22</v>
      </c>
      <c r="AL57" s="9">
        <f t="shared" si="12"/>
        <v>0</v>
      </c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x14ac:dyDescent="0.25">
      <c r="A58" s="9" t="s">
        <v>109</v>
      </c>
      <c r="B58" s="9" t="s">
        <v>35</v>
      </c>
      <c r="C58" s="9">
        <v>33.093000000000004</v>
      </c>
      <c r="D58" s="9">
        <v>3.02</v>
      </c>
      <c r="E58" s="9">
        <v>21.321000000000002</v>
      </c>
      <c r="F58" s="9">
        <v>10.596</v>
      </c>
      <c r="G58" s="6">
        <v>1</v>
      </c>
      <c r="H58" s="9">
        <v>60</v>
      </c>
      <c r="I58" s="9" t="s">
        <v>36</v>
      </c>
      <c r="J58" s="9"/>
      <c r="K58" s="9">
        <v>34.299999999999997</v>
      </c>
      <c r="L58" s="9">
        <f t="shared" si="16"/>
        <v>-12.978999999999996</v>
      </c>
      <c r="M58" s="9">
        <f t="shared" si="17"/>
        <v>21.321000000000002</v>
      </c>
      <c r="N58" s="9"/>
      <c r="O58" s="9">
        <v>4</v>
      </c>
      <c r="P58" s="9"/>
      <c r="Q58" s="9">
        <f t="shared" si="18"/>
        <v>4.2642000000000007</v>
      </c>
      <c r="R58" s="4">
        <f>13*Q58-P58-O58-F58</f>
        <v>40.838600000000014</v>
      </c>
      <c r="S58" s="4">
        <f t="shared" si="8"/>
        <v>41</v>
      </c>
      <c r="T58" s="4">
        <f t="shared" si="9"/>
        <v>41</v>
      </c>
      <c r="U58" s="4"/>
      <c r="V58" s="22"/>
      <c r="W58" s="22"/>
      <c r="X58" s="9">
        <f t="shared" si="10"/>
        <v>13.037850007035317</v>
      </c>
      <c r="Y58" s="9">
        <f t="shared" si="19"/>
        <v>3.4229163735284458</v>
      </c>
      <c r="Z58" s="9">
        <v>2.2890000000000001</v>
      </c>
      <c r="AA58" s="9">
        <v>2.6286</v>
      </c>
      <c r="AB58" s="9">
        <v>4.242</v>
      </c>
      <c r="AC58" s="9">
        <v>5.4958</v>
      </c>
      <c r="AD58" s="9">
        <v>3.5438000000000001</v>
      </c>
      <c r="AE58" s="9">
        <v>1.7490000000000001</v>
      </c>
      <c r="AF58" s="9">
        <v>5.1369999999999996</v>
      </c>
      <c r="AG58" s="9">
        <v>3.0150000000000001</v>
      </c>
      <c r="AH58" s="9">
        <v>3.6160000000000001</v>
      </c>
      <c r="AI58" s="9">
        <v>2.7080000000000002</v>
      </c>
      <c r="AJ58" s="9"/>
      <c r="AK58" s="9">
        <f t="shared" si="11"/>
        <v>41</v>
      </c>
      <c r="AL58" s="9">
        <f t="shared" si="12"/>
        <v>0</v>
      </c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x14ac:dyDescent="0.25">
      <c r="A59" s="9" t="s">
        <v>110</v>
      </c>
      <c r="B59" s="9" t="s">
        <v>35</v>
      </c>
      <c r="C59" s="9">
        <v>58.33</v>
      </c>
      <c r="D59" s="9">
        <v>1.1120000000000001</v>
      </c>
      <c r="E59" s="9">
        <v>6.4740000000000002</v>
      </c>
      <c r="F59" s="9">
        <v>47.746000000000002</v>
      </c>
      <c r="G59" s="6">
        <v>1</v>
      </c>
      <c r="H59" s="9">
        <v>45</v>
      </c>
      <c r="I59" s="9" t="s">
        <v>36</v>
      </c>
      <c r="J59" s="9"/>
      <c r="K59" s="9">
        <v>7.2</v>
      </c>
      <c r="L59" s="9">
        <f t="shared" si="16"/>
        <v>-0.72599999999999998</v>
      </c>
      <c r="M59" s="9">
        <f t="shared" si="17"/>
        <v>6.4740000000000002</v>
      </c>
      <c r="N59" s="9"/>
      <c r="O59" s="9">
        <v>0</v>
      </c>
      <c r="P59" s="9"/>
      <c r="Q59" s="9">
        <f t="shared" si="18"/>
        <v>1.2948</v>
      </c>
      <c r="R59" s="4"/>
      <c r="S59" s="4">
        <f t="shared" si="8"/>
        <v>0</v>
      </c>
      <c r="T59" s="4">
        <f t="shared" si="9"/>
        <v>0</v>
      </c>
      <c r="U59" s="4"/>
      <c r="V59" s="22"/>
      <c r="W59" s="22"/>
      <c r="X59" s="9">
        <f t="shared" si="10"/>
        <v>36.875193080012359</v>
      </c>
      <c r="Y59" s="9">
        <f t="shared" si="19"/>
        <v>36.875193080012359</v>
      </c>
      <c r="Z59" s="9">
        <v>1.4772000000000001</v>
      </c>
      <c r="AA59" s="9">
        <v>2.5855999999999999</v>
      </c>
      <c r="AB59" s="9">
        <v>5.4188000000000001</v>
      </c>
      <c r="AC59" s="9">
        <v>0.51360000000000006</v>
      </c>
      <c r="AD59" s="9">
        <v>1.3395999999999999</v>
      </c>
      <c r="AE59" s="9">
        <v>2.7850000000000001</v>
      </c>
      <c r="AF59" s="9">
        <v>0</v>
      </c>
      <c r="AG59" s="9">
        <v>0</v>
      </c>
      <c r="AH59" s="9">
        <v>0</v>
      </c>
      <c r="AI59" s="9">
        <v>0</v>
      </c>
      <c r="AJ59" s="14" t="s">
        <v>111</v>
      </c>
      <c r="AK59" s="9">
        <f t="shared" si="11"/>
        <v>0</v>
      </c>
      <c r="AL59" s="9">
        <f t="shared" si="12"/>
        <v>0</v>
      </c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x14ac:dyDescent="0.25">
      <c r="A60" s="9" t="s">
        <v>112</v>
      </c>
      <c r="B60" s="9" t="s">
        <v>39</v>
      </c>
      <c r="C60" s="9">
        <v>123</v>
      </c>
      <c r="D60" s="9"/>
      <c r="E60" s="9">
        <v>67</v>
      </c>
      <c r="F60" s="9">
        <v>44</v>
      </c>
      <c r="G60" s="6">
        <v>0.25</v>
      </c>
      <c r="H60" s="9">
        <v>120</v>
      </c>
      <c r="I60" s="9" t="s">
        <v>36</v>
      </c>
      <c r="J60" s="9"/>
      <c r="K60" s="9">
        <v>70</v>
      </c>
      <c r="L60" s="9">
        <f t="shared" si="16"/>
        <v>-3</v>
      </c>
      <c r="M60" s="9">
        <f t="shared" si="17"/>
        <v>67</v>
      </c>
      <c r="N60" s="9"/>
      <c r="O60" s="9">
        <v>0</v>
      </c>
      <c r="P60" s="9"/>
      <c r="Q60" s="9">
        <f t="shared" si="18"/>
        <v>13.4</v>
      </c>
      <c r="R60" s="4">
        <f>13*Q60-P60-O60-F60</f>
        <v>130.20000000000002</v>
      </c>
      <c r="S60" s="4">
        <f t="shared" si="8"/>
        <v>130</v>
      </c>
      <c r="T60" s="4">
        <f t="shared" si="9"/>
        <v>58</v>
      </c>
      <c r="U60" s="4">
        <f>ROUND(S60*$U$1,0)</f>
        <v>72</v>
      </c>
      <c r="V60" s="22"/>
      <c r="W60" s="22"/>
      <c r="X60" s="9">
        <f t="shared" si="10"/>
        <v>12.985074626865671</v>
      </c>
      <c r="Y60" s="9">
        <f t="shared" si="19"/>
        <v>3.2835820895522385</v>
      </c>
      <c r="Z60" s="9">
        <v>3.4</v>
      </c>
      <c r="AA60" s="9">
        <v>8.1999999999999993</v>
      </c>
      <c r="AB60" s="9">
        <v>11.4</v>
      </c>
      <c r="AC60" s="9">
        <v>5.8</v>
      </c>
      <c r="AD60" s="9">
        <v>12.2</v>
      </c>
      <c r="AE60" s="9">
        <v>13.6</v>
      </c>
      <c r="AF60" s="9">
        <v>12.6</v>
      </c>
      <c r="AG60" s="9">
        <v>10.8</v>
      </c>
      <c r="AH60" s="9">
        <v>17.2</v>
      </c>
      <c r="AI60" s="9">
        <v>8.6</v>
      </c>
      <c r="AJ60" s="9"/>
      <c r="AK60" s="9">
        <f t="shared" si="11"/>
        <v>14.5</v>
      </c>
      <c r="AL60" s="9">
        <f t="shared" si="12"/>
        <v>18</v>
      </c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x14ac:dyDescent="0.25">
      <c r="A61" s="9" t="s">
        <v>113</v>
      </c>
      <c r="B61" s="9" t="s">
        <v>35</v>
      </c>
      <c r="C61" s="9">
        <v>10.451000000000001</v>
      </c>
      <c r="D61" s="9">
        <v>30.167999999999999</v>
      </c>
      <c r="E61" s="9">
        <v>16.66</v>
      </c>
      <c r="F61" s="9">
        <v>20.852</v>
      </c>
      <c r="G61" s="6">
        <v>1</v>
      </c>
      <c r="H61" s="9">
        <v>45</v>
      </c>
      <c r="I61" s="9" t="s">
        <v>36</v>
      </c>
      <c r="J61" s="9"/>
      <c r="K61" s="9">
        <v>19.7</v>
      </c>
      <c r="L61" s="9">
        <f t="shared" si="16"/>
        <v>-3.0399999999999991</v>
      </c>
      <c r="M61" s="9">
        <f t="shared" si="17"/>
        <v>16.66</v>
      </c>
      <c r="N61" s="9"/>
      <c r="O61" s="9">
        <v>0</v>
      </c>
      <c r="P61" s="9"/>
      <c r="Q61" s="9">
        <f t="shared" si="18"/>
        <v>3.3319999999999999</v>
      </c>
      <c r="R61" s="4">
        <f t="shared" si="22"/>
        <v>29.127999999999997</v>
      </c>
      <c r="S61" s="4">
        <f t="shared" si="8"/>
        <v>29</v>
      </c>
      <c r="T61" s="4">
        <f t="shared" si="9"/>
        <v>29</v>
      </c>
      <c r="U61" s="4"/>
      <c r="V61" s="22"/>
      <c r="W61" s="22"/>
      <c r="X61" s="9">
        <f t="shared" si="10"/>
        <v>14.961584633853544</v>
      </c>
      <c r="Y61" s="9">
        <f t="shared" si="19"/>
        <v>6.258103241296519</v>
      </c>
      <c r="Z61" s="9">
        <v>2.0768</v>
      </c>
      <c r="AA61" s="9">
        <v>3.8725999999999998</v>
      </c>
      <c r="AB61" s="9">
        <v>2.7766000000000002</v>
      </c>
      <c r="AC61" s="9">
        <v>3.1368</v>
      </c>
      <c r="AD61" s="9">
        <v>3.7669999999999999</v>
      </c>
      <c r="AE61" s="9">
        <v>3.3374000000000001</v>
      </c>
      <c r="AF61" s="9">
        <v>2.7829999999999999</v>
      </c>
      <c r="AG61" s="9">
        <v>3.653</v>
      </c>
      <c r="AH61" s="9">
        <v>6.1457999999999986</v>
      </c>
      <c r="AI61" s="9">
        <v>1.8888</v>
      </c>
      <c r="AJ61" s="9"/>
      <c r="AK61" s="9">
        <f t="shared" si="11"/>
        <v>29</v>
      </c>
      <c r="AL61" s="9">
        <f t="shared" si="12"/>
        <v>0</v>
      </c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x14ac:dyDescent="0.25">
      <c r="A62" s="9" t="s">
        <v>114</v>
      </c>
      <c r="B62" s="9" t="s">
        <v>39</v>
      </c>
      <c r="C62" s="9">
        <v>-1</v>
      </c>
      <c r="D62" s="9"/>
      <c r="E62" s="9"/>
      <c r="F62" s="9">
        <v>-1</v>
      </c>
      <c r="G62" s="6">
        <v>0.27</v>
      </c>
      <c r="H62" s="9"/>
      <c r="I62" s="9" t="s">
        <v>36</v>
      </c>
      <c r="J62" s="9"/>
      <c r="K62" s="9">
        <v>4</v>
      </c>
      <c r="L62" s="9">
        <f t="shared" si="16"/>
        <v>-4</v>
      </c>
      <c r="M62" s="9">
        <f t="shared" si="17"/>
        <v>0</v>
      </c>
      <c r="N62" s="9"/>
      <c r="O62" s="9">
        <v>20</v>
      </c>
      <c r="P62" s="9"/>
      <c r="Q62" s="9">
        <f t="shared" si="18"/>
        <v>0</v>
      </c>
      <c r="R62" s="4">
        <v>8</v>
      </c>
      <c r="S62" s="4">
        <f t="shared" si="8"/>
        <v>8</v>
      </c>
      <c r="T62" s="4">
        <f t="shared" si="9"/>
        <v>8</v>
      </c>
      <c r="U62" s="4"/>
      <c r="V62" s="22"/>
      <c r="W62" s="22"/>
      <c r="X62" s="9" t="e">
        <f t="shared" si="10"/>
        <v>#DIV/0!</v>
      </c>
      <c r="Y62" s="9" t="e">
        <f t="shared" si="19"/>
        <v>#DIV/0!</v>
      </c>
      <c r="Z62" s="9">
        <v>0.4</v>
      </c>
      <c r="AA62" s="9">
        <v>1</v>
      </c>
      <c r="AB62" s="9">
        <v>2.6</v>
      </c>
      <c r="AC62" s="9">
        <v>3.2</v>
      </c>
      <c r="AD62" s="9">
        <v>7.8</v>
      </c>
      <c r="AE62" s="9">
        <v>8.6</v>
      </c>
      <c r="AF62" s="9">
        <v>10.6</v>
      </c>
      <c r="AG62" s="9">
        <v>11.2</v>
      </c>
      <c r="AH62" s="9">
        <v>9.4</v>
      </c>
      <c r="AI62" s="9">
        <v>10</v>
      </c>
      <c r="AJ62" s="9" t="s">
        <v>115</v>
      </c>
      <c r="AK62" s="9">
        <f t="shared" si="11"/>
        <v>2.16</v>
      </c>
      <c r="AL62" s="9">
        <f t="shared" si="12"/>
        <v>0</v>
      </c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x14ac:dyDescent="0.25">
      <c r="A63" s="9" t="s">
        <v>116</v>
      </c>
      <c r="B63" s="9" t="s">
        <v>39</v>
      </c>
      <c r="C63" s="9">
        <v>142</v>
      </c>
      <c r="D63" s="9">
        <v>50</v>
      </c>
      <c r="E63" s="9">
        <v>76</v>
      </c>
      <c r="F63" s="9">
        <v>107</v>
      </c>
      <c r="G63" s="6">
        <v>0.3</v>
      </c>
      <c r="H63" s="9">
        <v>60</v>
      </c>
      <c r="I63" s="9" t="s">
        <v>36</v>
      </c>
      <c r="J63" s="9"/>
      <c r="K63" s="9">
        <v>81</v>
      </c>
      <c r="L63" s="9">
        <f t="shared" si="16"/>
        <v>-5</v>
      </c>
      <c r="M63" s="9">
        <f t="shared" si="17"/>
        <v>76</v>
      </c>
      <c r="N63" s="9"/>
      <c r="O63" s="9">
        <v>0</v>
      </c>
      <c r="P63" s="9"/>
      <c r="Q63" s="9">
        <f t="shared" si="18"/>
        <v>15.2</v>
      </c>
      <c r="R63" s="4">
        <f t="shared" si="22"/>
        <v>121</v>
      </c>
      <c r="S63" s="4">
        <v>150</v>
      </c>
      <c r="T63" s="4">
        <f t="shared" si="9"/>
        <v>67</v>
      </c>
      <c r="U63" s="4">
        <f t="shared" ref="U63:U64" si="24">ROUND(S63*$U$1,0)</f>
        <v>83</v>
      </c>
      <c r="V63" s="22">
        <v>150</v>
      </c>
      <c r="W63" s="22"/>
      <c r="X63" s="9">
        <f t="shared" si="10"/>
        <v>16.907894736842106</v>
      </c>
      <c r="Y63" s="9">
        <f t="shared" si="19"/>
        <v>7.0394736842105265</v>
      </c>
      <c r="Z63" s="9">
        <v>5.6</v>
      </c>
      <c r="AA63" s="9">
        <v>16</v>
      </c>
      <c r="AB63" s="9">
        <v>18.399999999999999</v>
      </c>
      <c r="AC63" s="9">
        <v>17.2</v>
      </c>
      <c r="AD63" s="9">
        <v>15</v>
      </c>
      <c r="AE63" s="9">
        <v>22.2</v>
      </c>
      <c r="AF63" s="9">
        <v>12.8</v>
      </c>
      <c r="AG63" s="9">
        <v>24.8</v>
      </c>
      <c r="AH63" s="9">
        <v>22</v>
      </c>
      <c r="AI63" s="9">
        <v>6</v>
      </c>
      <c r="AJ63" s="9"/>
      <c r="AK63" s="9">
        <f t="shared" si="11"/>
        <v>20.099999999999998</v>
      </c>
      <c r="AL63" s="9">
        <f t="shared" si="12"/>
        <v>24.9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x14ac:dyDescent="0.25">
      <c r="A64" s="9" t="s">
        <v>117</v>
      </c>
      <c r="B64" s="9" t="s">
        <v>39</v>
      </c>
      <c r="C64" s="9">
        <v>1501</v>
      </c>
      <c r="D64" s="9">
        <v>1454</v>
      </c>
      <c r="E64" s="9">
        <v>984</v>
      </c>
      <c r="F64" s="9">
        <v>1924</v>
      </c>
      <c r="G64" s="6">
        <v>0.41</v>
      </c>
      <c r="H64" s="9">
        <v>50</v>
      </c>
      <c r="I64" s="9" t="s">
        <v>36</v>
      </c>
      <c r="J64" s="9"/>
      <c r="K64" s="9">
        <v>1062</v>
      </c>
      <c r="L64" s="9">
        <f t="shared" si="16"/>
        <v>-78</v>
      </c>
      <c r="M64" s="9">
        <f t="shared" si="17"/>
        <v>984</v>
      </c>
      <c r="N64" s="9"/>
      <c r="O64" s="9">
        <v>251</v>
      </c>
      <c r="P64" s="9">
        <v>206</v>
      </c>
      <c r="Q64" s="9">
        <f t="shared" si="18"/>
        <v>196.8</v>
      </c>
      <c r="R64" s="4">
        <f t="shared" si="22"/>
        <v>571</v>
      </c>
      <c r="S64" s="4">
        <v>1671</v>
      </c>
      <c r="T64" s="4">
        <f t="shared" si="9"/>
        <v>752</v>
      </c>
      <c r="U64" s="4">
        <f t="shared" si="24"/>
        <v>919</v>
      </c>
      <c r="V64" s="22">
        <v>1671</v>
      </c>
      <c r="W64" s="22" t="str">
        <f>VLOOKUP(A64,[1]Sheet!$A:$S,19,0)</f>
        <v>1671(1100шт под листовку ЮгТех)</v>
      </c>
      <c r="X64" s="9">
        <f t="shared" si="10"/>
        <v>20.589430894308943</v>
      </c>
      <c r="Y64" s="9">
        <f t="shared" si="19"/>
        <v>12.098577235772357</v>
      </c>
      <c r="Z64" s="9">
        <v>224.8</v>
      </c>
      <c r="AA64" s="9">
        <v>268.8</v>
      </c>
      <c r="AB64" s="9">
        <v>245.6</v>
      </c>
      <c r="AC64" s="9">
        <v>273.60000000000002</v>
      </c>
      <c r="AD64" s="9">
        <v>283.39999999999998</v>
      </c>
      <c r="AE64" s="9">
        <v>309</v>
      </c>
      <c r="AF64" s="9">
        <v>270.60000000000002</v>
      </c>
      <c r="AG64" s="9">
        <v>254.6</v>
      </c>
      <c r="AH64" s="9">
        <v>162</v>
      </c>
      <c r="AI64" s="9">
        <v>255.8</v>
      </c>
      <c r="AJ64" s="9" t="s">
        <v>195</v>
      </c>
      <c r="AK64" s="9">
        <f t="shared" si="11"/>
        <v>308.32</v>
      </c>
      <c r="AL64" s="9">
        <f t="shared" si="12"/>
        <v>376.78999999999996</v>
      </c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x14ac:dyDescent="0.25">
      <c r="A65" s="9" t="s">
        <v>118</v>
      </c>
      <c r="B65" s="9" t="s">
        <v>35</v>
      </c>
      <c r="C65" s="9">
        <v>341.06799999999998</v>
      </c>
      <c r="D65" s="9">
        <v>411.71</v>
      </c>
      <c r="E65" s="9">
        <v>201.27500000000001</v>
      </c>
      <c r="F65" s="9">
        <v>521.44200000000001</v>
      </c>
      <c r="G65" s="6">
        <v>1</v>
      </c>
      <c r="H65" s="9">
        <v>50</v>
      </c>
      <c r="I65" s="9" t="s">
        <v>36</v>
      </c>
      <c r="J65" s="9"/>
      <c r="K65" s="9">
        <v>214.7</v>
      </c>
      <c r="L65" s="9">
        <f t="shared" si="16"/>
        <v>-13.424999999999983</v>
      </c>
      <c r="M65" s="9">
        <f t="shared" si="17"/>
        <v>201.27500000000001</v>
      </c>
      <c r="N65" s="9"/>
      <c r="O65" s="9">
        <v>221</v>
      </c>
      <c r="P65" s="9">
        <v>180</v>
      </c>
      <c r="Q65" s="9">
        <f t="shared" si="18"/>
        <v>40.255000000000003</v>
      </c>
      <c r="R65" s="4"/>
      <c r="S65" s="4">
        <f t="shared" si="8"/>
        <v>0</v>
      </c>
      <c r="T65" s="4">
        <f t="shared" si="9"/>
        <v>0</v>
      </c>
      <c r="U65" s="4"/>
      <c r="V65" s="22"/>
      <c r="W65" s="22"/>
      <c r="X65" s="9">
        <f t="shared" si="10"/>
        <v>22.914967084834181</v>
      </c>
      <c r="Y65" s="9">
        <f t="shared" si="19"/>
        <v>22.914967084834181</v>
      </c>
      <c r="Z65" s="9">
        <v>68.924800000000005</v>
      </c>
      <c r="AA65" s="9">
        <v>61.345599999999997</v>
      </c>
      <c r="AB65" s="9">
        <v>61.721400000000003</v>
      </c>
      <c r="AC65" s="9">
        <v>64.989200000000011</v>
      </c>
      <c r="AD65" s="9">
        <v>82.476799999999997</v>
      </c>
      <c r="AE65" s="9">
        <v>116.29600000000001</v>
      </c>
      <c r="AF65" s="9">
        <v>67.666399999999996</v>
      </c>
      <c r="AG65" s="9">
        <v>54.068199999999997</v>
      </c>
      <c r="AH65" s="9">
        <v>90.557999999999993</v>
      </c>
      <c r="AI65" s="9">
        <v>58.315199999999997</v>
      </c>
      <c r="AJ65" s="14" t="s">
        <v>59</v>
      </c>
      <c r="AK65" s="9">
        <f t="shared" si="11"/>
        <v>0</v>
      </c>
      <c r="AL65" s="9">
        <f t="shared" si="12"/>
        <v>0</v>
      </c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x14ac:dyDescent="0.25">
      <c r="A66" s="9" t="s">
        <v>119</v>
      </c>
      <c r="B66" s="9" t="s">
        <v>39</v>
      </c>
      <c r="C66" s="9">
        <v>69</v>
      </c>
      <c r="D66" s="9">
        <v>168</v>
      </c>
      <c r="E66" s="9">
        <v>32</v>
      </c>
      <c r="F66" s="9">
        <v>193</v>
      </c>
      <c r="G66" s="6">
        <v>0.35</v>
      </c>
      <c r="H66" s="9">
        <v>50</v>
      </c>
      <c r="I66" s="9" t="s">
        <v>36</v>
      </c>
      <c r="J66" s="9"/>
      <c r="K66" s="9">
        <v>48</v>
      </c>
      <c r="L66" s="9">
        <f t="shared" si="16"/>
        <v>-16</v>
      </c>
      <c r="M66" s="9">
        <f t="shared" si="17"/>
        <v>32</v>
      </c>
      <c r="N66" s="9"/>
      <c r="O66" s="9">
        <v>0</v>
      </c>
      <c r="P66" s="9"/>
      <c r="Q66" s="9">
        <f t="shared" si="18"/>
        <v>6.4</v>
      </c>
      <c r="R66" s="4"/>
      <c r="S66" s="4">
        <f t="shared" si="8"/>
        <v>0</v>
      </c>
      <c r="T66" s="4">
        <f t="shared" si="9"/>
        <v>0</v>
      </c>
      <c r="U66" s="4"/>
      <c r="V66" s="22"/>
      <c r="W66" s="22"/>
      <c r="X66" s="9">
        <f t="shared" si="10"/>
        <v>30.15625</v>
      </c>
      <c r="Y66" s="9">
        <f t="shared" si="19"/>
        <v>30.15625</v>
      </c>
      <c r="Z66" s="9">
        <v>7.8</v>
      </c>
      <c r="AA66" s="9">
        <v>17</v>
      </c>
      <c r="AB66" s="9">
        <v>12.6</v>
      </c>
      <c r="AC66" s="9">
        <v>8.1999999999999993</v>
      </c>
      <c r="AD66" s="9">
        <v>11</v>
      </c>
      <c r="AE66" s="9">
        <v>14.8</v>
      </c>
      <c r="AF66" s="9">
        <v>9.4</v>
      </c>
      <c r="AG66" s="9">
        <v>10.4</v>
      </c>
      <c r="AH66" s="9">
        <v>9.8000000000000007</v>
      </c>
      <c r="AI66" s="9">
        <v>6.8</v>
      </c>
      <c r="AJ66" s="14" t="s">
        <v>59</v>
      </c>
      <c r="AK66" s="9">
        <f t="shared" si="11"/>
        <v>0</v>
      </c>
      <c r="AL66" s="9">
        <f t="shared" si="12"/>
        <v>0</v>
      </c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x14ac:dyDescent="0.25">
      <c r="A67" s="10" t="s">
        <v>120</v>
      </c>
      <c r="B67" s="10" t="s">
        <v>35</v>
      </c>
      <c r="C67" s="10"/>
      <c r="D67" s="10"/>
      <c r="E67" s="10"/>
      <c r="F67" s="10"/>
      <c r="G67" s="11">
        <v>0</v>
      </c>
      <c r="H67" s="10"/>
      <c r="I67" s="10" t="s">
        <v>36</v>
      </c>
      <c r="J67" s="10"/>
      <c r="K67" s="10">
        <v>1.5</v>
      </c>
      <c r="L67" s="10">
        <f t="shared" si="16"/>
        <v>-1.5</v>
      </c>
      <c r="M67" s="10">
        <f t="shared" si="17"/>
        <v>0</v>
      </c>
      <c r="N67" s="10"/>
      <c r="O67" s="10">
        <v>0</v>
      </c>
      <c r="P67" s="10"/>
      <c r="Q67" s="10">
        <f t="shared" si="18"/>
        <v>0</v>
      </c>
      <c r="R67" s="13"/>
      <c r="S67" s="4">
        <f t="shared" si="8"/>
        <v>0</v>
      </c>
      <c r="T67" s="4">
        <f t="shared" si="9"/>
        <v>0</v>
      </c>
      <c r="U67" s="4"/>
      <c r="V67" s="23"/>
      <c r="W67" s="22"/>
      <c r="X67" s="9" t="e">
        <f t="shared" si="10"/>
        <v>#DIV/0!</v>
      </c>
      <c r="Y67" s="10" t="e">
        <f t="shared" si="19"/>
        <v>#DIV/0!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 t="s">
        <v>121</v>
      </c>
      <c r="AK67" s="9">
        <f t="shared" si="11"/>
        <v>0</v>
      </c>
      <c r="AL67" s="9">
        <f t="shared" si="12"/>
        <v>0</v>
      </c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x14ac:dyDescent="0.25">
      <c r="A68" s="9" t="s">
        <v>122</v>
      </c>
      <c r="B68" s="9" t="s">
        <v>39</v>
      </c>
      <c r="C68" s="9">
        <v>337</v>
      </c>
      <c r="D68" s="9">
        <v>1328</v>
      </c>
      <c r="E68" s="9">
        <v>619</v>
      </c>
      <c r="F68" s="9">
        <v>986</v>
      </c>
      <c r="G68" s="6">
        <v>0.41</v>
      </c>
      <c r="H68" s="9">
        <v>50</v>
      </c>
      <c r="I68" s="9" t="s">
        <v>36</v>
      </c>
      <c r="J68" s="9"/>
      <c r="K68" s="9">
        <v>664</v>
      </c>
      <c r="L68" s="9">
        <f t="shared" si="16"/>
        <v>-45</v>
      </c>
      <c r="M68" s="9">
        <f t="shared" si="17"/>
        <v>619</v>
      </c>
      <c r="N68" s="9"/>
      <c r="O68" s="9">
        <v>282</v>
      </c>
      <c r="P68" s="9">
        <v>230</v>
      </c>
      <c r="Q68" s="9">
        <f t="shared" si="18"/>
        <v>123.8</v>
      </c>
      <c r="R68" s="4">
        <f t="shared" ref="R68:R70" si="25">15*Q68-P68-O68-F68</f>
        <v>359</v>
      </c>
      <c r="S68" s="4">
        <v>400</v>
      </c>
      <c r="T68" s="4">
        <f t="shared" si="9"/>
        <v>180</v>
      </c>
      <c r="U68" s="4">
        <f>ROUND(S68*$U$1,0)</f>
        <v>220</v>
      </c>
      <c r="V68" s="22">
        <v>400</v>
      </c>
      <c r="W68" s="22"/>
      <c r="X68" s="9">
        <f t="shared" si="10"/>
        <v>15.331179321486269</v>
      </c>
      <c r="Y68" s="9">
        <f t="shared" si="19"/>
        <v>12.100161550888529</v>
      </c>
      <c r="Z68" s="9">
        <v>144</v>
      </c>
      <c r="AA68" s="9">
        <v>180.6</v>
      </c>
      <c r="AB68" s="9">
        <v>59.4</v>
      </c>
      <c r="AC68" s="9">
        <v>155.4</v>
      </c>
      <c r="AD68" s="9">
        <v>70.8</v>
      </c>
      <c r="AE68" s="9">
        <v>77.2</v>
      </c>
      <c r="AF68" s="9">
        <v>122.4</v>
      </c>
      <c r="AG68" s="9">
        <v>168.2</v>
      </c>
      <c r="AH68" s="9">
        <v>97.6</v>
      </c>
      <c r="AI68" s="9">
        <v>131.19999999999999</v>
      </c>
      <c r="AJ68" s="9"/>
      <c r="AK68" s="9">
        <f t="shared" si="11"/>
        <v>73.8</v>
      </c>
      <c r="AL68" s="9">
        <f t="shared" si="12"/>
        <v>90.199999999999989</v>
      </c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x14ac:dyDescent="0.25">
      <c r="A69" s="9" t="s">
        <v>123</v>
      </c>
      <c r="B69" s="9" t="s">
        <v>35</v>
      </c>
      <c r="C69" s="9">
        <v>160.11099999999999</v>
      </c>
      <c r="D69" s="9">
        <v>75.480999999999995</v>
      </c>
      <c r="E69" s="9">
        <v>49.402000000000001</v>
      </c>
      <c r="F69" s="9">
        <v>174.488</v>
      </c>
      <c r="G69" s="6">
        <v>1</v>
      </c>
      <c r="H69" s="9">
        <v>50</v>
      </c>
      <c r="I69" s="9" t="s">
        <v>36</v>
      </c>
      <c r="J69" s="9"/>
      <c r="K69" s="9">
        <v>57.1</v>
      </c>
      <c r="L69" s="9">
        <f t="shared" si="16"/>
        <v>-7.6980000000000004</v>
      </c>
      <c r="M69" s="9">
        <f t="shared" si="17"/>
        <v>49.402000000000001</v>
      </c>
      <c r="N69" s="9"/>
      <c r="O69" s="9">
        <v>0</v>
      </c>
      <c r="P69" s="9"/>
      <c r="Q69" s="9">
        <f t="shared" si="18"/>
        <v>9.8803999999999998</v>
      </c>
      <c r="R69" s="4"/>
      <c r="S69" s="4">
        <f t="shared" si="8"/>
        <v>0</v>
      </c>
      <c r="T69" s="4">
        <f t="shared" si="9"/>
        <v>0</v>
      </c>
      <c r="U69" s="4"/>
      <c r="V69" s="22"/>
      <c r="W69" s="22"/>
      <c r="X69" s="9">
        <f t="shared" si="10"/>
        <v>17.660013764624914</v>
      </c>
      <c r="Y69" s="9">
        <f t="shared" si="19"/>
        <v>17.660013764624914</v>
      </c>
      <c r="Z69" s="9">
        <v>12.485200000000001</v>
      </c>
      <c r="AA69" s="9">
        <v>16.445599999999999</v>
      </c>
      <c r="AB69" s="9">
        <v>17.925999999999998</v>
      </c>
      <c r="AC69" s="9">
        <v>22.881399999999999</v>
      </c>
      <c r="AD69" s="9">
        <v>28.884399999999999</v>
      </c>
      <c r="AE69" s="9">
        <v>24.8414</v>
      </c>
      <c r="AF69" s="9">
        <v>25.869399999999999</v>
      </c>
      <c r="AG69" s="9">
        <v>22.477799999999991</v>
      </c>
      <c r="AH69" s="9">
        <v>10.4636</v>
      </c>
      <c r="AI69" s="9">
        <v>20.153400000000001</v>
      </c>
      <c r="AJ69" s="17" t="s">
        <v>44</v>
      </c>
      <c r="AK69" s="9">
        <f t="shared" si="11"/>
        <v>0</v>
      </c>
      <c r="AL69" s="9">
        <f t="shared" si="12"/>
        <v>0</v>
      </c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x14ac:dyDescent="0.25">
      <c r="A70" s="9" t="s">
        <v>124</v>
      </c>
      <c r="B70" s="9" t="s">
        <v>39</v>
      </c>
      <c r="C70" s="9">
        <v>115</v>
      </c>
      <c r="D70" s="9">
        <v>211</v>
      </c>
      <c r="E70" s="9">
        <v>106</v>
      </c>
      <c r="F70" s="9">
        <v>207</v>
      </c>
      <c r="G70" s="6">
        <v>0.3</v>
      </c>
      <c r="H70" s="9">
        <v>50</v>
      </c>
      <c r="I70" s="9" t="s">
        <v>36</v>
      </c>
      <c r="J70" s="9"/>
      <c r="K70" s="9">
        <v>123</v>
      </c>
      <c r="L70" s="9">
        <f t="shared" ref="L70:L101" si="26">E70-K70</f>
        <v>-17</v>
      </c>
      <c r="M70" s="9">
        <f t="shared" ref="M70:M101" si="27">E70-N70</f>
        <v>106</v>
      </c>
      <c r="N70" s="9"/>
      <c r="O70" s="9">
        <v>0</v>
      </c>
      <c r="P70" s="9"/>
      <c r="Q70" s="9">
        <f t="shared" ref="Q70:Q101" si="28">M70/5</f>
        <v>21.2</v>
      </c>
      <c r="R70" s="4">
        <f t="shared" si="25"/>
        <v>111</v>
      </c>
      <c r="S70" s="4">
        <f t="shared" si="8"/>
        <v>111</v>
      </c>
      <c r="T70" s="4">
        <f t="shared" si="9"/>
        <v>50</v>
      </c>
      <c r="U70" s="4">
        <f>ROUND(S70*$U$1,0)</f>
        <v>61</v>
      </c>
      <c r="V70" s="22"/>
      <c r="W70" s="22"/>
      <c r="X70" s="9">
        <f t="shared" si="10"/>
        <v>15</v>
      </c>
      <c r="Y70" s="9">
        <f t="shared" ref="Y70:Y101" si="29">(F70+O70+P70)/Q70</f>
        <v>9.7641509433962259</v>
      </c>
      <c r="Z70" s="9">
        <v>19.2</v>
      </c>
      <c r="AA70" s="9">
        <v>28.4</v>
      </c>
      <c r="AB70" s="9">
        <v>21</v>
      </c>
      <c r="AC70" s="9">
        <v>24.4</v>
      </c>
      <c r="AD70" s="9">
        <v>25.8</v>
      </c>
      <c r="AE70" s="9">
        <v>20.2</v>
      </c>
      <c r="AF70" s="9">
        <v>25.8</v>
      </c>
      <c r="AG70" s="9">
        <v>17.399999999999999</v>
      </c>
      <c r="AH70" s="9">
        <v>15.2</v>
      </c>
      <c r="AI70" s="9">
        <v>25.8</v>
      </c>
      <c r="AJ70" s="9"/>
      <c r="AK70" s="9">
        <f t="shared" si="11"/>
        <v>15</v>
      </c>
      <c r="AL70" s="9">
        <f t="shared" si="12"/>
        <v>18.3</v>
      </c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x14ac:dyDescent="0.25">
      <c r="A71" s="9" t="s">
        <v>125</v>
      </c>
      <c r="B71" s="9" t="s">
        <v>39</v>
      </c>
      <c r="C71" s="9">
        <v>239.46</v>
      </c>
      <c r="D71" s="9">
        <v>191</v>
      </c>
      <c r="E71" s="9">
        <v>175</v>
      </c>
      <c r="F71" s="9">
        <v>228.46</v>
      </c>
      <c r="G71" s="6">
        <v>0.18</v>
      </c>
      <c r="H71" s="9">
        <v>50</v>
      </c>
      <c r="I71" s="9" t="s">
        <v>36</v>
      </c>
      <c r="J71" s="9"/>
      <c r="K71" s="9">
        <v>200</v>
      </c>
      <c r="L71" s="9">
        <f t="shared" si="26"/>
        <v>-25</v>
      </c>
      <c r="M71" s="9">
        <f t="shared" si="27"/>
        <v>135</v>
      </c>
      <c r="N71" s="9">
        <v>40</v>
      </c>
      <c r="O71" s="9">
        <v>126</v>
      </c>
      <c r="P71" s="9">
        <v>104</v>
      </c>
      <c r="Q71" s="9">
        <f t="shared" si="28"/>
        <v>27</v>
      </c>
      <c r="R71" s="4"/>
      <c r="S71" s="4">
        <f t="shared" ref="S71:S119" si="30">ROUND(R71,0)</f>
        <v>0</v>
      </c>
      <c r="T71" s="4">
        <f t="shared" ref="T71:T119" si="31">ROUND(S71-U71,0)</f>
        <v>0</v>
      </c>
      <c r="U71" s="4"/>
      <c r="V71" s="22"/>
      <c r="W71" s="22"/>
      <c r="X71" s="9">
        <f t="shared" ref="X71:X119" si="32">(F71+O71+P71+S71)/Q71</f>
        <v>16.98</v>
      </c>
      <c r="Y71" s="9">
        <f t="shared" si="29"/>
        <v>16.98</v>
      </c>
      <c r="Z71" s="9">
        <v>38.799999999999997</v>
      </c>
      <c r="AA71" s="9">
        <v>37.799999999999997</v>
      </c>
      <c r="AB71" s="9">
        <v>36.200000000000003</v>
      </c>
      <c r="AC71" s="9">
        <v>36.4</v>
      </c>
      <c r="AD71" s="9">
        <v>32.4</v>
      </c>
      <c r="AE71" s="9">
        <v>35.6</v>
      </c>
      <c r="AF71" s="9">
        <v>35.799999999999997</v>
      </c>
      <c r="AG71" s="9">
        <v>55.6</v>
      </c>
      <c r="AH71" s="9">
        <v>30.2</v>
      </c>
      <c r="AI71" s="9">
        <v>48.2</v>
      </c>
      <c r="AJ71" s="17" t="s">
        <v>44</v>
      </c>
      <c r="AK71" s="9">
        <f t="shared" ref="AK71:AL119" si="33">G71*T71</f>
        <v>0</v>
      </c>
      <c r="AL71" s="9">
        <f t="shared" ref="AL71:AL119" si="34">G71*U71</f>
        <v>0</v>
      </c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x14ac:dyDescent="0.25">
      <c r="A72" s="10" t="s">
        <v>126</v>
      </c>
      <c r="B72" s="10" t="s">
        <v>39</v>
      </c>
      <c r="C72" s="10"/>
      <c r="D72" s="10">
        <v>12</v>
      </c>
      <c r="E72" s="10">
        <v>12</v>
      </c>
      <c r="F72" s="10"/>
      <c r="G72" s="11">
        <v>0</v>
      </c>
      <c r="H72" s="10"/>
      <c r="I72" s="12" t="s">
        <v>61</v>
      </c>
      <c r="J72" s="10"/>
      <c r="K72" s="10">
        <v>12</v>
      </c>
      <c r="L72" s="10">
        <f t="shared" si="26"/>
        <v>0</v>
      </c>
      <c r="M72" s="10">
        <f t="shared" si="27"/>
        <v>0</v>
      </c>
      <c r="N72" s="10">
        <v>12</v>
      </c>
      <c r="O72" s="10"/>
      <c r="P72" s="10"/>
      <c r="Q72" s="10">
        <f t="shared" si="28"/>
        <v>0</v>
      </c>
      <c r="R72" s="13"/>
      <c r="S72" s="4">
        <f t="shared" si="30"/>
        <v>0</v>
      </c>
      <c r="T72" s="4">
        <f t="shared" si="31"/>
        <v>0</v>
      </c>
      <c r="U72" s="4"/>
      <c r="V72" s="23"/>
      <c r="W72" s="22"/>
      <c r="X72" s="9" t="e">
        <f t="shared" si="32"/>
        <v>#DIV/0!</v>
      </c>
      <c r="Y72" s="10" t="e">
        <f t="shared" si="29"/>
        <v>#DIV/0!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/>
      <c r="AK72" s="9">
        <f t="shared" si="33"/>
        <v>0</v>
      </c>
      <c r="AL72" s="9">
        <f t="shared" si="34"/>
        <v>0</v>
      </c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x14ac:dyDescent="0.25">
      <c r="A73" s="9" t="s">
        <v>127</v>
      </c>
      <c r="B73" s="9" t="s">
        <v>39</v>
      </c>
      <c r="C73" s="9">
        <v>17</v>
      </c>
      <c r="D73" s="9">
        <v>16</v>
      </c>
      <c r="E73" s="9"/>
      <c r="F73" s="9">
        <v>33</v>
      </c>
      <c r="G73" s="6">
        <v>0.22</v>
      </c>
      <c r="H73" s="9">
        <v>120</v>
      </c>
      <c r="I73" s="9" t="s">
        <v>36</v>
      </c>
      <c r="J73" s="9"/>
      <c r="K73" s="9"/>
      <c r="L73" s="9">
        <f t="shared" si="26"/>
        <v>0</v>
      </c>
      <c r="M73" s="9">
        <f t="shared" si="27"/>
        <v>0</v>
      </c>
      <c r="N73" s="9"/>
      <c r="O73" s="9">
        <v>0</v>
      </c>
      <c r="P73" s="9"/>
      <c r="Q73" s="9">
        <f t="shared" si="28"/>
        <v>0</v>
      </c>
      <c r="R73" s="4"/>
      <c r="S73" s="4">
        <f t="shared" si="30"/>
        <v>0</v>
      </c>
      <c r="T73" s="4">
        <f t="shared" si="31"/>
        <v>0</v>
      </c>
      <c r="U73" s="4"/>
      <c r="V73" s="22"/>
      <c r="W73" s="22"/>
      <c r="X73" s="9" t="e">
        <f t="shared" si="32"/>
        <v>#DIV/0!</v>
      </c>
      <c r="Y73" s="9" t="e">
        <f t="shared" si="29"/>
        <v>#DIV/0!</v>
      </c>
      <c r="Z73" s="9">
        <v>0.8</v>
      </c>
      <c r="AA73" s="9">
        <v>1.6</v>
      </c>
      <c r="AB73" s="9">
        <v>0.8</v>
      </c>
      <c r="AC73" s="9">
        <v>1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14" t="s">
        <v>111</v>
      </c>
      <c r="AK73" s="9">
        <f t="shared" si="33"/>
        <v>0</v>
      </c>
      <c r="AL73" s="9">
        <f t="shared" si="34"/>
        <v>0</v>
      </c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x14ac:dyDescent="0.25">
      <c r="A74" s="10" t="s">
        <v>129</v>
      </c>
      <c r="B74" s="10" t="s">
        <v>35</v>
      </c>
      <c r="C74" s="10"/>
      <c r="D74" s="10">
        <v>36</v>
      </c>
      <c r="E74" s="10">
        <v>36</v>
      </c>
      <c r="F74" s="10"/>
      <c r="G74" s="11">
        <v>0</v>
      </c>
      <c r="H74" s="10"/>
      <c r="I74" s="10" t="s">
        <v>36</v>
      </c>
      <c r="J74" s="10"/>
      <c r="K74" s="10">
        <v>36</v>
      </c>
      <c r="L74" s="10">
        <f t="shared" si="26"/>
        <v>0</v>
      </c>
      <c r="M74" s="10">
        <f t="shared" si="27"/>
        <v>0</v>
      </c>
      <c r="N74" s="10">
        <v>36</v>
      </c>
      <c r="O74" s="10">
        <v>0</v>
      </c>
      <c r="P74" s="10"/>
      <c r="Q74" s="10">
        <f t="shared" si="28"/>
        <v>0</v>
      </c>
      <c r="R74" s="13"/>
      <c r="S74" s="4">
        <f t="shared" si="30"/>
        <v>0</v>
      </c>
      <c r="T74" s="4">
        <f t="shared" si="31"/>
        <v>0</v>
      </c>
      <c r="U74" s="4"/>
      <c r="V74" s="23"/>
      <c r="W74" s="22"/>
      <c r="X74" s="9" t="e">
        <f t="shared" si="32"/>
        <v>#DIV/0!</v>
      </c>
      <c r="Y74" s="10" t="e">
        <f t="shared" si="29"/>
        <v>#DIV/0!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6</v>
      </c>
      <c r="AF74" s="10">
        <v>0</v>
      </c>
      <c r="AG74" s="10">
        <v>0</v>
      </c>
      <c r="AH74" s="10">
        <v>0</v>
      </c>
      <c r="AI74" s="10">
        <v>0</v>
      </c>
      <c r="AJ74" s="10" t="s">
        <v>121</v>
      </c>
      <c r="AK74" s="9">
        <f t="shared" si="33"/>
        <v>0</v>
      </c>
      <c r="AL74" s="9">
        <f t="shared" si="34"/>
        <v>0</v>
      </c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x14ac:dyDescent="0.25">
      <c r="A75" s="9" t="s">
        <v>130</v>
      </c>
      <c r="B75" s="9" t="s">
        <v>39</v>
      </c>
      <c r="C75" s="9">
        <v>1002.3440000000001</v>
      </c>
      <c r="D75" s="9">
        <v>549</v>
      </c>
      <c r="E75" s="9">
        <v>1119</v>
      </c>
      <c r="F75" s="9">
        <v>356.34399999999999</v>
      </c>
      <c r="G75" s="6">
        <v>0.35</v>
      </c>
      <c r="H75" s="9">
        <v>50</v>
      </c>
      <c r="I75" s="9" t="s">
        <v>36</v>
      </c>
      <c r="J75" s="9"/>
      <c r="K75" s="9">
        <v>1177</v>
      </c>
      <c r="L75" s="9">
        <f t="shared" si="26"/>
        <v>-58</v>
      </c>
      <c r="M75" s="9">
        <f t="shared" si="27"/>
        <v>1015</v>
      </c>
      <c r="N75" s="9">
        <v>104</v>
      </c>
      <c r="O75" s="9">
        <v>554</v>
      </c>
      <c r="P75" s="9">
        <v>454</v>
      </c>
      <c r="Q75" s="9">
        <f t="shared" si="28"/>
        <v>203</v>
      </c>
      <c r="R75" s="4">
        <f t="shared" ref="R75:R76" si="35">15*Q75-P75-O75-F75</f>
        <v>1680.6559999999999</v>
      </c>
      <c r="S75" s="4">
        <f t="shared" si="30"/>
        <v>1681</v>
      </c>
      <c r="T75" s="4">
        <f t="shared" si="31"/>
        <v>756</v>
      </c>
      <c r="U75" s="4">
        <f>ROUND(S75*$U$1,0)</f>
        <v>925</v>
      </c>
      <c r="V75" s="22"/>
      <c r="W75" s="22"/>
      <c r="X75" s="9">
        <f t="shared" si="32"/>
        <v>15.001694581280788</v>
      </c>
      <c r="Y75" s="9">
        <f t="shared" si="29"/>
        <v>6.7209064039408872</v>
      </c>
      <c r="Z75" s="9">
        <v>162.80000000000001</v>
      </c>
      <c r="AA75" s="9">
        <v>149.6</v>
      </c>
      <c r="AB75" s="9">
        <v>166.7312</v>
      </c>
      <c r="AC75" s="9">
        <v>162.80000000000001</v>
      </c>
      <c r="AD75" s="9">
        <v>169.4</v>
      </c>
      <c r="AE75" s="9">
        <v>188.8</v>
      </c>
      <c r="AF75" s="9">
        <v>165.4</v>
      </c>
      <c r="AG75" s="9">
        <v>142.6</v>
      </c>
      <c r="AH75" s="9">
        <v>114.6</v>
      </c>
      <c r="AI75" s="9">
        <v>173.6</v>
      </c>
      <c r="AJ75" s="9"/>
      <c r="AK75" s="9">
        <f t="shared" si="33"/>
        <v>264.59999999999997</v>
      </c>
      <c r="AL75" s="9">
        <f t="shared" si="34"/>
        <v>323.75</v>
      </c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x14ac:dyDescent="0.25">
      <c r="A76" s="9" t="s">
        <v>131</v>
      </c>
      <c r="B76" s="9" t="s">
        <v>39</v>
      </c>
      <c r="C76" s="9">
        <v>99</v>
      </c>
      <c r="D76" s="9"/>
      <c r="E76" s="9">
        <v>40</v>
      </c>
      <c r="F76" s="9">
        <v>57</v>
      </c>
      <c r="G76" s="6">
        <v>0.35</v>
      </c>
      <c r="H76" s="9">
        <v>50</v>
      </c>
      <c r="I76" s="9" t="s">
        <v>36</v>
      </c>
      <c r="J76" s="9"/>
      <c r="K76" s="9">
        <v>42</v>
      </c>
      <c r="L76" s="9">
        <f t="shared" si="26"/>
        <v>-2</v>
      </c>
      <c r="M76" s="9">
        <f t="shared" si="27"/>
        <v>40</v>
      </c>
      <c r="N76" s="9"/>
      <c r="O76" s="9">
        <v>0</v>
      </c>
      <c r="P76" s="9"/>
      <c r="Q76" s="9">
        <f t="shared" si="28"/>
        <v>8</v>
      </c>
      <c r="R76" s="4">
        <f t="shared" si="35"/>
        <v>63</v>
      </c>
      <c r="S76" s="4">
        <f t="shared" si="30"/>
        <v>63</v>
      </c>
      <c r="T76" s="4">
        <f t="shared" si="31"/>
        <v>63</v>
      </c>
      <c r="U76" s="4"/>
      <c r="V76" s="22"/>
      <c r="W76" s="22"/>
      <c r="X76" s="9">
        <f t="shared" si="32"/>
        <v>15</v>
      </c>
      <c r="Y76" s="9">
        <f t="shared" si="29"/>
        <v>7.125</v>
      </c>
      <c r="Z76" s="9">
        <v>6.6</v>
      </c>
      <c r="AA76" s="9">
        <v>2.4</v>
      </c>
      <c r="AB76" s="9">
        <v>10</v>
      </c>
      <c r="AC76" s="9">
        <v>6.2</v>
      </c>
      <c r="AD76" s="9">
        <v>0.6</v>
      </c>
      <c r="AE76" s="9">
        <v>12.2</v>
      </c>
      <c r="AF76" s="9">
        <v>0</v>
      </c>
      <c r="AG76" s="9">
        <v>0</v>
      </c>
      <c r="AH76" s="9">
        <v>0</v>
      </c>
      <c r="AI76" s="9">
        <v>0</v>
      </c>
      <c r="AJ76" s="8" t="s">
        <v>185</v>
      </c>
      <c r="AK76" s="9">
        <f t="shared" si="33"/>
        <v>22.049999999999997</v>
      </c>
      <c r="AL76" s="9">
        <f t="shared" si="34"/>
        <v>0</v>
      </c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x14ac:dyDescent="0.25">
      <c r="A77" s="9" t="s">
        <v>132</v>
      </c>
      <c r="B77" s="9" t="s">
        <v>35</v>
      </c>
      <c r="C77" s="9">
        <v>252.00700000000001</v>
      </c>
      <c r="D77" s="9">
        <v>300.67700000000002</v>
      </c>
      <c r="E77" s="9">
        <v>167.214</v>
      </c>
      <c r="F77" s="9">
        <v>263.44499999999999</v>
      </c>
      <c r="G77" s="6">
        <v>1</v>
      </c>
      <c r="H77" s="9">
        <v>50</v>
      </c>
      <c r="I77" s="9" t="s">
        <v>36</v>
      </c>
      <c r="J77" s="9"/>
      <c r="K77" s="9">
        <v>178.74</v>
      </c>
      <c r="L77" s="9">
        <f t="shared" si="26"/>
        <v>-11.52600000000001</v>
      </c>
      <c r="M77" s="9">
        <f t="shared" si="27"/>
        <v>111.274</v>
      </c>
      <c r="N77" s="9">
        <v>55.94</v>
      </c>
      <c r="O77" s="9">
        <v>158</v>
      </c>
      <c r="P77" s="9">
        <v>130</v>
      </c>
      <c r="Q77" s="9">
        <f t="shared" si="28"/>
        <v>22.254799999999999</v>
      </c>
      <c r="R77" s="4"/>
      <c r="S77" s="4">
        <f t="shared" si="30"/>
        <v>0</v>
      </c>
      <c r="T77" s="4">
        <f t="shared" si="31"/>
        <v>0</v>
      </c>
      <c r="U77" s="4"/>
      <c r="V77" s="22"/>
      <c r="W77" s="22"/>
      <c r="X77" s="9">
        <f t="shared" si="32"/>
        <v>24.778699426640543</v>
      </c>
      <c r="Y77" s="9">
        <f t="shared" si="29"/>
        <v>24.778699426640543</v>
      </c>
      <c r="Z77" s="9">
        <v>43.979199999999999</v>
      </c>
      <c r="AA77" s="9">
        <v>37.587000000000003</v>
      </c>
      <c r="AB77" s="9">
        <v>41.674199999999999</v>
      </c>
      <c r="AC77" s="9">
        <v>36.507599999999996</v>
      </c>
      <c r="AD77" s="9">
        <v>38.621400000000001</v>
      </c>
      <c r="AE77" s="9">
        <v>46.474800000000002</v>
      </c>
      <c r="AF77" s="9">
        <v>53.191999999999993</v>
      </c>
      <c r="AG77" s="9">
        <v>30.695799999999998</v>
      </c>
      <c r="AH77" s="9">
        <v>40.856200000000001</v>
      </c>
      <c r="AI77" s="9">
        <v>36.972200000000001</v>
      </c>
      <c r="AJ77" s="14" t="s">
        <v>59</v>
      </c>
      <c r="AK77" s="9">
        <f t="shared" si="33"/>
        <v>0</v>
      </c>
      <c r="AL77" s="9">
        <f t="shared" si="34"/>
        <v>0</v>
      </c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x14ac:dyDescent="0.25">
      <c r="A78" s="10" t="s">
        <v>133</v>
      </c>
      <c r="B78" s="10" t="s">
        <v>39</v>
      </c>
      <c r="C78" s="10">
        <v>14</v>
      </c>
      <c r="D78" s="10"/>
      <c r="E78" s="10"/>
      <c r="F78" s="10">
        <v>14</v>
      </c>
      <c r="G78" s="11">
        <v>0</v>
      </c>
      <c r="H78" s="10">
        <v>50</v>
      </c>
      <c r="I78" s="10" t="s">
        <v>61</v>
      </c>
      <c r="J78" s="10"/>
      <c r="K78" s="10"/>
      <c r="L78" s="10">
        <f t="shared" si="26"/>
        <v>0</v>
      </c>
      <c r="M78" s="10">
        <f t="shared" si="27"/>
        <v>0</v>
      </c>
      <c r="N78" s="10"/>
      <c r="O78" s="10">
        <v>0</v>
      </c>
      <c r="P78" s="10"/>
      <c r="Q78" s="10">
        <f t="shared" si="28"/>
        <v>0</v>
      </c>
      <c r="R78" s="13"/>
      <c r="S78" s="4">
        <f t="shared" si="30"/>
        <v>0</v>
      </c>
      <c r="T78" s="4">
        <f t="shared" si="31"/>
        <v>0</v>
      </c>
      <c r="U78" s="4"/>
      <c r="V78" s="23"/>
      <c r="W78" s="22"/>
      <c r="X78" s="9" t="e">
        <f t="shared" si="32"/>
        <v>#DIV/0!</v>
      </c>
      <c r="Y78" s="10" t="e">
        <f t="shared" si="29"/>
        <v>#DIV/0!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4" t="s">
        <v>59</v>
      </c>
      <c r="AK78" s="9">
        <f t="shared" si="33"/>
        <v>0</v>
      </c>
      <c r="AL78" s="9">
        <f t="shared" si="34"/>
        <v>0</v>
      </c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x14ac:dyDescent="0.25">
      <c r="A79" s="9" t="s">
        <v>134</v>
      </c>
      <c r="B79" s="9" t="s">
        <v>35</v>
      </c>
      <c r="C79" s="9">
        <v>339.81700000000001</v>
      </c>
      <c r="D79" s="9">
        <v>770.25699999999995</v>
      </c>
      <c r="E79" s="9">
        <v>346.86399999999998</v>
      </c>
      <c r="F79" s="9">
        <v>469.822</v>
      </c>
      <c r="G79" s="6">
        <v>1</v>
      </c>
      <c r="H79" s="9">
        <v>50</v>
      </c>
      <c r="I79" s="9" t="s">
        <v>36</v>
      </c>
      <c r="J79" s="9"/>
      <c r="K79" s="9">
        <v>365.59300000000002</v>
      </c>
      <c r="L79" s="9">
        <f t="shared" si="26"/>
        <v>-18.729000000000042</v>
      </c>
      <c r="M79" s="9">
        <f t="shared" si="27"/>
        <v>285.77099999999996</v>
      </c>
      <c r="N79" s="9">
        <v>61.093000000000004</v>
      </c>
      <c r="O79" s="9">
        <v>341</v>
      </c>
      <c r="P79" s="9">
        <v>279</v>
      </c>
      <c r="Q79" s="9">
        <f t="shared" si="28"/>
        <v>57.154199999999989</v>
      </c>
      <c r="R79" s="4"/>
      <c r="S79" s="4">
        <f t="shared" si="30"/>
        <v>0</v>
      </c>
      <c r="T79" s="4">
        <f t="shared" si="31"/>
        <v>0</v>
      </c>
      <c r="U79" s="4"/>
      <c r="V79" s="22"/>
      <c r="W79" s="22"/>
      <c r="X79" s="9">
        <f t="shared" si="32"/>
        <v>19.068099982153548</v>
      </c>
      <c r="Y79" s="9">
        <f t="shared" si="29"/>
        <v>19.068099982153548</v>
      </c>
      <c r="Z79" s="9">
        <v>87.89</v>
      </c>
      <c r="AA79" s="9">
        <v>75.989200000000011</v>
      </c>
      <c r="AB79" s="9">
        <v>76.524199999999993</v>
      </c>
      <c r="AC79" s="9">
        <v>69.088400000000007</v>
      </c>
      <c r="AD79" s="9">
        <v>74.110199999999992</v>
      </c>
      <c r="AE79" s="9">
        <v>63.377800000000001</v>
      </c>
      <c r="AF79" s="9">
        <v>72.193399999999997</v>
      </c>
      <c r="AG79" s="9">
        <v>44.104400000000012</v>
      </c>
      <c r="AH79" s="9">
        <v>53.6798</v>
      </c>
      <c r="AI79" s="9">
        <v>74.640200000000007</v>
      </c>
      <c r="AJ79" s="17" t="s">
        <v>44</v>
      </c>
      <c r="AK79" s="9">
        <f t="shared" si="33"/>
        <v>0</v>
      </c>
      <c r="AL79" s="9">
        <f t="shared" si="34"/>
        <v>0</v>
      </c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x14ac:dyDescent="0.25">
      <c r="A80" s="9" t="s">
        <v>135</v>
      </c>
      <c r="B80" s="9" t="s">
        <v>39</v>
      </c>
      <c r="C80" s="9">
        <v>1114</v>
      </c>
      <c r="D80" s="9">
        <v>1254</v>
      </c>
      <c r="E80" s="9">
        <v>1315</v>
      </c>
      <c r="F80" s="9">
        <v>1004</v>
      </c>
      <c r="G80" s="6">
        <v>0.35</v>
      </c>
      <c r="H80" s="9">
        <v>50</v>
      </c>
      <c r="I80" s="9" t="s">
        <v>36</v>
      </c>
      <c r="J80" s="9"/>
      <c r="K80" s="9">
        <v>1373</v>
      </c>
      <c r="L80" s="9">
        <f t="shared" si="26"/>
        <v>-58</v>
      </c>
      <c r="M80" s="9">
        <f t="shared" si="27"/>
        <v>1259</v>
      </c>
      <c r="N80" s="9">
        <v>56</v>
      </c>
      <c r="O80" s="9">
        <v>290</v>
      </c>
      <c r="P80" s="9">
        <v>237</v>
      </c>
      <c r="Q80" s="9">
        <f t="shared" si="28"/>
        <v>251.8</v>
      </c>
      <c r="R80" s="4">
        <f t="shared" ref="R80:R83" si="36">15*Q80-P80-O80-F80</f>
        <v>2246</v>
      </c>
      <c r="S80" s="4">
        <f t="shared" si="30"/>
        <v>2246</v>
      </c>
      <c r="T80" s="4">
        <f t="shared" si="31"/>
        <v>1011</v>
      </c>
      <c r="U80" s="4">
        <f t="shared" ref="U80:U81" si="37">ROUND(S80*$U$1,0)</f>
        <v>1235</v>
      </c>
      <c r="V80" s="22"/>
      <c r="W80" s="22"/>
      <c r="X80" s="9">
        <f t="shared" si="32"/>
        <v>15</v>
      </c>
      <c r="Y80" s="9">
        <f t="shared" si="29"/>
        <v>6.0802223987291502</v>
      </c>
      <c r="Z80" s="9">
        <v>187.4</v>
      </c>
      <c r="AA80" s="9">
        <v>215.2</v>
      </c>
      <c r="AB80" s="9">
        <v>247.2</v>
      </c>
      <c r="AC80" s="9">
        <v>326</v>
      </c>
      <c r="AD80" s="9">
        <v>169</v>
      </c>
      <c r="AE80" s="9">
        <v>170.8</v>
      </c>
      <c r="AF80" s="9">
        <v>183.6</v>
      </c>
      <c r="AG80" s="9">
        <v>140.19999999999999</v>
      </c>
      <c r="AH80" s="9">
        <v>114.6</v>
      </c>
      <c r="AI80" s="9">
        <v>206.2</v>
      </c>
      <c r="AJ80" s="9" t="s">
        <v>136</v>
      </c>
      <c r="AK80" s="9">
        <f t="shared" si="33"/>
        <v>353.84999999999997</v>
      </c>
      <c r="AL80" s="9">
        <f t="shared" si="34"/>
        <v>432.25</v>
      </c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x14ac:dyDescent="0.25">
      <c r="A81" s="9" t="s">
        <v>137</v>
      </c>
      <c r="B81" s="9" t="s">
        <v>39</v>
      </c>
      <c r="C81" s="9">
        <v>119</v>
      </c>
      <c r="D81" s="9">
        <v>141</v>
      </c>
      <c r="E81" s="9">
        <v>109</v>
      </c>
      <c r="F81" s="9">
        <v>129</v>
      </c>
      <c r="G81" s="6">
        <v>0.3</v>
      </c>
      <c r="H81" s="9">
        <v>50</v>
      </c>
      <c r="I81" s="9" t="s">
        <v>36</v>
      </c>
      <c r="J81" s="9"/>
      <c r="K81" s="9">
        <v>123</v>
      </c>
      <c r="L81" s="9">
        <f t="shared" si="26"/>
        <v>-14</v>
      </c>
      <c r="M81" s="9">
        <f t="shared" si="27"/>
        <v>109</v>
      </c>
      <c r="N81" s="9"/>
      <c r="O81" s="9">
        <v>0</v>
      </c>
      <c r="P81" s="9"/>
      <c r="Q81" s="9">
        <f t="shared" si="28"/>
        <v>21.8</v>
      </c>
      <c r="R81" s="4">
        <f t="shared" si="36"/>
        <v>198</v>
      </c>
      <c r="S81" s="4">
        <f t="shared" si="30"/>
        <v>198</v>
      </c>
      <c r="T81" s="4">
        <f t="shared" si="31"/>
        <v>89</v>
      </c>
      <c r="U81" s="4">
        <f t="shared" si="37"/>
        <v>109</v>
      </c>
      <c r="V81" s="22"/>
      <c r="W81" s="22"/>
      <c r="X81" s="9">
        <f t="shared" si="32"/>
        <v>15</v>
      </c>
      <c r="Y81" s="9">
        <f t="shared" si="29"/>
        <v>5.9174311926605503</v>
      </c>
      <c r="Z81" s="9">
        <v>16.600000000000001</v>
      </c>
      <c r="AA81" s="9">
        <v>22.8</v>
      </c>
      <c r="AB81" s="9">
        <v>21</v>
      </c>
      <c r="AC81" s="9">
        <v>20</v>
      </c>
      <c r="AD81" s="9">
        <v>30.4</v>
      </c>
      <c r="AE81" s="9">
        <v>13.6</v>
      </c>
      <c r="AF81" s="9">
        <v>25</v>
      </c>
      <c r="AG81" s="9">
        <v>20.2</v>
      </c>
      <c r="AH81" s="9">
        <v>18.600000000000001</v>
      </c>
      <c r="AI81" s="9">
        <v>22.2</v>
      </c>
      <c r="AJ81" s="9"/>
      <c r="AK81" s="9">
        <f t="shared" si="33"/>
        <v>26.7</v>
      </c>
      <c r="AL81" s="9">
        <f t="shared" si="34"/>
        <v>32.699999999999996</v>
      </c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x14ac:dyDescent="0.25">
      <c r="A82" s="9" t="s">
        <v>138</v>
      </c>
      <c r="B82" s="9" t="s">
        <v>39</v>
      </c>
      <c r="C82" s="9">
        <v>50</v>
      </c>
      <c r="D82" s="9">
        <v>24</v>
      </c>
      <c r="E82" s="9">
        <v>44</v>
      </c>
      <c r="F82" s="9">
        <v>14</v>
      </c>
      <c r="G82" s="6">
        <v>0.3</v>
      </c>
      <c r="H82" s="9">
        <v>60</v>
      </c>
      <c r="I82" s="9" t="s">
        <v>36</v>
      </c>
      <c r="J82" s="9"/>
      <c r="K82" s="9">
        <v>66</v>
      </c>
      <c r="L82" s="9">
        <f t="shared" si="26"/>
        <v>-22</v>
      </c>
      <c r="M82" s="9">
        <f t="shared" si="27"/>
        <v>44</v>
      </c>
      <c r="N82" s="9"/>
      <c r="O82" s="9">
        <v>36</v>
      </c>
      <c r="P82" s="9">
        <v>29</v>
      </c>
      <c r="Q82" s="9">
        <f t="shared" si="28"/>
        <v>8.8000000000000007</v>
      </c>
      <c r="R82" s="4">
        <f t="shared" si="36"/>
        <v>53</v>
      </c>
      <c r="S82" s="4">
        <f t="shared" si="30"/>
        <v>53</v>
      </c>
      <c r="T82" s="4">
        <f t="shared" si="31"/>
        <v>53</v>
      </c>
      <c r="U82" s="4"/>
      <c r="V82" s="22"/>
      <c r="W82" s="22"/>
      <c r="X82" s="9">
        <f t="shared" si="32"/>
        <v>14.999999999999998</v>
      </c>
      <c r="Y82" s="9">
        <f t="shared" si="29"/>
        <v>8.9772727272727266</v>
      </c>
      <c r="Z82" s="9">
        <v>8.4</v>
      </c>
      <c r="AA82" s="9">
        <v>7.6</v>
      </c>
      <c r="AB82" s="9">
        <v>8.8000000000000007</v>
      </c>
      <c r="AC82" s="9">
        <v>7.2</v>
      </c>
      <c r="AD82" s="9">
        <v>9.6</v>
      </c>
      <c r="AE82" s="9">
        <v>10.4</v>
      </c>
      <c r="AF82" s="9">
        <v>9.8000000000000007</v>
      </c>
      <c r="AG82" s="9">
        <v>9.8000000000000007</v>
      </c>
      <c r="AH82" s="9">
        <v>18.600000000000001</v>
      </c>
      <c r="AI82" s="9">
        <v>8</v>
      </c>
      <c r="AJ82" s="9"/>
      <c r="AK82" s="9">
        <f t="shared" si="33"/>
        <v>15.899999999999999</v>
      </c>
      <c r="AL82" s="9">
        <f t="shared" si="34"/>
        <v>0</v>
      </c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x14ac:dyDescent="0.25">
      <c r="A83" s="9" t="s">
        <v>139</v>
      </c>
      <c r="B83" s="9" t="s">
        <v>39</v>
      </c>
      <c r="C83" s="9">
        <v>82</v>
      </c>
      <c r="D83" s="9">
        <v>179</v>
      </c>
      <c r="E83" s="9">
        <v>156</v>
      </c>
      <c r="F83" s="9">
        <v>98</v>
      </c>
      <c r="G83" s="6">
        <v>0.28000000000000003</v>
      </c>
      <c r="H83" s="9">
        <v>50</v>
      </c>
      <c r="I83" s="9" t="s">
        <v>36</v>
      </c>
      <c r="J83" s="9"/>
      <c r="K83" s="9">
        <v>181</v>
      </c>
      <c r="L83" s="9">
        <f t="shared" si="26"/>
        <v>-25</v>
      </c>
      <c r="M83" s="9">
        <f t="shared" si="27"/>
        <v>124</v>
      </c>
      <c r="N83" s="9">
        <v>32</v>
      </c>
      <c r="O83" s="9">
        <v>45</v>
      </c>
      <c r="P83" s="9">
        <v>36</v>
      </c>
      <c r="Q83" s="9">
        <f t="shared" si="28"/>
        <v>24.8</v>
      </c>
      <c r="R83" s="4">
        <f t="shared" si="36"/>
        <v>193</v>
      </c>
      <c r="S83" s="4">
        <f t="shared" si="30"/>
        <v>193</v>
      </c>
      <c r="T83" s="4">
        <f t="shared" si="31"/>
        <v>87</v>
      </c>
      <c r="U83" s="4">
        <f t="shared" ref="U83:U84" si="38">ROUND(S83*$U$1,0)</f>
        <v>106</v>
      </c>
      <c r="V83" s="22"/>
      <c r="W83" s="22"/>
      <c r="X83" s="9">
        <f t="shared" si="32"/>
        <v>15</v>
      </c>
      <c r="Y83" s="9">
        <f t="shared" si="29"/>
        <v>7.217741935483871</v>
      </c>
      <c r="Z83" s="9">
        <v>20.8</v>
      </c>
      <c r="AA83" s="9">
        <v>22.8</v>
      </c>
      <c r="AB83" s="9">
        <v>23.4</v>
      </c>
      <c r="AC83" s="9">
        <v>20.399999999999999</v>
      </c>
      <c r="AD83" s="9">
        <v>21.6</v>
      </c>
      <c r="AE83" s="9">
        <v>21.8</v>
      </c>
      <c r="AF83" s="9">
        <v>19.8</v>
      </c>
      <c r="AG83" s="9">
        <v>18.600000000000001</v>
      </c>
      <c r="AH83" s="9">
        <v>24.4</v>
      </c>
      <c r="AI83" s="9">
        <v>18.399999999999999</v>
      </c>
      <c r="AJ83" s="9"/>
      <c r="AK83" s="9">
        <f t="shared" si="33"/>
        <v>24.360000000000003</v>
      </c>
      <c r="AL83" s="9">
        <f t="shared" si="34"/>
        <v>29.680000000000003</v>
      </c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x14ac:dyDescent="0.25">
      <c r="A84" s="9" t="s">
        <v>140</v>
      </c>
      <c r="B84" s="9" t="s">
        <v>39</v>
      </c>
      <c r="C84" s="9">
        <v>262</v>
      </c>
      <c r="D84" s="9">
        <v>144</v>
      </c>
      <c r="E84" s="9">
        <v>376</v>
      </c>
      <c r="F84" s="9">
        <v>14</v>
      </c>
      <c r="G84" s="6">
        <v>0.28000000000000003</v>
      </c>
      <c r="H84" s="9">
        <v>45</v>
      </c>
      <c r="I84" s="9" t="s">
        <v>36</v>
      </c>
      <c r="J84" s="9"/>
      <c r="K84" s="9">
        <v>422</v>
      </c>
      <c r="L84" s="9">
        <f t="shared" si="26"/>
        <v>-46</v>
      </c>
      <c r="M84" s="9">
        <f t="shared" si="27"/>
        <v>320</v>
      </c>
      <c r="N84" s="9">
        <v>56</v>
      </c>
      <c r="O84" s="9">
        <v>132</v>
      </c>
      <c r="P84" s="9">
        <v>108</v>
      </c>
      <c r="Q84" s="9">
        <f t="shared" si="28"/>
        <v>64</v>
      </c>
      <c r="R84" s="4">
        <f>14*Q84-P84-O84-F84</f>
        <v>642</v>
      </c>
      <c r="S84" s="4">
        <f t="shared" si="30"/>
        <v>642</v>
      </c>
      <c r="T84" s="4">
        <f t="shared" si="31"/>
        <v>289</v>
      </c>
      <c r="U84" s="4">
        <f t="shared" si="38"/>
        <v>353</v>
      </c>
      <c r="V84" s="22"/>
      <c r="W84" s="22"/>
      <c r="X84" s="9">
        <f t="shared" si="32"/>
        <v>14</v>
      </c>
      <c r="Y84" s="9">
        <f t="shared" si="29"/>
        <v>3.96875</v>
      </c>
      <c r="Z84" s="9">
        <v>38.799999999999997</v>
      </c>
      <c r="AA84" s="9">
        <v>36.200000000000003</v>
      </c>
      <c r="AB84" s="9">
        <v>43</v>
      </c>
      <c r="AC84" s="9">
        <v>49.6</v>
      </c>
      <c r="AD84" s="9">
        <v>55.2</v>
      </c>
      <c r="AE84" s="9">
        <v>159.80000000000001</v>
      </c>
      <c r="AF84" s="9">
        <v>76</v>
      </c>
      <c r="AG84" s="9">
        <v>223.4</v>
      </c>
      <c r="AH84" s="9">
        <v>39.4</v>
      </c>
      <c r="AI84" s="9">
        <v>53.8</v>
      </c>
      <c r="AJ84" s="9" t="s">
        <v>141</v>
      </c>
      <c r="AK84" s="9">
        <f t="shared" si="33"/>
        <v>80.92</v>
      </c>
      <c r="AL84" s="9">
        <f t="shared" si="34"/>
        <v>98.84</v>
      </c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x14ac:dyDescent="0.25">
      <c r="A85" s="12" t="s">
        <v>142</v>
      </c>
      <c r="B85" s="10" t="s">
        <v>39</v>
      </c>
      <c r="C85" s="10"/>
      <c r="D85" s="10">
        <v>2</v>
      </c>
      <c r="E85" s="10">
        <v>-2</v>
      </c>
      <c r="F85" s="10">
        <v>2</v>
      </c>
      <c r="G85" s="11">
        <v>0</v>
      </c>
      <c r="H85" s="10"/>
      <c r="I85" s="12" t="s">
        <v>61</v>
      </c>
      <c r="J85" s="10"/>
      <c r="K85" s="10"/>
      <c r="L85" s="10">
        <f t="shared" si="26"/>
        <v>-2</v>
      </c>
      <c r="M85" s="10">
        <f t="shared" si="27"/>
        <v>-2</v>
      </c>
      <c r="N85" s="10"/>
      <c r="O85" s="10"/>
      <c r="P85" s="10"/>
      <c r="Q85" s="10">
        <f t="shared" si="28"/>
        <v>-0.4</v>
      </c>
      <c r="R85" s="13"/>
      <c r="S85" s="4">
        <f t="shared" si="30"/>
        <v>0</v>
      </c>
      <c r="T85" s="4">
        <f t="shared" si="31"/>
        <v>0</v>
      </c>
      <c r="U85" s="4"/>
      <c r="V85" s="23"/>
      <c r="W85" s="22"/>
      <c r="X85" s="9">
        <f t="shared" si="32"/>
        <v>-5</v>
      </c>
      <c r="Y85" s="10">
        <f t="shared" si="29"/>
        <v>-5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/>
      <c r="AK85" s="9">
        <f t="shared" si="33"/>
        <v>0</v>
      </c>
      <c r="AL85" s="9">
        <f t="shared" si="34"/>
        <v>0</v>
      </c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x14ac:dyDescent="0.25">
      <c r="A86" s="9" t="s">
        <v>143</v>
      </c>
      <c r="B86" s="9" t="s">
        <v>39</v>
      </c>
      <c r="C86" s="9">
        <v>254</v>
      </c>
      <c r="D86" s="9">
        <v>224</v>
      </c>
      <c r="E86" s="9">
        <v>305</v>
      </c>
      <c r="F86" s="9">
        <v>154</v>
      </c>
      <c r="G86" s="6">
        <v>0.28000000000000003</v>
      </c>
      <c r="H86" s="9">
        <v>45</v>
      </c>
      <c r="I86" s="9" t="s">
        <v>36</v>
      </c>
      <c r="J86" s="9"/>
      <c r="K86" s="9">
        <v>338</v>
      </c>
      <c r="L86" s="9">
        <f t="shared" si="26"/>
        <v>-33</v>
      </c>
      <c r="M86" s="9">
        <f t="shared" si="27"/>
        <v>249</v>
      </c>
      <c r="N86" s="9">
        <v>56</v>
      </c>
      <c r="O86" s="9">
        <v>142</v>
      </c>
      <c r="P86" s="9">
        <v>116</v>
      </c>
      <c r="Q86" s="9">
        <f t="shared" si="28"/>
        <v>49.8</v>
      </c>
      <c r="R86" s="4">
        <f t="shared" ref="R86:R87" si="39">15*Q86-P86-O86-F86</f>
        <v>335</v>
      </c>
      <c r="S86" s="4">
        <f t="shared" si="30"/>
        <v>335</v>
      </c>
      <c r="T86" s="4">
        <f t="shared" si="31"/>
        <v>151</v>
      </c>
      <c r="U86" s="4">
        <f t="shared" ref="U86:U87" si="40">ROUND(S86*$U$1,0)</f>
        <v>184</v>
      </c>
      <c r="V86" s="22"/>
      <c r="W86" s="22"/>
      <c r="X86" s="9">
        <f t="shared" si="32"/>
        <v>15</v>
      </c>
      <c r="Y86" s="9">
        <f t="shared" si="29"/>
        <v>8.2730923694779115</v>
      </c>
      <c r="Z86" s="9">
        <v>45</v>
      </c>
      <c r="AA86" s="9">
        <v>43.4</v>
      </c>
      <c r="AB86" s="9">
        <v>43.6</v>
      </c>
      <c r="AC86" s="9">
        <v>50</v>
      </c>
      <c r="AD86" s="9">
        <v>55.6</v>
      </c>
      <c r="AE86" s="9">
        <v>62.6</v>
      </c>
      <c r="AF86" s="9">
        <v>42.2</v>
      </c>
      <c r="AG86" s="9">
        <v>37</v>
      </c>
      <c r="AH86" s="9">
        <v>36</v>
      </c>
      <c r="AI86" s="9">
        <v>47.4</v>
      </c>
      <c r="AJ86" s="9"/>
      <c r="AK86" s="9">
        <f t="shared" si="33"/>
        <v>42.28</v>
      </c>
      <c r="AL86" s="9">
        <f t="shared" si="34"/>
        <v>51.52</v>
      </c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x14ac:dyDescent="0.25">
      <c r="A87" s="9" t="s">
        <v>144</v>
      </c>
      <c r="B87" s="9" t="s">
        <v>39</v>
      </c>
      <c r="C87" s="9">
        <v>676</v>
      </c>
      <c r="D87" s="9">
        <v>244</v>
      </c>
      <c r="E87" s="9">
        <v>466</v>
      </c>
      <c r="F87" s="9">
        <v>428</v>
      </c>
      <c r="G87" s="6">
        <v>0.4</v>
      </c>
      <c r="H87" s="9">
        <v>50</v>
      </c>
      <c r="I87" s="9" t="s">
        <v>36</v>
      </c>
      <c r="J87" s="9"/>
      <c r="K87" s="9">
        <v>509</v>
      </c>
      <c r="L87" s="9">
        <f t="shared" si="26"/>
        <v>-43</v>
      </c>
      <c r="M87" s="9">
        <f t="shared" si="27"/>
        <v>442</v>
      </c>
      <c r="N87" s="9">
        <v>24</v>
      </c>
      <c r="O87" s="9">
        <v>12</v>
      </c>
      <c r="P87" s="9"/>
      <c r="Q87" s="9">
        <f t="shared" si="28"/>
        <v>88.4</v>
      </c>
      <c r="R87" s="4">
        <f t="shared" si="39"/>
        <v>886</v>
      </c>
      <c r="S87" s="4">
        <f t="shared" si="30"/>
        <v>886</v>
      </c>
      <c r="T87" s="4">
        <f t="shared" si="31"/>
        <v>399</v>
      </c>
      <c r="U87" s="4">
        <f t="shared" si="40"/>
        <v>487</v>
      </c>
      <c r="V87" s="22"/>
      <c r="W87" s="22"/>
      <c r="X87" s="9">
        <f t="shared" si="32"/>
        <v>14.999999999999998</v>
      </c>
      <c r="Y87" s="9">
        <f t="shared" si="29"/>
        <v>4.9773755656108598</v>
      </c>
      <c r="Z87" s="9">
        <v>59</v>
      </c>
      <c r="AA87" s="9">
        <v>77.2</v>
      </c>
      <c r="AB87" s="9">
        <v>86</v>
      </c>
      <c r="AC87" s="9">
        <v>100</v>
      </c>
      <c r="AD87" s="9">
        <v>89.8</v>
      </c>
      <c r="AE87" s="9">
        <v>79</v>
      </c>
      <c r="AF87" s="9">
        <v>72</v>
      </c>
      <c r="AG87" s="9">
        <v>63</v>
      </c>
      <c r="AH87" s="9">
        <v>36.4</v>
      </c>
      <c r="AI87" s="9">
        <v>70.400000000000006</v>
      </c>
      <c r="AJ87" s="9"/>
      <c r="AK87" s="9">
        <f t="shared" si="33"/>
        <v>159.60000000000002</v>
      </c>
      <c r="AL87" s="9">
        <f t="shared" si="34"/>
        <v>194.8</v>
      </c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x14ac:dyDescent="0.25">
      <c r="A88" s="10" t="s">
        <v>145</v>
      </c>
      <c r="B88" s="10" t="s">
        <v>39</v>
      </c>
      <c r="C88" s="10"/>
      <c r="D88" s="10">
        <v>2</v>
      </c>
      <c r="E88" s="10">
        <v>-2</v>
      </c>
      <c r="F88" s="10">
        <v>2</v>
      </c>
      <c r="G88" s="11">
        <v>0</v>
      </c>
      <c r="H88" s="10"/>
      <c r="I88" s="10" t="s">
        <v>61</v>
      </c>
      <c r="J88" s="10"/>
      <c r="K88" s="10"/>
      <c r="L88" s="10">
        <f t="shared" si="26"/>
        <v>-2</v>
      </c>
      <c r="M88" s="10">
        <f t="shared" si="27"/>
        <v>-2</v>
      </c>
      <c r="N88" s="10"/>
      <c r="O88" s="10"/>
      <c r="P88" s="10"/>
      <c r="Q88" s="10">
        <f t="shared" si="28"/>
        <v>-0.4</v>
      </c>
      <c r="R88" s="13"/>
      <c r="S88" s="4">
        <f t="shared" si="30"/>
        <v>0</v>
      </c>
      <c r="T88" s="4">
        <f t="shared" si="31"/>
        <v>0</v>
      </c>
      <c r="U88" s="4"/>
      <c r="V88" s="23"/>
      <c r="W88" s="22"/>
      <c r="X88" s="9">
        <f t="shared" si="32"/>
        <v>-5</v>
      </c>
      <c r="Y88" s="10">
        <f t="shared" si="29"/>
        <v>-5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/>
      <c r="AK88" s="9">
        <f t="shared" si="33"/>
        <v>0</v>
      </c>
      <c r="AL88" s="9">
        <f t="shared" si="34"/>
        <v>0</v>
      </c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x14ac:dyDescent="0.25">
      <c r="A89" s="9" t="s">
        <v>146</v>
      </c>
      <c r="B89" s="9" t="s">
        <v>35</v>
      </c>
      <c r="C89" s="9">
        <v>70.671999999999997</v>
      </c>
      <c r="D89" s="9">
        <v>74.233000000000004</v>
      </c>
      <c r="E89" s="9">
        <v>92.236000000000004</v>
      </c>
      <c r="F89" s="9">
        <v>14.775</v>
      </c>
      <c r="G89" s="6">
        <v>1</v>
      </c>
      <c r="H89" s="9">
        <v>30</v>
      </c>
      <c r="I89" s="9" t="s">
        <v>36</v>
      </c>
      <c r="J89" s="9"/>
      <c r="K89" s="9">
        <v>119.3</v>
      </c>
      <c r="L89" s="9">
        <f t="shared" si="26"/>
        <v>-27.063999999999993</v>
      </c>
      <c r="M89" s="9">
        <f t="shared" si="27"/>
        <v>92.236000000000004</v>
      </c>
      <c r="N89" s="9"/>
      <c r="O89" s="9">
        <v>82</v>
      </c>
      <c r="P89" s="9">
        <v>68</v>
      </c>
      <c r="Q89" s="9">
        <f t="shared" si="28"/>
        <v>18.447200000000002</v>
      </c>
      <c r="R89" s="4">
        <f t="shared" ref="R89:R102" si="41">15*Q89-P89-O89-F89</f>
        <v>111.93300000000002</v>
      </c>
      <c r="S89" s="4">
        <f t="shared" si="30"/>
        <v>112</v>
      </c>
      <c r="T89" s="4">
        <f t="shared" si="31"/>
        <v>50</v>
      </c>
      <c r="U89" s="4">
        <f>ROUND(S89*$U$1,0)</f>
        <v>62</v>
      </c>
      <c r="V89" s="22"/>
      <c r="W89" s="22"/>
      <c r="X89" s="9">
        <f t="shared" si="32"/>
        <v>15.003631987510296</v>
      </c>
      <c r="Y89" s="9">
        <f t="shared" si="29"/>
        <v>8.9322498807407076</v>
      </c>
      <c r="Z89" s="9">
        <v>44.956200000000003</v>
      </c>
      <c r="AA89" s="9">
        <v>37.146599999999999</v>
      </c>
      <c r="AB89" s="9">
        <v>39.629399999999997</v>
      </c>
      <c r="AC89" s="9">
        <v>30.7286</v>
      </c>
      <c r="AD89" s="9">
        <v>32.9846</v>
      </c>
      <c r="AE89" s="9">
        <v>33.498600000000003</v>
      </c>
      <c r="AF89" s="9">
        <v>29.745799999999999</v>
      </c>
      <c r="AG89" s="9">
        <v>10.490600000000001</v>
      </c>
      <c r="AH89" s="9">
        <v>31.147200000000002</v>
      </c>
      <c r="AI89" s="9">
        <v>0</v>
      </c>
      <c r="AJ89" s="9"/>
      <c r="AK89" s="9">
        <f t="shared" si="33"/>
        <v>50</v>
      </c>
      <c r="AL89" s="9">
        <f t="shared" si="34"/>
        <v>62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x14ac:dyDescent="0.25">
      <c r="A90" s="9" t="s">
        <v>147</v>
      </c>
      <c r="B90" s="9" t="s">
        <v>39</v>
      </c>
      <c r="C90" s="9">
        <v>106</v>
      </c>
      <c r="D90" s="9"/>
      <c r="E90" s="9">
        <v>2</v>
      </c>
      <c r="F90" s="9">
        <v>104</v>
      </c>
      <c r="G90" s="6">
        <v>0.33800000000000002</v>
      </c>
      <c r="H90" s="9" t="s">
        <v>148</v>
      </c>
      <c r="I90" s="9" t="s">
        <v>36</v>
      </c>
      <c r="J90" s="9"/>
      <c r="K90" s="9">
        <v>2</v>
      </c>
      <c r="L90" s="9">
        <f t="shared" si="26"/>
        <v>0</v>
      </c>
      <c r="M90" s="9">
        <f t="shared" si="27"/>
        <v>2</v>
      </c>
      <c r="N90" s="9"/>
      <c r="O90" s="9">
        <v>0</v>
      </c>
      <c r="P90" s="9"/>
      <c r="Q90" s="9">
        <f t="shared" si="28"/>
        <v>0.4</v>
      </c>
      <c r="R90" s="4"/>
      <c r="S90" s="4">
        <f t="shared" si="30"/>
        <v>0</v>
      </c>
      <c r="T90" s="4">
        <f t="shared" si="31"/>
        <v>0</v>
      </c>
      <c r="U90" s="4"/>
      <c r="V90" s="22"/>
      <c r="W90" s="22"/>
      <c r="X90" s="9">
        <f t="shared" si="32"/>
        <v>260</v>
      </c>
      <c r="Y90" s="9">
        <f t="shared" si="29"/>
        <v>260</v>
      </c>
      <c r="Z90" s="9">
        <v>0.2</v>
      </c>
      <c r="AA90" s="9">
        <v>0.8</v>
      </c>
      <c r="AB90" s="9">
        <v>0.6</v>
      </c>
      <c r="AC90" s="9">
        <v>3.4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14" t="s">
        <v>111</v>
      </c>
      <c r="AK90" s="9">
        <f t="shared" si="33"/>
        <v>0</v>
      </c>
      <c r="AL90" s="9">
        <f t="shared" si="34"/>
        <v>0</v>
      </c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x14ac:dyDescent="0.25">
      <c r="A91" s="9" t="s">
        <v>149</v>
      </c>
      <c r="B91" s="9" t="s">
        <v>39</v>
      </c>
      <c r="C91" s="9">
        <v>80</v>
      </c>
      <c r="D91" s="9"/>
      <c r="E91" s="9">
        <v>2</v>
      </c>
      <c r="F91" s="9">
        <v>78</v>
      </c>
      <c r="G91" s="6">
        <v>0.32500000000000001</v>
      </c>
      <c r="H91" s="9" t="s">
        <v>148</v>
      </c>
      <c r="I91" s="9" t="s">
        <v>36</v>
      </c>
      <c r="J91" s="9"/>
      <c r="K91" s="9">
        <v>2</v>
      </c>
      <c r="L91" s="9">
        <f t="shared" si="26"/>
        <v>0</v>
      </c>
      <c r="M91" s="9">
        <f t="shared" si="27"/>
        <v>2</v>
      </c>
      <c r="N91" s="9"/>
      <c r="O91" s="9">
        <v>0</v>
      </c>
      <c r="P91" s="9"/>
      <c r="Q91" s="9">
        <f t="shared" si="28"/>
        <v>0.4</v>
      </c>
      <c r="R91" s="4"/>
      <c r="S91" s="4">
        <f t="shared" si="30"/>
        <v>0</v>
      </c>
      <c r="T91" s="4">
        <f t="shared" si="31"/>
        <v>0</v>
      </c>
      <c r="U91" s="4"/>
      <c r="V91" s="22"/>
      <c r="W91" s="22"/>
      <c r="X91" s="9">
        <f t="shared" si="32"/>
        <v>195</v>
      </c>
      <c r="Y91" s="9">
        <f t="shared" si="29"/>
        <v>195</v>
      </c>
      <c r="Z91" s="9">
        <v>0.2</v>
      </c>
      <c r="AA91" s="9">
        <v>0.8</v>
      </c>
      <c r="AB91" s="9">
        <v>2.2000000000000002</v>
      </c>
      <c r="AC91" s="9">
        <v>2.2000000000000002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14" t="s">
        <v>111</v>
      </c>
      <c r="AK91" s="9">
        <f t="shared" si="33"/>
        <v>0</v>
      </c>
      <c r="AL91" s="9">
        <f t="shared" si="34"/>
        <v>0</v>
      </c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x14ac:dyDescent="0.25">
      <c r="A92" s="9" t="s">
        <v>150</v>
      </c>
      <c r="B92" s="9" t="s">
        <v>39</v>
      </c>
      <c r="C92" s="9">
        <v>164</v>
      </c>
      <c r="D92" s="9">
        <v>360</v>
      </c>
      <c r="E92" s="9">
        <v>170</v>
      </c>
      <c r="F92" s="9">
        <v>331</v>
      </c>
      <c r="G92" s="6">
        <v>0.12</v>
      </c>
      <c r="H92" s="9">
        <v>60</v>
      </c>
      <c r="I92" s="9" t="s">
        <v>36</v>
      </c>
      <c r="J92" s="9"/>
      <c r="K92" s="9">
        <v>190</v>
      </c>
      <c r="L92" s="9">
        <f t="shared" si="26"/>
        <v>-20</v>
      </c>
      <c r="M92" s="9">
        <f t="shared" si="27"/>
        <v>146</v>
      </c>
      <c r="N92" s="9">
        <v>24</v>
      </c>
      <c r="O92" s="9">
        <v>104</v>
      </c>
      <c r="P92" s="9">
        <v>86</v>
      </c>
      <c r="Q92" s="9">
        <f t="shared" si="28"/>
        <v>29.2</v>
      </c>
      <c r="R92" s="4"/>
      <c r="S92" s="4">
        <f t="shared" si="30"/>
        <v>0</v>
      </c>
      <c r="T92" s="4">
        <f t="shared" si="31"/>
        <v>0</v>
      </c>
      <c r="U92" s="4"/>
      <c r="V92" s="22"/>
      <c r="W92" s="22"/>
      <c r="X92" s="9">
        <f t="shared" si="32"/>
        <v>17.842465753424658</v>
      </c>
      <c r="Y92" s="9">
        <f t="shared" si="29"/>
        <v>17.842465753424658</v>
      </c>
      <c r="Z92" s="9">
        <v>43.2</v>
      </c>
      <c r="AA92" s="9">
        <v>47.6</v>
      </c>
      <c r="AB92" s="9">
        <v>34.799999999999997</v>
      </c>
      <c r="AC92" s="9">
        <v>46.8</v>
      </c>
      <c r="AD92" s="9">
        <v>44.4</v>
      </c>
      <c r="AE92" s="9">
        <v>33</v>
      </c>
      <c r="AF92" s="9">
        <v>36.799999999999997</v>
      </c>
      <c r="AG92" s="9">
        <v>33.799999999999997</v>
      </c>
      <c r="AH92" s="9">
        <v>32.200000000000003</v>
      </c>
      <c r="AI92" s="9">
        <v>48.4</v>
      </c>
      <c r="AJ92" s="9"/>
      <c r="AK92" s="9">
        <f t="shared" si="33"/>
        <v>0</v>
      </c>
      <c r="AL92" s="9">
        <f t="shared" si="34"/>
        <v>0</v>
      </c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x14ac:dyDescent="0.25">
      <c r="A93" s="9" t="s">
        <v>151</v>
      </c>
      <c r="B93" s="9" t="s">
        <v>39</v>
      </c>
      <c r="C93" s="9">
        <v>12</v>
      </c>
      <c r="D93" s="9">
        <v>117</v>
      </c>
      <c r="E93" s="9">
        <v>40</v>
      </c>
      <c r="F93" s="9">
        <v>81</v>
      </c>
      <c r="G93" s="6">
        <v>0.15</v>
      </c>
      <c r="H93" s="9">
        <v>90</v>
      </c>
      <c r="I93" s="9" t="s">
        <v>36</v>
      </c>
      <c r="J93" s="9"/>
      <c r="K93" s="9">
        <v>54</v>
      </c>
      <c r="L93" s="9">
        <f t="shared" si="26"/>
        <v>-14</v>
      </c>
      <c r="M93" s="9">
        <f t="shared" si="27"/>
        <v>40</v>
      </c>
      <c r="N93" s="9"/>
      <c r="O93" s="9">
        <v>20</v>
      </c>
      <c r="P93" s="9"/>
      <c r="Q93" s="9">
        <f t="shared" si="28"/>
        <v>8</v>
      </c>
      <c r="R93" s="4">
        <f t="shared" si="41"/>
        <v>19</v>
      </c>
      <c r="S93" s="4">
        <v>35</v>
      </c>
      <c r="T93" s="4">
        <f t="shared" si="31"/>
        <v>35</v>
      </c>
      <c r="U93" s="4"/>
      <c r="V93" s="22">
        <v>50</v>
      </c>
      <c r="W93" s="22"/>
      <c r="X93" s="9">
        <f t="shared" si="32"/>
        <v>17</v>
      </c>
      <c r="Y93" s="9">
        <f t="shared" si="29"/>
        <v>12.625</v>
      </c>
      <c r="Z93" s="9">
        <v>4.4000000000000004</v>
      </c>
      <c r="AA93" s="9">
        <v>3.8</v>
      </c>
      <c r="AB93" s="9">
        <v>0.6</v>
      </c>
      <c r="AC93" s="9">
        <v>1.4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 t="s">
        <v>37</v>
      </c>
      <c r="AK93" s="9">
        <f t="shared" si="33"/>
        <v>5.25</v>
      </c>
      <c r="AL93" s="9">
        <f t="shared" si="34"/>
        <v>0</v>
      </c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x14ac:dyDescent="0.25">
      <c r="A94" s="9" t="s">
        <v>152</v>
      </c>
      <c r="B94" s="9" t="s">
        <v>39</v>
      </c>
      <c r="C94" s="9">
        <v>2</v>
      </c>
      <c r="D94" s="9">
        <v>84</v>
      </c>
      <c r="E94" s="9">
        <v>8</v>
      </c>
      <c r="F94" s="9">
        <v>72</v>
      </c>
      <c r="G94" s="6">
        <v>0.15</v>
      </c>
      <c r="H94" s="9">
        <v>90</v>
      </c>
      <c r="I94" s="9" t="s">
        <v>36</v>
      </c>
      <c r="J94" s="9"/>
      <c r="K94" s="9">
        <v>45</v>
      </c>
      <c r="L94" s="9">
        <f t="shared" si="26"/>
        <v>-37</v>
      </c>
      <c r="M94" s="9">
        <f t="shared" si="27"/>
        <v>8</v>
      </c>
      <c r="N94" s="9"/>
      <c r="O94" s="9">
        <v>20</v>
      </c>
      <c r="P94" s="9"/>
      <c r="Q94" s="9">
        <f t="shared" si="28"/>
        <v>1.6</v>
      </c>
      <c r="R94" s="4"/>
      <c r="S94" s="4">
        <v>10</v>
      </c>
      <c r="T94" s="4">
        <f t="shared" si="31"/>
        <v>10</v>
      </c>
      <c r="U94" s="4"/>
      <c r="V94" s="22">
        <v>40</v>
      </c>
      <c r="W94" s="22"/>
      <c r="X94" s="9">
        <f t="shared" si="32"/>
        <v>63.75</v>
      </c>
      <c r="Y94" s="9">
        <f t="shared" si="29"/>
        <v>57.5</v>
      </c>
      <c r="Z94" s="9">
        <v>4</v>
      </c>
      <c r="AA94" s="9">
        <v>5.2</v>
      </c>
      <c r="AB94" s="9">
        <v>1.2</v>
      </c>
      <c r="AC94" s="9">
        <v>1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 t="s">
        <v>37</v>
      </c>
      <c r="AK94" s="9">
        <f t="shared" si="33"/>
        <v>1.5</v>
      </c>
      <c r="AL94" s="9">
        <f t="shared" si="34"/>
        <v>0</v>
      </c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x14ac:dyDescent="0.25">
      <c r="A95" s="9" t="s">
        <v>153</v>
      </c>
      <c r="B95" s="9" t="s">
        <v>39</v>
      </c>
      <c r="C95" s="9">
        <v>417</v>
      </c>
      <c r="D95" s="9">
        <v>282</v>
      </c>
      <c r="E95" s="9">
        <v>359</v>
      </c>
      <c r="F95" s="9">
        <v>293</v>
      </c>
      <c r="G95" s="6">
        <v>0.33</v>
      </c>
      <c r="H95" s="9">
        <v>30</v>
      </c>
      <c r="I95" s="9" t="s">
        <v>36</v>
      </c>
      <c r="J95" s="9"/>
      <c r="K95" s="9">
        <v>390</v>
      </c>
      <c r="L95" s="9">
        <f t="shared" si="26"/>
        <v>-31</v>
      </c>
      <c r="M95" s="9">
        <f t="shared" si="27"/>
        <v>299</v>
      </c>
      <c r="N95" s="9">
        <v>60</v>
      </c>
      <c r="O95" s="9">
        <v>35</v>
      </c>
      <c r="P95" s="9">
        <v>28</v>
      </c>
      <c r="Q95" s="9">
        <f t="shared" si="28"/>
        <v>59.8</v>
      </c>
      <c r="R95" s="4">
        <f t="shared" si="41"/>
        <v>541</v>
      </c>
      <c r="S95" s="4">
        <f t="shared" si="30"/>
        <v>541</v>
      </c>
      <c r="T95" s="4">
        <f t="shared" si="31"/>
        <v>243</v>
      </c>
      <c r="U95" s="4">
        <f t="shared" ref="U95:U96" si="42">ROUND(S95*$U$1,0)</f>
        <v>298</v>
      </c>
      <c r="V95" s="22"/>
      <c r="W95" s="22"/>
      <c r="X95" s="9">
        <f t="shared" si="32"/>
        <v>15</v>
      </c>
      <c r="Y95" s="9">
        <f t="shared" si="29"/>
        <v>5.9531772575250841</v>
      </c>
      <c r="Z95" s="9">
        <v>49.2</v>
      </c>
      <c r="AA95" s="9">
        <v>62.4</v>
      </c>
      <c r="AB95" s="9">
        <v>62.2</v>
      </c>
      <c r="AC95" s="9">
        <v>52.6</v>
      </c>
      <c r="AD95" s="9">
        <v>61.6</v>
      </c>
      <c r="AE95" s="9">
        <v>47.8</v>
      </c>
      <c r="AF95" s="9">
        <v>47.8</v>
      </c>
      <c r="AG95" s="9">
        <v>38</v>
      </c>
      <c r="AH95" s="9">
        <v>34.799999999999997</v>
      </c>
      <c r="AI95" s="9">
        <v>24.4</v>
      </c>
      <c r="AJ95" s="9"/>
      <c r="AK95" s="9">
        <f t="shared" si="33"/>
        <v>80.19</v>
      </c>
      <c r="AL95" s="9">
        <f t="shared" si="34"/>
        <v>98.34</v>
      </c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x14ac:dyDescent="0.25">
      <c r="A96" s="9" t="s">
        <v>154</v>
      </c>
      <c r="B96" s="9" t="s">
        <v>39</v>
      </c>
      <c r="C96" s="9">
        <v>492</v>
      </c>
      <c r="D96" s="9">
        <v>106</v>
      </c>
      <c r="E96" s="9">
        <v>399</v>
      </c>
      <c r="F96" s="9">
        <v>131</v>
      </c>
      <c r="G96" s="6">
        <v>0.15</v>
      </c>
      <c r="H96" s="9">
        <v>60</v>
      </c>
      <c r="I96" s="9" t="s">
        <v>36</v>
      </c>
      <c r="J96" s="9"/>
      <c r="K96" s="9">
        <v>440</v>
      </c>
      <c r="L96" s="9">
        <f t="shared" si="26"/>
        <v>-41</v>
      </c>
      <c r="M96" s="9">
        <f t="shared" si="27"/>
        <v>399</v>
      </c>
      <c r="N96" s="9"/>
      <c r="O96" s="9">
        <v>529</v>
      </c>
      <c r="P96" s="9">
        <v>432</v>
      </c>
      <c r="Q96" s="9">
        <f t="shared" si="28"/>
        <v>79.8</v>
      </c>
      <c r="R96" s="4">
        <f t="shared" si="41"/>
        <v>105</v>
      </c>
      <c r="S96" s="4">
        <f t="shared" si="30"/>
        <v>105</v>
      </c>
      <c r="T96" s="4">
        <f t="shared" si="31"/>
        <v>47</v>
      </c>
      <c r="U96" s="4">
        <f t="shared" si="42"/>
        <v>58</v>
      </c>
      <c r="V96" s="22"/>
      <c r="W96" s="22"/>
      <c r="X96" s="9">
        <f t="shared" si="32"/>
        <v>15</v>
      </c>
      <c r="Y96" s="9">
        <f t="shared" si="29"/>
        <v>13.684210526315789</v>
      </c>
      <c r="Z96" s="9">
        <v>102.2</v>
      </c>
      <c r="AA96" s="9">
        <v>24.8</v>
      </c>
      <c r="AB96" s="9">
        <v>38.4</v>
      </c>
      <c r="AC96" s="9">
        <v>34.4</v>
      </c>
      <c r="AD96" s="9">
        <v>48.4</v>
      </c>
      <c r="AE96" s="9">
        <v>24.8</v>
      </c>
      <c r="AF96" s="9">
        <v>23</v>
      </c>
      <c r="AG96" s="9">
        <v>9.8000000000000007</v>
      </c>
      <c r="AH96" s="9">
        <v>7.8</v>
      </c>
      <c r="AI96" s="9">
        <v>0</v>
      </c>
      <c r="AJ96" s="9"/>
      <c r="AK96" s="9">
        <f t="shared" si="33"/>
        <v>7.05</v>
      </c>
      <c r="AL96" s="9">
        <f t="shared" si="34"/>
        <v>8.6999999999999993</v>
      </c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x14ac:dyDescent="0.25">
      <c r="A97" s="8" t="s">
        <v>95</v>
      </c>
      <c r="B97" s="9" t="s">
        <v>39</v>
      </c>
      <c r="C97" s="9"/>
      <c r="D97" s="9">
        <v>520</v>
      </c>
      <c r="E97" s="15">
        <f>0+E48</f>
        <v>22</v>
      </c>
      <c r="F97" s="15">
        <f>520+F48</f>
        <v>521</v>
      </c>
      <c r="G97" s="6">
        <v>0.41</v>
      </c>
      <c r="H97" s="9">
        <v>45</v>
      </c>
      <c r="I97" s="8" t="s">
        <v>36</v>
      </c>
      <c r="J97" s="9"/>
      <c r="K97" s="9"/>
      <c r="L97" s="9">
        <f t="shared" si="26"/>
        <v>22</v>
      </c>
      <c r="M97" s="9">
        <f t="shared" si="27"/>
        <v>22</v>
      </c>
      <c r="N97" s="9"/>
      <c r="O97" s="16">
        <f>O48</f>
        <v>68</v>
      </c>
      <c r="P97" s="16">
        <f>P48</f>
        <v>56</v>
      </c>
      <c r="Q97" s="9">
        <f t="shared" si="28"/>
        <v>4.4000000000000004</v>
      </c>
      <c r="R97" s="4"/>
      <c r="S97" s="4">
        <f t="shared" si="30"/>
        <v>0</v>
      </c>
      <c r="T97" s="4">
        <f t="shared" si="31"/>
        <v>0</v>
      </c>
      <c r="U97" s="4"/>
      <c r="V97" s="22"/>
      <c r="W97" s="22"/>
      <c r="X97" s="9">
        <f t="shared" si="32"/>
        <v>146.59090909090907</v>
      </c>
      <c r="Y97" s="9">
        <f t="shared" si="29"/>
        <v>146.59090909090907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8" t="s">
        <v>155</v>
      </c>
      <c r="AK97" s="9">
        <f t="shared" si="33"/>
        <v>0</v>
      </c>
      <c r="AL97" s="9">
        <f t="shared" si="34"/>
        <v>0</v>
      </c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x14ac:dyDescent="0.25">
      <c r="A98" s="9" t="s">
        <v>156</v>
      </c>
      <c r="B98" s="9" t="s">
        <v>39</v>
      </c>
      <c r="C98" s="9">
        <v>54</v>
      </c>
      <c r="D98" s="9">
        <v>92</v>
      </c>
      <c r="E98" s="9">
        <v>108</v>
      </c>
      <c r="F98" s="9">
        <v>19</v>
      </c>
      <c r="G98" s="6">
        <v>0.26</v>
      </c>
      <c r="H98" s="9">
        <v>45</v>
      </c>
      <c r="I98" s="9" t="s">
        <v>36</v>
      </c>
      <c r="J98" s="9"/>
      <c r="K98" s="9">
        <v>146</v>
      </c>
      <c r="L98" s="9">
        <f t="shared" si="26"/>
        <v>-38</v>
      </c>
      <c r="M98" s="9">
        <f t="shared" si="27"/>
        <v>108</v>
      </c>
      <c r="N98" s="9"/>
      <c r="O98" s="9">
        <v>137</v>
      </c>
      <c r="P98" s="9">
        <v>113</v>
      </c>
      <c r="Q98" s="9">
        <f t="shared" si="28"/>
        <v>21.6</v>
      </c>
      <c r="R98" s="4">
        <f t="shared" si="41"/>
        <v>55</v>
      </c>
      <c r="S98" s="4">
        <v>90</v>
      </c>
      <c r="T98" s="4">
        <f t="shared" si="31"/>
        <v>90</v>
      </c>
      <c r="U98" s="4"/>
      <c r="V98" s="22">
        <v>90</v>
      </c>
      <c r="W98" s="22"/>
      <c r="X98" s="9">
        <f t="shared" si="32"/>
        <v>16.62037037037037</v>
      </c>
      <c r="Y98" s="9">
        <f t="shared" si="29"/>
        <v>12.453703703703702</v>
      </c>
      <c r="Z98" s="9">
        <v>28.8</v>
      </c>
      <c r="AA98" s="9">
        <v>4</v>
      </c>
      <c r="AB98" s="9">
        <v>20.399999999999999</v>
      </c>
      <c r="AC98" s="9">
        <v>8.6</v>
      </c>
      <c r="AD98" s="9">
        <v>0</v>
      </c>
      <c r="AE98" s="9">
        <v>10.199999999999999</v>
      </c>
      <c r="AF98" s="9">
        <v>8.6</v>
      </c>
      <c r="AG98" s="9">
        <v>4.2</v>
      </c>
      <c r="AH98" s="9">
        <v>0.6</v>
      </c>
      <c r="AI98" s="9">
        <v>0</v>
      </c>
      <c r="AJ98" s="9"/>
      <c r="AK98" s="9">
        <f t="shared" si="33"/>
        <v>23.400000000000002</v>
      </c>
      <c r="AL98" s="9">
        <f t="shared" si="34"/>
        <v>0</v>
      </c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x14ac:dyDescent="0.25">
      <c r="A99" s="9" t="s">
        <v>157</v>
      </c>
      <c r="B99" s="9" t="s">
        <v>35</v>
      </c>
      <c r="C99" s="9">
        <v>58.66</v>
      </c>
      <c r="D99" s="9">
        <v>109.795</v>
      </c>
      <c r="E99" s="9">
        <v>53.268000000000001</v>
      </c>
      <c r="F99" s="9">
        <v>103.431</v>
      </c>
      <c r="G99" s="6">
        <v>1</v>
      </c>
      <c r="H99" s="9">
        <v>30</v>
      </c>
      <c r="I99" s="9" t="s">
        <v>36</v>
      </c>
      <c r="J99" s="9"/>
      <c r="K99" s="9">
        <v>56.1</v>
      </c>
      <c r="L99" s="9">
        <f t="shared" si="26"/>
        <v>-2.8320000000000007</v>
      </c>
      <c r="M99" s="9">
        <f t="shared" si="27"/>
        <v>53.268000000000001</v>
      </c>
      <c r="N99" s="9"/>
      <c r="O99" s="9">
        <v>10</v>
      </c>
      <c r="P99" s="9"/>
      <c r="Q99" s="9">
        <f t="shared" si="28"/>
        <v>10.653600000000001</v>
      </c>
      <c r="R99" s="4">
        <f t="shared" si="41"/>
        <v>46.373000000000005</v>
      </c>
      <c r="S99" s="4">
        <v>70</v>
      </c>
      <c r="T99" s="4">
        <f t="shared" si="31"/>
        <v>70</v>
      </c>
      <c r="U99" s="4"/>
      <c r="V99" s="22">
        <v>70</v>
      </c>
      <c r="W99" s="22"/>
      <c r="X99" s="9">
        <f t="shared" si="32"/>
        <v>17.217747991289325</v>
      </c>
      <c r="Y99" s="9">
        <f t="shared" si="29"/>
        <v>10.647199068859351</v>
      </c>
      <c r="Z99" s="9">
        <v>7.9875999999999996</v>
      </c>
      <c r="AA99" s="9">
        <v>8.9558</v>
      </c>
      <c r="AB99" s="9">
        <v>11.618399999999999</v>
      </c>
      <c r="AC99" s="9">
        <v>2.3228</v>
      </c>
      <c r="AD99" s="9">
        <v>1.3393999999999999</v>
      </c>
      <c r="AE99" s="9">
        <v>1.6718</v>
      </c>
      <c r="AF99" s="9">
        <v>0</v>
      </c>
      <c r="AG99" s="9">
        <v>0</v>
      </c>
      <c r="AH99" s="9">
        <v>0</v>
      </c>
      <c r="AI99" s="9">
        <v>0</v>
      </c>
      <c r="AJ99" s="9" t="s">
        <v>37</v>
      </c>
      <c r="AK99" s="9">
        <f t="shared" si="33"/>
        <v>70</v>
      </c>
      <c r="AL99" s="9">
        <f t="shared" si="34"/>
        <v>0</v>
      </c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x14ac:dyDescent="0.25">
      <c r="A100" s="9" t="s">
        <v>158</v>
      </c>
      <c r="B100" s="9" t="s">
        <v>39</v>
      </c>
      <c r="C100" s="9">
        <v>51</v>
      </c>
      <c r="D100" s="9">
        <v>100</v>
      </c>
      <c r="E100" s="9">
        <v>94</v>
      </c>
      <c r="F100" s="9">
        <v>46</v>
      </c>
      <c r="G100" s="6">
        <v>0.31</v>
      </c>
      <c r="H100" s="9">
        <v>45</v>
      </c>
      <c r="I100" s="9" t="s">
        <v>36</v>
      </c>
      <c r="J100" s="9"/>
      <c r="K100" s="9">
        <v>106</v>
      </c>
      <c r="L100" s="9">
        <f t="shared" si="26"/>
        <v>-12</v>
      </c>
      <c r="M100" s="9">
        <f t="shared" si="27"/>
        <v>94</v>
      </c>
      <c r="N100" s="9"/>
      <c r="O100" s="9">
        <v>99</v>
      </c>
      <c r="P100" s="9">
        <v>81</v>
      </c>
      <c r="Q100" s="9">
        <f t="shared" si="28"/>
        <v>18.8</v>
      </c>
      <c r="R100" s="4">
        <f t="shared" si="41"/>
        <v>56</v>
      </c>
      <c r="S100" s="4">
        <v>90</v>
      </c>
      <c r="T100" s="4">
        <f t="shared" si="31"/>
        <v>90</v>
      </c>
      <c r="U100" s="4"/>
      <c r="V100" s="22">
        <v>90</v>
      </c>
      <c r="W100" s="22"/>
      <c r="X100" s="9">
        <f t="shared" si="32"/>
        <v>16.808510638297872</v>
      </c>
      <c r="Y100" s="9">
        <f t="shared" si="29"/>
        <v>12.021276595744681</v>
      </c>
      <c r="Z100" s="9">
        <v>18.600000000000001</v>
      </c>
      <c r="AA100" s="9">
        <v>10.4</v>
      </c>
      <c r="AB100" s="9">
        <v>15.6</v>
      </c>
      <c r="AC100" s="9">
        <v>6.6</v>
      </c>
      <c r="AD100" s="9">
        <v>19.2</v>
      </c>
      <c r="AE100" s="9">
        <v>5</v>
      </c>
      <c r="AF100" s="9">
        <v>7.6</v>
      </c>
      <c r="AG100" s="9">
        <v>4.4000000000000004</v>
      </c>
      <c r="AH100" s="9">
        <v>0.2</v>
      </c>
      <c r="AI100" s="9">
        <v>0</v>
      </c>
      <c r="AJ100" s="9"/>
      <c r="AK100" s="9">
        <f t="shared" si="33"/>
        <v>27.9</v>
      </c>
      <c r="AL100" s="9">
        <f t="shared" si="34"/>
        <v>0</v>
      </c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x14ac:dyDescent="0.25">
      <c r="A101" s="9" t="s">
        <v>159</v>
      </c>
      <c r="B101" s="9" t="s">
        <v>35</v>
      </c>
      <c r="C101" s="9">
        <v>-1.3759999999999999</v>
      </c>
      <c r="D101" s="9">
        <v>33.962000000000003</v>
      </c>
      <c r="E101" s="9">
        <v>5.5220000000000002</v>
      </c>
      <c r="F101" s="9">
        <v>25.166</v>
      </c>
      <c r="G101" s="6">
        <v>1</v>
      </c>
      <c r="H101" s="9">
        <v>30</v>
      </c>
      <c r="I101" s="9" t="s">
        <v>36</v>
      </c>
      <c r="J101" s="9"/>
      <c r="K101" s="9">
        <v>10.5</v>
      </c>
      <c r="L101" s="9">
        <f t="shared" si="26"/>
        <v>-4.9779999999999998</v>
      </c>
      <c r="M101" s="9">
        <f t="shared" si="27"/>
        <v>5.5220000000000002</v>
      </c>
      <c r="N101" s="9"/>
      <c r="O101" s="9">
        <v>10</v>
      </c>
      <c r="P101" s="9"/>
      <c r="Q101" s="9">
        <f t="shared" si="28"/>
        <v>1.1044</v>
      </c>
      <c r="R101" s="4"/>
      <c r="S101" s="4">
        <f t="shared" si="30"/>
        <v>0</v>
      </c>
      <c r="T101" s="4">
        <f t="shared" si="31"/>
        <v>0</v>
      </c>
      <c r="U101" s="4"/>
      <c r="V101" s="22"/>
      <c r="W101" s="22"/>
      <c r="X101" s="9">
        <f t="shared" si="32"/>
        <v>31.84172401303875</v>
      </c>
      <c r="Y101" s="9">
        <f t="shared" si="29"/>
        <v>31.84172401303875</v>
      </c>
      <c r="Z101" s="9">
        <v>1.0346</v>
      </c>
      <c r="AA101" s="9">
        <v>2.5236000000000001</v>
      </c>
      <c r="AB101" s="9">
        <v>1.3340000000000001</v>
      </c>
      <c r="AC101" s="9">
        <v>1.0446</v>
      </c>
      <c r="AD101" s="9">
        <v>0</v>
      </c>
      <c r="AE101" s="9">
        <v>1.6912</v>
      </c>
      <c r="AF101" s="9">
        <v>0</v>
      </c>
      <c r="AG101" s="9">
        <v>0</v>
      </c>
      <c r="AH101" s="9">
        <v>0</v>
      </c>
      <c r="AI101" s="9">
        <v>0</v>
      </c>
      <c r="AJ101" s="9" t="s">
        <v>37</v>
      </c>
      <c r="AK101" s="9">
        <f t="shared" si="33"/>
        <v>0</v>
      </c>
      <c r="AL101" s="9">
        <f t="shared" si="34"/>
        <v>0</v>
      </c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x14ac:dyDescent="0.25">
      <c r="A102" s="9" t="s">
        <v>160</v>
      </c>
      <c r="B102" s="9" t="s">
        <v>39</v>
      </c>
      <c r="C102" s="9">
        <v>211</v>
      </c>
      <c r="D102" s="9">
        <v>144</v>
      </c>
      <c r="E102" s="9">
        <v>169</v>
      </c>
      <c r="F102" s="9">
        <v>160</v>
      </c>
      <c r="G102" s="6">
        <v>0.4</v>
      </c>
      <c r="H102" s="9">
        <v>60</v>
      </c>
      <c r="I102" s="9" t="s">
        <v>36</v>
      </c>
      <c r="J102" s="9"/>
      <c r="K102" s="9">
        <v>193</v>
      </c>
      <c r="L102" s="9">
        <f t="shared" ref="L102:L116" si="43">E102-K102</f>
        <v>-24</v>
      </c>
      <c r="M102" s="9">
        <f t="shared" ref="M102:M116" si="44">E102-N102</f>
        <v>133</v>
      </c>
      <c r="N102" s="9">
        <v>36</v>
      </c>
      <c r="O102" s="9">
        <v>98</v>
      </c>
      <c r="P102" s="9">
        <v>80</v>
      </c>
      <c r="Q102" s="9">
        <f t="shared" ref="Q102:Q116" si="45">M102/5</f>
        <v>26.6</v>
      </c>
      <c r="R102" s="4">
        <f t="shared" si="41"/>
        <v>61</v>
      </c>
      <c r="S102" s="4">
        <f t="shared" si="30"/>
        <v>61</v>
      </c>
      <c r="T102" s="4">
        <f t="shared" si="31"/>
        <v>61</v>
      </c>
      <c r="U102" s="4"/>
      <c r="V102" s="22"/>
      <c r="W102" s="22"/>
      <c r="X102" s="9">
        <f t="shared" si="32"/>
        <v>15</v>
      </c>
      <c r="Y102" s="9">
        <f t="shared" ref="Y102:Y116" si="46">(F102+O102+P102)/Q102</f>
        <v>12.706766917293232</v>
      </c>
      <c r="Z102" s="9">
        <v>32.4</v>
      </c>
      <c r="AA102" s="9">
        <v>31.2</v>
      </c>
      <c r="AB102" s="9">
        <v>36.4</v>
      </c>
      <c r="AC102" s="9">
        <v>37.6</v>
      </c>
      <c r="AD102" s="9">
        <v>33.4</v>
      </c>
      <c r="AE102" s="9">
        <v>26.8</v>
      </c>
      <c r="AF102" s="9">
        <v>42.8</v>
      </c>
      <c r="AG102" s="9">
        <v>21.6</v>
      </c>
      <c r="AH102" s="9">
        <v>25.6</v>
      </c>
      <c r="AI102" s="9">
        <v>34.799999999999997</v>
      </c>
      <c r="AJ102" s="9"/>
      <c r="AK102" s="9">
        <f t="shared" si="33"/>
        <v>24.400000000000002</v>
      </c>
      <c r="AL102" s="9">
        <f t="shared" si="34"/>
        <v>0</v>
      </c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x14ac:dyDescent="0.25">
      <c r="A103" s="9" t="s">
        <v>161</v>
      </c>
      <c r="B103" s="9" t="s">
        <v>39</v>
      </c>
      <c r="C103" s="9">
        <v>83</v>
      </c>
      <c r="D103" s="9">
        <v>42</v>
      </c>
      <c r="E103" s="9">
        <v>98</v>
      </c>
      <c r="F103" s="9"/>
      <c r="G103" s="6">
        <v>0.35</v>
      </c>
      <c r="H103" s="9">
        <v>60</v>
      </c>
      <c r="I103" s="9" t="s">
        <v>36</v>
      </c>
      <c r="J103" s="9"/>
      <c r="K103" s="9">
        <v>327</v>
      </c>
      <c r="L103" s="9">
        <f t="shared" si="43"/>
        <v>-229</v>
      </c>
      <c r="M103" s="9">
        <f t="shared" si="44"/>
        <v>98</v>
      </c>
      <c r="N103" s="9"/>
      <c r="O103" s="9">
        <v>225</v>
      </c>
      <c r="P103" s="9">
        <v>185</v>
      </c>
      <c r="Q103" s="9">
        <f t="shared" si="45"/>
        <v>19.600000000000001</v>
      </c>
      <c r="R103" s="4">
        <v>250</v>
      </c>
      <c r="S103" s="4">
        <f t="shared" si="30"/>
        <v>250</v>
      </c>
      <c r="T103" s="4">
        <f t="shared" si="31"/>
        <v>112</v>
      </c>
      <c r="U103" s="4">
        <f>ROUND(S103*$U$1,0)</f>
        <v>138</v>
      </c>
      <c r="V103" s="22"/>
      <c r="W103" s="22"/>
      <c r="X103" s="9">
        <f t="shared" si="32"/>
        <v>33.673469387755098</v>
      </c>
      <c r="Y103" s="9">
        <f t="shared" si="46"/>
        <v>20.918367346938773</v>
      </c>
      <c r="Z103" s="9">
        <v>41.6</v>
      </c>
      <c r="AA103" s="9">
        <v>15.8</v>
      </c>
      <c r="AB103" s="9">
        <v>34</v>
      </c>
      <c r="AC103" s="9">
        <v>11.6</v>
      </c>
      <c r="AD103" s="9">
        <v>36</v>
      </c>
      <c r="AE103" s="9">
        <v>14</v>
      </c>
      <c r="AF103" s="9">
        <v>26</v>
      </c>
      <c r="AG103" s="9">
        <v>4.8</v>
      </c>
      <c r="AH103" s="9">
        <v>16.2</v>
      </c>
      <c r="AI103" s="9">
        <v>6.2</v>
      </c>
      <c r="AJ103" s="9"/>
      <c r="AK103" s="9">
        <f t="shared" si="33"/>
        <v>39.199999999999996</v>
      </c>
      <c r="AL103" s="9">
        <f t="shared" si="34"/>
        <v>48.3</v>
      </c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x14ac:dyDescent="0.25">
      <c r="A104" s="9" t="s">
        <v>162</v>
      </c>
      <c r="B104" s="9" t="s">
        <v>35</v>
      </c>
      <c r="C104" s="9">
        <v>118.313</v>
      </c>
      <c r="D104" s="9">
        <v>12.555</v>
      </c>
      <c r="E104" s="9">
        <v>13.999000000000001</v>
      </c>
      <c r="F104" s="9">
        <v>59.713999999999999</v>
      </c>
      <c r="G104" s="6">
        <v>1</v>
      </c>
      <c r="H104" s="9">
        <v>45</v>
      </c>
      <c r="I104" s="9" t="s">
        <v>36</v>
      </c>
      <c r="J104" s="9"/>
      <c r="K104" s="9">
        <v>16.64</v>
      </c>
      <c r="L104" s="9">
        <f t="shared" si="43"/>
        <v>-2.641</v>
      </c>
      <c r="M104" s="9">
        <f t="shared" si="44"/>
        <v>13.999000000000001</v>
      </c>
      <c r="N104" s="9"/>
      <c r="O104" s="9">
        <v>0</v>
      </c>
      <c r="P104" s="9"/>
      <c r="Q104" s="9">
        <f t="shared" si="45"/>
        <v>2.7998000000000003</v>
      </c>
      <c r="R104" s="4"/>
      <c r="S104" s="4">
        <f t="shared" si="30"/>
        <v>0</v>
      </c>
      <c r="T104" s="4">
        <f t="shared" si="31"/>
        <v>0</v>
      </c>
      <c r="U104" s="4"/>
      <c r="V104" s="22"/>
      <c r="W104" s="22"/>
      <c r="X104" s="9">
        <f t="shared" si="32"/>
        <v>21.32795199657118</v>
      </c>
      <c r="Y104" s="9">
        <f t="shared" si="46"/>
        <v>21.32795199657118</v>
      </c>
      <c r="Z104" s="9">
        <v>3.1848000000000001</v>
      </c>
      <c r="AA104" s="9">
        <v>2.8412000000000002</v>
      </c>
      <c r="AB104" s="9">
        <v>4.7244000000000002</v>
      </c>
      <c r="AC104" s="9">
        <v>5.7584</v>
      </c>
      <c r="AD104" s="9">
        <v>14.257199999999999</v>
      </c>
      <c r="AE104" s="9">
        <v>6.1836000000000002</v>
      </c>
      <c r="AF104" s="9">
        <v>25.6722</v>
      </c>
      <c r="AG104" s="9">
        <v>0</v>
      </c>
      <c r="AH104" s="9">
        <v>1.7081999999999999</v>
      </c>
      <c r="AI104" s="9">
        <v>0</v>
      </c>
      <c r="AJ104" s="17" t="s">
        <v>181</v>
      </c>
      <c r="AK104" s="9">
        <f t="shared" si="33"/>
        <v>0</v>
      </c>
      <c r="AL104" s="9">
        <f t="shared" si="34"/>
        <v>0</v>
      </c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x14ac:dyDescent="0.25">
      <c r="A105" s="9" t="s">
        <v>163</v>
      </c>
      <c r="B105" s="9" t="s">
        <v>35</v>
      </c>
      <c r="C105" s="9">
        <v>22.702000000000002</v>
      </c>
      <c r="D105" s="9">
        <v>10.199999999999999</v>
      </c>
      <c r="E105" s="9">
        <v>5.0030000000000001</v>
      </c>
      <c r="F105" s="9">
        <v>25.321000000000002</v>
      </c>
      <c r="G105" s="6">
        <v>1</v>
      </c>
      <c r="H105" s="9">
        <v>45</v>
      </c>
      <c r="I105" s="9" t="s">
        <v>36</v>
      </c>
      <c r="J105" s="9"/>
      <c r="K105" s="9">
        <v>5.5</v>
      </c>
      <c r="L105" s="9">
        <f t="shared" si="43"/>
        <v>-0.49699999999999989</v>
      </c>
      <c r="M105" s="9">
        <f t="shared" si="44"/>
        <v>5.0030000000000001</v>
      </c>
      <c r="N105" s="9"/>
      <c r="O105" s="9">
        <v>0</v>
      </c>
      <c r="P105" s="9"/>
      <c r="Q105" s="9">
        <f t="shared" si="45"/>
        <v>1.0005999999999999</v>
      </c>
      <c r="R105" s="4"/>
      <c r="S105" s="4">
        <f t="shared" si="30"/>
        <v>0</v>
      </c>
      <c r="T105" s="4">
        <f t="shared" si="31"/>
        <v>0</v>
      </c>
      <c r="U105" s="4"/>
      <c r="V105" s="22"/>
      <c r="W105" s="22"/>
      <c r="X105" s="9">
        <f t="shared" si="32"/>
        <v>25.305816510093948</v>
      </c>
      <c r="Y105" s="9">
        <f t="shared" si="46"/>
        <v>25.305816510093948</v>
      </c>
      <c r="Z105" s="9">
        <v>0.501</v>
      </c>
      <c r="AA105" s="9">
        <v>2.0228000000000002</v>
      </c>
      <c r="AB105" s="9">
        <v>3.5516000000000001</v>
      </c>
      <c r="AC105" s="9">
        <v>1.68</v>
      </c>
      <c r="AD105" s="9">
        <v>2.3593999999999999</v>
      </c>
      <c r="AE105" s="9">
        <v>1.8568</v>
      </c>
      <c r="AF105" s="9">
        <v>3.0244</v>
      </c>
      <c r="AG105" s="9">
        <v>3.8746</v>
      </c>
      <c r="AH105" s="9">
        <v>1.1996</v>
      </c>
      <c r="AI105" s="9">
        <v>3.2330000000000001</v>
      </c>
      <c r="AJ105" s="14" t="s">
        <v>59</v>
      </c>
      <c r="AK105" s="9">
        <f t="shared" si="33"/>
        <v>0</v>
      </c>
      <c r="AL105" s="9">
        <f t="shared" si="34"/>
        <v>0</v>
      </c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x14ac:dyDescent="0.25">
      <c r="A106" s="9" t="s">
        <v>164</v>
      </c>
      <c r="B106" s="9" t="s">
        <v>39</v>
      </c>
      <c r="C106" s="9">
        <v>112</v>
      </c>
      <c r="D106" s="9">
        <v>211</v>
      </c>
      <c r="E106" s="9">
        <v>163</v>
      </c>
      <c r="F106" s="9">
        <v>152</v>
      </c>
      <c r="G106" s="6">
        <v>0.33</v>
      </c>
      <c r="H106" s="9">
        <v>45</v>
      </c>
      <c r="I106" s="9" t="s">
        <v>36</v>
      </c>
      <c r="J106" s="9"/>
      <c r="K106" s="9">
        <v>172</v>
      </c>
      <c r="L106" s="9">
        <f t="shared" si="43"/>
        <v>-9</v>
      </c>
      <c r="M106" s="9">
        <f t="shared" si="44"/>
        <v>83</v>
      </c>
      <c r="N106" s="9">
        <v>80</v>
      </c>
      <c r="O106" s="9">
        <v>82</v>
      </c>
      <c r="P106" s="9">
        <v>68</v>
      </c>
      <c r="Q106" s="9">
        <f t="shared" si="45"/>
        <v>16.600000000000001</v>
      </c>
      <c r="R106" s="4"/>
      <c r="S106" s="4">
        <v>20</v>
      </c>
      <c r="T106" s="4">
        <f t="shared" si="31"/>
        <v>20</v>
      </c>
      <c r="U106" s="4"/>
      <c r="V106" s="22">
        <v>40</v>
      </c>
      <c r="W106" s="22"/>
      <c r="X106" s="9">
        <f t="shared" si="32"/>
        <v>19.397590361445783</v>
      </c>
      <c r="Y106" s="9">
        <f t="shared" si="46"/>
        <v>18.192771084337348</v>
      </c>
      <c r="Z106" s="9">
        <v>25.4</v>
      </c>
      <c r="AA106" s="9">
        <v>25.2</v>
      </c>
      <c r="AB106" s="9">
        <v>25</v>
      </c>
      <c r="AC106" s="9">
        <v>36.200000000000003</v>
      </c>
      <c r="AD106" s="9">
        <v>22.4</v>
      </c>
      <c r="AE106" s="9">
        <v>21.6</v>
      </c>
      <c r="AF106" s="9">
        <v>22.6</v>
      </c>
      <c r="AG106" s="9">
        <v>15.6</v>
      </c>
      <c r="AH106" s="9">
        <v>12.8</v>
      </c>
      <c r="AI106" s="9">
        <v>28.4</v>
      </c>
      <c r="AJ106" s="9"/>
      <c r="AK106" s="9">
        <f t="shared" si="33"/>
        <v>6.6000000000000005</v>
      </c>
      <c r="AL106" s="9">
        <f t="shared" si="34"/>
        <v>0</v>
      </c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x14ac:dyDescent="0.25">
      <c r="A107" s="10" t="s">
        <v>165</v>
      </c>
      <c r="B107" s="10" t="s">
        <v>39</v>
      </c>
      <c r="C107" s="10">
        <v>-2</v>
      </c>
      <c r="D107" s="10">
        <v>30</v>
      </c>
      <c r="E107" s="10">
        <v>30</v>
      </c>
      <c r="F107" s="10">
        <v>-2</v>
      </c>
      <c r="G107" s="11">
        <v>0</v>
      </c>
      <c r="H107" s="10">
        <v>60</v>
      </c>
      <c r="I107" s="10" t="s">
        <v>75</v>
      </c>
      <c r="J107" s="10"/>
      <c r="K107" s="10">
        <v>39</v>
      </c>
      <c r="L107" s="10">
        <f t="shared" si="43"/>
        <v>-9</v>
      </c>
      <c r="M107" s="10">
        <f t="shared" si="44"/>
        <v>0</v>
      </c>
      <c r="N107" s="10">
        <v>30</v>
      </c>
      <c r="O107" s="10">
        <v>0</v>
      </c>
      <c r="P107" s="10"/>
      <c r="Q107" s="10">
        <f t="shared" si="45"/>
        <v>0</v>
      </c>
      <c r="R107" s="13"/>
      <c r="S107" s="4">
        <f t="shared" si="30"/>
        <v>0</v>
      </c>
      <c r="T107" s="4">
        <f t="shared" si="31"/>
        <v>0</v>
      </c>
      <c r="U107" s="4"/>
      <c r="V107" s="23"/>
      <c r="W107" s="22"/>
      <c r="X107" s="9" t="e">
        <f t="shared" si="32"/>
        <v>#DIV/0!</v>
      </c>
      <c r="Y107" s="10" t="e">
        <f t="shared" si="46"/>
        <v>#DIV/0!</v>
      </c>
      <c r="Z107" s="10">
        <v>-0.2</v>
      </c>
      <c r="AA107" s="10">
        <v>0.2</v>
      </c>
      <c r="AB107" s="10">
        <v>0.2</v>
      </c>
      <c r="AC107" s="10">
        <v>1.8</v>
      </c>
      <c r="AD107" s="10">
        <v>9.8000000000000007</v>
      </c>
      <c r="AE107" s="10">
        <v>11.2</v>
      </c>
      <c r="AF107" s="10">
        <v>8.1999999999999993</v>
      </c>
      <c r="AG107" s="10">
        <v>2.4</v>
      </c>
      <c r="AH107" s="10">
        <v>3.6</v>
      </c>
      <c r="AI107" s="10">
        <v>7</v>
      </c>
      <c r="AJ107" s="10"/>
      <c r="AK107" s="9">
        <f t="shared" si="33"/>
        <v>0</v>
      </c>
      <c r="AL107" s="9">
        <f t="shared" si="34"/>
        <v>0</v>
      </c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x14ac:dyDescent="0.25">
      <c r="A108" s="9" t="s">
        <v>166</v>
      </c>
      <c r="B108" s="9" t="s">
        <v>39</v>
      </c>
      <c r="C108" s="9">
        <v>1</v>
      </c>
      <c r="D108" s="9">
        <v>252</v>
      </c>
      <c r="E108" s="9">
        <v>161</v>
      </c>
      <c r="F108" s="9">
        <v>75</v>
      </c>
      <c r="G108" s="6">
        <v>0.1</v>
      </c>
      <c r="H108" s="9">
        <v>60</v>
      </c>
      <c r="I108" s="9" t="s">
        <v>36</v>
      </c>
      <c r="J108" s="9"/>
      <c r="K108" s="9">
        <v>228</v>
      </c>
      <c r="L108" s="9">
        <f t="shared" si="43"/>
        <v>-67</v>
      </c>
      <c r="M108" s="9">
        <f t="shared" si="44"/>
        <v>131</v>
      </c>
      <c r="N108" s="9">
        <v>30</v>
      </c>
      <c r="O108" s="9">
        <v>178</v>
      </c>
      <c r="P108" s="9">
        <v>146</v>
      </c>
      <c r="Q108" s="9">
        <f t="shared" si="45"/>
        <v>26.2</v>
      </c>
      <c r="R108" s="4"/>
      <c r="S108" s="4">
        <v>40</v>
      </c>
      <c r="T108" s="4">
        <f t="shared" si="31"/>
        <v>40</v>
      </c>
      <c r="U108" s="4"/>
      <c r="V108" s="22">
        <v>40</v>
      </c>
      <c r="W108" s="22"/>
      <c r="X108" s="9">
        <f t="shared" si="32"/>
        <v>16.755725190839694</v>
      </c>
      <c r="Y108" s="9">
        <f t="shared" si="46"/>
        <v>15.229007633587786</v>
      </c>
      <c r="Z108" s="9">
        <v>37</v>
      </c>
      <c r="AA108" s="9">
        <v>38.799999999999997</v>
      </c>
      <c r="AB108" s="9">
        <v>48</v>
      </c>
      <c r="AC108" s="9">
        <v>26.4</v>
      </c>
      <c r="AD108" s="9">
        <v>37.799999999999997</v>
      </c>
      <c r="AE108" s="9">
        <v>40.4</v>
      </c>
      <c r="AF108" s="9">
        <v>25.2</v>
      </c>
      <c r="AG108" s="9">
        <v>31</v>
      </c>
      <c r="AH108" s="9">
        <v>42.2</v>
      </c>
      <c r="AI108" s="9">
        <v>1.8</v>
      </c>
      <c r="AJ108" s="9"/>
      <c r="AK108" s="9">
        <f t="shared" si="33"/>
        <v>4</v>
      </c>
      <c r="AL108" s="9">
        <f t="shared" si="34"/>
        <v>0</v>
      </c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x14ac:dyDescent="0.25">
      <c r="A109" s="9" t="s">
        <v>167</v>
      </c>
      <c r="B109" s="9" t="s">
        <v>39</v>
      </c>
      <c r="C109" s="9">
        <v>331</v>
      </c>
      <c r="D109" s="9">
        <v>458</v>
      </c>
      <c r="E109" s="9">
        <v>298</v>
      </c>
      <c r="F109" s="9">
        <v>471</v>
      </c>
      <c r="G109" s="6">
        <v>0.1</v>
      </c>
      <c r="H109" s="9">
        <v>60</v>
      </c>
      <c r="I109" s="9" t="s">
        <v>36</v>
      </c>
      <c r="J109" s="9"/>
      <c r="K109" s="9">
        <v>321</v>
      </c>
      <c r="L109" s="9">
        <f t="shared" si="43"/>
        <v>-23</v>
      </c>
      <c r="M109" s="9">
        <f t="shared" si="44"/>
        <v>278</v>
      </c>
      <c r="N109" s="9">
        <v>20</v>
      </c>
      <c r="O109" s="9">
        <v>58</v>
      </c>
      <c r="P109" s="9">
        <v>48</v>
      </c>
      <c r="Q109" s="9">
        <f t="shared" si="45"/>
        <v>55.6</v>
      </c>
      <c r="R109" s="4">
        <f t="shared" ref="R109:R110" si="47">15*Q109-P109-O109-F109</f>
        <v>257</v>
      </c>
      <c r="S109" s="4">
        <v>290</v>
      </c>
      <c r="T109" s="4">
        <f t="shared" si="31"/>
        <v>130</v>
      </c>
      <c r="U109" s="4">
        <f>ROUND(S109*$U$1,0)</f>
        <v>160</v>
      </c>
      <c r="V109" s="22">
        <v>290</v>
      </c>
      <c r="W109" s="22"/>
      <c r="X109" s="9">
        <f t="shared" si="32"/>
        <v>15.593525179856115</v>
      </c>
      <c r="Y109" s="9">
        <f t="shared" si="46"/>
        <v>10.377697841726619</v>
      </c>
      <c r="Z109" s="9">
        <v>58</v>
      </c>
      <c r="AA109" s="9">
        <v>70</v>
      </c>
      <c r="AB109" s="9">
        <v>62.8</v>
      </c>
      <c r="AC109" s="9">
        <v>64.2</v>
      </c>
      <c r="AD109" s="9">
        <v>65.2</v>
      </c>
      <c r="AE109" s="9">
        <v>67.400000000000006</v>
      </c>
      <c r="AF109" s="9">
        <v>41.6</v>
      </c>
      <c r="AG109" s="9">
        <v>65.400000000000006</v>
      </c>
      <c r="AH109" s="9">
        <v>15</v>
      </c>
      <c r="AI109" s="9">
        <v>98</v>
      </c>
      <c r="AJ109" s="9" t="s">
        <v>168</v>
      </c>
      <c r="AK109" s="9">
        <f t="shared" si="33"/>
        <v>13</v>
      </c>
      <c r="AL109" s="9">
        <f t="shared" si="34"/>
        <v>16</v>
      </c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x14ac:dyDescent="0.25">
      <c r="A110" s="9" t="s">
        <v>169</v>
      </c>
      <c r="B110" s="9" t="s">
        <v>39</v>
      </c>
      <c r="C110" s="9">
        <v>692</v>
      </c>
      <c r="D110" s="9">
        <v>20</v>
      </c>
      <c r="E110" s="9">
        <v>384</v>
      </c>
      <c r="F110" s="9">
        <v>274</v>
      </c>
      <c r="G110" s="6">
        <v>0.4</v>
      </c>
      <c r="H110" s="9">
        <v>60</v>
      </c>
      <c r="I110" s="9" t="s">
        <v>36</v>
      </c>
      <c r="J110" s="9"/>
      <c r="K110" s="9">
        <v>409</v>
      </c>
      <c r="L110" s="9">
        <f t="shared" si="43"/>
        <v>-25</v>
      </c>
      <c r="M110" s="9">
        <f t="shared" si="44"/>
        <v>384</v>
      </c>
      <c r="N110" s="9"/>
      <c r="O110" s="9">
        <v>478</v>
      </c>
      <c r="P110" s="9">
        <v>391</v>
      </c>
      <c r="Q110" s="9">
        <f t="shared" si="45"/>
        <v>76.8</v>
      </c>
      <c r="R110" s="4">
        <f t="shared" si="47"/>
        <v>9</v>
      </c>
      <c r="S110" s="4">
        <v>70</v>
      </c>
      <c r="T110" s="4">
        <f t="shared" si="31"/>
        <v>70</v>
      </c>
      <c r="U110" s="4"/>
      <c r="V110" s="22">
        <v>70</v>
      </c>
      <c r="W110" s="22" t="str">
        <f>VLOOKUP(A110,[1]Sheet!$A:$S,19,0)</f>
        <v>70 под опт</v>
      </c>
      <c r="X110" s="9">
        <f t="shared" si="32"/>
        <v>15.794270833333334</v>
      </c>
      <c r="Y110" s="9">
        <f t="shared" si="46"/>
        <v>14.8828125</v>
      </c>
      <c r="Z110" s="9">
        <v>104</v>
      </c>
      <c r="AA110" s="9">
        <v>74.400000000000006</v>
      </c>
      <c r="AB110" s="9">
        <v>103.6</v>
      </c>
      <c r="AC110" s="9">
        <v>101.2</v>
      </c>
      <c r="AD110" s="9">
        <v>101.6</v>
      </c>
      <c r="AE110" s="9">
        <v>89</v>
      </c>
      <c r="AF110" s="9">
        <v>93.8</v>
      </c>
      <c r="AG110" s="9">
        <v>83.8</v>
      </c>
      <c r="AH110" s="9">
        <v>66.2</v>
      </c>
      <c r="AI110" s="9">
        <v>80.599999999999994</v>
      </c>
      <c r="AJ110" s="9" t="s">
        <v>170</v>
      </c>
      <c r="AK110" s="9">
        <f t="shared" si="33"/>
        <v>28</v>
      </c>
      <c r="AL110" s="9">
        <f t="shared" si="34"/>
        <v>0</v>
      </c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x14ac:dyDescent="0.25">
      <c r="A111" s="10" t="s">
        <v>171</v>
      </c>
      <c r="B111" s="10" t="s">
        <v>39</v>
      </c>
      <c r="C111" s="10"/>
      <c r="D111" s="10"/>
      <c r="E111" s="15">
        <v>3</v>
      </c>
      <c r="F111" s="15">
        <v>-5</v>
      </c>
      <c r="G111" s="11">
        <v>0</v>
      </c>
      <c r="H111" s="10"/>
      <c r="I111" s="12" t="s">
        <v>75</v>
      </c>
      <c r="J111" s="12" t="s">
        <v>172</v>
      </c>
      <c r="K111" s="10">
        <v>25</v>
      </c>
      <c r="L111" s="10">
        <f t="shared" si="43"/>
        <v>-22</v>
      </c>
      <c r="M111" s="10">
        <f t="shared" si="44"/>
        <v>3</v>
      </c>
      <c r="N111" s="10"/>
      <c r="O111" s="16">
        <v>50</v>
      </c>
      <c r="P111" s="10"/>
      <c r="Q111" s="10">
        <f t="shared" si="45"/>
        <v>0.6</v>
      </c>
      <c r="R111" s="13"/>
      <c r="S111" s="4">
        <f t="shared" si="30"/>
        <v>0</v>
      </c>
      <c r="T111" s="4">
        <f t="shared" si="31"/>
        <v>0</v>
      </c>
      <c r="U111" s="4"/>
      <c r="V111" s="23"/>
      <c r="W111" s="22"/>
      <c r="X111" s="9">
        <f t="shared" si="32"/>
        <v>75</v>
      </c>
      <c r="Y111" s="10">
        <f t="shared" si="46"/>
        <v>75</v>
      </c>
      <c r="Z111" s="10">
        <v>-0.4</v>
      </c>
      <c r="AA111" s="10">
        <v>-0.8</v>
      </c>
      <c r="AB111" s="10">
        <v>-1.6</v>
      </c>
      <c r="AC111" s="10">
        <v>0.4</v>
      </c>
      <c r="AD111" s="10">
        <v>4.8</v>
      </c>
      <c r="AE111" s="10">
        <v>7.8</v>
      </c>
      <c r="AF111" s="10">
        <v>11.4</v>
      </c>
      <c r="AG111" s="10">
        <v>8.8000000000000007</v>
      </c>
      <c r="AH111" s="10">
        <v>0</v>
      </c>
      <c r="AI111" s="10">
        <v>0</v>
      </c>
      <c r="AJ111" s="12" t="s">
        <v>173</v>
      </c>
      <c r="AK111" s="9">
        <f t="shared" si="33"/>
        <v>0</v>
      </c>
      <c r="AL111" s="9">
        <f t="shared" si="34"/>
        <v>0</v>
      </c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x14ac:dyDescent="0.25">
      <c r="A112" s="9" t="s">
        <v>174</v>
      </c>
      <c r="B112" s="9" t="s">
        <v>39</v>
      </c>
      <c r="C112" s="9">
        <v>5</v>
      </c>
      <c r="D112" s="9">
        <v>107</v>
      </c>
      <c r="E112" s="9">
        <v>8</v>
      </c>
      <c r="F112" s="9">
        <v>100</v>
      </c>
      <c r="G112" s="6">
        <v>0.3</v>
      </c>
      <c r="H112" s="9">
        <v>45</v>
      </c>
      <c r="I112" s="9" t="s">
        <v>36</v>
      </c>
      <c r="J112" s="9"/>
      <c r="K112" s="9">
        <v>19</v>
      </c>
      <c r="L112" s="9">
        <f t="shared" si="43"/>
        <v>-11</v>
      </c>
      <c r="M112" s="9">
        <f t="shared" si="44"/>
        <v>8</v>
      </c>
      <c r="N112" s="9"/>
      <c r="O112" s="9">
        <v>20</v>
      </c>
      <c r="P112" s="9"/>
      <c r="Q112" s="9">
        <f t="shared" si="45"/>
        <v>1.6</v>
      </c>
      <c r="R112" s="4"/>
      <c r="S112" s="4">
        <f t="shared" si="30"/>
        <v>0</v>
      </c>
      <c r="T112" s="4">
        <f t="shared" si="31"/>
        <v>0</v>
      </c>
      <c r="U112" s="4"/>
      <c r="V112" s="22"/>
      <c r="W112" s="22"/>
      <c r="X112" s="9">
        <f t="shared" si="32"/>
        <v>75</v>
      </c>
      <c r="Y112" s="9">
        <f t="shared" si="46"/>
        <v>75</v>
      </c>
      <c r="Z112" s="9">
        <v>3.4</v>
      </c>
      <c r="AA112" s="9">
        <v>13.6</v>
      </c>
      <c r="AB112" s="9">
        <v>11</v>
      </c>
      <c r="AC112" s="9">
        <v>3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 t="s">
        <v>37</v>
      </c>
      <c r="AK112" s="9">
        <f t="shared" si="33"/>
        <v>0</v>
      </c>
      <c r="AL112" s="9">
        <f t="shared" si="34"/>
        <v>0</v>
      </c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x14ac:dyDescent="0.25">
      <c r="A113" s="8" t="s">
        <v>80</v>
      </c>
      <c r="B113" s="9" t="s">
        <v>39</v>
      </c>
      <c r="C113" s="9"/>
      <c r="D113" s="9">
        <v>276</v>
      </c>
      <c r="E113" s="15">
        <f>0+E37</f>
        <v>48</v>
      </c>
      <c r="F113" s="15">
        <f>276+F37</f>
        <v>284</v>
      </c>
      <c r="G113" s="6">
        <v>0.3</v>
      </c>
      <c r="H113" s="9">
        <v>62</v>
      </c>
      <c r="I113" s="8" t="s">
        <v>36</v>
      </c>
      <c r="J113" s="9"/>
      <c r="K113" s="9"/>
      <c r="L113" s="9">
        <f t="shared" si="43"/>
        <v>48</v>
      </c>
      <c r="M113" s="9">
        <f t="shared" si="44"/>
        <v>48</v>
      </c>
      <c r="N113" s="9"/>
      <c r="O113" s="16">
        <f>O37</f>
        <v>40</v>
      </c>
      <c r="P113" s="9"/>
      <c r="Q113" s="9">
        <f t="shared" si="45"/>
        <v>9.6</v>
      </c>
      <c r="R113" s="4"/>
      <c r="S113" s="4">
        <f t="shared" si="30"/>
        <v>0</v>
      </c>
      <c r="T113" s="4">
        <f t="shared" si="31"/>
        <v>0</v>
      </c>
      <c r="U113" s="4"/>
      <c r="V113" s="22"/>
      <c r="W113" s="22"/>
      <c r="X113" s="9">
        <f t="shared" si="32"/>
        <v>33.75</v>
      </c>
      <c r="Y113" s="9">
        <f t="shared" si="46"/>
        <v>33.75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8" t="s">
        <v>175</v>
      </c>
      <c r="AK113" s="9">
        <f t="shared" si="33"/>
        <v>0</v>
      </c>
      <c r="AL113" s="9">
        <f t="shared" si="34"/>
        <v>0</v>
      </c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x14ac:dyDescent="0.25">
      <c r="A114" s="9" t="s">
        <v>176</v>
      </c>
      <c r="B114" s="9" t="s">
        <v>39</v>
      </c>
      <c r="C114" s="9"/>
      <c r="D114" s="9">
        <v>40</v>
      </c>
      <c r="E114" s="9"/>
      <c r="F114" s="9">
        <v>39</v>
      </c>
      <c r="G114" s="6">
        <v>0.1</v>
      </c>
      <c r="H114" s="9">
        <v>45</v>
      </c>
      <c r="I114" s="8" t="s">
        <v>36</v>
      </c>
      <c r="J114" s="9"/>
      <c r="K114" s="9"/>
      <c r="L114" s="9">
        <f t="shared" si="43"/>
        <v>0</v>
      </c>
      <c r="M114" s="9">
        <f t="shared" si="44"/>
        <v>0</v>
      </c>
      <c r="N114" s="9"/>
      <c r="O114" s="9"/>
      <c r="P114" s="9"/>
      <c r="Q114" s="9">
        <f t="shared" si="45"/>
        <v>0</v>
      </c>
      <c r="R114" s="4"/>
      <c r="S114" s="4">
        <v>50</v>
      </c>
      <c r="T114" s="4">
        <f t="shared" si="31"/>
        <v>50</v>
      </c>
      <c r="U114" s="4"/>
      <c r="V114" s="22">
        <v>70</v>
      </c>
      <c r="W114" s="22"/>
      <c r="X114" s="9" t="e">
        <f t="shared" si="32"/>
        <v>#DIV/0!</v>
      </c>
      <c r="Y114" s="9" t="e">
        <f t="shared" si="46"/>
        <v>#DIV/0!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8" t="s">
        <v>177</v>
      </c>
      <c r="AK114" s="9">
        <f t="shared" si="33"/>
        <v>5</v>
      </c>
      <c r="AL114" s="9">
        <f t="shared" si="34"/>
        <v>0</v>
      </c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x14ac:dyDescent="0.25">
      <c r="A115" s="8" t="s">
        <v>172</v>
      </c>
      <c r="B115" s="9" t="s">
        <v>39</v>
      </c>
      <c r="C115" s="9"/>
      <c r="D115" s="9">
        <v>40</v>
      </c>
      <c r="E115" s="15">
        <f>0+E111</f>
        <v>3</v>
      </c>
      <c r="F115" s="15">
        <f>40+F111</f>
        <v>35</v>
      </c>
      <c r="G115" s="6">
        <v>0.1</v>
      </c>
      <c r="H115" s="9">
        <v>45</v>
      </c>
      <c r="I115" s="8" t="s">
        <v>36</v>
      </c>
      <c r="J115" s="9"/>
      <c r="K115" s="9"/>
      <c r="L115" s="9">
        <f t="shared" si="43"/>
        <v>3</v>
      </c>
      <c r="M115" s="9">
        <f t="shared" si="44"/>
        <v>3</v>
      </c>
      <c r="N115" s="9"/>
      <c r="O115" s="16">
        <f>O111</f>
        <v>50</v>
      </c>
      <c r="P115" s="9"/>
      <c r="Q115" s="9">
        <f t="shared" si="45"/>
        <v>0.6</v>
      </c>
      <c r="R115" s="4"/>
      <c r="S115" s="4">
        <v>50</v>
      </c>
      <c r="T115" s="4">
        <f t="shared" si="31"/>
        <v>50</v>
      </c>
      <c r="U115" s="4"/>
      <c r="V115" s="22">
        <v>70</v>
      </c>
      <c r="W115" s="22"/>
      <c r="X115" s="9">
        <f t="shared" si="32"/>
        <v>225</v>
      </c>
      <c r="Y115" s="9">
        <f t="shared" si="46"/>
        <v>141.66666666666669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8" t="s">
        <v>178</v>
      </c>
      <c r="AK115" s="9">
        <f t="shared" si="33"/>
        <v>5</v>
      </c>
      <c r="AL115" s="9">
        <f t="shared" si="34"/>
        <v>0</v>
      </c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x14ac:dyDescent="0.25">
      <c r="A116" s="9" t="s">
        <v>179</v>
      </c>
      <c r="B116" s="9" t="s">
        <v>35</v>
      </c>
      <c r="C116" s="9">
        <v>22.609000000000002</v>
      </c>
      <c r="D116" s="9">
        <v>10.845000000000001</v>
      </c>
      <c r="E116" s="9"/>
      <c r="F116" s="9">
        <v>33.454000000000001</v>
      </c>
      <c r="G116" s="6">
        <v>1</v>
      </c>
      <c r="H116" s="9">
        <v>60</v>
      </c>
      <c r="I116" s="9" t="s">
        <v>36</v>
      </c>
      <c r="J116" s="9"/>
      <c r="K116" s="9"/>
      <c r="L116" s="9">
        <f t="shared" si="43"/>
        <v>0</v>
      </c>
      <c r="M116" s="9">
        <f t="shared" si="44"/>
        <v>0</v>
      </c>
      <c r="N116" s="9"/>
      <c r="O116" s="9">
        <v>0</v>
      </c>
      <c r="P116" s="9"/>
      <c r="Q116" s="9">
        <f t="shared" si="45"/>
        <v>0</v>
      </c>
      <c r="R116" s="4"/>
      <c r="S116" s="4">
        <f t="shared" si="30"/>
        <v>0</v>
      </c>
      <c r="T116" s="4">
        <f t="shared" si="31"/>
        <v>0</v>
      </c>
      <c r="U116" s="4"/>
      <c r="V116" s="22"/>
      <c r="W116" s="22"/>
      <c r="X116" s="9" t="e">
        <f t="shared" si="32"/>
        <v>#DIV/0!</v>
      </c>
      <c r="Y116" s="9" t="e">
        <f t="shared" si="46"/>
        <v>#DIV/0!</v>
      </c>
      <c r="Z116" s="9">
        <v>0</v>
      </c>
      <c r="AA116" s="9">
        <v>2.4264000000000001</v>
      </c>
      <c r="AB116" s="9">
        <v>2.9531999999999998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17" t="s">
        <v>182</v>
      </c>
      <c r="AK116" s="9">
        <f t="shared" si="33"/>
        <v>0</v>
      </c>
      <c r="AL116" s="9">
        <f t="shared" si="34"/>
        <v>0</v>
      </c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x14ac:dyDescent="0.25">
      <c r="A117" s="19" t="s">
        <v>186</v>
      </c>
      <c r="B117" s="19" t="s">
        <v>35</v>
      </c>
      <c r="C117" s="19"/>
      <c r="D117" s="19"/>
      <c r="E117" s="19"/>
      <c r="F117" s="19"/>
      <c r="G117" s="20">
        <v>0</v>
      </c>
      <c r="H117" s="19"/>
      <c r="I117" s="19" t="s">
        <v>189</v>
      </c>
      <c r="J117" s="19"/>
      <c r="K117" s="19"/>
      <c r="L117" s="19"/>
      <c r="M117" s="19"/>
      <c r="N117" s="19"/>
      <c r="O117" s="19"/>
      <c r="P117" s="19">
        <v>50</v>
      </c>
      <c r="Q117" s="19">
        <f t="shared" ref="Q117:Q119" si="48">M117/5</f>
        <v>0</v>
      </c>
      <c r="R117" s="21"/>
      <c r="S117" s="4">
        <f t="shared" si="30"/>
        <v>0</v>
      </c>
      <c r="T117" s="4">
        <f t="shared" si="31"/>
        <v>0</v>
      </c>
      <c r="U117" s="4"/>
      <c r="V117" s="24"/>
      <c r="W117" s="22"/>
      <c r="X117" s="9" t="e">
        <f t="shared" si="32"/>
        <v>#DIV/0!</v>
      </c>
      <c r="Y117" s="19" t="e">
        <f t="shared" ref="Y117:Y119" si="49">(F117+O117+P117)/Q117</f>
        <v>#DIV/0!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/>
      <c r="AK117" s="9">
        <f t="shared" si="33"/>
        <v>0</v>
      </c>
      <c r="AL117" s="9">
        <f t="shared" si="34"/>
        <v>0</v>
      </c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x14ac:dyDescent="0.25">
      <c r="A118" s="19" t="s">
        <v>187</v>
      </c>
      <c r="B118" s="19" t="s">
        <v>35</v>
      </c>
      <c r="C118" s="19"/>
      <c r="D118" s="19"/>
      <c r="E118" s="19"/>
      <c r="F118" s="19"/>
      <c r="G118" s="20">
        <v>0</v>
      </c>
      <c r="H118" s="19"/>
      <c r="I118" s="19" t="s">
        <v>189</v>
      </c>
      <c r="J118" s="19"/>
      <c r="K118" s="19"/>
      <c r="L118" s="19"/>
      <c r="M118" s="19"/>
      <c r="N118" s="19"/>
      <c r="O118" s="19"/>
      <c r="P118" s="19">
        <v>40</v>
      </c>
      <c r="Q118" s="19">
        <f t="shared" si="48"/>
        <v>0</v>
      </c>
      <c r="R118" s="21"/>
      <c r="S118" s="4">
        <f t="shared" si="30"/>
        <v>0</v>
      </c>
      <c r="T118" s="4">
        <f t="shared" si="31"/>
        <v>0</v>
      </c>
      <c r="U118" s="4"/>
      <c r="V118" s="24"/>
      <c r="W118" s="22"/>
      <c r="X118" s="9" t="e">
        <f t="shared" si="32"/>
        <v>#DIV/0!</v>
      </c>
      <c r="Y118" s="19" t="e">
        <f t="shared" si="49"/>
        <v>#DIV/0!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/>
      <c r="AK118" s="9">
        <f t="shared" si="33"/>
        <v>0</v>
      </c>
      <c r="AL118" s="9">
        <f t="shared" si="34"/>
        <v>0</v>
      </c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x14ac:dyDescent="0.25">
      <c r="A119" s="19" t="s">
        <v>188</v>
      </c>
      <c r="B119" s="19" t="s">
        <v>39</v>
      </c>
      <c r="C119" s="19"/>
      <c r="D119" s="19"/>
      <c r="E119" s="19"/>
      <c r="F119" s="19"/>
      <c r="G119" s="20">
        <v>0</v>
      </c>
      <c r="H119" s="19"/>
      <c r="I119" s="19" t="s">
        <v>189</v>
      </c>
      <c r="J119" s="19"/>
      <c r="K119" s="19"/>
      <c r="L119" s="19"/>
      <c r="M119" s="19"/>
      <c r="N119" s="19"/>
      <c r="O119" s="19"/>
      <c r="P119" s="19">
        <v>60</v>
      </c>
      <c r="Q119" s="19">
        <f t="shared" si="48"/>
        <v>0</v>
      </c>
      <c r="R119" s="21"/>
      <c r="S119" s="4">
        <f t="shared" si="30"/>
        <v>0</v>
      </c>
      <c r="T119" s="4">
        <f t="shared" si="31"/>
        <v>0</v>
      </c>
      <c r="U119" s="4"/>
      <c r="V119" s="24"/>
      <c r="W119" s="22"/>
      <c r="X119" s="9" t="e">
        <f t="shared" si="32"/>
        <v>#DIV/0!</v>
      </c>
      <c r="Y119" s="19" t="e">
        <f t="shared" si="49"/>
        <v>#DIV/0!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/>
      <c r="AK119" s="9">
        <f t="shared" si="33"/>
        <v>0</v>
      </c>
      <c r="AL119" s="9">
        <f t="shared" si="34"/>
        <v>0</v>
      </c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  <row r="497" spans="1:52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</row>
  </sheetData>
  <autoFilter ref="A3:AK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2026-10-12T11:45:42Z</dcterms:created>
  <dcterms:modified xsi:type="dcterms:W3CDTF">2026-10-14T10:57:46Z</dcterms:modified>
</cp:coreProperties>
</file>