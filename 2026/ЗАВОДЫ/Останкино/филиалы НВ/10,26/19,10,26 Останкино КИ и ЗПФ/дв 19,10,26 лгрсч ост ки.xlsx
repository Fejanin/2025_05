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10,26\19,10,26 Останкино КИ и ЗПФ\"/>
    </mc:Choice>
  </mc:AlternateContent>
  <xr:revisionPtr revIDLastSave="0" documentId="13_ncr:1_{03F5703E-5959-4565-9775-E022074E0BA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Sheet!$A$3:$AG$105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4" i="1" l="1"/>
  <c r="AH7" i="1"/>
  <c r="AH8" i="1"/>
  <c r="AH5" i="1" s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6" i="1"/>
  <c r="P101" i="1" l="1"/>
  <c r="P78" i="1"/>
  <c r="S18" i="1"/>
  <c r="R18" i="1" s="1"/>
  <c r="S20" i="1"/>
  <c r="S22" i="1"/>
  <c r="R22" i="1" s="1"/>
  <c r="S25" i="1"/>
  <c r="R25" i="1" s="1"/>
  <c r="S27" i="1"/>
  <c r="R27" i="1" s="1"/>
  <c r="S29" i="1"/>
  <c r="R29" i="1" s="1"/>
  <c r="S31" i="1"/>
  <c r="R31" i="1" s="1"/>
  <c r="S33" i="1"/>
  <c r="AG33" i="1" s="1"/>
  <c r="S45" i="1"/>
  <c r="R45" i="1" s="1"/>
  <c r="S46" i="1"/>
  <c r="R46" i="1" s="1"/>
  <c r="S47" i="1"/>
  <c r="R47" i="1" s="1"/>
  <c r="S48" i="1"/>
  <c r="R48" i="1" s="1"/>
  <c r="S49" i="1"/>
  <c r="R49" i="1" s="1"/>
  <c r="S50" i="1"/>
  <c r="R50" i="1" s="1"/>
  <c r="S53" i="1"/>
  <c r="R53" i="1" s="1"/>
  <c r="S54" i="1"/>
  <c r="R54" i="1" s="1"/>
  <c r="AG54" i="1" s="1"/>
  <c r="S55" i="1"/>
  <c r="R55" i="1" s="1"/>
  <c r="S58" i="1"/>
  <c r="R58" i="1" s="1"/>
  <c r="S62" i="1"/>
  <c r="R62" i="1" s="1"/>
  <c r="S63" i="1"/>
  <c r="R63" i="1" s="1"/>
  <c r="S65" i="1"/>
  <c r="R65" i="1" s="1"/>
  <c r="S67" i="1"/>
  <c r="R67" i="1" s="1"/>
  <c r="S68" i="1"/>
  <c r="R68" i="1" s="1"/>
  <c r="S71" i="1"/>
  <c r="R71" i="1" s="1"/>
  <c r="S74" i="1"/>
  <c r="R74" i="1" s="1"/>
  <c r="S75" i="1"/>
  <c r="R75" i="1" s="1"/>
  <c r="S78" i="1"/>
  <c r="AG78" i="1" s="1"/>
  <c r="S79" i="1"/>
  <c r="R79" i="1" s="1"/>
  <c r="S85" i="1"/>
  <c r="R85" i="1" s="1"/>
  <c r="S96" i="1"/>
  <c r="R96" i="1" s="1"/>
  <c r="S97" i="1"/>
  <c r="AG97" i="1" s="1"/>
  <c r="S98" i="1"/>
  <c r="R98" i="1" s="1"/>
  <c r="AG98" i="1" s="1"/>
  <c r="S101" i="1"/>
  <c r="AG101" i="1" s="1"/>
  <c r="S104" i="1"/>
  <c r="R104" i="1" s="1"/>
  <c r="R9" i="1"/>
  <c r="R14" i="1"/>
  <c r="R15" i="1"/>
  <c r="R19" i="1"/>
  <c r="R32" i="1"/>
  <c r="R36" i="1"/>
  <c r="AG36" i="1" s="1"/>
  <c r="R52" i="1"/>
  <c r="AG52" i="1" s="1"/>
  <c r="R59" i="1"/>
  <c r="R60" i="1"/>
  <c r="AG60" i="1" s="1"/>
  <c r="R64" i="1"/>
  <c r="AG64" i="1" s="1"/>
  <c r="R73" i="1"/>
  <c r="AG73" i="1" s="1"/>
  <c r="R80" i="1"/>
  <c r="AG80" i="1" s="1"/>
  <c r="R81" i="1"/>
  <c r="R83" i="1"/>
  <c r="AG83" i="1" s="1"/>
  <c r="R87" i="1"/>
  <c r="AG87" i="1" s="1"/>
  <c r="R88" i="1"/>
  <c r="AG88" i="1" s="1"/>
  <c r="R89" i="1"/>
  <c r="R90" i="1"/>
  <c r="AG90" i="1" s="1"/>
  <c r="R92" i="1"/>
  <c r="AG92" i="1" s="1"/>
  <c r="R93" i="1"/>
  <c r="AG93" i="1" s="1"/>
  <c r="R94" i="1"/>
  <c r="R95" i="1"/>
  <c r="AG95" i="1" s="1"/>
  <c r="R99" i="1"/>
  <c r="AG99" i="1" s="1"/>
  <c r="R100" i="1"/>
  <c r="AG100" i="1" s="1"/>
  <c r="R103" i="1"/>
  <c r="R6" i="1"/>
  <c r="AG6" i="1" s="1"/>
  <c r="AG9" i="1"/>
  <c r="AG14" i="1"/>
  <c r="AG15" i="1"/>
  <c r="AG19" i="1"/>
  <c r="AG32" i="1"/>
  <c r="AG59" i="1"/>
  <c r="AG81" i="1"/>
  <c r="AG89" i="1"/>
  <c r="AG94" i="1"/>
  <c r="AG103" i="1"/>
  <c r="S5" i="1" l="1"/>
  <c r="R20" i="1"/>
  <c r="P105" i="1"/>
  <c r="Q105" i="1" s="1"/>
  <c r="R105" i="1" s="1"/>
  <c r="L105" i="1"/>
  <c r="P104" i="1"/>
  <c r="U104" i="1" s="1"/>
  <c r="L104" i="1"/>
  <c r="P103" i="1"/>
  <c r="T103" i="1" s="1"/>
  <c r="L103" i="1"/>
  <c r="F102" i="1"/>
  <c r="F5" i="1" s="1"/>
  <c r="E102" i="1"/>
  <c r="P102" i="1" s="1"/>
  <c r="T101" i="1"/>
  <c r="L101" i="1"/>
  <c r="P100" i="1"/>
  <c r="L100" i="1"/>
  <c r="P99" i="1"/>
  <c r="L99" i="1"/>
  <c r="P98" i="1"/>
  <c r="T98" i="1" s="1"/>
  <c r="L98" i="1"/>
  <c r="P97" i="1"/>
  <c r="L97" i="1"/>
  <c r="P96" i="1"/>
  <c r="Q96" i="1" s="1"/>
  <c r="L96" i="1"/>
  <c r="P95" i="1"/>
  <c r="L95" i="1"/>
  <c r="P94" i="1"/>
  <c r="L94" i="1"/>
  <c r="P93" i="1"/>
  <c r="L93" i="1"/>
  <c r="P92" i="1"/>
  <c r="L92" i="1"/>
  <c r="P91" i="1"/>
  <c r="Q91" i="1" s="1"/>
  <c r="R91" i="1" s="1"/>
  <c r="L91" i="1"/>
  <c r="P90" i="1"/>
  <c r="T90" i="1" s="1"/>
  <c r="L90" i="1"/>
  <c r="P89" i="1"/>
  <c r="T89" i="1" s="1"/>
  <c r="L89" i="1"/>
  <c r="P88" i="1"/>
  <c r="T88" i="1" s="1"/>
  <c r="L88" i="1"/>
  <c r="P87" i="1"/>
  <c r="T87" i="1" s="1"/>
  <c r="L87" i="1"/>
  <c r="P86" i="1"/>
  <c r="U86" i="1" s="1"/>
  <c r="L86" i="1"/>
  <c r="P85" i="1"/>
  <c r="L85" i="1"/>
  <c r="P84" i="1"/>
  <c r="U84" i="1" s="1"/>
  <c r="L84" i="1"/>
  <c r="P83" i="1"/>
  <c r="L83" i="1"/>
  <c r="P82" i="1"/>
  <c r="L82" i="1"/>
  <c r="P81" i="1"/>
  <c r="L81" i="1"/>
  <c r="P80" i="1"/>
  <c r="T80" i="1" s="1"/>
  <c r="L80" i="1"/>
  <c r="P79" i="1"/>
  <c r="U79" i="1" s="1"/>
  <c r="L79" i="1"/>
  <c r="T78" i="1"/>
  <c r="L78" i="1"/>
  <c r="P77" i="1"/>
  <c r="U77" i="1" s="1"/>
  <c r="L77" i="1"/>
  <c r="P76" i="1"/>
  <c r="L76" i="1"/>
  <c r="P75" i="1"/>
  <c r="U75" i="1" s="1"/>
  <c r="L75" i="1"/>
  <c r="P74" i="1"/>
  <c r="Q74" i="1" s="1"/>
  <c r="L74" i="1"/>
  <c r="P73" i="1"/>
  <c r="L73" i="1"/>
  <c r="P72" i="1"/>
  <c r="Q72" i="1" s="1"/>
  <c r="R72" i="1" s="1"/>
  <c r="L72" i="1"/>
  <c r="P71" i="1"/>
  <c r="U71" i="1" s="1"/>
  <c r="L71" i="1"/>
  <c r="P70" i="1"/>
  <c r="Q70" i="1" s="1"/>
  <c r="R70" i="1" s="1"/>
  <c r="L70" i="1"/>
  <c r="P69" i="1"/>
  <c r="U69" i="1" s="1"/>
  <c r="L69" i="1"/>
  <c r="P68" i="1"/>
  <c r="Q68" i="1" s="1"/>
  <c r="L68" i="1"/>
  <c r="P67" i="1"/>
  <c r="U67" i="1" s="1"/>
  <c r="L67" i="1"/>
  <c r="P66" i="1"/>
  <c r="Q66" i="1" s="1"/>
  <c r="R66" i="1" s="1"/>
  <c r="L66" i="1"/>
  <c r="P65" i="1"/>
  <c r="U65" i="1" s="1"/>
  <c r="L65" i="1"/>
  <c r="P64" i="1"/>
  <c r="T64" i="1" s="1"/>
  <c r="L64" i="1"/>
  <c r="P63" i="1"/>
  <c r="U63" i="1" s="1"/>
  <c r="L63" i="1"/>
  <c r="P62" i="1"/>
  <c r="Q62" i="1" s="1"/>
  <c r="L62" i="1"/>
  <c r="P61" i="1"/>
  <c r="U61" i="1" s="1"/>
  <c r="L61" i="1"/>
  <c r="P60" i="1"/>
  <c r="T60" i="1" s="1"/>
  <c r="L60" i="1"/>
  <c r="P59" i="1"/>
  <c r="L59" i="1"/>
  <c r="P58" i="1"/>
  <c r="Q58" i="1" s="1"/>
  <c r="L58" i="1"/>
  <c r="P57" i="1"/>
  <c r="U57" i="1" s="1"/>
  <c r="L57" i="1"/>
  <c r="P56" i="1"/>
  <c r="L56" i="1"/>
  <c r="P55" i="1"/>
  <c r="U55" i="1" s="1"/>
  <c r="L55" i="1"/>
  <c r="P54" i="1"/>
  <c r="T54" i="1" s="1"/>
  <c r="L54" i="1"/>
  <c r="P53" i="1"/>
  <c r="U53" i="1" s="1"/>
  <c r="L53" i="1"/>
  <c r="P52" i="1"/>
  <c r="T52" i="1" s="1"/>
  <c r="L52" i="1"/>
  <c r="P51" i="1"/>
  <c r="U51" i="1" s="1"/>
  <c r="L51" i="1"/>
  <c r="P50" i="1"/>
  <c r="Q50" i="1" s="1"/>
  <c r="L50" i="1"/>
  <c r="P49" i="1"/>
  <c r="U49" i="1" s="1"/>
  <c r="L49" i="1"/>
  <c r="P48" i="1"/>
  <c r="L48" i="1"/>
  <c r="P47" i="1"/>
  <c r="U47" i="1" s="1"/>
  <c r="L47" i="1"/>
  <c r="P46" i="1"/>
  <c r="Q46" i="1" s="1"/>
  <c r="L46" i="1"/>
  <c r="P45" i="1"/>
  <c r="U45" i="1" s="1"/>
  <c r="L45" i="1"/>
  <c r="P44" i="1"/>
  <c r="Q44" i="1" s="1"/>
  <c r="R44" i="1" s="1"/>
  <c r="L44" i="1"/>
  <c r="P43" i="1"/>
  <c r="U43" i="1" s="1"/>
  <c r="L43" i="1"/>
  <c r="P42" i="1"/>
  <c r="L42" i="1"/>
  <c r="P41" i="1"/>
  <c r="U41" i="1" s="1"/>
  <c r="L41" i="1"/>
  <c r="P40" i="1"/>
  <c r="L40" i="1"/>
  <c r="P39" i="1"/>
  <c r="U39" i="1" s="1"/>
  <c r="L39" i="1"/>
  <c r="P38" i="1"/>
  <c r="Q38" i="1" s="1"/>
  <c r="R38" i="1" s="1"/>
  <c r="L38" i="1"/>
  <c r="P37" i="1"/>
  <c r="U37" i="1" s="1"/>
  <c r="L37" i="1"/>
  <c r="P36" i="1"/>
  <c r="L36" i="1"/>
  <c r="P35" i="1"/>
  <c r="L35" i="1"/>
  <c r="P34" i="1"/>
  <c r="U34" i="1" s="1"/>
  <c r="L34" i="1"/>
  <c r="P33" i="1"/>
  <c r="T33" i="1" s="1"/>
  <c r="L33" i="1"/>
  <c r="P32" i="1"/>
  <c r="T32" i="1" s="1"/>
  <c r="L32" i="1"/>
  <c r="P31" i="1"/>
  <c r="U31" i="1" s="1"/>
  <c r="L31" i="1"/>
  <c r="P30" i="1"/>
  <c r="L30" i="1"/>
  <c r="P29" i="1"/>
  <c r="U29" i="1" s="1"/>
  <c r="L29" i="1"/>
  <c r="P28" i="1"/>
  <c r="L28" i="1"/>
  <c r="P27" i="1"/>
  <c r="U27" i="1" s="1"/>
  <c r="L27" i="1"/>
  <c r="P26" i="1"/>
  <c r="Q26" i="1" s="1"/>
  <c r="R26" i="1" s="1"/>
  <c r="L26" i="1"/>
  <c r="P25" i="1"/>
  <c r="U25" i="1" s="1"/>
  <c r="L25" i="1"/>
  <c r="P24" i="1"/>
  <c r="Q24" i="1" s="1"/>
  <c r="R24" i="1" s="1"/>
  <c r="L24" i="1"/>
  <c r="P23" i="1"/>
  <c r="U23" i="1" s="1"/>
  <c r="L23" i="1"/>
  <c r="P22" i="1"/>
  <c r="L22" i="1"/>
  <c r="P21" i="1"/>
  <c r="U21" i="1" s="1"/>
  <c r="L21" i="1"/>
  <c r="P20" i="1"/>
  <c r="L20" i="1"/>
  <c r="P19" i="1"/>
  <c r="T19" i="1" s="1"/>
  <c r="L19" i="1"/>
  <c r="P18" i="1"/>
  <c r="U18" i="1" s="1"/>
  <c r="L18" i="1"/>
  <c r="P17" i="1"/>
  <c r="L17" i="1"/>
  <c r="P16" i="1"/>
  <c r="U16" i="1" s="1"/>
  <c r="L16" i="1"/>
  <c r="P15" i="1"/>
  <c r="T15" i="1" s="1"/>
  <c r="L15" i="1"/>
  <c r="P14" i="1"/>
  <c r="L14" i="1"/>
  <c r="P13" i="1"/>
  <c r="L13" i="1"/>
  <c r="P12" i="1"/>
  <c r="U12" i="1" s="1"/>
  <c r="L12" i="1"/>
  <c r="P11" i="1"/>
  <c r="L11" i="1"/>
  <c r="P10" i="1"/>
  <c r="U10" i="1" s="1"/>
  <c r="L10" i="1"/>
  <c r="P9" i="1"/>
  <c r="T9" i="1" s="1"/>
  <c r="L9" i="1"/>
  <c r="P8" i="1"/>
  <c r="U8" i="1" s="1"/>
  <c r="L8" i="1"/>
  <c r="P7" i="1"/>
  <c r="Q7" i="1" s="1"/>
  <c r="R7" i="1" s="1"/>
  <c r="L7" i="1"/>
  <c r="P6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U6" i="1" l="1"/>
  <c r="T6" i="1"/>
  <c r="AG7" i="1"/>
  <c r="T7" i="1"/>
  <c r="U14" i="1"/>
  <c r="T14" i="1"/>
  <c r="T24" i="1"/>
  <c r="AG24" i="1"/>
  <c r="T26" i="1"/>
  <c r="AG26" i="1"/>
  <c r="U36" i="1"/>
  <c r="T36" i="1"/>
  <c r="T38" i="1"/>
  <c r="AG38" i="1"/>
  <c r="T44" i="1"/>
  <c r="AG44" i="1"/>
  <c r="T46" i="1"/>
  <c r="AG46" i="1"/>
  <c r="T50" i="1"/>
  <c r="AG50" i="1"/>
  <c r="T58" i="1"/>
  <c r="AG58" i="1"/>
  <c r="U59" i="1"/>
  <c r="T59" i="1"/>
  <c r="T62" i="1"/>
  <c r="AG62" i="1"/>
  <c r="T66" i="1"/>
  <c r="AG66" i="1"/>
  <c r="T68" i="1"/>
  <c r="AG68" i="1"/>
  <c r="T70" i="1"/>
  <c r="AG70" i="1"/>
  <c r="T72" i="1"/>
  <c r="AG72" i="1"/>
  <c r="U73" i="1"/>
  <c r="T73" i="1"/>
  <c r="T74" i="1"/>
  <c r="AG74" i="1"/>
  <c r="U81" i="1"/>
  <c r="T81" i="1"/>
  <c r="U83" i="1"/>
  <c r="T83" i="1"/>
  <c r="AG91" i="1"/>
  <c r="T91" i="1"/>
  <c r="U92" i="1"/>
  <c r="T92" i="1"/>
  <c r="U93" i="1"/>
  <c r="T93" i="1"/>
  <c r="U94" i="1"/>
  <c r="T94" i="1"/>
  <c r="U95" i="1"/>
  <c r="T95" i="1"/>
  <c r="T96" i="1"/>
  <c r="AG96" i="1"/>
  <c r="U97" i="1"/>
  <c r="T97" i="1"/>
  <c r="U99" i="1"/>
  <c r="T99" i="1"/>
  <c r="U100" i="1"/>
  <c r="T100" i="1"/>
  <c r="AG105" i="1"/>
  <c r="T105" i="1"/>
  <c r="E5" i="1"/>
  <c r="Q34" i="1"/>
  <c r="R34" i="1" s="1"/>
  <c r="Q42" i="1"/>
  <c r="R42" i="1" s="1"/>
  <c r="Q75" i="1"/>
  <c r="Q82" i="1"/>
  <c r="R82" i="1" s="1"/>
  <c r="Q53" i="1"/>
  <c r="Q28" i="1"/>
  <c r="R28" i="1" s="1"/>
  <c r="Q85" i="1"/>
  <c r="Q55" i="1"/>
  <c r="Q40" i="1"/>
  <c r="R40" i="1" s="1"/>
  <c r="Q20" i="1"/>
  <c r="Q17" i="1"/>
  <c r="R17" i="1" s="1"/>
  <c r="Q48" i="1"/>
  <c r="Q45" i="1"/>
  <c r="Q104" i="1"/>
  <c r="U91" i="1"/>
  <c r="Q37" i="1"/>
  <c r="R37" i="1" s="1"/>
  <c r="Q57" i="1"/>
  <c r="R57" i="1" s="1"/>
  <c r="Q77" i="1"/>
  <c r="R77" i="1" s="1"/>
  <c r="Q102" i="1"/>
  <c r="R102" i="1" s="1"/>
  <c r="Q16" i="1"/>
  <c r="R16" i="1" s="1"/>
  <c r="Q39" i="1"/>
  <c r="R39" i="1" s="1"/>
  <c r="Q79" i="1"/>
  <c r="Q18" i="1"/>
  <c r="Q41" i="1"/>
  <c r="R41" i="1" s="1"/>
  <c r="Q61" i="1"/>
  <c r="R61" i="1" s="1"/>
  <c r="Q21" i="1"/>
  <c r="R21" i="1" s="1"/>
  <c r="Q43" i="1"/>
  <c r="R43" i="1" s="1"/>
  <c r="Q63" i="1"/>
  <c r="Q84" i="1"/>
  <c r="R84" i="1" s="1"/>
  <c r="Q22" i="1"/>
  <c r="Q23" i="1"/>
  <c r="R23" i="1" s="1"/>
  <c r="Q65" i="1"/>
  <c r="Q86" i="1"/>
  <c r="R86" i="1" s="1"/>
  <c r="Q25" i="1"/>
  <c r="Q47" i="1"/>
  <c r="Q67" i="1"/>
  <c r="Q27" i="1"/>
  <c r="Q49" i="1"/>
  <c r="Q69" i="1"/>
  <c r="R69" i="1" s="1"/>
  <c r="Q8" i="1"/>
  <c r="R8" i="1" s="1"/>
  <c r="Q29" i="1"/>
  <c r="Q51" i="1"/>
  <c r="R51" i="1" s="1"/>
  <c r="Q71" i="1"/>
  <c r="Q30" i="1"/>
  <c r="R30" i="1" s="1"/>
  <c r="Q10" i="1"/>
  <c r="R10" i="1" s="1"/>
  <c r="Q31" i="1"/>
  <c r="Q11" i="1"/>
  <c r="R11" i="1" s="1"/>
  <c r="Q12" i="1"/>
  <c r="R12" i="1" s="1"/>
  <c r="Q13" i="1"/>
  <c r="R13" i="1" s="1"/>
  <c r="Q35" i="1"/>
  <c r="R35" i="1" s="1"/>
  <c r="Q56" i="1"/>
  <c r="R56" i="1" s="1"/>
  <c r="Q76" i="1"/>
  <c r="R76" i="1" s="1"/>
  <c r="U101" i="1"/>
  <c r="U35" i="1"/>
  <c r="U33" i="1"/>
  <c r="U89" i="1"/>
  <c r="U87" i="1"/>
  <c r="U85" i="1"/>
  <c r="U7" i="1"/>
  <c r="U9" i="1"/>
  <c r="U11" i="1"/>
  <c r="U13" i="1"/>
  <c r="U15" i="1"/>
  <c r="U17" i="1"/>
  <c r="U19" i="1"/>
  <c r="U20" i="1"/>
  <c r="L102" i="1"/>
  <c r="L5" i="1" s="1"/>
  <c r="P5" i="1"/>
  <c r="U22" i="1"/>
  <c r="U24" i="1"/>
  <c r="U26" i="1"/>
  <c r="U28" i="1"/>
  <c r="U30" i="1"/>
  <c r="U32" i="1"/>
  <c r="U38" i="1"/>
  <c r="U40" i="1"/>
  <c r="U42" i="1"/>
  <c r="U44" i="1"/>
  <c r="U46" i="1"/>
  <c r="U48" i="1"/>
  <c r="U50" i="1"/>
  <c r="U52" i="1"/>
  <c r="U54" i="1"/>
  <c r="U56" i="1"/>
  <c r="U58" i="1"/>
  <c r="U60" i="1"/>
  <c r="U62" i="1"/>
  <c r="U64" i="1"/>
  <c r="U66" i="1"/>
  <c r="U68" i="1"/>
  <c r="U70" i="1"/>
  <c r="U72" i="1"/>
  <c r="U74" i="1"/>
  <c r="U76" i="1"/>
  <c r="U78" i="1"/>
  <c r="U80" i="1"/>
  <c r="U82" i="1"/>
  <c r="U88" i="1"/>
  <c r="U90" i="1"/>
  <c r="U96" i="1"/>
  <c r="U98" i="1"/>
  <c r="U102" i="1"/>
  <c r="U103" i="1"/>
  <c r="U105" i="1"/>
  <c r="T76" i="1" l="1"/>
  <c r="AG76" i="1"/>
  <c r="AG35" i="1"/>
  <c r="T35" i="1"/>
  <c r="T12" i="1"/>
  <c r="AG12" i="1"/>
  <c r="AG31" i="1"/>
  <c r="T31" i="1"/>
  <c r="T30" i="1"/>
  <c r="AG30" i="1"/>
  <c r="AG51" i="1"/>
  <c r="T51" i="1"/>
  <c r="T8" i="1"/>
  <c r="AG8" i="1"/>
  <c r="AG49" i="1"/>
  <c r="T49" i="1"/>
  <c r="AG67" i="1"/>
  <c r="T67" i="1"/>
  <c r="AG25" i="1"/>
  <c r="T25" i="1"/>
  <c r="AG65" i="1"/>
  <c r="T65" i="1"/>
  <c r="T22" i="1"/>
  <c r="AG22" i="1"/>
  <c r="AG63" i="1"/>
  <c r="T63" i="1"/>
  <c r="AG21" i="1"/>
  <c r="T21" i="1"/>
  <c r="AG41" i="1"/>
  <c r="T41" i="1"/>
  <c r="AG79" i="1"/>
  <c r="T79" i="1"/>
  <c r="T16" i="1"/>
  <c r="AG16" i="1"/>
  <c r="AG77" i="1"/>
  <c r="T77" i="1"/>
  <c r="AG37" i="1"/>
  <c r="T37" i="1"/>
  <c r="T104" i="1"/>
  <c r="AG104" i="1"/>
  <c r="T48" i="1"/>
  <c r="AG48" i="1"/>
  <c r="T20" i="1"/>
  <c r="AG20" i="1"/>
  <c r="AG55" i="1"/>
  <c r="T55" i="1"/>
  <c r="T28" i="1"/>
  <c r="AG28" i="1"/>
  <c r="T82" i="1"/>
  <c r="AG82" i="1"/>
  <c r="T42" i="1"/>
  <c r="AG42" i="1"/>
  <c r="T56" i="1"/>
  <c r="AG56" i="1"/>
  <c r="AG13" i="1"/>
  <c r="T13" i="1"/>
  <c r="AG11" i="1"/>
  <c r="T11" i="1"/>
  <c r="T10" i="1"/>
  <c r="AG10" i="1"/>
  <c r="AG71" i="1"/>
  <c r="T71" i="1"/>
  <c r="AG29" i="1"/>
  <c r="T29" i="1"/>
  <c r="AG69" i="1"/>
  <c r="T69" i="1"/>
  <c r="AG27" i="1"/>
  <c r="T27" i="1"/>
  <c r="AG47" i="1"/>
  <c r="T47" i="1"/>
  <c r="T86" i="1"/>
  <c r="AG86" i="1"/>
  <c r="AG23" i="1"/>
  <c r="T23" i="1"/>
  <c r="T84" i="1"/>
  <c r="AG84" i="1"/>
  <c r="AG43" i="1"/>
  <c r="T43" i="1"/>
  <c r="AG61" i="1"/>
  <c r="T61" i="1"/>
  <c r="T18" i="1"/>
  <c r="AG18" i="1"/>
  <c r="AG39" i="1"/>
  <c r="T39" i="1"/>
  <c r="T102" i="1"/>
  <c r="AG102" i="1"/>
  <c r="AG57" i="1"/>
  <c r="T57" i="1"/>
  <c r="AG45" i="1"/>
  <c r="T45" i="1"/>
  <c r="AG17" i="1"/>
  <c r="T17" i="1"/>
  <c r="T40" i="1"/>
  <c r="AG40" i="1"/>
  <c r="AG85" i="1"/>
  <c r="T85" i="1"/>
  <c r="AG53" i="1"/>
  <c r="T53" i="1"/>
  <c r="AG75" i="1"/>
  <c r="T75" i="1"/>
  <c r="T34" i="1"/>
  <c r="AG34" i="1"/>
  <c r="R5" i="1"/>
  <c r="Q5" i="1"/>
  <c r="AG5" i="1" l="1"/>
</calcChain>
</file>

<file path=xl/sharedStrings.xml><?xml version="1.0" encoding="utf-8"?>
<sst xmlns="http://schemas.openxmlformats.org/spreadsheetml/2006/main" count="389" uniqueCount="166">
  <si>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</si>
  <si>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</si>
  <si>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</si>
  <si>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</si>
  <si>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</si>
  <si>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</si>
  <si>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</si>
  <si>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</si>
  <si>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</si>
  <si>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</si>
  <si>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</si>
  <si>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</si>
  <si>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</si>
  <si>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</si>
  <si>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</si>
  <si>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</si>
  <si>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</si>
  <si>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</si>
  <si>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</si>
  <si>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</si>
  <si>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</si>
  <si>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</si>
  <si>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</si>
  <si>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</si>
  <si>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</si>
  <si>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</si>
  <si>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</si>
  <si>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</si>
  <si>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</si>
  <si>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</si>
  <si>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</si>
  <si>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</si>
  <si>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</si>
  <si>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0614 ПРАЗДНИЧНАЯ с/к в/с дек.спец.мгс  Останкино</t>
  </si>
  <si>
    <t>кг</t>
  </si>
  <si>
    <t>матрица</t>
  </si>
  <si>
    <t>нужно увеличить продажи!!!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</si>
  <si>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</si>
  <si>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</si>
  <si>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</si>
  <si>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</si>
  <si>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нужно увеличить продажи!!!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</si>
  <si>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</si>
  <si>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</si>
  <si>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</si>
  <si>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</si>
  <si>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</si>
  <si>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</si>
  <si>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</si>
  <si>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</si>
  <si>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</si>
  <si>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</si>
  <si>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</si>
  <si>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вывод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</si>
  <si>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</si>
  <si>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</si>
  <si>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</si>
  <si>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</si>
  <si>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05,10,26 - завод не отгрузил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</si>
  <si>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</si>
  <si>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</si>
  <si>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</si>
  <si>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</si>
  <si>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</si>
  <si>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</si>
  <si>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нужно увеличить продажи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</si>
  <si>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</si>
  <si>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</si>
  <si>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</si>
  <si>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</si>
  <si>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</si>
  <si>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</si>
  <si>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</si>
  <si>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</si>
  <si>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</si>
  <si>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</si>
  <si>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</si>
  <si>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</si>
  <si>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+ опт (разово)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</si>
  <si>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</si>
  <si>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</si>
  <si>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</si>
  <si>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</si>
  <si>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</si>
  <si>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</si>
  <si>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</si>
  <si>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</si>
  <si>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</si>
  <si>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</si>
  <si>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</si>
  <si>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</si>
  <si>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</si>
  <si>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</si>
  <si>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</si>
  <si>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</si>
  <si>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</si>
  <si>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</si>
  <si>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</si>
  <si>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есть ли потребность??? / 147кг в уценку (09,10,26)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</si>
  <si>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</si>
  <si>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</si>
  <si>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</si>
  <si>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</si>
  <si>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</si>
  <si>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</si>
  <si>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</si>
  <si>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</si>
  <si>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</si>
  <si>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</si>
  <si>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</si>
  <si>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</si>
  <si>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</si>
  <si>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</si>
  <si>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</si>
  <si>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</si>
  <si>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</si>
  <si>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</si>
  <si>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</si>
  <si>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</si>
  <si>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</si>
  <si>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</si>
  <si>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</si>
  <si>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</si>
  <si>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</si>
  <si>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</si>
  <si>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</si>
  <si>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</si>
  <si>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</si>
  <si>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</si>
  <si>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</si>
  <si>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</si>
  <si>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7399 САЛЯМИ ZHAZIRA ASLAM в/к в/у 0.82кг</t>
  </si>
  <si>
    <t>РАЗОВО / АСЛАМ</t>
  </si>
  <si>
    <t>отдельным бланком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</si>
  <si>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</si>
  <si>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</si>
  <si>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</si>
  <si>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</si>
  <si>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нет потребности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</si>
  <si>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</si>
  <si>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</si>
  <si>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</si>
  <si>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</si>
  <si>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</si>
  <si>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</si>
  <si>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</si>
  <si>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</si>
  <si>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</si>
  <si>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</si>
  <si>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</si>
  <si>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</si>
  <si>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ротация на код 7731</t>
  </si>
  <si>
    <t>7700 ЛИТОВСКАЯ с/к в/у</t>
  </si>
  <si>
    <t>вместо 5708</t>
  </si>
  <si>
    <t>7710 КРАКОВСКАЯ ГОСТ п/к н/о мгс 0.3кг  ОСТАНКИНО</t>
  </si>
  <si>
    <t>05,10,26 - завод не отгрузил / заказываем с 18,09,26</t>
  </si>
  <si>
    <t>вместо 6495</t>
  </si>
  <si>
    <t>7730 ХОЧУ ВЕТЧ.ИЗ СВ.ОТРУБА мгс 1/100_45с_Л11  ОСТАНКИНО</t>
  </si>
  <si>
    <t>7731 ХОЧУ ВЕТЧ. МРАМОР. с/н мгс 1/100_45с_Л11  ОСТАНКИНО</t>
  </si>
  <si>
    <t>вместо 7651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</si>
  <si>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</si>
  <si>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7647</t>
    </r>
  </si>
  <si>
    <t>заказ</t>
  </si>
  <si>
    <t>26,10,</t>
  </si>
  <si>
    <t>ТК</t>
  </si>
  <si>
    <t>Чепрасова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</si>
</sst>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0" borderId="1" xfId="1" applyNumberFormat="1" applyFont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0" borderId="1" xfId="1" applyNumberFormat="1" applyFill="1"/>
    <xf numFmtId="164" fontId="6" fillId="7" borderId="2" xfId="1" applyNumberFormat="1" applyFont="1" applyFill="1" applyBorder="1"/>
    <xf numFmtId="164" fontId="6" fillId="7" borderId="1" xfId="1" applyNumberFormat="1" applyFont="1" applyFill="1"/>
    <xf numFmtId="164" fontId="1" fillId="8" borderId="1" xfId="1" applyNumberFormat="1" applyFill="1"/>
    <xf numFmtId="164" fontId="7" fillId="8" borderId="1" xfId="1" applyNumberFormat="1" applyFont="1" applyFill="1"/>
    <xf numFmtId="164" fontId="4" fillId="8" borderId="1" xfId="1" applyNumberFormat="1" applyFont="1" applyFill="1"/>
    <xf numFmtId="164" fontId="4" fillId="0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191026%20&#1083;&#1075;&#1088;&#1089;&#1095;%20&#1086;&#1089;&#1090;%20&#1082;&#1080;%20(&#1063;&#1077;&#1087;&#1088;&#1072;&#1089;&#1086;&#1074;&#107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19,10,</v>
          </cell>
          <cell r="P4" t="str">
            <v>19,10,</v>
          </cell>
        </row>
        <row r="5">
          <cell r="E5">
            <v>14564.451000000001</v>
          </cell>
          <cell r="F5">
            <v>19010.876000000004</v>
          </cell>
          <cell r="K5">
            <v>15949.4</v>
          </cell>
          <cell r="L5">
            <v>-1384.9490000000001</v>
          </cell>
          <cell r="M5">
            <v>0</v>
          </cell>
          <cell r="N5">
            <v>0</v>
          </cell>
          <cell r="O5">
            <v>8358</v>
          </cell>
          <cell r="P5">
            <v>2912.8902000000007</v>
          </cell>
          <cell r="Q5">
            <v>16500.262000000002</v>
          </cell>
          <cell r="R5">
            <v>8070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175.87299999999999</v>
          </cell>
          <cell r="E6">
            <v>3.8</v>
          </cell>
          <cell r="F6">
            <v>171.547</v>
          </cell>
          <cell r="G6">
            <v>1</v>
          </cell>
          <cell r="H6">
            <v>120</v>
          </cell>
          <cell r="I6" t="str">
            <v>матрица</v>
          </cell>
          <cell r="K6">
            <v>3.2</v>
          </cell>
          <cell r="L6">
            <v>0.59999999999999964</v>
          </cell>
          <cell r="O6">
            <v>0</v>
          </cell>
          <cell r="P6">
            <v>0.76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219</v>
          </cell>
          <cell r="D7">
            <v>48</v>
          </cell>
          <cell r="E7">
            <v>150</v>
          </cell>
          <cell r="F7">
            <v>64</v>
          </cell>
          <cell r="G7">
            <v>0.4</v>
          </cell>
          <cell r="H7">
            <v>60</v>
          </cell>
          <cell r="I7" t="str">
            <v>матрица</v>
          </cell>
          <cell r="K7">
            <v>170</v>
          </cell>
          <cell r="L7">
            <v>-20</v>
          </cell>
          <cell r="O7">
            <v>246</v>
          </cell>
          <cell r="P7">
            <v>30</v>
          </cell>
          <cell r="Q7">
            <v>140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96.495000000000005</v>
          </cell>
          <cell r="D8">
            <v>0.99399999999999999</v>
          </cell>
          <cell r="E8">
            <v>35.17</v>
          </cell>
          <cell r="F8">
            <v>60.314999999999998</v>
          </cell>
          <cell r="G8">
            <v>1</v>
          </cell>
          <cell r="H8">
            <v>120</v>
          </cell>
          <cell r="I8" t="str">
            <v>матрица</v>
          </cell>
          <cell r="K8">
            <v>36.700000000000003</v>
          </cell>
          <cell r="L8">
            <v>-1.5300000000000011</v>
          </cell>
          <cell r="O8">
            <v>23</v>
          </cell>
          <cell r="P8">
            <v>7.0340000000000007</v>
          </cell>
          <cell r="Q8">
            <v>22.195000000000007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566</v>
          </cell>
          <cell r="E9">
            <v>41</v>
          </cell>
          <cell r="F9">
            <v>511</v>
          </cell>
          <cell r="G9">
            <v>0.25</v>
          </cell>
          <cell r="H9">
            <v>120</v>
          </cell>
          <cell r="I9" t="str">
            <v>матрица</v>
          </cell>
          <cell r="K9">
            <v>41</v>
          </cell>
          <cell r="L9">
            <v>0</v>
          </cell>
          <cell r="O9">
            <v>0</v>
          </cell>
          <cell r="P9">
            <v>8.1999999999999993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751.39200000000005</v>
          </cell>
          <cell r="D10">
            <v>590.13199999999995</v>
          </cell>
          <cell r="E10">
            <v>713.37699999999995</v>
          </cell>
          <cell r="F10">
            <v>538.77800000000002</v>
          </cell>
          <cell r="G10">
            <v>1</v>
          </cell>
          <cell r="H10">
            <v>60</v>
          </cell>
          <cell r="I10" t="str">
            <v>матрица</v>
          </cell>
          <cell r="K10">
            <v>698.4</v>
          </cell>
          <cell r="L10">
            <v>14.976999999999975</v>
          </cell>
          <cell r="O10">
            <v>632</v>
          </cell>
          <cell r="P10">
            <v>142.6754</v>
          </cell>
          <cell r="Q10">
            <v>969.35299999999984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61.305999999999997</v>
          </cell>
          <cell r="D11">
            <v>28.289000000000001</v>
          </cell>
          <cell r="E11">
            <v>32.622999999999998</v>
          </cell>
          <cell r="F11">
            <v>55.975999999999999</v>
          </cell>
          <cell r="G11">
            <v>1</v>
          </cell>
          <cell r="H11">
            <v>120</v>
          </cell>
          <cell r="I11" t="str">
            <v>матрица</v>
          </cell>
          <cell r="K11">
            <v>32.700000000000003</v>
          </cell>
          <cell r="L11">
            <v>-7.7000000000005286E-2</v>
          </cell>
          <cell r="O11">
            <v>22</v>
          </cell>
          <cell r="P11">
            <v>6.5245999999999995</v>
          </cell>
          <cell r="Q11">
            <v>19.893000000000001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445.26299999999998</v>
          </cell>
          <cell r="E12">
            <v>201.226</v>
          </cell>
          <cell r="F12">
            <v>170.49299999999999</v>
          </cell>
          <cell r="G12">
            <v>1</v>
          </cell>
          <cell r="H12">
            <v>60</v>
          </cell>
          <cell r="I12" t="str">
            <v>матрица</v>
          </cell>
          <cell r="K12">
            <v>199.45</v>
          </cell>
          <cell r="L12">
            <v>1.7760000000000105</v>
          </cell>
          <cell r="O12">
            <v>219</v>
          </cell>
          <cell r="P12">
            <v>40.245199999999997</v>
          </cell>
          <cell r="Q12">
            <v>214.185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626.20799999999997</v>
          </cell>
          <cell r="D13">
            <v>1.3480000000000001</v>
          </cell>
          <cell r="E13">
            <v>275.63099999999997</v>
          </cell>
          <cell r="F13">
            <v>306.512</v>
          </cell>
          <cell r="G13">
            <v>1</v>
          </cell>
          <cell r="H13">
            <v>60</v>
          </cell>
          <cell r="I13" t="str">
            <v>матрица</v>
          </cell>
          <cell r="K13">
            <v>277.8</v>
          </cell>
          <cell r="L13">
            <v>-2.1690000000000396</v>
          </cell>
          <cell r="O13">
            <v>100</v>
          </cell>
          <cell r="P13">
            <v>55.126199999999997</v>
          </cell>
          <cell r="Q13">
            <v>420.38099999999991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439</v>
          </cell>
          <cell r="D14">
            <v>2</v>
          </cell>
          <cell r="E14">
            <v>75</v>
          </cell>
          <cell r="F14">
            <v>334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88</v>
          </cell>
          <cell r="L14">
            <v>-13</v>
          </cell>
          <cell r="O14">
            <v>0</v>
          </cell>
          <cell r="P14">
            <v>15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203.77199999999999</v>
          </cell>
          <cell r="E15">
            <v>55.718000000000004</v>
          </cell>
          <cell r="F15">
            <v>132.59100000000001</v>
          </cell>
          <cell r="G15">
            <v>1</v>
          </cell>
          <cell r="H15">
            <v>60</v>
          </cell>
          <cell r="I15" t="str">
            <v>матрица</v>
          </cell>
          <cell r="K15">
            <v>54.1</v>
          </cell>
          <cell r="L15">
            <v>1.6180000000000021</v>
          </cell>
          <cell r="O15">
            <v>43</v>
          </cell>
          <cell r="P15">
            <v>11.143600000000001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549</v>
          </cell>
          <cell r="E16">
            <v>150</v>
          </cell>
          <cell r="F16">
            <v>360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158</v>
          </cell>
          <cell r="L16">
            <v>-8</v>
          </cell>
          <cell r="O16">
            <v>56</v>
          </cell>
          <cell r="P16">
            <v>30</v>
          </cell>
          <cell r="Q16">
            <v>34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161</v>
          </cell>
          <cell r="E17">
            <v>105</v>
          </cell>
          <cell r="F17">
            <v>41</v>
          </cell>
          <cell r="G17">
            <v>0.4</v>
          </cell>
          <cell r="H17">
            <v>60</v>
          </cell>
          <cell r="I17" t="str">
            <v>матрица</v>
          </cell>
          <cell r="K17">
            <v>120</v>
          </cell>
          <cell r="L17">
            <v>-15</v>
          </cell>
          <cell r="O17">
            <v>0</v>
          </cell>
          <cell r="P17">
            <v>21</v>
          </cell>
          <cell r="Q17">
            <v>169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726.52800000000002</v>
          </cell>
          <cell r="D18">
            <v>135.84800000000001</v>
          </cell>
          <cell r="E18">
            <v>300.50200000000001</v>
          </cell>
          <cell r="F18">
            <v>534.851</v>
          </cell>
          <cell r="G18">
            <v>1</v>
          </cell>
          <cell r="H18">
            <v>45</v>
          </cell>
          <cell r="I18" t="str">
            <v>матрица</v>
          </cell>
          <cell r="K18">
            <v>296.2</v>
          </cell>
          <cell r="L18">
            <v>4.3020000000000209</v>
          </cell>
          <cell r="O18">
            <v>0</v>
          </cell>
          <cell r="P18">
            <v>60.1004</v>
          </cell>
          <cell r="Q18">
            <v>366.65499999999997</v>
          </cell>
          <cell r="R18">
            <v>400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76.980999999999995</v>
          </cell>
          <cell r="E19">
            <v>30.72</v>
          </cell>
          <cell r="F19">
            <v>44.759</v>
          </cell>
          <cell r="G19">
            <v>0</v>
          </cell>
          <cell r="H19">
            <v>120</v>
          </cell>
          <cell r="I19" t="str">
            <v>вывод</v>
          </cell>
          <cell r="K19">
            <v>31.2</v>
          </cell>
          <cell r="L19">
            <v>-0.48000000000000043</v>
          </cell>
          <cell r="O19">
            <v>0</v>
          </cell>
          <cell r="P19">
            <v>6.1440000000000001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149</v>
          </cell>
          <cell r="D20">
            <v>2</v>
          </cell>
          <cell r="E20">
            <v>81</v>
          </cell>
          <cell r="F20">
            <v>51</v>
          </cell>
          <cell r="G20">
            <v>0.4</v>
          </cell>
          <cell r="H20">
            <v>45</v>
          </cell>
          <cell r="I20" t="str">
            <v>матрица</v>
          </cell>
          <cell r="K20">
            <v>106</v>
          </cell>
          <cell r="L20">
            <v>-25</v>
          </cell>
          <cell r="O20">
            <v>0</v>
          </cell>
          <cell r="P20">
            <v>16.2</v>
          </cell>
          <cell r="Q20">
            <v>127.19999999999999</v>
          </cell>
          <cell r="R20">
            <v>160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901.04499999999996</v>
          </cell>
          <cell r="E21">
            <v>281.65699999999998</v>
          </cell>
          <cell r="F21">
            <v>582.649</v>
          </cell>
          <cell r="G21">
            <v>1</v>
          </cell>
          <cell r="H21">
            <v>60</v>
          </cell>
          <cell r="I21" t="str">
            <v>матрица</v>
          </cell>
          <cell r="K21">
            <v>269.5</v>
          </cell>
          <cell r="L21">
            <v>12.156999999999982</v>
          </cell>
          <cell r="O21">
            <v>0</v>
          </cell>
          <cell r="P21">
            <v>56.331399999999995</v>
          </cell>
          <cell r="Q21">
            <v>262.32199999999989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-1</v>
          </cell>
          <cell r="D22">
            <v>146</v>
          </cell>
          <cell r="E22">
            <v>137</v>
          </cell>
          <cell r="F22">
            <v>1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356</v>
          </cell>
          <cell r="L22">
            <v>-219</v>
          </cell>
          <cell r="O22">
            <v>400</v>
          </cell>
          <cell r="P22">
            <v>27.4</v>
          </cell>
          <cell r="Q22">
            <v>10</v>
          </cell>
          <cell r="R22">
            <v>200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61.966999999999999</v>
          </cell>
          <cell r="D23">
            <v>37.962000000000003</v>
          </cell>
          <cell r="E23">
            <v>44.524000000000001</v>
          </cell>
          <cell r="F23">
            <v>49.908999999999999</v>
          </cell>
          <cell r="G23">
            <v>1</v>
          </cell>
          <cell r="H23">
            <v>40</v>
          </cell>
          <cell r="I23" t="str">
            <v>матрица</v>
          </cell>
          <cell r="K23">
            <v>45.4</v>
          </cell>
          <cell r="L23">
            <v>-0.87599999999999767</v>
          </cell>
          <cell r="O23">
            <v>23</v>
          </cell>
          <cell r="P23">
            <v>8.9047999999999998</v>
          </cell>
          <cell r="Q23">
            <v>60.663000000000004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387.92500000000001</v>
          </cell>
          <cell r="E24">
            <v>213.17099999999999</v>
          </cell>
          <cell r="F24">
            <v>143.84200000000001</v>
          </cell>
          <cell r="G24">
            <v>1</v>
          </cell>
          <cell r="H24">
            <v>60</v>
          </cell>
          <cell r="I24" t="str">
            <v>матрица</v>
          </cell>
          <cell r="K24">
            <v>210.85</v>
          </cell>
          <cell r="L24">
            <v>2.320999999999998</v>
          </cell>
          <cell r="O24">
            <v>0</v>
          </cell>
          <cell r="P24">
            <v>42.6342</v>
          </cell>
          <cell r="Q24">
            <v>325.13419999999996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483</v>
          </cell>
          <cell r="D25">
            <v>1</v>
          </cell>
          <cell r="E25">
            <v>253</v>
          </cell>
          <cell r="F25">
            <v>154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267</v>
          </cell>
          <cell r="L25">
            <v>-14</v>
          </cell>
          <cell r="O25">
            <v>359</v>
          </cell>
          <cell r="P25">
            <v>50.6</v>
          </cell>
          <cell r="Q25">
            <v>246</v>
          </cell>
          <cell r="R25">
            <v>300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292</v>
          </cell>
          <cell r="D26">
            <v>50</v>
          </cell>
          <cell r="E26">
            <v>149</v>
          </cell>
          <cell r="F26">
            <v>160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155</v>
          </cell>
          <cell r="L26">
            <v>-6</v>
          </cell>
          <cell r="O26">
            <v>122</v>
          </cell>
          <cell r="P26">
            <v>29.8</v>
          </cell>
          <cell r="Q26">
            <v>165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486</v>
          </cell>
          <cell r="D27">
            <v>4</v>
          </cell>
          <cell r="E27">
            <v>117</v>
          </cell>
          <cell r="F27">
            <v>343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145</v>
          </cell>
          <cell r="L27">
            <v>-28</v>
          </cell>
          <cell r="O27">
            <v>0</v>
          </cell>
          <cell r="P27">
            <v>23.4</v>
          </cell>
          <cell r="Q27">
            <v>8</v>
          </cell>
          <cell r="R27">
            <v>30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699.255</v>
          </cell>
          <cell r="D28">
            <v>33.963000000000001</v>
          </cell>
          <cell r="E28">
            <v>371.25799999999998</v>
          </cell>
          <cell r="F28">
            <v>319.63600000000002</v>
          </cell>
          <cell r="G28">
            <v>1</v>
          </cell>
          <cell r="H28">
            <v>45</v>
          </cell>
          <cell r="I28" t="str">
            <v>матрица</v>
          </cell>
          <cell r="K28">
            <v>371.5</v>
          </cell>
          <cell r="L28">
            <v>-0.24200000000001864</v>
          </cell>
          <cell r="O28">
            <v>26</v>
          </cell>
          <cell r="P28">
            <v>74.251599999999996</v>
          </cell>
          <cell r="Q28">
            <v>619.63480000000004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154</v>
          </cell>
          <cell r="D29">
            <v>168</v>
          </cell>
          <cell r="E29">
            <v>209</v>
          </cell>
          <cell r="F29">
            <v>55</v>
          </cell>
          <cell r="G29">
            <v>0.4</v>
          </cell>
          <cell r="H29">
            <v>60</v>
          </cell>
          <cell r="I29" t="str">
            <v>матрица</v>
          </cell>
          <cell r="K29">
            <v>225</v>
          </cell>
          <cell r="L29">
            <v>-16</v>
          </cell>
          <cell r="O29">
            <v>453</v>
          </cell>
          <cell r="P29">
            <v>41.8</v>
          </cell>
          <cell r="Q29">
            <v>119</v>
          </cell>
          <cell r="R29">
            <v>150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813</v>
          </cell>
          <cell r="D30">
            <v>3</v>
          </cell>
          <cell r="E30">
            <v>279</v>
          </cell>
          <cell r="F30">
            <v>440</v>
          </cell>
          <cell r="G30">
            <v>0.4</v>
          </cell>
          <cell r="H30">
            <v>60</v>
          </cell>
          <cell r="I30" t="str">
            <v>матрица</v>
          </cell>
          <cell r="K30">
            <v>355</v>
          </cell>
          <cell r="L30">
            <v>-76</v>
          </cell>
          <cell r="O30">
            <v>91</v>
          </cell>
          <cell r="P30">
            <v>55.8</v>
          </cell>
          <cell r="Q30">
            <v>306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568</v>
          </cell>
          <cell r="D31">
            <v>2</v>
          </cell>
          <cell r="E31">
            <v>180</v>
          </cell>
          <cell r="F31">
            <v>335</v>
          </cell>
          <cell r="G31">
            <v>0.4</v>
          </cell>
          <cell r="H31">
            <v>60</v>
          </cell>
          <cell r="I31" t="str">
            <v>матрица</v>
          </cell>
          <cell r="K31">
            <v>204</v>
          </cell>
          <cell r="L31">
            <v>-24</v>
          </cell>
          <cell r="O31">
            <v>169</v>
          </cell>
          <cell r="P31">
            <v>36</v>
          </cell>
          <cell r="Q31">
            <v>36</v>
          </cell>
          <cell r="R31">
            <v>80</v>
          </cell>
        </row>
        <row r="32">
          <cell r="A32" t="str">
            <v>6495 ВЕТЧ.МРАМОРНАЯ в/у срез 0,3кг 6шт_45с  Останкино</v>
          </cell>
          <cell r="B32" t="str">
            <v>шт</v>
          </cell>
          <cell r="C32">
            <v>-94</v>
          </cell>
          <cell r="D32">
            <v>226</v>
          </cell>
          <cell r="E32">
            <v>120</v>
          </cell>
          <cell r="F32">
            <v>-13</v>
          </cell>
          <cell r="G32">
            <v>0</v>
          </cell>
          <cell r="H32">
            <v>45</v>
          </cell>
          <cell r="I32" t="str">
            <v>вывод</v>
          </cell>
          <cell r="J32" t="str">
            <v>7725 ВЕТ.МРАМОРНАЯ в/у срез 0.3кг 6шт_62  ОСТАНКИНО</v>
          </cell>
          <cell r="K32">
            <v>132</v>
          </cell>
          <cell r="L32">
            <v>-12</v>
          </cell>
          <cell r="O32">
            <v>0</v>
          </cell>
          <cell r="P32">
            <v>24</v>
          </cell>
        </row>
        <row r="33">
          <cell r="A33" t="str">
            <v>6498 МОЛОЧНАЯ Папа может вар п/о  ОСТАНКИНО</v>
          </cell>
          <cell r="B33" t="str">
            <v>кг</v>
          </cell>
          <cell r="C33">
            <v>280.08199999999999</v>
          </cell>
          <cell r="E33">
            <v>65.718999999999994</v>
          </cell>
          <cell r="F33">
            <v>205.24299999999999</v>
          </cell>
          <cell r="G33">
            <v>1</v>
          </cell>
          <cell r="H33">
            <v>60</v>
          </cell>
          <cell r="I33" t="str">
            <v>матрица</v>
          </cell>
          <cell r="K33">
            <v>64.5</v>
          </cell>
          <cell r="L33">
            <v>1.2189999999999941</v>
          </cell>
          <cell r="O33">
            <v>71</v>
          </cell>
          <cell r="P33">
            <v>13.143799999999999</v>
          </cell>
          <cell r="R33">
            <v>50</v>
          </cell>
        </row>
        <row r="34">
          <cell r="A34" t="str">
            <v>6527 ШПИКАЧКИ СОЧНЫЕ ПМ сар б/о мгс 1*3 45с ОСТАНКИНО</v>
          </cell>
          <cell r="B34" t="str">
            <v>кг</v>
          </cell>
          <cell r="C34">
            <v>375.14299999999997</v>
          </cell>
          <cell r="D34">
            <v>3.1179999999999999</v>
          </cell>
          <cell r="E34">
            <v>143.98400000000001</v>
          </cell>
          <cell r="F34">
            <v>214.39699999999999</v>
          </cell>
          <cell r="G34">
            <v>1</v>
          </cell>
          <cell r="H34">
            <v>45</v>
          </cell>
          <cell r="I34" t="str">
            <v>матрица</v>
          </cell>
          <cell r="K34">
            <v>149.4</v>
          </cell>
          <cell r="L34">
            <v>-5.4159999999999968</v>
          </cell>
          <cell r="O34">
            <v>0</v>
          </cell>
          <cell r="P34">
            <v>28.796800000000001</v>
          </cell>
          <cell r="Q34">
            <v>188.75820000000004</v>
          </cell>
        </row>
        <row r="35">
          <cell r="A35" t="str">
            <v>6550 МЯСНЫЕ Папа может сар б/о мгс 1*3 О 45с  Останкино</v>
          </cell>
          <cell r="B35" t="str">
            <v>кг</v>
          </cell>
          <cell r="C35">
            <v>378.97899999999998</v>
          </cell>
          <cell r="E35">
            <v>125.03100000000001</v>
          </cell>
          <cell r="F35">
            <v>237.13399999999999</v>
          </cell>
          <cell r="G35">
            <v>1</v>
          </cell>
          <cell r="H35">
            <v>45</v>
          </cell>
          <cell r="I35" t="str">
            <v>матрица</v>
          </cell>
          <cell r="K35">
            <v>124.5</v>
          </cell>
          <cell r="L35">
            <v>0.53100000000000591</v>
          </cell>
          <cell r="O35">
            <v>0</v>
          </cell>
          <cell r="P35">
            <v>25.0062</v>
          </cell>
          <cell r="Q35">
            <v>137.95900000000003</v>
          </cell>
        </row>
        <row r="36">
          <cell r="A36" t="str">
            <v>6602 БАВАРСКИЕ ПМ сос ц/о мгс 0,35кг 8шт  Останкино</v>
          </cell>
          <cell r="B36" t="str">
            <v>шт</v>
          </cell>
          <cell r="C36">
            <v>131</v>
          </cell>
          <cell r="D36">
            <v>2</v>
          </cell>
          <cell r="E36">
            <v>-41</v>
          </cell>
          <cell r="G36">
            <v>0</v>
          </cell>
          <cell r="I36" t="str">
            <v>РАЗОВО</v>
          </cell>
          <cell r="K36">
            <v>137</v>
          </cell>
          <cell r="L36">
            <v>-178</v>
          </cell>
          <cell r="O36">
            <v>0</v>
          </cell>
          <cell r="P36">
            <v>-8.1999999999999993</v>
          </cell>
        </row>
        <row r="37">
          <cell r="A37" t="str">
            <v>6608 С ГОВЯДИНОЙ ОРИГИН. сар б/о мгс 1*3_45с  ОСТАНКИНО</v>
          </cell>
          <cell r="B37" t="str">
            <v>кг</v>
          </cell>
          <cell r="C37">
            <v>306.26499999999999</v>
          </cell>
          <cell r="D37">
            <v>138.85</v>
          </cell>
          <cell r="E37">
            <v>120.848</v>
          </cell>
          <cell r="F37">
            <v>303.45800000000003</v>
          </cell>
          <cell r="G37">
            <v>1</v>
          </cell>
          <cell r="H37">
            <v>45</v>
          </cell>
          <cell r="I37" t="str">
            <v>матрица</v>
          </cell>
          <cell r="K37">
            <v>126.4</v>
          </cell>
          <cell r="L37">
            <v>-5.5520000000000067</v>
          </cell>
          <cell r="O37">
            <v>0</v>
          </cell>
          <cell r="P37">
            <v>24.169599999999999</v>
          </cell>
          <cell r="Q37">
            <v>59.085999999999956</v>
          </cell>
        </row>
        <row r="38">
          <cell r="A38" t="str">
            <v>6616 МОЛОЧНЫЕ КЛАССИЧЕСКИЕ сос п/о в/у 0,3 кг  Останкино</v>
          </cell>
          <cell r="B38" t="str">
            <v>шт</v>
          </cell>
          <cell r="C38">
            <v>547</v>
          </cell>
          <cell r="D38">
            <v>41</v>
          </cell>
          <cell r="E38">
            <v>263</v>
          </cell>
          <cell r="F38">
            <v>250</v>
          </cell>
          <cell r="G38">
            <v>0.3</v>
          </cell>
          <cell r="H38">
            <v>45</v>
          </cell>
          <cell r="I38" t="str">
            <v>матрица</v>
          </cell>
          <cell r="K38">
            <v>282</v>
          </cell>
          <cell r="L38">
            <v>-19</v>
          </cell>
          <cell r="O38">
            <v>41</v>
          </cell>
          <cell r="P38">
            <v>52.6</v>
          </cell>
          <cell r="Q38">
            <v>445.4</v>
          </cell>
        </row>
        <row r="39">
          <cell r="A39" t="str">
            <v>6620 РЕБРЫШКИ к/в в/у_30с  Останкино</v>
          </cell>
          <cell r="B39" t="str">
            <v>кг</v>
          </cell>
          <cell r="C39">
            <v>376.82799999999997</v>
          </cell>
          <cell r="D39">
            <v>180.886</v>
          </cell>
          <cell r="E39">
            <v>187.56899999999999</v>
          </cell>
          <cell r="F39">
            <v>352.28300000000002</v>
          </cell>
          <cell r="G39">
            <v>1</v>
          </cell>
          <cell r="H39">
            <v>30</v>
          </cell>
          <cell r="I39" t="str">
            <v>матрица</v>
          </cell>
          <cell r="K39">
            <v>185.9</v>
          </cell>
          <cell r="L39">
            <v>1.6689999999999827</v>
          </cell>
          <cell r="O39">
            <v>0</v>
          </cell>
          <cell r="P39">
            <v>37.513799999999996</v>
          </cell>
          <cell r="Q39">
            <v>210.42399999999998</v>
          </cell>
        </row>
        <row r="40">
          <cell r="A40" t="str">
            <v>6661 СОЧНЫЙ ГРИЛЬ ПМ сос п/о мгс 1,5*4_Маяк Останкино</v>
          </cell>
          <cell r="B40" t="str">
            <v>кг</v>
          </cell>
          <cell r="C40">
            <v>711.79899999999998</v>
          </cell>
          <cell r="D40">
            <v>24.984000000000002</v>
          </cell>
          <cell r="E40">
            <v>442.75900000000001</v>
          </cell>
          <cell r="F40">
            <v>275.43400000000003</v>
          </cell>
          <cell r="G40">
            <v>1</v>
          </cell>
          <cell r="H40">
            <v>45</v>
          </cell>
          <cell r="I40" t="str">
            <v>матрица</v>
          </cell>
          <cell r="K40">
            <v>417.5</v>
          </cell>
          <cell r="L40">
            <v>25.259000000000015</v>
          </cell>
          <cell r="O40">
            <v>0</v>
          </cell>
          <cell r="P40">
            <v>88.5518</v>
          </cell>
          <cell r="Q40">
            <v>698.63580000000002</v>
          </cell>
        </row>
        <row r="41">
          <cell r="A41" t="str">
            <v>6697 СЕРВЕЛАТ ФИНСКИЙ ПМ в/к в/у 0,35кг 8шт  ОСТАНКИНО</v>
          </cell>
          <cell r="B41" t="str">
            <v>шт</v>
          </cell>
          <cell r="C41">
            <v>826</v>
          </cell>
          <cell r="D41">
            <v>1</v>
          </cell>
          <cell r="E41">
            <v>382</v>
          </cell>
          <cell r="F41">
            <v>361</v>
          </cell>
          <cell r="G41">
            <v>0.35</v>
          </cell>
          <cell r="H41">
            <v>45</v>
          </cell>
          <cell r="I41" t="str">
            <v>матрица</v>
          </cell>
          <cell r="K41">
            <v>412</v>
          </cell>
          <cell r="L41">
            <v>-30</v>
          </cell>
          <cell r="O41">
            <v>149</v>
          </cell>
          <cell r="P41">
            <v>76.400000000000006</v>
          </cell>
          <cell r="Q41">
            <v>636</v>
          </cell>
        </row>
        <row r="42">
          <cell r="A42" t="str">
            <v>6713 СОЧНЫЙ ГРИЛЬ ПМ сос п/о мгс 0,41кг 8 шт.  ОСТАНКИНО</v>
          </cell>
          <cell r="B42" t="str">
            <v>шт</v>
          </cell>
          <cell r="C42">
            <v>460</v>
          </cell>
          <cell r="D42">
            <v>10</v>
          </cell>
          <cell r="E42">
            <v>212</v>
          </cell>
          <cell r="F42">
            <v>160</v>
          </cell>
          <cell r="G42">
            <v>0.41</v>
          </cell>
          <cell r="H42">
            <v>45</v>
          </cell>
          <cell r="I42" t="str">
            <v>ротация на код 7490</v>
          </cell>
          <cell r="K42">
            <v>293</v>
          </cell>
          <cell r="L42">
            <v>-81</v>
          </cell>
          <cell r="O42">
            <v>85</v>
          </cell>
          <cell r="P42">
            <v>42.4</v>
          </cell>
          <cell r="Q42">
            <v>348.6</v>
          </cell>
        </row>
        <row r="43">
          <cell r="A43" t="str">
            <v>6724 МОЛОЧНЫЕ ПМ сос п/о мгс 0,41кг 10шт  Останкино</v>
          </cell>
          <cell r="B43" t="str">
            <v>шт</v>
          </cell>
          <cell r="C43">
            <v>322</v>
          </cell>
          <cell r="D43">
            <v>4</v>
          </cell>
          <cell r="E43">
            <v>122</v>
          </cell>
          <cell r="F43">
            <v>168</v>
          </cell>
          <cell r="G43">
            <v>0.41</v>
          </cell>
          <cell r="H43">
            <v>45</v>
          </cell>
          <cell r="I43" t="str">
            <v>матрица</v>
          </cell>
          <cell r="K43">
            <v>130</v>
          </cell>
          <cell r="L43">
            <v>-8</v>
          </cell>
          <cell r="O43">
            <v>73</v>
          </cell>
          <cell r="P43">
            <v>24.4</v>
          </cell>
          <cell r="Q43">
            <v>125</v>
          </cell>
        </row>
        <row r="44">
          <cell r="A44" t="str">
            <v>6765 РУБЛЕНЫЕ сос ц/о мгс 0,36кг 6шт  Останкино</v>
          </cell>
          <cell r="B44" t="str">
            <v>шт</v>
          </cell>
          <cell r="C44">
            <v>240</v>
          </cell>
          <cell r="D44">
            <v>186</v>
          </cell>
          <cell r="E44">
            <v>306</v>
          </cell>
          <cell r="F44">
            <v>91</v>
          </cell>
          <cell r="G44">
            <v>0.36</v>
          </cell>
          <cell r="H44">
            <v>45</v>
          </cell>
          <cell r="I44" t="str">
            <v>матрица</v>
          </cell>
          <cell r="K44">
            <v>316</v>
          </cell>
          <cell r="L44">
            <v>-10</v>
          </cell>
          <cell r="O44">
            <v>236</v>
          </cell>
          <cell r="P44">
            <v>61.2</v>
          </cell>
          <cell r="Q44">
            <v>468.6</v>
          </cell>
        </row>
        <row r="45">
          <cell r="A45" t="str">
            <v>6787 СЕРВЕЛАТ КРЕМЛЕВСКИЙ в/к в/у 0,33кг 8шт  Останкино</v>
          </cell>
          <cell r="B45" t="str">
            <v>шт</v>
          </cell>
          <cell r="C45">
            <v>105</v>
          </cell>
          <cell r="D45">
            <v>1</v>
          </cell>
          <cell r="E45">
            <v>76</v>
          </cell>
          <cell r="F45">
            <v>3</v>
          </cell>
          <cell r="G45">
            <v>0.33</v>
          </cell>
          <cell r="H45">
            <v>45</v>
          </cell>
          <cell r="I45" t="str">
            <v>матрица</v>
          </cell>
          <cell r="K45">
            <v>97</v>
          </cell>
          <cell r="L45">
            <v>-21</v>
          </cell>
          <cell r="O45">
            <v>9</v>
          </cell>
          <cell r="P45">
            <v>15.2</v>
          </cell>
          <cell r="Q45">
            <v>124.79999999999998</v>
          </cell>
          <cell r="R45">
            <v>170</v>
          </cell>
        </row>
        <row r="46">
          <cell r="A46" t="str">
            <v>6797 С ИНДЕЙКОЙ Папа может вар п/о 0,4кг 8шт. ОСТАНКИНО</v>
          </cell>
          <cell r="B46" t="str">
            <v>шт</v>
          </cell>
          <cell r="C46">
            <v>145</v>
          </cell>
          <cell r="E46">
            <v>51</v>
          </cell>
          <cell r="F46">
            <v>79</v>
          </cell>
          <cell r="G46">
            <v>0.4</v>
          </cell>
          <cell r="H46">
            <v>60</v>
          </cell>
          <cell r="I46" t="str">
            <v>матрица</v>
          </cell>
          <cell r="K46">
            <v>68</v>
          </cell>
          <cell r="L46">
            <v>-17</v>
          </cell>
          <cell r="O46">
            <v>0</v>
          </cell>
          <cell r="P46">
            <v>10.199999999999999</v>
          </cell>
          <cell r="Q46">
            <v>74</v>
          </cell>
          <cell r="R46">
            <v>100</v>
          </cell>
        </row>
        <row r="47">
          <cell r="A47" t="str">
            <v>6807 СЕРВЕЛАТ ЕВРОПЕЙСКИЙ в/к в/у 0,33кг 8шт  Останкино</v>
          </cell>
          <cell r="B47" t="str">
            <v>шт</v>
          </cell>
          <cell r="C47">
            <v>67</v>
          </cell>
          <cell r="D47">
            <v>17</v>
          </cell>
          <cell r="E47">
            <v>40</v>
          </cell>
          <cell r="F47">
            <v>36</v>
          </cell>
          <cell r="G47">
            <v>0.33</v>
          </cell>
          <cell r="H47">
            <v>45</v>
          </cell>
          <cell r="I47" t="str">
            <v>матрица</v>
          </cell>
          <cell r="K47">
            <v>40</v>
          </cell>
          <cell r="L47">
            <v>0</v>
          </cell>
          <cell r="O47">
            <v>30</v>
          </cell>
          <cell r="P47">
            <v>8</v>
          </cell>
          <cell r="Q47">
            <v>54</v>
          </cell>
          <cell r="R47">
            <v>80</v>
          </cell>
        </row>
        <row r="48">
          <cell r="A48" t="str">
            <v>6829  МОЛОЧНЫЕ КЛАССИЧЕСКИЕ сос п/о мгс 2*4 С  Останккино</v>
          </cell>
          <cell r="B48" t="str">
            <v>кг</v>
          </cell>
          <cell r="C48">
            <v>643.01599999999996</v>
          </cell>
          <cell r="D48">
            <v>108.596</v>
          </cell>
          <cell r="E48">
            <v>489.41</v>
          </cell>
          <cell r="F48">
            <v>234.07</v>
          </cell>
          <cell r="G48">
            <v>1</v>
          </cell>
          <cell r="H48">
            <v>45</v>
          </cell>
          <cell r="I48" t="str">
            <v>матрица</v>
          </cell>
          <cell r="K48">
            <v>460.4</v>
          </cell>
          <cell r="L48">
            <v>29.010000000000048</v>
          </cell>
          <cell r="O48">
            <v>0</v>
          </cell>
          <cell r="P48">
            <v>97.882000000000005</v>
          </cell>
          <cell r="Q48">
            <v>744.75</v>
          </cell>
          <cell r="R48">
            <v>900</v>
          </cell>
        </row>
        <row r="49">
          <cell r="A49" t="str">
            <v>6837 ФИЛЕЙНЫЕ Папа Может сос ц/о мгс 0,4кг  Останкино</v>
          </cell>
          <cell r="B49" t="str">
            <v>шт</v>
          </cell>
          <cell r="C49">
            <v>106</v>
          </cell>
          <cell r="E49">
            <v>31</v>
          </cell>
          <cell r="F49">
            <v>50</v>
          </cell>
          <cell r="G49">
            <v>0.4</v>
          </cell>
          <cell r="H49">
            <v>45</v>
          </cell>
          <cell r="I49" t="str">
            <v>матрица</v>
          </cell>
          <cell r="K49">
            <v>45</v>
          </cell>
          <cell r="L49">
            <v>-14</v>
          </cell>
          <cell r="O49">
            <v>0</v>
          </cell>
          <cell r="P49">
            <v>6.2</v>
          </cell>
          <cell r="Q49">
            <v>43</v>
          </cell>
          <cell r="R49">
            <v>80</v>
          </cell>
        </row>
        <row r="50">
          <cell r="A50" t="str">
            <v>6861 ДОМАШНИЙ РЕЦЕПТ Коровино вар п/о  Останкино</v>
          </cell>
          <cell r="B50" t="str">
            <v>кг</v>
          </cell>
          <cell r="C50">
            <v>55.137</v>
          </cell>
          <cell r="E50">
            <v>17.765000000000001</v>
          </cell>
          <cell r="F50">
            <v>33.473999999999997</v>
          </cell>
          <cell r="G50">
            <v>1</v>
          </cell>
          <cell r="H50">
            <v>60</v>
          </cell>
          <cell r="I50" t="str">
            <v>ротация на код 7754</v>
          </cell>
          <cell r="K50">
            <v>18.100000000000001</v>
          </cell>
          <cell r="L50">
            <v>-0.33500000000000085</v>
          </cell>
          <cell r="O50">
            <v>0</v>
          </cell>
          <cell r="P50">
            <v>3.5529999999999999</v>
          </cell>
          <cell r="Q50">
            <v>19.821000000000005</v>
          </cell>
          <cell r="R50">
            <v>30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C51">
            <v>55.731999999999999</v>
          </cell>
          <cell r="E51">
            <v>30.327999999999999</v>
          </cell>
          <cell r="F51">
            <v>22.439</v>
          </cell>
          <cell r="G51">
            <v>1</v>
          </cell>
          <cell r="H51">
            <v>60</v>
          </cell>
          <cell r="I51" t="str">
            <v>матрица</v>
          </cell>
          <cell r="K51">
            <v>32.4</v>
          </cell>
          <cell r="L51">
            <v>-2.0719999999999992</v>
          </cell>
          <cell r="O51">
            <v>20</v>
          </cell>
          <cell r="P51">
            <v>6.0655999999999999</v>
          </cell>
          <cell r="Q51">
            <v>48.544999999999995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E52">
            <v>-0.52800000000000002</v>
          </cell>
          <cell r="G52">
            <v>1</v>
          </cell>
          <cell r="H52">
            <v>45</v>
          </cell>
          <cell r="I52" t="str">
            <v>матрица</v>
          </cell>
          <cell r="K52">
            <v>2.6</v>
          </cell>
          <cell r="L52">
            <v>-3.1280000000000001</v>
          </cell>
          <cell r="O52">
            <v>0</v>
          </cell>
          <cell r="P52">
            <v>-0.1056</v>
          </cell>
          <cell r="Q52">
            <v>0</v>
          </cell>
        </row>
        <row r="53">
          <cell r="A53" t="str">
            <v>6967 БУРГУНДИЯ Папа может с/к в/у 1/250 8шт  Останкино</v>
          </cell>
          <cell r="B53" t="str">
            <v>шт</v>
          </cell>
          <cell r="C53">
            <v>82</v>
          </cell>
          <cell r="D53">
            <v>16</v>
          </cell>
          <cell r="E53">
            <v>47</v>
          </cell>
          <cell r="F53">
            <v>51</v>
          </cell>
          <cell r="G53">
            <v>0.25</v>
          </cell>
          <cell r="H53">
            <v>120</v>
          </cell>
          <cell r="I53" t="str">
            <v>матрица</v>
          </cell>
          <cell r="K53">
            <v>57</v>
          </cell>
          <cell r="L53">
            <v>-10</v>
          </cell>
          <cell r="O53">
            <v>0</v>
          </cell>
          <cell r="P53">
            <v>9.4</v>
          </cell>
          <cell r="Q53">
            <v>71.2</v>
          </cell>
          <cell r="R53">
            <v>100</v>
          </cell>
        </row>
        <row r="54">
          <cell r="A54" t="str">
            <v>7001 КЛАССИЧЕСКИЕ Папа может сар б/о мгс 1*3  Останкино</v>
          </cell>
          <cell r="B54" t="str">
            <v>кг</v>
          </cell>
          <cell r="C54">
            <v>356.57</v>
          </cell>
          <cell r="E54">
            <v>39.433</v>
          </cell>
          <cell r="F54">
            <v>183.428</v>
          </cell>
          <cell r="G54">
            <v>1</v>
          </cell>
          <cell r="H54">
            <v>45</v>
          </cell>
          <cell r="I54" t="str">
            <v>матрица</v>
          </cell>
          <cell r="K54">
            <v>41.1</v>
          </cell>
          <cell r="L54">
            <v>-1.6670000000000016</v>
          </cell>
          <cell r="O54">
            <v>0</v>
          </cell>
          <cell r="P54">
            <v>7.8865999999999996</v>
          </cell>
          <cell r="R54">
            <v>50</v>
          </cell>
        </row>
        <row r="55">
          <cell r="A55" t="str">
            <v>7040 С ИНДЕЙКОЙ ПМ сос ц/о в/у 1/270 8шт.  ОСТАНКИНО</v>
          </cell>
          <cell r="B55" t="str">
            <v>шт</v>
          </cell>
          <cell r="C55">
            <v>124</v>
          </cell>
          <cell r="E55">
            <v>59</v>
          </cell>
          <cell r="F55">
            <v>48</v>
          </cell>
          <cell r="G55">
            <v>0.27</v>
          </cell>
          <cell r="H55">
            <v>45</v>
          </cell>
          <cell r="I55" t="str">
            <v>матрица</v>
          </cell>
          <cell r="K55">
            <v>93</v>
          </cell>
          <cell r="L55">
            <v>-34</v>
          </cell>
          <cell r="O55">
            <v>0</v>
          </cell>
          <cell r="P55">
            <v>11.8</v>
          </cell>
          <cell r="Q55">
            <v>93.600000000000023</v>
          </cell>
          <cell r="R55">
            <v>150</v>
          </cell>
        </row>
        <row r="56">
          <cell r="A56" t="str">
            <v>7059 ШПИКАЧКИ СОЧНЫЕ С БЕК. п/о мгс 0,3кг 60с ОСТАНКИНО</v>
          </cell>
          <cell r="B56" t="str">
            <v>шт</v>
          </cell>
          <cell r="C56">
            <v>441</v>
          </cell>
          <cell r="E56">
            <v>127</v>
          </cell>
          <cell r="F56">
            <v>297</v>
          </cell>
          <cell r="G56">
            <v>0.3</v>
          </cell>
          <cell r="H56">
            <v>60</v>
          </cell>
          <cell r="I56" t="str">
            <v>матрица</v>
          </cell>
          <cell r="K56">
            <v>127</v>
          </cell>
          <cell r="L56">
            <v>0</v>
          </cell>
          <cell r="O56">
            <v>32</v>
          </cell>
          <cell r="P56">
            <v>25.4</v>
          </cell>
          <cell r="Q56">
            <v>52</v>
          </cell>
        </row>
        <row r="57">
          <cell r="A57" t="str">
            <v>7066 СОЧНЫЕ ПМ сос п/о мгс 0,41кг 10шт 50с  Останкино</v>
          </cell>
          <cell r="B57" t="str">
            <v>шт</v>
          </cell>
          <cell r="C57">
            <v>1192</v>
          </cell>
          <cell r="D57">
            <v>12</v>
          </cell>
          <cell r="E57">
            <v>646</v>
          </cell>
          <cell r="F57">
            <v>389</v>
          </cell>
          <cell r="G57">
            <v>0.41</v>
          </cell>
          <cell r="H57">
            <v>50</v>
          </cell>
          <cell r="I57" t="str">
            <v>матрица</v>
          </cell>
          <cell r="K57">
            <v>734</v>
          </cell>
          <cell r="L57">
            <v>-88</v>
          </cell>
          <cell r="O57">
            <v>701</v>
          </cell>
          <cell r="P57">
            <v>129.19999999999999</v>
          </cell>
          <cell r="Q57">
            <v>847.99999999999977</v>
          </cell>
        </row>
        <row r="58">
          <cell r="A58" t="str">
            <v>7070 СОЧНЫЕ ПМ сос п/о 1,5*4_А_50с  Останкино</v>
          </cell>
          <cell r="B58" t="str">
            <v>кг</v>
          </cell>
          <cell r="C58">
            <v>1160.788</v>
          </cell>
          <cell r="E58">
            <v>446.71499999999997</v>
          </cell>
          <cell r="F58">
            <v>697.33399999999995</v>
          </cell>
          <cell r="G58">
            <v>1</v>
          </cell>
          <cell r="H58">
            <v>50</v>
          </cell>
          <cell r="I58" t="str">
            <v>матрица</v>
          </cell>
          <cell r="K58">
            <v>432.4</v>
          </cell>
          <cell r="L58">
            <v>14.314999999999998</v>
          </cell>
          <cell r="O58">
            <v>171</v>
          </cell>
          <cell r="P58">
            <v>89.342999999999989</v>
          </cell>
          <cell r="Q58">
            <v>471.81099999999981</v>
          </cell>
          <cell r="R58">
            <v>550</v>
          </cell>
        </row>
        <row r="59">
          <cell r="A59" t="str">
            <v>7073 МОЛОЧ.ПРЕМИУМ ПМ сос п/о в/у 1/350_50с  Останкино</v>
          </cell>
          <cell r="B59" t="str">
            <v>шт</v>
          </cell>
          <cell r="C59">
            <v>313</v>
          </cell>
          <cell r="E59">
            <v>27</v>
          </cell>
          <cell r="F59">
            <v>276</v>
          </cell>
          <cell r="G59">
            <v>0.35</v>
          </cell>
          <cell r="H59">
            <v>50</v>
          </cell>
          <cell r="I59" t="str">
            <v>матрица</v>
          </cell>
          <cell r="K59">
            <v>31</v>
          </cell>
          <cell r="L59">
            <v>-4</v>
          </cell>
          <cell r="O59">
            <v>0</v>
          </cell>
          <cell r="P59">
            <v>5.4</v>
          </cell>
        </row>
        <row r="60">
          <cell r="A60" t="str">
            <v>7075 МОЛОЧ.ПРЕМИУМ ПМ сос п/о мгс 1,5*4_О_50с  Останкино</v>
          </cell>
          <cell r="B60" t="str">
            <v>кг</v>
          </cell>
          <cell r="C60">
            <v>335.04700000000003</v>
          </cell>
          <cell r="E60">
            <v>65.183999999999997</v>
          </cell>
          <cell r="F60">
            <v>265.18200000000002</v>
          </cell>
          <cell r="G60">
            <v>1</v>
          </cell>
          <cell r="H60">
            <v>50</v>
          </cell>
          <cell r="I60" t="str">
            <v>матрица</v>
          </cell>
          <cell r="K60">
            <v>63.2</v>
          </cell>
          <cell r="L60">
            <v>1.9839999999999947</v>
          </cell>
          <cell r="O60">
            <v>0</v>
          </cell>
          <cell r="P60">
            <v>13.036799999999999</v>
          </cell>
        </row>
        <row r="61">
          <cell r="A61" t="str">
            <v>7080 СЛИВОЧНЫЕ ПМ сос п/о мгс 0,41кг 10шт 50с  Останкино</v>
          </cell>
          <cell r="B61" t="str">
            <v>шт</v>
          </cell>
          <cell r="C61">
            <v>845</v>
          </cell>
          <cell r="D61">
            <v>2</v>
          </cell>
          <cell r="E61">
            <v>356</v>
          </cell>
          <cell r="F61">
            <v>416</v>
          </cell>
          <cell r="G61">
            <v>0.41</v>
          </cell>
          <cell r="H61">
            <v>50</v>
          </cell>
          <cell r="I61" t="str">
            <v>матрица</v>
          </cell>
          <cell r="K61">
            <v>404</v>
          </cell>
          <cell r="L61">
            <v>-48</v>
          </cell>
          <cell r="O61">
            <v>227</v>
          </cell>
          <cell r="P61">
            <v>71.2</v>
          </cell>
          <cell r="Q61">
            <v>425</v>
          </cell>
        </row>
        <row r="62">
          <cell r="A62" t="str">
            <v>7083 СЛИВОЧНЫЕ ПМ сос п/о мгс 1.5*4_А_50с  ОСТАНКИНО</v>
          </cell>
          <cell r="B62" t="str">
            <v>кг</v>
          </cell>
          <cell r="C62">
            <v>461.67899999999997</v>
          </cell>
          <cell r="E62">
            <v>189.25399999999999</v>
          </cell>
          <cell r="F62">
            <v>256.31200000000001</v>
          </cell>
          <cell r="G62">
            <v>1</v>
          </cell>
          <cell r="H62">
            <v>50</v>
          </cell>
          <cell r="I62" t="str">
            <v>матрица</v>
          </cell>
          <cell r="K62">
            <v>180.5</v>
          </cell>
          <cell r="L62">
            <v>8.7539999999999907</v>
          </cell>
          <cell r="O62">
            <v>0</v>
          </cell>
          <cell r="P62">
            <v>37.8508</v>
          </cell>
          <cell r="Q62">
            <v>311.44999999999993</v>
          </cell>
          <cell r="R62">
            <v>370</v>
          </cell>
        </row>
        <row r="63">
          <cell r="A63" t="str">
            <v>7090 СВИНИНА ПО-ДОМ.к/в мл/к в/у 0,3кг_50с  Останкино</v>
          </cell>
          <cell r="B63" t="str">
            <v>шт</v>
          </cell>
          <cell r="C63">
            <v>149</v>
          </cell>
          <cell r="D63">
            <v>14</v>
          </cell>
          <cell r="E63">
            <v>84</v>
          </cell>
          <cell r="F63">
            <v>50</v>
          </cell>
          <cell r="G63">
            <v>0.3</v>
          </cell>
          <cell r="H63">
            <v>50</v>
          </cell>
          <cell r="I63" t="str">
            <v>матрица</v>
          </cell>
          <cell r="K63">
            <v>102</v>
          </cell>
          <cell r="L63">
            <v>-18</v>
          </cell>
          <cell r="O63">
            <v>165</v>
          </cell>
          <cell r="P63">
            <v>16.8</v>
          </cell>
          <cell r="Q63">
            <v>37</v>
          </cell>
          <cell r="R63">
            <v>150</v>
          </cell>
        </row>
        <row r="64">
          <cell r="A64" t="str">
            <v>7103 БЕКОН Останкино с/к с/н в/у 1/180_50с  Останкино</v>
          </cell>
          <cell r="B64" t="str">
            <v>шт</v>
          </cell>
          <cell r="C64">
            <v>733</v>
          </cell>
          <cell r="D64">
            <v>2</v>
          </cell>
          <cell r="E64">
            <v>190</v>
          </cell>
          <cell r="F64">
            <v>477</v>
          </cell>
          <cell r="G64">
            <v>0.18</v>
          </cell>
          <cell r="H64">
            <v>50</v>
          </cell>
          <cell r="I64" t="str">
            <v>матрица</v>
          </cell>
          <cell r="K64">
            <v>251</v>
          </cell>
          <cell r="L64">
            <v>-61</v>
          </cell>
          <cell r="O64">
            <v>103</v>
          </cell>
          <cell r="P64">
            <v>38</v>
          </cell>
        </row>
        <row r="65">
          <cell r="A65" t="str">
            <v>7143 БРАУНШВЕЙГСКАЯ ГОСТ с/к в/у 1/220 8шт.  ОСТАНКИНО</v>
          </cell>
          <cell r="B65" t="str">
            <v>шт</v>
          </cell>
          <cell r="C65">
            <v>26</v>
          </cell>
          <cell r="E65">
            <v>19</v>
          </cell>
          <cell r="F65">
            <v>5</v>
          </cell>
          <cell r="G65">
            <v>0.22</v>
          </cell>
          <cell r="H65">
            <v>120</v>
          </cell>
          <cell r="I65" t="str">
            <v>матрица</v>
          </cell>
          <cell r="K65">
            <v>19</v>
          </cell>
          <cell r="L65">
            <v>0</v>
          </cell>
          <cell r="O65">
            <v>20</v>
          </cell>
          <cell r="P65">
            <v>3.8</v>
          </cell>
          <cell r="Q65">
            <v>32</v>
          </cell>
          <cell r="R65">
            <v>50</v>
          </cell>
        </row>
        <row r="66">
          <cell r="A66" t="str">
            <v>7149 БАЛЫКОВАЯ Коровино п/к в/у 0,84кг_50с  Останкино</v>
          </cell>
          <cell r="B66" t="str">
            <v>шт</v>
          </cell>
          <cell r="C66">
            <v>229</v>
          </cell>
          <cell r="E66">
            <v>161</v>
          </cell>
          <cell r="F66">
            <v>63</v>
          </cell>
          <cell r="G66">
            <v>0.84</v>
          </cell>
          <cell r="H66">
            <v>50</v>
          </cell>
          <cell r="I66" t="str">
            <v>матрица</v>
          </cell>
          <cell r="K66">
            <v>160</v>
          </cell>
          <cell r="L66">
            <v>1</v>
          </cell>
          <cell r="O66">
            <v>0</v>
          </cell>
          <cell r="P66">
            <v>32.200000000000003</v>
          </cell>
          <cell r="Q66">
            <v>259</v>
          </cell>
        </row>
        <row r="67">
          <cell r="A67" t="str">
            <v>7154 СЕРВЕЛАТ ЗЕРНИСТЫЙ ПМ в/к в/у 0,35кг_50с  Останкино</v>
          </cell>
          <cell r="B67" t="str">
            <v>шт</v>
          </cell>
          <cell r="C67">
            <v>544</v>
          </cell>
          <cell r="D67">
            <v>442</v>
          </cell>
          <cell r="E67">
            <v>421</v>
          </cell>
          <cell r="F67">
            <v>492</v>
          </cell>
          <cell r="G67">
            <v>0.35</v>
          </cell>
          <cell r="H67">
            <v>50</v>
          </cell>
          <cell r="I67" t="str">
            <v>матрица</v>
          </cell>
          <cell r="K67">
            <v>438</v>
          </cell>
          <cell r="L67">
            <v>-17</v>
          </cell>
          <cell r="O67">
            <v>63</v>
          </cell>
          <cell r="P67">
            <v>84.2</v>
          </cell>
          <cell r="Q67">
            <v>708</v>
          </cell>
          <cell r="R67">
            <v>800</v>
          </cell>
        </row>
        <row r="68">
          <cell r="A68" t="str">
            <v>7156 СЕРВЕЛАТ КОПЧ.НА БУКЕ в/к в/у 0.35кг_50с  ОСТАНКИНО</v>
          </cell>
          <cell r="B68" t="str">
            <v>шт</v>
          </cell>
          <cell r="C68">
            <v>754</v>
          </cell>
          <cell r="E68">
            <v>273</v>
          </cell>
          <cell r="F68">
            <v>386</v>
          </cell>
          <cell r="G68">
            <v>0.35</v>
          </cell>
          <cell r="H68">
            <v>50</v>
          </cell>
          <cell r="I68" t="str">
            <v>матрица</v>
          </cell>
          <cell r="K68">
            <v>296</v>
          </cell>
          <cell r="L68">
            <v>-23</v>
          </cell>
          <cell r="O68">
            <v>50</v>
          </cell>
          <cell r="P68">
            <v>54.6</v>
          </cell>
          <cell r="Q68">
            <v>383</v>
          </cell>
          <cell r="R68">
            <v>450</v>
          </cell>
        </row>
        <row r="69">
          <cell r="A69" t="str">
            <v>7157 СЕРВЕЛАТ ЗЕРНИСТЫЙ ПМ в/к в/у_50с  Останкино</v>
          </cell>
          <cell r="B69" t="str">
            <v>кг</v>
          </cell>
          <cell r="C69">
            <v>720.27200000000005</v>
          </cell>
          <cell r="D69">
            <v>67.066000000000003</v>
          </cell>
          <cell r="E69">
            <v>259.52100000000002</v>
          </cell>
          <cell r="F69">
            <v>504.024</v>
          </cell>
          <cell r="G69">
            <v>1</v>
          </cell>
          <cell r="H69">
            <v>50</v>
          </cell>
          <cell r="I69" t="str">
            <v>матрица</v>
          </cell>
          <cell r="K69">
            <v>252.5</v>
          </cell>
          <cell r="L69">
            <v>7.021000000000015</v>
          </cell>
          <cell r="O69">
            <v>0</v>
          </cell>
          <cell r="P69">
            <v>51.904200000000003</v>
          </cell>
          <cell r="Q69">
            <v>274.5390000000001</v>
          </cell>
        </row>
        <row r="70">
          <cell r="A70" t="str">
            <v>7166 СЕРВЕЛАТ ОХОТНИЧИЙ ПМ в/к в/у_50с  Останкино</v>
          </cell>
          <cell r="B70" t="str">
            <v>кг</v>
          </cell>
          <cell r="C70">
            <v>612.38599999999997</v>
          </cell>
          <cell r="D70">
            <v>167.48</v>
          </cell>
          <cell r="E70">
            <v>291.86700000000002</v>
          </cell>
          <cell r="F70">
            <v>461.27199999999999</v>
          </cell>
          <cell r="G70">
            <v>1</v>
          </cell>
          <cell r="H70">
            <v>50</v>
          </cell>
          <cell r="I70" t="str">
            <v>матрица</v>
          </cell>
          <cell r="K70">
            <v>275.2</v>
          </cell>
          <cell r="L70">
            <v>16.66700000000003</v>
          </cell>
          <cell r="O70">
            <v>0</v>
          </cell>
          <cell r="P70">
            <v>58.373400000000004</v>
          </cell>
          <cell r="Q70">
            <v>414.32900000000012</v>
          </cell>
        </row>
        <row r="71">
          <cell r="A71" t="str">
            <v>7169 СЕРВЕЛАТ ОХОТНИЧИЙ ПМ в/к в/у 0,35кг_50с  Останкино</v>
          </cell>
          <cell r="B71" t="str">
            <v>шт</v>
          </cell>
          <cell r="C71">
            <v>795</v>
          </cell>
          <cell r="E71">
            <v>224</v>
          </cell>
          <cell r="F71">
            <v>529</v>
          </cell>
          <cell r="G71">
            <v>0.35</v>
          </cell>
          <cell r="H71">
            <v>50</v>
          </cell>
          <cell r="I71" t="str">
            <v>матрица</v>
          </cell>
          <cell r="K71">
            <v>243</v>
          </cell>
          <cell r="L71">
            <v>-19</v>
          </cell>
          <cell r="O71">
            <v>0</v>
          </cell>
          <cell r="P71">
            <v>44.8</v>
          </cell>
          <cell r="Q71">
            <v>143</v>
          </cell>
          <cell r="R71">
            <v>200</v>
          </cell>
        </row>
        <row r="72">
          <cell r="A72" t="str">
            <v>7187 ГРУДИНКА ПРЕМИУМ к/в мл/к в/у 0,3кг_50с  Останкино</v>
          </cell>
          <cell r="B72" t="str">
            <v>шт</v>
          </cell>
          <cell r="C72">
            <v>161</v>
          </cell>
          <cell r="E72">
            <v>68</v>
          </cell>
          <cell r="F72">
            <v>68</v>
          </cell>
          <cell r="G72">
            <v>0.3</v>
          </cell>
          <cell r="H72">
            <v>50</v>
          </cell>
          <cell r="I72" t="str">
            <v>матрица</v>
          </cell>
          <cell r="K72">
            <v>76</v>
          </cell>
          <cell r="L72">
            <v>-8</v>
          </cell>
          <cell r="O72">
            <v>15</v>
          </cell>
          <cell r="P72">
            <v>13.6</v>
          </cell>
          <cell r="Q72">
            <v>107.4</v>
          </cell>
        </row>
        <row r="73">
          <cell r="A73" t="str">
            <v>7231 КЛАССИЧЕСКАЯ ПМ вар п/о 0,3кг 8 шт_209к  Останкино</v>
          </cell>
          <cell r="B73" t="str">
            <v>шт</v>
          </cell>
          <cell r="C73">
            <v>339</v>
          </cell>
          <cell r="E73">
            <v>76</v>
          </cell>
          <cell r="F73">
            <v>249</v>
          </cell>
          <cell r="G73">
            <v>0.3</v>
          </cell>
          <cell r="H73">
            <v>60</v>
          </cell>
          <cell r="I73" t="str">
            <v>матрица</v>
          </cell>
          <cell r="K73">
            <v>86</v>
          </cell>
          <cell r="L73">
            <v>-10</v>
          </cell>
          <cell r="O73">
            <v>0</v>
          </cell>
          <cell r="P73">
            <v>15.2</v>
          </cell>
        </row>
        <row r="74">
          <cell r="A74" t="str">
            <v>7232 БОЯNСКАЯ ПМ п/к в/у 0,28кг 8шт_209к  Останкино</v>
          </cell>
          <cell r="B74" t="str">
            <v>шт</v>
          </cell>
          <cell r="C74">
            <v>376</v>
          </cell>
          <cell r="D74">
            <v>80</v>
          </cell>
          <cell r="E74">
            <v>160</v>
          </cell>
          <cell r="F74">
            <v>250</v>
          </cell>
          <cell r="G74">
            <v>0.28000000000000003</v>
          </cell>
          <cell r="H74">
            <v>50</v>
          </cell>
          <cell r="I74" t="str">
            <v>матрица</v>
          </cell>
          <cell r="K74">
            <v>165</v>
          </cell>
          <cell r="L74">
            <v>-5</v>
          </cell>
          <cell r="O74">
            <v>0</v>
          </cell>
          <cell r="P74">
            <v>32</v>
          </cell>
          <cell r="Q74">
            <v>230</v>
          </cell>
          <cell r="R74">
            <v>350</v>
          </cell>
        </row>
        <row r="75">
          <cell r="A75" t="str">
            <v>7236 СЕРВЕЛАТ КАРЕЛЬСКИЙ в/к в/у 0,28кг_209к  Останкино</v>
          </cell>
          <cell r="B75" t="str">
            <v>шт</v>
          </cell>
          <cell r="C75">
            <v>468</v>
          </cell>
          <cell r="E75">
            <v>184</v>
          </cell>
          <cell r="F75">
            <v>204</v>
          </cell>
          <cell r="G75">
            <v>0.28000000000000003</v>
          </cell>
          <cell r="H75">
            <v>45</v>
          </cell>
          <cell r="I75" t="str">
            <v>матрица</v>
          </cell>
          <cell r="K75">
            <v>196</v>
          </cell>
          <cell r="L75">
            <v>-12</v>
          </cell>
          <cell r="O75">
            <v>0</v>
          </cell>
          <cell r="P75">
            <v>36.799999999999997</v>
          </cell>
          <cell r="Q75">
            <v>311.19999999999993</v>
          </cell>
          <cell r="R75">
            <v>400</v>
          </cell>
        </row>
        <row r="76">
          <cell r="A76" t="str">
            <v>7241 САЛЯМИ Папа может п/к в/у 0,28кг ОСТАНКИНО</v>
          </cell>
          <cell r="B76" t="str">
            <v>шт</v>
          </cell>
          <cell r="C76">
            <v>881</v>
          </cell>
          <cell r="D76">
            <v>1</v>
          </cell>
          <cell r="E76">
            <v>487</v>
          </cell>
          <cell r="F76">
            <v>272</v>
          </cell>
          <cell r="G76">
            <v>0.28000000000000003</v>
          </cell>
          <cell r="H76">
            <v>45</v>
          </cell>
          <cell r="I76" t="str">
            <v>матрица</v>
          </cell>
          <cell r="K76">
            <v>535</v>
          </cell>
          <cell r="L76">
            <v>-48</v>
          </cell>
          <cell r="O76">
            <v>540</v>
          </cell>
          <cell r="P76">
            <v>97.4</v>
          </cell>
          <cell r="Q76">
            <v>649</v>
          </cell>
        </row>
        <row r="77">
          <cell r="A77" t="str">
            <v>7255 МЯСНЫЕ С ГОВЯД.ПМ сос п/о мгс 0.4кг 6шт.  ОСТАНКИНО</v>
          </cell>
          <cell r="B77" t="str">
            <v>шт</v>
          </cell>
          <cell r="C77">
            <v>506</v>
          </cell>
          <cell r="E77">
            <v>157</v>
          </cell>
          <cell r="F77">
            <v>300</v>
          </cell>
          <cell r="G77">
            <v>0.4</v>
          </cell>
          <cell r="H77">
            <v>50</v>
          </cell>
          <cell r="I77" t="str">
            <v>матрица</v>
          </cell>
          <cell r="K77">
            <v>160</v>
          </cell>
          <cell r="L77">
            <v>-3</v>
          </cell>
          <cell r="O77">
            <v>0</v>
          </cell>
          <cell r="P77">
            <v>31.4</v>
          </cell>
          <cell r="Q77">
            <v>171</v>
          </cell>
        </row>
        <row r="78">
          <cell r="A78" t="str">
            <v>7299 НАБОР ДЛЯ ПИЦЦЫ Папа Может с/к в/у  ОСТАНКИНО</v>
          </cell>
          <cell r="B78" t="str">
            <v>кг</v>
          </cell>
          <cell r="C78">
            <v>25.096</v>
          </cell>
          <cell r="D78">
            <v>1</v>
          </cell>
          <cell r="E78">
            <v>27.076000000000001</v>
          </cell>
          <cell r="F78">
            <v>-3.125</v>
          </cell>
          <cell r="G78">
            <v>1</v>
          </cell>
          <cell r="H78">
            <v>30</v>
          </cell>
          <cell r="I78" t="str">
            <v>матрица</v>
          </cell>
          <cell r="K78">
            <v>95.4</v>
          </cell>
          <cell r="L78">
            <v>-68.324000000000012</v>
          </cell>
          <cell r="O78">
            <v>423</v>
          </cell>
          <cell r="P78">
            <v>5.4152000000000005</v>
          </cell>
          <cell r="R78">
            <v>500</v>
          </cell>
        </row>
        <row r="79">
          <cell r="A79" t="str">
            <v>7344 КОНСЕРВЫ МЯС.ГОВЯДИНА ТУШ. В/С 338г_ЧЗ  ОСТАНКИНО</v>
          </cell>
          <cell r="B79" t="str">
            <v>шт</v>
          </cell>
          <cell r="C79">
            <v>46</v>
          </cell>
          <cell r="E79">
            <v>15</v>
          </cell>
          <cell r="F79">
            <v>31</v>
          </cell>
          <cell r="G79">
            <v>0.33800000000000002</v>
          </cell>
          <cell r="H79" t="str">
            <v>3 года</v>
          </cell>
          <cell r="I79" t="str">
            <v>матрица</v>
          </cell>
          <cell r="K79">
            <v>15</v>
          </cell>
          <cell r="L79">
            <v>0</v>
          </cell>
          <cell r="O79">
            <v>0</v>
          </cell>
          <cell r="P79">
            <v>3</v>
          </cell>
          <cell r="Q79">
            <v>14</v>
          </cell>
          <cell r="R79">
            <v>30</v>
          </cell>
        </row>
        <row r="80">
          <cell r="A80" t="str">
            <v>7345 КОНСЕРВЫ МЯС.СВИНИНА ТУШ. В/С 325г_ЧЗ  ОСТАНКИНО</v>
          </cell>
          <cell r="B80" t="str">
            <v>шт</v>
          </cell>
          <cell r="C80">
            <v>89</v>
          </cell>
          <cell r="E80">
            <v>18</v>
          </cell>
          <cell r="F80">
            <v>71</v>
          </cell>
          <cell r="G80">
            <v>0.32500000000000001</v>
          </cell>
          <cell r="H80" t="str">
            <v>3 года</v>
          </cell>
          <cell r="I80" t="str">
            <v>матрица</v>
          </cell>
          <cell r="K80">
            <v>18</v>
          </cell>
          <cell r="L80">
            <v>0</v>
          </cell>
          <cell r="O80">
            <v>0</v>
          </cell>
          <cell r="P80">
            <v>3.6</v>
          </cell>
        </row>
        <row r="81">
          <cell r="A81" t="str">
            <v>7382  САЛЯМИ МЕЛКОЗЕРНЕНАЯ с/к в/у1/120 8шт.  ОСТАНКИНО</v>
          </cell>
          <cell r="B81" t="str">
            <v>шт</v>
          </cell>
          <cell r="C81">
            <v>718</v>
          </cell>
          <cell r="D81">
            <v>1</v>
          </cell>
          <cell r="E81">
            <v>97</v>
          </cell>
          <cell r="F81">
            <v>604</v>
          </cell>
          <cell r="G81">
            <v>0.12</v>
          </cell>
          <cell r="H81">
            <v>60</v>
          </cell>
          <cell r="I81" t="str">
            <v>матрица</v>
          </cell>
          <cell r="K81">
            <v>118</v>
          </cell>
          <cell r="L81">
            <v>-21</v>
          </cell>
          <cell r="O81">
            <v>0</v>
          </cell>
          <cell r="P81">
            <v>19.399999999999999</v>
          </cell>
        </row>
        <row r="82">
          <cell r="A82" t="str">
            <v>7386 БАРСЕЛОНА ПМ с/к в/у 1/150  ОСТАНКИНО</v>
          </cell>
          <cell r="B82" t="str">
            <v>шт</v>
          </cell>
          <cell r="C82">
            <v>191</v>
          </cell>
          <cell r="E82">
            <v>111</v>
          </cell>
          <cell r="F82">
            <v>70</v>
          </cell>
          <cell r="G82">
            <v>0.15</v>
          </cell>
          <cell r="H82">
            <v>90</v>
          </cell>
          <cell r="I82" t="str">
            <v>матрица</v>
          </cell>
          <cell r="K82">
            <v>125</v>
          </cell>
          <cell r="L82">
            <v>-14</v>
          </cell>
          <cell r="O82">
            <v>69</v>
          </cell>
          <cell r="P82">
            <v>22.2</v>
          </cell>
          <cell r="Q82">
            <v>171.8</v>
          </cell>
        </row>
        <row r="83">
          <cell r="A83" t="str">
            <v>7399 САЛЯМИ ZHAZIRA ASLAM в/к в/у 0.82кг</v>
          </cell>
          <cell r="B83" t="str">
            <v>шт</v>
          </cell>
          <cell r="G83">
            <v>0</v>
          </cell>
          <cell r="H83">
            <v>45</v>
          </cell>
          <cell r="I83" t="str">
            <v>РАЗОВО / АСЛАМ</v>
          </cell>
          <cell r="L83">
            <v>0</v>
          </cell>
          <cell r="O83">
            <v>120</v>
          </cell>
          <cell r="P83">
            <v>0</v>
          </cell>
        </row>
        <row r="84">
          <cell r="A84" t="str">
            <v>7456 САЛЯМИ ФИНСКАЯ Папа может с/к в/у 1/150  ОСТАНКИНО</v>
          </cell>
          <cell r="B84" t="str">
            <v>шт</v>
          </cell>
          <cell r="C84">
            <v>131</v>
          </cell>
          <cell r="D84">
            <v>12</v>
          </cell>
          <cell r="E84">
            <v>79</v>
          </cell>
          <cell r="F84">
            <v>49</v>
          </cell>
          <cell r="G84">
            <v>0.15</v>
          </cell>
          <cell r="H84">
            <v>90</v>
          </cell>
          <cell r="I84" t="str">
            <v>матрица</v>
          </cell>
          <cell r="K84">
            <v>80</v>
          </cell>
          <cell r="L84">
            <v>-1</v>
          </cell>
          <cell r="O84">
            <v>66</v>
          </cell>
          <cell r="P84">
            <v>15.8</v>
          </cell>
          <cell r="Q84">
            <v>122</v>
          </cell>
        </row>
        <row r="85">
          <cell r="A85" t="str">
            <v>7461 ДЛЯ ДЕТЕЙ Папа Может сос п/о мгс 0,33кг ОСТАНКИНО</v>
          </cell>
          <cell r="B85" t="str">
            <v>шт</v>
          </cell>
          <cell r="C85">
            <v>156</v>
          </cell>
          <cell r="D85">
            <v>1</v>
          </cell>
          <cell r="E85">
            <v>94</v>
          </cell>
          <cell r="F85">
            <v>30</v>
          </cell>
          <cell r="G85">
            <v>0.33</v>
          </cell>
          <cell r="H85">
            <v>30</v>
          </cell>
          <cell r="I85" t="str">
            <v>матрица</v>
          </cell>
          <cell r="K85">
            <v>106</v>
          </cell>
          <cell r="L85">
            <v>-12</v>
          </cell>
          <cell r="O85">
            <v>55</v>
          </cell>
          <cell r="P85">
            <v>18.8</v>
          </cell>
          <cell r="Q85">
            <v>159.4</v>
          </cell>
          <cell r="R85">
            <v>250</v>
          </cell>
        </row>
        <row r="86">
          <cell r="A86" t="str">
            <v>7485 РИЕТ МЯСНОЙ С ГРИБАМИ ПМ п/о 1/150  ОСТАНКИНО</v>
          </cell>
          <cell r="B86" t="str">
            <v>шт</v>
          </cell>
          <cell r="C86">
            <v>422</v>
          </cell>
          <cell r="D86">
            <v>180</v>
          </cell>
          <cell r="E86">
            <v>281</v>
          </cell>
          <cell r="F86">
            <v>265</v>
          </cell>
          <cell r="G86">
            <v>0.15</v>
          </cell>
          <cell r="H86">
            <v>60</v>
          </cell>
          <cell r="I86" t="str">
            <v>матрица</v>
          </cell>
          <cell r="K86">
            <v>296</v>
          </cell>
          <cell r="L86">
            <v>-15</v>
          </cell>
          <cell r="O86">
            <v>325</v>
          </cell>
          <cell r="P86">
            <v>56.2</v>
          </cell>
          <cell r="Q86">
            <v>253</v>
          </cell>
        </row>
        <row r="87">
          <cell r="A87" t="str">
            <v>7513 ВОСКРЕСЕНСКАЯ ВЯЛЕНАЯ в/к в/у срез 1/260  ОСТАНКИНО</v>
          </cell>
          <cell r="B87" t="str">
            <v>шт</v>
          </cell>
          <cell r="G87">
            <v>0</v>
          </cell>
          <cell r="H87">
            <v>45</v>
          </cell>
          <cell r="I87" t="str">
            <v>матрица</v>
          </cell>
          <cell r="L87">
            <v>0</v>
          </cell>
          <cell r="O87">
            <v>0</v>
          </cell>
          <cell r="P87">
            <v>0</v>
          </cell>
        </row>
        <row r="88">
          <cell r="A88" t="str">
            <v>7514 ЛЮБИТЕЛЬСКАЯ ОСТАНКИНСКАЯ вар п/о в/у  ОСТАНКИНО</v>
          </cell>
          <cell r="B88" t="str">
            <v>кг</v>
          </cell>
          <cell r="G88">
            <v>0</v>
          </cell>
          <cell r="H88">
            <v>30</v>
          </cell>
          <cell r="I88" t="str">
            <v>матрица</v>
          </cell>
          <cell r="L88">
            <v>0</v>
          </cell>
          <cell r="O88">
            <v>0</v>
          </cell>
          <cell r="P88">
            <v>0</v>
          </cell>
        </row>
        <row r="89">
          <cell r="A89" t="str">
            <v>7516 НОВОМОСКОВСКАЯ в/к в/у срез 0.31кг  ОСТАНКИНО</v>
          </cell>
          <cell r="B89" t="str">
            <v>шт</v>
          </cell>
          <cell r="G89">
            <v>0</v>
          </cell>
          <cell r="H89">
            <v>45</v>
          </cell>
          <cell r="I89" t="str">
            <v>матрица</v>
          </cell>
          <cell r="L89">
            <v>0</v>
          </cell>
          <cell r="O89">
            <v>0</v>
          </cell>
          <cell r="P89">
            <v>0</v>
          </cell>
        </row>
        <row r="90">
          <cell r="A90" t="str">
            <v>7518 ТЕЛЯЧЬЯ ГОСТ Останкино вар п/о в/у  ОСТАНКИНО</v>
          </cell>
          <cell r="B90" t="str">
            <v>кг</v>
          </cell>
          <cell r="E90">
            <v>-2.1659999999999999</v>
          </cell>
          <cell r="G90">
            <v>0</v>
          </cell>
          <cell r="H90">
            <v>30</v>
          </cell>
          <cell r="I90" t="str">
            <v>матрица</v>
          </cell>
          <cell r="L90">
            <v>-2.1659999999999999</v>
          </cell>
          <cell r="O90">
            <v>0</v>
          </cell>
          <cell r="P90">
            <v>-0.43319999999999997</v>
          </cell>
        </row>
        <row r="91">
          <cell r="A91" t="str">
            <v>7523 ГОВЯЖЬЯ Папа Может вар п/о 0,4кг 6шт. ОСТАНКИНО</v>
          </cell>
          <cell r="B91" t="str">
            <v>шт</v>
          </cell>
          <cell r="C91">
            <v>195</v>
          </cell>
          <cell r="D91">
            <v>48</v>
          </cell>
          <cell r="E91">
            <v>122</v>
          </cell>
          <cell r="F91">
            <v>94</v>
          </cell>
          <cell r="G91">
            <v>0.4</v>
          </cell>
          <cell r="H91">
            <v>60</v>
          </cell>
          <cell r="I91" t="str">
            <v>матрица</v>
          </cell>
          <cell r="K91">
            <v>133</v>
          </cell>
          <cell r="L91">
            <v>-11</v>
          </cell>
          <cell r="O91">
            <v>103</v>
          </cell>
          <cell r="P91">
            <v>24.4</v>
          </cell>
          <cell r="Q91">
            <v>169</v>
          </cell>
        </row>
        <row r="92">
          <cell r="A92" t="str">
            <v>7539 ДОКТОРСКАЯ ГОСТ вар п/о 0,35кг ОСТАНКИНО</v>
          </cell>
          <cell r="B92" t="str">
            <v>шт</v>
          </cell>
          <cell r="G92">
            <v>0</v>
          </cell>
          <cell r="H92">
            <v>60</v>
          </cell>
          <cell r="I92" t="str">
            <v>матрица</v>
          </cell>
          <cell r="K92">
            <v>9</v>
          </cell>
          <cell r="L92">
            <v>-9</v>
          </cell>
          <cell r="O92">
            <v>0</v>
          </cell>
          <cell r="P92">
            <v>0</v>
          </cell>
        </row>
        <row r="93">
          <cell r="A93" t="str">
            <v>7562 КРАКОВСКАЯ ГОСТ Останкино п/к н/о мгс  ОСТАНКИНО</v>
          </cell>
          <cell r="B93" t="str">
            <v>кг</v>
          </cell>
          <cell r="G93">
            <v>0</v>
          </cell>
          <cell r="H93">
            <v>45</v>
          </cell>
          <cell r="I93" t="str">
            <v>матрица</v>
          </cell>
          <cell r="L93">
            <v>0</v>
          </cell>
          <cell r="O93">
            <v>0</v>
          </cell>
          <cell r="P93">
            <v>0</v>
          </cell>
        </row>
        <row r="94">
          <cell r="A94" t="str">
            <v>7564 Балыковая в/к в/у Останкино Вес  ОСТАНКИНО</v>
          </cell>
          <cell r="B94" t="str">
            <v>кг</v>
          </cell>
          <cell r="G94">
            <v>0</v>
          </cell>
          <cell r="I94" t="str">
            <v>матрица</v>
          </cell>
          <cell r="L94">
            <v>0</v>
          </cell>
          <cell r="O94">
            <v>0</v>
          </cell>
          <cell r="P94">
            <v>0</v>
          </cell>
        </row>
        <row r="95">
          <cell r="A95" t="str">
            <v>7603 БАЛЫКОВАЯ в/к в/у 0.33кг 8шт. ОСТАНКИНО</v>
          </cell>
          <cell r="B95" t="str">
            <v>шт</v>
          </cell>
          <cell r="C95">
            <v>306</v>
          </cell>
          <cell r="E95">
            <v>70</v>
          </cell>
          <cell r="F95">
            <v>215</v>
          </cell>
          <cell r="G95">
            <v>0.33</v>
          </cell>
          <cell r="H95">
            <v>45</v>
          </cell>
          <cell r="I95" t="str">
            <v>матрица</v>
          </cell>
          <cell r="K95">
            <v>75</v>
          </cell>
          <cell r="L95">
            <v>-5</v>
          </cell>
          <cell r="O95">
            <v>0</v>
          </cell>
          <cell r="P95">
            <v>14</v>
          </cell>
        </row>
        <row r="96">
          <cell r="A96" t="str">
            <v>7613 АРОМАТНАЯ с/к с/н в/у 1/100 10шт_Л10  ОСТАНКИНО</v>
          </cell>
          <cell r="B96" t="str">
            <v>шт</v>
          </cell>
          <cell r="C96">
            <v>679</v>
          </cell>
          <cell r="D96">
            <v>1</v>
          </cell>
          <cell r="E96">
            <v>227</v>
          </cell>
          <cell r="F96">
            <v>390</v>
          </cell>
          <cell r="G96">
            <v>0.1</v>
          </cell>
          <cell r="H96">
            <v>60</v>
          </cell>
          <cell r="I96" t="str">
            <v>матрица</v>
          </cell>
          <cell r="K96">
            <v>252</v>
          </cell>
          <cell r="L96">
            <v>-25</v>
          </cell>
          <cell r="O96">
            <v>128</v>
          </cell>
          <cell r="P96">
            <v>45.4</v>
          </cell>
          <cell r="Q96">
            <v>163</v>
          </cell>
          <cell r="R96">
            <v>200</v>
          </cell>
        </row>
        <row r="97">
          <cell r="A97" t="str">
            <v>7616 ЭКСТРА Папа может с/к с/н в/у 1/100_  ОСТАНКИНО</v>
          </cell>
          <cell r="B97" t="str">
            <v>шт</v>
          </cell>
          <cell r="C97">
            <v>418</v>
          </cell>
          <cell r="D97">
            <v>6</v>
          </cell>
          <cell r="E97">
            <v>182</v>
          </cell>
          <cell r="F97">
            <v>134</v>
          </cell>
          <cell r="G97">
            <v>0.1</v>
          </cell>
          <cell r="H97">
            <v>60</v>
          </cell>
          <cell r="I97" t="str">
            <v>матрица</v>
          </cell>
          <cell r="K97">
            <v>192</v>
          </cell>
          <cell r="L97">
            <v>-10</v>
          </cell>
          <cell r="O97">
            <v>699</v>
          </cell>
          <cell r="P97">
            <v>36.4</v>
          </cell>
          <cell r="R97">
            <v>150</v>
          </cell>
        </row>
        <row r="98">
          <cell r="A98" t="str">
            <v>7632 ЭКСТРА Папа может вар п/о 0.4кг 8шт_195к  ОСТАНКИНО</v>
          </cell>
          <cell r="B98" t="str">
            <v>шт</v>
          </cell>
          <cell r="C98">
            <v>354</v>
          </cell>
          <cell r="E98">
            <v>122</v>
          </cell>
          <cell r="F98">
            <v>199</v>
          </cell>
          <cell r="G98">
            <v>0.4</v>
          </cell>
          <cell r="H98">
            <v>60</v>
          </cell>
          <cell r="I98" t="str">
            <v>матрица</v>
          </cell>
          <cell r="K98">
            <v>125</v>
          </cell>
          <cell r="L98">
            <v>-3</v>
          </cell>
          <cell r="O98">
            <v>169</v>
          </cell>
          <cell r="P98">
            <v>24.4</v>
          </cell>
          <cell r="R98">
            <v>100</v>
          </cell>
        </row>
        <row r="99">
          <cell r="A99" t="str">
            <v>7651 ХОЧУ ВЕТЧ.МРАМОР. ПМ с/н мгс 1/100_Л11  ОСТАНКИНО</v>
          </cell>
          <cell r="B99" t="str">
            <v>шт</v>
          </cell>
          <cell r="C99">
            <v>150</v>
          </cell>
          <cell r="E99">
            <v>11</v>
          </cell>
          <cell r="F99">
            <v>77</v>
          </cell>
          <cell r="G99">
            <v>0</v>
          </cell>
          <cell r="I99" t="str">
            <v>вывод</v>
          </cell>
          <cell r="K99">
            <v>32</v>
          </cell>
          <cell r="L99">
            <v>-21</v>
          </cell>
          <cell r="O99">
            <v>0</v>
          </cell>
          <cell r="P99">
            <v>2.2000000000000002</v>
          </cell>
        </row>
        <row r="100">
          <cell r="A100" t="str">
            <v>7700 ЛИТОВСКАЯ с/к в/у</v>
          </cell>
          <cell r="B100" t="str">
            <v>кг</v>
          </cell>
          <cell r="D100">
            <v>70.831999999999994</v>
          </cell>
          <cell r="F100">
            <v>70.403999999999996</v>
          </cell>
          <cell r="G100">
            <v>1</v>
          </cell>
          <cell r="H100">
            <v>120</v>
          </cell>
          <cell r="I100" t="str">
            <v>матрица</v>
          </cell>
          <cell r="L100">
            <v>0</v>
          </cell>
          <cell r="P100">
            <v>0</v>
          </cell>
        </row>
        <row r="101">
          <cell r="A101" t="str">
            <v>7710 КРАКОВСКАЯ ГОСТ п/к н/о мгс 0.3кг  ОСТАНКИНО</v>
          </cell>
          <cell r="B101" t="str">
            <v>шт</v>
          </cell>
          <cell r="D101">
            <v>50</v>
          </cell>
          <cell r="E101">
            <v>49</v>
          </cell>
          <cell r="F101">
            <v>-1</v>
          </cell>
          <cell r="G101">
            <v>0.3</v>
          </cell>
          <cell r="H101">
            <v>45</v>
          </cell>
          <cell r="I101" t="str">
            <v>матрица</v>
          </cell>
          <cell r="K101">
            <v>174</v>
          </cell>
          <cell r="L101">
            <v>-125</v>
          </cell>
          <cell r="O101">
            <v>200</v>
          </cell>
          <cell r="P101">
            <v>9.8000000000000007</v>
          </cell>
          <cell r="Q101">
            <v>100</v>
          </cell>
          <cell r="R101">
            <v>400</v>
          </cell>
        </row>
        <row r="102">
          <cell r="A102" t="str">
            <v>7725 ВЕТ.МРАМОРНАЯ в/у срез 0.3кг 6шт_62  ОСТАНКИНО</v>
          </cell>
          <cell r="B102" t="str">
            <v>шт</v>
          </cell>
          <cell r="C102">
            <v>376</v>
          </cell>
          <cell r="D102">
            <v>273</v>
          </cell>
          <cell r="E102">
            <v>210</v>
          </cell>
          <cell r="F102">
            <v>292</v>
          </cell>
          <cell r="G102">
            <v>0.3</v>
          </cell>
          <cell r="H102">
            <v>62</v>
          </cell>
          <cell r="I102" t="str">
            <v>матрица</v>
          </cell>
          <cell r="K102">
            <v>102</v>
          </cell>
          <cell r="L102">
            <v>108</v>
          </cell>
          <cell r="O102">
            <v>216</v>
          </cell>
          <cell r="P102">
            <v>42</v>
          </cell>
          <cell r="Q102">
            <v>122</v>
          </cell>
        </row>
        <row r="103">
          <cell r="A103" t="str">
            <v>7730 ХОЧУ ВЕТЧ.ИЗ СВ.ОТРУБА мгс 1/100_45с_Л11  ОСТАНКИНО</v>
          </cell>
          <cell r="B103" t="str">
            <v>шт</v>
          </cell>
          <cell r="C103">
            <v>175</v>
          </cell>
          <cell r="D103">
            <v>3</v>
          </cell>
          <cell r="E103">
            <v>23</v>
          </cell>
          <cell r="F103">
            <v>145</v>
          </cell>
          <cell r="G103">
            <v>0.1</v>
          </cell>
          <cell r="H103">
            <v>45</v>
          </cell>
          <cell r="I103" t="str">
            <v>матрица</v>
          </cell>
          <cell r="K103">
            <v>32</v>
          </cell>
          <cell r="L103">
            <v>-9</v>
          </cell>
          <cell r="O103">
            <v>0</v>
          </cell>
          <cell r="P103">
            <v>4.5999999999999996</v>
          </cell>
        </row>
        <row r="104">
          <cell r="A104" t="str">
            <v>7731 ХОЧУ ВЕТЧ. МРАМОР. с/н мгс 1/100_45с_Л11  ОСТАНКИНО</v>
          </cell>
          <cell r="B104" t="str">
            <v>шт</v>
          </cell>
          <cell r="D104">
            <v>31</v>
          </cell>
          <cell r="E104">
            <v>30</v>
          </cell>
          <cell r="F104">
            <v>-3</v>
          </cell>
          <cell r="G104">
            <v>0.1</v>
          </cell>
          <cell r="I104" t="str">
            <v>матрица</v>
          </cell>
          <cell r="K104">
            <v>32</v>
          </cell>
          <cell r="L104">
            <v>-2</v>
          </cell>
          <cell r="P104">
            <v>6</v>
          </cell>
          <cell r="Q104">
            <v>51</v>
          </cell>
          <cell r="R104">
            <v>90</v>
          </cell>
        </row>
        <row r="105">
          <cell r="A105" t="str">
            <v>8014 ДОКТОРСКАЯ ПРЕМИУМ вар п/о(п)    ОСТАНКИНО</v>
          </cell>
          <cell r="B105" t="str">
            <v>кг</v>
          </cell>
          <cell r="C105">
            <v>85.825999999999993</v>
          </cell>
          <cell r="D105">
            <v>74.222999999999999</v>
          </cell>
          <cell r="E105">
            <v>70.305000000000007</v>
          </cell>
          <cell r="F105">
            <v>68.254999999999995</v>
          </cell>
          <cell r="G105">
            <v>1</v>
          </cell>
          <cell r="H105">
            <v>60</v>
          </cell>
          <cell r="I105" t="str">
            <v>матрица</v>
          </cell>
          <cell r="K105">
            <v>69.400000000000006</v>
          </cell>
          <cell r="L105">
            <v>0.90500000000000114</v>
          </cell>
          <cell r="O105">
            <v>0</v>
          </cell>
          <cell r="P105">
            <v>14.061000000000002</v>
          </cell>
          <cell r="Q105">
            <v>114.53800000000004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4" sqref="AH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26" customWidth="1"/>
    <col min="20" max="21" width="5" customWidth="1"/>
    <col min="22" max="31" width="6" customWidth="1"/>
    <col min="32" max="32" width="39.140625" customWidth="1"/>
    <col min="33" max="33" width="7" customWidth="1"/>
    <col min="34" max="34" width="7.7109375" customWidth="1"/>
    <col min="35" max="50" width="3" customWidth="1"/>
  </cols>
  <sheetData>
    <row r="1" spans="1:50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</row>
    <row r="2" spans="1:50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162</v>
      </c>
      <c r="S3" s="2" t="s">
        <v>164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</row>
    <row r="4" spans="1:50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22</v>
      </c>
      <c r="P4" s="12" t="s">
        <v>22</v>
      </c>
      <c r="Q4" s="12"/>
      <c r="R4" s="12" t="s">
        <v>163</v>
      </c>
      <c r="S4" s="12" t="s">
        <v>165</v>
      </c>
      <c r="T4" s="12"/>
      <c r="U4" s="12"/>
      <c r="V4" s="12" t="s">
        <v>23</v>
      </c>
      <c r="W4" s="12" t="s">
        <v>24</v>
      </c>
      <c r="X4" s="12" t="s">
        <v>25</v>
      </c>
      <c r="Y4" s="12" t="s">
        <v>26</v>
      </c>
      <c r="Z4" s="12" t="s">
        <v>27</v>
      </c>
      <c r="AA4" s="12" t="s">
        <v>28</v>
      </c>
      <c r="AB4" s="12" t="s">
        <v>29</v>
      </c>
      <c r="AC4" s="12" t="s">
        <v>30</v>
      </c>
      <c r="AD4" s="12" t="s">
        <v>31</v>
      </c>
      <c r="AE4" s="12" t="s">
        <v>32</v>
      </c>
      <c r="AF4" s="12"/>
      <c r="AG4" s="12"/>
      <c r="AH4" s="12">
        <f>AH5*6</f>
        <v>10004.792399999993</v>
      </c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</row>
    <row r="5" spans="1:50" x14ac:dyDescent="0.25">
      <c r="A5" s="12"/>
      <c r="B5" s="12"/>
      <c r="C5" s="12"/>
      <c r="D5" s="12"/>
      <c r="E5" s="3">
        <f>SUM(E6:E496)</f>
        <v>14564.451000000001</v>
      </c>
      <c r="F5" s="3">
        <f>SUM(F6:F496)</f>
        <v>19010.876000000004</v>
      </c>
      <c r="G5" s="6"/>
      <c r="H5" s="12"/>
      <c r="I5" s="12"/>
      <c r="J5" s="12"/>
      <c r="K5" s="3">
        <f t="shared" ref="K5:S5" si="0">SUM(K6:K496)</f>
        <v>15949.4</v>
      </c>
      <c r="L5" s="3">
        <f t="shared" si="0"/>
        <v>-1384.9490000000001</v>
      </c>
      <c r="M5" s="3">
        <f t="shared" si="0"/>
        <v>0</v>
      </c>
      <c r="N5" s="3">
        <f t="shared" si="0"/>
        <v>0</v>
      </c>
      <c r="O5" s="3">
        <f t="shared" si="0"/>
        <v>8358</v>
      </c>
      <c r="P5" s="3">
        <f t="shared" si="0"/>
        <v>2912.8902000000007</v>
      </c>
      <c r="Q5" s="3">
        <f t="shared" si="0"/>
        <v>16500.262000000002</v>
      </c>
      <c r="R5" s="3">
        <f t="shared" si="0"/>
        <v>18988</v>
      </c>
      <c r="S5" s="3">
        <f t="shared" si="0"/>
        <v>8070</v>
      </c>
      <c r="T5" s="12"/>
      <c r="U5" s="12"/>
      <c r="V5" s="3">
        <f t="shared" ref="V5:AE5" si="1">SUM(V6:V496)</f>
        <v>2598.9234000000006</v>
      </c>
      <c r="W5" s="3">
        <f t="shared" si="1"/>
        <v>2608.1535999999992</v>
      </c>
      <c r="X5" s="3">
        <f t="shared" si="1"/>
        <v>2670.7696000000005</v>
      </c>
      <c r="Y5" s="3">
        <f t="shared" si="1"/>
        <v>2824.0672000000009</v>
      </c>
      <c r="Z5" s="3">
        <f t="shared" si="1"/>
        <v>3214.5780000000004</v>
      </c>
      <c r="AA5" s="3">
        <f t="shared" si="1"/>
        <v>2973.7814000000003</v>
      </c>
      <c r="AB5" s="3">
        <f t="shared" si="1"/>
        <v>2639.1455999999998</v>
      </c>
      <c r="AC5" s="3">
        <f t="shared" si="1"/>
        <v>2648.2276000000002</v>
      </c>
      <c r="AD5" s="3">
        <f t="shared" si="1"/>
        <v>3067.9252000000001</v>
      </c>
      <c r="AE5" s="3">
        <f t="shared" si="1"/>
        <v>2373.5494000000003</v>
      </c>
      <c r="AF5" s="12"/>
      <c r="AG5" s="3">
        <f>SUM(AG6:AG496)</f>
        <v>11464.83</v>
      </c>
      <c r="AH5" s="3">
        <f>SUM(AH6:AH496)</f>
        <v>1667.4653999999989</v>
      </c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</row>
    <row r="6" spans="1:50" x14ac:dyDescent="0.25">
      <c r="A6" s="12" t="s">
        <v>33</v>
      </c>
      <c r="B6" s="12" t="s">
        <v>34</v>
      </c>
      <c r="C6" s="12">
        <v>175.87299999999999</v>
      </c>
      <c r="D6" s="12"/>
      <c r="E6" s="12">
        <v>3.8</v>
      </c>
      <c r="F6" s="12">
        <v>171.547</v>
      </c>
      <c r="G6" s="6">
        <v>1</v>
      </c>
      <c r="H6" s="12">
        <v>120</v>
      </c>
      <c r="I6" s="12" t="s">
        <v>35</v>
      </c>
      <c r="J6" s="12"/>
      <c r="K6" s="12">
        <v>3.2</v>
      </c>
      <c r="L6" s="12">
        <f t="shared" ref="L6:L37" si="2">E6-K6</f>
        <v>0.59999999999999964</v>
      </c>
      <c r="M6" s="12"/>
      <c r="N6" s="12"/>
      <c r="O6" s="12">
        <v>0</v>
      </c>
      <c r="P6" s="12">
        <f t="shared" ref="P6:P37" si="3">E6/5</f>
        <v>0.76</v>
      </c>
      <c r="Q6" s="4"/>
      <c r="R6" s="4">
        <f>ROUND(Q6,0)</f>
        <v>0</v>
      </c>
      <c r="S6" s="25"/>
      <c r="T6" s="12">
        <f>(F6+O6+R6)/P6</f>
        <v>225.71973684210525</v>
      </c>
      <c r="U6" s="12">
        <f t="shared" ref="U6:U37" si="4">(F6+O6)/P6</f>
        <v>225.71973684210525</v>
      </c>
      <c r="V6" s="12">
        <v>0.86999999999999988</v>
      </c>
      <c r="W6" s="12">
        <v>3.9201999999999999</v>
      </c>
      <c r="X6" s="12">
        <v>0.1074</v>
      </c>
      <c r="Y6" s="12">
        <v>0.21740000000000001</v>
      </c>
      <c r="Z6" s="12">
        <v>1.3042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22" t="s">
        <v>36</v>
      </c>
      <c r="AG6" s="12">
        <f>G6*R6</f>
        <v>0</v>
      </c>
      <c r="AH6" s="12">
        <f>P6*G6</f>
        <v>0.76</v>
      </c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</row>
    <row r="7" spans="1:50" x14ac:dyDescent="0.25">
      <c r="A7" s="12" t="s">
        <v>37</v>
      </c>
      <c r="B7" s="12" t="s">
        <v>38</v>
      </c>
      <c r="C7" s="12">
        <v>219</v>
      </c>
      <c r="D7" s="12">
        <v>48</v>
      </c>
      <c r="E7" s="12">
        <v>150</v>
      </c>
      <c r="F7" s="12">
        <v>64</v>
      </c>
      <c r="G7" s="6">
        <v>0.4</v>
      </c>
      <c r="H7" s="12">
        <v>60</v>
      </c>
      <c r="I7" s="12" t="s">
        <v>35</v>
      </c>
      <c r="J7" s="12"/>
      <c r="K7" s="12">
        <v>170</v>
      </c>
      <c r="L7" s="12">
        <f t="shared" si="2"/>
        <v>-20</v>
      </c>
      <c r="M7" s="12"/>
      <c r="N7" s="12"/>
      <c r="O7" s="12">
        <v>246</v>
      </c>
      <c r="P7" s="12">
        <f t="shared" si="3"/>
        <v>30</v>
      </c>
      <c r="Q7" s="4">
        <f t="shared" ref="Q7:Q18" si="5">15*P7-O7-F7</f>
        <v>140</v>
      </c>
      <c r="R7" s="4">
        <f t="shared" ref="R7:R70" si="6">ROUND(Q7,0)</f>
        <v>140</v>
      </c>
      <c r="S7" s="25"/>
      <c r="T7" s="12">
        <f t="shared" ref="T7:T70" si="7">(F7+O7+R7)/P7</f>
        <v>15</v>
      </c>
      <c r="U7" s="12">
        <f t="shared" si="4"/>
        <v>10.333333333333334</v>
      </c>
      <c r="V7" s="12">
        <v>33</v>
      </c>
      <c r="W7" s="12">
        <v>16</v>
      </c>
      <c r="X7" s="12">
        <v>30.8</v>
      </c>
      <c r="Y7" s="12">
        <v>22.6</v>
      </c>
      <c r="Z7" s="12">
        <v>29.8</v>
      </c>
      <c r="AA7" s="12">
        <v>23</v>
      </c>
      <c r="AB7" s="12">
        <v>32.4</v>
      </c>
      <c r="AC7" s="12">
        <v>20.2</v>
      </c>
      <c r="AD7" s="12">
        <v>22.6</v>
      </c>
      <c r="AE7" s="12">
        <v>23.2</v>
      </c>
      <c r="AF7" s="12"/>
      <c r="AG7" s="12">
        <f t="shared" ref="AG7:AG70" si="8">G7*R7</f>
        <v>56</v>
      </c>
      <c r="AH7" s="12">
        <f t="shared" ref="AH7:AH70" si="9">P7*G7</f>
        <v>12</v>
      </c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</row>
    <row r="8" spans="1:50" x14ac:dyDescent="0.25">
      <c r="A8" s="12" t="s">
        <v>39</v>
      </c>
      <c r="B8" s="12" t="s">
        <v>34</v>
      </c>
      <c r="C8" s="12">
        <v>96.495000000000005</v>
      </c>
      <c r="D8" s="12">
        <v>0.99399999999999999</v>
      </c>
      <c r="E8" s="12">
        <v>35.17</v>
      </c>
      <c r="F8" s="12">
        <v>60.314999999999998</v>
      </c>
      <c r="G8" s="6">
        <v>1</v>
      </c>
      <c r="H8" s="12">
        <v>120</v>
      </c>
      <c r="I8" s="12" t="s">
        <v>35</v>
      </c>
      <c r="J8" s="12"/>
      <c r="K8" s="12">
        <v>36.700000000000003</v>
      </c>
      <c r="L8" s="12">
        <f t="shared" si="2"/>
        <v>-1.5300000000000011</v>
      </c>
      <c r="M8" s="12"/>
      <c r="N8" s="12"/>
      <c r="O8" s="12">
        <v>23</v>
      </c>
      <c r="P8" s="12">
        <f t="shared" si="3"/>
        <v>7.0340000000000007</v>
      </c>
      <c r="Q8" s="4">
        <f t="shared" si="5"/>
        <v>22.195000000000007</v>
      </c>
      <c r="R8" s="4">
        <f t="shared" si="6"/>
        <v>22</v>
      </c>
      <c r="S8" s="25"/>
      <c r="T8" s="12">
        <f t="shared" si="7"/>
        <v>14.972277509240829</v>
      </c>
      <c r="U8" s="12">
        <f t="shared" si="4"/>
        <v>11.844611885129369</v>
      </c>
      <c r="V8" s="12">
        <v>7.9428000000000001</v>
      </c>
      <c r="W8" s="12">
        <v>1.0052000000000001</v>
      </c>
      <c r="X8" s="12">
        <v>2.4647999999999999</v>
      </c>
      <c r="Y8" s="12">
        <v>8.1918000000000006</v>
      </c>
      <c r="Z8" s="12">
        <v>2.5813999999999999</v>
      </c>
      <c r="AA8" s="12">
        <v>0.79560000000000008</v>
      </c>
      <c r="AB8" s="12">
        <v>0.99399999999999999</v>
      </c>
      <c r="AC8" s="12">
        <v>2.5045999999999999</v>
      </c>
      <c r="AD8" s="12">
        <v>4.4005999999999998</v>
      </c>
      <c r="AE8" s="12">
        <v>1.4883999999999999</v>
      </c>
      <c r="AF8" s="12"/>
      <c r="AG8" s="12">
        <f t="shared" si="8"/>
        <v>22</v>
      </c>
      <c r="AH8" s="12">
        <f t="shared" si="9"/>
        <v>7.0340000000000007</v>
      </c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</row>
    <row r="9" spans="1:50" x14ac:dyDescent="0.25">
      <c r="A9" s="12" t="s">
        <v>40</v>
      </c>
      <c r="B9" s="12" t="s">
        <v>38</v>
      </c>
      <c r="C9" s="12">
        <v>566</v>
      </c>
      <c r="D9" s="12"/>
      <c r="E9" s="12">
        <v>41</v>
      </c>
      <c r="F9" s="12">
        <v>511</v>
      </c>
      <c r="G9" s="6">
        <v>0.25</v>
      </c>
      <c r="H9" s="12">
        <v>120</v>
      </c>
      <c r="I9" s="12" t="s">
        <v>35</v>
      </c>
      <c r="J9" s="12"/>
      <c r="K9" s="12">
        <v>41</v>
      </c>
      <c r="L9" s="12">
        <f t="shared" si="2"/>
        <v>0</v>
      </c>
      <c r="M9" s="12"/>
      <c r="N9" s="12"/>
      <c r="O9" s="12">
        <v>0</v>
      </c>
      <c r="P9" s="12">
        <f t="shared" si="3"/>
        <v>8.1999999999999993</v>
      </c>
      <c r="Q9" s="4"/>
      <c r="R9" s="4">
        <f t="shared" si="6"/>
        <v>0</v>
      </c>
      <c r="S9" s="25"/>
      <c r="T9" s="12">
        <f t="shared" si="7"/>
        <v>62.31707317073171</v>
      </c>
      <c r="U9" s="12">
        <f t="shared" si="4"/>
        <v>62.31707317073171</v>
      </c>
      <c r="V9" s="12">
        <v>7.6</v>
      </c>
      <c r="W9" s="12">
        <v>16.8</v>
      </c>
      <c r="X9" s="12">
        <v>16.8</v>
      </c>
      <c r="Y9" s="12">
        <v>25.4</v>
      </c>
      <c r="Z9" s="12">
        <v>14.6</v>
      </c>
      <c r="AA9" s="12">
        <v>9.6</v>
      </c>
      <c r="AB9" s="12">
        <v>7.2</v>
      </c>
      <c r="AC9" s="12">
        <v>10.4</v>
      </c>
      <c r="AD9" s="12">
        <v>12.6</v>
      </c>
      <c r="AE9" s="12">
        <v>8.4</v>
      </c>
      <c r="AF9" s="22" t="s">
        <v>41</v>
      </c>
      <c r="AG9" s="12">
        <f t="shared" si="8"/>
        <v>0</v>
      </c>
      <c r="AH9" s="12">
        <f t="shared" si="9"/>
        <v>2.0499999999999998</v>
      </c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</row>
    <row r="10" spans="1:50" x14ac:dyDescent="0.25">
      <c r="A10" s="12" t="s">
        <v>42</v>
      </c>
      <c r="B10" s="12" t="s">
        <v>34</v>
      </c>
      <c r="C10" s="12">
        <v>751.39200000000005</v>
      </c>
      <c r="D10" s="12">
        <v>590.13199999999995</v>
      </c>
      <c r="E10" s="12">
        <v>713.37699999999995</v>
      </c>
      <c r="F10" s="12">
        <v>538.77800000000002</v>
      </c>
      <c r="G10" s="6">
        <v>1</v>
      </c>
      <c r="H10" s="12">
        <v>60</v>
      </c>
      <c r="I10" s="12" t="s">
        <v>35</v>
      </c>
      <c r="J10" s="12"/>
      <c r="K10" s="12">
        <v>698.4</v>
      </c>
      <c r="L10" s="12">
        <f t="shared" si="2"/>
        <v>14.976999999999975</v>
      </c>
      <c r="M10" s="12"/>
      <c r="N10" s="12"/>
      <c r="O10" s="12">
        <v>632</v>
      </c>
      <c r="P10" s="12">
        <f t="shared" si="3"/>
        <v>142.6754</v>
      </c>
      <c r="Q10" s="4">
        <f t="shared" si="5"/>
        <v>969.35299999999984</v>
      </c>
      <c r="R10" s="4">
        <f t="shared" si="6"/>
        <v>969</v>
      </c>
      <c r="S10" s="25"/>
      <c r="T10" s="12">
        <f t="shared" si="7"/>
        <v>14.997525852389412</v>
      </c>
      <c r="U10" s="12">
        <f t="shared" si="4"/>
        <v>8.2058855275681726</v>
      </c>
      <c r="V10" s="12">
        <v>129.93680000000001</v>
      </c>
      <c r="W10" s="12">
        <v>130.52940000000001</v>
      </c>
      <c r="X10" s="12">
        <v>105.297</v>
      </c>
      <c r="Y10" s="12">
        <v>148.8186</v>
      </c>
      <c r="Z10" s="12">
        <v>163.08619999999999</v>
      </c>
      <c r="AA10" s="12">
        <v>98.185000000000002</v>
      </c>
      <c r="AB10" s="12">
        <v>188.5754</v>
      </c>
      <c r="AC10" s="12">
        <v>112.44499999999999</v>
      </c>
      <c r="AD10" s="12">
        <v>197.815</v>
      </c>
      <c r="AE10" s="12">
        <v>137.0042</v>
      </c>
      <c r="AF10" s="12"/>
      <c r="AG10" s="12">
        <f t="shared" si="8"/>
        <v>969</v>
      </c>
      <c r="AH10" s="12">
        <f t="shared" si="9"/>
        <v>142.6754</v>
      </c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</row>
    <row r="11" spans="1:50" x14ac:dyDescent="0.25">
      <c r="A11" s="12" t="s">
        <v>43</v>
      </c>
      <c r="B11" s="12" t="s">
        <v>34</v>
      </c>
      <c r="C11" s="12">
        <v>61.305999999999997</v>
      </c>
      <c r="D11" s="12">
        <v>28.289000000000001</v>
      </c>
      <c r="E11" s="12">
        <v>32.622999999999998</v>
      </c>
      <c r="F11" s="12">
        <v>55.975999999999999</v>
      </c>
      <c r="G11" s="6">
        <v>1</v>
      </c>
      <c r="H11" s="12">
        <v>120</v>
      </c>
      <c r="I11" s="12" t="s">
        <v>35</v>
      </c>
      <c r="J11" s="12"/>
      <c r="K11" s="12">
        <v>32.700000000000003</v>
      </c>
      <c r="L11" s="12">
        <f t="shared" si="2"/>
        <v>-7.7000000000005286E-2</v>
      </c>
      <c r="M11" s="12"/>
      <c r="N11" s="12"/>
      <c r="O11" s="12">
        <v>22</v>
      </c>
      <c r="P11" s="12">
        <f t="shared" si="3"/>
        <v>6.5245999999999995</v>
      </c>
      <c r="Q11" s="4">
        <f t="shared" si="5"/>
        <v>19.893000000000001</v>
      </c>
      <c r="R11" s="4">
        <f t="shared" si="6"/>
        <v>20</v>
      </c>
      <c r="S11" s="25"/>
      <c r="T11" s="12">
        <f t="shared" si="7"/>
        <v>15.016399472764615</v>
      </c>
      <c r="U11" s="12">
        <f t="shared" si="4"/>
        <v>11.951077460687246</v>
      </c>
      <c r="V11" s="12">
        <v>7.44</v>
      </c>
      <c r="W11" s="12">
        <v>6.5706000000000007</v>
      </c>
      <c r="X11" s="12">
        <v>2.8273999999999999</v>
      </c>
      <c r="Y11" s="12">
        <v>7.1639999999999997</v>
      </c>
      <c r="Z11" s="12">
        <v>3.3096000000000001</v>
      </c>
      <c r="AA11" s="12">
        <v>5.1166</v>
      </c>
      <c r="AB11" s="12">
        <v>4.2884000000000002</v>
      </c>
      <c r="AC11" s="12">
        <v>2.2122000000000002</v>
      </c>
      <c r="AD11" s="12">
        <v>12.5686</v>
      </c>
      <c r="AE11" s="12">
        <v>1.1908000000000001</v>
      </c>
      <c r="AF11" s="12"/>
      <c r="AG11" s="12">
        <f t="shared" si="8"/>
        <v>20</v>
      </c>
      <c r="AH11" s="12">
        <f t="shared" si="9"/>
        <v>6.5245999999999995</v>
      </c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</row>
    <row r="12" spans="1:50" x14ac:dyDescent="0.25">
      <c r="A12" s="12" t="s">
        <v>44</v>
      </c>
      <c r="B12" s="12" t="s">
        <v>34</v>
      </c>
      <c r="C12" s="12">
        <v>445.26299999999998</v>
      </c>
      <c r="D12" s="12"/>
      <c r="E12" s="12">
        <v>201.226</v>
      </c>
      <c r="F12" s="12">
        <v>170.49299999999999</v>
      </c>
      <c r="G12" s="6">
        <v>1</v>
      </c>
      <c r="H12" s="12">
        <v>60</v>
      </c>
      <c r="I12" s="24" t="s">
        <v>35</v>
      </c>
      <c r="J12" s="12"/>
      <c r="K12" s="12">
        <v>199.45</v>
      </c>
      <c r="L12" s="12">
        <f t="shared" si="2"/>
        <v>1.7760000000000105</v>
      </c>
      <c r="M12" s="12"/>
      <c r="N12" s="12"/>
      <c r="O12" s="12">
        <v>219</v>
      </c>
      <c r="P12" s="12">
        <f t="shared" si="3"/>
        <v>40.245199999999997</v>
      </c>
      <c r="Q12" s="4">
        <f t="shared" si="5"/>
        <v>214.185</v>
      </c>
      <c r="R12" s="4">
        <f t="shared" si="6"/>
        <v>214</v>
      </c>
      <c r="S12" s="25"/>
      <c r="T12" s="12">
        <f t="shared" si="7"/>
        <v>14.995403178515698</v>
      </c>
      <c r="U12" s="12">
        <f t="shared" si="4"/>
        <v>9.6779988669456234</v>
      </c>
      <c r="V12" s="12">
        <v>43.416600000000003</v>
      </c>
      <c r="W12" s="12">
        <v>42.758800000000001</v>
      </c>
      <c r="X12" s="12">
        <v>31.892600000000002</v>
      </c>
      <c r="Y12" s="12">
        <v>23.503599999999999</v>
      </c>
      <c r="Z12" s="12">
        <v>48.733199999999997</v>
      </c>
      <c r="AA12" s="12">
        <v>58.470599999999997</v>
      </c>
      <c r="AB12" s="12">
        <v>29.0534</v>
      </c>
      <c r="AC12" s="12">
        <v>45.863799999999998</v>
      </c>
      <c r="AD12" s="12">
        <v>58.744199999999999</v>
      </c>
      <c r="AE12" s="12">
        <v>34.620800000000003</v>
      </c>
      <c r="AF12" s="12"/>
      <c r="AG12" s="12">
        <f t="shared" si="8"/>
        <v>214</v>
      </c>
      <c r="AH12" s="12">
        <f t="shared" si="9"/>
        <v>40.245199999999997</v>
      </c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</row>
    <row r="13" spans="1:50" x14ac:dyDescent="0.25">
      <c r="A13" s="12" t="s">
        <v>46</v>
      </c>
      <c r="B13" s="12" t="s">
        <v>34</v>
      </c>
      <c r="C13" s="12">
        <v>626.20799999999997</v>
      </c>
      <c r="D13" s="12">
        <v>1.3480000000000001</v>
      </c>
      <c r="E13" s="12">
        <v>275.63099999999997</v>
      </c>
      <c r="F13" s="12">
        <v>306.512</v>
      </c>
      <c r="G13" s="6">
        <v>1</v>
      </c>
      <c r="H13" s="12">
        <v>60</v>
      </c>
      <c r="I13" s="12" t="s">
        <v>35</v>
      </c>
      <c r="J13" s="12"/>
      <c r="K13" s="12">
        <v>277.8</v>
      </c>
      <c r="L13" s="12">
        <f t="shared" si="2"/>
        <v>-2.1690000000000396</v>
      </c>
      <c r="M13" s="12"/>
      <c r="N13" s="12"/>
      <c r="O13" s="12">
        <v>100</v>
      </c>
      <c r="P13" s="12">
        <f t="shared" si="3"/>
        <v>55.126199999999997</v>
      </c>
      <c r="Q13" s="4">
        <f t="shared" si="5"/>
        <v>420.38099999999991</v>
      </c>
      <c r="R13" s="4">
        <f t="shared" si="6"/>
        <v>420</v>
      </c>
      <c r="S13" s="25"/>
      <c r="T13" s="12">
        <f t="shared" si="7"/>
        <v>14.993088585826703</v>
      </c>
      <c r="U13" s="12">
        <f t="shared" si="4"/>
        <v>7.3742068199875925</v>
      </c>
      <c r="V13" s="12">
        <v>41.968600000000002</v>
      </c>
      <c r="W13" s="12">
        <v>50.244799999999998</v>
      </c>
      <c r="X13" s="12">
        <v>36.288799999999988</v>
      </c>
      <c r="Y13" s="12">
        <v>54.486600000000003</v>
      </c>
      <c r="Z13" s="12">
        <v>60.668999999999997</v>
      </c>
      <c r="AA13" s="12">
        <v>62.0244</v>
      </c>
      <c r="AB13" s="12">
        <v>49.931800000000003</v>
      </c>
      <c r="AC13" s="12">
        <v>53.7774</v>
      </c>
      <c r="AD13" s="12">
        <v>54.776000000000003</v>
      </c>
      <c r="AE13" s="12">
        <v>52.153200000000012</v>
      </c>
      <c r="AF13" s="12"/>
      <c r="AG13" s="12">
        <f t="shared" si="8"/>
        <v>420</v>
      </c>
      <c r="AH13" s="12">
        <f t="shared" si="9"/>
        <v>55.126199999999997</v>
      </c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</row>
    <row r="14" spans="1:50" x14ac:dyDescent="0.25">
      <c r="A14" s="12" t="s">
        <v>47</v>
      </c>
      <c r="B14" s="12" t="s">
        <v>38</v>
      </c>
      <c r="C14" s="12">
        <v>439</v>
      </c>
      <c r="D14" s="12">
        <v>2</v>
      </c>
      <c r="E14" s="12">
        <v>75</v>
      </c>
      <c r="F14" s="12">
        <v>334</v>
      </c>
      <c r="G14" s="6">
        <v>0.25</v>
      </c>
      <c r="H14" s="12">
        <v>120</v>
      </c>
      <c r="I14" s="12" t="s">
        <v>35</v>
      </c>
      <c r="J14" s="12"/>
      <c r="K14" s="12">
        <v>88</v>
      </c>
      <c r="L14" s="12">
        <f t="shared" si="2"/>
        <v>-13</v>
      </c>
      <c r="M14" s="12"/>
      <c r="N14" s="12"/>
      <c r="O14" s="12">
        <v>0</v>
      </c>
      <c r="P14" s="12">
        <f t="shared" si="3"/>
        <v>15</v>
      </c>
      <c r="Q14" s="4"/>
      <c r="R14" s="4">
        <f t="shared" si="6"/>
        <v>0</v>
      </c>
      <c r="S14" s="25"/>
      <c r="T14" s="12">
        <f t="shared" si="7"/>
        <v>22.266666666666666</v>
      </c>
      <c r="U14" s="12">
        <f t="shared" si="4"/>
        <v>22.266666666666666</v>
      </c>
      <c r="V14" s="12">
        <v>15.8</v>
      </c>
      <c r="W14" s="12">
        <v>10.6</v>
      </c>
      <c r="X14" s="12">
        <v>10.4</v>
      </c>
      <c r="Y14" s="12">
        <v>13.4</v>
      </c>
      <c r="Z14" s="12">
        <v>7.4</v>
      </c>
      <c r="AA14" s="12">
        <v>16.399999999999999</v>
      </c>
      <c r="AB14" s="12">
        <v>9.1999999999999993</v>
      </c>
      <c r="AC14" s="12">
        <v>7.2</v>
      </c>
      <c r="AD14" s="12">
        <v>11.8</v>
      </c>
      <c r="AE14" s="12">
        <v>8.6</v>
      </c>
      <c r="AF14" s="22" t="s">
        <v>41</v>
      </c>
      <c r="AG14" s="12">
        <f t="shared" si="8"/>
        <v>0</v>
      </c>
      <c r="AH14" s="12">
        <f t="shared" si="9"/>
        <v>3.75</v>
      </c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</row>
    <row r="15" spans="1:50" x14ac:dyDescent="0.25">
      <c r="A15" s="12" t="s">
        <v>48</v>
      </c>
      <c r="B15" s="12" t="s">
        <v>34</v>
      </c>
      <c r="C15" s="12">
        <v>203.77199999999999</v>
      </c>
      <c r="D15" s="12"/>
      <c r="E15" s="12">
        <v>55.718000000000004</v>
      </c>
      <c r="F15" s="12">
        <v>132.59100000000001</v>
      </c>
      <c r="G15" s="6">
        <v>1</v>
      </c>
      <c r="H15" s="12">
        <v>60</v>
      </c>
      <c r="I15" s="12" t="s">
        <v>35</v>
      </c>
      <c r="J15" s="12"/>
      <c r="K15" s="12">
        <v>54.1</v>
      </c>
      <c r="L15" s="12">
        <f t="shared" si="2"/>
        <v>1.6180000000000021</v>
      </c>
      <c r="M15" s="12"/>
      <c r="N15" s="12"/>
      <c r="O15" s="12">
        <v>43</v>
      </c>
      <c r="P15" s="12">
        <f t="shared" si="3"/>
        <v>11.143600000000001</v>
      </c>
      <c r="Q15" s="4"/>
      <c r="R15" s="4">
        <f t="shared" si="6"/>
        <v>0</v>
      </c>
      <c r="S15" s="25"/>
      <c r="T15" s="12">
        <f t="shared" si="7"/>
        <v>15.757116192253848</v>
      </c>
      <c r="U15" s="12">
        <f t="shared" si="4"/>
        <v>15.757116192253848</v>
      </c>
      <c r="V15" s="12">
        <v>15.076599999999999</v>
      </c>
      <c r="W15" s="12">
        <v>15.7036</v>
      </c>
      <c r="X15" s="12">
        <v>10.545199999999999</v>
      </c>
      <c r="Y15" s="12">
        <v>14.672599999999999</v>
      </c>
      <c r="Z15" s="12">
        <v>16.9358</v>
      </c>
      <c r="AA15" s="12">
        <v>23.624600000000001</v>
      </c>
      <c r="AB15" s="12">
        <v>16.122</v>
      </c>
      <c r="AC15" s="12">
        <v>7.6433999999999997</v>
      </c>
      <c r="AD15" s="12">
        <v>14.446</v>
      </c>
      <c r="AE15" s="12">
        <v>12.6616</v>
      </c>
      <c r="AF15" s="12"/>
      <c r="AG15" s="12">
        <f t="shared" si="8"/>
        <v>0</v>
      </c>
      <c r="AH15" s="12">
        <f t="shared" si="9"/>
        <v>11.143600000000001</v>
      </c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</row>
    <row r="16" spans="1:50" x14ac:dyDescent="0.25">
      <c r="A16" s="12" t="s">
        <v>49</v>
      </c>
      <c r="B16" s="12" t="s">
        <v>38</v>
      </c>
      <c r="C16" s="12">
        <v>549</v>
      </c>
      <c r="D16" s="12"/>
      <c r="E16" s="12">
        <v>150</v>
      </c>
      <c r="F16" s="12">
        <v>360</v>
      </c>
      <c r="G16" s="6">
        <v>0.25</v>
      </c>
      <c r="H16" s="12">
        <v>120</v>
      </c>
      <c r="I16" s="24" t="s">
        <v>35</v>
      </c>
      <c r="J16" s="12"/>
      <c r="K16" s="12">
        <v>158</v>
      </c>
      <c r="L16" s="12">
        <f t="shared" si="2"/>
        <v>-8</v>
      </c>
      <c r="M16" s="12"/>
      <c r="N16" s="12"/>
      <c r="O16" s="12">
        <v>56</v>
      </c>
      <c r="P16" s="12">
        <f t="shared" si="3"/>
        <v>30</v>
      </c>
      <c r="Q16" s="4">
        <f t="shared" si="5"/>
        <v>34</v>
      </c>
      <c r="R16" s="4">
        <f t="shared" si="6"/>
        <v>34</v>
      </c>
      <c r="S16" s="25"/>
      <c r="T16" s="12">
        <f t="shared" si="7"/>
        <v>15</v>
      </c>
      <c r="U16" s="12">
        <f t="shared" si="4"/>
        <v>13.866666666666667</v>
      </c>
      <c r="V16" s="12">
        <v>39.200000000000003</v>
      </c>
      <c r="W16" s="12">
        <v>43.2</v>
      </c>
      <c r="X16" s="12">
        <v>44.4</v>
      </c>
      <c r="Y16" s="12">
        <v>57.6</v>
      </c>
      <c r="Z16" s="12">
        <v>50.2</v>
      </c>
      <c r="AA16" s="12">
        <v>39.4</v>
      </c>
      <c r="AB16" s="12">
        <v>33</v>
      </c>
      <c r="AC16" s="12">
        <v>38.4</v>
      </c>
      <c r="AD16" s="12">
        <v>24.2</v>
      </c>
      <c r="AE16" s="12">
        <v>15.6</v>
      </c>
      <c r="AF16" s="12"/>
      <c r="AG16" s="12">
        <f t="shared" si="8"/>
        <v>8.5</v>
      </c>
      <c r="AH16" s="12">
        <f t="shared" si="9"/>
        <v>7.5</v>
      </c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</row>
    <row r="17" spans="1:50" x14ac:dyDescent="0.25">
      <c r="A17" s="12" t="s">
        <v>50</v>
      </c>
      <c r="B17" s="12" t="s">
        <v>38</v>
      </c>
      <c r="C17" s="12">
        <v>161</v>
      </c>
      <c r="D17" s="12"/>
      <c r="E17" s="12">
        <v>105</v>
      </c>
      <c r="F17" s="12">
        <v>41</v>
      </c>
      <c r="G17" s="6">
        <v>0.4</v>
      </c>
      <c r="H17" s="12">
        <v>60</v>
      </c>
      <c r="I17" s="12" t="s">
        <v>35</v>
      </c>
      <c r="J17" s="12"/>
      <c r="K17" s="12">
        <v>120</v>
      </c>
      <c r="L17" s="12">
        <f t="shared" si="2"/>
        <v>-15</v>
      </c>
      <c r="M17" s="12"/>
      <c r="N17" s="12"/>
      <c r="O17" s="12">
        <v>0</v>
      </c>
      <c r="P17" s="12">
        <f t="shared" si="3"/>
        <v>21</v>
      </c>
      <c r="Q17" s="4">
        <f>10*P17-O17-F17</f>
        <v>169</v>
      </c>
      <c r="R17" s="4">
        <f t="shared" si="6"/>
        <v>169</v>
      </c>
      <c r="S17" s="25"/>
      <c r="T17" s="12">
        <f t="shared" si="7"/>
        <v>10</v>
      </c>
      <c r="U17" s="12">
        <f t="shared" si="4"/>
        <v>1.9523809523809523</v>
      </c>
      <c r="V17" s="12">
        <v>9.6</v>
      </c>
      <c r="W17" s="12">
        <v>12.6</v>
      </c>
      <c r="X17" s="12">
        <v>11.4</v>
      </c>
      <c r="Y17" s="12">
        <v>21</v>
      </c>
      <c r="Z17" s="12">
        <v>21.6</v>
      </c>
      <c r="AA17" s="12">
        <v>11</v>
      </c>
      <c r="AB17" s="12">
        <v>19.600000000000001</v>
      </c>
      <c r="AC17" s="12">
        <v>18.600000000000001</v>
      </c>
      <c r="AD17" s="12">
        <v>22.4</v>
      </c>
      <c r="AE17" s="12">
        <v>16.399999999999999</v>
      </c>
      <c r="AF17" s="12"/>
      <c r="AG17" s="12">
        <f t="shared" si="8"/>
        <v>67.600000000000009</v>
      </c>
      <c r="AH17" s="12">
        <f t="shared" si="9"/>
        <v>8.4</v>
      </c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</row>
    <row r="18" spans="1:50" x14ac:dyDescent="0.25">
      <c r="A18" s="12" t="s">
        <v>51</v>
      </c>
      <c r="B18" s="12" t="s">
        <v>34</v>
      </c>
      <c r="C18" s="12">
        <v>726.52800000000002</v>
      </c>
      <c r="D18" s="12">
        <v>135.84800000000001</v>
      </c>
      <c r="E18" s="12">
        <v>300.50200000000001</v>
      </c>
      <c r="F18" s="12">
        <v>534.851</v>
      </c>
      <c r="G18" s="6">
        <v>1</v>
      </c>
      <c r="H18" s="12">
        <v>45</v>
      </c>
      <c r="I18" s="12" t="s">
        <v>35</v>
      </c>
      <c r="J18" s="12"/>
      <c r="K18" s="12">
        <v>296.2</v>
      </c>
      <c r="L18" s="12">
        <f t="shared" si="2"/>
        <v>4.3020000000000209</v>
      </c>
      <c r="M18" s="12"/>
      <c r="N18" s="12"/>
      <c r="O18" s="12">
        <v>0</v>
      </c>
      <c r="P18" s="12">
        <f t="shared" si="3"/>
        <v>60.1004</v>
      </c>
      <c r="Q18" s="4">
        <f t="shared" si="5"/>
        <v>366.65499999999997</v>
      </c>
      <c r="R18" s="4">
        <f>S18</f>
        <v>400</v>
      </c>
      <c r="S18" s="25">
        <f>VLOOKUP(A18,[1]Sheet!$A:$R,18,0)</f>
        <v>400</v>
      </c>
      <c r="T18" s="12">
        <f t="shared" si="7"/>
        <v>15.554821598525134</v>
      </c>
      <c r="U18" s="12">
        <f t="shared" si="4"/>
        <v>8.8992918516349313</v>
      </c>
      <c r="V18" s="12">
        <v>40.905200000000001</v>
      </c>
      <c r="W18" s="12">
        <v>69.438400000000001</v>
      </c>
      <c r="X18" s="12">
        <v>41.328600000000002</v>
      </c>
      <c r="Y18" s="12">
        <v>68.407600000000002</v>
      </c>
      <c r="Z18" s="12">
        <v>70.5762</v>
      </c>
      <c r="AA18" s="12">
        <v>68.051400000000001</v>
      </c>
      <c r="AB18" s="12">
        <v>40.533799999999999</v>
      </c>
      <c r="AC18" s="12">
        <v>50.552799999999998</v>
      </c>
      <c r="AD18" s="12">
        <v>79.149000000000001</v>
      </c>
      <c r="AE18" s="12">
        <v>31.593</v>
      </c>
      <c r="AF18" s="12"/>
      <c r="AG18" s="12">
        <f t="shared" si="8"/>
        <v>400</v>
      </c>
      <c r="AH18" s="12">
        <f t="shared" si="9"/>
        <v>60.1004</v>
      </c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</row>
    <row r="19" spans="1:50" x14ac:dyDescent="0.25">
      <c r="A19" s="13" t="s">
        <v>52</v>
      </c>
      <c r="B19" s="13" t="s">
        <v>34</v>
      </c>
      <c r="C19" s="13">
        <v>76.980999999999995</v>
      </c>
      <c r="D19" s="13"/>
      <c r="E19" s="13">
        <v>30.72</v>
      </c>
      <c r="F19" s="13">
        <v>44.759</v>
      </c>
      <c r="G19" s="14">
        <v>0</v>
      </c>
      <c r="H19" s="13">
        <v>120</v>
      </c>
      <c r="I19" s="16" t="s">
        <v>53</v>
      </c>
      <c r="J19" s="13"/>
      <c r="K19" s="13">
        <v>31.2</v>
      </c>
      <c r="L19" s="13">
        <f t="shared" si="2"/>
        <v>-0.48000000000000043</v>
      </c>
      <c r="M19" s="13"/>
      <c r="N19" s="13"/>
      <c r="O19" s="13">
        <v>0</v>
      </c>
      <c r="P19" s="13">
        <f t="shared" si="3"/>
        <v>6.1440000000000001</v>
      </c>
      <c r="Q19" s="15"/>
      <c r="R19" s="4">
        <f t="shared" si="6"/>
        <v>0</v>
      </c>
      <c r="S19" s="25"/>
      <c r="T19" s="12">
        <f t="shared" si="7"/>
        <v>7.284993489583333</v>
      </c>
      <c r="U19" s="13">
        <f t="shared" si="4"/>
        <v>7.284993489583333</v>
      </c>
      <c r="V19" s="13">
        <v>1.2170000000000001</v>
      </c>
      <c r="W19" s="13">
        <v>15.298</v>
      </c>
      <c r="X19" s="13">
        <v>2.0011999999999999</v>
      </c>
      <c r="Y19" s="13">
        <v>9.5774000000000008</v>
      </c>
      <c r="Z19" s="13">
        <v>8.5001999999999995</v>
      </c>
      <c r="AA19" s="13">
        <v>11.8896</v>
      </c>
      <c r="AB19" s="13">
        <v>8.5475999999999992</v>
      </c>
      <c r="AC19" s="13">
        <v>6.8586</v>
      </c>
      <c r="AD19" s="13">
        <v>10.388</v>
      </c>
      <c r="AE19" s="13">
        <v>6.5549999999999997</v>
      </c>
      <c r="AF19" s="13" t="s">
        <v>54</v>
      </c>
      <c r="AG19" s="12">
        <f t="shared" si="8"/>
        <v>0</v>
      </c>
      <c r="AH19" s="12">
        <f t="shared" si="9"/>
        <v>0</v>
      </c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</row>
    <row r="20" spans="1:50" x14ac:dyDescent="0.25">
      <c r="A20" s="12" t="s">
        <v>55</v>
      </c>
      <c r="B20" s="12" t="s">
        <v>38</v>
      </c>
      <c r="C20" s="12">
        <v>149</v>
      </c>
      <c r="D20" s="12">
        <v>2</v>
      </c>
      <c r="E20" s="12">
        <v>81</v>
      </c>
      <c r="F20" s="12">
        <v>51</v>
      </c>
      <c r="G20" s="6">
        <v>0.4</v>
      </c>
      <c r="H20" s="12">
        <v>45</v>
      </c>
      <c r="I20" s="12" t="s">
        <v>35</v>
      </c>
      <c r="J20" s="12"/>
      <c r="K20" s="12">
        <v>106</v>
      </c>
      <c r="L20" s="12">
        <f t="shared" si="2"/>
        <v>-25</v>
      </c>
      <c r="M20" s="12"/>
      <c r="N20" s="12"/>
      <c r="O20" s="12">
        <v>0</v>
      </c>
      <c r="P20" s="12">
        <f t="shared" si="3"/>
        <v>16.2</v>
      </c>
      <c r="Q20" s="4">
        <f>11*P20-O20-F20</f>
        <v>127.19999999999999</v>
      </c>
      <c r="R20" s="4">
        <f>S20</f>
        <v>160</v>
      </c>
      <c r="S20" s="25">
        <f>VLOOKUP(A20,[1]Sheet!$A:$R,18,0)</f>
        <v>160</v>
      </c>
      <c r="T20" s="12">
        <f t="shared" si="7"/>
        <v>13.024691358024691</v>
      </c>
      <c r="U20" s="12">
        <f t="shared" si="4"/>
        <v>3.1481481481481484</v>
      </c>
      <c r="V20" s="12">
        <v>5</v>
      </c>
      <c r="W20" s="12">
        <v>3.8</v>
      </c>
      <c r="X20" s="12">
        <v>6.4</v>
      </c>
      <c r="Y20" s="12">
        <v>9.6</v>
      </c>
      <c r="Z20" s="12">
        <v>8.6</v>
      </c>
      <c r="AA20" s="12">
        <v>4.4000000000000004</v>
      </c>
      <c r="AB20" s="12">
        <v>8.4</v>
      </c>
      <c r="AC20" s="12">
        <v>10.4</v>
      </c>
      <c r="AD20" s="12">
        <v>12</v>
      </c>
      <c r="AE20" s="12">
        <v>13.4</v>
      </c>
      <c r="AF20" s="12"/>
      <c r="AG20" s="12">
        <f t="shared" si="8"/>
        <v>64</v>
      </c>
      <c r="AH20" s="12">
        <f t="shared" si="9"/>
        <v>6.48</v>
      </c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</row>
    <row r="21" spans="1:50" x14ac:dyDescent="0.25">
      <c r="A21" s="12" t="s">
        <v>56</v>
      </c>
      <c r="B21" s="12" t="s">
        <v>34</v>
      </c>
      <c r="C21" s="12">
        <v>901.04499999999996</v>
      </c>
      <c r="D21" s="12"/>
      <c r="E21" s="12">
        <v>281.65699999999998</v>
      </c>
      <c r="F21" s="12">
        <v>582.649</v>
      </c>
      <c r="G21" s="6">
        <v>1</v>
      </c>
      <c r="H21" s="12">
        <v>60</v>
      </c>
      <c r="I21" s="12" t="s">
        <v>35</v>
      </c>
      <c r="J21" s="12"/>
      <c r="K21" s="12">
        <v>269.5</v>
      </c>
      <c r="L21" s="12">
        <f t="shared" si="2"/>
        <v>12.156999999999982</v>
      </c>
      <c r="M21" s="12"/>
      <c r="N21" s="12"/>
      <c r="O21" s="12">
        <v>0</v>
      </c>
      <c r="P21" s="12">
        <f t="shared" si="3"/>
        <v>56.331399999999995</v>
      </c>
      <c r="Q21" s="4">
        <f t="shared" ref="Q21:Q31" si="10">15*P21-O21-F21</f>
        <v>262.32199999999989</v>
      </c>
      <c r="R21" s="4">
        <f t="shared" si="6"/>
        <v>262</v>
      </c>
      <c r="S21" s="25"/>
      <c r="T21" s="12">
        <f t="shared" si="7"/>
        <v>14.994283827492305</v>
      </c>
      <c r="U21" s="12">
        <f t="shared" si="4"/>
        <v>10.343236631789731</v>
      </c>
      <c r="V21" s="12">
        <v>51.843800000000002</v>
      </c>
      <c r="W21" s="12">
        <v>42.229399999999998</v>
      </c>
      <c r="X21" s="12">
        <v>45.889400000000002</v>
      </c>
      <c r="Y21" s="12">
        <v>41.034599999999998</v>
      </c>
      <c r="Z21" s="12">
        <v>58.996200000000002</v>
      </c>
      <c r="AA21" s="12">
        <v>55.147399999999998</v>
      </c>
      <c r="AB21" s="12">
        <v>40.955800000000004</v>
      </c>
      <c r="AC21" s="12">
        <v>44.343600000000002</v>
      </c>
      <c r="AD21" s="12">
        <v>53.409799999999997</v>
      </c>
      <c r="AE21" s="12">
        <v>29.607600000000001</v>
      </c>
      <c r="AF21" s="12"/>
      <c r="AG21" s="12">
        <f t="shared" si="8"/>
        <v>262</v>
      </c>
      <c r="AH21" s="12">
        <f t="shared" si="9"/>
        <v>56.331399999999995</v>
      </c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</row>
    <row r="22" spans="1:50" x14ac:dyDescent="0.25">
      <c r="A22" s="12" t="s">
        <v>57</v>
      </c>
      <c r="B22" s="12" t="s">
        <v>38</v>
      </c>
      <c r="C22" s="12">
        <v>-1</v>
      </c>
      <c r="D22" s="12">
        <v>146</v>
      </c>
      <c r="E22" s="12">
        <v>137</v>
      </c>
      <c r="F22" s="12">
        <v>1</v>
      </c>
      <c r="G22" s="6">
        <v>0.22</v>
      </c>
      <c r="H22" s="12">
        <v>120</v>
      </c>
      <c r="I22" s="12" t="s">
        <v>35</v>
      </c>
      <c r="J22" s="12"/>
      <c r="K22" s="12">
        <v>356</v>
      </c>
      <c r="L22" s="12">
        <f t="shared" si="2"/>
        <v>-219</v>
      </c>
      <c r="M22" s="12"/>
      <c r="N22" s="12"/>
      <c r="O22" s="12">
        <v>400</v>
      </c>
      <c r="P22" s="12">
        <f t="shared" si="3"/>
        <v>27.4</v>
      </c>
      <c r="Q22" s="4">
        <f t="shared" si="10"/>
        <v>10</v>
      </c>
      <c r="R22" s="4">
        <f>S22</f>
        <v>200</v>
      </c>
      <c r="S22" s="25">
        <f>VLOOKUP(A22,[1]Sheet!$A:$R,18,0)</f>
        <v>200</v>
      </c>
      <c r="T22" s="12">
        <f t="shared" si="7"/>
        <v>21.934306569343068</v>
      </c>
      <c r="U22" s="12">
        <f t="shared" si="4"/>
        <v>14.635036496350367</v>
      </c>
      <c r="V22" s="12">
        <v>6.6</v>
      </c>
      <c r="W22" s="12">
        <v>72.599999999999994</v>
      </c>
      <c r="X22" s="12">
        <v>82.6</v>
      </c>
      <c r="Y22" s="12">
        <v>67.2</v>
      </c>
      <c r="Z22" s="12">
        <v>96.8</v>
      </c>
      <c r="AA22" s="12">
        <v>100.6</v>
      </c>
      <c r="AB22" s="12">
        <v>103.8</v>
      </c>
      <c r="AC22" s="12">
        <v>95.4</v>
      </c>
      <c r="AD22" s="12">
        <v>97.4</v>
      </c>
      <c r="AE22" s="12">
        <v>81.8</v>
      </c>
      <c r="AF22" s="12" t="s">
        <v>58</v>
      </c>
      <c r="AG22" s="12">
        <f t="shared" si="8"/>
        <v>44</v>
      </c>
      <c r="AH22" s="12">
        <f t="shared" si="9"/>
        <v>6.0279999999999996</v>
      </c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</row>
    <row r="23" spans="1:50" x14ac:dyDescent="0.25">
      <c r="A23" s="12" t="s">
        <v>59</v>
      </c>
      <c r="B23" s="12" t="s">
        <v>34</v>
      </c>
      <c r="C23" s="12">
        <v>61.966999999999999</v>
      </c>
      <c r="D23" s="12">
        <v>37.962000000000003</v>
      </c>
      <c r="E23" s="12">
        <v>44.524000000000001</v>
      </c>
      <c r="F23" s="12">
        <v>49.908999999999999</v>
      </c>
      <c r="G23" s="6">
        <v>1</v>
      </c>
      <c r="H23" s="12">
        <v>40</v>
      </c>
      <c r="I23" s="12" t="s">
        <v>35</v>
      </c>
      <c r="J23" s="12"/>
      <c r="K23" s="12">
        <v>45.4</v>
      </c>
      <c r="L23" s="12">
        <f t="shared" si="2"/>
        <v>-0.87599999999999767</v>
      </c>
      <c r="M23" s="12"/>
      <c r="N23" s="12"/>
      <c r="O23" s="12">
        <v>23</v>
      </c>
      <c r="P23" s="12">
        <f t="shared" si="3"/>
        <v>8.9047999999999998</v>
      </c>
      <c r="Q23" s="4">
        <f t="shared" si="10"/>
        <v>60.663000000000004</v>
      </c>
      <c r="R23" s="4">
        <f t="shared" si="6"/>
        <v>61</v>
      </c>
      <c r="S23" s="25"/>
      <c r="T23" s="12">
        <f t="shared" si="7"/>
        <v>15.037844757883388</v>
      </c>
      <c r="U23" s="12">
        <f t="shared" si="4"/>
        <v>8.1876066840355755</v>
      </c>
      <c r="V23" s="12">
        <v>7.6651999999999996</v>
      </c>
      <c r="W23" s="12">
        <v>8.4291999999999998</v>
      </c>
      <c r="X23" s="12">
        <v>6.2392000000000003</v>
      </c>
      <c r="Y23" s="12">
        <v>7.6382000000000003</v>
      </c>
      <c r="Z23" s="12">
        <v>8.5272000000000006</v>
      </c>
      <c r="AA23" s="12">
        <v>6.7948000000000004</v>
      </c>
      <c r="AB23" s="12">
        <v>6.8343999999999996</v>
      </c>
      <c r="AC23" s="12">
        <v>6.0042</v>
      </c>
      <c r="AD23" s="12">
        <v>7.3087999999999997</v>
      </c>
      <c r="AE23" s="12">
        <v>5.0584000000000007</v>
      </c>
      <c r="AF23" s="12" t="s">
        <v>60</v>
      </c>
      <c r="AG23" s="12">
        <f t="shared" si="8"/>
        <v>61</v>
      </c>
      <c r="AH23" s="12">
        <f t="shared" si="9"/>
        <v>8.9047999999999998</v>
      </c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</row>
    <row r="24" spans="1:50" x14ac:dyDescent="0.25">
      <c r="A24" s="12" t="s">
        <v>61</v>
      </c>
      <c r="B24" s="12" t="s">
        <v>34</v>
      </c>
      <c r="C24" s="12">
        <v>387.92500000000001</v>
      </c>
      <c r="D24" s="12"/>
      <c r="E24" s="12">
        <v>213.17099999999999</v>
      </c>
      <c r="F24" s="12">
        <v>143.84200000000001</v>
      </c>
      <c r="G24" s="6">
        <v>1</v>
      </c>
      <c r="H24" s="12">
        <v>60</v>
      </c>
      <c r="I24" s="12" t="s">
        <v>35</v>
      </c>
      <c r="J24" s="12"/>
      <c r="K24" s="12">
        <v>210.85</v>
      </c>
      <c r="L24" s="12">
        <f t="shared" si="2"/>
        <v>2.320999999999998</v>
      </c>
      <c r="M24" s="12"/>
      <c r="N24" s="12"/>
      <c r="O24" s="12">
        <v>0</v>
      </c>
      <c r="P24" s="12">
        <f t="shared" si="3"/>
        <v>42.6342</v>
      </c>
      <c r="Q24" s="4">
        <f>11*P24-O24-F24</f>
        <v>325.13419999999996</v>
      </c>
      <c r="R24" s="4">
        <f t="shared" si="6"/>
        <v>325</v>
      </c>
      <c r="S24" s="25"/>
      <c r="T24" s="12">
        <f t="shared" si="7"/>
        <v>10.996852292291164</v>
      </c>
      <c r="U24" s="12">
        <f t="shared" si="4"/>
        <v>3.3738641747704898</v>
      </c>
      <c r="V24" s="12">
        <v>21.335799999999999</v>
      </c>
      <c r="W24" s="12">
        <v>24.572399999999998</v>
      </c>
      <c r="X24" s="12">
        <v>12.414400000000001</v>
      </c>
      <c r="Y24" s="12">
        <v>40.942799999999998</v>
      </c>
      <c r="Z24" s="12">
        <v>20.069199999999999</v>
      </c>
      <c r="AA24" s="12">
        <v>18.4602</v>
      </c>
      <c r="AB24" s="12">
        <v>27.0306</v>
      </c>
      <c r="AC24" s="12">
        <v>24.778199999999998</v>
      </c>
      <c r="AD24" s="12">
        <v>30.382400000000001</v>
      </c>
      <c r="AE24" s="12">
        <v>12.019399999999999</v>
      </c>
      <c r="AF24" s="12"/>
      <c r="AG24" s="12">
        <f t="shared" si="8"/>
        <v>325</v>
      </c>
      <c r="AH24" s="12">
        <f t="shared" si="9"/>
        <v>42.6342</v>
      </c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</row>
    <row r="25" spans="1:50" x14ac:dyDescent="0.25">
      <c r="A25" s="12" t="s">
        <v>62</v>
      </c>
      <c r="B25" s="12" t="s">
        <v>38</v>
      </c>
      <c r="C25" s="12">
        <v>483</v>
      </c>
      <c r="D25" s="12">
        <v>1</v>
      </c>
      <c r="E25" s="12">
        <v>253</v>
      </c>
      <c r="F25" s="12">
        <v>154</v>
      </c>
      <c r="G25" s="6">
        <v>0.09</v>
      </c>
      <c r="H25" s="12">
        <v>60</v>
      </c>
      <c r="I25" s="12" t="s">
        <v>35</v>
      </c>
      <c r="J25" s="12"/>
      <c r="K25" s="12">
        <v>267</v>
      </c>
      <c r="L25" s="12">
        <f t="shared" si="2"/>
        <v>-14</v>
      </c>
      <c r="M25" s="12"/>
      <c r="N25" s="12"/>
      <c r="O25" s="12">
        <v>359</v>
      </c>
      <c r="P25" s="12">
        <f t="shared" si="3"/>
        <v>50.6</v>
      </c>
      <c r="Q25" s="4">
        <f t="shared" si="10"/>
        <v>246</v>
      </c>
      <c r="R25" s="4">
        <f>S25</f>
        <v>300</v>
      </c>
      <c r="S25" s="25">
        <f>VLOOKUP(A25,[1]Sheet!$A:$R,18,0)</f>
        <v>300</v>
      </c>
      <c r="T25" s="12">
        <f t="shared" si="7"/>
        <v>16.067193675889328</v>
      </c>
      <c r="U25" s="12">
        <f t="shared" si="4"/>
        <v>10.138339920948617</v>
      </c>
      <c r="V25" s="12">
        <v>54.8</v>
      </c>
      <c r="W25" s="12">
        <v>46.6</v>
      </c>
      <c r="X25" s="12">
        <v>45.4</v>
      </c>
      <c r="Y25" s="12">
        <v>62.8</v>
      </c>
      <c r="Z25" s="12">
        <v>58.2</v>
      </c>
      <c r="AA25" s="12">
        <v>56.6</v>
      </c>
      <c r="AB25" s="12">
        <v>46.8</v>
      </c>
      <c r="AC25" s="12">
        <v>44.8</v>
      </c>
      <c r="AD25" s="12">
        <v>65.599999999999994</v>
      </c>
      <c r="AE25" s="12">
        <v>69</v>
      </c>
      <c r="AF25" s="12"/>
      <c r="AG25" s="12">
        <f t="shared" si="8"/>
        <v>27</v>
      </c>
      <c r="AH25" s="12">
        <f t="shared" si="9"/>
        <v>4.5540000000000003</v>
      </c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</row>
    <row r="26" spans="1:50" x14ac:dyDescent="0.25">
      <c r="A26" s="12" t="s">
        <v>63</v>
      </c>
      <c r="B26" s="12" t="s">
        <v>38</v>
      </c>
      <c r="C26" s="12">
        <v>292</v>
      </c>
      <c r="D26" s="12">
        <v>50</v>
      </c>
      <c r="E26" s="12">
        <v>149</v>
      </c>
      <c r="F26" s="12">
        <v>160</v>
      </c>
      <c r="G26" s="6">
        <v>0.09</v>
      </c>
      <c r="H26" s="12">
        <v>45</v>
      </c>
      <c r="I26" s="24" t="s">
        <v>35</v>
      </c>
      <c r="J26" s="12"/>
      <c r="K26" s="12">
        <v>155</v>
      </c>
      <c r="L26" s="12">
        <f t="shared" si="2"/>
        <v>-6</v>
      </c>
      <c r="M26" s="12"/>
      <c r="N26" s="12"/>
      <c r="O26" s="12">
        <v>122</v>
      </c>
      <c r="P26" s="12">
        <f t="shared" si="3"/>
        <v>29.8</v>
      </c>
      <c r="Q26" s="4">
        <f t="shared" si="10"/>
        <v>165</v>
      </c>
      <c r="R26" s="4">
        <f t="shared" si="6"/>
        <v>165</v>
      </c>
      <c r="S26" s="25"/>
      <c r="T26" s="12">
        <f t="shared" si="7"/>
        <v>15</v>
      </c>
      <c r="U26" s="12">
        <f t="shared" si="4"/>
        <v>9.4630872483221466</v>
      </c>
      <c r="V26" s="12">
        <v>30.2</v>
      </c>
      <c r="W26" s="12">
        <v>25.8</v>
      </c>
      <c r="X26" s="12">
        <v>38.799999999999997</v>
      </c>
      <c r="Y26" s="12">
        <v>34.4</v>
      </c>
      <c r="Z26" s="12">
        <v>50.2</v>
      </c>
      <c r="AA26" s="12">
        <v>35.799999999999997</v>
      </c>
      <c r="AB26" s="12">
        <v>34.799999999999997</v>
      </c>
      <c r="AC26" s="12">
        <v>39.200000000000003</v>
      </c>
      <c r="AD26" s="12">
        <v>30.8</v>
      </c>
      <c r="AE26" s="12">
        <v>20.6</v>
      </c>
      <c r="AF26" s="12"/>
      <c r="AG26" s="12">
        <f t="shared" si="8"/>
        <v>14.85</v>
      </c>
      <c r="AH26" s="12">
        <f t="shared" si="9"/>
        <v>2.6819999999999999</v>
      </c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</row>
    <row r="27" spans="1:50" x14ac:dyDescent="0.25">
      <c r="A27" s="12" t="s">
        <v>64</v>
      </c>
      <c r="B27" s="12" t="s">
        <v>38</v>
      </c>
      <c r="C27" s="12">
        <v>486</v>
      </c>
      <c r="D27" s="12">
        <v>4</v>
      </c>
      <c r="E27" s="12">
        <v>117</v>
      </c>
      <c r="F27" s="12">
        <v>343</v>
      </c>
      <c r="G27" s="6">
        <v>0.15</v>
      </c>
      <c r="H27" s="12">
        <v>45</v>
      </c>
      <c r="I27" s="12" t="s">
        <v>35</v>
      </c>
      <c r="J27" s="12"/>
      <c r="K27" s="12">
        <v>145</v>
      </c>
      <c r="L27" s="12">
        <f t="shared" si="2"/>
        <v>-28</v>
      </c>
      <c r="M27" s="12"/>
      <c r="N27" s="12"/>
      <c r="O27" s="12">
        <v>0</v>
      </c>
      <c r="P27" s="12">
        <f t="shared" si="3"/>
        <v>23.4</v>
      </c>
      <c r="Q27" s="4">
        <f t="shared" si="10"/>
        <v>8</v>
      </c>
      <c r="R27" s="4">
        <f>S27</f>
        <v>30</v>
      </c>
      <c r="S27" s="25">
        <f>VLOOKUP(A27,[1]Sheet!$A:$R,18,0)</f>
        <v>30</v>
      </c>
      <c r="T27" s="12">
        <f t="shared" si="7"/>
        <v>15.94017094017094</v>
      </c>
      <c r="U27" s="12">
        <f t="shared" si="4"/>
        <v>14.658119658119659</v>
      </c>
      <c r="V27" s="12">
        <v>23.2</v>
      </c>
      <c r="W27" s="12">
        <v>25</v>
      </c>
      <c r="X27" s="12">
        <v>21.6</v>
      </c>
      <c r="Y27" s="12">
        <v>32</v>
      </c>
      <c r="Z27" s="12">
        <v>41</v>
      </c>
      <c r="AA27" s="12">
        <v>26.2</v>
      </c>
      <c r="AB27" s="12">
        <v>35.4</v>
      </c>
      <c r="AC27" s="12">
        <v>32.200000000000003</v>
      </c>
      <c r="AD27" s="12">
        <v>24.6</v>
      </c>
      <c r="AE27" s="12">
        <v>26.2</v>
      </c>
      <c r="AF27" s="12"/>
      <c r="AG27" s="12">
        <f t="shared" si="8"/>
        <v>4.5</v>
      </c>
      <c r="AH27" s="12">
        <f t="shared" si="9"/>
        <v>3.51</v>
      </c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</row>
    <row r="28" spans="1:50" x14ac:dyDescent="0.25">
      <c r="A28" s="12" t="s">
        <v>66</v>
      </c>
      <c r="B28" s="12" t="s">
        <v>34</v>
      </c>
      <c r="C28" s="12">
        <v>699.255</v>
      </c>
      <c r="D28" s="12">
        <v>33.963000000000001</v>
      </c>
      <c r="E28" s="12">
        <v>371.25799999999998</v>
      </c>
      <c r="F28" s="12">
        <v>319.63600000000002</v>
      </c>
      <c r="G28" s="6">
        <v>1</v>
      </c>
      <c r="H28" s="12">
        <v>45</v>
      </c>
      <c r="I28" s="12" t="s">
        <v>35</v>
      </c>
      <c r="J28" s="12"/>
      <c r="K28" s="12">
        <v>371.5</v>
      </c>
      <c r="L28" s="12">
        <f t="shared" si="2"/>
        <v>-0.24200000000001864</v>
      </c>
      <c r="M28" s="12"/>
      <c r="N28" s="12"/>
      <c r="O28" s="12">
        <v>26</v>
      </c>
      <c r="P28" s="12">
        <f t="shared" si="3"/>
        <v>74.251599999999996</v>
      </c>
      <c r="Q28" s="4">
        <f>13*P28-O28-F28</f>
        <v>619.63480000000004</v>
      </c>
      <c r="R28" s="4">
        <f t="shared" si="6"/>
        <v>620</v>
      </c>
      <c r="S28" s="25"/>
      <c r="T28" s="12">
        <f t="shared" si="7"/>
        <v>13.004918412532525</v>
      </c>
      <c r="U28" s="12">
        <f t="shared" si="4"/>
        <v>4.6549299947745242</v>
      </c>
      <c r="V28" s="12">
        <v>48.738</v>
      </c>
      <c r="W28" s="12">
        <v>62.7712</v>
      </c>
      <c r="X28" s="12">
        <v>55.223999999999997</v>
      </c>
      <c r="Y28" s="12">
        <v>72.854399999999998</v>
      </c>
      <c r="Z28" s="12">
        <v>72.474000000000004</v>
      </c>
      <c r="AA28" s="12">
        <v>75.914000000000001</v>
      </c>
      <c r="AB28" s="12">
        <v>85.097200000000001</v>
      </c>
      <c r="AC28" s="12">
        <v>86.089399999999998</v>
      </c>
      <c r="AD28" s="12">
        <v>101.1476</v>
      </c>
      <c r="AE28" s="12">
        <v>72.8874</v>
      </c>
      <c r="AF28" s="12"/>
      <c r="AG28" s="12">
        <f t="shared" si="8"/>
        <v>620</v>
      </c>
      <c r="AH28" s="12">
        <f t="shared" si="9"/>
        <v>74.251599999999996</v>
      </c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</row>
    <row r="29" spans="1:50" x14ac:dyDescent="0.25">
      <c r="A29" s="12" t="s">
        <v>67</v>
      </c>
      <c r="B29" s="12" t="s">
        <v>38</v>
      </c>
      <c r="C29" s="12">
        <v>154</v>
      </c>
      <c r="D29" s="12">
        <v>168</v>
      </c>
      <c r="E29" s="12">
        <v>209</v>
      </c>
      <c r="F29" s="12">
        <v>55</v>
      </c>
      <c r="G29" s="6">
        <v>0.4</v>
      </c>
      <c r="H29" s="12">
        <v>60</v>
      </c>
      <c r="I29" s="12" t="s">
        <v>35</v>
      </c>
      <c r="J29" s="12"/>
      <c r="K29" s="12">
        <v>225</v>
      </c>
      <c r="L29" s="12">
        <f t="shared" si="2"/>
        <v>-16</v>
      </c>
      <c r="M29" s="12"/>
      <c r="N29" s="12"/>
      <c r="O29" s="12">
        <v>453</v>
      </c>
      <c r="P29" s="12">
        <f t="shared" si="3"/>
        <v>41.8</v>
      </c>
      <c r="Q29" s="4">
        <f t="shared" si="10"/>
        <v>119</v>
      </c>
      <c r="R29" s="4">
        <f>S29</f>
        <v>150</v>
      </c>
      <c r="S29" s="25">
        <f>VLOOKUP(A29,[1]Sheet!$A:$R,18,0)</f>
        <v>150</v>
      </c>
      <c r="T29" s="12">
        <f t="shared" si="7"/>
        <v>15.741626794258375</v>
      </c>
      <c r="U29" s="12">
        <f t="shared" si="4"/>
        <v>12.153110047846891</v>
      </c>
      <c r="V29" s="12">
        <v>50.6</v>
      </c>
      <c r="W29" s="12">
        <v>37.799999999999997</v>
      </c>
      <c r="X29" s="12">
        <v>33.200000000000003</v>
      </c>
      <c r="Y29" s="12">
        <v>33</v>
      </c>
      <c r="Z29" s="12">
        <v>46.4</v>
      </c>
      <c r="AA29" s="12">
        <v>36.6</v>
      </c>
      <c r="AB29" s="12">
        <v>33.4</v>
      </c>
      <c r="AC29" s="12">
        <v>46.4</v>
      </c>
      <c r="AD29" s="12">
        <v>43.2</v>
      </c>
      <c r="AE29" s="12">
        <v>44.2</v>
      </c>
      <c r="AF29" s="12" t="s">
        <v>45</v>
      </c>
      <c r="AG29" s="12">
        <f t="shared" si="8"/>
        <v>60</v>
      </c>
      <c r="AH29" s="12">
        <f t="shared" si="9"/>
        <v>16.72</v>
      </c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</row>
    <row r="30" spans="1:50" x14ac:dyDescent="0.25">
      <c r="A30" s="12" t="s">
        <v>68</v>
      </c>
      <c r="B30" s="12" t="s">
        <v>38</v>
      </c>
      <c r="C30" s="12">
        <v>813</v>
      </c>
      <c r="D30" s="12">
        <v>3</v>
      </c>
      <c r="E30" s="12">
        <v>279</v>
      </c>
      <c r="F30" s="12">
        <v>440</v>
      </c>
      <c r="G30" s="6">
        <v>0.4</v>
      </c>
      <c r="H30" s="12">
        <v>60</v>
      </c>
      <c r="I30" s="24" t="s">
        <v>35</v>
      </c>
      <c r="J30" s="12"/>
      <c r="K30" s="12">
        <v>355</v>
      </c>
      <c r="L30" s="12">
        <f t="shared" si="2"/>
        <v>-76</v>
      </c>
      <c r="M30" s="12"/>
      <c r="N30" s="12"/>
      <c r="O30" s="12">
        <v>91</v>
      </c>
      <c r="P30" s="12">
        <f t="shared" si="3"/>
        <v>55.8</v>
      </c>
      <c r="Q30" s="4">
        <f t="shared" si="10"/>
        <v>306</v>
      </c>
      <c r="R30" s="4">
        <f t="shared" si="6"/>
        <v>306</v>
      </c>
      <c r="S30" s="25"/>
      <c r="T30" s="12">
        <f t="shared" si="7"/>
        <v>15</v>
      </c>
      <c r="U30" s="12">
        <f t="shared" si="4"/>
        <v>9.5161290322580658</v>
      </c>
      <c r="V30" s="12">
        <v>62.6</v>
      </c>
      <c r="W30" s="12">
        <v>43</v>
      </c>
      <c r="X30" s="12">
        <v>55.4</v>
      </c>
      <c r="Y30" s="12">
        <v>52.8</v>
      </c>
      <c r="Z30" s="12">
        <v>72.400000000000006</v>
      </c>
      <c r="AA30" s="12">
        <v>60.4</v>
      </c>
      <c r="AB30" s="12">
        <v>48.8</v>
      </c>
      <c r="AC30" s="12">
        <v>45</v>
      </c>
      <c r="AD30" s="12">
        <v>32</v>
      </c>
      <c r="AE30" s="12">
        <v>37.200000000000003</v>
      </c>
      <c r="AF30" s="12"/>
      <c r="AG30" s="12">
        <f t="shared" si="8"/>
        <v>122.4</v>
      </c>
      <c r="AH30" s="12">
        <f t="shared" si="9"/>
        <v>22.32</v>
      </c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</row>
    <row r="31" spans="1:50" x14ac:dyDescent="0.25">
      <c r="A31" s="12" t="s">
        <v>69</v>
      </c>
      <c r="B31" s="12" t="s">
        <v>38</v>
      </c>
      <c r="C31" s="12">
        <v>568</v>
      </c>
      <c r="D31" s="12">
        <v>2</v>
      </c>
      <c r="E31" s="12">
        <v>180</v>
      </c>
      <c r="F31" s="12">
        <v>335</v>
      </c>
      <c r="G31" s="6">
        <v>0.4</v>
      </c>
      <c r="H31" s="12">
        <v>60</v>
      </c>
      <c r="I31" s="24" t="s">
        <v>35</v>
      </c>
      <c r="J31" s="12"/>
      <c r="K31" s="12">
        <v>204</v>
      </c>
      <c r="L31" s="12">
        <f t="shared" si="2"/>
        <v>-24</v>
      </c>
      <c r="M31" s="12"/>
      <c r="N31" s="12"/>
      <c r="O31" s="12">
        <v>169</v>
      </c>
      <c r="P31" s="12">
        <f t="shared" si="3"/>
        <v>36</v>
      </c>
      <c r="Q31" s="4">
        <f t="shared" si="10"/>
        <v>36</v>
      </c>
      <c r="R31" s="4">
        <f>S31</f>
        <v>80</v>
      </c>
      <c r="S31" s="25">
        <f>VLOOKUP(A31,[1]Sheet!$A:$R,18,0)</f>
        <v>80</v>
      </c>
      <c r="T31" s="12">
        <f t="shared" si="7"/>
        <v>16.222222222222221</v>
      </c>
      <c r="U31" s="12">
        <f t="shared" si="4"/>
        <v>14</v>
      </c>
      <c r="V31" s="12">
        <v>51.4</v>
      </c>
      <c r="W31" s="12">
        <v>33.6</v>
      </c>
      <c r="X31" s="12">
        <v>45.4</v>
      </c>
      <c r="Y31" s="12">
        <v>35.200000000000003</v>
      </c>
      <c r="Z31" s="12">
        <v>62.6</v>
      </c>
      <c r="AA31" s="12">
        <v>39.200000000000003</v>
      </c>
      <c r="AB31" s="12">
        <v>37.799999999999997</v>
      </c>
      <c r="AC31" s="12">
        <v>42.8</v>
      </c>
      <c r="AD31" s="12">
        <v>27.4</v>
      </c>
      <c r="AE31" s="12">
        <v>24.2</v>
      </c>
      <c r="AF31" s="12"/>
      <c r="AG31" s="12">
        <f t="shared" si="8"/>
        <v>32</v>
      </c>
      <c r="AH31" s="12">
        <f t="shared" si="9"/>
        <v>14.4</v>
      </c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</row>
    <row r="32" spans="1:50" x14ac:dyDescent="0.25">
      <c r="A32" s="13" t="s">
        <v>70</v>
      </c>
      <c r="B32" s="13" t="s">
        <v>38</v>
      </c>
      <c r="C32" s="13">
        <v>-94</v>
      </c>
      <c r="D32" s="13">
        <v>226</v>
      </c>
      <c r="E32" s="17">
        <v>120</v>
      </c>
      <c r="F32" s="17">
        <v>-13</v>
      </c>
      <c r="G32" s="14">
        <v>0</v>
      </c>
      <c r="H32" s="13">
        <v>45</v>
      </c>
      <c r="I32" s="13" t="s">
        <v>53</v>
      </c>
      <c r="J32" s="13" t="s">
        <v>71</v>
      </c>
      <c r="K32" s="13">
        <v>132</v>
      </c>
      <c r="L32" s="13">
        <f t="shared" si="2"/>
        <v>-12</v>
      </c>
      <c r="M32" s="13"/>
      <c r="N32" s="13"/>
      <c r="O32" s="13">
        <v>0</v>
      </c>
      <c r="P32" s="13">
        <f t="shared" si="3"/>
        <v>24</v>
      </c>
      <c r="Q32" s="15"/>
      <c r="R32" s="4">
        <f t="shared" si="6"/>
        <v>0</v>
      </c>
      <c r="S32" s="25"/>
      <c r="T32" s="12">
        <f t="shared" si="7"/>
        <v>-0.54166666666666663</v>
      </c>
      <c r="U32" s="13">
        <f t="shared" si="4"/>
        <v>-0.54166666666666663</v>
      </c>
      <c r="V32" s="13">
        <v>27</v>
      </c>
      <c r="W32" s="13">
        <v>48</v>
      </c>
      <c r="X32" s="13">
        <v>43.6</v>
      </c>
      <c r="Y32" s="13">
        <v>18.399999999999999</v>
      </c>
      <c r="Z32" s="13">
        <v>34.4</v>
      </c>
      <c r="AA32" s="13">
        <v>27.2</v>
      </c>
      <c r="AB32" s="13">
        <v>16.399999999999999</v>
      </c>
      <c r="AC32" s="13">
        <v>22.4</v>
      </c>
      <c r="AD32" s="13">
        <v>36</v>
      </c>
      <c r="AE32" s="13">
        <v>27.2</v>
      </c>
      <c r="AF32" s="13" t="s">
        <v>72</v>
      </c>
      <c r="AG32" s="12">
        <f t="shared" si="8"/>
        <v>0</v>
      </c>
      <c r="AH32" s="12">
        <f t="shared" si="9"/>
        <v>0</v>
      </c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</row>
    <row r="33" spans="1:50" x14ac:dyDescent="0.25">
      <c r="A33" s="12" t="s">
        <v>73</v>
      </c>
      <c r="B33" s="12" t="s">
        <v>34</v>
      </c>
      <c r="C33" s="12">
        <v>280.08199999999999</v>
      </c>
      <c r="D33" s="12"/>
      <c r="E33" s="12">
        <v>65.718999999999994</v>
      </c>
      <c r="F33" s="12">
        <v>205.24299999999999</v>
      </c>
      <c r="G33" s="6">
        <v>1</v>
      </c>
      <c r="H33" s="12">
        <v>60</v>
      </c>
      <c r="I33" s="12" t="s">
        <v>35</v>
      </c>
      <c r="J33" s="12"/>
      <c r="K33" s="12">
        <v>64.5</v>
      </c>
      <c r="L33" s="12">
        <f t="shared" si="2"/>
        <v>1.2189999999999941</v>
      </c>
      <c r="M33" s="12"/>
      <c r="N33" s="12"/>
      <c r="O33" s="12">
        <v>71</v>
      </c>
      <c r="P33" s="12">
        <f t="shared" si="3"/>
        <v>13.143799999999999</v>
      </c>
      <c r="Q33" s="4"/>
      <c r="R33" s="4">
        <v>20</v>
      </c>
      <c r="S33" s="25">
        <f>VLOOKUP(A33,[1]Sheet!$A:$R,18,0)</f>
        <v>50</v>
      </c>
      <c r="T33" s="12">
        <f t="shared" si="7"/>
        <v>22.538611360489359</v>
      </c>
      <c r="U33" s="12">
        <f t="shared" si="4"/>
        <v>21.016981390465467</v>
      </c>
      <c r="V33" s="12">
        <v>24.308399999999999</v>
      </c>
      <c r="W33" s="12">
        <v>13.016</v>
      </c>
      <c r="X33" s="12">
        <v>17.422599999999999</v>
      </c>
      <c r="Y33" s="12">
        <v>20.948799999999999</v>
      </c>
      <c r="Z33" s="12">
        <v>18.779599999999999</v>
      </c>
      <c r="AA33" s="12">
        <v>14.0886</v>
      </c>
      <c r="AB33" s="12">
        <v>16.861599999999999</v>
      </c>
      <c r="AC33" s="12">
        <v>19.841200000000001</v>
      </c>
      <c r="AD33" s="12">
        <v>21.473199999999999</v>
      </c>
      <c r="AE33" s="12">
        <v>16.648800000000001</v>
      </c>
      <c r="AF33" s="21" t="s">
        <v>65</v>
      </c>
      <c r="AG33" s="12">
        <f t="shared" si="8"/>
        <v>20</v>
      </c>
      <c r="AH33" s="12">
        <f t="shared" si="9"/>
        <v>13.143799999999999</v>
      </c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</row>
    <row r="34" spans="1:50" x14ac:dyDescent="0.25">
      <c r="A34" s="12" t="s">
        <v>74</v>
      </c>
      <c r="B34" s="12" t="s">
        <v>34</v>
      </c>
      <c r="C34" s="12">
        <v>375.14299999999997</v>
      </c>
      <c r="D34" s="12">
        <v>3.1179999999999999</v>
      </c>
      <c r="E34" s="12">
        <v>143.98400000000001</v>
      </c>
      <c r="F34" s="12">
        <v>214.39699999999999</v>
      </c>
      <c r="G34" s="6">
        <v>1</v>
      </c>
      <c r="H34" s="12">
        <v>45</v>
      </c>
      <c r="I34" s="12" t="s">
        <v>35</v>
      </c>
      <c r="J34" s="12"/>
      <c r="K34" s="12">
        <v>149.4</v>
      </c>
      <c r="L34" s="12">
        <f t="shared" si="2"/>
        <v>-5.4159999999999968</v>
      </c>
      <c r="M34" s="12"/>
      <c r="N34" s="12"/>
      <c r="O34" s="12">
        <v>0</v>
      </c>
      <c r="P34" s="12">
        <f t="shared" si="3"/>
        <v>28.796800000000001</v>
      </c>
      <c r="Q34" s="4">
        <f>14*P34-O34-F34</f>
        <v>188.75820000000004</v>
      </c>
      <c r="R34" s="4">
        <f t="shared" si="6"/>
        <v>189</v>
      </c>
      <c r="S34" s="25"/>
      <c r="T34" s="12">
        <f t="shared" si="7"/>
        <v>14.008396766307367</v>
      </c>
      <c r="U34" s="12">
        <f t="shared" si="4"/>
        <v>7.4451675186131787</v>
      </c>
      <c r="V34" s="12">
        <v>7.9718</v>
      </c>
      <c r="W34" s="12">
        <v>20.371400000000001</v>
      </c>
      <c r="X34" s="12">
        <v>20</v>
      </c>
      <c r="Y34" s="12">
        <v>7.6871999999999998</v>
      </c>
      <c r="Z34" s="12">
        <v>18.589200000000002</v>
      </c>
      <c r="AA34" s="12">
        <v>16.758800000000001</v>
      </c>
      <c r="AB34" s="12">
        <v>9.6164000000000005</v>
      </c>
      <c r="AC34" s="12">
        <v>15.4948</v>
      </c>
      <c r="AD34" s="12">
        <v>17.491800000000001</v>
      </c>
      <c r="AE34" s="12">
        <v>8.7322000000000006</v>
      </c>
      <c r="AF34" s="12"/>
      <c r="AG34" s="12">
        <f t="shared" si="8"/>
        <v>189</v>
      </c>
      <c r="AH34" s="12">
        <f t="shared" si="9"/>
        <v>28.796800000000001</v>
      </c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</row>
    <row r="35" spans="1:50" x14ac:dyDescent="0.25">
      <c r="A35" s="12" t="s">
        <v>75</v>
      </c>
      <c r="B35" s="12" t="s">
        <v>34</v>
      </c>
      <c r="C35" s="12">
        <v>378.97899999999998</v>
      </c>
      <c r="D35" s="12"/>
      <c r="E35" s="12">
        <v>125.03100000000001</v>
      </c>
      <c r="F35" s="12">
        <v>237.13399999999999</v>
      </c>
      <c r="G35" s="6">
        <v>1</v>
      </c>
      <c r="H35" s="12">
        <v>45</v>
      </c>
      <c r="I35" s="12" t="s">
        <v>35</v>
      </c>
      <c r="J35" s="12"/>
      <c r="K35" s="12">
        <v>124.5</v>
      </c>
      <c r="L35" s="12">
        <f t="shared" si="2"/>
        <v>0.53100000000000591</v>
      </c>
      <c r="M35" s="12"/>
      <c r="N35" s="12"/>
      <c r="O35" s="12">
        <v>0</v>
      </c>
      <c r="P35" s="12">
        <f t="shared" si="3"/>
        <v>25.0062</v>
      </c>
      <c r="Q35" s="4">
        <f t="shared" ref="Q35" si="11">15*P35-O35-F35</f>
        <v>137.95900000000003</v>
      </c>
      <c r="R35" s="4">
        <f t="shared" si="6"/>
        <v>138</v>
      </c>
      <c r="S35" s="25"/>
      <c r="T35" s="12">
        <f t="shared" si="7"/>
        <v>15.001639593380842</v>
      </c>
      <c r="U35" s="12">
        <f t="shared" si="4"/>
        <v>9.4830082139629361</v>
      </c>
      <c r="V35" s="12">
        <v>12.4328</v>
      </c>
      <c r="W35" s="12">
        <v>14.1114</v>
      </c>
      <c r="X35" s="12">
        <v>12.1136</v>
      </c>
      <c r="Y35" s="12">
        <v>21.622599999999998</v>
      </c>
      <c r="Z35" s="12">
        <v>31.792000000000002</v>
      </c>
      <c r="AA35" s="12">
        <v>20.077200000000001</v>
      </c>
      <c r="AB35" s="12">
        <v>11.674799999999999</v>
      </c>
      <c r="AC35" s="12">
        <v>20.364000000000001</v>
      </c>
      <c r="AD35" s="12">
        <v>26.2212</v>
      </c>
      <c r="AE35" s="12">
        <v>18.284400000000002</v>
      </c>
      <c r="AF35" s="12"/>
      <c r="AG35" s="12">
        <f t="shared" si="8"/>
        <v>138</v>
      </c>
      <c r="AH35" s="12">
        <f t="shared" si="9"/>
        <v>25.0062</v>
      </c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</row>
    <row r="36" spans="1:50" x14ac:dyDescent="0.25">
      <c r="A36" s="8" t="s">
        <v>76</v>
      </c>
      <c r="B36" s="8" t="s">
        <v>38</v>
      </c>
      <c r="C36" s="8">
        <v>131</v>
      </c>
      <c r="D36" s="8">
        <v>2</v>
      </c>
      <c r="E36" s="8">
        <v>-41</v>
      </c>
      <c r="F36" s="8"/>
      <c r="G36" s="9">
        <v>0</v>
      </c>
      <c r="H36" s="8"/>
      <c r="I36" s="8" t="s">
        <v>77</v>
      </c>
      <c r="J36" s="8"/>
      <c r="K36" s="8">
        <v>137</v>
      </c>
      <c r="L36" s="8">
        <f t="shared" si="2"/>
        <v>-178</v>
      </c>
      <c r="M36" s="8"/>
      <c r="N36" s="8"/>
      <c r="O36" s="8">
        <v>0</v>
      </c>
      <c r="P36" s="8">
        <f t="shared" si="3"/>
        <v>-8.1999999999999993</v>
      </c>
      <c r="Q36" s="10"/>
      <c r="R36" s="4">
        <f t="shared" si="6"/>
        <v>0</v>
      </c>
      <c r="S36" s="25"/>
      <c r="T36" s="12">
        <f t="shared" si="7"/>
        <v>0</v>
      </c>
      <c r="U36" s="8">
        <f t="shared" si="4"/>
        <v>0</v>
      </c>
      <c r="V36" s="8">
        <v>23.4</v>
      </c>
      <c r="W36" s="8">
        <v>34.6</v>
      </c>
      <c r="X36" s="8">
        <v>56.6</v>
      </c>
      <c r="Y36" s="8">
        <v>24.4</v>
      </c>
      <c r="Z36" s="8">
        <v>21.2</v>
      </c>
      <c r="AA36" s="8">
        <v>11.4</v>
      </c>
      <c r="AB36" s="8">
        <v>0</v>
      </c>
      <c r="AC36" s="8">
        <v>0</v>
      </c>
      <c r="AD36" s="8">
        <v>0</v>
      </c>
      <c r="AE36" s="8">
        <v>0</v>
      </c>
      <c r="AF36" s="8" t="s">
        <v>78</v>
      </c>
      <c r="AG36" s="12">
        <f t="shared" si="8"/>
        <v>0</v>
      </c>
      <c r="AH36" s="12">
        <f t="shared" si="9"/>
        <v>0</v>
      </c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</row>
    <row r="37" spans="1:50" x14ac:dyDescent="0.25">
      <c r="A37" s="12" t="s">
        <v>79</v>
      </c>
      <c r="B37" s="12" t="s">
        <v>34</v>
      </c>
      <c r="C37" s="12">
        <v>306.26499999999999</v>
      </c>
      <c r="D37" s="12">
        <v>138.85</v>
      </c>
      <c r="E37" s="12">
        <v>120.848</v>
      </c>
      <c r="F37" s="12">
        <v>303.45800000000003</v>
      </c>
      <c r="G37" s="6">
        <v>1</v>
      </c>
      <c r="H37" s="12">
        <v>45</v>
      </c>
      <c r="I37" s="12" t="s">
        <v>35</v>
      </c>
      <c r="J37" s="12"/>
      <c r="K37" s="12">
        <v>126.4</v>
      </c>
      <c r="L37" s="12">
        <f t="shared" si="2"/>
        <v>-5.5520000000000067</v>
      </c>
      <c r="M37" s="12"/>
      <c r="N37" s="12"/>
      <c r="O37" s="12">
        <v>0</v>
      </c>
      <c r="P37" s="12">
        <f t="shared" si="3"/>
        <v>24.169599999999999</v>
      </c>
      <c r="Q37" s="4">
        <f t="shared" ref="Q37:Q79" si="12">15*P37-O37-F37</f>
        <v>59.085999999999956</v>
      </c>
      <c r="R37" s="4">
        <f t="shared" si="6"/>
        <v>59</v>
      </c>
      <c r="S37" s="25"/>
      <c r="T37" s="12">
        <f t="shared" si="7"/>
        <v>14.99644181120085</v>
      </c>
      <c r="U37" s="12">
        <f t="shared" si="4"/>
        <v>12.55535879782868</v>
      </c>
      <c r="V37" s="12">
        <v>18.371600000000001</v>
      </c>
      <c r="W37" s="12">
        <v>34.582000000000001</v>
      </c>
      <c r="X37" s="12">
        <v>23.183399999999999</v>
      </c>
      <c r="Y37" s="12">
        <v>28.372599999999998</v>
      </c>
      <c r="Z37" s="12">
        <v>42.488399999999999</v>
      </c>
      <c r="AA37" s="12">
        <v>29.185600000000001</v>
      </c>
      <c r="AB37" s="12">
        <v>25.471800000000002</v>
      </c>
      <c r="AC37" s="12">
        <v>27.164400000000001</v>
      </c>
      <c r="AD37" s="12">
        <v>49.6982</v>
      </c>
      <c r="AE37" s="12">
        <v>26.753799999999998</v>
      </c>
      <c r="AF37" s="12"/>
      <c r="AG37" s="12">
        <f t="shared" si="8"/>
        <v>59</v>
      </c>
      <c r="AH37" s="12">
        <f t="shared" si="9"/>
        <v>24.169599999999999</v>
      </c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</row>
    <row r="38" spans="1:50" x14ac:dyDescent="0.25">
      <c r="A38" s="12" t="s">
        <v>80</v>
      </c>
      <c r="B38" s="12" t="s">
        <v>38</v>
      </c>
      <c r="C38" s="12">
        <v>547</v>
      </c>
      <c r="D38" s="12">
        <v>41</v>
      </c>
      <c r="E38" s="12">
        <v>263</v>
      </c>
      <c r="F38" s="12">
        <v>250</v>
      </c>
      <c r="G38" s="6">
        <v>0.3</v>
      </c>
      <c r="H38" s="12">
        <v>45</v>
      </c>
      <c r="I38" s="12" t="s">
        <v>35</v>
      </c>
      <c r="J38" s="12"/>
      <c r="K38" s="12">
        <v>282</v>
      </c>
      <c r="L38" s="12">
        <f t="shared" ref="L38:L69" si="13">E38-K38</f>
        <v>-19</v>
      </c>
      <c r="M38" s="12"/>
      <c r="N38" s="12"/>
      <c r="O38" s="12">
        <v>41</v>
      </c>
      <c r="P38" s="12">
        <f t="shared" ref="P38:P69" si="14">E38/5</f>
        <v>52.6</v>
      </c>
      <c r="Q38" s="4">
        <f>14*P38-O38-F38</f>
        <v>445.4</v>
      </c>
      <c r="R38" s="4">
        <f t="shared" si="6"/>
        <v>445</v>
      </c>
      <c r="S38" s="25"/>
      <c r="T38" s="12">
        <f t="shared" si="7"/>
        <v>13.992395437262356</v>
      </c>
      <c r="U38" s="12">
        <f t="shared" ref="U38:U69" si="15">(F38+O38)/P38</f>
        <v>5.5323193916349807</v>
      </c>
      <c r="V38" s="12">
        <v>40</v>
      </c>
      <c r="W38" s="12">
        <v>51.4</v>
      </c>
      <c r="X38" s="12">
        <v>52.6</v>
      </c>
      <c r="Y38" s="12">
        <v>58.4</v>
      </c>
      <c r="Z38" s="12">
        <v>62.2</v>
      </c>
      <c r="AA38" s="12">
        <v>54.2</v>
      </c>
      <c r="AB38" s="12">
        <v>35.6</v>
      </c>
      <c r="AC38" s="12">
        <v>48.4</v>
      </c>
      <c r="AD38" s="12">
        <v>70.2</v>
      </c>
      <c r="AE38" s="12">
        <v>69.8</v>
      </c>
      <c r="AF38" s="12"/>
      <c r="AG38" s="12">
        <f t="shared" si="8"/>
        <v>133.5</v>
      </c>
      <c r="AH38" s="12">
        <f t="shared" si="9"/>
        <v>15.78</v>
      </c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</row>
    <row r="39" spans="1:50" x14ac:dyDescent="0.25">
      <c r="A39" s="12" t="s">
        <v>81</v>
      </c>
      <c r="B39" s="12" t="s">
        <v>34</v>
      </c>
      <c r="C39" s="12">
        <v>376.82799999999997</v>
      </c>
      <c r="D39" s="12">
        <v>180.886</v>
      </c>
      <c r="E39" s="12">
        <v>187.56899999999999</v>
      </c>
      <c r="F39" s="12">
        <v>352.28300000000002</v>
      </c>
      <c r="G39" s="6">
        <v>1</v>
      </c>
      <c r="H39" s="12">
        <v>30</v>
      </c>
      <c r="I39" s="12" t="s">
        <v>35</v>
      </c>
      <c r="J39" s="12"/>
      <c r="K39" s="12">
        <v>185.9</v>
      </c>
      <c r="L39" s="12">
        <f t="shared" si="13"/>
        <v>1.6689999999999827</v>
      </c>
      <c r="M39" s="12"/>
      <c r="N39" s="12"/>
      <c r="O39" s="12">
        <v>0</v>
      </c>
      <c r="P39" s="12">
        <f t="shared" si="14"/>
        <v>37.513799999999996</v>
      </c>
      <c r="Q39" s="4">
        <f t="shared" si="12"/>
        <v>210.42399999999998</v>
      </c>
      <c r="R39" s="4">
        <f t="shared" si="6"/>
        <v>210</v>
      </c>
      <c r="S39" s="25"/>
      <c r="T39" s="12">
        <f t="shared" si="7"/>
        <v>14.988697492656037</v>
      </c>
      <c r="U39" s="12">
        <f t="shared" si="15"/>
        <v>9.3907575345606169</v>
      </c>
      <c r="V39" s="12">
        <v>32.568399999999997</v>
      </c>
      <c r="W39" s="12">
        <v>44.972000000000001</v>
      </c>
      <c r="X39" s="12">
        <v>23.103200000000001</v>
      </c>
      <c r="Y39" s="12">
        <v>34.4876</v>
      </c>
      <c r="Z39" s="12">
        <v>27.011600000000001</v>
      </c>
      <c r="AA39" s="12">
        <v>22.9208</v>
      </c>
      <c r="AB39" s="12">
        <v>23.462</v>
      </c>
      <c r="AC39" s="12">
        <v>26.2592</v>
      </c>
      <c r="AD39" s="12">
        <v>36.895600000000002</v>
      </c>
      <c r="AE39" s="12">
        <v>16.045200000000001</v>
      </c>
      <c r="AF39" s="12"/>
      <c r="AG39" s="12">
        <f t="shared" si="8"/>
        <v>210</v>
      </c>
      <c r="AH39" s="12">
        <f t="shared" si="9"/>
        <v>37.513799999999996</v>
      </c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</row>
    <row r="40" spans="1:50" x14ac:dyDescent="0.25">
      <c r="A40" s="12" t="s">
        <v>82</v>
      </c>
      <c r="B40" s="12" t="s">
        <v>34</v>
      </c>
      <c r="C40" s="12">
        <v>711.79899999999998</v>
      </c>
      <c r="D40" s="12">
        <v>24.984000000000002</v>
      </c>
      <c r="E40" s="12">
        <v>442.75900000000001</v>
      </c>
      <c r="F40" s="12">
        <v>275.43400000000003</v>
      </c>
      <c r="G40" s="6">
        <v>1</v>
      </c>
      <c r="H40" s="12">
        <v>45</v>
      </c>
      <c r="I40" s="12" t="s">
        <v>35</v>
      </c>
      <c r="J40" s="12"/>
      <c r="K40" s="12">
        <v>417.5</v>
      </c>
      <c r="L40" s="12">
        <f t="shared" si="13"/>
        <v>25.259000000000015</v>
      </c>
      <c r="M40" s="12"/>
      <c r="N40" s="12"/>
      <c r="O40" s="12">
        <v>0</v>
      </c>
      <c r="P40" s="12">
        <f t="shared" si="14"/>
        <v>88.5518</v>
      </c>
      <c r="Q40" s="4">
        <f>11*P40-O40-F40</f>
        <v>698.63580000000002</v>
      </c>
      <c r="R40" s="4">
        <f t="shared" si="6"/>
        <v>699</v>
      </c>
      <c r="S40" s="25"/>
      <c r="T40" s="12">
        <f t="shared" si="7"/>
        <v>11.004112846943823</v>
      </c>
      <c r="U40" s="12">
        <f t="shared" si="15"/>
        <v>3.1104280206613533</v>
      </c>
      <c r="V40" s="12">
        <v>39.857999999999997</v>
      </c>
      <c r="W40" s="12">
        <v>60.587800000000001</v>
      </c>
      <c r="X40" s="12">
        <v>56.868200000000002</v>
      </c>
      <c r="Y40" s="12">
        <v>55.290599999999998</v>
      </c>
      <c r="Z40" s="12">
        <v>69.810400000000001</v>
      </c>
      <c r="AA40" s="12">
        <v>76.587800000000001</v>
      </c>
      <c r="AB40" s="12">
        <v>48.989199999999997</v>
      </c>
      <c r="AC40" s="12">
        <v>66.378</v>
      </c>
      <c r="AD40" s="12">
        <v>55.039200000000008</v>
      </c>
      <c r="AE40" s="12">
        <v>42.236199999999997</v>
      </c>
      <c r="AF40" s="12"/>
      <c r="AG40" s="12">
        <f t="shared" si="8"/>
        <v>699</v>
      </c>
      <c r="AH40" s="12">
        <f t="shared" si="9"/>
        <v>88.5518</v>
      </c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</row>
    <row r="41" spans="1:50" x14ac:dyDescent="0.25">
      <c r="A41" s="12" t="s">
        <v>83</v>
      </c>
      <c r="B41" s="12" t="s">
        <v>38</v>
      </c>
      <c r="C41" s="12">
        <v>826</v>
      </c>
      <c r="D41" s="12">
        <v>1</v>
      </c>
      <c r="E41" s="12">
        <v>382</v>
      </c>
      <c r="F41" s="12">
        <v>361</v>
      </c>
      <c r="G41" s="6">
        <v>0.35</v>
      </c>
      <c r="H41" s="12">
        <v>45</v>
      </c>
      <c r="I41" s="12" t="s">
        <v>35</v>
      </c>
      <c r="J41" s="12"/>
      <c r="K41" s="12">
        <v>412</v>
      </c>
      <c r="L41" s="12">
        <f t="shared" si="13"/>
        <v>-30</v>
      </c>
      <c r="M41" s="12"/>
      <c r="N41" s="12"/>
      <c r="O41" s="12">
        <v>149</v>
      </c>
      <c r="P41" s="12">
        <f t="shared" si="14"/>
        <v>76.400000000000006</v>
      </c>
      <c r="Q41" s="4">
        <f t="shared" si="12"/>
        <v>636</v>
      </c>
      <c r="R41" s="4">
        <f t="shared" si="6"/>
        <v>636</v>
      </c>
      <c r="S41" s="25"/>
      <c r="T41" s="12">
        <f t="shared" si="7"/>
        <v>14.999999999999998</v>
      </c>
      <c r="U41" s="12">
        <f t="shared" si="15"/>
        <v>6.6753926701570672</v>
      </c>
      <c r="V41" s="12">
        <v>60.8</v>
      </c>
      <c r="W41" s="12">
        <v>64</v>
      </c>
      <c r="X41" s="12">
        <v>73</v>
      </c>
      <c r="Y41" s="12">
        <v>43.8</v>
      </c>
      <c r="Z41" s="12">
        <v>54.2</v>
      </c>
      <c r="AA41" s="12">
        <v>82.6</v>
      </c>
      <c r="AB41" s="12">
        <v>46.2</v>
      </c>
      <c r="AC41" s="12">
        <v>63</v>
      </c>
      <c r="AD41" s="12">
        <v>93.8</v>
      </c>
      <c r="AE41" s="12">
        <v>49.2</v>
      </c>
      <c r="AF41" s="12"/>
      <c r="AG41" s="12">
        <f t="shared" si="8"/>
        <v>222.6</v>
      </c>
      <c r="AH41" s="12">
        <f t="shared" si="9"/>
        <v>26.740000000000002</v>
      </c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</row>
    <row r="42" spans="1:50" x14ac:dyDescent="0.25">
      <c r="A42" s="12" t="s">
        <v>84</v>
      </c>
      <c r="B42" s="12" t="s">
        <v>38</v>
      </c>
      <c r="C42" s="12">
        <v>460</v>
      </c>
      <c r="D42" s="12">
        <v>10</v>
      </c>
      <c r="E42" s="12">
        <v>212</v>
      </c>
      <c r="F42" s="12">
        <v>160</v>
      </c>
      <c r="G42" s="6">
        <v>0.41</v>
      </c>
      <c r="H42" s="12">
        <v>45</v>
      </c>
      <c r="I42" s="12" t="s">
        <v>85</v>
      </c>
      <c r="J42" s="12"/>
      <c r="K42" s="12">
        <v>293</v>
      </c>
      <c r="L42" s="12">
        <f t="shared" si="13"/>
        <v>-81</v>
      </c>
      <c r="M42" s="12"/>
      <c r="N42" s="12"/>
      <c r="O42" s="12">
        <v>85</v>
      </c>
      <c r="P42" s="12">
        <f t="shared" si="14"/>
        <v>42.4</v>
      </c>
      <c r="Q42" s="4">
        <f>14*P42-O42-F42</f>
        <v>348.6</v>
      </c>
      <c r="R42" s="4">
        <f t="shared" si="6"/>
        <v>349</v>
      </c>
      <c r="S42" s="25"/>
      <c r="T42" s="12">
        <f t="shared" si="7"/>
        <v>14.009433962264151</v>
      </c>
      <c r="U42" s="12">
        <f t="shared" si="15"/>
        <v>5.7783018867924527</v>
      </c>
      <c r="V42" s="12">
        <v>32.799999999999997</v>
      </c>
      <c r="W42" s="12">
        <v>30.2</v>
      </c>
      <c r="X42" s="12">
        <v>56.2</v>
      </c>
      <c r="Y42" s="12">
        <v>46</v>
      </c>
      <c r="Z42" s="12">
        <v>60.4</v>
      </c>
      <c r="AA42" s="12">
        <v>59.8</v>
      </c>
      <c r="AB42" s="12">
        <v>66</v>
      </c>
      <c r="AC42" s="12">
        <v>59.4</v>
      </c>
      <c r="AD42" s="12">
        <v>44.8</v>
      </c>
      <c r="AE42" s="12">
        <v>56</v>
      </c>
      <c r="AF42" s="12"/>
      <c r="AG42" s="12">
        <f t="shared" si="8"/>
        <v>143.09</v>
      </c>
      <c r="AH42" s="12">
        <f t="shared" si="9"/>
        <v>17.383999999999997</v>
      </c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</row>
    <row r="43" spans="1:50" x14ac:dyDescent="0.25">
      <c r="A43" s="12" t="s">
        <v>86</v>
      </c>
      <c r="B43" s="12" t="s">
        <v>38</v>
      </c>
      <c r="C43" s="12">
        <v>322</v>
      </c>
      <c r="D43" s="12">
        <v>4</v>
      </c>
      <c r="E43" s="12">
        <v>122</v>
      </c>
      <c r="F43" s="12">
        <v>168</v>
      </c>
      <c r="G43" s="6">
        <v>0.41</v>
      </c>
      <c r="H43" s="12">
        <v>45</v>
      </c>
      <c r="I43" s="12" t="s">
        <v>35</v>
      </c>
      <c r="J43" s="12"/>
      <c r="K43" s="12">
        <v>130</v>
      </c>
      <c r="L43" s="12">
        <f t="shared" si="13"/>
        <v>-8</v>
      </c>
      <c r="M43" s="12"/>
      <c r="N43" s="12"/>
      <c r="O43" s="12">
        <v>73</v>
      </c>
      <c r="P43" s="12">
        <f t="shared" si="14"/>
        <v>24.4</v>
      </c>
      <c r="Q43" s="4">
        <f t="shared" si="12"/>
        <v>125</v>
      </c>
      <c r="R43" s="4">
        <f t="shared" si="6"/>
        <v>125</v>
      </c>
      <c r="S43" s="25"/>
      <c r="T43" s="12">
        <f t="shared" si="7"/>
        <v>15</v>
      </c>
      <c r="U43" s="12">
        <f t="shared" si="15"/>
        <v>9.8770491803278695</v>
      </c>
      <c r="V43" s="12">
        <v>24.8</v>
      </c>
      <c r="W43" s="12">
        <v>23.6</v>
      </c>
      <c r="X43" s="12">
        <v>27.4</v>
      </c>
      <c r="Y43" s="12">
        <v>33.6</v>
      </c>
      <c r="Z43" s="12">
        <v>34.200000000000003</v>
      </c>
      <c r="AA43" s="12">
        <v>28.6</v>
      </c>
      <c r="AB43" s="12">
        <v>35.6</v>
      </c>
      <c r="AC43" s="12">
        <v>34.200000000000003</v>
      </c>
      <c r="AD43" s="12">
        <v>40.6</v>
      </c>
      <c r="AE43" s="12">
        <v>30.6</v>
      </c>
      <c r="AF43" s="12"/>
      <c r="AG43" s="12">
        <f t="shared" si="8"/>
        <v>51.25</v>
      </c>
      <c r="AH43" s="12">
        <f t="shared" si="9"/>
        <v>10.004</v>
      </c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</row>
    <row r="44" spans="1:50" x14ac:dyDescent="0.25">
      <c r="A44" s="12" t="s">
        <v>87</v>
      </c>
      <c r="B44" s="12" t="s">
        <v>38</v>
      </c>
      <c r="C44" s="12">
        <v>240</v>
      </c>
      <c r="D44" s="12">
        <v>186</v>
      </c>
      <c r="E44" s="12">
        <v>306</v>
      </c>
      <c r="F44" s="12">
        <v>91</v>
      </c>
      <c r="G44" s="6">
        <v>0.36</v>
      </c>
      <c r="H44" s="12">
        <v>45</v>
      </c>
      <c r="I44" s="12" t="s">
        <v>35</v>
      </c>
      <c r="J44" s="12"/>
      <c r="K44" s="12">
        <v>316</v>
      </c>
      <c r="L44" s="12">
        <f t="shared" si="13"/>
        <v>-10</v>
      </c>
      <c r="M44" s="12"/>
      <c r="N44" s="12"/>
      <c r="O44" s="12">
        <v>236</v>
      </c>
      <c r="P44" s="12">
        <f t="shared" si="14"/>
        <v>61.2</v>
      </c>
      <c r="Q44" s="4">
        <f>13*P44-O44-F44</f>
        <v>468.6</v>
      </c>
      <c r="R44" s="4">
        <f t="shared" si="6"/>
        <v>469</v>
      </c>
      <c r="S44" s="25"/>
      <c r="T44" s="12">
        <f t="shared" si="7"/>
        <v>13.006535947712418</v>
      </c>
      <c r="U44" s="12">
        <f t="shared" si="15"/>
        <v>5.3431372549019605</v>
      </c>
      <c r="V44" s="12">
        <v>43.6</v>
      </c>
      <c r="W44" s="12">
        <v>43</v>
      </c>
      <c r="X44" s="12">
        <v>45</v>
      </c>
      <c r="Y44" s="12">
        <v>38.799999999999997</v>
      </c>
      <c r="Z44" s="12">
        <v>34.200000000000003</v>
      </c>
      <c r="AA44" s="12">
        <v>27.4</v>
      </c>
      <c r="AB44" s="12">
        <v>35</v>
      </c>
      <c r="AC44" s="12">
        <v>23.2</v>
      </c>
      <c r="AD44" s="12">
        <v>54.2</v>
      </c>
      <c r="AE44" s="12">
        <v>49</v>
      </c>
      <c r="AF44" s="12" t="s">
        <v>45</v>
      </c>
      <c r="AG44" s="12">
        <f t="shared" si="8"/>
        <v>168.84</v>
      </c>
      <c r="AH44" s="12">
        <f t="shared" si="9"/>
        <v>22.032</v>
      </c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</row>
    <row r="45" spans="1:50" x14ac:dyDescent="0.25">
      <c r="A45" s="12" t="s">
        <v>88</v>
      </c>
      <c r="B45" s="12" t="s">
        <v>38</v>
      </c>
      <c r="C45" s="12">
        <v>105</v>
      </c>
      <c r="D45" s="12">
        <v>1</v>
      </c>
      <c r="E45" s="12">
        <v>76</v>
      </c>
      <c r="F45" s="12">
        <v>3</v>
      </c>
      <c r="G45" s="6">
        <v>0.33</v>
      </c>
      <c r="H45" s="12">
        <v>45</v>
      </c>
      <c r="I45" s="12" t="s">
        <v>35</v>
      </c>
      <c r="J45" s="12"/>
      <c r="K45" s="12">
        <v>97</v>
      </c>
      <c r="L45" s="12">
        <f t="shared" si="13"/>
        <v>-21</v>
      </c>
      <c r="M45" s="12"/>
      <c r="N45" s="12"/>
      <c r="O45" s="12">
        <v>9</v>
      </c>
      <c r="P45" s="12">
        <f t="shared" si="14"/>
        <v>15.2</v>
      </c>
      <c r="Q45" s="4">
        <f>9*P45-O45-F45</f>
        <v>124.79999999999998</v>
      </c>
      <c r="R45" s="4">
        <f t="shared" ref="R45:R50" si="16">S45</f>
        <v>170</v>
      </c>
      <c r="S45" s="25">
        <f>VLOOKUP(A45,[1]Sheet!$A:$R,18,0)</f>
        <v>170</v>
      </c>
      <c r="T45" s="12">
        <f t="shared" si="7"/>
        <v>11.973684210526317</v>
      </c>
      <c r="U45" s="12">
        <f t="shared" si="15"/>
        <v>0.78947368421052633</v>
      </c>
      <c r="V45" s="12">
        <v>7.2</v>
      </c>
      <c r="W45" s="12">
        <v>9.6</v>
      </c>
      <c r="X45" s="12">
        <v>7.4</v>
      </c>
      <c r="Y45" s="12">
        <v>9</v>
      </c>
      <c r="Z45" s="12">
        <v>12.6</v>
      </c>
      <c r="AA45" s="12">
        <v>7.4</v>
      </c>
      <c r="AB45" s="12">
        <v>7.2</v>
      </c>
      <c r="AC45" s="12">
        <v>14.4</v>
      </c>
      <c r="AD45" s="12">
        <v>9</v>
      </c>
      <c r="AE45" s="12">
        <v>5.4</v>
      </c>
      <c r="AF45" s="12"/>
      <c r="AG45" s="12">
        <f t="shared" si="8"/>
        <v>56.1</v>
      </c>
      <c r="AH45" s="12">
        <f t="shared" si="9"/>
        <v>5.016</v>
      </c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</row>
    <row r="46" spans="1:50" x14ac:dyDescent="0.25">
      <c r="A46" s="12" t="s">
        <v>89</v>
      </c>
      <c r="B46" s="12" t="s">
        <v>38</v>
      </c>
      <c r="C46" s="12">
        <v>145</v>
      </c>
      <c r="D46" s="12"/>
      <c r="E46" s="12">
        <v>51</v>
      </c>
      <c r="F46" s="12">
        <v>79</v>
      </c>
      <c r="G46" s="6">
        <v>0.4</v>
      </c>
      <c r="H46" s="12">
        <v>60</v>
      </c>
      <c r="I46" s="12" t="s">
        <v>35</v>
      </c>
      <c r="J46" s="12"/>
      <c r="K46" s="12">
        <v>68</v>
      </c>
      <c r="L46" s="12">
        <f t="shared" si="13"/>
        <v>-17</v>
      </c>
      <c r="M46" s="12"/>
      <c r="N46" s="12"/>
      <c r="O46" s="12">
        <v>0</v>
      </c>
      <c r="P46" s="12">
        <f t="shared" si="14"/>
        <v>10.199999999999999</v>
      </c>
      <c r="Q46" s="4">
        <f t="shared" si="12"/>
        <v>74</v>
      </c>
      <c r="R46" s="4">
        <f t="shared" si="16"/>
        <v>100</v>
      </c>
      <c r="S46" s="25">
        <f>VLOOKUP(A46,[1]Sheet!$A:$R,18,0)</f>
        <v>100</v>
      </c>
      <c r="T46" s="12">
        <f t="shared" si="7"/>
        <v>17.549019607843139</v>
      </c>
      <c r="U46" s="12">
        <f t="shared" si="15"/>
        <v>7.7450980392156872</v>
      </c>
      <c r="V46" s="12">
        <v>5.4</v>
      </c>
      <c r="W46" s="12">
        <v>4</v>
      </c>
      <c r="X46" s="12">
        <v>9.6</v>
      </c>
      <c r="Y46" s="12">
        <v>7</v>
      </c>
      <c r="Z46" s="12">
        <v>13</v>
      </c>
      <c r="AA46" s="12">
        <v>17.2</v>
      </c>
      <c r="AB46" s="12">
        <v>13.8</v>
      </c>
      <c r="AC46" s="12">
        <v>24.4</v>
      </c>
      <c r="AD46" s="12">
        <v>15.2</v>
      </c>
      <c r="AE46" s="12">
        <v>13.2</v>
      </c>
      <c r="AF46" s="12"/>
      <c r="AG46" s="12">
        <f t="shared" si="8"/>
        <v>40</v>
      </c>
      <c r="AH46" s="12">
        <f t="shared" si="9"/>
        <v>4.08</v>
      </c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</row>
    <row r="47" spans="1:50" x14ac:dyDescent="0.25">
      <c r="A47" s="12" t="s">
        <v>90</v>
      </c>
      <c r="B47" s="12" t="s">
        <v>38</v>
      </c>
      <c r="C47" s="12">
        <v>67</v>
      </c>
      <c r="D47" s="12">
        <v>17</v>
      </c>
      <c r="E47" s="12">
        <v>40</v>
      </c>
      <c r="F47" s="12">
        <v>36</v>
      </c>
      <c r="G47" s="6">
        <v>0.33</v>
      </c>
      <c r="H47" s="12">
        <v>45</v>
      </c>
      <c r="I47" s="12" t="s">
        <v>35</v>
      </c>
      <c r="J47" s="12"/>
      <c r="K47" s="12">
        <v>40</v>
      </c>
      <c r="L47" s="12">
        <f t="shared" si="13"/>
        <v>0</v>
      </c>
      <c r="M47" s="12"/>
      <c r="N47" s="12"/>
      <c r="O47" s="12">
        <v>30</v>
      </c>
      <c r="P47" s="12">
        <f t="shared" si="14"/>
        <v>8</v>
      </c>
      <c r="Q47" s="4">
        <f t="shared" si="12"/>
        <v>54</v>
      </c>
      <c r="R47" s="4">
        <f t="shared" si="16"/>
        <v>80</v>
      </c>
      <c r="S47" s="25">
        <f>VLOOKUP(A47,[1]Sheet!$A:$R,18,0)</f>
        <v>80</v>
      </c>
      <c r="T47" s="12">
        <f t="shared" si="7"/>
        <v>18.25</v>
      </c>
      <c r="U47" s="12">
        <f t="shared" si="15"/>
        <v>8.25</v>
      </c>
      <c r="V47" s="12">
        <v>7.4</v>
      </c>
      <c r="W47" s="12">
        <v>7.8</v>
      </c>
      <c r="X47" s="12">
        <v>8.6</v>
      </c>
      <c r="Y47" s="12">
        <v>1.8</v>
      </c>
      <c r="Z47" s="12">
        <v>6.4</v>
      </c>
      <c r="AA47" s="12">
        <v>5.2</v>
      </c>
      <c r="AB47" s="12">
        <v>3.8</v>
      </c>
      <c r="AC47" s="12">
        <v>5.6</v>
      </c>
      <c r="AD47" s="12">
        <v>7</v>
      </c>
      <c r="AE47" s="12">
        <v>4.4000000000000004</v>
      </c>
      <c r="AF47" s="12"/>
      <c r="AG47" s="12">
        <f t="shared" si="8"/>
        <v>26.400000000000002</v>
      </c>
      <c r="AH47" s="12">
        <f t="shared" si="9"/>
        <v>2.64</v>
      </c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</row>
    <row r="48" spans="1:50" x14ac:dyDescent="0.25">
      <c r="A48" s="12" t="s">
        <v>91</v>
      </c>
      <c r="B48" s="12" t="s">
        <v>34</v>
      </c>
      <c r="C48" s="12">
        <v>643.01599999999996</v>
      </c>
      <c r="D48" s="12">
        <v>108.596</v>
      </c>
      <c r="E48" s="12">
        <v>489.41</v>
      </c>
      <c r="F48" s="12">
        <v>234.07</v>
      </c>
      <c r="G48" s="6">
        <v>1</v>
      </c>
      <c r="H48" s="12">
        <v>45</v>
      </c>
      <c r="I48" s="12" t="s">
        <v>35</v>
      </c>
      <c r="J48" s="12"/>
      <c r="K48" s="12">
        <v>460.4</v>
      </c>
      <c r="L48" s="12">
        <f t="shared" si="13"/>
        <v>29.010000000000048</v>
      </c>
      <c r="M48" s="12"/>
      <c r="N48" s="12"/>
      <c r="O48" s="12">
        <v>0</v>
      </c>
      <c r="P48" s="12">
        <f t="shared" si="14"/>
        <v>97.882000000000005</v>
      </c>
      <c r="Q48" s="4">
        <f>10*P48-O48-F48</f>
        <v>744.75</v>
      </c>
      <c r="R48" s="4">
        <f t="shared" si="16"/>
        <v>900</v>
      </c>
      <c r="S48" s="25">
        <f>VLOOKUP(A48,[1]Sheet!$A:$R,18,0)</f>
        <v>900</v>
      </c>
      <c r="T48" s="12">
        <f t="shared" si="7"/>
        <v>11.586093459471607</v>
      </c>
      <c r="U48" s="12">
        <f t="shared" si="15"/>
        <v>2.3913487668825728</v>
      </c>
      <c r="V48" s="12">
        <v>42.2898</v>
      </c>
      <c r="W48" s="12">
        <v>61.675400000000003</v>
      </c>
      <c r="X48" s="12">
        <v>57.358199999999997</v>
      </c>
      <c r="Y48" s="12">
        <v>72.658199999999994</v>
      </c>
      <c r="Z48" s="12">
        <v>59.006399999999999</v>
      </c>
      <c r="AA48" s="12">
        <v>74.868399999999994</v>
      </c>
      <c r="AB48" s="12">
        <v>62.738</v>
      </c>
      <c r="AC48" s="12">
        <v>79.360399999999998</v>
      </c>
      <c r="AD48" s="12">
        <v>76.403599999999997</v>
      </c>
      <c r="AE48" s="12">
        <v>34.4542</v>
      </c>
      <c r="AF48" s="12"/>
      <c r="AG48" s="12">
        <f t="shared" si="8"/>
        <v>900</v>
      </c>
      <c r="AH48" s="12">
        <f t="shared" si="9"/>
        <v>97.882000000000005</v>
      </c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</row>
    <row r="49" spans="1:50" x14ac:dyDescent="0.25">
      <c r="A49" s="12" t="s">
        <v>92</v>
      </c>
      <c r="B49" s="12" t="s">
        <v>38</v>
      </c>
      <c r="C49" s="12">
        <v>106</v>
      </c>
      <c r="D49" s="12"/>
      <c r="E49" s="12">
        <v>31</v>
      </c>
      <c r="F49" s="12">
        <v>50</v>
      </c>
      <c r="G49" s="6">
        <v>0.4</v>
      </c>
      <c r="H49" s="12">
        <v>45</v>
      </c>
      <c r="I49" s="12" t="s">
        <v>35</v>
      </c>
      <c r="J49" s="12"/>
      <c r="K49" s="12">
        <v>45</v>
      </c>
      <c r="L49" s="12">
        <f t="shared" si="13"/>
        <v>-14</v>
      </c>
      <c r="M49" s="12"/>
      <c r="N49" s="12"/>
      <c r="O49" s="12">
        <v>0</v>
      </c>
      <c r="P49" s="12">
        <f t="shared" si="14"/>
        <v>6.2</v>
      </c>
      <c r="Q49" s="4">
        <f t="shared" si="12"/>
        <v>43</v>
      </c>
      <c r="R49" s="4">
        <f t="shared" si="16"/>
        <v>80</v>
      </c>
      <c r="S49" s="25">
        <f>VLOOKUP(A49,[1]Sheet!$A:$R,18,0)</f>
        <v>80</v>
      </c>
      <c r="T49" s="12">
        <f t="shared" si="7"/>
        <v>20.967741935483872</v>
      </c>
      <c r="U49" s="12">
        <f t="shared" si="15"/>
        <v>8.064516129032258</v>
      </c>
      <c r="V49" s="12">
        <v>3.6</v>
      </c>
      <c r="W49" s="12">
        <v>4.5999999999999996</v>
      </c>
      <c r="X49" s="12">
        <v>10.8</v>
      </c>
      <c r="Y49" s="12">
        <v>6.6</v>
      </c>
      <c r="Z49" s="12">
        <v>11</v>
      </c>
      <c r="AA49" s="12">
        <v>11.6</v>
      </c>
      <c r="AB49" s="12">
        <v>6.6</v>
      </c>
      <c r="AC49" s="12">
        <v>13.6</v>
      </c>
      <c r="AD49" s="12">
        <v>25.4</v>
      </c>
      <c r="AE49" s="12">
        <v>20.6</v>
      </c>
      <c r="AF49" s="12"/>
      <c r="AG49" s="12">
        <f t="shared" si="8"/>
        <v>32</v>
      </c>
      <c r="AH49" s="12">
        <f t="shared" si="9"/>
        <v>2.4800000000000004</v>
      </c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</row>
    <row r="50" spans="1:50" x14ac:dyDescent="0.25">
      <c r="A50" s="12" t="s">
        <v>93</v>
      </c>
      <c r="B50" s="12" t="s">
        <v>34</v>
      </c>
      <c r="C50" s="12">
        <v>55.137</v>
      </c>
      <c r="D50" s="12"/>
      <c r="E50" s="12">
        <v>17.765000000000001</v>
      </c>
      <c r="F50" s="12">
        <v>33.473999999999997</v>
      </c>
      <c r="G50" s="6">
        <v>1</v>
      </c>
      <c r="H50" s="12">
        <v>60</v>
      </c>
      <c r="I50" s="12" t="s">
        <v>94</v>
      </c>
      <c r="J50" s="12"/>
      <c r="K50" s="12">
        <v>18.100000000000001</v>
      </c>
      <c r="L50" s="12">
        <f t="shared" si="13"/>
        <v>-0.33500000000000085</v>
      </c>
      <c r="M50" s="12"/>
      <c r="N50" s="12"/>
      <c r="O50" s="12">
        <v>0</v>
      </c>
      <c r="P50" s="12">
        <f t="shared" si="14"/>
        <v>3.5529999999999999</v>
      </c>
      <c r="Q50" s="4">
        <f t="shared" si="12"/>
        <v>19.821000000000005</v>
      </c>
      <c r="R50" s="4">
        <f t="shared" si="16"/>
        <v>30</v>
      </c>
      <c r="S50" s="25">
        <f>VLOOKUP(A50,[1]Sheet!$A:$R,18,0)</f>
        <v>30</v>
      </c>
      <c r="T50" s="12">
        <f t="shared" si="7"/>
        <v>17.864902898958626</v>
      </c>
      <c r="U50" s="12">
        <f t="shared" si="15"/>
        <v>9.4213340838727824</v>
      </c>
      <c r="V50" s="12">
        <v>3.1501999999999999</v>
      </c>
      <c r="W50" s="12">
        <v>3.5398000000000009</v>
      </c>
      <c r="X50" s="12">
        <v>3.5333999999999999</v>
      </c>
      <c r="Y50" s="12">
        <v>4.3151999999999999</v>
      </c>
      <c r="Z50" s="12">
        <v>3.9378000000000002</v>
      </c>
      <c r="AA50" s="12">
        <v>1.5831999999999999</v>
      </c>
      <c r="AB50" s="12">
        <v>3.5358000000000001</v>
      </c>
      <c r="AC50" s="12">
        <v>5.3479999999999999</v>
      </c>
      <c r="AD50" s="12">
        <v>2.3647999999999998</v>
      </c>
      <c r="AE50" s="12">
        <v>4.6563999999999997</v>
      </c>
      <c r="AF50" s="12" t="s">
        <v>95</v>
      </c>
      <c r="AG50" s="12">
        <f t="shared" si="8"/>
        <v>30</v>
      </c>
      <c r="AH50" s="12">
        <f t="shared" si="9"/>
        <v>3.5529999999999999</v>
      </c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</row>
    <row r="51" spans="1:50" x14ac:dyDescent="0.25">
      <c r="A51" s="12" t="s">
        <v>96</v>
      </c>
      <c r="B51" s="12" t="s">
        <v>34</v>
      </c>
      <c r="C51" s="12">
        <v>55.731999999999999</v>
      </c>
      <c r="D51" s="12"/>
      <c r="E51" s="12">
        <v>30.327999999999999</v>
      </c>
      <c r="F51" s="12">
        <v>22.439</v>
      </c>
      <c r="G51" s="6">
        <v>1</v>
      </c>
      <c r="H51" s="12">
        <v>60</v>
      </c>
      <c r="I51" s="12" t="s">
        <v>35</v>
      </c>
      <c r="J51" s="12"/>
      <c r="K51" s="12">
        <v>32.4</v>
      </c>
      <c r="L51" s="12">
        <f t="shared" si="13"/>
        <v>-2.0719999999999992</v>
      </c>
      <c r="M51" s="12"/>
      <c r="N51" s="12"/>
      <c r="O51" s="12">
        <v>20</v>
      </c>
      <c r="P51" s="12">
        <f t="shared" si="14"/>
        <v>6.0655999999999999</v>
      </c>
      <c r="Q51" s="4">
        <f t="shared" si="12"/>
        <v>48.544999999999995</v>
      </c>
      <c r="R51" s="4">
        <f t="shared" si="6"/>
        <v>49</v>
      </c>
      <c r="S51" s="25"/>
      <c r="T51" s="12">
        <f t="shared" si="7"/>
        <v>15.075013189132154</v>
      </c>
      <c r="U51" s="12">
        <f t="shared" si="15"/>
        <v>6.9966697441308368</v>
      </c>
      <c r="V51" s="12">
        <v>3.9169999999999998</v>
      </c>
      <c r="W51" s="12">
        <v>3.0973999999999999</v>
      </c>
      <c r="X51" s="12">
        <v>4.5704000000000002</v>
      </c>
      <c r="Y51" s="12">
        <v>3.036</v>
      </c>
      <c r="Z51" s="12">
        <v>5.133</v>
      </c>
      <c r="AA51" s="12">
        <v>1.51</v>
      </c>
      <c r="AB51" s="12">
        <v>4.2290000000000001</v>
      </c>
      <c r="AC51" s="12">
        <v>4.1909999999999998</v>
      </c>
      <c r="AD51" s="12">
        <v>3.3281999999999998</v>
      </c>
      <c r="AE51" s="12">
        <v>5.4710000000000001</v>
      </c>
      <c r="AF51" s="12"/>
      <c r="AG51" s="12">
        <f t="shared" si="8"/>
        <v>49</v>
      </c>
      <c r="AH51" s="12">
        <f t="shared" si="9"/>
        <v>6.0655999999999999</v>
      </c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</row>
    <row r="52" spans="1:50" x14ac:dyDescent="0.25">
      <c r="A52" s="18" t="s">
        <v>97</v>
      </c>
      <c r="B52" s="12" t="s">
        <v>34</v>
      </c>
      <c r="C52" s="12"/>
      <c r="D52" s="12"/>
      <c r="E52" s="12">
        <v>-0.52800000000000002</v>
      </c>
      <c r="F52" s="12"/>
      <c r="G52" s="6">
        <v>1</v>
      </c>
      <c r="H52" s="12">
        <v>45</v>
      </c>
      <c r="I52" s="12" t="s">
        <v>35</v>
      </c>
      <c r="J52" s="12"/>
      <c r="K52" s="12">
        <v>2.6</v>
      </c>
      <c r="L52" s="12">
        <f t="shared" si="13"/>
        <v>-3.1280000000000001</v>
      </c>
      <c r="M52" s="12"/>
      <c r="N52" s="12"/>
      <c r="O52" s="12">
        <v>0</v>
      </c>
      <c r="P52" s="12">
        <f t="shared" si="14"/>
        <v>-0.1056</v>
      </c>
      <c r="Q52" s="19">
        <v>0</v>
      </c>
      <c r="R52" s="4">
        <f t="shared" si="6"/>
        <v>0</v>
      </c>
      <c r="S52" s="25"/>
      <c r="T52" s="12">
        <f t="shared" si="7"/>
        <v>0</v>
      </c>
      <c r="U52" s="12">
        <f t="shared" si="15"/>
        <v>0</v>
      </c>
      <c r="V52" s="12">
        <v>0.2316</v>
      </c>
      <c r="W52" s="12">
        <v>0.438</v>
      </c>
      <c r="X52" s="12">
        <v>1.8016000000000001</v>
      </c>
      <c r="Y52" s="12">
        <v>3.0728</v>
      </c>
      <c r="Z52" s="12">
        <v>1.0875999999999999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20" t="s">
        <v>98</v>
      </c>
      <c r="AG52" s="12">
        <f t="shared" si="8"/>
        <v>0</v>
      </c>
      <c r="AH52" s="12">
        <f t="shared" si="9"/>
        <v>-0.1056</v>
      </c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</row>
    <row r="53" spans="1:50" x14ac:dyDescent="0.25">
      <c r="A53" s="12" t="s">
        <v>99</v>
      </c>
      <c r="B53" s="12" t="s">
        <v>38</v>
      </c>
      <c r="C53" s="12">
        <v>82</v>
      </c>
      <c r="D53" s="12">
        <v>16</v>
      </c>
      <c r="E53" s="12">
        <v>47</v>
      </c>
      <c r="F53" s="12">
        <v>51</v>
      </c>
      <c r="G53" s="6">
        <v>0.25</v>
      </c>
      <c r="H53" s="12">
        <v>120</v>
      </c>
      <c r="I53" s="12" t="s">
        <v>35</v>
      </c>
      <c r="J53" s="12"/>
      <c r="K53" s="12">
        <v>57</v>
      </c>
      <c r="L53" s="12">
        <f t="shared" si="13"/>
        <v>-10</v>
      </c>
      <c r="M53" s="12"/>
      <c r="N53" s="12"/>
      <c r="O53" s="12">
        <v>0</v>
      </c>
      <c r="P53" s="12">
        <f t="shared" si="14"/>
        <v>9.4</v>
      </c>
      <c r="Q53" s="4">
        <f>13*P53-O53-F53</f>
        <v>71.2</v>
      </c>
      <c r="R53" s="4">
        <f t="shared" ref="R53:R55" si="17">S53</f>
        <v>100</v>
      </c>
      <c r="S53" s="25">
        <f>VLOOKUP(A53,[1]Sheet!$A:$R,18,0)</f>
        <v>100</v>
      </c>
      <c r="T53" s="12">
        <f t="shared" si="7"/>
        <v>16.063829787234042</v>
      </c>
      <c r="U53" s="12">
        <f t="shared" si="15"/>
        <v>5.4255319148936172</v>
      </c>
      <c r="V53" s="12">
        <v>5.4</v>
      </c>
      <c r="W53" s="12">
        <v>7.2</v>
      </c>
      <c r="X53" s="12">
        <v>7.8</v>
      </c>
      <c r="Y53" s="12">
        <v>8.8000000000000007</v>
      </c>
      <c r="Z53" s="12">
        <v>6.4</v>
      </c>
      <c r="AA53" s="12">
        <v>3</v>
      </c>
      <c r="AB53" s="12">
        <v>8.1999999999999993</v>
      </c>
      <c r="AC53" s="12">
        <v>6.8</v>
      </c>
      <c r="AD53" s="12">
        <v>7</v>
      </c>
      <c r="AE53" s="12">
        <v>5.8</v>
      </c>
      <c r="AF53" s="12"/>
      <c r="AG53" s="12">
        <f t="shared" si="8"/>
        <v>25</v>
      </c>
      <c r="AH53" s="12">
        <f t="shared" si="9"/>
        <v>2.35</v>
      </c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</row>
    <row r="54" spans="1:50" x14ac:dyDescent="0.25">
      <c r="A54" s="12" t="s">
        <v>100</v>
      </c>
      <c r="B54" s="12" t="s">
        <v>34</v>
      </c>
      <c r="C54" s="12">
        <v>356.57</v>
      </c>
      <c r="D54" s="12"/>
      <c r="E54" s="12">
        <v>39.433</v>
      </c>
      <c r="F54" s="12">
        <v>183.428</v>
      </c>
      <c r="G54" s="6">
        <v>1</v>
      </c>
      <c r="H54" s="12">
        <v>45</v>
      </c>
      <c r="I54" s="12" t="s">
        <v>35</v>
      </c>
      <c r="J54" s="12"/>
      <c r="K54" s="12">
        <v>41.1</v>
      </c>
      <c r="L54" s="12">
        <f t="shared" si="13"/>
        <v>-1.6670000000000016</v>
      </c>
      <c r="M54" s="12"/>
      <c r="N54" s="12"/>
      <c r="O54" s="12">
        <v>0</v>
      </c>
      <c r="P54" s="12">
        <f t="shared" si="14"/>
        <v>7.8865999999999996</v>
      </c>
      <c r="Q54" s="4"/>
      <c r="R54" s="4">
        <f t="shared" si="17"/>
        <v>50</v>
      </c>
      <c r="S54" s="25">
        <f>VLOOKUP(A54,[1]Sheet!$A:$R,18,0)</f>
        <v>50</v>
      </c>
      <c r="T54" s="12">
        <f t="shared" si="7"/>
        <v>29.598052392666041</v>
      </c>
      <c r="U54" s="12">
        <f t="shared" si="15"/>
        <v>23.258184769102023</v>
      </c>
      <c r="V54" s="12">
        <v>3.9163999999999999</v>
      </c>
      <c r="W54" s="12">
        <v>5.7690000000000001</v>
      </c>
      <c r="X54" s="12">
        <v>4.4276</v>
      </c>
      <c r="Y54" s="12">
        <v>5.3130000000000006</v>
      </c>
      <c r="Z54" s="12">
        <v>9.0622000000000007</v>
      </c>
      <c r="AA54" s="12">
        <v>6.2986000000000004</v>
      </c>
      <c r="AB54" s="12">
        <v>8.4708000000000006</v>
      </c>
      <c r="AC54" s="12">
        <v>8.6494</v>
      </c>
      <c r="AD54" s="12">
        <v>8.8480000000000008</v>
      </c>
      <c r="AE54" s="12">
        <v>9.2843999999999998</v>
      </c>
      <c r="AF54" s="22" t="s">
        <v>41</v>
      </c>
      <c r="AG54" s="12">
        <f t="shared" si="8"/>
        <v>50</v>
      </c>
      <c r="AH54" s="12">
        <f t="shared" si="9"/>
        <v>7.8865999999999996</v>
      </c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</row>
    <row r="55" spans="1:50" x14ac:dyDescent="0.25">
      <c r="A55" s="12" t="s">
        <v>101</v>
      </c>
      <c r="B55" s="12" t="s">
        <v>38</v>
      </c>
      <c r="C55" s="12">
        <v>124</v>
      </c>
      <c r="D55" s="12"/>
      <c r="E55" s="12">
        <v>59</v>
      </c>
      <c r="F55" s="12">
        <v>48</v>
      </c>
      <c r="G55" s="6">
        <v>0.27</v>
      </c>
      <c r="H55" s="12">
        <v>45</v>
      </c>
      <c r="I55" s="12" t="s">
        <v>35</v>
      </c>
      <c r="J55" s="12"/>
      <c r="K55" s="12">
        <v>93</v>
      </c>
      <c r="L55" s="12">
        <f t="shared" si="13"/>
        <v>-34</v>
      </c>
      <c r="M55" s="12"/>
      <c r="N55" s="12"/>
      <c r="O55" s="12">
        <v>0</v>
      </c>
      <c r="P55" s="12">
        <f t="shared" si="14"/>
        <v>11.8</v>
      </c>
      <c r="Q55" s="4">
        <f>12*P55-O55-F55</f>
        <v>93.600000000000023</v>
      </c>
      <c r="R55" s="4">
        <f t="shared" si="17"/>
        <v>150</v>
      </c>
      <c r="S55" s="25">
        <f>VLOOKUP(A55,[1]Sheet!$A:$R,18,0)</f>
        <v>150</v>
      </c>
      <c r="T55" s="12">
        <f t="shared" si="7"/>
        <v>16.779661016949152</v>
      </c>
      <c r="U55" s="12">
        <f t="shared" si="15"/>
        <v>4.0677966101694913</v>
      </c>
      <c r="V55" s="12">
        <v>6</v>
      </c>
      <c r="W55" s="12">
        <v>9</v>
      </c>
      <c r="X55" s="12">
        <v>14.2</v>
      </c>
      <c r="Y55" s="12">
        <v>13.2</v>
      </c>
      <c r="Z55" s="12">
        <v>13</v>
      </c>
      <c r="AA55" s="12">
        <v>12.6</v>
      </c>
      <c r="AB55" s="12">
        <v>16.2</v>
      </c>
      <c r="AC55" s="12">
        <v>17.399999999999999</v>
      </c>
      <c r="AD55" s="12">
        <v>20.2</v>
      </c>
      <c r="AE55" s="12">
        <v>-0.2</v>
      </c>
      <c r="AF55" s="12"/>
      <c r="AG55" s="12">
        <f t="shared" si="8"/>
        <v>40.5</v>
      </c>
      <c r="AH55" s="12">
        <f t="shared" si="9"/>
        <v>3.1860000000000004</v>
      </c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</row>
    <row r="56" spans="1:50" x14ac:dyDescent="0.25">
      <c r="A56" s="12" t="s">
        <v>102</v>
      </c>
      <c r="B56" s="12" t="s">
        <v>38</v>
      </c>
      <c r="C56" s="12">
        <v>441</v>
      </c>
      <c r="D56" s="12"/>
      <c r="E56" s="12">
        <v>127</v>
      </c>
      <c r="F56" s="12">
        <v>297</v>
      </c>
      <c r="G56" s="6">
        <v>0.3</v>
      </c>
      <c r="H56" s="12">
        <v>60</v>
      </c>
      <c r="I56" s="12" t="s">
        <v>35</v>
      </c>
      <c r="J56" s="12"/>
      <c r="K56" s="12">
        <v>127</v>
      </c>
      <c r="L56" s="12">
        <f t="shared" si="13"/>
        <v>0</v>
      </c>
      <c r="M56" s="12"/>
      <c r="N56" s="12"/>
      <c r="O56" s="12">
        <v>32</v>
      </c>
      <c r="P56" s="12">
        <f t="shared" si="14"/>
        <v>25.4</v>
      </c>
      <c r="Q56" s="4">
        <f t="shared" si="12"/>
        <v>52</v>
      </c>
      <c r="R56" s="4">
        <f t="shared" si="6"/>
        <v>52</v>
      </c>
      <c r="S56" s="25"/>
      <c r="T56" s="12">
        <f t="shared" si="7"/>
        <v>15</v>
      </c>
      <c r="U56" s="12">
        <f t="shared" si="15"/>
        <v>12.952755905511811</v>
      </c>
      <c r="V56" s="12">
        <v>33.799999999999997</v>
      </c>
      <c r="W56" s="12">
        <v>17.2</v>
      </c>
      <c r="X56" s="12">
        <v>19.8</v>
      </c>
      <c r="Y56" s="12">
        <v>15</v>
      </c>
      <c r="Z56" s="12">
        <v>29.2</v>
      </c>
      <c r="AA56" s="12">
        <v>13.8</v>
      </c>
      <c r="AB56" s="12">
        <v>-0.2</v>
      </c>
      <c r="AC56" s="12">
        <v>15.4</v>
      </c>
      <c r="AD56" s="12">
        <v>43.2</v>
      </c>
      <c r="AE56" s="12">
        <v>52.8</v>
      </c>
      <c r="AF56" s="12"/>
      <c r="AG56" s="12">
        <f t="shared" si="8"/>
        <v>15.6</v>
      </c>
      <c r="AH56" s="12">
        <f t="shared" si="9"/>
        <v>7.6199999999999992</v>
      </c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</row>
    <row r="57" spans="1:50" x14ac:dyDescent="0.25">
      <c r="A57" s="12" t="s">
        <v>103</v>
      </c>
      <c r="B57" s="12" t="s">
        <v>38</v>
      </c>
      <c r="C57" s="12">
        <v>1192</v>
      </c>
      <c r="D57" s="12">
        <v>12</v>
      </c>
      <c r="E57" s="12">
        <v>646</v>
      </c>
      <c r="F57" s="12">
        <v>389</v>
      </c>
      <c r="G57" s="6">
        <v>0.41</v>
      </c>
      <c r="H57" s="12">
        <v>50</v>
      </c>
      <c r="I57" s="24" t="s">
        <v>35</v>
      </c>
      <c r="J57" s="12"/>
      <c r="K57" s="12">
        <v>734</v>
      </c>
      <c r="L57" s="12">
        <f t="shared" si="13"/>
        <v>-88</v>
      </c>
      <c r="M57" s="12"/>
      <c r="N57" s="12"/>
      <c r="O57" s="12">
        <v>701</v>
      </c>
      <c r="P57" s="12">
        <f t="shared" si="14"/>
        <v>129.19999999999999</v>
      </c>
      <c r="Q57" s="4">
        <f t="shared" si="12"/>
        <v>847.99999999999977</v>
      </c>
      <c r="R57" s="4">
        <f t="shared" si="6"/>
        <v>848</v>
      </c>
      <c r="S57" s="25"/>
      <c r="T57" s="12">
        <f t="shared" si="7"/>
        <v>15.000000000000002</v>
      </c>
      <c r="U57" s="12">
        <f t="shared" si="15"/>
        <v>8.4365325077399387</v>
      </c>
      <c r="V57" s="12">
        <v>127.8</v>
      </c>
      <c r="W57" s="12">
        <v>81</v>
      </c>
      <c r="X57" s="12">
        <v>149.19999999999999</v>
      </c>
      <c r="Y57" s="12">
        <v>136.80000000000001</v>
      </c>
      <c r="Z57" s="12">
        <v>122.8</v>
      </c>
      <c r="AA57" s="12">
        <v>125</v>
      </c>
      <c r="AB57" s="12">
        <v>129.80000000000001</v>
      </c>
      <c r="AC57" s="12">
        <v>117.6</v>
      </c>
      <c r="AD57" s="12">
        <v>103</v>
      </c>
      <c r="AE57" s="12">
        <v>73</v>
      </c>
      <c r="AF57" s="12"/>
      <c r="AG57" s="12">
        <f t="shared" si="8"/>
        <v>347.68</v>
      </c>
      <c r="AH57" s="12">
        <f t="shared" si="9"/>
        <v>52.971999999999994</v>
      </c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</row>
    <row r="58" spans="1:50" x14ac:dyDescent="0.25">
      <c r="A58" s="12" t="s">
        <v>104</v>
      </c>
      <c r="B58" s="12" t="s">
        <v>34</v>
      </c>
      <c r="C58" s="12">
        <v>1160.788</v>
      </c>
      <c r="D58" s="12"/>
      <c r="E58" s="12">
        <v>446.71499999999997</v>
      </c>
      <c r="F58" s="12">
        <v>697.33399999999995</v>
      </c>
      <c r="G58" s="6">
        <v>1</v>
      </c>
      <c r="H58" s="12">
        <v>50</v>
      </c>
      <c r="I58" s="12" t="s">
        <v>35</v>
      </c>
      <c r="J58" s="12"/>
      <c r="K58" s="12">
        <v>432.4</v>
      </c>
      <c r="L58" s="12">
        <f t="shared" si="13"/>
        <v>14.314999999999998</v>
      </c>
      <c r="M58" s="12"/>
      <c r="N58" s="12"/>
      <c r="O58" s="12">
        <v>171</v>
      </c>
      <c r="P58" s="12">
        <f t="shared" si="14"/>
        <v>89.342999999999989</v>
      </c>
      <c r="Q58" s="4">
        <f t="shared" si="12"/>
        <v>471.81099999999981</v>
      </c>
      <c r="R58" s="4">
        <f>S58</f>
        <v>550</v>
      </c>
      <c r="S58" s="25">
        <f>VLOOKUP(A58,[1]Sheet!$A:$R,18,0)</f>
        <v>550</v>
      </c>
      <c r="T58" s="12">
        <f t="shared" si="7"/>
        <v>15.875155300359289</v>
      </c>
      <c r="U58" s="12">
        <f t="shared" si="15"/>
        <v>9.7191050222177449</v>
      </c>
      <c r="V58" s="12">
        <v>87.617400000000004</v>
      </c>
      <c r="W58" s="12">
        <v>55.369799999999998</v>
      </c>
      <c r="X58" s="12">
        <v>65.080200000000005</v>
      </c>
      <c r="Y58" s="12">
        <v>105.386</v>
      </c>
      <c r="Z58" s="12">
        <v>127.5326</v>
      </c>
      <c r="AA58" s="12">
        <v>79.505200000000002</v>
      </c>
      <c r="AB58" s="12">
        <v>112.825</v>
      </c>
      <c r="AC58" s="12">
        <v>123.32</v>
      </c>
      <c r="AD58" s="12">
        <v>98.82820000000001</v>
      </c>
      <c r="AE58" s="12">
        <v>121.4474</v>
      </c>
      <c r="AF58" s="12"/>
      <c r="AG58" s="12">
        <f t="shared" si="8"/>
        <v>550</v>
      </c>
      <c r="AH58" s="12">
        <f t="shared" si="9"/>
        <v>89.342999999999989</v>
      </c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</row>
    <row r="59" spans="1:50" x14ac:dyDescent="0.25">
      <c r="A59" s="12" t="s">
        <v>105</v>
      </c>
      <c r="B59" s="12" t="s">
        <v>38</v>
      </c>
      <c r="C59" s="12">
        <v>313</v>
      </c>
      <c r="D59" s="12"/>
      <c r="E59" s="12">
        <v>27</v>
      </c>
      <c r="F59" s="12">
        <v>276</v>
      </c>
      <c r="G59" s="6">
        <v>0.35</v>
      </c>
      <c r="H59" s="12">
        <v>50</v>
      </c>
      <c r="I59" s="12" t="s">
        <v>35</v>
      </c>
      <c r="J59" s="12"/>
      <c r="K59" s="12">
        <v>31</v>
      </c>
      <c r="L59" s="12">
        <f t="shared" si="13"/>
        <v>-4</v>
      </c>
      <c r="M59" s="12"/>
      <c r="N59" s="12"/>
      <c r="O59" s="12">
        <v>0</v>
      </c>
      <c r="P59" s="12">
        <f t="shared" si="14"/>
        <v>5.4</v>
      </c>
      <c r="Q59" s="4"/>
      <c r="R59" s="4">
        <f t="shared" si="6"/>
        <v>0</v>
      </c>
      <c r="S59" s="25"/>
      <c r="T59" s="12">
        <f t="shared" si="7"/>
        <v>51.111111111111107</v>
      </c>
      <c r="U59" s="12">
        <f t="shared" si="15"/>
        <v>51.111111111111107</v>
      </c>
      <c r="V59" s="12">
        <v>7</v>
      </c>
      <c r="W59" s="12">
        <v>7.2</v>
      </c>
      <c r="X59" s="12">
        <v>9.1999999999999993</v>
      </c>
      <c r="Y59" s="12">
        <v>4.2</v>
      </c>
      <c r="Z59" s="12">
        <v>7</v>
      </c>
      <c r="AA59" s="12">
        <v>12.8</v>
      </c>
      <c r="AB59" s="12">
        <v>4.5999999999999996</v>
      </c>
      <c r="AC59" s="12">
        <v>9.1999999999999993</v>
      </c>
      <c r="AD59" s="12">
        <v>6</v>
      </c>
      <c r="AE59" s="12">
        <v>8.1999999999999993</v>
      </c>
      <c r="AF59" s="22" t="s">
        <v>41</v>
      </c>
      <c r="AG59" s="12">
        <f t="shared" si="8"/>
        <v>0</v>
      </c>
      <c r="AH59" s="12">
        <f t="shared" si="9"/>
        <v>1.89</v>
      </c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</row>
    <row r="60" spans="1:50" x14ac:dyDescent="0.25">
      <c r="A60" s="12" t="s">
        <v>106</v>
      </c>
      <c r="B60" s="12" t="s">
        <v>34</v>
      </c>
      <c r="C60" s="12">
        <v>335.04700000000003</v>
      </c>
      <c r="D60" s="12"/>
      <c r="E60" s="12">
        <v>65.183999999999997</v>
      </c>
      <c r="F60" s="12">
        <v>265.18200000000002</v>
      </c>
      <c r="G60" s="6">
        <v>1</v>
      </c>
      <c r="H60" s="12">
        <v>50</v>
      </c>
      <c r="I60" s="12" t="s">
        <v>35</v>
      </c>
      <c r="J60" s="12"/>
      <c r="K60" s="12">
        <v>63.2</v>
      </c>
      <c r="L60" s="12">
        <f t="shared" si="13"/>
        <v>1.9839999999999947</v>
      </c>
      <c r="M60" s="12"/>
      <c r="N60" s="12"/>
      <c r="O60" s="12">
        <v>0</v>
      </c>
      <c r="P60" s="12">
        <f t="shared" si="14"/>
        <v>13.036799999999999</v>
      </c>
      <c r="Q60" s="4"/>
      <c r="R60" s="4">
        <f t="shared" si="6"/>
        <v>0</v>
      </c>
      <c r="S60" s="25"/>
      <c r="T60" s="12">
        <f t="shared" si="7"/>
        <v>20.341034609720179</v>
      </c>
      <c r="U60" s="12">
        <f t="shared" si="15"/>
        <v>20.341034609720179</v>
      </c>
      <c r="V60" s="12">
        <v>12.728199999999999</v>
      </c>
      <c r="W60" s="12">
        <v>8.3908000000000005</v>
      </c>
      <c r="X60" s="12">
        <v>3.1414</v>
      </c>
      <c r="Y60" s="12">
        <v>11.3216</v>
      </c>
      <c r="Z60" s="12">
        <v>15.835800000000001</v>
      </c>
      <c r="AA60" s="12">
        <v>10.3026</v>
      </c>
      <c r="AB60" s="12">
        <v>13.5976</v>
      </c>
      <c r="AC60" s="12">
        <v>13.354799999999999</v>
      </c>
      <c r="AD60" s="12">
        <v>11.995200000000001</v>
      </c>
      <c r="AE60" s="12">
        <v>12.410600000000001</v>
      </c>
      <c r="AF60" s="22" t="s">
        <v>41</v>
      </c>
      <c r="AG60" s="12">
        <f t="shared" si="8"/>
        <v>0</v>
      </c>
      <c r="AH60" s="12">
        <f t="shared" si="9"/>
        <v>13.036799999999999</v>
      </c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</row>
    <row r="61" spans="1:50" x14ac:dyDescent="0.25">
      <c r="A61" s="12" t="s">
        <v>107</v>
      </c>
      <c r="B61" s="12" t="s">
        <v>38</v>
      </c>
      <c r="C61" s="12">
        <v>845</v>
      </c>
      <c r="D61" s="12">
        <v>2</v>
      </c>
      <c r="E61" s="12">
        <v>356</v>
      </c>
      <c r="F61" s="12">
        <v>416</v>
      </c>
      <c r="G61" s="6">
        <v>0.41</v>
      </c>
      <c r="H61" s="12">
        <v>50</v>
      </c>
      <c r="I61" s="24" t="s">
        <v>35</v>
      </c>
      <c r="J61" s="12"/>
      <c r="K61" s="12">
        <v>404</v>
      </c>
      <c r="L61" s="12">
        <f t="shared" si="13"/>
        <v>-48</v>
      </c>
      <c r="M61" s="12"/>
      <c r="N61" s="12"/>
      <c r="O61" s="12">
        <v>227</v>
      </c>
      <c r="P61" s="12">
        <f t="shared" si="14"/>
        <v>71.2</v>
      </c>
      <c r="Q61" s="4">
        <f t="shared" si="12"/>
        <v>425</v>
      </c>
      <c r="R61" s="4">
        <f t="shared" si="6"/>
        <v>425</v>
      </c>
      <c r="S61" s="25"/>
      <c r="T61" s="12">
        <f t="shared" si="7"/>
        <v>15</v>
      </c>
      <c r="U61" s="12">
        <f t="shared" si="15"/>
        <v>9.0308988764044944</v>
      </c>
      <c r="V61" s="12">
        <v>73.8</v>
      </c>
      <c r="W61" s="12">
        <v>56.8</v>
      </c>
      <c r="X61" s="12">
        <v>60.8</v>
      </c>
      <c r="Y61" s="12">
        <v>88.8</v>
      </c>
      <c r="Z61" s="12">
        <v>107.6</v>
      </c>
      <c r="AA61" s="12">
        <v>69.400000000000006</v>
      </c>
      <c r="AB61" s="12">
        <v>73.8</v>
      </c>
      <c r="AC61" s="12">
        <v>71.400000000000006</v>
      </c>
      <c r="AD61" s="12">
        <v>52.4</v>
      </c>
      <c r="AE61" s="12">
        <v>50.2</v>
      </c>
      <c r="AF61" s="12"/>
      <c r="AG61" s="12">
        <f t="shared" si="8"/>
        <v>174.25</v>
      </c>
      <c r="AH61" s="12">
        <f t="shared" si="9"/>
        <v>29.192</v>
      </c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</row>
    <row r="62" spans="1:50" x14ac:dyDescent="0.25">
      <c r="A62" s="12" t="s">
        <v>108</v>
      </c>
      <c r="B62" s="12" t="s">
        <v>34</v>
      </c>
      <c r="C62" s="12">
        <v>461.67899999999997</v>
      </c>
      <c r="D62" s="12"/>
      <c r="E62" s="12">
        <v>189.25399999999999</v>
      </c>
      <c r="F62" s="12">
        <v>256.31200000000001</v>
      </c>
      <c r="G62" s="6">
        <v>1</v>
      </c>
      <c r="H62" s="12">
        <v>50</v>
      </c>
      <c r="I62" s="12" t="s">
        <v>35</v>
      </c>
      <c r="J62" s="12"/>
      <c r="K62" s="12">
        <v>180.5</v>
      </c>
      <c r="L62" s="12">
        <f t="shared" si="13"/>
        <v>8.7539999999999907</v>
      </c>
      <c r="M62" s="12"/>
      <c r="N62" s="12"/>
      <c r="O62" s="12">
        <v>0</v>
      </c>
      <c r="P62" s="12">
        <f t="shared" si="14"/>
        <v>37.8508</v>
      </c>
      <c r="Q62" s="4">
        <f t="shared" si="12"/>
        <v>311.44999999999993</v>
      </c>
      <c r="R62" s="4">
        <f t="shared" ref="R62:R63" si="18">S62</f>
        <v>370</v>
      </c>
      <c r="S62" s="25">
        <f>VLOOKUP(A62,[1]Sheet!$A:$R,18,0)</f>
        <v>370</v>
      </c>
      <c r="T62" s="12">
        <f t="shared" si="7"/>
        <v>16.546862946093611</v>
      </c>
      <c r="U62" s="12">
        <f t="shared" si="15"/>
        <v>6.7716402295327978</v>
      </c>
      <c r="V62" s="12">
        <v>26.976600000000001</v>
      </c>
      <c r="W62" s="12">
        <v>29.493200000000002</v>
      </c>
      <c r="X62" s="12">
        <v>23.936199999999999</v>
      </c>
      <c r="Y62" s="12">
        <v>37.869</v>
      </c>
      <c r="Z62" s="12">
        <v>22.273399999999999</v>
      </c>
      <c r="AA62" s="12">
        <v>41.055199999999999</v>
      </c>
      <c r="AB62" s="12">
        <v>31.539000000000001</v>
      </c>
      <c r="AC62" s="12">
        <v>37.269799999999996</v>
      </c>
      <c r="AD62" s="12">
        <v>44.215200000000003</v>
      </c>
      <c r="AE62" s="12">
        <v>23.197399999999998</v>
      </c>
      <c r="AF62" s="12"/>
      <c r="AG62" s="12">
        <f t="shared" si="8"/>
        <v>370</v>
      </c>
      <c r="AH62" s="12">
        <f t="shared" si="9"/>
        <v>37.8508</v>
      </c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</row>
    <row r="63" spans="1:50" x14ac:dyDescent="0.25">
      <c r="A63" s="12" t="s">
        <v>109</v>
      </c>
      <c r="B63" s="12" t="s">
        <v>38</v>
      </c>
      <c r="C63" s="12">
        <v>149</v>
      </c>
      <c r="D63" s="12">
        <v>14</v>
      </c>
      <c r="E63" s="12">
        <v>84</v>
      </c>
      <c r="F63" s="12">
        <v>50</v>
      </c>
      <c r="G63" s="6">
        <v>0.3</v>
      </c>
      <c r="H63" s="12">
        <v>50</v>
      </c>
      <c r="I63" s="12" t="s">
        <v>35</v>
      </c>
      <c r="J63" s="12"/>
      <c r="K63" s="12">
        <v>102</v>
      </c>
      <c r="L63" s="12">
        <f t="shared" si="13"/>
        <v>-18</v>
      </c>
      <c r="M63" s="12"/>
      <c r="N63" s="12"/>
      <c r="O63" s="12">
        <v>165</v>
      </c>
      <c r="P63" s="12">
        <f t="shared" si="14"/>
        <v>16.8</v>
      </c>
      <c r="Q63" s="4">
        <f t="shared" si="12"/>
        <v>37</v>
      </c>
      <c r="R63" s="4">
        <f t="shared" si="18"/>
        <v>150</v>
      </c>
      <c r="S63" s="25">
        <f>VLOOKUP(A63,[1]Sheet!$A:$R,18,0)</f>
        <v>150</v>
      </c>
      <c r="T63" s="12">
        <f t="shared" si="7"/>
        <v>21.726190476190474</v>
      </c>
      <c r="U63" s="12">
        <f t="shared" si="15"/>
        <v>12.797619047619047</v>
      </c>
      <c r="V63" s="12">
        <v>21.6</v>
      </c>
      <c r="W63" s="12">
        <v>17.2</v>
      </c>
      <c r="X63" s="12">
        <v>17.8</v>
      </c>
      <c r="Y63" s="12">
        <v>29.4</v>
      </c>
      <c r="Z63" s="12">
        <v>16.8</v>
      </c>
      <c r="AA63" s="12">
        <v>18</v>
      </c>
      <c r="AB63" s="12">
        <v>18.8</v>
      </c>
      <c r="AC63" s="12">
        <v>15.6</v>
      </c>
      <c r="AD63" s="12">
        <v>18.600000000000001</v>
      </c>
      <c r="AE63" s="12">
        <v>11.2</v>
      </c>
      <c r="AF63" s="12"/>
      <c r="AG63" s="12">
        <f t="shared" si="8"/>
        <v>45</v>
      </c>
      <c r="AH63" s="12">
        <f t="shared" si="9"/>
        <v>5.04</v>
      </c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</row>
    <row r="64" spans="1:50" x14ac:dyDescent="0.25">
      <c r="A64" s="12" t="s">
        <v>110</v>
      </c>
      <c r="B64" s="12" t="s">
        <v>38</v>
      </c>
      <c r="C64" s="12">
        <v>733</v>
      </c>
      <c r="D64" s="12">
        <v>2</v>
      </c>
      <c r="E64" s="12">
        <v>190</v>
      </c>
      <c r="F64" s="12">
        <v>477</v>
      </c>
      <c r="G64" s="6">
        <v>0.18</v>
      </c>
      <c r="H64" s="12">
        <v>50</v>
      </c>
      <c r="I64" s="12" t="s">
        <v>35</v>
      </c>
      <c r="J64" s="12"/>
      <c r="K64" s="12">
        <v>251</v>
      </c>
      <c r="L64" s="12">
        <f t="shared" si="13"/>
        <v>-61</v>
      </c>
      <c r="M64" s="12"/>
      <c r="N64" s="12"/>
      <c r="O64" s="12">
        <v>103</v>
      </c>
      <c r="P64" s="12">
        <f t="shared" si="14"/>
        <v>38</v>
      </c>
      <c r="Q64" s="4"/>
      <c r="R64" s="4">
        <f t="shared" si="6"/>
        <v>0</v>
      </c>
      <c r="S64" s="25"/>
      <c r="T64" s="12">
        <f t="shared" si="7"/>
        <v>15.263157894736842</v>
      </c>
      <c r="U64" s="12">
        <f t="shared" si="15"/>
        <v>15.263157894736842</v>
      </c>
      <c r="V64" s="12">
        <v>53.8</v>
      </c>
      <c r="W64" s="12">
        <v>33.4</v>
      </c>
      <c r="X64" s="12">
        <v>43.4</v>
      </c>
      <c r="Y64" s="12">
        <v>45.6</v>
      </c>
      <c r="Z64" s="12">
        <v>63.8</v>
      </c>
      <c r="AA64" s="12">
        <v>63</v>
      </c>
      <c r="AB64" s="12">
        <v>46.4</v>
      </c>
      <c r="AC64" s="12">
        <v>48.6</v>
      </c>
      <c r="AD64" s="12">
        <v>62</v>
      </c>
      <c r="AE64" s="12">
        <v>67.8</v>
      </c>
      <c r="AF64" s="12"/>
      <c r="AG64" s="12">
        <f t="shared" si="8"/>
        <v>0</v>
      </c>
      <c r="AH64" s="12">
        <f t="shared" si="9"/>
        <v>6.84</v>
      </c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</row>
    <row r="65" spans="1:50" x14ac:dyDescent="0.25">
      <c r="A65" s="12" t="s">
        <v>111</v>
      </c>
      <c r="B65" s="12" t="s">
        <v>38</v>
      </c>
      <c r="C65" s="12">
        <v>26</v>
      </c>
      <c r="D65" s="12"/>
      <c r="E65" s="12">
        <v>19</v>
      </c>
      <c r="F65" s="12">
        <v>5</v>
      </c>
      <c r="G65" s="6">
        <v>0.22</v>
      </c>
      <c r="H65" s="12">
        <v>120</v>
      </c>
      <c r="I65" s="12" t="s">
        <v>35</v>
      </c>
      <c r="J65" s="12"/>
      <c r="K65" s="12">
        <v>19</v>
      </c>
      <c r="L65" s="12">
        <f t="shared" si="13"/>
        <v>0</v>
      </c>
      <c r="M65" s="12"/>
      <c r="N65" s="12"/>
      <c r="O65" s="12">
        <v>20</v>
      </c>
      <c r="P65" s="12">
        <f t="shared" si="14"/>
        <v>3.8</v>
      </c>
      <c r="Q65" s="4">
        <f t="shared" si="12"/>
        <v>32</v>
      </c>
      <c r="R65" s="4">
        <f>S65</f>
        <v>50</v>
      </c>
      <c r="S65" s="25">
        <f>VLOOKUP(A65,[1]Sheet!$A:$R,18,0)</f>
        <v>50</v>
      </c>
      <c r="T65" s="12">
        <f t="shared" si="7"/>
        <v>19.736842105263158</v>
      </c>
      <c r="U65" s="12">
        <f t="shared" si="15"/>
        <v>6.5789473684210531</v>
      </c>
      <c r="V65" s="12">
        <v>4.2</v>
      </c>
      <c r="W65" s="12">
        <v>5.6</v>
      </c>
      <c r="X65" s="12">
        <v>0.8</v>
      </c>
      <c r="Y65" s="12">
        <v>0.8</v>
      </c>
      <c r="Z65" s="12">
        <v>2.4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 t="s">
        <v>112</v>
      </c>
      <c r="AG65" s="12">
        <f t="shared" si="8"/>
        <v>11</v>
      </c>
      <c r="AH65" s="12">
        <f t="shared" si="9"/>
        <v>0.83599999999999997</v>
      </c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</row>
    <row r="66" spans="1:50" x14ac:dyDescent="0.25">
      <c r="A66" s="12" t="s">
        <v>113</v>
      </c>
      <c r="B66" s="12" t="s">
        <v>38</v>
      </c>
      <c r="C66" s="12">
        <v>229</v>
      </c>
      <c r="D66" s="12"/>
      <c r="E66" s="12">
        <v>161</v>
      </c>
      <c r="F66" s="12">
        <v>63</v>
      </c>
      <c r="G66" s="6">
        <v>0.84</v>
      </c>
      <c r="H66" s="12">
        <v>50</v>
      </c>
      <c r="I66" s="12" t="s">
        <v>35</v>
      </c>
      <c r="J66" s="12"/>
      <c r="K66" s="12">
        <v>160</v>
      </c>
      <c r="L66" s="12">
        <f t="shared" si="13"/>
        <v>1</v>
      </c>
      <c r="M66" s="12"/>
      <c r="N66" s="12"/>
      <c r="O66" s="12">
        <v>0</v>
      </c>
      <c r="P66" s="12">
        <f t="shared" si="14"/>
        <v>32.200000000000003</v>
      </c>
      <c r="Q66" s="4">
        <f>10*P66-O66-F66</f>
        <v>259</v>
      </c>
      <c r="R66" s="4">
        <f t="shared" si="6"/>
        <v>259</v>
      </c>
      <c r="S66" s="25"/>
      <c r="T66" s="12">
        <f t="shared" si="7"/>
        <v>10</v>
      </c>
      <c r="U66" s="12">
        <f t="shared" si="15"/>
        <v>1.9565217391304346</v>
      </c>
      <c r="V66" s="12">
        <v>21</v>
      </c>
      <c r="W66" s="12">
        <v>11.8</v>
      </c>
      <c r="X66" s="12">
        <v>13.4</v>
      </c>
      <c r="Y66" s="12">
        <v>16.8</v>
      </c>
      <c r="Z66" s="12">
        <v>9.1999999999999993</v>
      </c>
      <c r="AA66" s="12">
        <v>9.6</v>
      </c>
      <c r="AB66" s="12">
        <v>10</v>
      </c>
      <c r="AC66" s="12">
        <v>14.2</v>
      </c>
      <c r="AD66" s="12">
        <v>4.5999999999999996</v>
      </c>
      <c r="AE66" s="12">
        <v>1.6</v>
      </c>
      <c r="AF66" s="12"/>
      <c r="AG66" s="12">
        <f t="shared" si="8"/>
        <v>217.56</v>
      </c>
      <c r="AH66" s="12">
        <f t="shared" si="9"/>
        <v>27.048000000000002</v>
      </c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</row>
    <row r="67" spans="1:50" x14ac:dyDescent="0.25">
      <c r="A67" s="12" t="s">
        <v>114</v>
      </c>
      <c r="B67" s="12" t="s">
        <v>38</v>
      </c>
      <c r="C67" s="12">
        <v>544</v>
      </c>
      <c r="D67" s="12">
        <v>442</v>
      </c>
      <c r="E67" s="12">
        <v>421</v>
      </c>
      <c r="F67" s="12">
        <v>492</v>
      </c>
      <c r="G67" s="6">
        <v>0.35</v>
      </c>
      <c r="H67" s="12">
        <v>50</v>
      </c>
      <c r="I67" s="12" t="s">
        <v>35</v>
      </c>
      <c r="J67" s="12"/>
      <c r="K67" s="12">
        <v>438</v>
      </c>
      <c r="L67" s="12">
        <f t="shared" si="13"/>
        <v>-17</v>
      </c>
      <c r="M67" s="12"/>
      <c r="N67" s="12"/>
      <c r="O67" s="12">
        <v>63</v>
      </c>
      <c r="P67" s="12">
        <f t="shared" si="14"/>
        <v>84.2</v>
      </c>
      <c r="Q67" s="4">
        <f t="shared" si="12"/>
        <v>708</v>
      </c>
      <c r="R67" s="4">
        <f t="shared" ref="R67:R68" si="19">S67</f>
        <v>800</v>
      </c>
      <c r="S67" s="25">
        <f>VLOOKUP(A67,[1]Sheet!$A:$R,18,0)</f>
        <v>800</v>
      </c>
      <c r="T67" s="12">
        <f t="shared" si="7"/>
        <v>16.092636579572446</v>
      </c>
      <c r="U67" s="12">
        <f t="shared" si="15"/>
        <v>6.5914489311163891</v>
      </c>
      <c r="V67" s="12">
        <v>67.2</v>
      </c>
      <c r="W67" s="12">
        <v>87.2</v>
      </c>
      <c r="X67" s="12">
        <v>77</v>
      </c>
      <c r="Y67" s="12">
        <v>63.2</v>
      </c>
      <c r="Z67" s="12">
        <v>116.2</v>
      </c>
      <c r="AA67" s="12">
        <v>122.4</v>
      </c>
      <c r="AB67" s="12">
        <v>82.2</v>
      </c>
      <c r="AC67" s="12">
        <v>90.6</v>
      </c>
      <c r="AD67" s="12">
        <v>105.6</v>
      </c>
      <c r="AE67" s="12">
        <v>81.599999999999994</v>
      </c>
      <c r="AF67" s="12"/>
      <c r="AG67" s="12">
        <f t="shared" si="8"/>
        <v>280</v>
      </c>
      <c r="AH67" s="12">
        <f t="shared" si="9"/>
        <v>29.47</v>
      </c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</row>
    <row r="68" spans="1:50" x14ac:dyDescent="0.25">
      <c r="A68" s="12" t="s">
        <v>115</v>
      </c>
      <c r="B68" s="12" t="s">
        <v>38</v>
      </c>
      <c r="C68" s="12">
        <v>754</v>
      </c>
      <c r="D68" s="12"/>
      <c r="E68" s="12">
        <v>273</v>
      </c>
      <c r="F68" s="12">
        <v>386</v>
      </c>
      <c r="G68" s="6">
        <v>0.35</v>
      </c>
      <c r="H68" s="12">
        <v>50</v>
      </c>
      <c r="I68" s="12" t="s">
        <v>35</v>
      </c>
      <c r="J68" s="12"/>
      <c r="K68" s="12">
        <v>296</v>
      </c>
      <c r="L68" s="12">
        <f t="shared" si="13"/>
        <v>-23</v>
      </c>
      <c r="M68" s="12"/>
      <c r="N68" s="12"/>
      <c r="O68" s="12">
        <v>50</v>
      </c>
      <c r="P68" s="12">
        <f t="shared" si="14"/>
        <v>54.6</v>
      </c>
      <c r="Q68" s="4">
        <f t="shared" si="12"/>
        <v>383</v>
      </c>
      <c r="R68" s="4">
        <f t="shared" si="19"/>
        <v>450</v>
      </c>
      <c r="S68" s="25">
        <f>VLOOKUP(A68,[1]Sheet!$A:$R,18,0)</f>
        <v>450</v>
      </c>
      <c r="T68" s="12">
        <f t="shared" si="7"/>
        <v>16.227106227106226</v>
      </c>
      <c r="U68" s="12">
        <f t="shared" si="15"/>
        <v>7.9853479853479854</v>
      </c>
      <c r="V68" s="12">
        <v>51.4</v>
      </c>
      <c r="W68" s="12">
        <v>43.2</v>
      </c>
      <c r="X68" s="12">
        <v>45.8</v>
      </c>
      <c r="Y68" s="12">
        <v>55.2</v>
      </c>
      <c r="Z68" s="12">
        <v>39.200000000000003</v>
      </c>
      <c r="AA68" s="12">
        <v>43.2</v>
      </c>
      <c r="AB68" s="12">
        <v>35</v>
      </c>
      <c r="AC68" s="12">
        <v>0</v>
      </c>
      <c r="AD68" s="12">
        <v>0</v>
      </c>
      <c r="AE68" s="12">
        <v>0</v>
      </c>
      <c r="AF68" s="12" t="s">
        <v>112</v>
      </c>
      <c r="AG68" s="12">
        <f t="shared" si="8"/>
        <v>157.5</v>
      </c>
      <c r="AH68" s="12">
        <f t="shared" si="9"/>
        <v>19.11</v>
      </c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</row>
    <row r="69" spans="1:50" x14ac:dyDescent="0.25">
      <c r="A69" s="12" t="s">
        <v>116</v>
      </c>
      <c r="B69" s="12" t="s">
        <v>34</v>
      </c>
      <c r="C69" s="12">
        <v>720.27200000000005</v>
      </c>
      <c r="D69" s="12">
        <v>67.066000000000003</v>
      </c>
      <c r="E69" s="12">
        <v>259.52100000000002</v>
      </c>
      <c r="F69" s="12">
        <v>504.024</v>
      </c>
      <c r="G69" s="6">
        <v>1</v>
      </c>
      <c r="H69" s="12">
        <v>50</v>
      </c>
      <c r="I69" s="12" t="s">
        <v>35</v>
      </c>
      <c r="J69" s="12"/>
      <c r="K69" s="12">
        <v>252.5</v>
      </c>
      <c r="L69" s="12">
        <f t="shared" si="13"/>
        <v>7.021000000000015</v>
      </c>
      <c r="M69" s="12"/>
      <c r="N69" s="12"/>
      <c r="O69" s="12">
        <v>0</v>
      </c>
      <c r="P69" s="12">
        <f t="shared" si="14"/>
        <v>51.904200000000003</v>
      </c>
      <c r="Q69" s="4">
        <f t="shared" si="12"/>
        <v>274.5390000000001</v>
      </c>
      <c r="R69" s="4">
        <f t="shared" si="6"/>
        <v>275</v>
      </c>
      <c r="S69" s="25"/>
      <c r="T69" s="12">
        <f t="shared" si="7"/>
        <v>15.008881747527175</v>
      </c>
      <c r="U69" s="12">
        <f t="shared" si="15"/>
        <v>9.7106592530084264</v>
      </c>
      <c r="V69" s="12">
        <v>33.8596</v>
      </c>
      <c r="W69" s="12">
        <v>61.115400000000001</v>
      </c>
      <c r="X69" s="12">
        <v>41.524000000000001</v>
      </c>
      <c r="Y69" s="12">
        <v>59.298800000000007</v>
      </c>
      <c r="Z69" s="12">
        <v>60.036800000000007</v>
      </c>
      <c r="AA69" s="12">
        <v>68.844000000000008</v>
      </c>
      <c r="AB69" s="12">
        <v>29.391200000000001</v>
      </c>
      <c r="AC69" s="12">
        <v>35.189399999999999</v>
      </c>
      <c r="AD69" s="12">
        <v>67.367999999999995</v>
      </c>
      <c r="AE69" s="12">
        <v>35.150799999999997</v>
      </c>
      <c r="AF69" s="12"/>
      <c r="AG69" s="12">
        <f t="shared" si="8"/>
        <v>275</v>
      </c>
      <c r="AH69" s="12">
        <f t="shared" si="9"/>
        <v>51.904200000000003</v>
      </c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</row>
    <row r="70" spans="1:50" x14ac:dyDescent="0.25">
      <c r="A70" s="12" t="s">
        <v>117</v>
      </c>
      <c r="B70" s="12" t="s">
        <v>34</v>
      </c>
      <c r="C70" s="12">
        <v>612.38599999999997</v>
      </c>
      <c r="D70" s="12">
        <v>167.48</v>
      </c>
      <c r="E70" s="12">
        <v>291.86700000000002</v>
      </c>
      <c r="F70" s="12">
        <v>461.27199999999999</v>
      </c>
      <c r="G70" s="6">
        <v>1</v>
      </c>
      <c r="H70" s="12">
        <v>50</v>
      </c>
      <c r="I70" s="12" t="s">
        <v>35</v>
      </c>
      <c r="J70" s="12"/>
      <c r="K70" s="12">
        <v>275.2</v>
      </c>
      <c r="L70" s="12">
        <f t="shared" ref="L70:L101" si="20">E70-K70</f>
        <v>16.66700000000003</v>
      </c>
      <c r="M70" s="12"/>
      <c r="N70" s="12"/>
      <c r="O70" s="12">
        <v>0</v>
      </c>
      <c r="P70" s="12">
        <f t="shared" ref="P70:P105" si="21">E70/5</f>
        <v>58.373400000000004</v>
      </c>
      <c r="Q70" s="4">
        <f t="shared" si="12"/>
        <v>414.32900000000012</v>
      </c>
      <c r="R70" s="4">
        <f t="shared" si="6"/>
        <v>414</v>
      </c>
      <c r="S70" s="25"/>
      <c r="T70" s="12">
        <f t="shared" si="7"/>
        <v>14.994363871215311</v>
      </c>
      <c r="U70" s="12">
        <f t="shared" ref="U70:U105" si="22">(F70+O70)/P70</f>
        <v>7.902092391397451</v>
      </c>
      <c r="V70" s="12">
        <v>36.005399999999987</v>
      </c>
      <c r="W70" s="12">
        <v>63.586199999999998</v>
      </c>
      <c r="X70" s="12">
        <v>36.731400000000001</v>
      </c>
      <c r="Y70" s="12">
        <v>60.394000000000013</v>
      </c>
      <c r="Z70" s="12">
        <v>68.526800000000009</v>
      </c>
      <c r="AA70" s="12">
        <v>70.324399999999997</v>
      </c>
      <c r="AB70" s="12">
        <v>26.7746</v>
      </c>
      <c r="AC70" s="12">
        <v>56.224200000000003</v>
      </c>
      <c r="AD70" s="12">
        <v>77.818399999999997</v>
      </c>
      <c r="AE70" s="12">
        <v>32.770200000000003</v>
      </c>
      <c r="AF70" s="12"/>
      <c r="AG70" s="12">
        <f t="shared" si="8"/>
        <v>414</v>
      </c>
      <c r="AH70" s="12">
        <f t="shared" si="9"/>
        <v>58.373400000000004</v>
      </c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</row>
    <row r="71" spans="1:50" x14ac:dyDescent="0.25">
      <c r="A71" s="12" t="s">
        <v>118</v>
      </c>
      <c r="B71" s="12" t="s">
        <v>38</v>
      </c>
      <c r="C71" s="12">
        <v>795</v>
      </c>
      <c r="D71" s="12"/>
      <c r="E71" s="12">
        <v>224</v>
      </c>
      <c r="F71" s="12">
        <v>529</v>
      </c>
      <c r="G71" s="6">
        <v>0.35</v>
      </c>
      <c r="H71" s="12">
        <v>50</v>
      </c>
      <c r="I71" s="12" t="s">
        <v>35</v>
      </c>
      <c r="J71" s="12"/>
      <c r="K71" s="12">
        <v>243</v>
      </c>
      <c r="L71" s="12">
        <f t="shared" si="20"/>
        <v>-19</v>
      </c>
      <c r="M71" s="12"/>
      <c r="N71" s="12"/>
      <c r="O71" s="12">
        <v>0</v>
      </c>
      <c r="P71" s="12">
        <f t="shared" si="21"/>
        <v>44.8</v>
      </c>
      <c r="Q71" s="4">
        <f t="shared" si="12"/>
        <v>143</v>
      </c>
      <c r="R71" s="4">
        <f>S71</f>
        <v>200</v>
      </c>
      <c r="S71" s="25">
        <f>VLOOKUP(A71,[1]Sheet!$A:$R,18,0)</f>
        <v>200</v>
      </c>
      <c r="T71" s="12">
        <f t="shared" ref="T71:T105" si="23">(F71+O71+R71)/P71</f>
        <v>16.272321428571431</v>
      </c>
      <c r="U71" s="12">
        <f t="shared" si="22"/>
        <v>11.808035714285715</v>
      </c>
      <c r="V71" s="12">
        <v>39.200000000000003</v>
      </c>
      <c r="W71" s="12">
        <v>30.8</v>
      </c>
      <c r="X71" s="12">
        <v>38.200000000000003</v>
      </c>
      <c r="Y71" s="12">
        <v>23.4</v>
      </c>
      <c r="Z71" s="12">
        <v>53.4</v>
      </c>
      <c r="AA71" s="12">
        <v>62</v>
      </c>
      <c r="AB71" s="12">
        <v>40</v>
      </c>
      <c r="AC71" s="12">
        <v>41.8</v>
      </c>
      <c r="AD71" s="12">
        <v>65.599999999999994</v>
      </c>
      <c r="AE71" s="12">
        <v>34.200000000000003</v>
      </c>
      <c r="AF71" s="12"/>
      <c r="AG71" s="12">
        <f t="shared" ref="AG71:AG105" si="24">G71*R71</f>
        <v>70</v>
      </c>
      <c r="AH71" s="12">
        <f t="shared" ref="AH71:AH105" si="25">P71*G71</f>
        <v>15.679999999999998</v>
      </c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</row>
    <row r="72" spans="1:50" x14ac:dyDescent="0.25">
      <c r="A72" s="12" t="s">
        <v>119</v>
      </c>
      <c r="B72" s="12" t="s">
        <v>38</v>
      </c>
      <c r="C72" s="12">
        <v>161</v>
      </c>
      <c r="D72" s="12"/>
      <c r="E72" s="12">
        <v>68</v>
      </c>
      <c r="F72" s="12">
        <v>68</v>
      </c>
      <c r="G72" s="6">
        <v>0.3</v>
      </c>
      <c r="H72" s="12">
        <v>50</v>
      </c>
      <c r="I72" s="12" t="s">
        <v>35</v>
      </c>
      <c r="J72" s="12"/>
      <c r="K72" s="12">
        <v>76</v>
      </c>
      <c r="L72" s="12">
        <f t="shared" si="20"/>
        <v>-8</v>
      </c>
      <c r="M72" s="12"/>
      <c r="N72" s="12"/>
      <c r="O72" s="12">
        <v>15</v>
      </c>
      <c r="P72" s="12">
        <f t="shared" si="21"/>
        <v>13.6</v>
      </c>
      <c r="Q72" s="4">
        <f>14*P72-O72-F72</f>
        <v>107.4</v>
      </c>
      <c r="R72" s="4">
        <f t="shared" ref="R72:R105" si="26">ROUND(Q72,0)</f>
        <v>107</v>
      </c>
      <c r="S72" s="25"/>
      <c r="T72" s="12">
        <f t="shared" si="23"/>
        <v>13.970588235294118</v>
      </c>
      <c r="U72" s="12">
        <f t="shared" si="22"/>
        <v>6.1029411764705888</v>
      </c>
      <c r="V72" s="12">
        <v>11</v>
      </c>
      <c r="W72" s="12">
        <v>7.6</v>
      </c>
      <c r="X72" s="12">
        <v>14.8</v>
      </c>
      <c r="Y72" s="12">
        <v>10.4</v>
      </c>
      <c r="Z72" s="12">
        <v>10.6</v>
      </c>
      <c r="AA72" s="12">
        <v>14.8</v>
      </c>
      <c r="AB72" s="12">
        <v>14.8</v>
      </c>
      <c r="AC72" s="12">
        <v>13.2</v>
      </c>
      <c r="AD72" s="12">
        <v>13.4</v>
      </c>
      <c r="AE72" s="12">
        <v>12.4</v>
      </c>
      <c r="AF72" s="12"/>
      <c r="AG72" s="12">
        <f t="shared" si="24"/>
        <v>32.1</v>
      </c>
      <c r="AH72" s="12">
        <f t="shared" si="25"/>
        <v>4.08</v>
      </c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</row>
    <row r="73" spans="1:50" x14ac:dyDescent="0.25">
      <c r="A73" s="12" t="s">
        <v>120</v>
      </c>
      <c r="B73" s="12" t="s">
        <v>38</v>
      </c>
      <c r="C73" s="12">
        <v>339</v>
      </c>
      <c r="D73" s="12"/>
      <c r="E73" s="12">
        <v>76</v>
      </c>
      <c r="F73" s="12">
        <v>249</v>
      </c>
      <c r="G73" s="6">
        <v>0.3</v>
      </c>
      <c r="H73" s="12">
        <v>60</v>
      </c>
      <c r="I73" s="12" t="s">
        <v>35</v>
      </c>
      <c r="J73" s="12"/>
      <c r="K73" s="12">
        <v>86</v>
      </c>
      <c r="L73" s="12">
        <f t="shared" si="20"/>
        <v>-10</v>
      </c>
      <c r="M73" s="12"/>
      <c r="N73" s="12"/>
      <c r="O73" s="12">
        <v>0</v>
      </c>
      <c r="P73" s="12">
        <f t="shared" si="21"/>
        <v>15.2</v>
      </c>
      <c r="Q73" s="4"/>
      <c r="R73" s="4">
        <f t="shared" si="26"/>
        <v>0</v>
      </c>
      <c r="S73" s="25"/>
      <c r="T73" s="12">
        <f t="shared" si="23"/>
        <v>16.381578947368421</v>
      </c>
      <c r="U73" s="12">
        <f t="shared" si="22"/>
        <v>16.381578947368421</v>
      </c>
      <c r="V73" s="12">
        <v>16</v>
      </c>
      <c r="W73" s="12">
        <v>9.4</v>
      </c>
      <c r="X73" s="12">
        <v>22</v>
      </c>
      <c r="Y73" s="12">
        <v>10.4</v>
      </c>
      <c r="Z73" s="12">
        <v>19</v>
      </c>
      <c r="AA73" s="12">
        <v>16.2</v>
      </c>
      <c r="AB73" s="12">
        <v>15.6</v>
      </c>
      <c r="AC73" s="12">
        <v>16.2</v>
      </c>
      <c r="AD73" s="12">
        <v>17.2</v>
      </c>
      <c r="AE73" s="12">
        <v>16.600000000000001</v>
      </c>
      <c r="AF73" s="22" t="s">
        <v>41</v>
      </c>
      <c r="AG73" s="12">
        <f t="shared" si="24"/>
        <v>0</v>
      </c>
      <c r="AH73" s="12">
        <f t="shared" si="25"/>
        <v>4.5599999999999996</v>
      </c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</row>
    <row r="74" spans="1:50" x14ac:dyDescent="0.25">
      <c r="A74" s="12" t="s">
        <v>121</v>
      </c>
      <c r="B74" s="12" t="s">
        <v>38</v>
      </c>
      <c r="C74" s="12">
        <v>376</v>
      </c>
      <c r="D74" s="12">
        <v>80</v>
      </c>
      <c r="E74" s="12">
        <v>160</v>
      </c>
      <c r="F74" s="12">
        <v>250</v>
      </c>
      <c r="G74" s="6">
        <v>0.28000000000000003</v>
      </c>
      <c r="H74" s="12">
        <v>50</v>
      </c>
      <c r="I74" s="12" t="s">
        <v>35</v>
      </c>
      <c r="J74" s="12"/>
      <c r="K74" s="12">
        <v>165</v>
      </c>
      <c r="L74" s="12">
        <f t="shared" si="20"/>
        <v>-5</v>
      </c>
      <c r="M74" s="12"/>
      <c r="N74" s="12"/>
      <c r="O74" s="12">
        <v>0</v>
      </c>
      <c r="P74" s="12">
        <f t="shared" si="21"/>
        <v>32</v>
      </c>
      <c r="Q74" s="4">
        <f t="shared" si="12"/>
        <v>230</v>
      </c>
      <c r="R74" s="4">
        <f t="shared" ref="R74:R75" si="27">S74</f>
        <v>350</v>
      </c>
      <c r="S74" s="25">
        <f>VLOOKUP(A74,[1]Sheet!$A:$R,18,0)</f>
        <v>350</v>
      </c>
      <c r="T74" s="12">
        <f t="shared" si="23"/>
        <v>18.75</v>
      </c>
      <c r="U74" s="12">
        <f t="shared" si="22"/>
        <v>7.8125</v>
      </c>
      <c r="V74" s="12">
        <v>27.2</v>
      </c>
      <c r="W74" s="12">
        <v>38.6</v>
      </c>
      <c r="X74" s="12">
        <v>32.200000000000003</v>
      </c>
      <c r="Y74" s="12">
        <v>25.6</v>
      </c>
      <c r="Z74" s="12">
        <v>30</v>
      </c>
      <c r="AA74" s="12">
        <v>34.799999999999997</v>
      </c>
      <c r="AB74" s="12">
        <v>24.2</v>
      </c>
      <c r="AC74" s="12">
        <v>27.8</v>
      </c>
      <c r="AD74" s="12">
        <v>28.6</v>
      </c>
      <c r="AE74" s="12">
        <v>31</v>
      </c>
      <c r="AF74" s="12"/>
      <c r="AG74" s="12">
        <f t="shared" si="24"/>
        <v>98.000000000000014</v>
      </c>
      <c r="AH74" s="12">
        <f t="shared" si="25"/>
        <v>8.9600000000000009</v>
      </c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</row>
    <row r="75" spans="1:50" x14ac:dyDescent="0.25">
      <c r="A75" s="12" t="s">
        <v>122</v>
      </c>
      <c r="B75" s="12" t="s">
        <v>38</v>
      </c>
      <c r="C75" s="12">
        <v>468</v>
      </c>
      <c r="D75" s="12"/>
      <c r="E75" s="12">
        <v>184</v>
      </c>
      <c r="F75" s="12">
        <v>204</v>
      </c>
      <c r="G75" s="6">
        <v>0.28000000000000003</v>
      </c>
      <c r="H75" s="12">
        <v>45</v>
      </c>
      <c r="I75" s="12" t="s">
        <v>35</v>
      </c>
      <c r="J75" s="12"/>
      <c r="K75" s="12">
        <v>196</v>
      </c>
      <c r="L75" s="12">
        <f t="shared" si="20"/>
        <v>-12</v>
      </c>
      <c r="M75" s="12"/>
      <c r="N75" s="12"/>
      <c r="O75" s="12">
        <v>0</v>
      </c>
      <c r="P75" s="12">
        <f t="shared" si="21"/>
        <v>36.799999999999997</v>
      </c>
      <c r="Q75" s="4">
        <f>14*P75-O75-F75</f>
        <v>311.19999999999993</v>
      </c>
      <c r="R75" s="4">
        <f t="shared" si="27"/>
        <v>400</v>
      </c>
      <c r="S75" s="25">
        <f>VLOOKUP(A75,[1]Sheet!$A:$R,18,0)</f>
        <v>400</v>
      </c>
      <c r="T75" s="12">
        <f t="shared" si="23"/>
        <v>16.413043478260871</v>
      </c>
      <c r="U75" s="12">
        <f t="shared" si="22"/>
        <v>5.5434782608695654</v>
      </c>
      <c r="V75" s="12">
        <v>28.4</v>
      </c>
      <c r="W75" s="12">
        <v>25</v>
      </c>
      <c r="X75" s="12">
        <v>36.200000000000003</v>
      </c>
      <c r="Y75" s="12">
        <v>39.200000000000003</v>
      </c>
      <c r="Z75" s="12">
        <v>26.8</v>
      </c>
      <c r="AA75" s="12">
        <v>50.2</v>
      </c>
      <c r="AB75" s="12">
        <v>40.4</v>
      </c>
      <c r="AC75" s="12">
        <v>33.4</v>
      </c>
      <c r="AD75" s="12">
        <v>42.8</v>
      </c>
      <c r="AE75" s="12">
        <v>31.2</v>
      </c>
      <c r="AF75" s="12"/>
      <c r="AG75" s="12">
        <f t="shared" si="24"/>
        <v>112.00000000000001</v>
      </c>
      <c r="AH75" s="12">
        <f t="shared" si="25"/>
        <v>10.304</v>
      </c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</row>
    <row r="76" spans="1:50" x14ac:dyDescent="0.25">
      <c r="A76" s="12" t="s">
        <v>123</v>
      </c>
      <c r="B76" s="12" t="s">
        <v>38</v>
      </c>
      <c r="C76" s="12">
        <v>881</v>
      </c>
      <c r="D76" s="12">
        <v>1</v>
      </c>
      <c r="E76" s="12">
        <v>487</v>
      </c>
      <c r="F76" s="12">
        <v>272</v>
      </c>
      <c r="G76" s="6">
        <v>0.28000000000000003</v>
      </c>
      <c r="H76" s="12">
        <v>45</v>
      </c>
      <c r="I76" s="12" t="s">
        <v>35</v>
      </c>
      <c r="J76" s="12"/>
      <c r="K76" s="12">
        <v>535</v>
      </c>
      <c r="L76" s="12">
        <f t="shared" si="20"/>
        <v>-48</v>
      </c>
      <c r="M76" s="12"/>
      <c r="N76" s="12"/>
      <c r="O76" s="12">
        <v>540</v>
      </c>
      <c r="P76" s="12">
        <f t="shared" si="21"/>
        <v>97.4</v>
      </c>
      <c r="Q76" s="4">
        <f t="shared" si="12"/>
        <v>649</v>
      </c>
      <c r="R76" s="4">
        <f t="shared" si="26"/>
        <v>649</v>
      </c>
      <c r="S76" s="25"/>
      <c r="T76" s="12">
        <f t="shared" si="23"/>
        <v>15</v>
      </c>
      <c r="U76" s="12">
        <f t="shared" si="22"/>
        <v>8.3367556468172488</v>
      </c>
      <c r="V76" s="12">
        <v>89.6</v>
      </c>
      <c r="W76" s="12">
        <v>76.2</v>
      </c>
      <c r="X76" s="12">
        <v>109</v>
      </c>
      <c r="Y76" s="12">
        <v>117.8</v>
      </c>
      <c r="Z76" s="12">
        <v>130.80000000000001</v>
      </c>
      <c r="AA76" s="12">
        <v>98.6</v>
      </c>
      <c r="AB76" s="12">
        <v>101.2</v>
      </c>
      <c r="AC76" s="12">
        <v>97.2</v>
      </c>
      <c r="AD76" s="12">
        <v>82.4</v>
      </c>
      <c r="AE76" s="12">
        <v>91.8</v>
      </c>
      <c r="AF76" s="12"/>
      <c r="AG76" s="12">
        <f t="shared" si="24"/>
        <v>181.72000000000003</v>
      </c>
      <c r="AH76" s="12">
        <f t="shared" si="25"/>
        <v>27.272000000000006</v>
      </c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</row>
    <row r="77" spans="1:50" x14ac:dyDescent="0.25">
      <c r="A77" s="12" t="s">
        <v>124</v>
      </c>
      <c r="B77" s="12" t="s">
        <v>38</v>
      </c>
      <c r="C77" s="12">
        <v>506</v>
      </c>
      <c r="D77" s="12"/>
      <c r="E77" s="12">
        <v>157</v>
      </c>
      <c r="F77" s="12">
        <v>300</v>
      </c>
      <c r="G77" s="6">
        <v>0.4</v>
      </c>
      <c r="H77" s="12">
        <v>50</v>
      </c>
      <c r="I77" s="12" t="s">
        <v>35</v>
      </c>
      <c r="J77" s="12"/>
      <c r="K77" s="12">
        <v>160</v>
      </c>
      <c r="L77" s="12">
        <f t="shared" si="20"/>
        <v>-3</v>
      </c>
      <c r="M77" s="12"/>
      <c r="N77" s="12"/>
      <c r="O77" s="12">
        <v>0</v>
      </c>
      <c r="P77" s="12">
        <f t="shared" si="21"/>
        <v>31.4</v>
      </c>
      <c r="Q77" s="4">
        <f t="shared" si="12"/>
        <v>171</v>
      </c>
      <c r="R77" s="4">
        <f t="shared" si="26"/>
        <v>171</v>
      </c>
      <c r="S77" s="25"/>
      <c r="T77" s="12">
        <f t="shared" si="23"/>
        <v>15</v>
      </c>
      <c r="U77" s="12">
        <f t="shared" si="22"/>
        <v>9.5541401273885356</v>
      </c>
      <c r="V77" s="12">
        <v>22.8</v>
      </c>
      <c r="W77" s="12">
        <v>25</v>
      </c>
      <c r="X77" s="12">
        <v>24.8</v>
      </c>
      <c r="Y77" s="12">
        <v>30.8</v>
      </c>
      <c r="Z77" s="12">
        <v>42.2</v>
      </c>
      <c r="AA77" s="12">
        <v>40.200000000000003</v>
      </c>
      <c r="AB77" s="12">
        <v>32.4</v>
      </c>
      <c r="AC77" s="12">
        <v>40.200000000000003</v>
      </c>
      <c r="AD77" s="12">
        <v>36.200000000000003</v>
      </c>
      <c r="AE77" s="12">
        <v>36.799999999999997</v>
      </c>
      <c r="AF77" s="12"/>
      <c r="AG77" s="12">
        <f t="shared" si="24"/>
        <v>68.400000000000006</v>
      </c>
      <c r="AH77" s="12">
        <f t="shared" si="25"/>
        <v>12.56</v>
      </c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</row>
    <row r="78" spans="1:50" x14ac:dyDescent="0.25">
      <c r="A78" s="12" t="s">
        <v>125</v>
      </c>
      <c r="B78" s="12" t="s">
        <v>34</v>
      </c>
      <c r="C78" s="12">
        <v>25.096</v>
      </c>
      <c r="D78" s="12">
        <v>1</v>
      </c>
      <c r="E78" s="12">
        <v>27.076000000000001</v>
      </c>
      <c r="F78" s="12">
        <v>-3.125</v>
      </c>
      <c r="G78" s="6">
        <v>1</v>
      </c>
      <c r="H78" s="12">
        <v>30</v>
      </c>
      <c r="I78" s="12" t="s">
        <v>35</v>
      </c>
      <c r="J78" s="12"/>
      <c r="K78" s="12">
        <v>95.4</v>
      </c>
      <c r="L78" s="12">
        <f t="shared" si="20"/>
        <v>-68.324000000000012</v>
      </c>
      <c r="M78" s="12"/>
      <c r="N78" s="12"/>
      <c r="O78" s="12">
        <v>423</v>
      </c>
      <c r="P78" s="12">
        <f t="shared" si="21"/>
        <v>5.4152000000000005</v>
      </c>
      <c r="Q78" s="4"/>
      <c r="R78" s="4">
        <v>400</v>
      </c>
      <c r="S78" s="25">
        <f>VLOOKUP(A78,[1]Sheet!$A:$R,18,0)</f>
        <v>500</v>
      </c>
      <c r="T78" s="12">
        <f t="shared" si="23"/>
        <v>151.40253360910029</v>
      </c>
      <c r="U78" s="12">
        <f t="shared" si="22"/>
        <v>77.536379081105025</v>
      </c>
      <c r="V78" s="12">
        <v>61.568600000000004</v>
      </c>
      <c r="W78" s="12">
        <v>41.13</v>
      </c>
      <c r="X78" s="12">
        <v>37.4452</v>
      </c>
      <c r="Y78" s="12">
        <v>10.79</v>
      </c>
      <c r="Z78" s="12">
        <v>6.1048</v>
      </c>
      <c r="AA78" s="12">
        <v>25.026399999999999</v>
      </c>
      <c r="AB78" s="12">
        <v>19.0764</v>
      </c>
      <c r="AC78" s="12">
        <v>11.9458</v>
      </c>
      <c r="AD78" s="12">
        <v>14.8004</v>
      </c>
      <c r="AE78" s="12">
        <v>8.9665999999999997</v>
      </c>
      <c r="AF78" s="12" t="s">
        <v>58</v>
      </c>
      <c r="AG78" s="12">
        <f t="shared" si="24"/>
        <v>400</v>
      </c>
      <c r="AH78" s="12">
        <f t="shared" si="25"/>
        <v>5.4152000000000005</v>
      </c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</row>
    <row r="79" spans="1:50" x14ac:dyDescent="0.25">
      <c r="A79" s="12" t="s">
        <v>126</v>
      </c>
      <c r="B79" s="12" t="s">
        <v>38</v>
      </c>
      <c r="C79" s="12">
        <v>46</v>
      </c>
      <c r="D79" s="12"/>
      <c r="E79" s="12">
        <v>15</v>
      </c>
      <c r="F79" s="12">
        <v>31</v>
      </c>
      <c r="G79" s="6">
        <v>0.33800000000000002</v>
      </c>
      <c r="H79" s="12" t="s">
        <v>127</v>
      </c>
      <c r="I79" s="12" t="s">
        <v>35</v>
      </c>
      <c r="J79" s="12"/>
      <c r="K79" s="12">
        <v>15</v>
      </c>
      <c r="L79" s="12">
        <f t="shared" si="20"/>
        <v>0</v>
      </c>
      <c r="M79" s="12"/>
      <c r="N79" s="12"/>
      <c r="O79" s="12">
        <v>0</v>
      </c>
      <c r="P79" s="12">
        <f t="shared" si="21"/>
        <v>3</v>
      </c>
      <c r="Q79" s="4">
        <f t="shared" si="12"/>
        <v>14</v>
      </c>
      <c r="R79" s="4">
        <f t="shared" ref="R79" si="28">S79</f>
        <v>30</v>
      </c>
      <c r="S79" s="25">
        <f>VLOOKUP(A79,[1]Sheet!$A:$R,18,0)</f>
        <v>30</v>
      </c>
      <c r="T79" s="12">
        <f t="shared" si="23"/>
        <v>20.333333333333332</v>
      </c>
      <c r="U79" s="12">
        <f t="shared" si="22"/>
        <v>10.333333333333334</v>
      </c>
      <c r="V79" s="12">
        <v>0</v>
      </c>
      <c r="W79" s="12">
        <v>3.6</v>
      </c>
      <c r="X79" s="12">
        <v>0.4</v>
      </c>
      <c r="Y79" s="12">
        <v>5.4</v>
      </c>
      <c r="Z79" s="12">
        <v>0.4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 t="s">
        <v>112</v>
      </c>
      <c r="AG79" s="12">
        <f t="shared" si="24"/>
        <v>10.14</v>
      </c>
      <c r="AH79" s="12">
        <f t="shared" si="25"/>
        <v>1.014</v>
      </c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</row>
    <row r="80" spans="1:50" x14ac:dyDescent="0.25">
      <c r="A80" s="12" t="s">
        <v>128</v>
      </c>
      <c r="B80" s="12" t="s">
        <v>38</v>
      </c>
      <c r="C80" s="12">
        <v>89</v>
      </c>
      <c r="D80" s="12"/>
      <c r="E80" s="12">
        <v>18</v>
      </c>
      <c r="F80" s="12">
        <v>71</v>
      </c>
      <c r="G80" s="6">
        <v>0.32500000000000001</v>
      </c>
      <c r="H80" s="12" t="s">
        <v>127</v>
      </c>
      <c r="I80" s="12" t="s">
        <v>35</v>
      </c>
      <c r="J80" s="12"/>
      <c r="K80" s="12">
        <v>18</v>
      </c>
      <c r="L80" s="12">
        <f t="shared" si="20"/>
        <v>0</v>
      </c>
      <c r="M80" s="12"/>
      <c r="N80" s="12"/>
      <c r="O80" s="12">
        <v>0</v>
      </c>
      <c r="P80" s="12">
        <f t="shared" si="21"/>
        <v>3.6</v>
      </c>
      <c r="Q80" s="4"/>
      <c r="R80" s="4">
        <f t="shared" si="26"/>
        <v>0</v>
      </c>
      <c r="S80" s="25"/>
      <c r="T80" s="12">
        <f t="shared" si="23"/>
        <v>19.722222222222221</v>
      </c>
      <c r="U80" s="12">
        <f t="shared" si="22"/>
        <v>19.722222222222221</v>
      </c>
      <c r="V80" s="12">
        <v>0</v>
      </c>
      <c r="W80" s="12">
        <v>3.6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 t="s">
        <v>112</v>
      </c>
      <c r="AG80" s="12">
        <f t="shared" si="24"/>
        <v>0</v>
      </c>
      <c r="AH80" s="12">
        <f t="shared" si="25"/>
        <v>1.1700000000000002</v>
      </c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</row>
    <row r="81" spans="1:50" x14ac:dyDescent="0.25">
      <c r="A81" s="12" t="s">
        <v>129</v>
      </c>
      <c r="B81" s="12" t="s">
        <v>38</v>
      </c>
      <c r="C81" s="12">
        <v>718</v>
      </c>
      <c r="D81" s="12">
        <v>1</v>
      </c>
      <c r="E81" s="12">
        <v>97</v>
      </c>
      <c r="F81" s="12">
        <v>604</v>
      </c>
      <c r="G81" s="6">
        <v>0.12</v>
      </c>
      <c r="H81" s="12">
        <v>60</v>
      </c>
      <c r="I81" s="12" t="s">
        <v>35</v>
      </c>
      <c r="J81" s="12"/>
      <c r="K81" s="12">
        <v>118</v>
      </c>
      <c r="L81" s="12">
        <f t="shared" si="20"/>
        <v>-21</v>
      </c>
      <c r="M81" s="12"/>
      <c r="N81" s="12"/>
      <c r="O81" s="12">
        <v>0</v>
      </c>
      <c r="P81" s="12">
        <f t="shared" si="21"/>
        <v>19.399999999999999</v>
      </c>
      <c r="Q81" s="4"/>
      <c r="R81" s="4">
        <f t="shared" si="26"/>
        <v>0</v>
      </c>
      <c r="S81" s="25"/>
      <c r="T81" s="12">
        <f t="shared" si="23"/>
        <v>31.134020618556704</v>
      </c>
      <c r="U81" s="12">
        <f t="shared" si="22"/>
        <v>31.134020618556704</v>
      </c>
      <c r="V81" s="12">
        <v>24.2</v>
      </c>
      <c r="W81" s="12">
        <v>28.2</v>
      </c>
      <c r="X81" s="12">
        <v>35.799999999999997</v>
      </c>
      <c r="Y81" s="12">
        <v>20.6</v>
      </c>
      <c r="Z81" s="12">
        <v>37.200000000000003</v>
      </c>
      <c r="AA81" s="12">
        <v>42.4</v>
      </c>
      <c r="AB81" s="12">
        <v>23.8</v>
      </c>
      <c r="AC81" s="12">
        <v>27.4</v>
      </c>
      <c r="AD81" s="12">
        <v>28.2</v>
      </c>
      <c r="AE81" s="12">
        <v>22.2</v>
      </c>
      <c r="AF81" s="22" t="s">
        <v>41</v>
      </c>
      <c r="AG81" s="12">
        <f t="shared" si="24"/>
        <v>0</v>
      </c>
      <c r="AH81" s="12">
        <f t="shared" si="25"/>
        <v>2.3279999999999998</v>
      </c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</row>
    <row r="82" spans="1:50" x14ac:dyDescent="0.25">
      <c r="A82" s="12" t="s">
        <v>130</v>
      </c>
      <c r="B82" s="12" t="s">
        <v>38</v>
      </c>
      <c r="C82" s="12">
        <v>191</v>
      </c>
      <c r="D82" s="12"/>
      <c r="E82" s="12">
        <v>111</v>
      </c>
      <c r="F82" s="12">
        <v>70</v>
      </c>
      <c r="G82" s="6">
        <v>0.15</v>
      </c>
      <c r="H82" s="12">
        <v>90</v>
      </c>
      <c r="I82" s="12" t="s">
        <v>35</v>
      </c>
      <c r="J82" s="12"/>
      <c r="K82" s="12">
        <v>125</v>
      </c>
      <c r="L82" s="12">
        <f t="shared" si="20"/>
        <v>-14</v>
      </c>
      <c r="M82" s="12"/>
      <c r="N82" s="12"/>
      <c r="O82" s="12">
        <v>69</v>
      </c>
      <c r="P82" s="12">
        <f t="shared" si="21"/>
        <v>22.2</v>
      </c>
      <c r="Q82" s="4">
        <f>14*P82-O82-F82</f>
        <v>171.8</v>
      </c>
      <c r="R82" s="4">
        <f t="shared" si="26"/>
        <v>172</v>
      </c>
      <c r="S82" s="25"/>
      <c r="T82" s="12">
        <f t="shared" si="23"/>
        <v>14.009009009009009</v>
      </c>
      <c r="U82" s="12">
        <f t="shared" si="22"/>
        <v>6.2612612612612617</v>
      </c>
      <c r="V82" s="12">
        <v>15.8</v>
      </c>
      <c r="W82" s="12">
        <v>12</v>
      </c>
      <c r="X82" s="12">
        <v>4.8</v>
      </c>
      <c r="Y82" s="12">
        <v>0.8</v>
      </c>
      <c r="Z82" s="12">
        <v>5.4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 t="s">
        <v>112</v>
      </c>
      <c r="AG82" s="12">
        <f t="shared" si="24"/>
        <v>25.8</v>
      </c>
      <c r="AH82" s="12">
        <f t="shared" si="25"/>
        <v>3.3299999999999996</v>
      </c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</row>
    <row r="83" spans="1:50" x14ac:dyDescent="0.25">
      <c r="A83" s="8" t="s">
        <v>131</v>
      </c>
      <c r="B83" s="8" t="s">
        <v>38</v>
      </c>
      <c r="C83" s="8"/>
      <c r="D83" s="8"/>
      <c r="E83" s="8"/>
      <c r="F83" s="8"/>
      <c r="G83" s="9">
        <v>0</v>
      </c>
      <c r="H83" s="8">
        <v>45</v>
      </c>
      <c r="I83" s="8" t="s">
        <v>132</v>
      </c>
      <c r="J83" s="8"/>
      <c r="K83" s="8"/>
      <c r="L83" s="8">
        <f t="shared" si="20"/>
        <v>0</v>
      </c>
      <c r="M83" s="8"/>
      <c r="N83" s="8"/>
      <c r="O83" s="8">
        <v>120</v>
      </c>
      <c r="P83" s="8">
        <f t="shared" si="21"/>
        <v>0</v>
      </c>
      <c r="Q83" s="10"/>
      <c r="R83" s="4">
        <f t="shared" si="26"/>
        <v>0</v>
      </c>
      <c r="S83" s="25"/>
      <c r="T83" s="12" t="e">
        <f t="shared" si="23"/>
        <v>#DIV/0!</v>
      </c>
      <c r="U83" s="8" t="e">
        <f t="shared" si="22"/>
        <v>#DIV/0!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133</v>
      </c>
      <c r="AG83" s="12">
        <f t="shared" si="24"/>
        <v>0</v>
      </c>
      <c r="AH83" s="12">
        <f t="shared" si="25"/>
        <v>0</v>
      </c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</row>
    <row r="84" spans="1:50" x14ac:dyDescent="0.25">
      <c r="A84" s="12" t="s">
        <v>134</v>
      </c>
      <c r="B84" s="12" t="s">
        <v>38</v>
      </c>
      <c r="C84" s="12">
        <v>131</v>
      </c>
      <c r="D84" s="12">
        <v>12</v>
      </c>
      <c r="E84" s="12">
        <v>79</v>
      </c>
      <c r="F84" s="12">
        <v>49</v>
      </c>
      <c r="G84" s="6">
        <v>0.15</v>
      </c>
      <c r="H84" s="12">
        <v>90</v>
      </c>
      <c r="I84" s="12" t="s">
        <v>35</v>
      </c>
      <c r="J84" s="12"/>
      <c r="K84" s="12">
        <v>80</v>
      </c>
      <c r="L84" s="12">
        <f t="shared" si="20"/>
        <v>-1</v>
      </c>
      <c r="M84" s="12"/>
      <c r="N84" s="12"/>
      <c r="O84" s="12">
        <v>66</v>
      </c>
      <c r="P84" s="12">
        <f t="shared" si="21"/>
        <v>15.8</v>
      </c>
      <c r="Q84" s="4">
        <f t="shared" ref="Q84:Q86" si="29">15*P84-O84-F84</f>
        <v>122</v>
      </c>
      <c r="R84" s="4">
        <f t="shared" si="26"/>
        <v>122</v>
      </c>
      <c r="S84" s="25"/>
      <c r="T84" s="12">
        <f t="shared" si="23"/>
        <v>15</v>
      </c>
      <c r="U84" s="12">
        <f t="shared" si="22"/>
        <v>7.2784810126582276</v>
      </c>
      <c r="V84" s="12">
        <v>13.2</v>
      </c>
      <c r="W84" s="12">
        <v>13.8</v>
      </c>
      <c r="X84" s="12">
        <v>7.2</v>
      </c>
      <c r="Y84" s="12">
        <v>3.8</v>
      </c>
      <c r="Z84" s="12">
        <v>5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 t="s">
        <v>112</v>
      </c>
      <c r="AG84" s="12">
        <f t="shared" si="24"/>
        <v>18.3</v>
      </c>
      <c r="AH84" s="12">
        <f t="shared" si="25"/>
        <v>2.37</v>
      </c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</row>
    <row r="85" spans="1:50" x14ac:dyDescent="0.25">
      <c r="A85" s="12" t="s">
        <v>135</v>
      </c>
      <c r="B85" s="12" t="s">
        <v>38</v>
      </c>
      <c r="C85" s="12">
        <v>156</v>
      </c>
      <c r="D85" s="12">
        <v>1</v>
      </c>
      <c r="E85" s="12">
        <v>94</v>
      </c>
      <c r="F85" s="12">
        <v>30</v>
      </c>
      <c r="G85" s="6">
        <v>0.33</v>
      </c>
      <c r="H85" s="12">
        <v>30</v>
      </c>
      <c r="I85" s="12" t="s">
        <v>35</v>
      </c>
      <c r="J85" s="12"/>
      <c r="K85" s="12">
        <v>106</v>
      </c>
      <c r="L85" s="12">
        <f t="shared" si="20"/>
        <v>-12</v>
      </c>
      <c r="M85" s="12"/>
      <c r="N85" s="12"/>
      <c r="O85" s="12">
        <v>55</v>
      </c>
      <c r="P85" s="12">
        <f t="shared" si="21"/>
        <v>18.8</v>
      </c>
      <c r="Q85" s="4">
        <f>13*P85-O85-F85</f>
        <v>159.4</v>
      </c>
      <c r="R85" s="4">
        <f>S85</f>
        <v>250</v>
      </c>
      <c r="S85" s="25">
        <f>VLOOKUP(A85,[1]Sheet!$A:$R,18,0)</f>
        <v>250</v>
      </c>
      <c r="T85" s="12">
        <f t="shared" si="23"/>
        <v>17.819148936170212</v>
      </c>
      <c r="U85" s="12">
        <f t="shared" si="22"/>
        <v>4.5212765957446805</v>
      </c>
      <c r="V85" s="12">
        <v>12.6</v>
      </c>
      <c r="W85" s="12">
        <v>12.2</v>
      </c>
      <c r="X85" s="12">
        <v>17</v>
      </c>
      <c r="Y85" s="12">
        <v>13.8</v>
      </c>
      <c r="Z85" s="12">
        <v>17</v>
      </c>
      <c r="AA85" s="12">
        <v>22.4</v>
      </c>
      <c r="AB85" s="12">
        <v>17.600000000000001</v>
      </c>
      <c r="AC85" s="12">
        <v>15</v>
      </c>
      <c r="AD85" s="12">
        <v>17</v>
      </c>
      <c r="AE85" s="12">
        <v>9.8000000000000007</v>
      </c>
      <c r="AF85" s="12"/>
      <c r="AG85" s="12">
        <f t="shared" si="24"/>
        <v>82.5</v>
      </c>
      <c r="AH85" s="12">
        <f t="shared" si="25"/>
        <v>6.2040000000000006</v>
      </c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</row>
    <row r="86" spans="1:50" x14ac:dyDescent="0.25">
      <c r="A86" s="12" t="s">
        <v>136</v>
      </c>
      <c r="B86" s="12" t="s">
        <v>38</v>
      </c>
      <c r="C86" s="12">
        <v>422</v>
      </c>
      <c r="D86" s="12">
        <v>180</v>
      </c>
      <c r="E86" s="12">
        <v>281</v>
      </c>
      <c r="F86" s="12">
        <v>265</v>
      </c>
      <c r="G86" s="6">
        <v>0.15</v>
      </c>
      <c r="H86" s="12">
        <v>60</v>
      </c>
      <c r="I86" s="12" t="s">
        <v>35</v>
      </c>
      <c r="J86" s="12"/>
      <c r="K86" s="12">
        <v>296</v>
      </c>
      <c r="L86" s="12">
        <f t="shared" si="20"/>
        <v>-15</v>
      </c>
      <c r="M86" s="12"/>
      <c r="N86" s="12"/>
      <c r="O86" s="12">
        <v>325</v>
      </c>
      <c r="P86" s="12">
        <f t="shared" si="21"/>
        <v>56.2</v>
      </c>
      <c r="Q86" s="4">
        <f t="shared" si="29"/>
        <v>253</v>
      </c>
      <c r="R86" s="4">
        <f t="shared" si="26"/>
        <v>253</v>
      </c>
      <c r="S86" s="25"/>
      <c r="T86" s="12">
        <f t="shared" si="23"/>
        <v>15</v>
      </c>
      <c r="U86" s="12">
        <f t="shared" si="22"/>
        <v>10.498220640569395</v>
      </c>
      <c r="V86" s="12">
        <v>60</v>
      </c>
      <c r="W86" s="12">
        <v>59.8</v>
      </c>
      <c r="X86" s="12">
        <v>69</v>
      </c>
      <c r="Y86" s="12">
        <v>59.2</v>
      </c>
      <c r="Z86" s="12">
        <v>51</v>
      </c>
      <c r="AA86" s="12">
        <v>47</v>
      </c>
      <c r="AB86" s="12">
        <v>39.200000000000003</v>
      </c>
      <c r="AC86" s="12">
        <v>18</v>
      </c>
      <c r="AD86" s="12">
        <v>47.4</v>
      </c>
      <c r="AE86" s="12">
        <v>0</v>
      </c>
      <c r="AF86" s="12"/>
      <c r="AG86" s="12">
        <f t="shared" si="24"/>
        <v>37.949999999999996</v>
      </c>
      <c r="AH86" s="12">
        <f t="shared" si="25"/>
        <v>8.43</v>
      </c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</row>
    <row r="87" spans="1:50" x14ac:dyDescent="0.25">
      <c r="A87" s="13" t="s">
        <v>137</v>
      </c>
      <c r="B87" s="13" t="s">
        <v>38</v>
      </c>
      <c r="C87" s="13"/>
      <c r="D87" s="13"/>
      <c r="E87" s="13"/>
      <c r="F87" s="13"/>
      <c r="G87" s="14">
        <v>0</v>
      </c>
      <c r="H87" s="13">
        <v>45</v>
      </c>
      <c r="I87" s="13" t="s">
        <v>35</v>
      </c>
      <c r="J87" s="13"/>
      <c r="K87" s="13"/>
      <c r="L87" s="13">
        <f t="shared" si="20"/>
        <v>0</v>
      </c>
      <c r="M87" s="13"/>
      <c r="N87" s="13"/>
      <c r="O87" s="13">
        <v>0</v>
      </c>
      <c r="P87" s="13">
        <f t="shared" si="21"/>
        <v>0</v>
      </c>
      <c r="Q87" s="15"/>
      <c r="R87" s="4">
        <f t="shared" si="26"/>
        <v>0</v>
      </c>
      <c r="S87" s="25"/>
      <c r="T87" s="12" t="e">
        <f t="shared" si="23"/>
        <v>#DIV/0!</v>
      </c>
      <c r="U87" s="13" t="e">
        <f t="shared" si="22"/>
        <v>#DIV/0!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 t="s">
        <v>138</v>
      </c>
      <c r="AG87" s="12">
        <f t="shared" si="24"/>
        <v>0</v>
      </c>
      <c r="AH87" s="12">
        <f t="shared" si="25"/>
        <v>0</v>
      </c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</row>
    <row r="88" spans="1:50" x14ac:dyDescent="0.25">
      <c r="A88" s="13" t="s">
        <v>139</v>
      </c>
      <c r="B88" s="13" t="s">
        <v>34</v>
      </c>
      <c r="C88" s="13"/>
      <c r="D88" s="13"/>
      <c r="E88" s="13"/>
      <c r="F88" s="13"/>
      <c r="G88" s="14">
        <v>0</v>
      </c>
      <c r="H88" s="13">
        <v>30</v>
      </c>
      <c r="I88" s="13" t="s">
        <v>35</v>
      </c>
      <c r="J88" s="13"/>
      <c r="K88" s="13"/>
      <c r="L88" s="13">
        <f t="shared" si="20"/>
        <v>0</v>
      </c>
      <c r="M88" s="13"/>
      <c r="N88" s="13"/>
      <c r="O88" s="13">
        <v>0</v>
      </c>
      <c r="P88" s="13">
        <f t="shared" si="21"/>
        <v>0</v>
      </c>
      <c r="Q88" s="15"/>
      <c r="R88" s="4">
        <f t="shared" si="26"/>
        <v>0</v>
      </c>
      <c r="S88" s="25"/>
      <c r="T88" s="12" t="e">
        <f t="shared" si="23"/>
        <v>#DIV/0!</v>
      </c>
      <c r="U88" s="13" t="e">
        <f t="shared" si="22"/>
        <v>#DIV/0!</v>
      </c>
      <c r="V88" s="13">
        <v>0</v>
      </c>
      <c r="W88" s="13">
        <v>0</v>
      </c>
      <c r="X88" s="13">
        <v>0</v>
      </c>
      <c r="Y88" s="13">
        <v>0</v>
      </c>
      <c r="Z88" s="13">
        <v>1.3322000000000001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 t="s">
        <v>138</v>
      </c>
      <c r="AG88" s="12">
        <f t="shared" si="24"/>
        <v>0</v>
      </c>
      <c r="AH88" s="12">
        <f t="shared" si="25"/>
        <v>0</v>
      </c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</row>
    <row r="89" spans="1:50" x14ac:dyDescent="0.25">
      <c r="A89" s="13" t="s">
        <v>140</v>
      </c>
      <c r="B89" s="13" t="s">
        <v>38</v>
      </c>
      <c r="C89" s="13"/>
      <c r="D89" s="13"/>
      <c r="E89" s="13"/>
      <c r="F89" s="13"/>
      <c r="G89" s="14">
        <v>0</v>
      </c>
      <c r="H89" s="13">
        <v>45</v>
      </c>
      <c r="I89" s="13" t="s">
        <v>35</v>
      </c>
      <c r="J89" s="13"/>
      <c r="K89" s="13"/>
      <c r="L89" s="13">
        <f t="shared" si="20"/>
        <v>0</v>
      </c>
      <c r="M89" s="13"/>
      <c r="N89" s="13"/>
      <c r="O89" s="13">
        <v>0</v>
      </c>
      <c r="P89" s="13">
        <f t="shared" si="21"/>
        <v>0</v>
      </c>
      <c r="Q89" s="15"/>
      <c r="R89" s="4">
        <f t="shared" si="26"/>
        <v>0</v>
      </c>
      <c r="S89" s="25"/>
      <c r="T89" s="12" t="e">
        <f t="shared" si="23"/>
        <v>#DIV/0!</v>
      </c>
      <c r="U89" s="13" t="e">
        <f t="shared" si="22"/>
        <v>#DIV/0!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 t="s">
        <v>138</v>
      </c>
      <c r="AG89" s="12">
        <f t="shared" si="24"/>
        <v>0</v>
      </c>
      <c r="AH89" s="12">
        <f t="shared" si="25"/>
        <v>0</v>
      </c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</row>
    <row r="90" spans="1:50" x14ac:dyDescent="0.25">
      <c r="A90" s="13" t="s">
        <v>141</v>
      </c>
      <c r="B90" s="13" t="s">
        <v>34</v>
      </c>
      <c r="C90" s="13"/>
      <c r="D90" s="13"/>
      <c r="E90" s="13">
        <v>-2.1659999999999999</v>
      </c>
      <c r="F90" s="13"/>
      <c r="G90" s="14">
        <v>0</v>
      </c>
      <c r="H90" s="13">
        <v>30</v>
      </c>
      <c r="I90" s="13" t="s">
        <v>35</v>
      </c>
      <c r="J90" s="13"/>
      <c r="K90" s="13"/>
      <c r="L90" s="13">
        <f t="shared" si="20"/>
        <v>-2.1659999999999999</v>
      </c>
      <c r="M90" s="13"/>
      <c r="N90" s="13"/>
      <c r="O90" s="13">
        <v>0</v>
      </c>
      <c r="P90" s="13">
        <f t="shared" si="21"/>
        <v>-0.43319999999999997</v>
      </c>
      <c r="Q90" s="15"/>
      <c r="R90" s="4">
        <f t="shared" si="26"/>
        <v>0</v>
      </c>
      <c r="S90" s="25"/>
      <c r="T90" s="12">
        <f t="shared" si="23"/>
        <v>0</v>
      </c>
      <c r="U90" s="13">
        <f t="shared" si="22"/>
        <v>0</v>
      </c>
      <c r="V90" s="13">
        <v>0</v>
      </c>
      <c r="W90" s="13">
        <v>0</v>
      </c>
      <c r="X90" s="13">
        <v>0.28539999999999999</v>
      </c>
      <c r="Y90" s="13">
        <v>0.59400000000000008</v>
      </c>
      <c r="Z90" s="13">
        <v>0.86319999999999997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 t="s">
        <v>138</v>
      </c>
      <c r="AG90" s="12">
        <f t="shared" si="24"/>
        <v>0</v>
      </c>
      <c r="AH90" s="12">
        <f t="shared" si="25"/>
        <v>0</v>
      </c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</row>
    <row r="91" spans="1:50" x14ac:dyDescent="0.25">
      <c r="A91" s="12" t="s">
        <v>142</v>
      </c>
      <c r="B91" s="12" t="s">
        <v>38</v>
      </c>
      <c r="C91" s="12">
        <v>195</v>
      </c>
      <c r="D91" s="12">
        <v>48</v>
      </c>
      <c r="E91" s="12">
        <v>122</v>
      </c>
      <c r="F91" s="12">
        <v>94</v>
      </c>
      <c r="G91" s="6">
        <v>0.4</v>
      </c>
      <c r="H91" s="12">
        <v>60</v>
      </c>
      <c r="I91" s="12" t="s">
        <v>35</v>
      </c>
      <c r="J91" s="12"/>
      <c r="K91" s="12">
        <v>133</v>
      </c>
      <c r="L91" s="12">
        <f t="shared" si="20"/>
        <v>-11</v>
      </c>
      <c r="M91" s="12"/>
      <c r="N91" s="12"/>
      <c r="O91" s="12">
        <v>103</v>
      </c>
      <c r="P91" s="12">
        <f t="shared" si="21"/>
        <v>24.4</v>
      </c>
      <c r="Q91" s="4">
        <f>15*P91-O91-F91</f>
        <v>169</v>
      </c>
      <c r="R91" s="4">
        <f t="shared" si="26"/>
        <v>169</v>
      </c>
      <c r="S91" s="25"/>
      <c r="T91" s="12">
        <f t="shared" si="23"/>
        <v>15</v>
      </c>
      <c r="U91" s="12">
        <f t="shared" si="22"/>
        <v>8.0737704918032787</v>
      </c>
      <c r="V91" s="12">
        <v>23</v>
      </c>
      <c r="W91" s="12">
        <v>24.2</v>
      </c>
      <c r="X91" s="12">
        <v>19</v>
      </c>
      <c r="Y91" s="12">
        <v>23.4</v>
      </c>
      <c r="Z91" s="12">
        <v>34</v>
      </c>
      <c r="AA91" s="12">
        <v>18.399999999999999</v>
      </c>
      <c r="AB91" s="12">
        <v>27.8</v>
      </c>
      <c r="AC91" s="12">
        <v>25.6</v>
      </c>
      <c r="AD91" s="12">
        <v>19.8</v>
      </c>
      <c r="AE91" s="12">
        <v>28.6</v>
      </c>
      <c r="AF91" s="12"/>
      <c r="AG91" s="12">
        <f t="shared" si="24"/>
        <v>67.600000000000009</v>
      </c>
      <c r="AH91" s="12">
        <f t="shared" si="25"/>
        <v>9.76</v>
      </c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</row>
    <row r="92" spans="1:50" x14ac:dyDescent="0.25">
      <c r="A92" s="13" t="s">
        <v>143</v>
      </c>
      <c r="B92" s="13" t="s">
        <v>38</v>
      </c>
      <c r="C92" s="13"/>
      <c r="D92" s="13"/>
      <c r="E92" s="13"/>
      <c r="F92" s="13"/>
      <c r="G92" s="14">
        <v>0</v>
      </c>
      <c r="H92" s="13">
        <v>60</v>
      </c>
      <c r="I92" s="13" t="s">
        <v>35</v>
      </c>
      <c r="J92" s="13"/>
      <c r="K92" s="13">
        <v>9</v>
      </c>
      <c r="L92" s="13">
        <f t="shared" si="20"/>
        <v>-9</v>
      </c>
      <c r="M92" s="13"/>
      <c r="N92" s="13"/>
      <c r="O92" s="13">
        <v>0</v>
      </c>
      <c r="P92" s="13">
        <f t="shared" si="21"/>
        <v>0</v>
      </c>
      <c r="Q92" s="15"/>
      <c r="R92" s="4">
        <f t="shared" si="26"/>
        <v>0</v>
      </c>
      <c r="S92" s="25"/>
      <c r="T92" s="12" t="e">
        <f t="shared" si="23"/>
        <v>#DIV/0!</v>
      </c>
      <c r="U92" s="13" t="e">
        <f t="shared" si="22"/>
        <v>#DIV/0!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0.8</v>
      </c>
      <c r="AB92" s="13">
        <v>0.4</v>
      </c>
      <c r="AC92" s="13">
        <v>1.6</v>
      </c>
      <c r="AD92" s="13">
        <v>2.4</v>
      </c>
      <c r="AE92" s="13">
        <v>2.8</v>
      </c>
      <c r="AF92" s="13" t="s">
        <v>138</v>
      </c>
      <c r="AG92" s="12">
        <f t="shared" si="24"/>
        <v>0</v>
      </c>
      <c r="AH92" s="12">
        <f t="shared" si="25"/>
        <v>0</v>
      </c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</row>
    <row r="93" spans="1:50" x14ac:dyDescent="0.25">
      <c r="A93" s="13" t="s">
        <v>144</v>
      </c>
      <c r="B93" s="13" t="s">
        <v>34</v>
      </c>
      <c r="C93" s="13"/>
      <c r="D93" s="13"/>
      <c r="E93" s="13"/>
      <c r="F93" s="13"/>
      <c r="G93" s="14">
        <v>0</v>
      </c>
      <c r="H93" s="13">
        <v>45</v>
      </c>
      <c r="I93" s="13" t="s">
        <v>35</v>
      </c>
      <c r="J93" s="13"/>
      <c r="K93" s="13"/>
      <c r="L93" s="13">
        <f t="shared" si="20"/>
        <v>0</v>
      </c>
      <c r="M93" s="13"/>
      <c r="N93" s="13"/>
      <c r="O93" s="13">
        <v>0</v>
      </c>
      <c r="P93" s="13">
        <f t="shared" si="21"/>
        <v>0</v>
      </c>
      <c r="Q93" s="15"/>
      <c r="R93" s="4">
        <f t="shared" si="26"/>
        <v>0</v>
      </c>
      <c r="S93" s="25"/>
      <c r="T93" s="12" t="e">
        <f t="shared" si="23"/>
        <v>#DIV/0!</v>
      </c>
      <c r="U93" s="13" t="e">
        <f t="shared" si="22"/>
        <v>#DIV/0!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 t="s">
        <v>138</v>
      </c>
      <c r="AG93" s="12">
        <f t="shared" si="24"/>
        <v>0</v>
      </c>
      <c r="AH93" s="12">
        <f t="shared" si="25"/>
        <v>0</v>
      </c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</row>
    <row r="94" spans="1:50" x14ac:dyDescent="0.25">
      <c r="A94" s="13" t="s">
        <v>145</v>
      </c>
      <c r="B94" s="13" t="s">
        <v>34</v>
      </c>
      <c r="C94" s="13"/>
      <c r="D94" s="13"/>
      <c r="E94" s="13"/>
      <c r="F94" s="13"/>
      <c r="G94" s="14">
        <v>0</v>
      </c>
      <c r="H94" s="13"/>
      <c r="I94" s="13" t="s">
        <v>35</v>
      </c>
      <c r="J94" s="13"/>
      <c r="K94" s="13"/>
      <c r="L94" s="13">
        <f t="shared" si="20"/>
        <v>0</v>
      </c>
      <c r="M94" s="13"/>
      <c r="N94" s="13"/>
      <c r="O94" s="13">
        <v>0</v>
      </c>
      <c r="P94" s="13">
        <f t="shared" si="21"/>
        <v>0</v>
      </c>
      <c r="Q94" s="15"/>
      <c r="R94" s="4">
        <f t="shared" si="26"/>
        <v>0</v>
      </c>
      <c r="S94" s="25"/>
      <c r="T94" s="12" t="e">
        <f t="shared" si="23"/>
        <v>#DIV/0!</v>
      </c>
      <c r="U94" s="13" t="e">
        <f t="shared" si="22"/>
        <v>#DIV/0!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 t="s">
        <v>138</v>
      </c>
      <c r="AG94" s="12">
        <f t="shared" si="24"/>
        <v>0</v>
      </c>
      <c r="AH94" s="12">
        <f t="shared" si="25"/>
        <v>0</v>
      </c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</row>
    <row r="95" spans="1:50" x14ac:dyDescent="0.25">
      <c r="A95" s="12" t="s">
        <v>146</v>
      </c>
      <c r="B95" s="12" t="s">
        <v>38</v>
      </c>
      <c r="C95" s="12">
        <v>306</v>
      </c>
      <c r="D95" s="12"/>
      <c r="E95" s="12">
        <v>70</v>
      </c>
      <c r="F95" s="12">
        <v>215</v>
      </c>
      <c r="G95" s="6">
        <v>0.33</v>
      </c>
      <c r="H95" s="12">
        <v>45</v>
      </c>
      <c r="I95" s="12" t="s">
        <v>35</v>
      </c>
      <c r="J95" s="12"/>
      <c r="K95" s="12">
        <v>75</v>
      </c>
      <c r="L95" s="12">
        <f t="shared" si="20"/>
        <v>-5</v>
      </c>
      <c r="M95" s="12"/>
      <c r="N95" s="12"/>
      <c r="O95" s="12">
        <v>0</v>
      </c>
      <c r="P95" s="12">
        <f t="shared" si="21"/>
        <v>14</v>
      </c>
      <c r="Q95" s="4"/>
      <c r="R95" s="4">
        <f t="shared" si="26"/>
        <v>0</v>
      </c>
      <c r="S95" s="25"/>
      <c r="T95" s="12">
        <f t="shared" si="23"/>
        <v>15.357142857142858</v>
      </c>
      <c r="U95" s="12">
        <f t="shared" si="22"/>
        <v>15.357142857142858</v>
      </c>
      <c r="V95" s="12">
        <v>11.2</v>
      </c>
      <c r="W95" s="12">
        <v>10.199999999999999</v>
      </c>
      <c r="X95" s="12">
        <v>0.4</v>
      </c>
      <c r="Y95" s="12">
        <v>34</v>
      </c>
      <c r="Z95" s="12">
        <v>8.8000000000000007</v>
      </c>
      <c r="AA95" s="12">
        <v>15.2</v>
      </c>
      <c r="AB95" s="12">
        <v>10.4</v>
      </c>
      <c r="AC95" s="12">
        <v>19.8</v>
      </c>
      <c r="AD95" s="12">
        <v>18</v>
      </c>
      <c r="AE95" s="12">
        <v>14.6</v>
      </c>
      <c r="AF95" s="12"/>
      <c r="AG95" s="12">
        <f t="shared" si="24"/>
        <v>0</v>
      </c>
      <c r="AH95" s="12">
        <f t="shared" si="25"/>
        <v>4.62</v>
      </c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</row>
    <row r="96" spans="1:50" x14ac:dyDescent="0.25">
      <c r="A96" s="12" t="s">
        <v>147</v>
      </c>
      <c r="B96" s="12" t="s">
        <v>38</v>
      </c>
      <c r="C96" s="12">
        <v>679</v>
      </c>
      <c r="D96" s="12">
        <v>1</v>
      </c>
      <c r="E96" s="12">
        <v>227</v>
      </c>
      <c r="F96" s="12">
        <v>390</v>
      </c>
      <c r="G96" s="6">
        <v>0.1</v>
      </c>
      <c r="H96" s="12">
        <v>60</v>
      </c>
      <c r="I96" s="12" t="s">
        <v>35</v>
      </c>
      <c r="J96" s="12"/>
      <c r="K96" s="12">
        <v>252</v>
      </c>
      <c r="L96" s="12">
        <f t="shared" si="20"/>
        <v>-25</v>
      </c>
      <c r="M96" s="12"/>
      <c r="N96" s="12"/>
      <c r="O96" s="12">
        <v>128</v>
      </c>
      <c r="P96" s="12">
        <f t="shared" si="21"/>
        <v>45.4</v>
      </c>
      <c r="Q96" s="4">
        <f t="shared" ref="Q96" si="30">15*P96-O96-F96</f>
        <v>163</v>
      </c>
      <c r="R96" s="4">
        <f t="shared" ref="R96:R98" si="31">S96</f>
        <v>200</v>
      </c>
      <c r="S96" s="25">
        <f>VLOOKUP(A96,[1]Sheet!$A:$R,18,0)</f>
        <v>200</v>
      </c>
      <c r="T96" s="12">
        <f t="shared" si="23"/>
        <v>15.814977973568283</v>
      </c>
      <c r="U96" s="12">
        <f t="shared" si="22"/>
        <v>11.409691629955947</v>
      </c>
      <c r="V96" s="12">
        <v>49.6</v>
      </c>
      <c r="W96" s="12">
        <v>44.6</v>
      </c>
      <c r="X96" s="12">
        <v>55.6</v>
      </c>
      <c r="Y96" s="12">
        <v>37.799999999999997</v>
      </c>
      <c r="Z96" s="12">
        <v>70.8</v>
      </c>
      <c r="AA96" s="12">
        <v>55</v>
      </c>
      <c r="AB96" s="12">
        <v>45.6</v>
      </c>
      <c r="AC96" s="12">
        <v>34.799999999999997</v>
      </c>
      <c r="AD96" s="12">
        <v>53.8</v>
      </c>
      <c r="AE96" s="12">
        <v>47</v>
      </c>
      <c r="AF96" s="12"/>
      <c r="AG96" s="12">
        <f t="shared" si="24"/>
        <v>20</v>
      </c>
      <c r="AH96" s="12">
        <f t="shared" si="25"/>
        <v>4.54</v>
      </c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</row>
    <row r="97" spans="1:50" x14ac:dyDescent="0.25">
      <c r="A97" s="12" t="s">
        <v>148</v>
      </c>
      <c r="B97" s="12" t="s">
        <v>38</v>
      </c>
      <c r="C97" s="12">
        <v>418</v>
      </c>
      <c r="D97" s="12">
        <v>6</v>
      </c>
      <c r="E97" s="12">
        <v>182</v>
      </c>
      <c r="F97" s="12">
        <v>134</v>
      </c>
      <c r="G97" s="6">
        <v>0.1</v>
      </c>
      <c r="H97" s="12">
        <v>60</v>
      </c>
      <c r="I97" s="12" t="s">
        <v>35</v>
      </c>
      <c r="J97" s="12"/>
      <c r="K97" s="12">
        <v>192</v>
      </c>
      <c r="L97" s="12">
        <f t="shared" si="20"/>
        <v>-10</v>
      </c>
      <c r="M97" s="12"/>
      <c r="N97" s="12"/>
      <c r="O97" s="12">
        <v>699</v>
      </c>
      <c r="P97" s="12">
        <f t="shared" si="21"/>
        <v>36.4</v>
      </c>
      <c r="Q97" s="4"/>
      <c r="R97" s="4">
        <v>100</v>
      </c>
      <c r="S97" s="25">
        <f>VLOOKUP(A97,[1]Sheet!$A:$R,18,0)</f>
        <v>150</v>
      </c>
      <c r="T97" s="12">
        <f t="shared" si="23"/>
        <v>25.631868131868131</v>
      </c>
      <c r="U97" s="12">
        <f t="shared" si="22"/>
        <v>22.884615384615387</v>
      </c>
      <c r="V97" s="12">
        <v>72.8</v>
      </c>
      <c r="W97" s="12">
        <v>48.6</v>
      </c>
      <c r="X97" s="12">
        <v>41.2</v>
      </c>
      <c r="Y97" s="12">
        <v>59.4</v>
      </c>
      <c r="Z97" s="12">
        <v>56</v>
      </c>
      <c r="AA97" s="12">
        <v>65.8</v>
      </c>
      <c r="AB97" s="12">
        <v>74.2</v>
      </c>
      <c r="AC97" s="12">
        <v>30.6</v>
      </c>
      <c r="AD97" s="12">
        <v>63.6</v>
      </c>
      <c r="AE97" s="12">
        <v>73.599999999999994</v>
      </c>
      <c r="AF97" s="12"/>
      <c r="AG97" s="12">
        <f t="shared" si="24"/>
        <v>10</v>
      </c>
      <c r="AH97" s="12">
        <f t="shared" si="25"/>
        <v>3.64</v>
      </c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</row>
    <row r="98" spans="1:50" x14ac:dyDescent="0.25">
      <c r="A98" s="12" t="s">
        <v>149</v>
      </c>
      <c r="B98" s="12" t="s">
        <v>38</v>
      </c>
      <c r="C98" s="12">
        <v>354</v>
      </c>
      <c r="D98" s="12"/>
      <c r="E98" s="12">
        <v>122</v>
      </c>
      <c r="F98" s="12">
        <v>199</v>
      </c>
      <c r="G98" s="6">
        <v>0.4</v>
      </c>
      <c r="H98" s="12">
        <v>60</v>
      </c>
      <c r="I98" s="12" t="s">
        <v>35</v>
      </c>
      <c r="J98" s="12"/>
      <c r="K98" s="12">
        <v>125</v>
      </c>
      <c r="L98" s="12">
        <f t="shared" si="20"/>
        <v>-3</v>
      </c>
      <c r="M98" s="12"/>
      <c r="N98" s="12"/>
      <c r="O98" s="12">
        <v>169</v>
      </c>
      <c r="P98" s="12">
        <f t="shared" si="21"/>
        <v>24.4</v>
      </c>
      <c r="Q98" s="4"/>
      <c r="R98" s="4">
        <f t="shared" si="31"/>
        <v>100</v>
      </c>
      <c r="S98" s="25">
        <f>VLOOKUP(A98,[1]Sheet!$A:$R,18,0)</f>
        <v>100</v>
      </c>
      <c r="T98" s="12">
        <f t="shared" si="23"/>
        <v>19.180327868852459</v>
      </c>
      <c r="U98" s="12">
        <f t="shared" si="22"/>
        <v>15.081967213114755</v>
      </c>
      <c r="V98" s="12">
        <v>34.4</v>
      </c>
      <c r="W98" s="12">
        <v>19.399999999999999</v>
      </c>
      <c r="X98" s="12">
        <v>28.4</v>
      </c>
      <c r="Y98" s="12">
        <v>22.8</v>
      </c>
      <c r="Z98" s="12">
        <v>29.2</v>
      </c>
      <c r="AA98" s="12">
        <v>34.799999999999997</v>
      </c>
      <c r="AB98" s="12">
        <v>28.4</v>
      </c>
      <c r="AC98" s="12">
        <v>30.2</v>
      </c>
      <c r="AD98" s="12">
        <v>28.8</v>
      </c>
      <c r="AE98" s="12">
        <v>34.4</v>
      </c>
      <c r="AF98" s="12"/>
      <c r="AG98" s="12">
        <f t="shared" si="24"/>
        <v>40</v>
      </c>
      <c r="AH98" s="12">
        <f t="shared" si="25"/>
        <v>9.76</v>
      </c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</row>
    <row r="99" spans="1:50" x14ac:dyDescent="0.25">
      <c r="A99" s="13" t="s">
        <v>150</v>
      </c>
      <c r="B99" s="13" t="s">
        <v>38</v>
      </c>
      <c r="C99" s="13">
        <v>150</v>
      </c>
      <c r="D99" s="13"/>
      <c r="E99" s="13">
        <v>11</v>
      </c>
      <c r="F99" s="13">
        <v>77</v>
      </c>
      <c r="G99" s="14">
        <v>0</v>
      </c>
      <c r="H99" s="13"/>
      <c r="I99" s="16" t="s">
        <v>53</v>
      </c>
      <c r="J99" s="13"/>
      <c r="K99" s="13">
        <v>32</v>
      </c>
      <c r="L99" s="13">
        <f t="shared" si="20"/>
        <v>-21</v>
      </c>
      <c r="M99" s="13"/>
      <c r="N99" s="13"/>
      <c r="O99" s="13">
        <v>0</v>
      </c>
      <c r="P99" s="13">
        <f t="shared" si="21"/>
        <v>2.2000000000000002</v>
      </c>
      <c r="Q99" s="15"/>
      <c r="R99" s="4">
        <f t="shared" si="26"/>
        <v>0</v>
      </c>
      <c r="S99" s="25"/>
      <c r="T99" s="12">
        <f t="shared" si="23"/>
        <v>35</v>
      </c>
      <c r="U99" s="13">
        <f t="shared" si="22"/>
        <v>35</v>
      </c>
      <c r="V99" s="13">
        <v>4.5999999999999996</v>
      </c>
      <c r="W99" s="13">
        <v>6.6</v>
      </c>
      <c r="X99" s="13">
        <v>18.2</v>
      </c>
      <c r="Y99" s="13">
        <v>7.6</v>
      </c>
      <c r="Z99" s="13">
        <v>12.6</v>
      </c>
      <c r="AA99" s="13">
        <v>21.6</v>
      </c>
      <c r="AB99" s="13">
        <v>14</v>
      </c>
      <c r="AC99" s="13">
        <v>15.6</v>
      </c>
      <c r="AD99" s="13">
        <v>20</v>
      </c>
      <c r="AE99" s="13">
        <v>7</v>
      </c>
      <c r="AF99" s="13" t="s">
        <v>151</v>
      </c>
      <c r="AG99" s="12">
        <f t="shared" si="24"/>
        <v>0</v>
      </c>
      <c r="AH99" s="12">
        <f t="shared" si="25"/>
        <v>0</v>
      </c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</row>
    <row r="100" spans="1:50" x14ac:dyDescent="0.25">
      <c r="A100" s="11" t="s">
        <v>152</v>
      </c>
      <c r="B100" s="12" t="s">
        <v>34</v>
      </c>
      <c r="C100" s="12"/>
      <c r="D100" s="12">
        <v>70.831999999999994</v>
      </c>
      <c r="E100" s="12"/>
      <c r="F100" s="12">
        <v>70.403999999999996</v>
      </c>
      <c r="G100" s="6">
        <v>1</v>
      </c>
      <c r="H100" s="12">
        <v>120</v>
      </c>
      <c r="I100" s="11" t="s">
        <v>35</v>
      </c>
      <c r="J100" s="12"/>
      <c r="K100" s="12"/>
      <c r="L100" s="12">
        <f t="shared" si="20"/>
        <v>0</v>
      </c>
      <c r="M100" s="12"/>
      <c r="N100" s="12"/>
      <c r="O100" s="12"/>
      <c r="P100" s="12">
        <f t="shared" si="21"/>
        <v>0</v>
      </c>
      <c r="Q100" s="4"/>
      <c r="R100" s="4">
        <f t="shared" si="26"/>
        <v>0</v>
      </c>
      <c r="S100" s="25"/>
      <c r="T100" s="12" t="e">
        <f t="shared" si="23"/>
        <v>#DIV/0!</v>
      </c>
      <c r="U100" s="12" t="e">
        <f t="shared" si="22"/>
        <v>#DIV/0!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1" t="s">
        <v>153</v>
      </c>
      <c r="AG100" s="12">
        <f t="shared" si="24"/>
        <v>0</v>
      </c>
      <c r="AH100" s="12">
        <f t="shared" si="25"/>
        <v>0</v>
      </c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</row>
    <row r="101" spans="1:50" x14ac:dyDescent="0.25">
      <c r="A101" s="12" t="s">
        <v>154</v>
      </c>
      <c r="B101" s="12" t="s">
        <v>38</v>
      </c>
      <c r="C101" s="12"/>
      <c r="D101" s="12">
        <v>50</v>
      </c>
      <c r="E101" s="12">
        <v>49</v>
      </c>
      <c r="F101" s="12">
        <v>-1</v>
      </c>
      <c r="G101" s="6">
        <v>0.3</v>
      </c>
      <c r="H101" s="12">
        <v>45</v>
      </c>
      <c r="I101" s="12" t="s">
        <v>35</v>
      </c>
      <c r="J101" s="12"/>
      <c r="K101" s="12">
        <v>174</v>
      </c>
      <c r="L101" s="12">
        <f t="shared" si="20"/>
        <v>-125</v>
      </c>
      <c r="M101" s="12"/>
      <c r="N101" s="12"/>
      <c r="O101" s="12">
        <v>200</v>
      </c>
      <c r="P101" s="12">
        <f t="shared" si="21"/>
        <v>9.8000000000000007</v>
      </c>
      <c r="Q101" s="4">
        <v>100</v>
      </c>
      <c r="R101" s="4">
        <v>250</v>
      </c>
      <c r="S101" s="25">
        <f>VLOOKUP(A101,[1]Sheet!$A:$R,18,0)</f>
        <v>400</v>
      </c>
      <c r="T101" s="12">
        <f t="shared" si="23"/>
        <v>45.816326530612244</v>
      </c>
      <c r="U101" s="12">
        <f t="shared" si="22"/>
        <v>20.30612244897959</v>
      </c>
      <c r="V101" s="12">
        <v>0</v>
      </c>
      <c r="W101" s="12">
        <v>16</v>
      </c>
      <c r="X101" s="12">
        <v>16</v>
      </c>
      <c r="Y101" s="12">
        <v>0</v>
      </c>
      <c r="Z101" s="12">
        <v>8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 t="s">
        <v>155</v>
      </c>
      <c r="AG101" s="12">
        <f t="shared" si="24"/>
        <v>75</v>
      </c>
      <c r="AH101" s="12">
        <f t="shared" si="25"/>
        <v>2.94</v>
      </c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</row>
    <row r="102" spans="1:50" x14ac:dyDescent="0.25">
      <c r="A102" s="12" t="s">
        <v>71</v>
      </c>
      <c r="B102" s="12" t="s">
        <v>38</v>
      </c>
      <c r="C102" s="12">
        <v>376</v>
      </c>
      <c r="D102" s="12">
        <v>273</v>
      </c>
      <c r="E102" s="17">
        <f>90+E32</f>
        <v>210</v>
      </c>
      <c r="F102" s="17">
        <f>305+F32</f>
        <v>292</v>
      </c>
      <c r="G102" s="6">
        <v>0.3</v>
      </c>
      <c r="H102" s="12">
        <v>62</v>
      </c>
      <c r="I102" s="12" t="s">
        <v>35</v>
      </c>
      <c r="J102" s="12"/>
      <c r="K102" s="12">
        <v>102</v>
      </c>
      <c r="L102" s="12">
        <f t="shared" ref="L102:L105" si="32">E102-K102</f>
        <v>108</v>
      </c>
      <c r="M102" s="12"/>
      <c r="N102" s="12"/>
      <c r="O102" s="12">
        <v>216</v>
      </c>
      <c r="P102" s="12">
        <f t="shared" si="21"/>
        <v>42</v>
      </c>
      <c r="Q102" s="4">
        <f t="shared" ref="Q102" si="33">15*P102-O102-F102</f>
        <v>122</v>
      </c>
      <c r="R102" s="4">
        <f t="shared" si="26"/>
        <v>122</v>
      </c>
      <c r="S102" s="25"/>
      <c r="T102" s="12">
        <f t="shared" si="23"/>
        <v>15</v>
      </c>
      <c r="U102" s="12">
        <f t="shared" si="22"/>
        <v>12.095238095238095</v>
      </c>
      <c r="V102" s="12">
        <v>31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 t="s">
        <v>156</v>
      </c>
      <c r="AG102" s="12">
        <f t="shared" si="24"/>
        <v>36.6</v>
      </c>
      <c r="AH102" s="12">
        <f t="shared" si="25"/>
        <v>12.6</v>
      </c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</row>
    <row r="103" spans="1:50" x14ac:dyDescent="0.25">
      <c r="A103" s="12" t="s">
        <v>157</v>
      </c>
      <c r="B103" s="12" t="s">
        <v>38</v>
      </c>
      <c r="C103" s="12">
        <v>175</v>
      </c>
      <c r="D103" s="12">
        <v>3</v>
      </c>
      <c r="E103" s="12">
        <v>23</v>
      </c>
      <c r="F103" s="12">
        <v>145</v>
      </c>
      <c r="G103" s="6">
        <v>0.1</v>
      </c>
      <c r="H103" s="12">
        <v>45</v>
      </c>
      <c r="I103" s="12" t="s">
        <v>35</v>
      </c>
      <c r="J103" s="12"/>
      <c r="K103" s="12">
        <v>32</v>
      </c>
      <c r="L103" s="12">
        <f t="shared" si="32"/>
        <v>-9</v>
      </c>
      <c r="M103" s="12"/>
      <c r="N103" s="12"/>
      <c r="O103" s="12">
        <v>0</v>
      </c>
      <c r="P103" s="12">
        <f t="shared" si="21"/>
        <v>4.5999999999999996</v>
      </c>
      <c r="Q103" s="4"/>
      <c r="R103" s="4">
        <f t="shared" si="26"/>
        <v>0</v>
      </c>
      <c r="S103" s="25"/>
      <c r="T103" s="12">
        <f t="shared" si="23"/>
        <v>31.521739130434785</v>
      </c>
      <c r="U103" s="12">
        <f t="shared" si="22"/>
        <v>31.521739130434785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23" t="s">
        <v>161</v>
      </c>
      <c r="AG103" s="12">
        <f t="shared" si="24"/>
        <v>0</v>
      </c>
      <c r="AH103" s="12">
        <f t="shared" si="25"/>
        <v>0.45999999999999996</v>
      </c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</row>
    <row r="104" spans="1:50" x14ac:dyDescent="0.25">
      <c r="A104" s="12" t="s">
        <v>158</v>
      </c>
      <c r="B104" s="12" t="s">
        <v>38</v>
      </c>
      <c r="C104" s="12"/>
      <c r="D104" s="12">
        <v>31</v>
      </c>
      <c r="E104" s="12">
        <v>30</v>
      </c>
      <c r="F104" s="12">
        <v>-3</v>
      </c>
      <c r="G104" s="6">
        <v>0.1</v>
      </c>
      <c r="H104" s="12"/>
      <c r="I104" s="11" t="s">
        <v>35</v>
      </c>
      <c r="J104" s="12"/>
      <c r="K104" s="12">
        <v>32</v>
      </c>
      <c r="L104" s="12">
        <f t="shared" si="32"/>
        <v>-2</v>
      </c>
      <c r="M104" s="12"/>
      <c r="N104" s="12"/>
      <c r="O104" s="12"/>
      <c r="P104" s="12">
        <f t="shared" si="21"/>
        <v>6</v>
      </c>
      <c r="Q104" s="4">
        <f>8*P104-O104-F104</f>
        <v>51</v>
      </c>
      <c r="R104" s="4">
        <f>S104</f>
        <v>90</v>
      </c>
      <c r="S104" s="25">
        <f>VLOOKUP(A104,[1]Sheet!$A:$R,18,0)</f>
        <v>90</v>
      </c>
      <c r="T104" s="12">
        <f t="shared" si="23"/>
        <v>14.5</v>
      </c>
      <c r="U104" s="12">
        <f t="shared" si="22"/>
        <v>-0.5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1" t="s">
        <v>159</v>
      </c>
      <c r="AG104" s="12">
        <f t="shared" si="24"/>
        <v>9</v>
      </c>
      <c r="AH104" s="12">
        <f t="shared" si="25"/>
        <v>0.60000000000000009</v>
      </c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</row>
    <row r="105" spans="1:50" x14ac:dyDescent="0.25">
      <c r="A105" s="12" t="s">
        <v>160</v>
      </c>
      <c r="B105" s="12" t="s">
        <v>34</v>
      </c>
      <c r="C105" s="12">
        <v>85.825999999999993</v>
      </c>
      <c r="D105" s="12">
        <v>74.222999999999999</v>
      </c>
      <c r="E105" s="12">
        <v>70.305000000000007</v>
      </c>
      <c r="F105" s="12">
        <v>68.254999999999995</v>
      </c>
      <c r="G105" s="6">
        <v>1</v>
      </c>
      <c r="H105" s="12">
        <v>60</v>
      </c>
      <c r="I105" s="12" t="s">
        <v>35</v>
      </c>
      <c r="J105" s="12"/>
      <c r="K105" s="12">
        <v>69.400000000000006</v>
      </c>
      <c r="L105" s="12">
        <f t="shared" si="32"/>
        <v>0.90500000000000114</v>
      </c>
      <c r="M105" s="12"/>
      <c r="N105" s="12"/>
      <c r="O105" s="12">
        <v>0</v>
      </c>
      <c r="P105" s="12">
        <f t="shared" si="21"/>
        <v>14.061000000000002</v>
      </c>
      <c r="Q105" s="4">
        <f>13*P105-O105-F105</f>
        <v>114.53800000000004</v>
      </c>
      <c r="R105" s="4">
        <f t="shared" si="26"/>
        <v>115</v>
      </c>
      <c r="S105" s="25"/>
      <c r="T105" s="12">
        <f t="shared" si="23"/>
        <v>13.032856838062726</v>
      </c>
      <c r="U105" s="12">
        <f t="shared" si="22"/>
        <v>4.8542066709337872</v>
      </c>
      <c r="V105" s="12">
        <v>7.5952000000000002</v>
      </c>
      <c r="W105" s="12">
        <v>13.036799999999999</v>
      </c>
      <c r="X105" s="12">
        <v>2.9236</v>
      </c>
      <c r="Y105" s="12">
        <v>5.2995999999999999</v>
      </c>
      <c r="Z105" s="12">
        <v>4.2118000000000002</v>
      </c>
      <c r="AA105" s="12">
        <v>5.5704000000000002</v>
      </c>
      <c r="AB105" s="12">
        <v>1.3280000000000001</v>
      </c>
      <c r="AC105" s="12">
        <v>0</v>
      </c>
      <c r="AD105" s="12">
        <v>0</v>
      </c>
      <c r="AE105" s="12">
        <v>0</v>
      </c>
      <c r="AF105" s="12"/>
      <c r="AG105" s="12">
        <f t="shared" si="24"/>
        <v>115</v>
      </c>
      <c r="AH105" s="12">
        <f t="shared" si="25"/>
        <v>14.061000000000002</v>
      </c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</row>
    <row r="106" spans="1:50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</row>
    <row r="107" spans="1:50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</row>
    <row r="108" spans="1:50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</row>
    <row r="109" spans="1:50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</row>
    <row r="110" spans="1:50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</row>
    <row r="111" spans="1:50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</row>
    <row r="112" spans="1:50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</row>
    <row r="113" spans="1:50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</row>
    <row r="114" spans="1:50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</row>
    <row r="115" spans="1:50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</row>
    <row r="116" spans="1:50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</row>
    <row r="117" spans="1:50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</row>
    <row r="118" spans="1:50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</row>
    <row r="119" spans="1:50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</row>
    <row r="120" spans="1:50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</row>
    <row r="121" spans="1:50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</row>
    <row r="122" spans="1:50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</row>
    <row r="123" spans="1:50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</row>
    <row r="124" spans="1:50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</row>
    <row r="125" spans="1:50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</row>
    <row r="126" spans="1:50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</row>
    <row r="127" spans="1:50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</row>
    <row r="128" spans="1:50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</row>
    <row r="129" spans="1:50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</row>
    <row r="130" spans="1:50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</row>
    <row r="131" spans="1:50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</row>
    <row r="132" spans="1:50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</row>
    <row r="133" spans="1:50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</row>
    <row r="134" spans="1:50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</row>
    <row r="135" spans="1:50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</row>
    <row r="136" spans="1:50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</row>
    <row r="137" spans="1:50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</row>
    <row r="138" spans="1:50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</row>
    <row r="139" spans="1:50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</row>
    <row r="140" spans="1:50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</row>
    <row r="141" spans="1:50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</row>
    <row r="142" spans="1:50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</row>
    <row r="143" spans="1:50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</row>
    <row r="144" spans="1:50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</row>
    <row r="145" spans="1:50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</row>
    <row r="146" spans="1:50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</row>
    <row r="147" spans="1:50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</row>
    <row r="148" spans="1:50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</row>
    <row r="149" spans="1:50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</row>
    <row r="150" spans="1:50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</row>
    <row r="151" spans="1:50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</row>
    <row r="152" spans="1:50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</row>
    <row r="153" spans="1:50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</row>
    <row r="154" spans="1:50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</row>
    <row r="155" spans="1:50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</row>
    <row r="156" spans="1:50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</row>
    <row r="157" spans="1:50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</row>
    <row r="158" spans="1:50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</row>
    <row r="159" spans="1:50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</row>
    <row r="160" spans="1:50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</row>
    <row r="161" spans="1:50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</row>
    <row r="162" spans="1:50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</row>
    <row r="163" spans="1:50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</row>
    <row r="164" spans="1:50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</row>
    <row r="165" spans="1:50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</row>
    <row r="166" spans="1:50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</row>
    <row r="167" spans="1:50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</row>
    <row r="168" spans="1:50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</row>
    <row r="169" spans="1:50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</row>
    <row r="170" spans="1:50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</row>
    <row r="171" spans="1:50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</row>
    <row r="172" spans="1:50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</row>
    <row r="173" spans="1:50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</row>
    <row r="174" spans="1:50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</row>
    <row r="175" spans="1:50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</row>
    <row r="176" spans="1:50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</row>
    <row r="177" spans="1:50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</row>
    <row r="178" spans="1:50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</row>
    <row r="179" spans="1:50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</row>
    <row r="180" spans="1:50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</row>
    <row r="181" spans="1:50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</row>
    <row r="182" spans="1:50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</row>
    <row r="183" spans="1:50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</row>
    <row r="184" spans="1:50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</row>
    <row r="185" spans="1:50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</row>
    <row r="186" spans="1:50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</row>
    <row r="187" spans="1:50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</row>
    <row r="188" spans="1:50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</row>
    <row r="189" spans="1:50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</row>
    <row r="190" spans="1:50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</row>
    <row r="191" spans="1:50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</row>
    <row r="192" spans="1:50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</row>
    <row r="193" spans="1:50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</row>
    <row r="194" spans="1:50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</row>
    <row r="195" spans="1:50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</row>
    <row r="196" spans="1:50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</row>
    <row r="197" spans="1:50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</row>
    <row r="198" spans="1:50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</row>
    <row r="199" spans="1:50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</row>
    <row r="200" spans="1:50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</row>
    <row r="201" spans="1:50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</row>
    <row r="202" spans="1:50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</row>
    <row r="203" spans="1:50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</row>
    <row r="204" spans="1:50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</row>
    <row r="205" spans="1:50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</row>
    <row r="206" spans="1:50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</row>
    <row r="207" spans="1:50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</row>
    <row r="208" spans="1:50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</row>
    <row r="209" spans="1:50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</row>
    <row r="210" spans="1:50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</row>
    <row r="211" spans="1:50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</row>
    <row r="212" spans="1:50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</row>
    <row r="213" spans="1:50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</row>
    <row r="214" spans="1:50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</row>
    <row r="215" spans="1:50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</row>
    <row r="216" spans="1:50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</row>
    <row r="217" spans="1:50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</row>
    <row r="218" spans="1:50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</row>
    <row r="219" spans="1:50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</row>
    <row r="220" spans="1:50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</row>
    <row r="221" spans="1:50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</row>
    <row r="222" spans="1:50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</row>
    <row r="223" spans="1:50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</row>
    <row r="224" spans="1:50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</row>
    <row r="225" spans="1:50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</row>
    <row r="226" spans="1:50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</row>
    <row r="227" spans="1:50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</row>
    <row r="228" spans="1:50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</row>
    <row r="229" spans="1:50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</row>
    <row r="230" spans="1:50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</row>
    <row r="231" spans="1:50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</row>
    <row r="232" spans="1:50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</row>
    <row r="233" spans="1:50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</row>
    <row r="234" spans="1:50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</row>
    <row r="235" spans="1:50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</row>
    <row r="236" spans="1:50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</row>
    <row r="237" spans="1:50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</row>
    <row r="238" spans="1:50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</row>
    <row r="239" spans="1:50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</row>
    <row r="240" spans="1:50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</row>
    <row r="241" spans="1:50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</row>
    <row r="242" spans="1:50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</row>
    <row r="243" spans="1:50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</row>
    <row r="244" spans="1:50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</row>
    <row r="245" spans="1:50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</row>
    <row r="246" spans="1:50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</row>
    <row r="247" spans="1:50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</row>
    <row r="248" spans="1:50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</row>
    <row r="249" spans="1:50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</row>
    <row r="250" spans="1:50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</row>
    <row r="251" spans="1:50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</row>
    <row r="252" spans="1:50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</row>
    <row r="253" spans="1:50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</row>
    <row r="254" spans="1:50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</row>
    <row r="255" spans="1:50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</row>
    <row r="256" spans="1:50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</row>
    <row r="257" spans="1:50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</row>
    <row r="258" spans="1:50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</row>
    <row r="259" spans="1:50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</row>
    <row r="260" spans="1:50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</row>
    <row r="261" spans="1:50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</row>
    <row r="262" spans="1:50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</row>
    <row r="263" spans="1:50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</row>
    <row r="264" spans="1:50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</row>
    <row r="265" spans="1:50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</row>
    <row r="266" spans="1:50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</row>
    <row r="267" spans="1:50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</row>
    <row r="268" spans="1:50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</row>
    <row r="269" spans="1:50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</row>
    <row r="270" spans="1:50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</row>
    <row r="271" spans="1:50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</row>
    <row r="272" spans="1:50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</row>
    <row r="273" spans="1:50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</row>
    <row r="274" spans="1:50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</row>
    <row r="275" spans="1:50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</row>
    <row r="276" spans="1:50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</row>
    <row r="277" spans="1:50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</row>
    <row r="278" spans="1:50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</row>
    <row r="279" spans="1:50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</row>
    <row r="280" spans="1:50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</row>
    <row r="281" spans="1:50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</row>
    <row r="282" spans="1:50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</row>
    <row r="283" spans="1:50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</row>
    <row r="284" spans="1:50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</row>
    <row r="285" spans="1:50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</row>
    <row r="286" spans="1:50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</row>
    <row r="287" spans="1:50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</row>
    <row r="288" spans="1:50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</row>
    <row r="289" spans="1:50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</row>
    <row r="290" spans="1:50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</row>
    <row r="291" spans="1:50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</row>
    <row r="292" spans="1:50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</row>
    <row r="293" spans="1:50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</row>
    <row r="294" spans="1:50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</row>
    <row r="295" spans="1:50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</row>
    <row r="296" spans="1:50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</row>
    <row r="297" spans="1:50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</row>
    <row r="298" spans="1:50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</row>
    <row r="299" spans="1:50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</row>
    <row r="300" spans="1:50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</row>
    <row r="301" spans="1:50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</row>
    <row r="302" spans="1:50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</row>
    <row r="303" spans="1:50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</row>
    <row r="304" spans="1:50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</row>
    <row r="305" spans="1:50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</row>
    <row r="306" spans="1:50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</row>
    <row r="307" spans="1:50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</row>
    <row r="308" spans="1:50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</row>
    <row r="309" spans="1:50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</row>
    <row r="310" spans="1:50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</row>
    <row r="311" spans="1:50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</row>
    <row r="312" spans="1:50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</row>
    <row r="313" spans="1:50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</row>
    <row r="314" spans="1:50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</row>
    <row r="315" spans="1:50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</row>
    <row r="316" spans="1:50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</row>
    <row r="317" spans="1:50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</row>
    <row r="318" spans="1:50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</row>
    <row r="319" spans="1:50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</row>
    <row r="320" spans="1:50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</row>
    <row r="321" spans="1:50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</row>
    <row r="322" spans="1:50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</row>
    <row r="323" spans="1:50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</row>
    <row r="324" spans="1:50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</row>
    <row r="325" spans="1:50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</row>
    <row r="326" spans="1:50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</row>
    <row r="327" spans="1:50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</row>
    <row r="328" spans="1:50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</row>
    <row r="329" spans="1:50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</row>
    <row r="330" spans="1:50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</row>
    <row r="331" spans="1:50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</row>
    <row r="332" spans="1:50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</row>
    <row r="333" spans="1:50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</row>
    <row r="334" spans="1:50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</row>
    <row r="335" spans="1:50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</row>
    <row r="336" spans="1:50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</row>
    <row r="337" spans="1:50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</row>
    <row r="338" spans="1:50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</row>
    <row r="339" spans="1:50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</row>
    <row r="340" spans="1:50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</row>
    <row r="341" spans="1:50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</row>
    <row r="342" spans="1:50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</row>
    <row r="343" spans="1:50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</row>
    <row r="344" spans="1:50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</row>
    <row r="345" spans="1:50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</row>
    <row r="346" spans="1:50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</row>
    <row r="347" spans="1:50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</row>
    <row r="348" spans="1:50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</row>
    <row r="349" spans="1:50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</row>
    <row r="350" spans="1:50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</row>
    <row r="351" spans="1:50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</row>
    <row r="352" spans="1:50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</row>
    <row r="353" spans="1:50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</row>
    <row r="354" spans="1:50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</row>
    <row r="355" spans="1:50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</row>
    <row r="356" spans="1:50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</row>
    <row r="357" spans="1:50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</row>
    <row r="358" spans="1:50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</row>
    <row r="359" spans="1:50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</row>
    <row r="360" spans="1:50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</row>
    <row r="361" spans="1:50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</row>
    <row r="362" spans="1:50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</row>
    <row r="363" spans="1:50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</row>
    <row r="364" spans="1:50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</row>
    <row r="365" spans="1:50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</row>
    <row r="366" spans="1:50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</row>
    <row r="367" spans="1:50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</row>
    <row r="368" spans="1:50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</row>
    <row r="369" spans="1:50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</row>
    <row r="370" spans="1:50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</row>
    <row r="371" spans="1:50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</row>
    <row r="372" spans="1:50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</row>
    <row r="373" spans="1:50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</row>
    <row r="374" spans="1:50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</row>
    <row r="375" spans="1:50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</row>
    <row r="376" spans="1:50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</row>
    <row r="377" spans="1:50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</row>
    <row r="378" spans="1:50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</row>
    <row r="379" spans="1:50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</row>
    <row r="380" spans="1:50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</row>
    <row r="381" spans="1:50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</row>
    <row r="382" spans="1:50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</row>
    <row r="383" spans="1:50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</row>
    <row r="384" spans="1:50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</row>
    <row r="385" spans="1:50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</row>
    <row r="386" spans="1:50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</row>
    <row r="387" spans="1:50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</row>
    <row r="388" spans="1:50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</row>
    <row r="389" spans="1:50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</row>
    <row r="390" spans="1:50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</row>
    <row r="391" spans="1:50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</row>
    <row r="392" spans="1:50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</row>
    <row r="393" spans="1:50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</row>
    <row r="394" spans="1:50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</row>
    <row r="395" spans="1:50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</row>
    <row r="396" spans="1:50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</row>
    <row r="397" spans="1:50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</row>
    <row r="398" spans="1:50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</row>
    <row r="399" spans="1:50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</row>
    <row r="400" spans="1:50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</row>
    <row r="401" spans="1:50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</row>
    <row r="402" spans="1:50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</row>
    <row r="403" spans="1:50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</row>
    <row r="404" spans="1:50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</row>
    <row r="405" spans="1:50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</row>
    <row r="406" spans="1:50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</row>
    <row r="407" spans="1:50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</row>
    <row r="408" spans="1:50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</row>
    <row r="409" spans="1:50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</row>
    <row r="410" spans="1:50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</row>
    <row r="411" spans="1:50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</row>
    <row r="412" spans="1:50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</row>
    <row r="413" spans="1:50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</row>
    <row r="414" spans="1:50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</row>
    <row r="415" spans="1:50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</row>
    <row r="416" spans="1:50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</row>
    <row r="417" spans="1:50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</row>
    <row r="418" spans="1:50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</row>
    <row r="419" spans="1:50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</row>
    <row r="420" spans="1:50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</row>
    <row r="421" spans="1:50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</row>
    <row r="422" spans="1:50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</row>
    <row r="423" spans="1:50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</row>
    <row r="424" spans="1:50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</row>
    <row r="425" spans="1:50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</row>
    <row r="426" spans="1:50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</row>
    <row r="427" spans="1:50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</row>
    <row r="428" spans="1:50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</row>
    <row r="429" spans="1:50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</row>
    <row r="430" spans="1:50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</row>
    <row r="431" spans="1:50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</row>
    <row r="432" spans="1:50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</row>
    <row r="433" spans="1:50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</row>
    <row r="434" spans="1:50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</row>
    <row r="435" spans="1:50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</row>
    <row r="436" spans="1:50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</row>
    <row r="437" spans="1:50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</row>
    <row r="438" spans="1:50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</row>
    <row r="439" spans="1:50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</row>
    <row r="440" spans="1:50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</row>
    <row r="441" spans="1:50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</row>
    <row r="442" spans="1:50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</row>
    <row r="443" spans="1:50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</row>
    <row r="444" spans="1:50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</row>
    <row r="445" spans="1:50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</row>
    <row r="446" spans="1:50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</row>
    <row r="447" spans="1:50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</row>
    <row r="448" spans="1:50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</row>
    <row r="449" spans="1:50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</row>
    <row r="450" spans="1:50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</row>
    <row r="451" spans="1:50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</row>
    <row r="452" spans="1:50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</row>
    <row r="453" spans="1:50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</row>
    <row r="454" spans="1:50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</row>
    <row r="455" spans="1:50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</row>
    <row r="456" spans="1:50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</row>
    <row r="457" spans="1:50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</row>
    <row r="458" spans="1:50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</row>
    <row r="459" spans="1:50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</row>
    <row r="460" spans="1:50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</row>
    <row r="461" spans="1:50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</row>
    <row r="462" spans="1:50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</row>
    <row r="463" spans="1:50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</row>
    <row r="464" spans="1:50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</row>
    <row r="465" spans="1:50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</row>
    <row r="466" spans="1:50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</row>
    <row r="467" spans="1:50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</row>
    <row r="468" spans="1:50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</row>
    <row r="469" spans="1:50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</row>
    <row r="470" spans="1:50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</row>
    <row r="471" spans="1:50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</row>
    <row r="472" spans="1:50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</row>
    <row r="473" spans="1:50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</row>
    <row r="474" spans="1:50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</row>
    <row r="475" spans="1:50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</row>
    <row r="476" spans="1:50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</row>
    <row r="477" spans="1:50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</row>
    <row r="478" spans="1:50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</row>
    <row r="479" spans="1:50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</row>
    <row r="480" spans="1:50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</row>
    <row r="481" spans="1:50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</row>
    <row r="482" spans="1:50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</row>
    <row r="483" spans="1:50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</row>
    <row r="484" spans="1:50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</row>
    <row r="485" spans="1:50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</row>
    <row r="486" spans="1:50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</row>
    <row r="487" spans="1:50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</row>
    <row r="488" spans="1:50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</row>
    <row r="489" spans="1:50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</row>
    <row r="490" spans="1:50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</row>
    <row r="491" spans="1:50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</row>
    <row r="492" spans="1:50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</row>
    <row r="493" spans="1:50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</row>
    <row r="494" spans="1:50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</row>
    <row r="495" spans="1:50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</row>
    <row r="496" spans="1:50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</row>
  </sheetData>
  <autoFilter ref="A3:AG105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2026-10-19T13:39:56Z</dcterms:created>
  <dcterms:modified xsi:type="dcterms:W3CDTF">2026-10-22T12:07:12Z</dcterms:modified>
</cp:coreProperties>
</file>