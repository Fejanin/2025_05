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ладелец\Desktop\Заказы ЛП\"/>
    </mc:Choice>
  </mc:AlternateContent>
  <bookViews>
    <workbookView xWindow="0" yWindow="0" windowWidth="22992" windowHeight="8736"/>
  </bookViews>
  <sheets>
    <sheet name="Sheet" sheetId="1" r:id="rId1"/>
  </sheets>
  <calcPr calcId="162913" refMode="R1C1"/>
</workbook>
</file>

<file path=xl/calcChain.xml><?xml version="1.0" encoding="utf-8"?>
<calcChain xmlns="http://schemas.openxmlformats.org/spreadsheetml/2006/main">
  <c r="Q6" i="1" l="1"/>
  <c r="Q7" i="1"/>
  <c r="Q8" i="1"/>
  <c r="Q9" i="1"/>
  <c r="Q10" i="1" l="1"/>
  <c r="Q11" i="1"/>
  <c r="Q12" i="1"/>
  <c r="S12" i="1" s="1"/>
  <c r="Q13" i="1"/>
  <c r="S13" i="1" s="1"/>
  <c r="S14" i="1"/>
  <c r="Q15" i="1"/>
  <c r="S7" i="1"/>
  <c r="T7" i="1"/>
  <c r="S8" i="1"/>
  <c r="T8" i="1"/>
  <c r="S9" i="1"/>
  <c r="T9" i="1"/>
  <c r="S10" i="1"/>
  <c r="T10" i="1"/>
  <c r="S11" i="1"/>
  <c r="T11" i="1"/>
  <c r="T12" i="1"/>
  <c r="T13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T6" i="1"/>
  <c r="S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6" i="1"/>
  <c r="AG16" i="1" l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D5" i="1"/>
  <c r="AC5" i="1"/>
  <c r="AB5" i="1"/>
  <c r="AA5" i="1"/>
  <c r="Z5" i="1"/>
  <c r="Y5" i="1"/>
  <c r="X5" i="1"/>
  <c r="W5" i="1"/>
  <c r="V5" i="1"/>
  <c r="U5" i="1"/>
  <c r="Q5" i="1"/>
  <c r="P5" i="1"/>
  <c r="O5" i="1"/>
  <c r="N5" i="1"/>
  <c r="M5" i="1"/>
  <c r="K5" i="1"/>
  <c r="F5" i="1"/>
  <c r="E5" i="1"/>
  <c r="L5" i="1" l="1"/>
  <c r="AG5" i="1"/>
</calcChain>
</file>

<file path=xl/sharedStrings.xml><?xml version="1.0" encoding="utf-8"?>
<sst xmlns="http://schemas.openxmlformats.org/spreadsheetml/2006/main" count="116" uniqueCount="57">
  <si>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</si>
  <si>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</si>
  <si>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</si>
  <si>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</si>
  <si>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</si>
  <si>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</si>
  <si>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</si>
  <si>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</si>
  <si>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</si>
  <si>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</si>
  <si>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</si>
  <si>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</si>
  <si>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</si>
  <si>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</si>
  <si>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</si>
  <si>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</si>
  <si>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</si>
  <si>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</si>
  <si>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</si>
  <si>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</si>
  <si>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</si>
  <si>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</si>
  <si>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</si>
  <si>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</si>
  <si>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</si>
  <si>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</si>
  <si>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</si>
  <si>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</si>
  <si>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</si>
  <si>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</si>
  <si>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</si>
  <si>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</si>
  <si>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</si>
  <si>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</si>
  <si>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</si>
  <si>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</si>
  <si>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</si>
  <si>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</si>
  <si>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</si>
  <si>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</si>
  <si>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</si>
  <si>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</si>
  <si>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</si>
  <si>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</si>
  <si>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</si>
  <si>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</si>
  <si>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</si>
  <si>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</si>
  <si>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</si>
  <si>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</si>
  <si>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</si>
  <si>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</si>
  <si>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</si>
  <si>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</si>
  <si>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7224 МЯСНЫЕ ПРЕМИУМ пельм кор.0,4кг зам  ОСТАНКИНО</t>
  </si>
  <si>
    <t>7375 СОЧНЫЕ Папа Может пельм 4кг зам  ОСТАНКИНО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</si>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</sst>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164" fontId="1" fillId="0" borderId="3" xfId="1" applyNumberFormat="1" applyBorder="1"/>
    <xf numFmtId="164" fontId="1" fillId="0" borderId="2" xfId="1" applyNumberFormat="1" applyBorder="1"/>
    <xf numFmtId="164" fontId="1" fillId="4" borderId="3" xfId="1" applyNumberFormat="1" applyFill="1" applyBorder="1"/>
    <xf numFmtId="164" fontId="1" fillId="4" borderId="2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8"/>
  <sheetViews>
    <sheetView tabSelected="1" zoomScale="85" workbookViewId="0">
      <pane xSplit="2" ySplit="5" topLeftCell="K6" activePane="bottomRight" state="frozen"/>
      <selection pane="topRight"/>
      <selection pane="bottomLeft"/>
      <selection pane="bottomRight" activeCell="AE29" sqref="AE29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33203125" customWidth="1"/>
    <col min="10" max="10" width="1" customWidth="1"/>
    <col min="11" max="12" width="7" customWidth="1"/>
    <col min="13" max="14" width="0.44140625" customWidth="1"/>
    <col min="15" max="18" width="7" customWidth="1"/>
    <col min="19" max="20" width="5" customWidth="1"/>
    <col min="21" max="30" width="6" customWidth="1"/>
    <col min="31" max="31" width="21.44140625" customWidth="1"/>
    <col min="32" max="32" width="40" customWidth="1"/>
    <col min="33" max="33" width="7" customWidth="1"/>
    <col min="34" max="50" width="8" customWidth="1"/>
  </cols>
  <sheetData>
    <row r="1" spans="1:50" x14ac:dyDescent="0.3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/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SUM(E6:E498)</f>
        <v>1262.5</v>
      </c>
      <c r="F5" s="4">
        <f>SUM(F6:F498)</f>
        <v>1485.2</v>
      </c>
      <c r="G5" s="6"/>
      <c r="H5" s="1"/>
      <c r="I5" s="1"/>
      <c r="J5" s="1"/>
      <c r="K5" s="4">
        <f t="shared" ref="K5:Q5" si="0">SUM(K6:K498)</f>
        <v>1301.5</v>
      </c>
      <c r="L5" s="4">
        <f t="shared" si="0"/>
        <v>-39</v>
      </c>
      <c r="M5" s="4">
        <f t="shared" si="0"/>
        <v>0</v>
      </c>
      <c r="N5" s="4">
        <f t="shared" si="0"/>
        <v>0</v>
      </c>
      <c r="O5" s="4">
        <f t="shared" si="0"/>
        <v>1590</v>
      </c>
      <c r="P5" s="4">
        <f t="shared" si="0"/>
        <v>252.5</v>
      </c>
      <c r="Q5" s="4">
        <f t="shared" si="0"/>
        <v>968.3</v>
      </c>
      <c r="R5" s="4"/>
      <c r="S5" s="1"/>
      <c r="T5" s="1"/>
      <c r="U5" s="4">
        <f t="shared" ref="U5:AD5" si="1">SUM(U6:U498)</f>
        <v>284</v>
      </c>
      <c r="V5" s="4">
        <f t="shared" si="1"/>
        <v>272.30000000000007</v>
      </c>
      <c r="W5" s="4">
        <f t="shared" si="1"/>
        <v>225.3</v>
      </c>
      <c r="X5" s="4">
        <f t="shared" si="1"/>
        <v>190.80839999999998</v>
      </c>
      <c r="Y5" s="4">
        <f t="shared" si="1"/>
        <v>179.7</v>
      </c>
      <c r="Z5" s="4">
        <f t="shared" si="1"/>
        <v>142</v>
      </c>
      <c r="AA5" s="4">
        <f t="shared" si="1"/>
        <v>124</v>
      </c>
      <c r="AB5" s="4">
        <f t="shared" si="1"/>
        <v>108.7</v>
      </c>
      <c r="AC5" s="4">
        <f t="shared" si="1"/>
        <v>116.10000000000002</v>
      </c>
      <c r="AD5" s="4">
        <f t="shared" si="1"/>
        <v>104.89999999999999</v>
      </c>
      <c r="AE5" s="4"/>
      <c r="AF5" s="1"/>
      <c r="AG5" s="4">
        <f>SUM(AG6:AG498)</f>
        <v>351.49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33</v>
      </c>
      <c r="B6" s="1" t="s">
        <v>34</v>
      </c>
      <c r="C6" s="1">
        <v>34</v>
      </c>
      <c r="D6" s="1"/>
      <c r="E6" s="1">
        <v>21</v>
      </c>
      <c r="F6" s="1">
        <v>13</v>
      </c>
      <c r="G6" s="6">
        <v>0.42</v>
      </c>
      <c r="H6" s="1">
        <v>120</v>
      </c>
      <c r="I6" s="1" t="s">
        <v>35</v>
      </c>
      <c r="J6" s="1"/>
      <c r="K6" s="1">
        <v>21</v>
      </c>
      <c r="L6" s="1">
        <f t="shared" ref="L6:L16" si="2">E6-K6</f>
        <v>0</v>
      </c>
      <c r="M6" s="1"/>
      <c r="N6" s="1"/>
      <c r="O6" s="1"/>
      <c r="P6" s="1">
        <f>E6/5</f>
        <v>4.2</v>
      </c>
      <c r="Q6" s="12">
        <f>15*P6-O6-F6</f>
        <v>50</v>
      </c>
      <c r="R6" s="13">
        <v>0</v>
      </c>
      <c r="S6" s="1">
        <f>(F6+O6+Q6)/P6</f>
        <v>15</v>
      </c>
      <c r="T6" s="1">
        <f>(F6+O6)/P6</f>
        <v>3.0952380952380949</v>
      </c>
      <c r="U6" s="1">
        <v>0.4</v>
      </c>
      <c r="V6" s="1">
        <v>2</v>
      </c>
      <c r="W6" s="1">
        <v>2.8</v>
      </c>
      <c r="X6" s="1">
        <v>0.8</v>
      </c>
      <c r="Y6" s="1">
        <v>1.4</v>
      </c>
      <c r="Z6" s="1">
        <v>0</v>
      </c>
      <c r="AA6" s="1">
        <v>2</v>
      </c>
      <c r="AB6" s="1">
        <v>2.2000000000000002</v>
      </c>
      <c r="AC6" s="1">
        <v>1.4</v>
      </c>
      <c r="AD6" s="1">
        <v>0.6</v>
      </c>
      <c r="AE6" s="1" t="s">
        <v>56</v>
      </c>
      <c r="AF6" s="1"/>
      <c r="AG6" s="1">
        <f t="shared" ref="AG6:AG16" si="3">G6*Q6</f>
        <v>21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36</v>
      </c>
      <c r="B7" s="1" t="s">
        <v>37</v>
      </c>
      <c r="C7" s="1">
        <v>49.936</v>
      </c>
      <c r="D7" s="1"/>
      <c r="E7" s="1">
        <v>27</v>
      </c>
      <c r="F7" s="1">
        <v>22.936</v>
      </c>
      <c r="G7" s="6">
        <v>1</v>
      </c>
      <c r="H7" s="1">
        <v>120</v>
      </c>
      <c r="I7" s="1" t="s">
        <v>35</v>
      </c>
      <c r="J7" s="1"/>
      <c r="K7" s="1">
        <v>27</v>
      </c>
      <c r="L7" s="1">
        <f t="shared" si="2"/>
        <v>0</v>
      </c>
      <c r="M7" s="1"/>
      <c r="N7" s="1"/>
      <c r="O7" s="1">
        <v>20</v>
      </c>
      <c r="P7" s="1">
        <f t="shared" ref="P7:P23" si="4">E7/5</f>
        <v>5.4</v>
      </c>
      <c r="Q7" s="12">
        <f t="shared" ref="Q7:Q15" si="5">15*P7-O7-F7</f>
        <v>38.064</v>
      </c>
      <c r="R7" s="13">
        <v>0</v>
      </c>
      <c r="S7" s="1">
        <f t="shared" ref="S7:S23" si="6">(F7+O7+Q7)/P7</f>
        <v>14.999999999999998</v>
      </c>
      <c r="T7" s="1">
        <f t="shared" ref="T7:T23" si="7">(F7+O7)/P7</f>
        <v>7.9511111111111106</v>
      </c>
      <c r="U7" s="1">
        <v>4.5</v>
      </c>
      <c r="V7" s="1">
        <v>1.8</v>
      </c>
      <c r="W7" s="1">
        <v>3.6</v>
      </c>
      <c r="X7" s="1">
        <v>1.8084</v>
      </c>
      <c r="Y7" s="1">
        <v>3.6</v>
      </c>
      <c r="Z7" s="1">
        <v>4.5</v>
      </c>
      <c r="AA7" s="1">
        <v>5.4</v>
      </c>
      <c r="AB7" s="1">
        <v>4.5</v>
      </c>
      <c r="AC7" s="1">
        <v>8.1</v>
      </c>
      <c r="AD7" s="1">
        <v>3.6</v>
      </c>
      <c r="AE7" s="1" t="s">
        <v>56</v>
      </c>
      <c r="AF7" s="1"/>
      <c r="AG7" s="1">
        <f t="shared" si="3"/>
        <v>38.064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38</v>
      </c>
      <c r="B8" s="1" t="s">
        <v>37</v>
      </c>
      <c r="C8" s="1">
        <v>63.764000000000003</v>
      </c>
      <c r="D8" s="1"/>
      <c r="E8" s="1">
        <v>22.5</v>
      </c>
      <c r="F8" s="1">
        <v>41.264000000000003</v>
      </c>
      <c r="G8" s="6">
        <v>1</v>
      </c>
      <c r="H8" s="1">
        <v>120</v>
      </c>
      <c r="I8" s="1" t="s">
        <v>35</v>
      </c>
      <c r="J8" s="1"/>
      <c r="K8" s="1">
        <v>22.5</v>
      </c>
      <c r="L8" s="1">
        <f t="shared" si="2"/>
        <v>0</v>
      </c>
      <c r="M8" s="1"/>
      <c r="N8" s="1"/>
      <c r="O8" s="1"/>
      <c r="P8" s="1">
        <f t="shared" si="4"/>
        <v>4.5</v>
      </c>
      <c r="Q8" s="12">
        <f t="shared" si="5"/>
        <v>26.235999999999997</v>
      </c>
      <c r="R8" s="13">
        <v>0</v>
      </c>
      <c r="S8" s="1">
        <f t="shared" si="6"/>
        <v>15</v>
      </c>
      <c r="T8" s="1">
        <f t="shared" si="7"/>
        <v>9.169777777777778</v>
      </c>
      <c r="U8" s="1">
        <v>2.7</v>
      </c>
      <c r="V8" s="1">
        <v>2.7</v>
      </c>
      <c r="W8" s="1">
        <v>0.9</v>
      </c>
      <c r="X8" s="1">
        <v>0</v>
      </c>
      <c r="Y8" s="1">
        <v>4.5</v>
      </c>
      <c r="Z8" s="1">
        <v>2.7</v>
      </c>
      <c r="AA8" s="1">
        <v>1.8</v>
      </c>
      <c r="AB8" s="1">
        <v>5.4</v>
      </c>
      <c r="AC8" s="1">
        <v>1.8</v>
      </c>
      <c r="AD8" s="1">
        <v>2.7</v>
      </c>
      <c r="AE8" s="1" t="s">
        <v>56</v>
      </c>
      <c r="AF8" s="1" t="s">
        <v>39</v>
      </c>
      <c r="AG8" s="1">
        <f t="shared" si="3"/>
        <v>26.235999999999997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40</v>
      </c>
      <c r="B9" s="1" t="s">
        <v>34</v>
      </c>
      <c r="C9" s="1">
        <v>97</v>
      </c>
      <c r="D9" s="1"/>
      <c r="E9" s="1">
        <v>43</v>
      </c>
      <c r="F9" s="1">
        <v>47</v>
      </c>
      <c r="G9" s="6">
        <v>0.42</v>
      </c>
      <c r="H9" s="1">
        <v>120</v>
      </c>
      <c r="I9" s="1" t="s">
        <v>35</v>
      </c>
      <c r="J9" s="1"/>
      <c r="K9" s="1">
        <v>43</v>
      </c>
      <c r="L9" s="1">
        <f t="shared" si="2"/>
        <v>0</v>
      </c>
      <c r="M9" s="1"/>
      <c r="N9" s="1"/>
      <c r="O9" s="1"/>
      <c r="P9" s="1">
        <f t="shared" si="4"/>
        <v>8.6</v>
      </c>
      <c r="Q9" s="12">
        <f t="shared" si="5"/>
        <v>82</v>
      </c>
      <c r="R9" s="13">
        <v>0</v>
      </c>
      <c r="S9" s="1">
        <f t="shared" si="6"/>
        <v>15</v>
      </c>
      <c r="T9" s="1">
        <f t="shared" si="7"/>
        <v>5.4651162790697674</v>
      </c>
      <c r="U9" s="1">
        <v>0.4</v>
      </c>
      <c r="V9" s="1">
        <v>7.8</v>
      </c>
      <c r="W9" s="1">
        <v>8.1999999999999993</v>
      </c>
      <c r="X9" s="1">
        <v>2.4</v>
      </c>
      <c r="Y9" s="1">
        <v>3.8</v>
      </c>
      <c r="Z9" s="1">
        <v>1</v>
      </c>
      <c r="AA9" s="1">
        <v>3.2</v>
      </c>
      <c r="AB9" s="1">
        <v>3</v>
      </c>
      <c r="AC9" s="1">
        <v>8.6</v>
      </c>
      <c r="AD9" s="1">
        <v>5.4</v>
      </c>
      <c r="AE9" s="1" t="s">
        <v>56</v>
      </c>
      <c r="AF9" s="1"/>
      <c r="AG9" s="1">
        <f t="shared" si="3"/>
        <v>34.44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1" t="s">
        <v>41</v>
      </c>
      <c r="B10" s="1" t="s">
        <v>34</v>
      </c>
      <c r="C10" s="1">
        <v>19</v>
      </c>
      <c r="D10" s="1">
        <v>822</v>
      </c>
      <c r="E10" s="1">
        <v>351</v>
      </c>
      <c r="F10" s="1">
        <v>352</v>
      </c>
      <c r="G10" s="6">
        <v>0.3</v>
      </c>
      <c r="H10" s="1">
        <v>120</v>
      </c>
      <c r="I10" s="1" t="s">
        <v>35</v>
      </c>
      <c r="J10" s="1"/>
      <c r="K10" s="1">
        <v>384</v>
      </c>
      <c r="L10" s="1">
        <f t="shared" si="2"/>
        <v>-33</v>
      </c>
      <c r="M10" s="1"/>
      <c r="N10" s="1"/>
      <c r="O10" s="1">
        <v>370</v>
      </c>
      <c r="P10" s="1">
        <f t="shared" si="4"/>
        <v>70.2</v>
      </c>
      <c r="Q10" s="12">
        <f t="shared" si="5"/>
        <v>331</v>
      </c>
      <c r="R10" s="13">
        <v>200</v>
      </c>
      <c r="S10" s="1">
        <f t="shared" si="6"/>
        <v>15</v>
      </c>
      <c r="T10" s="1">
        <f t="shared" si="7"/>
        <v>10.284900284900285</v>
      </c>
      <c r="U10" s="1">
        <v>76</v>
      </c>
      <c r="V10" s="1">
        <v>81.400000000000006</v>
      </c>
      <c r="W10" s="1">
        <v>51</v>
      </c>
      <c r="X10" s="1">
        <v>32.6</v>
      </c>
      <c r="Y10" s="1">
        <v>43.4</v>
      </c>
      <c r="Z10" s="1">
        <v>28</v>
      </c>
      <c r="AA10" s="1">
        <v>17.2</v>
      </c>
      <c r="AB10" s="1">
        <v>6.8</v>
      </c>
      <c r="AC10" s="1">
        <v>28.6</v>
      </c>
      <c r="AD10" s="1">
        <v>15.6</v>
      </c>
      <c r="AE10" s="1"/>
      <c r="AF10" s="1" t="s">
        <v>42</v>
      </c>
      <c r="AG10" s="1">
        <f t="shared" si="3"/>
        <v>99.3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1" t="s">
        <v>43</v>
      </c>
      <c r="B11" s="1" t="s">
        <v>34</v>
      </c>
      <c r="C11" s="1">
        <v>47</v>
      </c>
      <c r="D11" s="1">
        <v>444</v>
      </c>
      <c r="E11" s="1">
        <v>267</v>
      </c>
      <c r="F11" s="1">
        <v>142</v>
      </c>
      <c r="G11" s="6">
        <v>0.3</v>
      </c>
      <c r="H11" s="1">
        <v>120</v>
      </c>
      <c r="I11" s="1" t="s">
        <v>35</v>
      </c>
      <c r="J11" s="1"/>
      <c r="K11" s="1">
        <v>270</v>
      </c>
      <c r="L11" s="1">
        <f t="shared" si="2"/>
        <v>-3</v>
      </c>
      <c r="M11" s="1"/>
      <c r="N11" s="1"/>
      <c r="O11" s="1">
        <v>360</v>
      </c>
      <c r="P11" s="1">
        <f t="shared" si="4"/>
        <v>53.4</v>
      </c>
      <c r="Q11" s="12">
        <f t="shared" si="5"/>
        <v>299</v>
      </c>
      <c r="R11" s="13">
        <v>200</v>
      </c>
      <c r="S11" s="1">
        <f t="shared" si="6"/>
        <v>15</v>
      </c>
      <c r="T11" s="1">
        <f t="shared" si="7"/>
        <v>9.4007490636704123</v>
      </c>
      <c r="U11" s="1">
        <v>53.8</v>
      </c>
      <c r="V11" s="1">
        <v>43.6</v>
      </c>
      <c r="W11" s="1">
        <v>27.4</v>
      </c>
      <c r="X11" s="1">
        <v>40.799999999999997</v>
      </c>
      <c r="Y11" s="1">
        <v>24.8</v>
      </c>
      <c r="Z11" s="1">
        <v>22.4</v>
      </c>
      <c r="AA11" s="1">
        <v>20.8</v>
      </c>
      <c r="AB11" s="1">
        <v>15.8</v>
      </c>
      <c r="AC11" s="1">
        <v>13</v>
      </c>
      <c r="AD11" s="1">
        <v>11.4</v>
      </c>
      <c r="AE11" s="1"/>
      <c r="AF11" s="1" t="s">
        <v>42</v>
      </c>
      <c r="AG11" s="1">
        <f t="shared" si="3"/>
        <v>89.7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44</v>
      </c>
      <c r="B12" s="1" t="s">
        <v>34</v>
      </c>
      <c r="C12" s="1">
        <v>327</v>
      </c>
      <c r="D12" s="1"/>
      <c r="E12" s="1">
        <v>80</v>
      </c>
      <c r="F12" s="1">
        <v>237</v>
      </c>
      <c r="G12" s="6">
        <v>0.35</v>
      </c>
      <c r="H12" s="1">
        <v>120</v>
      </c>
      <c r="I12" s="1" t="s">
        <v>35</v>
      </c>
      <c r="J12" s="1"/>
      <c r="K12" s="1">
        <v>80</v>
      </c>
      <c r="L12" s="1">
        <f t="shared" si="2"/>
        <v>0</v>
      </c>
      <c r="M12" s="1"/>
      <c r="N12" s="1"/>
      <c r="O12" s="1"/>
      <c r="P12" s="1">
        <f t="shared" si="4"/>
        <v>16</v>
      </c>
      <c r="Q12" s="12">
        <f t="shared" si="5"/>
        <v>3</v>
      </c>
      <c r="R12" s="13">
        <v>0</v>
      </c>
      <c r="S12" s="1">
        <f t="shared" si="6"/>
        <v>15</v>
      </c>
      <c r="T12" s="1">
        <f t="shared" si="7"/>
        <v>14.8125</v>
      </c>
      <c r="U12" s="1">
        <v>15.2</v>
      </c>
      <c r="V12" s="1">
        <v>11.8</v>
      </c>
      <c r="W12" s="1">
        <v>30.4</v>
      </c>
      <c r="X12" s="1">
        <v>10.8</v>
      </c>
      <c r="Y12" s="1">
        <v>13</v>
      </c>
      <c r="Z12" s="1">
        <v>18</v>
      </c>
      <c r="AA12" s="1">
        <v>10</v>
      </c>
      <c r="AB12" s="1">
        <v>18</v>
      </c>
      <c r="AC12" s="1">
        <v>8.4</v>
      </c>
      <c r="AD12" s="1">
        <v>18.399999999999999</v>
      </c>
      <c r="AE12" s="1" t="s">
        <v>56</v>
      </c>
      <c r="AF12" s="1"/>
      <c r="AG12" s="1">
        <f t="shared" si="3"/>
        <v>1.0499999999999998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45</v>
      </c>
      <c r="B13" s="1" t="s">
        <v>34</v>
      </c>
      <c r="C13" s="1">
        <v>10</v>
      </c>
      <c r="D13" s="1">
        <v>288</v>
      </c>
      <c r="E13" s="1">
        <v>106</v>
      </c>
      <c r="F13" s="1">
        <v>184</v>
      </c>
      <c r="G13" s="6">
        <v>0.3</v>
      </c>
      <c r="H13" s="1">
        <v>120</v>
      </c>
      <c r="I13" s="1" t="s">
        <v>35</v>
      </c>
      <c r="J13" s="1"/>
      <c r="K13" s="1">
        <v>106</v>
      </c>
      <c r="L13" s="1">
        <f t="shared" si="2"/>
        <v>0</v>
      </c>
      <c r="M13" s="1"/>
      <c r="N13" s="1"/>
      <c r="O13" s="1">
        <v>70</v>
      </c>
      <c r="P13" s="1">
        <f t="shared" si="4"/>
        <v>21.2</v>
      </c>
      <c r="Q13" s="12">
        <f t="shared" si="5"/>
        <v>64</v>
      </c>
      <c r="R13" s="13">
        <v>0</v>
      </c>
      <c r="S13" s="1">
        <f t="shared" si="6"/>
        <v>15</v>
      </c>
      <c r="T13" s="1">
        <f t="shared" si="7"/>
        <v>11.981132075471699</v>
      </c>
      <c r="U13" s="1">
        <v>24.6</v>
      </c>
      <c r="V13" s="1">
        <v>32.799999999999997</v>
      </c>
      <c r="W13" s="1">
        <v>24.2</v>
      </c>
      <c r="X13" s="1">
        <v>24.2</v>
      </c>
      <c r="Y13" s="1">
        <v>22</v>
      </c>
      <c r="Z13" s="1">
        <v>15.2</v>
      </c>
      <c r="AA13" s="1">
        <v>15.6</v>
      </c>
      <c r="AB13" s="1">
        <v>23.2</v>
      </c>
      <c r="AC13" s="1">
        <v>5.4</v>
      </c>
      <c r="AD13" s="1">
        <v>16.2</v>
      </c>
      <c r="AE13" s="1" t="s">
        <v>56</v>
      </c>
      <c r="AF13" s="1"/>
      <c r="AG13" s="1">
        <f t="shared" si="3"/>
        <v>19.2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46</v>
      </c>
      <c r="B14" s="1" t="s">
        <v>34</v>
      </c>
      <c r="C14" s="1">
        <v>131</v>
      </c>
      <c r="D14" s="1"/>
      <c r="E14" s="1">
        <v>99</v>
      </c>
      <c r="F14" s="1">
        <v>25</v>
      </c>
      <c r="G14" s="6">
        <v>0.35</v>
      </c>
      <c r="H14" s="1">
        <v>120</v>
      </c>
      <c r="I14" s="1" t="s">
        <v>35</v>
      </c>
      <c r="J14" s="1"/>
      <c r="K14" s="1">
        <v>99</v>
      </c>
      <c r="L14" s="1">
        <f t="shared" si="2"/>
        <v>0</v>
      </c>
      <c r="M14" s="1"/>
      <c r="N14" s="1"/>
      <c r="O14" s="1">
        <v>430</v>
      </c>
      <c r="P14" s="1">
        <f t="shared" si="4"/>
        <v>19.8</v>
      </c>
      <c r="Q14" s="12"/>
      <c r="R14" s="13"/>
      <c r="S14" s="1">
        <f t="shared" si="6"/>
        <v>22.979797979797979</v>
      </c>
      <c r="T14" s="1">
        <f t="shared" si="7"/>
        <v>22.979797979797979</v>
      </c>
      <c r="U14" s="1">
        <v>37</v>
      </c>
      <c r="V14" s="1">
        <v>18.8</v>
      </c>
      <c r="W14" s="1">
        <v>21.4</v>
      </c>
      <c r="X14" s="1">
        <v>29.2</v>
      </c>
      <c r="Y14" s="1">
        <v>18.600000000000001</v>
      </c>
      <c r="Z14" s="1">
        <v>14.6</v>
      </c>
      <c r="AA14" s="1">
        <v>17.2</v>
      </c>
      <c r="AB14" s="1">
        <v>20</v>
      </c>
      <c r="AC14" s="1">
        <v>9.1999999999999993</v>
      </c>
      <c r="AD14" s="1">
        <v>16.2</v>
      </c>
      <c r="AE14" s="1" t="s">
        <v>56</v>
      </c>
      <c r="AF14" s="1"/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1" t="s">
        <v>47</v>
      </c>
      <c r="B15" s="1" t="s">
        <v>34</v>
      </c>
      <c r="C15" s="1">
        <v>70</v>
      </c>
      <c r="D15" s="1">
        <v>84</v>
      </c>
      <c r="E15" s="1">
        <v>50</v>
      </c>
      <c r="F15" s="1">
        <v>75</v>
      </c>
      <c r="G15" s="6">
        <v>0.3</v>
      </c>
      <c r="H15" s="1">
        <v>120</v>
      </c>
      <c r="I15" s="1" t="s">
        <v>35</v>
      </c>
      <c r="J15" s="1"/>
      <c r="K15" s="1">
        <v>50</v>
      </c>
      <c r="L15" s="1">
        <f t="shared" si="2"/>
        <v>0</v>
      </c>
      <c r="M15" s="1"/>
      <c r="N15" s="1"/>
      <c r="O15" s="1"/>
      <c r="P15" s="1">
        <f t="shared" si="4"/>
        <v>10</v>
      </c>
      <c r="Q15" s="12">
        <f t="shared" si="5"/>
        <v>75</v>
      </c>
      <c r="R15" s="13"/>
      <c r="S15" s="1">
        <f t="shared" si="6"/>
        <v>15</v>
      </c>
      <c r="T15" s="1">
        <f t="shared" si="7"/>
        <v>7.5</v>
      </c>
      <c r="U15" s="1">
        <v>7</v>
      </c>
      <c r="V15" s="1">
        <v>12.4</v>
      </c>
      <c r="W15" s="1">
        <v>7.2</v>
      </c>
      <c r="X15" s="1">
        <v>10.6</v>
      </c>
      <c r="Y15" s="1">
        <v>7.2</v>
      </c>
      <c r="Z15" s="1">
        <v>5.4</v>
      </c>
      <c r="AA15" s="1">
        <v>5.6</v>
      </c>
      <c r="AB15" s="1">
        <v>2.6</v>
      </c>
      <c r="AC15" s="1">
        <v>6</v>
      </c>
      <c r="AD15" s="1">
        <v>5.8</v>
      </c>
      <c r="AE15" s="1"/>
      <c r="AF15" s="1" t="s">
        <v>42</v>
      </c>
      <c r="AG15" s="1">
        <f t="shared" si="3"/>
        <v>22.5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48</v>
      </c>
      <c r="B16" s="1" t="s">
        <v>34</v>
      </c>
      <c r="C16" s="1">
        <v>328</v>
      </c>
      <c r="D16" s="1">
        <v>343</v>
      </c>
      <c r="E16" s="1">
        <v>196</v>
      </c>
      <c r="F16" s="1">
        <v>346</v>
      </c>
      <c r="G16" s="6">
        <v>0.7</v>
      </c>
      <c r="H16" s="1">
        <v>180</v>
      </c>
      <c r="I16" s="1" t="s">
        <v>35</v>
      </c>
      <c r="J16" s="1"/>
      <c r="K16" s="1">
        <v>199</v>
      </c>
      <c r="L16" s="1">
        <f t="shared" si="2"/>
        <v>-3</v>
      </c>
      <c r="M16" s="1"/>
      <c r="N16" s="1"/>
      <c r="O16" s="1">
        <v>340</v>
      </c>
      <c r="P16" s="1">
        <f t="shared" si="4"/>
        <v>39.200000000000003</v>
      </c>
      <c r="Q16" s="12"/>
      <c r="R16" s="13"/>
      <c r="S16" s="1">
        <f t="shared" si="6"/>
        <v>17.5</v>
      </c>
      <c r="T16" s="1">
        <f t="shared" si="7"/>
        <v>17.5</v>
      </c>
      <c r="U16" s="1">
        <v>62.4</v>
      </c>
      <c r="V16" s="1">
        <v>57.2</v>
      </c>
      <c r="W16" s="1">
        <v>48.2</v>
      </c>
      <c r="X16" s="1">
        <v>37.6</v>
      </c>
      <c r="Y16" s="1">
        <v>37.4</v>
      </c>
      <c r="Z16" s="1">
        <v>30.2</v>
      </c>
      <c r="AA16" s="1">
        <v>25.2</v>
      </c>
      <c r="AB16" s="1">
        <v>7.2</v>
      </c>
      <c r="AC16" s="1">
        <v>25.6</v>
      </c>
      <c r="AD16" s="1">
        <v>9</v>
      </c>
      <c r="AE16" s="1" t="s">
        <v>56</v>
      </c>
      <c r="AF16" s="1"/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8" t="s">
        <v>49</v>
      </c>
      <c r="B17" s="8" t="s">
        <v>34</v>
      </c>
      <c r="C17" s="8"/>
      <c r="D17" s="8"/>
      <c r="E17" s="8"/>
      <c r="F17" s="8"/>
      <c r="G17" s="9">
        <v>0</v>
      </c>
      <c r="H17" s="8">
        <v>180</v>
      </c>
      <c r="I17" s="8" t="s">
        <v>35</v>
      </c>
      <c r="J17" s="8"/>
      <c r="K17" s="8"/>
      <c r="L17" s="8"/>
      <c r="M17" s="8"/>
      <c r="N17" s="8"/>
      <c r="O17" s="8"/>
      <c r="P17" s="8">
        <f t="shared" si="4"/>
        <v>0</v>
      </c>
      <c r="Q17" s="14"/>
      <c r="R17" s="15"/>
      <c r="S17" s="8" t="e">
        <f t="shared" si="6"/>
        <v>#DIV/0!</v>
      </c>
      <c r="T17" s="8" t="e">
        <f t="shared" si="7"/>
        <v>#DIV/0!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/>
      <c r="AF17" s="10" t="s">
        <v>56</v>
      </c>
      <c r="AG17" s="8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8" t="s">
        <v>50</v>
      </c>
      <c r="B18" s="8" t="s">
        <v>34</v>
      </c>
      <c r="C18" s="8"/>
      <c r="D18" s="8"/>
      <c r="E18" s="8"/>
      <c r="F18" s="8"/>
      <c r="G18" s="9">
        <v>0</v>
      </c>
      <c r="H18" s="8">
        <v>120</v>
      </c>
      <c r="I18" s="8" t="s">
        <v>35</v>
      </c>
      <c r="J18" s="8"/>
      <c r="K18" s="8"/>
      <c r="L18" s="8"/>
      <c r="M18" s="8"/>
      <c r="N18" s="8"/>
      <c r="O18" s="8"/>
      <c r="P18" s="8">
        <f t="shared" si="4"/>
        <v>0</v>
      </c>
      <c r="Q18" s="14"/>
      <c r="R18" s="15"/>
      <c r="S18" s="8" t="e">
        <f t="shared" si="6"/>
        <v>#DIV/0!</v>
      </c>
      <c r="T18" s="8" t="e">
        <f t="shared" si="7"/>
        <v>#DIV/0!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/>
      <c r="AF18" s="10" t="s">
        <v>56</v>
      </c>
      <c r="AG18" s="8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8" t="s">
        <v>51</v>
      </c>
      <c r="B19" s="8" t="s">
        <v>34</v>
      </c>
      <c r="C19" s="8"/>
      <c r="D19" s="8"/>
      <c r="E19" s="8"/>
      <c r="F19" s="8"/>
      <c r="G19" s="9">
        <v>0</v>
      </c>
      <c r="H19" s="8">
        <v>180</v>
      </c>
      <c r="I19" s="8" t="s">
        <v>35</v>
      </c>
      <c r="J19" s="8"/>
      <c r="K19" s="8"/>
      <c r="L19" s="8"/>
      <c r="M19" s="8"/>
      <c r="N19" s="8"/>
      <c r="O19" s="8"/>
      <c r="P19" s="8">
        <f t="shared" si="4"/>
        <v>0</v>
      </c>
      <c r="Q19" s="14"/>
      <c r="R19" s="15"/>
      <c r="S19" s="8" t="e">
        <f t="shared" si="6"/>
        <v>#DIV/0!</v>
      </c>
      <c r="T19" s="8" t="e">
        <f t="shared" si="7"/>
        <v>#DIV/0!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/>
      <c r="AF19" s="10" t="s">
        <v>56</v>
      </c>
      <c r="AG19" s="8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8" t="s">
        <v>52</v>
      </c>
      <c r="B20" s="8" t="s">
        <v>34</v>
      </c>
      <c r="C20" s="8"/>
      <c r="D20" s="8"/>
      <c r="E20" s="8"/>
      <c r="F20" s="8"/>
      <c r="G20" s="9">
        <v>0</v>
      </c>
      <c r="H20" s="8">
        <v>180</v>
      </c>
      <c r="I20" s="8" t="s">
        <v>35</v>
      </c>
      <c r="J20" s="8"/>
      <c r="K20" s="8"/>
      <c r="L20" s="8"/>
      <c r="M20" s="8"/>
      <c r="N20" s="8"/>
      <c r="O20" s="8"/>
      <c r="P20" s="8">
        <f t="shared" si="4"/>
        <v>0</v>
      </c>
      <c r="Q20" s="14"/>
      <c r="R20" s="15"/>
      <c r="S20" s="8" t="e">
        <f t="shared" si="6"/>
        <v>#DIV/0!</v>
      </c>
      <c r="T20" s="8" t="e">
        <f t="shared" si="7"/>
        <v>#DIV/0!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/>
      <c r="AF20" s="10" t="s">
        <v>56</v>
      </c>
      <c r="AG20" s="8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8" t="s">
        <v>53</v>
      </c>
      <c r="B21" s="8" t="s">
        <v>34</v>
      </c>
      <c r="C21" s="8"/>
      <c r="D21" s="8"/>
      <c r="E21" s="8"/>
      <c r="F21" s="8"/>
      <c r="G21" s="9">
        <v>0</v>
      </c>
      <c r="H21" s="8">
        <v>180</v>
      </c>
      <c r="I21" s="8" t="s">
        <v>35</v>
      </c>
      <c r="J21" s="8"/>
      <c r="K21" s="8"/>
      <c r="L21" s="8"/>
      <c r="M21" s="8"/>
      <c r="N21" s="8"/>
      <c r="O21" s="8"/>
      <c r="P21" s="8">
        <f t="shared" si="4"/>
        <v>0</v>
      </c>
      <c r="Q21" s="14"/>
      <c r="R21" s="15"/>
      <c r="S21" s="8" t="e">
        <f t="shared" si="6"/>
        <v>#DIV/0!</v>
      </c>
      <c r="T21" s="8" t="e">
        <f t="shared" si="7"/>
        <v>#DIV/0!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/>
      <c r="AF21" s="10" t="s">
        <v>56</v>
      </c>
      <c r="AG21" s="8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8" t="s">
        <v>54</v>
      </c>
      <c r="B22" s="8" t="s">
        <v>34</v>
      </c>
      <c r="C22" s="8"/>
      <c r="D22" s="8"/>
      <c r="E22" s="8"/>
      <c r="F22" s="8"/>
      <c r="G22" s="9">
        <v>0</v>
      </c>
      <c r="H22" s="8">
        <v>180</v>
      </c>
      <c r="I22" s="8" t="s">
        <v>35</v>
      </c>
      <c r="J22" s="8"/>
      <c r="K22" s="8"/>
      <c r="L22" s="8"/>
      <c r="M22" s="8"/>
      <c r="N22" s="8"/>
      <c r="O22" s="8"/>
      <c r="P22" s="8">
        <f t="shared" si="4"/>
        <v>0</v>
      </c>
      <c r="Q22" s="14"/>
      <c r="R22" s="15"/>
      <c r="S22" s="8" t="e">
        <f t="shared" si="6"/>
        <v>#DIV/0!</v>
      </c>
      <c r="T22" s="8" t="e">
        <f t="shared" si="7"/>
        <v>#DIV/0!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/>
      <c r="AF22" s="10" t="s">
        <v>56</v>
      </c>
      <c r="AG22" s="8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8" t="s">
        <v>55</v>
      </c>
      <c r="B23" s="8" t="s">
        <v>37</v>
      </c>
      <c r="C23" s="8"/>
      <c r="D23" s="8"/>
      <c r="E23" s="8"/>
      <c r="F23" s="8"/>
      <c r="G23" s="9">
        <v>0</v>
      </c>
      <c r="H23" s="8">
        <v>180</v>
      </c>
      <c r="I23" s="8" t="s">
        <v>35</v>
      </c>
      <c r="J23" s="8"/>
      <c r="K23" s="8"/>
      <c r="L23" s="8"/>
      <c r="M23" s="8"/>
      <c r="N23" s="8"/>
      <c r="O23" s="8"/>
      <c r="P23" s="8">
        <f t="shared" si="4"/>
        <v>0</v>
      </c>
      <c r="Q23" s="14"/>
      <c r="R23" s="15"/>
      <c r="S23" s="8" t="e">
        <f t="shared" si="6"/>
        <v>#DIV/0!</v>
      </c>
      <c r="T23" s="8" t="e">
        <f t="shared" si="7"/>
        <v>#DIV/0!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/>
      <c r="AF23" s="10" t="s">
        <v>56</v>
      </c>
      <c r="AG23" s="8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Чепрасова Елена Михайловна</cp:lastModifiedBy>
  <dcterms:created xsi:type="dcterms:W3CDTF">2026-10-19T16:52:20Z</dcterms:created>
  <dcterms:modified xsi:type="dcterms:W3CDTF">2026-10-21T05:55:38Z</dcterms:modified>
</cp:coreProperties>
</file>