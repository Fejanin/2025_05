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1,10 Грация(Мариуполь) ЛП сап 28,10\"/>
    </mc:Choice>
  </mc:AlternateContent>
  <xr:revisionPtr revIDLastSave="0" documentId="13_ncr:1_{7007FA7C-78A2-49A0-9204-D1BAA04A59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G12" i="1" l="1"/>
  <c r="G21" i="1"/>
  <c r="G18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<sst xmlns="http://schemas.openxmlformats.org/spreadsheetml/2006/main" count="725" uniqueCount="244">
  <si>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</si>
  <si>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</si>
  <si>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</si>
  <si>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</si>
  <si>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</si>
  <si>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</si>
  <si>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</si>
  <si>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</si>
  <si>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</si>
  <si>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</si>
  <si>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</si>
  <si>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</si>
  <si>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</si>
  <si>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</si>
  <si>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</si>
  <si>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</si>
  <si>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</si>
  <si>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</si>
  <si>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</si>
  <si>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</si>
  <si>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</si>
  <si>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</si>
  <si>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</si>
  <si>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</si>
  <si>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</si>
  <si>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</si>
  <si>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</si>
  <si>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</si>
  <si>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</si>
  <si>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</si>
  <si>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</si>
  <si>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</si>
  <si>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</si>
  <si>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</si>
  <si>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</si>
  <si>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</si>
  <si>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</si>
  <si>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</si>
  <si>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</si>
  <si>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</si>
  <si>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</si>
  <si>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</si>
  <si>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</si>
  <si>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</si>
  <si>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</si>
  <si>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</si>
  <si>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</si>
  <si>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</si>
  <si>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</si>
  <si>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</si>
  <si>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</si>
  <si>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</si>
  <si>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</si>
  <si>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</si>
  <si>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</si>
  <si>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</si>
  <si>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</si>
  <si>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</si>
  <si>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</si>
  <si>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</si>
  <si>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</si>
  <si>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</si>
  <si>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</si>
  <si>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</si>
  <si>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</si>
  <si>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</si>
  <si>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</si>
  <si>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</si>
  <si>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</si>
  <si>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</si>
  <si>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</si>
  <si>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</si>
  <si>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</si>
  <si>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</si>
  <si>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</si>
  <si>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</si>
  <si>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</si>
  <si>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</si>
  <si>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</si>
  <si>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</si>
  <si>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</si>
  <si>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</si>
  <si>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</si>
  <si>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</si>
  <si>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</si>
  <si>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</si>
  <si>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</si>
  <si>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</si>
  <si>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</si>
  <si>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</si>
  <si>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</si>
  <si>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</si>
  <si>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</si>
  <si>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</si>
  <si>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</si>
  <si>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</si>
  <si>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</si>
  <si>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</si>
  <si>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</si>
  <si>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</si>
  <si>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</si>
  <si>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</si>
  <si>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</si>
  <si>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</si>
  <si>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</si>
  <si>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</si>
  <si>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</si>
  <si>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</si>
  <si>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</si>
  <si>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</si>
  <si>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</si>
  <si>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</si>
  <si>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</si>
  <si>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</si>
  <si>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</si>
  <si>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</si>
  <si>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</si>
  <si>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</si>
  <si>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</si>
  <si>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</si>
  <si>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</si>
  <si>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</si>
  <si>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</si>
  <si>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</si>
  <si>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</si>
  <si>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</si>
  <si>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</si>
  <si>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</si>
  <si>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</si>
  <si>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</si>
  <si>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</si>
  <si>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</si>
  <si>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</si>
  <si>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</si>
  <si>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</si>
  <si>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</si>
  <si>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</si>
  <si>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</si>
  <si>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</si>
  <si>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</si>
  <si>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</si>
  <si>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</si>
  <si>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</si>
  <si>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</si>
  <si>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</si>
  <si>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</si>
  <si>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</si>
  <si>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</si>
  <si>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</si>
  <si>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</si>
  <si>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</si>
  <si>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</si>
  <si>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</si>
  <si>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</si>
  <si>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</si>
  <si>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</si>
  <si>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</si>
  <si>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</si>
  <si>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</si>
  <si>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</si>
  <si>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</si>
  <si>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</si>
  <si>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</si>
  <si>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</si>
  <si>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</si>
  <si>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</si>
  <si>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</si>
  <si>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</si>
  <si>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</si>
  <si>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</si>
  <si>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</si>
  <si>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</si>
  <si>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</si>
  <si>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</si>
  <si>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</si>
  <si>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</si>
  <si>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</si>
  <si>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</si>
  <si>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</si>
  <si>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</si>
  <si>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</si>
  <si>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</si>
  <si>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</si>
  <si>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</si>
  <si>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</si>
  <si>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</si>
  <si>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</si>
  <si>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</si>
  <si>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</si>
  <si>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</si>
  <si>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</si>
  <si>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</si>
  <si>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</si>
  <si>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</si>
  <si>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</si>
  <si>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</si>
  <si>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</si>
  <si>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</si>
  <si>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</si>
  <si>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</si>
  <si>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</si>
  <si>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</si>
  <si>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</si>
  <si>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</si>
  <si>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</si>
  <si>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</si>
  <si>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</si>
  <si>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</si>
  <si>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</si>
  <si>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</si>
  <si>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</si>
  <si>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</si>
  <si>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</si>
  <si>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</si>
  <si>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</si>
  <si>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</si>
  <si>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</si>
  <si>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</si>
  <si>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</si>
  <si>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</si>
  <si>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</si>
  <si>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</si>
  <si>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</si>
  <si>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</si>
  <si>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</si>
  <si>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</si>
  <si>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</si>
  <si>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</si>
  <si>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</si>
  <si>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</si>
  <si>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</si>
  <si>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</si>
  <si>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</si>
  <si>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</si>
  <si>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</si>
  <si>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</si>
  <si>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</si>
  <si>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 xml:space="preserve">ЛП Донецк (ПРС) - 130438384 </t>
  </si>
  <si>
    <t>ЛП Луганск - 130438644</t>
  </si>
  <si>
    <t>ЛП Донецк (ОПТЫ (МАЛАХУТИН)) - 130439106</t>
  </si>
  <si>
    <t>ЛП Донецк (МАСТЕРОВ) - 130439107</t>
  </si>
  <si>
    <t xml:space="preserve">ООО "Логистический партнер" </t>
  </si>
  <si>
    <t>ПРС ЗПФ</t>
  </si>
  <si>
    <t>г. Мариуполь ул.Куприна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</si>
</sst>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90" zoomScaleNormal="90" workbookViewId="0">
      <pane ySplit="9" topLeftCell="A170" activePane="bottomLeft" state="frozen"/>
      <selection pane="bottomLeft" activeCell="L190" sqref="L190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130439107</v>
      </c>
      <c r="E1" s="187" t="s">
        <v>241</v>
      </c>
      <c r="F1" s="188"/>
      <c r="G1" s="188"/>
      <c r="H1" s="188"/>
      <c r="I1" s="188"/>
      <c r="J1" s="189"/>
      <c r="K1" s="116"/>
    </row>
    <row r="2" spans="1:67" ht="16.5" customHeight="1" thickTop="1" thickBot="1" x14ac:dyDescent="0.3">
      <c r="K2" s="116"/>
      <c r="L2" s="112">
        <v>130438384</v>
      </c>
      <c r="M2" s="112" t="s">
        <v>237</v>
      </c>
    </row>
    <row r="3" spans="1:67" ht="19.5" customHeight="1" thickTop="1" thickBot="1" x14ac:dyDescent="0.3">
      <c r="B3" s="32"/>
      <c r="C3" s="7" t="s">
        <v>1</v>
      </c>
      <c r="D3" s="54">
        <v>46323</v>
      </c>
      <c r="E3" s="7" t="s">
        <v>2</v>
      </c>
      <c r="F3" s="54">
        <f>D3+3</f>
        <v>46326</v>
      </c>
      <c r="G3" s="190" t="s">
        <v>243</v>
      </c>
      <c r="H3" s="188"/>
      <c r="I3" s="188"/>
      <c r="J3" s="189"/>
      <c r="K3" s="116"/>
      <c r="L3" s="112">
        <v>130438644</v>
      </c>
      <c r="M3" s="112" t="s">
        <v>238</v>
      </c>
    </row>
    <row r="4" spans="1:67" ht="15.75" customHeight="1" thickTop="1" x14ac:dyDescent="0.25">
      <c r="K4" s="137"/>
      <c r="L4" s="112">
        <v>130439106</v>
      </c>
      <c r="M4" s="112" t="s">
        <v>239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L5" s="112">
        <v>130439107</v>
      </c>
      <c r="M5" s="112" t="s">
        <v>240</v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L7" s="112">
        <v>130133072</v>
      </c>
      <c r="M7" s="115" t="s">
        <v>242</v>
      </c>
    </row>
    <row r="8" spans="1:67" ht="16.5" customHeight="1" thickTop="1" thickBot="1" x14ac:dyDescent="0.3">
      <c r="M8" s="115"/>
    </row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hidden="1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0">E13</f>
        <v>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thickTop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100</v>
      </c>
      <c r="F14" s="23">
        <v>1.35</v>
      </c>
      <c r="G14" s="23">
        <f t="shared" si="0"/>
        <v>100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0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100</v>
      </c>
      <c r="F16" s="23">
        <v>1.35</v>
      </c>
      <c r="G16" s="23">
        <f t="shared" si="0"/>
        <v>100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0"/>
        <v>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100</v>
      </c>
      <c r="F18" s="23">
        <v>1</v>
      </c>
      <c r="G18" s="23">
        <f t="shared" si="0"/>
        <v>100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0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0"/>
        <v>0</v>
      </c>
      <c r="H20" s="14">
        <v>3.9</v>
      </c>
      <c r="I20" s="14">
        <v>60</v>
      </c>
      <c r="J20" s="29"/>
      <c r="L20" s="115"/>
    </row>
    <row r="21" spans="1:67" ht="16.5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>
        <v>110</v>
      </c>
      <c r="F21" s="23">
        <v>0.35</v>
      </c>
      <c r="G21" s="23">
        <f>E21*F21</f>
        <v>38.5</v>
      </c>
      <c r="H21" s="14">
        <v>2.8</v>
      </c>
      <c r="I21" s="14">
        <v>60</v>
      </c>
      <c r="J21" s="60"/>
      <c r="L21" s="115"/>
    </row>
    <row r="22" spans="1:67" ht="16.5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>
        <v>100</v>
      </c>
      <c r="F22" s="23">
        <v>0.4</v>
      </c>
      <c r="G22" s="23">
        <f t="shared" ref="G22:G23" si="1">E22*F22</f>
        <v>40</v>
      </c>
      <c r="H22" s="14">
        <v>3.2</v>
      </c>
      <c r="I22" s="14">
        <v>60</v>
      </c>
      <c r="J22" s="29"/>
      <c r="L22" s="115"/>
    </row>
    <row r="23" spans="1:67" ht="16.5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>
        <v>70</v>
      </c>
      <c r="F23" s="23">
        <v>0.4</v>
      </c>
      <c r="G23" s="23">
        <f t="shared" si="1"/>
        <v>28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2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6">
        <v>7632</v>
      </c>
      <c r="B25" s="55" t="s">
        <v>184</v>
      </c>
      <c r="C25" s="56" t="s">
        <v>20</v>
      </c>
      <c r="D25" s="58">
        <v>1001012507632</v>
      </c>
      <c r="E25" s="24">
        <v>100</v>
      </c>
      <c r="F25" s="59">
        <v>0.4</v>
      </c>
      <c r="G25" s="23">
        <f t="shared" ref="G25:G35" si="3">E25*F25</f>
        <v>40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>
        <v>160</v>
      </c>
      <c r="F26" s="59">
        <v>0.4</v>
      </c>
      <c r="G26" s="23">
        <f t="shared" si="3"/>
        <v>64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3"/>
        <v>0</v>
      </c>
      <c r="H27" s="144">
        <v>4</v>
      </c>
      <c r="I27" s="144">
        <v>60</v>
      </c>
      <c r="J27" s="144" t="s">
        <v>196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3"/>
        <v>0</v>
      </c>
      <c r="H28" s="144">
        <v>4</v>
      </c>
      <c r="I28" s="144">
        <v>60</v>
      </c>
      <c r="J28" s="144" t="s">
        <v>196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160</v>
      </c>
      <c r="F29" s="23">
        <v>0.4</v>
      </c>
      <c r="G29" s="23">
        <f t="shared" si="3"/>
        <v>64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160</v>
      </c>
      <c r="F30" s="23">
        <v>0.4</v>
      </c>
      <c r="G30" s="23">
        <f t="shared" si="3"/>
        <v>64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3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3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>
        <v>50</v>
      </c>
      <c r="F33" s="59">
        <v>0.3</v>
      </c>
      <c r="G33" s="23">
        <f t="shared" si="3"/>
        <v>15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203</v>
      </c>
      <c r="C34" s="56" t="s">
        <v>20</v>
      </c>
      <c r="D34" s="70">
        <v>1001017557514</v>
      </c>
      <c r="E34" s="24"/>
      <c r="F34" s="151">
        <v>1.6</v>
      </c>
      <c r="G34" s="23">
        <f t="shared" si="3"/>
        <v>0</v>
      </c>
      <c r="H34" s="60">
        <v>6.4</v>
      </c>
      <c r="I34" s="60">
        <v>30</v>
      </c>
      <c r="J34" s="152" t="s">
        <v>186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204</v>
      </c>
      <c r="C35" s="56" t="s">
        <v>20</v>
      </c>
      <c r="D35" s="70">
        <v>1001017567518</v>
      </c>
      <c r="E35" s="24"/>
      <c r="F35" s="151">
        <v>1.35</v>
      </c>
      <c r="G35" s="23">
        <f t="shared" si="3"/>
        <v>0</v>
      </c>
      <c r="H35" s="60">
        <v>2.7</v>
      </c>
      <c r="I35" s="60">
        <v>30</v>
      </c>
      <c r="J35" s="152" t="s">
        <v>186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4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4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4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4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4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4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/>
      <c r="F43" s="59">
        <v>2.1</v>
      </c>
      <c r="G43" s="23">
        <f t="shared" si="4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100</v>
      </c>
      <c r="F44" s="59">
        <v>1.5</v>
      </c>
      <c r="G44" s="23">
        <f t="shared" si="4"/>
        <v>100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178</v>
      </c>
      <c r="C45" s="56" t="s">
        <v>22</v>
      </c>
      <c r="D45" s="70">
        <v>1001022657076</v>
      </c>
      <c r="E45" s="24"/>
      <c r="F45" s="59">
        <v>1.5</v>
      </c>
      <c r="G45" s="23">
        <f t="shared" si="4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4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100</v>
      </c>
      <c r="F47" s="59">
        <v>1.5</v>
      </c>
      <c r="G47" s="23">
        <f t="shared" si="4"/>
        <v>100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>
        <v>100</v>
      </c>
      <c r="F48" s="59">
        <v>1.5</v>
      </c>
      <c r="G48" s="23">
        <f t="shared" si="4"/>
        <v>100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5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5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5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5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customHeight="1" x14ac:dyDescent="0.25">
      <c r="A53" s="57">
        <v>7123</v>
      </c>
      <c r="B53" s="55" t="s">
        <v>179</v>
      </c>
      <c r="C53" s="56" t="s">
        <v>20</v>
      </c>
      <c r="D53" s="70">
        <v>1001020867123</v>
      </c>
      <c r="E53" s="24">
        <v>50</v>
      </c>
      <c r="F53" s="59">
        <v>0.3</v>
      </c>
      <c r="G53" s="23">
        <f t="shared" si="5"/>
        <v>15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>
        <v>60</v>
      </c>
      <c r="F54" s="59">
        <v>0.4</v>
      </c>
      <c r="G54" s="23">
        <f t="shared" si="5"/>
        <v>24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>
        <v>100</v>
      </c>
      <c r="F55" s="59">
        <v>0.4</v>
      </c>
      <c r="G55" s="23">
        <f t="shared" si="5"/>
        <v>40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180</v>
      </c>
      <c r="C56" s="140" t="s">
        <v>20</v>
      </c>
      <c r="D56" s="145">
        <v>1001025767284</v>
      </c>
      <c r="E56" s="142"/>
      <c r="F56" s="143">
        <v>0.33</v>
      </c>
      <c r="G56" s="143">
        <f t="shared" si="5"/>
        <v>0</v>
      </c>
      <c r="H56" s="144">
        <v>1.98</v>
      </c>
      <c r="I56" s="144">
        <v>30</v>
      </c>
      <c r="J56" s="144" t="s">
        <v>196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182</v>
      </c>
      <c r="C57" s="56" t="s">
        <v>20</v>
      </c>
      <c r="D57" s="70">
        <v>1001025767461</v>
      </c>
      <c r="E57" s="24">
        <v>50</v>
      </c>
      <c r="F57" s="59">
        <v>0.33</v>
      </c>
      <c r="G57" s="23">
        <f>E57*F57</f>
        <v>16.5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181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5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183</v>
      </c>
      <c r="C59" s="140" t="s">
        <v>20</v>
      </c>
      <c r="D59" s="145">
        <v>1001026947371</v>
      </c>
      <c r="E59" s="142"/>
      <c r="F59" s="143">
        <v>0.3</v>
      </c>
      <c r="G59" s="143">
        <f t="shared" si="5"/>
        <v>0</v>
      </c>
      <c r="H59" s="144">
        <v>2.4</v>
      </c>
      <c r="I59" s="144">
        <v>45</v>
      </c>
      <c r="J59" s="144" t="s">
        <v>196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>
        <v>100</v>
      </c>
      <c r="F60" s="59">
        <v>0.4</v>
      </c>
      <c r="G60" s="23">
        <f t="shared" si="5"/>
        <v>40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>
        <v>150</v>
      </c>
      <c r="F61" s="23">
        <v>0.41</v>
      </c>
      <c r="G61" s="23">
        <f t="shared" si="5"/>
        <v>61.499999999999993</v>
      </c>
      <c r="H61" s="14">
        <v>4.0999999999999996</v>
      </c>
      <c r="I61" s="14">
        <v>50</v>
      </c>
      <c r="J61" s="29"/>
      <c r="L61" s="115"/>
    </row>
    <row r="62" spans="1:67" ht="16.5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>
        <v>150</v>
      </c>
      <c r="F62" s="23">
        <v>0.41</v>
      </c>
      <c r="G62" s="23">
        <f t="shared" si="5"/>
        <v>61.499999999999993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150</v>
      </c>
      <c r="F63" s="23">
        <v>0.41</v>
      </c>
      <c r="G63" s="23">
        <f t="shared" si="5"/>
        <v>61.499999999999993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205</v>
      </c>
      <c r="L64" s="115"/>
    </row>
    <row r="65" spans="1:12" ht="16.5" customHeight="1" x14ac:dyDescent="0.25">
      <c r="A65" s="57">
        <v>7490</v>
      </c>
      <c r="B65" s="161" t="s">
        <v>206</v>
      </c>
      <c r="C65" s="56" t="s">
        <v>20</v>
      </c>
      <c r="D65" s="162">
        <v>1001027417490</v>
      </c>
      <c r="E65" s="163">
        <v>150</v>
      </c>
      <c r="F65" s="164">
        <v>0.41</v>
      </c>
      <c r="G65" s="165">
        <f>E65*F65</f>
        <v>61.499999999999993</v>
      </c>
      <c r="H65" s="166">
        <v>3.28</v>
      </c>
      <c r="I65" s="167">
        <v>45</v>
      </c>
      <c r="J65" s="168" t="s">
        <v>207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150</v>
      </c>
      <c r="F66" s="23">
        <v>0.4</v>
      </c>
      <c r="G66" s="23">
        <f t="shared" si="5"/>
        <v>60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5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200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201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202</v>
      </c>
      <c r="L69" s="115"/>
    </row>
    <row r="70" spans="1:12" ht="16.5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>
        <v>100</v>
      </c>
      <c r="F70" s="23">
        <v>0.35</v>
      </c>
      <c r="G70" s="23">
        <f t="shared" si="5"/>
        <v>35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5"/>
        <v>0</v>
      </c>
      <c r="H71" s="14">
        <v>2.1</v>
      </c>
      <c r="I71" s="14">
        <v>50</v>
      </c>
      <c r="J71" s="29"/>
      <c r="L71" s="115"/>
    </row>
    <row r="72" spans="1:12" ht="16.5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>
        <v>100</v>
      </c>
      <c r="F72" s="23">
        <v>0.3</v>
      </c>
      <c r="G72" s="23">
        <f t="shared" si="5"/>
        <v>30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5"/>
        <v>0</v>
      </c>
      <c r="H74" s="144">
        <v>2.64</v>
      </c>
      <c r="I74" s="144">
        <v>45</v>
      </c>
      <c r="J74" s="144" t="s">
        <v>196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5"/>
        <v>0</v>
      </c>
      <c r="H75" s="144">
        <v>2.64</v>
      </c>
      <c r="I75" s="144">
        <v>45</v>
      </c>
      <c r="J75" s="144" t="s">
        <v>196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6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50</v>
      </c>
      <c r="F78" s="23">
        <v>1</v>
      </c>
      <c r="G78" s="23">
        <f t="shared" si="6"/>
        <v>50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176</v>
      </c>
      <c r="C79" s="51" t="s">
        <v>22</v>
      </c>
      <c r="D79" s="52">
        <v>1001032736549</v>
      </c>
      <c r="E79" s="24"/>
      <c r="F79" s="23">
        <v>1</v>
      </c>
      <c r="G79" s="23">
        <f t="shared" si="6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6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50</v>
      </c>
      <c r="F81" s="23">
        <v>1</v>
      </c>
      <c r="G81" s="23">
        <f t="shared" si="6"/>
        <v>50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7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7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8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8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171</v>
      </c>
      <c r="C87" s="56" t="s">
        <v>22</v>
      </c>
      <c r="D87" s="58">
        <v>1001300456946</v>
      </c>
      <c r="E87" s="24"/>
      <c r="F87" s="23">
        <v>0.84</v>
      </c>
      <c r="G87" s="23">
        <f t="shared" si="8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172</v>
      </c>
      <c r="C88" s="56" t="s">
        <v>22</v>
      </c>
      <c r="D88" s="58">
        <v>1001300517132</v>
      </c>
      <c r="E88" s="24"/>
      <c r="F88" s="59">
        <v>0.84</v>
      </c>
      <c r="G88" s="23">
        <f t="shared" si="8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100</v>
      </c>
      <c r="F89" s="59">
        <v>0.81</v>
      </c>
      <c r="G89" s="23">
        <f t="shared" si="8"/>
        <v>100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100</v>
      </c>
      <c r="F91" s="59">
        <v>0.63</v>
      </c>
      <c r="G91" s="23">
        <f t="shared" ref="G91:G92" si="9">E91</f>
        <v>100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100</v>
      </c>
      <c r="F92" s="59">
        <v>0.7</v>
      </c>
      <c r="G92" s="23">
        <f t="shared" si="9"/>
        <v>100</v>
      </c>
      <c r="H92" s="60">
        <v>5.6</v>
      </c>
      <c r="I92" s="60">
        <v>50</v>
      </c>
      <c r="J92" s="60"/>
      <c r="L92" s="115"/>
    </row>
    <row r="93" spans="1:12" ht="16.5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>
        <v>160</v>
      </c>
      <c r="F93" s="23">
        <v>0.33</v>
      </c>
      <c r="G93" s="23">
        <f t="shared" ref="G93:G115" si="10">E93*F93</f>
        <v>52.800000000000004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199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202</v>
      </c>
      <c r="L94" s="115"/>
    </row>
    <row r="95" spans="1:12" ht="16.5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>
        <v>96</v>
      </c>
      <c r="F95" s="23">
        <v>0.33</v>
      </c>
      <c r="G95" s="23">
        <f t="shared" si="10"/>
        <v>31.68</v>
      </c>
      <c r="H95" s="14">
        <v>2.64</v>
      </c>
      <c r="I95" s="14">
        <v>45</v>
      </c>
      <c r="J95" s="29"/>
      <c r="L95" s="115"/>
    </row>
    <row r="96" spans="1:12" ht="16.5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>
        <v>96</v>
      </c>
      <c r="F96" s="23">
        <v>0.33</v>
      </c>
      <c r="G96" s="23">
        <f t="shared" si="10"/>
        <v>31.68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300</v>
      </c>
      <c r="F97" s="23">
        <v>0.35</v>
      </c>
      <c r="G97" s="23">
        <f t="shared" si="10"/>
        <v>105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300</v>
      </c>
      <c r="F98" s="23">
        <v>0.35</v>
      </c>
      <c r="G98" s="23">
        <f t="shared" si="10"/>
        <v>105</v>
      </c>
      <c r="H98" s="14">
        <v>2.8</v>
      </c>
      <c r="I98" s="14">
        <v>50</v>
      </c>
      <c r="J98" s="29"/>
      <c r="L98" s="115"/>
    </row>
    <row r="99" spans="1:12" ht="15.75" customHeight="1" x14ac:dyDescent="0.25">
      <c r="A99" s="57">
        <v>7233</v>
      </c>
      <c r="B99" s="53" t="s">
        <v>173</v>
      </c>
      <c r="C99" s="51" t="s">
        <v>20</v>
      </c>
      <c r="D99" s="52">
        <v>1001303637233</v>
      </c>
      <c r="E99" s="24">
        <v>120</v>
      </c>
      <c r="F99" s="23">
        <v>0.31</v>
      </c>
      <c r="G99" s="23">
        <f t="shared" si="10"/>
        <v>37.200000000000003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300</v>
      </c>
      <c r="F100" s="23">
        <v>0.28000000000000003</v>
      </c>
      <c r="G100" s="23">
        <f t="shared" si="10"/>
        <v>84.000000000000014</v>
      </c>
      <c r="H100" s="14">
        <v>2.2400000000000002</v>
      </c>
      <c r="I100" s="14">
        <v>45</v>
      </c>
      <c r="J100" s="50"/>
      <c r="L100" s="115"/>
    </row>
    <row r="101" spans="1:12" ht="15.75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>
        <v>140</v>
      </c>
      <c r="F101" s="23">
        <v>0.35</v>
      </c>
      <c r="G101" s="23">
        <f t="shared" si="10"/>
        <v>49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300</v>
      </c>
      <c r="F102" s="23">
        <v>0.28000000000000003</v>
      </c>
      <c r="G102" s="23">
        <f t="shared" si="10"/>
        <v>84.000000000000014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232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186</v>
      </c>
      <c r="L103" s="115"/>
    </row>
    <row r="104" spans="1:12" ht="15.75" hidden="1" customHeight="1" x14ac:dyDescent="0.25">
      <c r="A104" s="149">
        <v>7710</v>
      </c>
      <c r="B104" s="186" t="s">
        <v>233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186</v>
      </c>
      <c r="L104" s="115"/>
    </row>
    <row r="105" spans="1:12" ht="15.75" hidden="1" customHeight="1" x14ac:dyDescent="0.25">
      <c r="A105" s="149">
        <v>7562</v>
      </c>
      <c r="B105" s="186" t="s">
        <v>234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186</v>
      </c>
      <c r="L105" s="115"/>
    </row>
    <row r="106" spans="1:12" ht="15.75" hidden="1" customHeight="1" x14ac:dyDescent="0.25">
      <c r="A106" s="149">
        <v>7516</v>
      </c>
      <c r="B106" s="186" t="s">
        <v>235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1">E106*F106</f>
        <v>0</v>
      </c>
      <c r="H106" s="14">
        <v>2.48</v>
      </c>
      <c r="I106" s="14">
        <v>45</v>
      </c>
      <c r="J106" s="152" t="s">
        <v>186</v>
      </c>
      <c r="L106" s="115"/>
    </row>
    <row r="107" spans="1:12" ht="15.75" hidden="1" customHeight="1" x14ac:dyDescent="0.25">
      <c r="A107" s="149">
        <v>7513</v>
      </c>
      <c r="B107" s="186" t="s">
        <v>236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1"/>
        <v>0</v>
      </c>
      <c r="H107" s="14">
        <v>2.08</v>
      </c>
      <c r="I107" s="14">
        <v>45</v>
      </c>
      <c r="J107" s="152" t="s">
        <v>186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300</v>
      </c>
      <c r="F108" s="23">
        <v>0.35</v>
      </c>
      <c r="G108" s="23">
        <f t="shared" si="10"/>
        <v>105</v>
      </c>
      <c r="H108" s="14">
        <v>2.8</v>
      </c>
      <c r="I108" s="14">
        <v>50</v>
      </c>
      <c r="J108" s="50"/>
      <c r="L108" s="115"/>
    </row>
    <row r="109" spans="1:12" ht="15.75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>
        <v>100</v>
      </c>
      <c r="F109" s="23">
        <v>0.31</v>
      </c>
      <c r="G109" s="23">
        <f t="shared" si="10"/>
        <v>31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0"/>
        <v>0</v>
      </c>
      <c r="H110" s="144">
        <v>2.2400000000000002</v>
      </c>
      <c r="I110" s="144">
        <v>45</v>
      </c>
      <c r="J110" s="144" t="s">
        <v>196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250</v>
      </c>
      <c r="F111" s="23">
        <v>0.28000000000000003</v>
      </c>
      <c r="G111" s="23">
        <f t="shared" si="10"/>
        <v>70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0"/>
        <v>0</v>
      </c>
      <c r="H112" s="144">
        <v>2.2400000000000002</v>
      </c>
      <c r="I112" s="144">
        <v>50</v>
      </c>
      <c r="J112" s="160" t="s">
        <v>211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0"/>
        <v>0</v>
      </c>
      <c r="H113" s="144">
        <v>2.2400000000000002</v>
      </c>
      <c r="I113" s="144">
        <v>50</v>
      </c>
      <c r="J113" s="160" t="s">
        <v>211</v>
      </c>
      <c r="L113" s="115"/>
    </row>
    <row r="114" spans="1:67" ht="15.75" hidden="1" customHeight="1" x14ac:dyDescent="0.25">
      <c r="A114" s="146">
        <v>7608</v>
      </c>
      <c r="B114" s="55" t="s">
        <v>194</v>
      </c>
      <c r="C114" s="51" t="s">
        <v>20</v>
      </c>
      <c r="D114" s="52">
        <v>1001304197608</v>
      </c>
      <c r="E114" s="24"/>
      <c r="F114" s="23">
        <v>0.1</v>
      </c>
      <c r="G114" s="23">
        <f t="shared" si="10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195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0"/>
        <v>0</v>
      </c>
      <c r="H115" s="144">
        <v>1</v>
      </c>
      <c r="I115" s="144">
        <v>45</v>
      </c>
      <c r="J115" s="160" t="s">
        <v>215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customHeight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>
        <v>20</v>
      </c>
      <c r="F117" s="59">
        <v>0.52</v>
      </c>
      <c r="G117" s="23">
        <f t="shared" ref="G117:G121" si="12">E117</f>
        <v>20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2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212</v>
      </c>
      <c r="L119" s="115"/>
    </row>
    <row r="120" spans="1:67" ht="16.5" hidden="1" customHeight="1" x14ac:dyDescent="0.25">
      <c r="A120" s="174">
        <v>7700</v>
      </c>
      <c r="B120" s="161" t="s">
        <v>213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214</v>
      </c>
      <c r="L120" s="115"/>
    </row>
    <row r="121" spans="1:67" ht="16.5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>
        <v>30</v>
      </c>
      <c r="F121" s="23">
        <v>0.49399999999999999</v>
      </c>
      <c r="G121" s="23">
        <f t="shared" si="12"/>
        <v>30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3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3"/>
        <v>0</v>
      </c>
      <c r="H123" s="14">
        <v>3.78</v>
      </c>
      <c r="I123" s="14">
        <v>120</v>
      </c>
      <c r="J123" s="29"/>
      <c r="L123" s="115"/>
    </row>
    <row r="124" spans="1:67" ht="16.5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>
        <v>120</v>
      </c>
      <c r="F124" s="23">
        <v>0.22</v>
      </c>
      <c r="G124" s="23">
        <f t="shared" si="13"/>
        <v>26.4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211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3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3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250</v>
      </c>
      <c r="F128" s="23">
        <v>0.25</v>
      </c>
      <c r="G128" s="23">
        <f t="shared" si="13"/>
        <v>62.5</v>
      </c>
      <c r="H128" s="14">
        <v>2</v>
      </c>
      <c r="I128" s="14">
        <v>120</v>
      </c>
      <c r="J128" s="29"/>
      <c r="L128" s="115"/>
    </row>
    <row r="129" spans="1:12" ht="16.5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>
        <v>40</v>
      </c>
      <c r="F129" s="23">
        <v>0.22</v>
      </c>
      <c r="G129" s="23">
        <f t="shared" si="13"/>
        <v>8.8000000000000007</v>
      </c>
      <c r="H129" s="14">
        <v>1.76</v>
      </c>
      <c r="I129" s="14">
        <v>90</v>
      </c>
      <c r="J129" s="29"/>
      <c r="L129" s="115"/>
    </row>
    <row r="130" spans="1:12" ht="16.5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>
        <v>40</v>
      </c>
      <c r="F130" s="23">
        <v>0.22</v>
      </c>
      <c r="G130" s="23">
        <f t="shared" si="13"/>
        <v>8.8000000000000007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>
        <v>150</v>
      </c>
      <c r="F131" s="23">
        <v>0.25</v>
      </c>
      <c r="G131" s="23">
        <f t="shared" si="13"/>
        <v>37.5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>
        <v>150</v>
      </c>
      <c r="F132" s="23">
        <v>0.25</v>
      </c>
      <c r="G132" s="23">
        <f t="shared" si="13"/>
        <v>37.5</v>
      </c>
      <c r="H132" s="14">
        <v>2</v>
      </c>
      <c r="I132" s="14">
        <v>120</v>
      </c>
      <c r="J132" s="29"/>
      <c r="L132" s="115"/>
    </row>
    <row r="133" spans="1:12" ht="16.5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>
        <v>100</v>
      </c>
      <c r="F133" s="23">
        <v>0.25</v>
      </c>
      <c r="G133" s="23">
        <f t="shared" si="13"/>
        <v>25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250</v>
      </c>
      <c r="F134" s="23">
        <v>0.25</v>
      </c>
      <c r="G134" s="23">
        <f t="shared" si="13"/>
        <v>62.5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200</v>
      </c>
      <c r="F135" s="23">
        <v>0.22</v>
      </c>
      <c r="G135" s="23">
        <f t="shared" si="13"/>
        <v>44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4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4"/>
        <v>0</v>
      </c>
      <c r="H137" s="14">
        <v>2.15</v>
      </c>
      <c r="I137" s="14">
        <v>30</v>
      </c>
      <c r="J137" s="29"/>
      <c r="L137" s="115"/>
    </row>
    <row r="138" spans="1:12" ht="16.5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>
        <v>150</v>
      </c>
      <c r="F138" s="23">
        <v>0.15</v>
      </c>
      <c r="G138" s="23">
        <f t="shared" ref="G138:G148" si="15">E138*F138</f>
        <v>22.5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5"/>
        <v>0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v>100</v>
      </c>
      <c r="F140" s="23">
        <v>0.12</v>
      </c>
      <c r="G140" s="23">
        <f t="shared" si="15"/>
        <v>12</v>
      </c>
      <c r="H140" s="14">
        <v>0.96</v>
      </c>
      <c r="I140" s="14">
        <v>60</v>
      </c>
      <c r="J140" s="29"/>
      <c r="L140" s="115"/>
    </row>
    <row r="141" spans="1:12" ht="16.5" customHeight="1" x14ac:dyDescent="0.25">
      <c r="A141" s="146">
        <v>7613</v>
      </c>
      <c r="B141" s="55" t="s">
        <v>192</v>
      </c>
      <c r="C141" s="51" t="s">
        <v>20</v>
      </c>
      <c r="D141" s="52">
        <v>1001061977613</v>
      </c>
      <c r="E141" s="24">
        <v>100</v>
      </c>
      <c r="F141" s="23">
        <v>0.1</v>
      </c>
      <c r="G141" s="23">
        <f t="shared" si="15"/>
        <v>10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6">
        <v>7616</v>
      </c>
      <c r="B142" s="55" t="s">
        <v>193</v>
      </c>
      <c r="C142" s="51" t="s">
        <v>20</v>
      </c>
      <c r="D142" s="52">
        <v>1001062507616</v>
      </c>
      <c r="E142" s="24">
        <v>100</v>
      </c>
      <c r="F142" s="23">
        <v>0.1</v>
      </c>
      <c r="G142" s="23">
        <f t="shared" si="15"/>
        <v>10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5"/>
        <v>0</v>
      </c>
      <c r="H143" s="14">
        <v>0.9</v>
      </c>
      <c r="I143" s="14">
        <v>60</v>
      </c>
      <c r="J143" s="29"/>
      <c r="L143" s="115"/>
    </row>
    <row r="144" spans="1:12" ht="16.5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>
        <v>80</v>
      </c>
      <c r="F144" s="23">
        <v>0.09</v>
      </c>
      <c r="G144" s="23">
        <f t="shared" si="15"/>
        <v>7.1999999999999993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5"/>
        <v>0</v>
      </c>
      <c r="H145" s="144">
        <v>1</v>
      </c>
      <c r="I145" s="144">
        <v>60</v>
      </c>
      <c r="J145" s="144" t="s">
        <v>191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5"/>
        <v>0</v>
      </c>
      <c r="H146" s="144">
        <v>0.98</v>
      </c>
      <c r="I146" s="144">
        <v>60</v>
      </c>
      <c r="J146" s="144" t="s">
        <v>191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5"/>
        <v>0</v>
      </c>
      <c r="H147" s="144">
        <v>1</v>
      </c>
      <c r="I147" s="144">
        <v>60</v>
      </c>
      <c r="J147" s="144" t="s">
        <v>191</v>
      </c>
      <c r="L147" s="115"/>
    </row>
    <row r="148" spans="1:67" ht="16.5" hidden="1" customHeight="1" thickBot="1" x14ac:dyDescent="0.25">
      <c r="A148" s="146">
        <v>7626</v>
      </c>
      <c r="B148" s="55" t="s">
        <v>190</v>
      </c>
      <c r="C148" s="51" t="s">
        <v>20</v>
      </c>
      <c r="D148" s="52">
        <v>1001066607626</v>
      </c>
      <c r="E148" s="24"/>
      <c r="F148" s="23">
        <v>0.1</v>
      </c>
      <c r="G148" s="23">
        <f t="shared" si="15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219</v>
      </c>
      <c r="L150" s="115"/>
    </row>
    <row r="151" spans="1:67" ht="16.149999999999999" customHeight="1" x14ac:dyDescent="0.25">
      <c r="A151" s="174">
        <v>7726</v>
      </c>
      <c r="B151" s="161" t="s">
        <v>220</v>
      </c>
      <c r="C151" s="175" t="s">
        <v>22</v>
      </c>
      <c r="D151" s="162">
        <v>1001092437726</v>
      </c>
      <c r="E151" s="163">
        <v>70</v>
      </c>
      <c r="F151" s="164">
        <v>1.2</v>
      </c>
      <c r="G151" s="165">
        <f>E151</f>
        <v>70</v>
      </c>
      <c r="H151" s="166">
        <v>4.8</v>
      </c>
      <c r="I151" s="167">
        <v>62</v>
      </c>
      <c r="J151" s="168" t="s">
        <v>221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216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customHeight="1" x14ac:dyDescent="0.25">
      <c r="A153" s="174">
        <v>7725</v>
      </c>
      <c r="B153" s="161" t="s">
        <v>217</v>
      </c>
      <c r="C153" s="175" t="s">
        <v>20</v>
      </c>
      <c r="D153" s="162">
        <v>1001092437725</v>
      </c>
      <c r="E153" s="163">
        <v>100</v>
      </c>
      <c r="F153" s="164">
        <v>0.3</v>
      </c>
      <c r="G153" s="23">
        <f>E153*F153</f>
        <v>30</v>
      </c>
      <c r="H153" s="166">
        <v>4.8</v>
      </c>
      <c r="I153" s="167">
        <v>62</v>
      </c>
      <c r="J153" s="168" t="s">
        <v>218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>
        <v>100</v>
      </c>
      <c r="F154" s="59">
        <v>1.35</v>
      </c>
      <c r="G154" s="23">
        <f t="shared" ref="G154:G157" si="16">E154</f>
        <v>100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>
        <v>40</v>
      </c>
      <c r="F155" s="59">
        <v>1.5</v>
      </c>
      <c r="G155" s="23">
        <f t="shared" si="16"/>
        <v>40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6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167</v>
      </c>
      <c r="C157" s="56" t="s">
        <v>22</v>
      </c>
      <c r="D157" s="70">
        <v>1001092674584</v>
      </c>
      <c r="E157" s="24"/>
      <c r="F157" s="59">
        <v>2.5</v>
      </c>
      <c r="G157" s="23">
        <f t="shared" si="16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x14ac:dyDescent="0.25">
      <c r="A158" s="57">
        <v>3215</v>
      </c>
      <c r="B158" s="55" t="s">
        <v>168</v>
      </c>
      <c r="C158" s="56" t="s">
        <v>20</v>
      </c>
      <c r="D158" s="108">
        <v>1001094053215</v>
      </c>
      <c r="E158" s="24">
        <v>150</v>
      </c>
      <c r="F158" s="59">
        <v>0.4</v>
      </c>
      <c r="G158" s="23">
        <f t="shared" ref="G158:G166" si="17">E158*F158</f>
        <v>60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100</v>
      </c>
      <c r="F159" s="59">
        <v>0.4</v>
      </c>
      <c r="G159" s="23">
        <f t="shared" si="17"/>
        <v>40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7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7"/>
        <v>0</v>
      </c>
      <c r="H161" s="144">
        <v>4.8</v>
      </c>
      <c r="I161" s="144">
        <v>45</v>
      </c>
      <c r="J161" s="160" t="s">
        <v>222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customHeight="1" x14ac:dyDescent="0.25">
      <c r="A162" s="183">
        <v>7723</v>
      </c>
      <c r="B162" s="150" t="s">
        <v>223</v>
      </c>
      <c r="C162" s="56" t="s">
        <v>20</v>
      </c>
      <c r="D162" s="108">
        <v>1001095227723</v>
      </c>
      <c r="E162" s="24">
        <v>80</v>
      </c>
      <c r="F162" s="151">
        <v>0.6</v>
      </c>
      <c r="G162" s="59">
        <f t="shared" si="17"/>
        <v>48</v>
      </c>
      <c r="H162" s="60">
        <v>4.8</v>
      </c>
      <c r="I162" s="60">
        <v>62</v>
      </c>
      <c r="J162" s="168" t="s">
        <v>224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185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7"/>
        <v>0</v>
      </c>
      <c r="H163" s="157">
        <v>0.8</v>
      </c>
      <c r="I163" s="173">
        <v>30</v>
      </c>
      <c r="J163" s="160" t="s">
        <v>225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226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7"/>
        <v>0</v>
      </c>
      <c r="H164" s="176">
        <v>0.8</v>
      </c>
      <c r="I164" s="184">
        <v>62</v>
      </c>
      <c r="J164" s="168" t="s">
        <v>227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187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7"/>
        <v>0</v>
      </c>
      <c r="H165" s="157">
        <v>0.8</v>
      </c>
      <c r="I165" s="173">
        <v>30</v>
      </c>
      <c r="J165" s="160" t="s">
        <v>228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25">
      <c r="A166" s="174">
        <v>7731</v>
      </c>
      <c r="B166" s="161" t="s">
        <v>229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7"/>
        <v>0</v>
      </c>
      <c r="H166" s="166">
        <v>0.8</v>
      </c>
      <c r="I166" s="167">
        <v>62</v>
      </c>
      <c r="J166" s="168" t="s">
        <v>230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197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25">
      <c r="A168" s="146">
        <v>7485</v>
      </c>
      <c r="B168" s="35" t="s">
        <v>198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customHeight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>
        <v>50</v>
      </c>
      <c r="F170" s="23">
        <v>1.05</v>
      </c>
      <c r="G170" s="23">
        <f>E170</f>
        <v>50</v>
      </c>
      <c r="H170" s="14">
        <v>3.15</v>
      </c>
      <c r="I170" s="14">
        <v>30</v>
      </c>
      <c r="J170" s="29"/>
      <c r="L170" s="115"/>
    </row>
    <row r="171" spans="1:67" ht="16.5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>
        <v>150</v>
      </c>
      <c r="F171" s="23">
        <v>0.3</v>
      </c>
      <c r="G171" s="23">
        <f t="shared" ref="G171:G182" si="18">E171*F171</f>
        <v>45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188</v>
      </c>
      <c r="C172" s="51" t="s">
        <v>22</v>
      </c>
      <c r="D172" s="52">
        <v>1001084856008</v>
      </c>
      <c r="E172" s="24"/>
      <c r="F172" s="23">
        <v>0.3</v>
      </c>
      <c r="G172" s="23">
        <f t="shared" si="18"/>
        <v>0</v>
      </c>
      <c r="H172" s="14">
        <v>1.8</v>
      </c>
      <c r="I172" s="14">
        <v>40</v>
      </c>
      <c r="J172" s="60"/>
      <c r="L172" s="115"/>
    </row>
    <row r="173" spans="1:67" ht="16.5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>
        <v>150</v>
      </c>
      <c r="F173" s="23">
        <v>0.3</v>
      </c>
      <c r="G173" s="23">
        <f t="shared" si="18"/>
        <v>45</v>
      </c>
      <c r="H173" s="14">
        <v>1.8</v>
      </c>
      <c r="I173" s="14">
        <v>50</v>
      </c>
      <c r="J173" s="29"/>
      <c r="L173" s="115"/>
    </row>
    <row r="174" spans="1:67" ht="16.5" customHeight="1" x14ac:dyDescent="0.25">
      <c r="A174" s="57">
        <v>7103</v>
      </c>
      <c r="B174" s="35" t="s">
        <v>169</v>
      </c>
      <c r="C174" s="51" t="s">
        <v>20</v>
      </c>
      <c r="D174" s="52">
        <v>1001223297103</v>
      </c>
      <c r="E174" s="24">
        <v>200</v>
      </c>
      <c r="F174" s="23">
        <v>0.18</v>
      </c>
      <c r="G174" s="23">
        <f t="shared" si="18"/>
        <v>36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8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9">
        <v>6929</v>
      </c>
      <c r="B176" s="169" t="s">
        <v>231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186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8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8"/>
        <v>0</v>
      </c>
      <c r="H178" s="144">
        <v>1</v>
      </c>
      <c r="I178" s="144">
        <v>45</v>
      </c>
      <c r="J178" s="160" t="s">
        <v>211</v>
      </c>
      <c r="L178" s="115"/>
    </row>
    <row r="179" spans="1:12" ht="16.5" customHeight="1" x14ac:dyDescent="0.25">
      <c r="A179" s="57">
        <v>6754</v>
      </c>
      <c r="B179" s="35" t="s">
        <v>170</v>
      </c>
      <c r="C179" s="51" t="s">
        <v>20</v>
      </c>
      <c r="D179" s="52">
        <v>1001225406754</v>
      </c>
      <c r="E179" s="24">
        <v>50</v>
      </c>
      <c r="F179" s="23">
        <v>0.09</v>
      </c>
      <c r="G179" s="23">
        <f t="shared" si="18"/>
        <v>4.5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8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8"/>
        <v>0</v>
      </c>
      <c r="H181" s="14">
        <v>0.9</v>
      </c>
      <c r="I181" s="14">
        <v>45</v>
      </c>
      <c r="J181" s="29"/>
      <c r="L181" s="115"/>
    </row>
    <row r="182" spans="1:12" ht="16.5" customHeight="1" thickBot="1" x14ac:dyDescent="0.3">
      <c r="A182" s="146">
        <v>7612</v>
      </c>
      <c r="B182" s="147" t="s">
        <v>189</v>
      </c>
      <c r="C182" s="51" t="s">
        <v>20</v>
      </c>
      <c r="D182" s="52">
        <v>1001453907612</v>
      </c>
      <c r="E182" s="24">
        <v>100</v>
      </c>
      <c r="F182" s="23">
        <v>0.1</v>
      </c>
      <c r="G182" s="23">
        <f t="shared" si="18"/>
        <v>10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208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209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186</v>
      </c>
      <c r="L184" s="115"/>
    </row>
    <row r="185" spans="1:12" ht="16.5" hidden="1" customHeight="1" thickBot="1" x14ac:dyDescent="0.3">
      <c r="A185" s="149">
        <v>7345</v>
      </c>
      <c r="B185" s="169" t="s">
        <v>210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186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8902</v>
      </c>
      <c r="F186" s="17"/>
      <c r="G186" s="17">
        <f>SUM(G11:G185)</f>
        <v>3649.56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166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167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168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169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170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171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172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173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174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175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176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177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178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179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180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181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182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183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2026-10-21T12:16:05Z</dcterms:modified>
</cp:coreProperties>
</file>