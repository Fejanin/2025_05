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'Бланк'!$A$9:$J$24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1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</fonts>
  <fills count="9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</cellStyleXfs>
  <cellXfs count="63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15" fillId="3" borderId="2" applyAlignment="1" pivotButton="0" quotePrefix="0" xfId="0">
      <alignment horizontal="center" vertical="center"/>
    </xf>
    <xf numFmtId="1" fontId="9" fillId="8" borderId="14" applyAlignment="1" pivotButton="0" quotePrefix="0" xfId="0">
      <alignment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38"/>
  <sheetViews>
    <sheetView tabSelected="1" zoomScale="85" zoomScaleNormal="85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19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0">
        <f>K5</f>
        <v/>
      </c>
      <c r="E1" s="56" t="inlineStr">
        <is>
          <t>ООО Новое время</t>
        </is>
      </c>
      <c r="F1" s="60" t="n"/>
      <c r="G1" s="60" t="n"/>
      <c r="H1" s="60" t="n"/>
      <c r="I1" s="60" t="n"/>
      <c r="J1" s="61" t="n"/>
      <c r="K1" s="26" t="n">
        <v>130133079</v>
      </c>
      <c r="L1" t="inlineStr">
        <is>
          <t>ООО "НОВОЕ ВРЕМЯ"</t>
        </is>
      </c>
      <c r="M1" t="inlineStr">
        <is>
          <t>Запорожская область</t>
        </is>
      </c>
      <c r="N1" t="inlineStr">
        <is>
          <t>Мелитополь г, Северный переезд ул. стр. 3, Семёновка с</t>
        </is>
      </c>
    </row>
    <row r="2" ht="16.5" customHeight="1" thickBot="1" thickTop="1">
      <c r="K2" s="26" t="n">
        <v>130133082</v>
      </c>
      <c r="L2" t="inlineStr">
        <is>
          <t>ООО "НОВОЕ ВРЕМЯ"</t>
        </is>
      </c>
      <c r="M2" t="inlineStr">
        <is>
          <t>Запорожская область</t>
        </is>
      </c>
      <c r="N2" t="inlineStr">
        <is>
          <t>Трояны с</t>
        </is>
      </c>
    </row>
    <row r="3" ht="19.5" customHeight="1" thickBot="1" thickTop="1">
      <c r="B3" s="31" t="n"/>
      <c r="C3" s="7" t="inlineStr">
        <is>
          <t xml:space="preserve">Дата отгрузки с ОМПК: </t>
        </is>
      </c>
      <c r="D3" s="59" t="n">
        <v>46323</v>
      </c>
      <c r="E3" s="7" t="inlineStr">
        <is>
          <t xml:space="preserve">Доставка: </t>
        </is>
      </c>
      <c r="F3" s="59">
        <f>D3+3</f>
        <v/>
      </c>
      <c r="G3" s="59">
        <f>L5</f>
        <v/>
      </c>
      <c r="H3" s="60" t="n"/>
      <c r="I3" s="60" t="n"/>
      <c r="J3" s="61" t="n"/>
      <c r="K3" s="26" t="n">
        <v>130133081</v>
      </c>
      <c r="L3" t="inlineStr">
        <is>
          <t>ООО "НОВОЕ ВРЕМЯ"</t>
        </is>
      </c>
      <c r="M3" t="inlineStr">
        <is>
          <t>Луганская Народная Республика</t>
        </is>
      </c>
      <c r="N3" t="inlineStr">
        <is>
          <t>Луганск г., Рабочая ул. д.10А</t>
        </is>
      </c>
    </row>
    <row r="4" ht="15.75" customHeight="1" thickTop="1">
      <c r="K4" s="26" t="n">
        <v>130133080</v>
      </c>
      <c r="L4" t="inlineStr">
        <is>
          <t>ООО "НОВОЕ ВРЕМЯ"</t>
        </is>
      </c>
      <c r="M4" t="inlineStr">
        <is>
          <t>Донецкая Народная Республика</t>
        </is>
      </c>
      <c r="N4" t="inlineStr">
        <is>
          <t>Донецк г, Чаадаева ул. д.1</t>
        </is>
      </c>
    </row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  <c r="K5" s="26" t="n">
        <v>130439503</v>
      </c>
      <c r="L5" t="inlineStr">
        <is>
          <t>ООО "НОВОЕ ВРЕМЯ" Мариуполь</t>
        </is>
      </c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4" t="inlineStr">
        <is>
          <t>кратко</t>
        </is>
      </c>
      <c r="B9" s="42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5" t="n"/>
      <c r="B10" s="40" t="inlineStr">
        <is>
          <t>Вареные колбасы</t>
        </is>
      </c>
      <c r="C10" s="40" t="n"/>
      <c r="D10" s="40" t="n"/>
      <c r="E10" s="40" t="n"/>
      <c r="F10" s="39" t="n"/>
      <c r="G10" s="40" t="n"/>
      <c r="H10" s="40" t="n"/>
      <c r="I10" s="40" t="n"/>
      <c r="J10" s="41" t="n"/>
    </row>
    <row r="11" ht="16.5" customHeight="1" thickBot="1" thickTop="1">
      <c r="A11" s="45" t="inlineStr"/>
      <c r="B11" s="40" t="inlineStr">
        <is>
          <t>Блины</t>
        </is>
      </c>
      <c r="C11" s="40" t="n"/>
      <c r="D11" s="40" t="n"/>
      <c r="E11" s="40" t="n"/>
      <c r="F11" s="39" t="n"/>
      <c r="G11" s="40" t="n"/>
      <c r="H11" s="40" t="n"/>
      <c r="I11" s="40" t="n"/>
      <c r="J11" s="41" t="n"/>
    </row>
    <row r="12" ht="16.5" customHeight="1" thickTop="1">
      <c r="A12" s="53">
        <f>RIGHT(D12,4)</f>
        <v/>
      </c>
      <c r="B12" s="48" t="inlineStr">
        <is>
          <t>БЛИНЧ.КРУГЛЫЕ С ГРУШЕЙ пл.1/420 зам.</t>
        </is>
      </c>
      <c r="C12" s="46" t="inlineStr">
        <is>
          <t>ШТ</t>
        </is>
      </c>
      <c r="D12" s="47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3">
        <f>RIGHT(D13,4)</f>
        <v/>
      </c>
      <c r="B13" s="48" t="inlineStr">
        <is>
          <t>БЛИНЧ.КРУГЛЫЕ С ПЕЧЕНЬЮ ПМ 1/300 зам.</t>
        </is>
      </c>
      <c r="C13" s="46" t="inlineStr">
        <is>
          <t>ШТ</t>
        </is>
      </c>
      <c r="D13" s="47" t="n">
        <v>1002131166149</v>
      </c>
      <c r="E13" s="23" t="n">
        <v>70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3">
        <f>RIGHT(D14,4)</f>
        <v/>
      </c>
      <c r="B14" s="48" t="inlineStr">
        <is>
          <t>БЛИНЧ.КРУГЛЫЕ С САД.ЯБЛОК.пл.1/300 зам.</t>
        </is>
      </c>
      <c r="C14" s="46" t="inlineStr">
        <is>
          <t>ШТ</t>
        </is>
      </c>
      <c r="D14" s="47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3">
        <f>RIGHT(D15,4)</f>
        <v/>
      </c>
      <c r="B15" s="48" t="inlineStr">
        <is>
          <t>БЛИНЧ.КРУГЛЫЕ С ТВОРОГОМ ПМ 1/300 зам.</t>
        </is>
      </c>
      <c r="C15" s="46" t="inlineStr">
        <is>
          <t>ШТ</t>
        </is>
      </c>
      <c r="D15" s="47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3">
        <f>RIGHT(D16,4)</f>
        <v/>
      </c>
      <c r="B16" s="48" t="inlineStr">
        <is>
          <t>БЛИНЧ.КРУГЛЫЕ С ВЕТЧ.И СЫР.ПМ 1/300 зам.</t>
        </is>
      </c>
      <c r="C16" s="46" t="inlineStr">
        <is>
          <t>ШТ</t>
        </is>
      </c>
      <c r="D16" s="47" t="n">
        <v>1002133376148</v>
      </c>
      <c r="E16" s="23" t="n">
        <v>30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3">
        <f>RIGHT(D17,4)</f>
        <v/>
      </c>
      <c r="B17" s="48" t="inlineStr">
        <is>
          <t>БЛИНЧ.С КУРИНЫМ МЯСОМ пл.1/350 зам.</t>
        </is>
      </c>
      <c r="C17" s="46" t="inlineStr">
        <is>
          <t>ШТ</t>
        </is>
      </c>
      <c r="D17" s="47" t="n">
        <v>1002131146209</v>
      </c>
      <c r="E17" s="23" t="n">
        <v>70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3">
        <f>RIGHT(D18,4)</f>
        <v/>
      </c>
      <c r="B18" s="48" t="inlineStr">
        <is>
          <t>БЛИНЧ.С МЯСОМ пл.1/350 зам.</t>
        </is>
      </c>
      <c r="C18" s="46" t="inlineStr">
        <is>
          <t>ШТ</t>
        </is>
      </c>
      <c r="D18" s="47" t="n">
        <v>1002131156168</v>
      </c>
      <c r="E18" s="23" t="n">
        <v>30</v>
      </c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3">
        <f>RIGHT(D19,4)</f>
        <v/>
      </c>
      <c r="B19" s="48" t="inlineStr">
        <is>
          <t>БЛИНЧ.КРУГЛЫЕ С САД.ЯБЛОК.1/420 зам_ПОСТ</t>
        </is>
      </c>
      <c r="C19" s="46" t="inlineStr">
        <is>
          <t>ШТ</t>
        </is>
      </c>
      <c r="D19" s="47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3">
        <f>RIGHT(D20,4)</f>
        <v/>
      </c>
      <c r="B20" s="54" t="inlineStr">
        <is>
          <t>БЛИНЧ.КРУГЛЫЕ С МЯСОМ 4.5кг зам_ФМ</t>
        </is>
      </c>
      <c r="C20" s="46" t="inlineStr">
        <is>
          <t>КГ</t>
        </is>
      </c>
      <c r="D20" s="47" t="n">
        <v>1002131155754</v>
      </c>
      <c r="E20" s="23" t="n"/>
      <c r="F20" s="22" t="n">
        <v>4.5</v>
      </c>
      <c r="G20" s="55">
        <f>E20</f>
        <v/>
      </c>
      <c r="H20" s="14" t="n">
        <v>4.5</v>
      </c>
      <c r="I20" s="14" t="n">
        <v>120</v>
      </c>
      <c r="J20" s="28" t="n"/>
    </row>
    <row r="21" ht="15.75" customHeight="1">
      <c r="A21" s="53">
        <f>RIGHT(D21,4)</f>
        <v/>
      </c>
      <c r="B21" s="48" t="inlineStr">
        <is>
          <t>БЛИНЧ.КРУГЛЫЕ С ТВОРОГОМ 4.5кг зам_ФМ</t>
        </is>
      </c>
      <c r="C21" s="46" t="inlineStr">
        <is>
          <t>КГ</t>
        </is>
      </c>
      <c r="D21" s="47" t="n">
        <v>1002131185755</v>
      </c>
      <c r="E21" s="23" t="n"/>
      <c r="F21" s="22" t="n">
        <v>4.5</v>
      </c>
      <c r="G21" s="55">
        <f>E21</f>
        <v/>
      </c>
      <c r="H21" s="14" t="n">
        <v>4.5</v>
      </c>
      <c r="I21" s="14" t="n">
        <v>120</v>
      </c>
      <c r="J21" s="28" t="n"/>
    </row>
    <row r="22" ht="16.5" customHeight="1">
      <c r="A22" s="51" t="n"/>
      <c r="B22" s="62" t="inlineStr">
        <is>
          <t>Пельмени/Вареники</t>
        </is>
      </c>
    </row>
    <row r="23" ht="15.75" customHeight="1">
      <c r="A23" s="53">
        <f>RIGHT(D23,4)</f>
        <v/>
      </c>
      <c r="B23" s="54" t="inlineStr">
        <is>
          <t>СОЧНЫЕ СО СЛ.МАСЛ.ПМ пельм пл.0.7кг зам.</t>
        </is>
      </c>
      <c r="C23" s="46" t="inlineStr">
        <is>
          <t>ШТ</t>
        </is>
      </c>
      <c r="D23" s="47" t="n">
        <v>1002116437216</v>
      </c>
      <c r="E23" s="23" t="n"/>
      <c r="F23" s="22" t="n">
        <v>0.7</v>
      </c>
      <c r="G23" s="55">
        <f>E23*F23</f>
        <v/>
      </c>
      <c r="H23" s="14" t="n"/>
      <c r="I23" s="14" t="n"/>
      <c r="J23" s="28" t="n"/>
    </row>
    <row r="24">
      <c r="A24" s="53">
        <f>RIGHT(D24,4)</f>
        <v/>
      </c>
      <c r="B24" s="54" t="inlineStr">
        <is>
          <t>ОСТАНКИНСКИЕ пельм кор.0.5кг зам_NEW</t>
        </is>
      </c>
      <c r="C24" s="46" t="inlineStr">
        <is>
          <t>ШТ</t>
        </is>
      </c>
      <c r="D24" s="47" t="n">
        <v>1002112606824</v>
      </c>
      <c r="E24" s="23" t="n"/>
      <c r="F24" s="22" t="n">
        <v>0.5</v>
      </c>
      <c r="G24" s="55">
        <f>E24*F24</f>
        <v/>
      </c>
      <c r="H24" s="14" t="n"/>
      <c r="I24" s="14" t="n"/>
      <c r="J24" s="28" t="n"/>
    </row>
    <row r="25">
      <c r="A25" s="53">
        <f>RIGHT(D25,4)</f>
        <v/>
      </c>
      <c r="B25" s="54" t="inlineStr">
        <is>
          <t>С КАРТОФ.И ГРИБ.вареники пл.0.42кг зам.</t>
        </is>
      </c>
      <c r="C25" s="46" t="inlineStr">
        <is>
          <t>ШТ</t>
        </is>
      </c>
      <c r="D25" s="47" t="n">
        <v>1002151787049</v>
      </c>
      <c r="E25" s="23" t="n"/>
      <c r="F25" s="22" t="n">
        <v>0.42</v>
      </c>
      <c r="G25" s="55">
        <f>E25*F25</f>
        <v/>
      </c>
      <c r="H25" s="14" t="n"/>
      <c r="I25" s="14" t="n"/>
      <c r="J25" s="28" t="n"/>
    </row>
    <row r="26">
      <c r="A26" s="53">
        <f>RIGHT(D26,4)</f>
        <v/>
      </c>
      <c r="B26" s="54" t="inlineStr">
        <is>
          <t>ОСТАНКИНСКИЕ пельм пл. 0.7кг 10шт.зам.</t>
        </is>
      </c>
      <c r="C26" s="46" t="inlineStr">
        <is>
          <t>ШТ</t>
        </is>
      </c>
      <c r="D26" s="47" t="n">
        <v>1002112607085</v>
      </c>
      <c r="E26" s="23" t="n"/>
      <c r="F26" s="22" t="n">
        <v>0.7</v>
      </c>
      <c r="G26" s="55">
        <f>E26*F26</f>
        <v/>
      </c>
      <c r="H26" s="14" t="n"/>
      <c r="I26" s="14" t="n"/>
      <c r="J26" s="28" t="n"/>
    </row>
    <row r="27">
      <c r="A27" s="53">
        <f>RIGHT(D27,4)</f>
        <v/>
      </c>
      <c r="B27" s="54" t="inlineStr">
        <is>
          <t>СОЧНЫЕ Папа Может пельм пл.0.42кг зам.</t>
        </is>
      </c>
      <c r="C27" s="46" t="inlineStr">
        <is>
          <t>ШТ</t>
        </is>
      </c>
      <c r="D27" s="47" t="n">
        <v>1002112857212</v>
      </c>
      <c r="E27" s="23" t="n"/>
      <c r="F27" s="22" t="n">
        <v>0.42</v>
      </c>
      <c r="G27" s="55">
        <f>E27*F27</f>
        <v/>
      </c>
      <c r="H27" s="14" t="n"/>
      <c r="I27" s="14" t="n"/>
      <c r="J27" s="28" t="n"/>
    </row>
    <row r="28">
      <c r="A28" s="53">
        <f>RIGHT(D28,4)</f>
        <v/>
      </c>
      <c r="B28" s="54" t="inlineStr">
        <is>
          <t>СОЧНЫЕ Папа Может пельм пл.0.7кг зам.</t>
        </is>
      </c>
      <c r="C28" s="46" t="inlineStr">
        <is>
          <t>ШТ</t>
        </is>
      </c>
      <c r="D28" s="47" t="n">
        <v>1002112857214</v>
      </c>
      <c r="E28" s="23" t="n"/>
      <c r="F28" s="22" t="n">
        <v>0.7</v>
      </c>
      <c r="G28" s="55">
        <f>E28*F28</f>
        <v/>
      </c>
      <c r="H28" s="14" t="n"/>
      <c r="I28" s="14" t="n"/>
      <c r="J28" s="28" t="n"/>
    </row>
    <row r="29">
      <c r="A29" s="53">
        <f>RIGHT(D29,4)</f>
        <v/>
      </c>
      <c r="B29" s="54" t="inlineStr">
        <is>
          <t>МЯСНЫЕ ПРЕМИУМ пельм кор.0.4кг зам.</t>
        </is>
      </c>
      <c r="C29" s="46" t="inlineStr">
        <is>
          <t>ШТ</t>
        </is>
      </c>
      <c r="D29" s="47" t="n">
        <v>1002116517224</v>
      </c>
      <c r="E29" s="23" t="n"/>
      <c r="F29" s="22" t="n">
        <v>0.4</v>
      </c>
      <c r="G29" s="55">
        <f>E29*F29</f>
        <v/>
      </c>
      <c r="H29" s="14" t="n"/>
      <c r="I29" s="14" t="n"/>
      <c r="J29" s="28" t="n"/>
    </row>
    <row r="30" ht="15.75" customHeight="1" thickBot="1">
      <c r="A30" s="53">
        <f>RIGHT(D30,4)</f>
        <v/>
      </c>
      <c r="B30" s="54" t="inlineStr">
        <is>
          <t>СОЧНЫЕ Папа Может пельм 4кг зам.</t>
        </is>
      </c>
      <c r="C30" s="46" t="inlineStr">
        <is>
          <t>КГ</t>
        </is>
      </c>
      <c r="D30" s="47" t="n">
        <v>1002112857375</v>
      </c>
      <c r="E30" s="23" t="n"/>
      <c r="F30" s="22" t="n">
        <v>1</v>
      </c>
      <c r="G30" s="55">
        <f>E30</f>
        <v/>
      </c>
      <c r="H30" s="14" t="n"/>
      <c r="I30" s="14" t="n"/>
      <c r="J30" s="28" t="n"/>
    </row>
    <row r="31" ht="16.5" customHeight="1" thickBot="1" thickTop="1">
      <c r="A31" s="49" t="n"/>
      <c r="B31" s="43" t="inlineStr">
        <is>
          <t>ВСЕГО:</t>
        </is>
      </c>
      <c r="C31" s="15" t="n"/>
      <c r="D31" s="34" t="n"/>
      <c r="E31" s="16">
        <f>SUM(E10:E30)</f>
        <v/>
      </c>
      <c r="F31" s="16" t="n"/>
      <c r="G31" s="16">
        <f>SUM(G10:G30)</f>
        <v/>
      </c>
      <c r="H31" s="16" t="n"/>
      <c r="I31" s="16" t="n"/>
      <c r="J31" s="16" t="n"/>
    </row>
    <row r="32" ht="15.75" customHeight="1" thickTop="1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  <c r="D1537" s="38" t="n"/>
      <c r="F1537" s="18" t="n"/>
      <c r="G1537" s="18" t="n"/>
      <c r="H1537" s="19" t="n"/>
      <c r="I1537" s="19" t="n"/>
      <c r="J1537" s="20" t="n"/>
    </row>
    <row r="1538">
      <c r="B1538" s="35" t="n"/>
      <c r="C1538" s="17" t="n"/>
      <c r="D1538" s="38" t="n"/>
      <c r="F1538" s="18" t="n"/>
      <c r="G1538" s="18" t="n"/>
      <c r="H1538" s="19" t="n"/>
      <c r="I1538" s="19" t="n"/>
      <c r="J1538" s="20" t="n"/>
    </row>
  </sheetData>
  <autoFilter ref="A9:J24"/>
  <mergeCells count="3">
    <mergeCell ref="E1:J1"/>
    <mergeCell ref="B22:J22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2026-10-21T13:01:11Z</dcterms:modified>
  <cp:lastModifiedBy>Uaer4</cp:lastModifiedBy>
  <cp:lastPrinted>2015-01-13T07:32:10Z</cp:lastPrinted>
</cp:coreProperties>
</file>