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1,10, ПРС ЛП сап 25,10\"/>
    </mc:Choice>
  </mc:AlternateContent>
  <xr:revisionPtr revIDLastSave="0" documentId="13_ncr:1_{5B3669DA-A15F-4D84-8243-FFADFDDA88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<sst xmlns="http://schemas.openxmlformats.org/spreadsheetml/2006/main" count="724" uniqueCount="243">
  <si>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</si>
  <si>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</si>
  <si>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</si>
  <si>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</si>
  <si>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</si>
  <si>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</si>
  <si>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</si>
  <si>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</si>
  <si>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</si>
  <si>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</si>
  <si>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</si>
  <si>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</si>
  <si>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</si>
  <si>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</si>
  <si>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</si>
  <si>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</si>
  <si>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</si>
  <si>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</si>
  <si>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</si>
  <si>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</si>
  <si>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</si>
  <si>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</si>
  <si>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</si>
  <si>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</si>
  <si>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</si>
  <si>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</si>
  <si>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</si>
  <si>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</si>
  <si>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</si>
  <si>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</si>
  <si>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</si>
  <si>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</si>
  <si>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</si>
  <si>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</si>
  <si>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</si>
  <si>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</si>
  <si>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</si>
  <si>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</si>
  <si>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</si>
  <si>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</si>
  <si>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</si>
  <si>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</si>
  <si>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</si>
  <si>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</si>
  <si>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</si>
  <si>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</si>
  <si>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</si>
  <si>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</si>
  <si>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</si>
  <si>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</si>
  <si>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</si>
  <si>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</si>
  <si>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</si>
  <si>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</si>
  <si>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</si>
  <si>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</si>
  <si>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</si>
  <si>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</si>
  <si>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</si>
  <si>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</si>
  <si>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</si>
  <si>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</si>
  <si>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</si>
  <si>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</si>
  <si>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</si>
  <si>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</si>
  <si>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</si>
  <si>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</si>
  <si>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</si>
  <si>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</si>
  <si>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</si>
  <si>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</si>
  <si>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</si>
  <si>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</si>
  <si>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</si>
  <si>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</si>
  <si>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</si>
  <si>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</si>
  <si>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</si>
  <si>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</si>
  <si>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</si>
  <si>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</si>
  <si>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</si>
  <si>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</si>
  <si>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</si>
  <si>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</si>
  <si>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</si>
  <si>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</si>
  <si>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</si>
  <si>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</si>
  <si>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</si>
  <si>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</si>
  <si>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</si>
  <si>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</si>
  <si>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</si>
  <si>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</si>
  <si>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</si>
  <si>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</si>
  <si>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</si>
  <si>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</si>
  <si>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</si>
  <si>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</si>
  <si>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</si>
  <si>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</si>
  <si>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</si>
  <si>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</si>
  <si>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</si>
  <si>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</si>
  <si>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</si>
  <si>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</si>
  <si>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</si>
  <si>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</si>
  <si>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</si>
  <si>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</si>
  <si>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</si>
  <si>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</si>
  <si>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</si>
  <si>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</si>
  <si>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</si>
  <si>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</si>
  <si>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</si>
  <si>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</si>
  <si>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</si>
  <si>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</si>
  <si>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</si>
  <si>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</si>
  <si>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</si>
  <si>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</si>
  <si>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</si>
  <si>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</si>
  <si>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</si>
  <si>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</si>
  <si>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</si>
  <si>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</si>
  <si>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</si>
  <si>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</si>
  <si>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</si>
  <si>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</si>
  <si>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</si>
  <si>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</si>
  <si>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</si>
  <si>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</si>
  <si>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</si>
  <si>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</si>
  <si>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</si>
  <si>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</si>
  <si>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</si>
  <si>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</si>
  <si>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</si>
  <si>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</si>
  <si>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</si>
  <si>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</si>
  <si>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</si>
  <si>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</si>
  <si>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</si>
  <si>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</si>
  <si>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</si>
  <si>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</si>
  <si>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</si>
  <si>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</si>
  <si>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</si>
  <si>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</si>
  <si>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</si>
  <si>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</si>
  <si>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</si>
  <si>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</si>
  <si>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</si>
  <si>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</si>
  <si>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</si>
  <si>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</si>
  <si>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</si>
  <si>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</si>
  <si>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</si>
  <si>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</si>
  <si>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</si>
  <si>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</si>
  <si>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</si>
  <si>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</si>
  <si>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</si>
  <si>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</si>
  <si>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</si>
  <si>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</si>
  <si>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</si>
  <si>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</si>
  <si>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</si>
  <si>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</si>
  <si>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</si>
  <si>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</si>
  <si>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</si>
  <si>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</si>
  <si>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</si>
  <si>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</si>
  <si>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</si>
  <si>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</si>
  <si>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</si>
  <si>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</si>
  <si>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</si>
  <si>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</si>
  <si>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</si>
  <si>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</si>
  <si>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</si>
  <si>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</si>
  <si>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</si>
  <si>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</si>
  <si>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</si>
  <si>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</si>
  <si>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</si>
  <si>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</si>
  <si>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</si>
  <si>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</si>
  <si>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</si>
  <si>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</si>
  <si>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</si>
  <si>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</si>
  <si>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</si>
  <si>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</si>
  <si>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</si>
  <si>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</si>
  <si>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</si>
  <si>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</si>
  <si>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</si>
  <si>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</si>
  <si>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</si>
  <si>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</si>
  <si>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</si>
  <si>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</si>
  <si>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</si>
  <si>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</si>
  <si>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</si>
  <si>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</si>
  <si>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</si>
  <si>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</si>
  <si>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</si>
  <si>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</si>
  <si>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</si>
  <si>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</si>
  <si>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</si>
  <si>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</si>
  <si>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</si>
  <si>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</si>
  <si>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</si>
  <si>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ООО "Логистический партнер"(ПРС)</t>
  </si>
  <si>
    <t xml:space="preserve">г. Донецк ул. Чаадаева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</si>
</sst>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theme="0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2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0" fontId="0" fillId="15" borderId="8" xfId="0" applyNumberFormat="1" applyFill="1" applyBorder="1" applyAlignment="1">
      <alignment horizontal="right"/>
    </xf>
    <xf numFmtId="0" fontId="8" fillId="15" borderId="0" xfId="0" applyFont="1" applyFill="1" applyAlignment="1">
      <alignment vertical="center"/>
    </xf>
    <xf numFmtId="0" fontId="11" fillId="15" borderId="7" xfId="0" applyFont="1" applyFill="1" applyBorder="1" applyAlignment="1">
      <alignment horizontal="center" vertical="center"/>
    </xf>
    <xf numFmtId="1" fontId="8" fillId="15" borderId="0" xfId="0" applyNumberFormat="1" applyFont="1" applyFill="1" applyAlignment="1">
      <alignment horizontal="center" vertical="center"/>
    </xf>
    <xf numFmtId="1" fontId="8" fillId="15" borderId="0" xfId="0" applyNumberFormat="1" applyFont="1" applyFill="1" applyBorder="1" applyAlignment="1">
      <alignment horizontal="center" vertical="center"/>
    </xf>
    <xf numFmtId="1" fontId="5" fillId="16" borderId="5" xfId="0" applyNumberFormat="1" applyFont="1" applyFill="1" applyBorder="1" applyAlignment="1">
      <alignment horizontal="center" vertical="center" wrapText="1"/>
    </xf>
    <xf numFmtId="2" fontId="6" fillId="14" borderId="4" xfId="0" applyNumberFormat="1" applyFont="1" applyFill="1" applyBorder="1" applyAlignment="1">
      <alignment horizontal="right"/>
    </xf>
    <xf numFmtId="0" fontId="6" fillId="14" borderId="4" xfId="0" applyFont="1" applyFill="1" applyBorder="1" applyAlignment="1">
      <alignment horizontal="right"/>
    </xf>
    <xf numFmtId="1" fontId="0" fillId="14" borderId="0" xfId="0" applyNumberFormat="1" applyFill="1"/>
    <xf numFmtId="0" fontId="0" fillId="14" borderId="0" xfId="0" applyFill="1" applyBorder="1"/>
    <xf numFmtId="0" fontId="0" fillId="14" borderId="0" xfId="0" applyFill="1"/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66" activePane="bottomLeft" state="frozen"/>
      <selection pane="bottomLeft" activeCell="L193" sqref="L19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130438384</v>
      </c>
      <c r="E1" s="198" t="s">
        <v>241</v>
      </c>
      <c r="F1" s="199"/>
      <c r="G1" s="199"/>
      <c r="H1" s="199"/>
      <c r="I1" s="199"/>
      <c r="J1" s="200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46320</v>
      </c>
      <c r="E3" s="7" t="s">
        <v>2</v>
      </c>
      <c r="F3" s="54">
        <f>D3+3</f>
        <v>46323</v>
      </c>
      <c r="G3" s="201" t="s">
        <v>242</v>
      </c>
      <c r="H3" s="199"/>
      <c r="I3" s="199"/>
      <c r="J3" s="200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customHeight="1" thickTop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>
        <v>150</v>
      </c>
      <c r="F12" s="23">
        <v>1.35</v>
      </c>
      <c r="G12" s="23">
        <f>E12</f>
        <v>150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hidden="1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150</v>
      </c>
      <c r="F15" s="23">
        <v>1.35</v>
      </c>
      <c r="G15" s="23">
        <f t="shared" si="1"/>
        <v>150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hidden="1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180</v>
      </c>
      <c r="F18" s="23">
        <v>1</v>
      </c>
      <c r="G18" s="23">
        <f t="shared" si="1"/>
        <v>180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>
        <v>600</v>
      </c>
      <c r="F21" s="23">
        <v>0.35</v>
      </c>
      <c r="G21" s="23">
        <f>E21*F21</f>
        <v>210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s="197" customFormat="1" ht="16.5" customHeight="1" x14ac:dyDescent="0.25">
      <c r="A23" s="187">
        <v>6325</v>
      </c>
      <c r="B23" s="188" t="s">
        <v>32</v>
      </c>
      <c r="C23" s="189" t="s">
        <v>20</v>
      </c>
      <c r="D23" s="190">
        <v>1001010106325</v>
      </c>
      <c r="E23" s="192">
        <v>400</v>
      </c>
      <c r="F23" s="193">
        <v>0.4</v>
      </c>
      <c r="G23" s="193">
        <f t="shared" si="2"/>
        <v>160</v>
      </c>
      <c r="H23" s="194">
        <v>3.2</v>
      </c>
      <c r="I23" s="194">
        <v>60</v>
      </c>
      <c r="J23" s="194"/>
      <c r="K23" s="195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</row>
    <row r="24" spans="1:67" s="61" customFormat="1" ht="16.5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>
        <v>300</v>
      </c>
      <c r="F24" s="59">
        <v>1.35</v>
      </c>
      <c r="G24" s="23">
        <f t="shared" ref="G24" si="3">E24</f>
        <v>300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s="197" customFormat="1" ht="16.5" customHeight="1" x14ac:dyDescent="0.25">
      <c r="A29" s="187">
        <v>6333</v>
      </c>
      <c r="B29" s="188" t="s">
        <v>23</v>
      </c>
      <c r="C29" s="189" t="s">
        <v>20</v>
      </c>
      <c r="D29" s="190">
        <v>1001012486333</v>
      </c>
      <c r="E29" s="192">
        <v>340</v>
      </c>
      <c r="F29" s="193">
        <v>0.4</v>
      </c>
      <c r="G29" s="193">
        <f t="shared" si="4"/>
        <v>136</v>
      </c>
      <c r="H29" s="194">
        <v>3.2</v>
      </c>
      <c r="I29" s="194">
        <v>60</v>
      </c>
      <c r="J29" s="194"/>
      <c r="K29" s="195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</row>
    <row r="30" spans="1:67" s="197" customFormat="1" ht="16.5" customHeight="1" x14ac:dyDescent="0.25">
      <c r="A30" s="187">
        <v>6392</v>
      </c>
      <c r="B30" s="188" t="s">
        <v>109</v>
      </c>
      <c r="C30" s="189" t="s">
        <v>20</v>
      </c>
      <c r="D30" s="190">
        <v>1001012566392</v>
      </c>
      <c r="E30" s="192">
        <v>600</v>
      </c>
      <c r="F30" s="193">
        <v>0.4</v>
      </c>
      <c r="G30" s="193">
        <f t="shared" si="4"/>
        <v>240</v>
      </c>
      <c r="H30" s="194">
        <v>3.2</v>
      </c>
      <c r="I30" s="194">
        <v>60</v>
      </c>
      <c r="J30" s="194"/>
      <c r="K30" s="195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197" customFormat="1" ht="16.5" customHeight="1" x14ac:dyDescent="0.25">
      <c r="A33" s="187">
        <v>7231</v>
      </c>
      <c r="B33" s="188" t="s">
        <v>33</v>
      </c>
      <c r="C33" s="189" t="s">
        <v>20</v>
      </c>
      <c r="D33" s="191">
        <v>1001013957231</v>
      </c>
      <c r="E33" s="192">
        <v>400</v>
      </c>
      <c r="F33" s="193">
        <v>0.3</v>
      </c>
      <c r="G33" s="193">
        <f t="shared" si="4"/>
        <v>120</v>
      </c>
      <c r="H33" s="194">
        <v>2.4</v>
      </c>
      <c r="I33" s="194">
        <v>60</v>
      </c>
      <c r="J33" s="194"/>
      <c r="K33" s="195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</row>
    <row r="34" spans="1:67" s="61" customFormat="1" ht="16.5" hidden="1" customHeight="1" x14ac:dyDescent="0.25">
      <c r="A34" s="149">
        <v>7514</v>
      </c>
      <c r="B34" s="150" t="s">
        <v>207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9">
        <v>7518</v>
      </c>
      <c r="B35" s="150" t="s">
        <v>208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5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hidden="1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5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hidden="1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/>
      <c r="F47" s="59">
        <v>1.5</v>
      </c>
      <c r="G47" s="23">
        <f t="shared" si="5"/>
        <v>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197" customFormat="1" ht="16.5" customHeight="1" x14ac:dyDescent="0.25">
      <c r="A50" s="187">
        <v>6762</v>
      </c>
      <c r="B50" s="188" t="s">
        <v>39</v>
      </c>
      <c r="C50" s="189" t="s">
        <v>20</v>
      </c>
      <c r="D50" s="191">
        <v>1001020846762</v>
      </c>
      <c r="E50" s="192">
        <v>120</v>
      </c>
      <c r="F50" s="193">
        <v>0.41</v>
      </c>
      <c r="G50" s="193">
        <f t="shared" si="6"/>
        <v>49.199999999999996</v>
      </c>
      <c r="H50" s="194">
        <v>3.28</v>
      </c>
      <c r="I50" s="194">
        <v>45</v>
      </c>
      <c r="J50" s="194"/>
      <c r="K50" s="195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6"/>
      <c r="AX50" s="196"/>
      <c r="AY50" s="196"/>
      <c r="AZ50" s="196"/>
      <c r="BA50" s="196"/>
      <c r="BB50" s="196"/>
      <c r="BC50" s="196"/>
      <c r="BD50" s="196"/>
      <c r="BE50" s="196"/>
      <c r="BF50" s="196"/>
      <c r="BG50" s="196"/>
      <c r="BH50" s="196"/>
      <c r="BI50" s="196"/>
      <c r="BJ50" s="196"/>
      <c r="BK50" s="196"/>
      <c r="BL50" s="196"/>
      <c r="BM50" s="196"/>
      <c r="BN50" s="196"/>
      <c r="BO50" s="196"/>
    </row>
    <row r="51" spans="1:67" s="197" customFormat="1" ht="16.5" customHeight="1" x14ac:dyDescent="0.25">
      <c r="A51" s="187">
        <v>6765</v>
      </c>
      <c r="B51" s="188" t="s">
        <v>40</v>
      </c>
      <c r="C51" s="189" t="s">
        <v>20</v>
      </c>
      <c r="D51" s="191">
        <v>1001023696765</v>
      </c>
      <c r="E51" s="192">
        <v>150</v>
      </c>
      <c r="F51" s="193">
        <v>0.36</v>
      </c>
      <c r="G51" s="193">
        <f t="shared" si="6"/>
        <v>54</v>
      </c>
      <c r="H51" s="194">
        <v>2.16</v>
      </c>
      <c r="I51" s="194">
        <v>45</v>
      </c>
      <c r="J51" s="194"/>
      <c r="K51" s="195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>
        <v>180</v>
      </c>
      <c r="F55" s="59">
        <v>0.4</v>
      </c>
      <c r="G55" s="23">
        <f t="shared" si="6"/>
        <v>72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150</v>
      </c>
      <c r="F57" s="59">
        <v>0.33</v>
      </c>
      <c r="G57" s="23">
        <f>E57*F57</f>
        <v>49.5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209</v>
      </c>
      <c r="L64" s="115"/>
    </row>
    <row r="65" spans="1:12" ht="16.5" hidden="1" customHeight="1" x14ac:dyDescent="0.25">
      <c r="A65" s="57">
        <v>7490</v>
      </c>
      <c r="B65" s="161" t="s">
        <v>210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211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300</v>
      </c>
      <c r="F66" s="23">
        <v>0.4</v>
      </c>
      <c r="G66" s="23">
        <f t="shared" si="6"/>
        <v>120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206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7"/>
        <v>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9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10">E91</f>
        <v>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300</v>
      </c>
      <c r="F92" s="59">
        <v>0.7</v>
      </c>
      <c r="G92" s="23">
        <f t="shared" si="10"/>
        <v>300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>
        <v>300</v>
      </c>
      <c r="F93" s="23">
        <v>0.33</v>
      </c>
      <c r="G93" s="23">
        <f t="shared" ref="G93:G115" si="11">E93*F93</f>
        <v>99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206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hidden="1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/>
      <c r="F97" s="23">
        <v>0.35</v>
      </c>
      <c r="G97" s="23">
        <f t="shared" si="11"/>
        <v>0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360</v>
      </c>
      <c r="F98" s="23">
        <v>0.35</v>
      </c>
      <c r="G98" s="23">
        <f t="shared" si="11"/>
        <v>125.99999999999999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>
        <v>150</v>
      </c>
      <c r="F101" s="23">
        <v>0.35</v>
      </c>
      <c r="G101" s="23">
        <f t="shared" si="11"/>
        <v>52.5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236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237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238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hidden="1" customHeight="1" x14ac:dyDescent="0.25">
      <c r="A106" s="149">
        <v>7516</v>
      </c>
      <c r="B106" s="186" t="s">
        <v>239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240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215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215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219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customHeight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>
        <v>260</v>
      </c>
      <c r="F117" s="59">
        <v>0.52</v>
      </c>
      <c r="G117" s="23">
        <f t="shared" ref="G117:G121" si="13">E117</f>
        <v>260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216</v>
      </c>
      <c r="L119" s="115"/>
    </row>
    <row r="120" spans="1:67" ht="16.5" hidden="1" customHeight="1" x14ac:dyDescent="0.25">
      <c r="A120" s="174">
        <v>7700</v>
      </c>
      <c r="B120" s="161" t="s">
        <v>217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218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215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180</v>
      </c>
      <c r="F132" s="23">
        <v>0.25</v>
      </c>
      <c r="G132" s="23">
        <f t="shared" si="14"/>
        <v>45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25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223</v>
      </c>
      <c r="L150" s="115"/>
    </row>
    <row r="151" spans="1:67" ht="16.149999999999999" hidden="1" customHeight="1" x14ac:dyDescent="0.25">
      <c r="A151" s="174">
        <v>7726</v>
      </c>
      <c r="B151" s="161" t="s">
        <v>224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225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220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221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222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8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226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227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228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229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230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231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232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25">
      <c r="A166" s="174">
        <v>7731</v>
      </c>
      <c r="B166" s="161" t="s">
        <v>233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234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25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235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215</v>
      </c>
      <c r="L178" s="115"/>
    </row>
    <row r="179" spans="1:12" ht="16.5" hidden="1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25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212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customHeight="1" x14ac:dyDescent="0.25">
      <c r="A184" s="149">
        <v>7344</v>
      </c>
      <c r="B184" s="169" t="s">
        <v>213</v>
      </c>
      <c r="C184" s="51" t="s">
        <v>20</v>
      </c>
      <c r="D184" s="52">
        <v>1001122287344</v>
      </c>
      <c r="E184" s="24">
        <v>60</v>
      </c>
      <c r="F184" s="170">
        <v>0.33800000000000002</v>
      </c>
      <c r="G184" s="23">
        <f>E184*F184</f>
        <v>20.28</v>
      </c>
      <c r="H184" s="14"/>
      <c r="I184" s="14"/>
      <c r="J184" s="152" t="s">
        <v>190</v>
      </c>
      <c r="L184" s="115"/>
    </row>
    <row r="185" spans="1:12" ht="16.5" customHeight="1" thickBot="1" x14ac:dyDescent="0.3">
      <c r="A185" s="149">
        <v>7345</v>
      </c>
      <c r="B185" s="169" t="s">
        <v>214</v>
      </c>
      <c r="C185" s="51" t="s">
        <v>20</v>
      </c>
      <c r="D185" s="52">
        <v>1001123677345</v>
      </c>
      <c r="E185" s="24">
        <v>60</v>
      </c>
      <c r="F185" s="170">
        <v>0.32500000000000001</v>
      </c>
      <c r="G185" s="23">
        <f>E185*F185</f>
        <v>19.5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5690</v>
      </c>
      <c r="F186" s="17"/>
      <c r="G186" s="17">
        <f>SUM(G11:G185)</f>
        <v>2912.98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2026-10-21T12:17:41Z</dcterms:modified>
</cp:coreProperties>
</file>