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48" activePane="bottomLeft" state="frozen"/>
      <selection pane="bottomLeft" activeCell="L9" sqref="L9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46306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98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252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225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6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66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615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605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92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133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245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165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478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54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10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10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66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36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35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20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401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132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/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378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39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12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282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251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221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68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11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34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40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93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>
        <v>14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82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Коровино п/к в/у 0.84кг_50с</t>
        </is>
      </c>
      <c r="C75" s="46" t="inlineStr">
        <is>
          <t>ШТ</t>
        </is>
      </c>
      <c r="D75" s="47" t="n">
        <v>1001303637149</v>
      </c>
      <c r="E75" s="22" t="n"/>
      <c r="F75" s="21" t="n">
        <v>0.84</v>
      </c>
      <c r="G75" s="21">
        <f>E75*F75</f>
        <v/>
      </c>
      <c r="H75" s="13" t="n">
        <v>5.04</v>
      </c>
      <c r="I75" s="13" t="n">
        <v>50</v>
      </c>
      <c r="J75" s="26" t="n"/>
    </row>
    <row r="76">
      <c r="A76" s="100">
        <f>RIGHT(D76,4)</f>
        <v/>
      </c>
      <c r="B76" s="48" t="inlineStr">
        <is>
          <t>БАЛЫКОВАЯ ПМ п/к в/у 0.31кг 8шт_209к</t>
        </is>
      </c>
      <c r="C76" s="46" t="inlineStr">
        <is>
          <t>ШТ</t>
        </is>
      </c>
      <c r="D76" s="47" t="n">
        <v>1001303637233</v>
      </c>
      <c r="E76" s="22" t="n"/>
      <c r="F76" s="102" t="n">
        <v>0.31</v>
      </c>
      <c r="G76" s="21">
        <f>E76*F76</f>
        <v/>
      </c>
      <c r="H76" s="26" t="n">
        <v>2.48</v>
      </c>
      <c r="I76" s="26" t="n">
        <v>45</v>
      </c>
      <c r="J76" s="26" t="n"/>
    </row>
    <row r="77">
      <c r="A77" s="100">
        <f>RIGHT(D77,4)</f>
        <v/>
      </c>
      <c r="B77" s="48" t="inlineStr">
        <is>
          <t>БОЯNСКАЯ ПМ п/к в/у 0.28кг 8шт_209к</t>
        </is>
      </c>
      <c r="C77" s="46" t="inlineStr">
        <is>
          <t>ШТ</t>
        </is>
      </c>
      <c r="D77" s="47" t="n">
        <v>1001302277232</v>
      </c>
      <c r="E77" s="22" t="n">
        <v>45</v>
      </c>
      <c r="F77" s="102" t="n">
        <v>0.28</v>
      </c>
      <c r="G77" s="21">
        <f>E77*F77</f>
        <v/>
      </c>
      <c r="H77" s="26" t="n">
        <v>2.24</v>
      </c>
      <c r="I77" s="26" t="n">
        <v>50</v>
      </c>
      <c r="J77" s="26" t="n"/>
    </row>
    <row r="78">
      <c r="A78" s="100">
        <f>RIGHT(D78,4)</f>
        <v/>
      </c>
      <c r="B78" s="48" t="inlineStr">
        <is>
          <t>САЛЯМИ Папа может п/к в/у 0.28кг_209к</t>
        </is>
      </c>
      <c r="C78" s="46" t="inlineStr">
        <is>
          <t>ШТ</t>
        </is>
      </c>
      <c r="D78" s="47" t="n">
        <v>1001303107241</v>
      </c>
      <c r="E78" s="22" t="n">
        <v>142</v>
      </c>
      <c r="F78" s="102" t="n">
        <v>0.28</v>
      </c>
      <c r="G78" s="21">
        <f>E78*F78</f>
        <v/>
      </c>
      <c r="H78" s="26" t="n">
        <v>2.24</v>
      </c>
      <c r="I78" s="26" t="n">
        <v>45</v>
      </c>
      <c r="J78" s="26" t="n"/>
    </row>
    <row r="79">
      <c r="A79" s="100">
        <f>RIGHT(D79,4)</f>
        <v/>
      </c>
      <c r="B79" s="48" t="inlineStr">
        <is>
          <t>СЕРВЕЛАТ ЕВРОПЕЙСКИЙ в/к в/у 0.84кг</t>
        </is>
      </c>
      <c r="C79" s="46" t="inlineStr">
        <is>
          <t>КГ</t>
        </is>
      </c>
      <c r="D79" s="47" t="n">
        <v>1001300367133</v>
      </c>
      <c r="E79" s="22" t="n"/>
      <c r="F79" s="102" t="n">
        <v>0.84</v>
      </c>
      <c r="G79" s="21">
        <f>E79</f>
        <v/>
      </c>
      <c r="H79" s="26" t="n">
        <v>5.04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КРЕМЛЕВСКИЙ в/к в/у 0.84кг</t>
        </is>
      </c>
      <c r="C80" s="46" t="inlineStr">
        <is>
          <t>КГ</t>
        </is>
      </c>
      <c r="D80" s="47" t="n">
        <v>1001300456946</v>
      </c>
      <c r="E80" s="22" t="n"/>
      <c r="F80" s="102" t="n"/>
      <c r="G80" s="21">
        <f>E80</f>
        <v/>
      </c>
      <c r="H80" s="26" t="n"/>
      <c r="I80" s="26" t="n"/>
      <c r="J80" s="26" t="n"/>
    </row>
    <row r="81">
      <c r="A81" s="100">
        <f>RIGHT(D81,4)</f>
        <v/>
      </c>
      <c r="B81" s="48" t="inlineStr">
        <is>
          <t>СЕРВЕЛАТ ЕВРОПЕЙСКИЙ в/к в/у 0.33кг 8шт.</t>
        </is>
      </c>
      <c r="C81" s="46" t="inlineStr">
        <is>
          <t>ШТ</t>
        </is>
      </c>
      <c r="D81" s="47" t="n">
        <v>1001300366807</v>
      </c>
      <c r="E81" s="22" t="n"/>
      <c r="F81" s="102" t="n">
        <v>0.33</v>
      </c>
      <c r="G81" s="21">
        <f>E81*F81</f>
        <v/>
      </c>
      <c r="H81" s="26" t="n">
        <v>2.64</v>
      </c>
      <c r="I81" s="26" t="n">
        <v>45</v>
      </c>
      <c r="J81" s="26" t="n"/>
    </row>
    <row r="82">
      <c r="A82" s="100">
        <f>RIGHT(D82,4)</f>
        <v/>
      </c>
      <c r="B82" s="48" t="inlineStr">
        <is>
          <t>СЕРВЕЛАТ ЗЕРНИСТЫЙ ПМ в/к в/у 0.35кг_50с</t>
        </is>
      </c>
      <c r="C82" s="46" t="inlineStr">
        <is>
          <t>ШТ</t>
        </is>
      </c>
      <c r="D82" s="47" t="n">
        <v>1001300387154</v>
      </c>
      <c r="E82" s="22" t="n">
        <v>554</v>
      </c>
      <c r="F82" s="21" t="n">
        <v>0.35</v>
      </c>
      <c r="G82" s="21">
        <f>E82*F82</f>
        <v/>
      </c>
      <c r="H82" s="13" t="n">
        <v>2.8</v>
      </c>
      <c r="I82" s="13" t="n">
        <v>50</v>
      </c>
      <c r="J82" s="26" t="n"/>
    </row>
    <row r="83">
      <c r="A83" s="100">
        <f>RIGHT(D83,4)</f>
        <v/>
      </c>
      <c r="B83" s="48" t="inlineStr">
        <is>
          <t>СЕРВЕЛАТ ЗЕРНИСТЫЙ ПМ в/к в/у_50с</t>
        </is>
      </c>
      <c r="C83" s="46" t="inlineStr">
        <is>
          <t>КГ</t>
        </is>
      </c>
      <c r="D83" s="47" t="n">
        <v>1001300387157</v>
      </c>
      <c r="E83" s="22" t="n">
        <v>158</v>
      </c>
      <c r="F83" s="21" t="n">
        <v>0.63</v>
      </c>
      <c r="G83" s="21">
        <f>E83</f>
        <v/>
      </c>
      <c r="H83" s="13" t="n">
        <v>5.04</v>
      </c>
      <c r="I83" s="13" t="n">
        <v>50</v>
      </c>
      <c r="J83" s="26" t="n"/>
    </row>
    <row r="84">
      <c r="A84" s="100">
        <f>RIGHT(D84,4)</f>
        <v/>
      </c>
      <c r="B84" s="48" t="inlineStr">
        <is>
          <t>КРАКОВСКАЯ ГОСТ Останкино п/к н/о мгс</t>
        </is>
      </c>
      <c r="C84" s="46" t="inlineStr">
        <is>
          <t>КГ</t>
        </is>
      </c>
      <c r="D84" s="47" t="n">
        <v>1001307587562</v>
      </c>
      <c r="E84" s="22" t="n"/>
      <c r="F84" s="21" t="n"/>
      <c r="G84" s="21">
        <f>E84</f>
        <v/>
      </c>
      <c r="H84" s="13" t="n"/>
      <c r="I84" s="13" t="n"/>
      <c r="J84" s="26">
        <f>VLOOKUP(D84,[1]Бланк!$D:$J,7,0)</f>
        <v/>
      </c>
    </row>
    <row r="85">
      <c r="A85" s="100">
        <f>RIGHT(D85,4)</f>
        <v/>
      </c>
      <c r="B85" s="48" t="inlineStr">
        <is>
          <t>СЕРВЕЛАТ КАРЕЛЬСКИЙ в/к в/у 0.28кг_209к</t>
        </is>
      </c>
      <c r="C85" s="46" t="inlineStr">
        <is>
          <t>ШТ</t>
        </is>
      </c>
      <c r="D85" s="47" t="n">
        <v>1001304507236</v>
      </c>
      <c r="E85" s="22" t="n">
        <v>132</v>
      </c>
      <c r="F85" s="21" t="n">
        <v>0.28</v>
      </c>
      <c r="G85" s="21">
        <f>E85*F85</f>
        <v/>
      </c>
      <c r="H85" s="13" t="n">
        <v>2.24</v>
      </c>
      <c r="I85" s="13" t="n">
        <v>45</v>
      </c>
      <c r="J85" s="26" t="n"/>
    </row>
    <row r="86">
      <c r="A86" s="100">
        <f>RIGHT(D86,4)</f>
        <v/>
      </c>
      <c r="B86" s="104" t="inlineStr">
        <is>
          <t>СЕРВЕЛАТ КРЕМЛЕВСКИЙ в/к в/у 0.33кг 8шт.</t>
        </is>
      </c>
      <c r="C86" s="46" t="inlineStr">
        <is>
          <t>ШТ</t>
        </is>
      </c>
      <c r="D86" s="47" t="n">
        <v>1001300456787</v>
      </c>
      <c r="E86" s="22" t="n">
        <v>158</v>
      </c>
      <c r="F86" s="21" t="n">
        <v>0.33</v>
      </c>
      <c r="G86" s="21">
        <f>E86*F86</f>
        <v/>
      </c>
      <c r="H86" s="13" t="n">
        <v>2.64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ОХОТНИЧИЙ ПМ в/к в/у_50с</t>
        </is>
      </c>
      <c r="C87" s="46" t="inlineStr">
        <is>
          <t>КГ</t>
        </is>
      </c>
      <c r="D87" s="47" t="n">
        <v>1001303987166</v>
      </c>
      <c r="E87" s="22" t="n">
        <v>341</v>
      </c>
      <c r="F87" s="21" t="n">
        <v>0.7</v>
      </c>
      <c r="G87" s="21">
        <f>E87</f>
        <v/>
      </c>
      <c r="H87" s="13" t="n">
        <v>5.6</v>
      </c>
      <c r="I87" s="13" t="n">
        <v>50</v>
      </c>
      <c r="J87" s="26" t="n"/>
    </row>
    <row r="88">
      <c r="A88" s="100">
        <f>RIGHT(D88,4)</f>
        <v/>
      </c>
      <c r="B88" s="48" t="inlineStr">
        <is>
          <t>СЕРВЕЛАТ ОХОТНИЧИЙ ПМ в/к в/у 0.35кг_50с</t>
        </is>
      </c>
      <c r="C88" s="46" t="inlineStr">
        <is>
          <t>ШТ</t>
        </is>
      </c>
      <c r="D88" s="47" t="n">
        <v>1001303987169</v>
      </c>
      <c r="E88" s="22" t="n">
        <v>290</v>
      </c>
      <c r="F88" s="21" t="n">
        <v>0.35</v>
      </c>
      <c r="G88" s="21">
        <f>E88*F88</f>
        <v/>
      </c>
      <c r="H88" s="13" t="n">
        <v>2.8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КОПЧ.НА БУКЕ в/к в/у 0.35кг_50с</t>
        </is>
      </c>
      <c r="C89" s="46" t="inlineStr">
        <is>
          <t>ШТ</t>
        </is>
      </c>
      <c r="D89" s="47" t="n">
        <v>1001304237156</v>
      </c>
      <c r="E89" s="22" t="n"/>
      <c r="F89" s="21" t="n">
        <v>0.35</v>
      </c>
      <c r="G89" s="21">
        <f>E89*F89</f>
        <v/>
      </c>
      <c r="H89" s="13" t="n"/>
      <c r="I89" s="13" t="n"/>
      <c r="J89" s="26">
        <f>VLOOKUP(D89,[1]Бланк!$D:$J,7,0)</f>
        <v/>
      </c>
    </row>
    <row r="90">
      <c r="A90" s="100">
        <f>RIGHT(D90,4)</f>
        <v/>
      </c>
      <c r="B90" s="48" t="inlineStr">
        <is>
          <t>СЕРВЕЛАТ ФИНСКИЙ в/к в/у_45с</t>
        </is>
      </c>
      <c r="C90" s="46" t="inlineStr">
        <is>
          <t>КГ</t>
        </is>
      </c>
      <c r="D90" s="47" t="n">
        <v>1001051875544</v>
      </c>
      <c r="E90" s="22" t="n">
        <v>359</v>
      </c>
      <c r="F90" s="21" t="n">
        <v>0.8100000000000001</v>
      </c>
      <c r="G90" s="21">
        <f>E90</f>
        <v/>
      </c>
      <c r="H90" s="13" t="n">
        <v>4.86</v>
      </c>
      <c r="I90" s="13" t="n">
        <v>45</v>
      </c>
      <c r="J90" s="26" t="n"/>
    </row>
    <row r="91">
      <c r="A91" s="100">
        <f>RIGHT(D91,4)</f>
        <v/>
      </c>
      <c r="B91" s="48" t="inlineStr">
        <is>
          <t>СЕРВЕЛАТ ФИНСКИЙ ПМ в/к в/у 0.35кг 8шт.</t>
        </is>
      </c>
      <c r="C91" s="46" t="inlineStr">
        <is>
          <t>ШТ</t>
        </is>
      </c>
      <c r="D91" s="47" t="n">
        <v>1001301876697</v>
      </c>
      <c r="E91" s="22" t="n">
        <v>661</v>
      </c>
      <c r="F91" s="21" t="n">
        <v>0.35</v>
      </c>
      <c r="G91" s="21">
        <f>E91*F91</f>
        <v/>
      </c>
      <c r="H91" s="13" t="n">
        <v>2.8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ОРЕХОВЫЙ в/к в/у 0.31кг_209к</t>
        </is>
      </c>
      <c r="C92" s="46" t="inlineStr">
        <is>
          <t>ШТ</t>
        </is>
      </c>
      <c r="D92" s="47" t="n">
        <v>1001305197238</v>
      </c>
      <c r="E92" s="22" t="n"/>
      <c r="F92" s="21" t="n">
        <v>0.31</v>
      </c>
      <c r="G92" s="21">
        <f>E92*F92</f>
        <v/>
      </c>
      <c r="H92" s="13" t="n">
        <v>2.48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НОВОМОСКОВСКАЯ в/к в/у срез 0.31кг</t>
        </is>
      </c>
      <c r="C93" s="46" t="inlineStr">
        <is>
          <t>ШТ</t>
        </is>
      </c>
      <c r="D93" s="47" t="n">
        <v>1001307107516</v>
      </c>
      <c r="E93" s="22" t="n">
        <v>99</v>
      </c>
      <c r="F93" s="21" t="n">
        <v>0.31</v>
      </c>
      <c r="G93" s="21">
        <f>E93*F93</f>
        <v/>
      </c>
      <c r="H93" s="13" t="n"/>
      <c r="I93" s="13" t="n"/>
      <c r="J93" s="26">
        <f>VLOOKUP(D93,[1]Бланк!$D:$J,7,0)</f>
        <v/>
      </c>
    </row>
    <row r="94">
      <c r="A94" s="100">
        <f>RIGHT(D94,4)</f>
        <v/>
      </c>
      <c r="B94" s="48" t="inlineStr">
        <is>
          <t>КРАКОВСКАЯ ГОСТ п/к н/о мгс 0.3кг</t>
        </is>
      </c>
      <c r="C94" s="46" t="inlineStr">
        <is>
          <t>ШТ</t>
        </is>
      </c>
      <c r="D94" s="47" t="n">
        <v>1001307587710</v>
      </c>
      <c r="E94" s="22" t="n">
        <v>20</v>
      </c>
      <c r="F94" s="21" t="n">
        <v>0.3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ВОСКРЕСЕНСКАЯ ВЯЛЕНАЯ в/к в/у срез 1/260</t>
        </is>
      </c>
      <c r="C95" s="46" t="inlineStr">
        <is>
          <t>ШТ</t>
        </is>
      </c>
      <c r="D95" s="47" t="n">
        <v>1001307077513</v>
      </c>
      <c r="E95" s="22" t="n">
        <v>137</v>
      </c>
      <c r="F95" s="21" t="n">
        <v>0.26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ЧЕСНОЧНАЯ ПМ п/к в/у 0.35кг 8шт_50с</t>
        </is>
      </c>
      <c r="C96" s="46" t="inlineStr">
        <is>
          <t>ШТ</t>
        </is>
      </c>
      <c r="D96" s="47" t="n">
        <v>1001302347177</v>
      </c>
      <c r="E96" s="22" t="n"/>
      <c r="F96" s="21" t="n">
        <v>0.35</v>
      </c>
      <c r="G96" s="21">
        <f>E96*F96</f>
        <v/>
      </c>
      <c r="H96" s="13" t="n">
        <v>2.8</v>
      </c>
      <c r="I96" s="13" t="n">
        <v>50</v>
      </c>
      <c r="J96" s="26" t="n"/>
    </row>
    <row r="97" ht="15.75" customHeight="1" s="96" thickBot="1">
      <c r="A97" s="100">
        <f>RIGHT(D97,4)</f>
        <v/>
      </c>
      <c r="B97" s="48" t="inlineStr">
        <is>
          <t>СЕРВЕЛАТ ШВЕЙЦАРСК.в/к с/н в/у 1/100_Л11</t>
        </is>
      </c>
      <c r="C97" s="46" t="inlineStr">
        <is>
          <t>ШТ</t>
        </is>
      </c>
      <c r="D97" s="47" t="n">
        <v>1001304197608</v>
      </c>
      <c r="E97" s="22" t="n"/>
      <c r="F97" s="21" t="n">
        <v>0.1</v>
      </c>
      <c r="G97" s="21">
        <f>E97*F97</f>
        <v/>
      </c>
      <c r="H97" s="13" t="n">
        <v>1</v>
      </c>
      <c r="I97" s="13" t="n">
        <v>45</v>
      </c>
      <c r="J97" s="26" t="n"/>
    </row>
    <row r="98" ht="16.5" customHeight="1" s="96" thickBot="1" thickTop="1">
      <c r="A98" s="44" t="inlineStr"/>
      <c r="B98" s="39" t="inlineStr">
        <is>
          <t>Сырокопченые колбасы</t>
        </is>
      </c>
      <c r="C98" s="39" t="n"/>
      <c r="D98" s="39" t="n"/>
      <c r="E98" s="39" t="n"/>
      <c r="F98" s="38" t="n"/>
      <c r="G98" s="39" t="n"/>
      <c r="H98" s="39" t="n"/>
      <c r="I98" s="39" t="n"/>
      <c r="J98" s="40" t="n"/>
    </row>
    <row r="99" ht="15.75" customHeight="1" s="96" thickTop="1">
      <c r="A99" s="100">
        <f>RIGHT(D99,4)</f>
        <v/>
      </c>
      <c r="B99" s="48" t="inlineStr">
        <is>
          <t>АРОМАТНАЯ с/к в/у 1/250 8шт.</t>
        </is>
      </c>
      <c r="C99" s="46" t="inlineStr">
        <is>
          <t>ШТ</t>
        </is>
      </c>
      <c r="D99" s="47" t="n">
        <v>1001061973986</v>
      </c>
      <c r="E99" s="22" t="n"/>
      <c r="F99" s="102" t="n">
        <v>0.25</v>
      </c>
      <c r="G99" s="21">
        <f>E99*F99</f>
        <v/>
      </c>
      <c r="H99" s="105" t="n">
        <v>2</v>
      </c>
      <c r="I99" s="106" t="n">
        <v>120</v>
      </c>
      <c r="J99" s="26" t="n"/>
    </row>
    <row r="100">
      <c r="A100" s="100">
        <f>RIGHT(D100,4)</f>
        <v/>
      </c>
      <c r="B100" s="48" t="inlineStr">
        <is>
          <t>ОХОТНИЧЬЯ Папа может с/к в/у 1/220 8шт.</t>
        </is>
      </c>
      <c r="C100" s="46" t="inlineStr">
        <is>
          <t>ШТ</t>
        </is>
      </c>
      <c r="D100" s="47" t="n">
        <v>1001060755931</v>
      </c>
      <c r="E100" s="22" t="n"/>
      <c r="F100" s="21" t="n">
        <v>0.22</v>
      </c>
      <c r="G100" s="21">
        <f>E100*F100</f>
        <v/>
      </c>
      <c r="H100" s="91" t="n">
        <v>1.76</v>
      </c>
      <c r="I100" s="13" t="n">
        <v>120</v>
      </c>
      <c r="J100" s="26" t="n"/>
    </row>
    <row r="101">
      <c r="A101" s="100">
        <f>RIGHT(D101,4)</f>
        <v/>
      </c>
      <c r="B101" s="48" t="inlineStr">
        <is>
          <t>ЛИТОВСКАЯ с/к в/у</t>
        </is>
      </c>
      <c r="C101" s="46" t="inlineStr">
        <is>
          <t>КГ</t>
        </is>
      </c>
      <c r="D101" s="47" t="n">
        <v>1001067977700</v>
      </c>
      <c r="E101" s="22" t="n">
        <v>18</v>
      </c>
      <c r="F101" s="21" t="n"/>
      <c r="G101" s="21">
        <f>E101</f>
        <v/>
      </c>
      <c r="H101" s="13" t="n"/>
      <c r="I101" s="13" t="n"/>
      <c r="J101" s="26">
        <f>VLOOKUP(D101,[1]Бланк!$D:$J,7,0)</f>
        <v/>
      </c>
    </row>
    <row r="102">
      <c r="A102" s="100">
        <f>RIGHT(D102,4)</f>
        <v/>
      </c>
      <c r="B102" s="48" t="inlineStr">
        <is>
          <t>САЛЯМИ ИТАЛЬЯНСКАЯ с/к в/у</t>
        </is>
      </c>
      <c r="C102" s="46" t="inlineStr">
        <is>
          <t>КГ</t>
        </is>
      </c>
      <c r="D102" s="47" t="n">
        <v>1001060763287</v>
      </c>
      <c r="E102" s="22" t="n">
        <v>7</v>
      </c>
      <c r="F102" s="21" t="n">
        <v>0.488</v>
      </c>
      <c r="G102" s="21">
        <f>E102</f>
        <v/>
      </c>
      <c r="H102" s="13" t="n">
        <v>3.9</v>
      </c>
      <c r="I102" s="13" t="n">
        <v>120</v>
      </c>
      <c r="J102" s="26" t="n"/>
    </row>
    <row r="103">
      <c r="A103" s="100">
        <f>RIGHT(D103,4)</f>
        <v/>
      </c>
      <c r="B103" s="48" t="inlineStr">
        <is>
          <t>САЛЯМИ ИТАЛЬЯНСКАЯ с/к в/у 1/250*8_120с</t>
        </is>
      </c>
      <c r="C103" s="46" t="inlineStr">
        <is>
          <t>ШТ</t>
        </is>
      </c>
      <c r="D103" s="47" t="n">
        <v>1001060764993</v>
      </c>
      <c r="E103" s="22" t="n">
        <v>49</v>
      </c>
      <c r="F103" s="21" t="n">
        <v>0.25</v>
      </c>
      <c r="G103" s="21">
        <f>E103*F103</f>
        <v/>
      </c>
      <c r="H103" s="13" t="n">
        <v>2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ЭКСТРА Папа может с/к в/у 1/250 8шт.</t>
        </is>
      </c>
      <c r="C104" s="46" t="inlineStr">
        <is>
          <t>ШТ</t>
        </is>
      </c>
      <c r="D104" s="47" t="n">
        <v>1001062505483</v>
      </c>
      <c r="E104" s="22" t="n">
        <v>35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в/у_Л</t>
        </is>
      </c>
      <c r="C105" s="46" t="inlineStr">
        <is>
          <t>КГ</t>
        </is>
      </c>
      <c r="D105" s="47" t="n">
        <v>1001062504117</v>
      </c>
      <c r="E105" s="22" t="n"/>
      <c r="F105" s="21" t="n">
        <v>0.494</v>
      </c>
      <c r="G105" s="21">
        <f>E105</f>
        <v/>
      </c>
      <c r="H105" s="13" t="n">
        <v>3.95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ПРАЗДНИЧНАЯ с/к в/с дек.спец.мгс</t>
        </is>
      </c>
      <c r="C106" s="46" t="inlineStr">
        <is>
          <t>КГ</t>
        </is>
      </c>
      <c r="D106" s="47" t="n">
        <v>1001060720614</v>
      </c>
      <c r="E106" s="22" t="n">
        <v>11</v>
      </c>
      <c r="F106" s="21" t="n">
        <v>0.52</v>
      </c>
      <c r="G106" s="21">
        <f>E106</f>
        <v/>
      </c>
      <c r="H106" s="13" t="n">
        <v>3.64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БУРГУНДИЯ Папа может с/к в/у 1/250 8шт.</t>
        </is>
      </c>
      <c r="C107" s="46" t="inlineStr">
        <is>
          <t>ШТ</t>
        </is>
      </c>
      <c r="D107" s="47" t="n">
        <v>1001063656967</v>
      </c>
      <c r="E107" s="22" t="n"/>
      <c r="F107" s="21" t="n">
        <v>0.25</v>
      </c>
      <c r="G107" s="21">
        <f>E107*F107</f>
        <v/>
      </c>
      <c r="H107" s="13" t="n">
        <v>2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САЛЯМИ Папа может с/к в/у 1/250 8шт.</t>
        </is>
      </c>
      <c r="C108" s="46" t="inlineStr">
        <is>
          <t>ШТ</t>
        </is>
      </c>
      <c r="D108" s="47" t="n">
        <v>1001063106937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БРАУНШВЕЙГСКАЯ ГОСТ с/к в/у 1/220 8шт.</t>
        </is>
      </c>
      <c r="C109" s="46" t="inlineStr">
        <is>
          <t>ШТ</t>
        </is>
      </c>
      <c r="D109" s="47" t="n">
        <v>1001060717143</v>
      </c>
      <c r="E109" s="22" t="n"/>
      <c r="F109" s="21" t="n">
        <v>0.22</v>
      </c>
      <c r="G109" s="21">
        <f>E109*F109</f>
        <v/>
      </c>
      <c r="H109" s="13" t="n">
        <v>1.76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САЛЯМИ ФИНСКАЯ Папа может с/к в/у 1/150</t>
        </is>
      </c>
      <c r="C110" s="46" t="inlineStr">
        <is>
          <t>ШТ</t>
        </is>
      </c>
      <c r="D110" s="47" t="n">
        <v>1001063097456</v>
      </c>
      <c r="E110" s="22" t="n">
        <v>20</v>
      </c>
      <c r="F110" s="21" t="n">
        <v>0.15</v>
      </c>
      <c r="G110" s="21">
        <f>E110*F110</f>
        <v/>
      </c>
      <c r="H110" s="13" t="n">
        <v>1.8</v>
      </c>
      <c r="I110" s="13" t="n">
        <v>90</v>
      </c>
      <c r="J110" s="26" t="n"/>
    </row>
    <row r="111">
      <c r="A111" s="100">
        <f>RIGHT(D111,4)</f>
        <v/>
      </c>
      <c r="B111" s="48" t="inlineStr">
        <is>
          <t>ЧОРИЗО Останкино с/к в/у 1/220 8шт.</t>
        </is>
      </c>
      <c r="C111" s="46" t="inlineStr">
        <is>
          <t>ШТ</t>
        </is>
      </c>
      <c r="D111" s="47" t="n">
        <v>1001063217364</v>
      </c>
      <c r="E111" s="22" t="n"/>
      <c r="F111" s="21" t="n">
        <v>0.22</v>
      </c>
      <c r="G111" s="21">
        <f>E111*F111</f>
        <v/>
      </c>
      <c r="H111" s="13" t="n">
        <v>1.76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САН-РЕМО Останкино с/в в/у 1/220 8шт.</t>
        </is>
      </c>
      <c r="C112" s="46" t="inlineStr">
        <is>
          <t>ШТ</t>
        </is>
      </c>
      <c r="D112" s="47" t="n">
        <v>1001065467383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ПРЕСИЖН с/к дек.спец. мгс 0.54кг</t>
        </is>
      </c>
      <c r="C113" s="46" t="inlineStr">
        <is>
          <t>ШТ</t>
        </is>
      </c>
      <c r="D113" s="47" t="n">
        <v>1001066567317</v>
      </c>
      <c r="E113" s="22" t="n"/>
      <c r="F113" s="21" t="n">
        <v>0.54</v>
      </c>
      <c r="G113" s="21">
        <f>E113*F113</f>
        <v/>
      </c>
      <c r="H113" s="13" t="n">
        <v>3.78</v>
      </c>
      <c r="I113" s="13" t="n">
        <v>120</v>
      </c>
      <c r="J113" s="26" t="n"/>
    </row>
    <row r="114">
      <c r="A114" s="100">
        <f>RIGHT(D114,4)</f>
        <v/>
      </c>
      <c r="B114" s="48" t="inlineStr">
        <is>
          <t>ПРАЗДНИЧНАЯ с/к в/с дек.спец. мгс 1/270</t>
        </is>
      </c>
      <c r="C114" s="46" t="inlineStr">
        <is>
          <t>ШТ</t>
        </is>
      </c>
      <c r="D114" s="47" t="n">
        <v>1001060727318</v>
      </c>
      <c r="E114" s="22" t="n"/>
      <c r="F114" s="21" t="n">
        <v>0.27</v>
      </c>
      <c r="G114" s="21">
        <f>E114*F114</f>
        <v/>
      </c>
      <c r="H114" s="13" t="n">
        <v>2.16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0.54кг</t>
        </is>
      </c>
      <c r="C115" s="46" t="inlineStr">
        <is>
          <t>ШТ</t>
        </is>
      </c>
      <c r="D115" s="47" t="n">
        <v>1001060727316</v>
      </c>
      <c r="E115" s="22" t="n"/>
      <c r="F115" s="21" t="n">
        <v>0.54</v>
      </c>
      <c r="G115" s="21">
        <f>E115*F115</f>
        <v/>
      </c>
      <c r="H115" s="13" t="n">
        <v>3.78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АССОРТИ СЫРОКОПЧЕНЫХ КОЛБАС Коровино в/у</t>
        </is>
      </c>
      <c r="C116" s="46" t="inlineStr">
        <is>
          <t>КГ</t>
        </is>
      </c>
      <c r="D116" s="47" t="n">
        <v>1001065616832</v>
      </c>
      <c r="E116" s="22" t="n"/>
      <c r="F116" s="21" t="n">
        <v>0.215</v>
      </c>
      <c r="G116" s="21">
        <f>E116</f>
        <v/>
      </c>
      <c r="H116" s="13" t="n">
        <v>2.15</v>
      </c>
      <c r="I116" s="13" t="n">
        <v>30</v>
      </c>
      <c r="J116" s="26" t="n"/>
    </row>
    <row r="117">
      <c r="A117" s="100">
        <f>RIGHT(D117,4)</f>
        <v/>
      </c>
      <c r="B117" s="48" t="inlineStr">
        <is>
          <t>НАБОР ДЛЯ ПИЦЦЫ Папа Может с/к в/у</t>
        </is>
      </c>
      <c r="C117" s="46" t="inlineStr">
        <is>
          <t>КГ</t>
        </is>
      </c>
      <c r="D117" s="47" t="n">
        <v>1001060677299</v>
      </c>
      <c r="E117" s="22" t="n">
        <v>82</v>
      </c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БАРСЕЛОНА ПМ с/к в/у 1/150</t>
        </is>
      </c>
      <c r="C118" s="46" t="inlineStr">
        <is>
          <t>ШТ</t>
        </is>
      </c>
      <c r="D118" s="47" t="n">
        <v>1001067017386</v>
      </c>
      <c r="E118" s="22" t="n">
        <v>20</v>
      </c>
      <c r="F118" s="21" t="n">
        <v>0.15</v>
      </c>
      <c r="G118" s="21">
        <f>E118*F118</f>
        <v/>
      </c>
      <c r="H118" s="13" t="n">
        <v>1.35</v>
      </c>
      <c r="I118" s="13" t="n">
        <v>90</v>
      </c>
      <c r="J118" s="26" t="n"/>
    </row>
    <row r="119">
      <c r="A119" s="100">
        <f>RIGHT(D119,4)</f>
        <v/>
      </c>
      <c r="B119" s="48" t="inlineStr">
        <is>
          <t>АРОМАТНАЯ с/к с/н в/у 1/100 10шт_Л10 (7613)</t>
        </is>
      </c>
      <c r="C119" s="46" t="inlineStr">
        <is>
          <t>ШТ</t>
        </is>
      </c>
      <c r="D119" s="47" t="n">
        <v>1001061977613</v>
      </c>
      <c r="E119" s="22" t="n">
        <v>178</v>
      </c>
      <c r="F119" s="21" t="n">
        <v>0.1</v>
      </c>
      <c r="G119" s="21">
        <f>E119*F119</f>
        <v/>
      </c>
      <c r="H119" s="13" t="n">
        <v>1</v>
      </c>
      <c r="I119" s="13" t="n">
        <v>60</v>
      </c>
      <c r="J119" s="26" t="n"/>
    </row>
    <row r="120">
      <c r="A120" s="100">
        <f>RIGHT(D120,4)</f>
        <v/>
      </c>
      <c r="B120" s="48" t="inlineStr">
        <is>
          <t>САЛЯМИ МЕЛКОЗЕРНЕНАЯ с/к в/у 1/120 8шт.</t>
        </is>
      </c>
      <c r="C120" s="46" t="inlineStr">
        <is>
          <t>ШТ</t>
        </is>
      </c>
      <c r="D120" s="47" t="n">
        <v>1001203117382</v>
      </c>
      <c r="E120" s="22" t="n">
        <v>104</v>
      </c>
      <c r="F120" s="21" t="n">
        <v>0.12</v>
      </c>
      <c r="G120" s="21">
        <f>E120*F120</f>
        <v/>
      </c>
      <c r="H120" s="13" t="n">
        <v>0.96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ЭКСТРА Папа может с/к с/н в/у 1/100_Л10</t>
        </is>
      </c>
      <c r="C121" s="46" t="inlineStr">
        <is>
          <t>ШТ</t>
        </is>
      </c>
      <c r="D121" s="47" t="n">
        <v>1001062507616</v>
      </c>
      <c r="E121" s="22" t="n">
        <v>58</v>
      </c>
      <c r="F121" s="21" t="n">
        <v>0.1</v>
      </c>
      <c r="G121" s="21">
        <f>E121*F121</f>
        <v/>
      </c>
      <c r="H121" s="13" t="n">
        <v>1.4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НЕАПОЛИТАНСКИЙ ДУЭТ с/к с/н мгс 1/90</t>
        </is>
      </c>
      <c r="C122" s="46" t="inlineStr">
        <is>
          <t>ШТ</t>
        </is>
      </c>
      <c r="D122" s="47" t="n">
        <v>1001205376221</v>
      </c>
      <c r="E122" s="22" t="n"/>
      <c r="F122" s="21" t="n">
        <v>0.09</v>
      </c>
      <c r="G122" s="21">
        <f>E122*F122</f>
        <v/>
      </c>
      <c r="H122" s="13" t="n">
        <v>0.9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ИТАЛЬЯНСКОЕ АССОРТИ с/в с/н мгс 1/90</t>
        </is>
      </c>
      <c r="C123" s="46" t="inlineStr">
        <is>
          <t>ШТ</t>
        </is>
      </c>
      <c r="D123" s="47" t="n">
        <v>1001205386222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САЛЯМИ ИТАЛЬЯНСКАЯ с/к в/у 1/150_60с</t>
        </is>
      </c>
      <c r="C124" s="46" t="inlineStr">
        <is>
          <t>ШТ</t>
        </is>
      </c>
      <c r="D124" s="47" t="n">
        <v>1001190765679</v>
      </c>
      <c r="E124" s="22" t="n"/>
      <c r="F124" s="21" t="n">
        <v>0.15</v>
      </c>
      <c r="G124" s="21">
        <f>E124*F124</f>
        <v/>
      </c>
      <c r="H124" s="13" t="n">
        <v>1.2</v>
      </c>
      <c r="I124" s="13" t="n">
        <v>60</v>
      </c>
      <c r="J124" s="26" t="n"/>
    </row>
    <row r="125" ht="15.75" customHeight="1" s="96" thickBot="1">
      <c r="A125" s="100">
        <f>RIGHT(D125,4)</f>
        <v/>
      </c>
      <c r="B125" s="48" t="inlineStr">
        <is>
          <t>БРАУНШВЕЙГСКАЯ с/к с/н мгс 1/100_Л10</t>
        </is>
      </c>
      <c r="C125" s="46" t="inlineStr">
        <is>
          <t>ШТ</t>
        </is>
      </c>
      <c r="D125" s="47" t="n">
        <v>1001066607626</v>
      </c>
      <c r="E125" s="22" t="n"/>
      <c r="F125" s="21" t="n">
        <v>0.1</v>
      </c>
      <c r="G125" s="21">
        <f>E125*F125</f>
        <v/>
      </c>
      <c r="H125" s="13" t="n">
        <v>1</v>
      </c>
      <c r="I125" s="13" t="n">
        <v>60</v>
      </c>
      <c r="J125" s="26" t="n"/>
    </row>
    <row r="126" ht="16.5" customHeight="1" s="96" thickBot="1" thickTop="1">
      <c r="A126" s="44" t="inlineStr"/>
      <c r="B126" s="39" t="inlineStr">
        <is>
          <t>Ветчины</t>
        </is>
      </c>
      <c r="C126" s="39" t="n"/>
      <c r="D126" s="39" t="n"/>
      <c r="E126" s="39" t="n"/>
      <c r="F126" s="38" t="n"/>
      <c r="G126" s="39" t="n"/>
      <c r="H126" s="39" t="n"/>
      <c r="I126" s="39" t="n"/>
      <c r="J126" s="40" t="n"/>
    </row>
    <row r="127" ht="15.75" customHeight="1" s="96" thickTop="1">
      <c r="A127" s="100">
        <f>RIGHT(D127,4)</f>
        <v/>
      </c>
      <c r="B127" s="92" t="inlineStr">
        <is>
          <t xml:space="preserve">ВЕТЧ.ИЗ ЛОПАТКИ Папа может п/о_HRC </t>
        </is>
      </c>
      <c r="C127" s="46" t="inlineStr">
        <is>
          <t>КГ</t>
        </is>
      </c>
      <c r="D127" s="107" t="n">
        <v>1001092674584</v>
      </c>
      <c r="E127" s="22" t="n"/>
      <c r="F127" s="21" t="n">
        <v>2.5</v>
      </c>
      <c r="G127" s="21">
        <f>E127</f>
        <v/>
      </c>
      <c r="H127" s="13" t="n">
        <v>7.5</v>
      </c>
      <c r="I127" s="13" t="n">
        <v>60</v>
      </c>
      <c r="J127" s="26" t="n"/>
    </row>
    <row r="128">
      <c r="A128" s="100">
        <f>RIGHT(D128,4)</f>
        <v/>
      </c>
      <c r="B128" s="92" t="inlineStr">
        <is>
          <t>ВЕТЧ.МРАМОРНАЯ в/у срез 0.3кг 6шт_62с</t>
        </is>
      </c>
      <c r="C128" s="46" t="inlineStr">
        <is>
          <t>ШТ</t>
        </is>
      </c>
      <c r="D128" s="47" t="n">
        <v>1001092437725</v>
      </c>
      <c r="E128" s="22" t="n">
        <v>40</v>
      </c>
      <c r="F128" s="102" t="n">
        <v>0.3</v>
      </c>
      <c r="G128" s="21">
        <f>E128*F128</f>
        <v/>
      </c>
      <c r="H128" s="26" t="n"/>
      <c r="I128" s="26" t="n"/>
      <c r="J128" s="26">
        <f>VLOOKUP(D128,[1]Бланк!$D:$J,7,0)</f>
        <v/>
      </c>
    </row>
    <row r="129">
      <c r="A129" s="100">
        <f>RIGHT(D129,4)</f>
        <v/>
      </c>
      <c r="B129" s="108" t="inlineStr">
        <is>
          <t>ВЕТЧ.МЯСНАЯ Папа может п/о</t>
        </is>
      </c>
      <c r="C129" s="46" t="inlineStr">
        <is>
          <t>КГ</t>
        </is>
      </c>
      <c r="D129" s="47" t="n">
        <v>1001092485452</v>
      </c>
      <c r="E129" s="22" t="n"/>
      <c r="F129" s="102" t="n">
        <v>1.35</v>
      </c>
      <c r="G129" s="21">
        <f>E129</f>
        <v/>
      </c>
      <c r="H129" s="26" t="n">
        <v>4.05</v>
      </c>
      <c r="I129" s="26" t="n">
        <v>60</v>
      </c>
      <c r="J129" s="26" t="n"/>
    </row>
    <row r="130">
      <c r="A130" s="100">
        <f>RIGHT(D130,4)</f>
        <v/>
      </c>
      <c r="B130" s="108" t="inlineStr">
        <is>
          <t>ВЕТЧ.МЯСНАЯ Папа может п/о 0.4кг 8шт.</t>
        </is>
      </c>
      <c r="C130" s="46" t="inlineStr">
        <is>
          <t>ШТ</t>
        </is>
      </c>
      <c r="D130" s="47" t="n">
        <v>1001094053215</v>
      </c>
      <c r="E130" s="22" t="n">
        <v>130</v>
      </c>
      <c r="F130" s="102" t="n">
        <v>0.4</v>
      </c>
      <c r="G130" s="21">
        <f>E130*F130</f>
        <v/>
      </c>
      <c r="H130" s="26" t="n">
        <v>3.2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ВЕТЧ.НЕЖНАЯ Коровино п/о_Маяк</t>
        </is>
      </c>
      <c r="C131" s="46" t="inlineStr">
        <is>
          <t>КГ</t>
        </is>
      </c>
      <c r="D131" s="47" t="n">
        <v>1001095716866</v>
      </c>
      <c r="E131" s="22" t="n">
        <v>4</v>
      </c>
      <c r="F131" s="102" t="n">
        <v>1.5</v>
      </c>
      <c r="G131" s="21">
        <f>E131</f>
        <v/>
      </c>
      <c r="H131" s="26" t="n">
        <v>6</v>
      </c>
      <c r="I131" s="26" t="n">
        <v>60</v>
      </c>
      <c r="J131" s="26" t="n"/>
    </row>
    <row r="132">
      <c r="A132" s="100">
        <f>RIGHT(D132,4)</f>
        <v/>
      </c>
      <c r="B132" s="48" t="inlineStr">
        <is>
          <t>ВЕТЧ.С ИНДЕЙКОЙ Папа может п/о 400*6</t>
        </is>
      </c>
      <c r="C132" s="46" t="inlineStr">
        <is>
          <t>ШТ</t>
        </is>
      </c>
      <c r="D132" s="101" t="n">
        <v>1001093345495</v>
      </c>
      <c r="E132" s="22" t="n"/>
      <c r="F132" s="102" t="n">
        <v>0.4</v>
      </c>
      <c r="G132" s="21">
        <f>E132*F132</f>
        <v/>
      </c>
      <c r="H132" s="26" t="n">
        <v>2.4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ПМ в/у срез 0.3кг 6шт.</t>
        </is>
      </c>
      <c r="C133" s="46" t="inlineStr">
        <is>
          <t>ШТ</t>
        </is>
      </c>
      <c r="D133" s="101" t="n">
        <v>1001095027377</v>
      </c>
      <c r="E133" s="22" t="n"/>
      <c r="F133" s="102" t="n">
        <v>0.3</v>
      </c>
      <c r="G133" s="21">
        <f>E133*F133</f>
        <v/>
      </c>
      <c r="H133" s="26" t="n">
        <v>1.8</v>
      </c>
      <c r="I133" s="26" t="n">
        <v>45</v>
      </c>
      <c r="J133" s="26" t="n"/>
    </row>
    <row r="134">
      <c r="A134" s="100">
        <f>RIGHT(D134,4)</f>
        <v/>
      </c>
      <c r="B134" s="48" t="inlineStr">
        <is>
          <t>ВЕТЧ.ФИРМЕННАЯ С ИНДЕЙКОЙ п/о</t>
        </is>
      </c>
      <c r="C134" s="46" t="inlineStr">
        <is>
          <t>КГ</t>
        </is>
      </c>
      <c r="D134" s="101" t="n">
        <v>1001094966025</v>
      </c>
      <c r="E134" s="22" t="n"/>
      <c r="F134" s="102" t="n">
        <v>3</v>
      </c>
      <c r="G134" s="21">
        <f>E134</f>
        <v/>
      </c>
      <c r="H134" s="26" t="n">
        <v>6</v>
      </c>
      <c r="I134" s="26" t="n">
        <v>60</v>
      </c>
      <c r="J134" s="26" t="n"/>
    </row>
    <row r="135">
      <c r="A135" s="100">
        <f>RIGHT(D135,4)</f>
        <v/>
      </c>
      <c r="B135" s="48" t="inlineStr">
        <is>
          <t>КАРБОНAД ДОМАШНИЙ ПМ к/в кр/к в/у</t>
        </is>
      </c>
      <c r="C135" s="46" t="inlineStr">
        <is>
          <t>КГ</t>
        </is>
      </c>
      <c r="D135" s="101" t="n">
        <v>1001085476929</v>
      </c>
      <c r="E135" s="22" t="n"/>
      <c r="F135" s="102" t="n"/>
      <c r="G135" s="21">
        <f>E135</f>
        <v/>
      </c>
      <c r="H135" s="26" t="n"/>
      <c r="I135" s="26" t="n"/>
      <c r="J135" s="26">
        <f>VLOOKUP(D135,[1]Бланк!$D:$J,7,0)</f>
        <v/>
      </c>
    </row>
    <row r="136">
      <c r="A136" s="100">
        <f>RIGHT(D136,4)</f>
        <v/>
      </c>
      <c r="B136" s="48" t="inlineStr">
        <is>
          <t>РИЕТ МЯСНОЙ С ГРИБАМИ ПМ п/о 1/150</t>
        </is>
      </c>
      <c r="C136" s="46" t="inlineStr">
        <is>
          <t>ШТ</t>
        </is>
      </c>
      <c r="D136" s="101" t="n">
        <v>1001107397485</v>
      </c>
      <c r="E136" s="22" t="n">
        <v>529</v>
      </c>
      <c r="F136" s="102" t="n">
        <v>0.15</v>
      </c>
      <c r="G136" s="21">
        <f>F136*E136</f>
        <v/>
      </c>
      <c r="H136" s="26" t="n"/>
      <c r="I136" s="26" t="n"/>
      <c r="J136" s="26" t="n"/>
    </row>
    <row r="137">
      <c r="A137" s="100">
        <f>RIGHT(D137,4)</f>
        <v/>
      </c>
      <c r="B137" s="48" t="inlineStr">
        <is>
          <t>ХОЧУ ВЕТЧ.ИЗ СВ.ОТРУБА мгс 1/100_45с_Л11</t>
        </is>
      </c>
      <c r="C137" s="46" t="inlineStr">
        <is>
          <t>ШТ</t>
        </is>
      </c>
      <c r="D137" s="101" t="n">
        <v>1001097747730</v>
      </c>
      <c r="E137" s="22" t="n">
        <v>50</v>
      </c>
      <c r="F137" s="102" t="n">
        <v>0.1</v>
      </c>
      <c r="G137" s="21">
        <f>E137*F137</f>
        <v/>
      </c>
      <c r="H137" s="26" t="n"/>
      <c r="I137" s="26" t="n"/>
      <c r="J137" s="26">
        <f>VLOOKUP(D137,[1]Бланк!$D:$J,7,0)</f>
        <v/>
      </c>
    </row>
    <row r="138" ht="15.75" customHeight="1" s="96" thickBot="1">
      <c r="A138" s="100">
        <f>RIGHT(D138,4)</f>
        <v/>
      </c>
      <c r="B138" s="48" t="inlineStr">
        <is>
          <t>ХОЧУ ВЕТЧ. МРАМОР. с/н мгс 1/100_45с_Л11</t>
        </is>
      </c>
      <c r="C138" s="46" t="inlineStr">
        <is>
          <t>ШТ</t>
        </is>
      </c>
      <c r="D138" s="101" t="n">
        <v>1001097767731</v>
      </c>
      <c r="E138" s="22" t="n">
        <v>50</v>
      </c>
      <c r="F138" s="102" t="n">
        <v>0.1</v>
      </c>
      <c r="G138" s="21">
        <f>E138*F138</f>
        <v/>
      </c>
      <c r="H138" s="26" t="n">
        <v>1</v>
      </c>
      <c r="I138" s="26" t="n">
        <v>30</v>
      </c>
      <c r="J138" s="26">
        <f>VLOOKUP(D138,[1]Бланк!$D:$J,7,0)</f>
        <v/>
      </c>
    </row>
    <row r="139" ht="16.5" customHeight="1" s="96" thickBot="1" thickTop="1">
      <c r="A139" s="44" t="inlineStr"/>
      <c r="B139" s="39" t="inlineStr">
        <is>
          <t>Копчености варенокопченые</t>
        </is>
      </c>
      <c r="C139" s="39" t="n"/>
      <c r="D139" s="39" t="n"/>
      <c r="E139" s="39" t="n"/>
      <c r="F139" s="38" t="n"/>
      <c r="G139" s="39" t="n"/>
      <c r="H139" s="39" t="n"/>
      <c r="I139" s="39" t="n"/>
      <c r="J139" s="40" t="n"/>
    </row>
    <row r="140" ht="15.75" customHeight="1" s="96" thickTop="1">
      <c r="A140" s="100">
        <f>RIGHT(D140,4)</f>
        <v/>
      </c>
      <c r="B140" s="32" t="inlineStr">
        <is>
          <t>СВИНИНА ПО-ДОМ. к/в мл/к в/у 0.3кг_50с</t>
        </is>
      </c>
      <c r="C140" s="46" t="inlineStr">
        <is>
          <t>ШТ</t>
        </is>
      </c>
      <c r="D140" s="47" t="n">
        <v>1001084217090</v>
      </c>
      <c r="E140" s="22" t="n"/>
      <c r="F140" s="21" t="n">
        <v>0.3</v>
      </c>
      <c r="G140" s="21">
        <f>E140*F140</f>
        <v/>
      </c>
      <c r="H140" s="13" t="n">
        <v>1.8</v>
      </c>
      <c r="I140" s="13" t="n">
        <v>50</v>
      </c>
      <c r="J140" s="26" t="n"/>
    </row>
    <row r="141">
      <c r="A141" s="100">
        <f>RIGHT(D141,4)</f>
        <v/>
      </c>
      <c r="B141" s="32" t="inlineStr">
        <is>
          <t>ГРУДИНКА ПРЕМИУМ к/в мл/к в/у 0.3кг_50с</t>
        </is>
      </c>
      <c r="C141" s="46" t="inlineStr">
        <is>
          <t>ШТ</t>
        </is>
      </c>
      <c r="D141" s="47" t="n">
        <v>1001085637187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САЛО СОЛЕНОЕ С ЧЕРНЫМ ПЕРЦЕМ мл/к в/у</t>
        </is>
      </c>
      <c r="C142" s="46" t="inlineStr">
        <is>
          <t>КГ</t>
        </is>
      </c>
      <c r="D142" s="47" t="n">
        <v>1001084856008</v>
      </c>
      <c r="E142" s="22" t="n"/>
      <c r="F142" s="21" t="n">
        <v>0.3</v>
      </c>
      <c r="G142" s="21">
        <f>E142</f>
        <v/>
      </c>
      <c r="H142" s="13" t="n">
        <v>1.8</v>
      </c>
      <c r="I142" s="13" t="n">
        <v>40</v>
      </c>
      <c r="J142" s="26" t="n"/>
    </row>
    <row r="143">
      <c r="A143" s="100">
        <f>RIGHT(D143,4)</f>
        <v/>
      </c>
      <c r="B143" s="32" t="inlineStr">
        <is>
          <t>РЕБРЫШКИ к/в в/у_30c</t>
        </is>
      </c>
      <c r="C143" s="46" t="inlineStr">
        <is>
          <t>КГ</t>
        </is>
      </c>
      <c r="D143" s="47" t="n">
        <v>1001081596620</v>
      </c>
      <c r="E143" s="22" t="n"/>
      <c r="F143" s="21" t="n">
        <v>1.05</v>
      </c>
      <c r="G143" s="21">
        <f>E143</f>
        <v/>
      </c>
      <c r="H143" s="13" t="n">
        <v>3.15</v>
      </c>
      <c r="I143" s="13" t="n">
        <v>30</v>
      </c>
      <c r="J143" s="26" t="n"/>
    </row>
    <row r="144">
      <c r="A144" s="100">
        <f>RIGHT(D144,4)</f>
        <v/>
      </c>
      <c r="B144" s="32" t="inlineStr">
        <is>
          <t>БЕКОН Останкино с/к с/н в/у 1/180_50с</t>
        </is>
      </c>
      <c r="C144" s="46" t="inlineStr">
        <is>
          <t>ШТ</t>
        </is>
      </c>
      <c r="D144" s="47" t="n">
        <v>1001223297103</v>
      </c>
      <c r="E144" s="22" t="n">
        <v>126</v>
      </c>
      <c r="F144" s="21" t="n">
        <v>0.18</v>
      </c>
      <c r="G144" s="21">
        <f>E144*F144</f>
        <v/>
      </c>
      <c r="H144" s="13" t="n">
        <v>1.8</v>
      </c>
      <c r="I144" s="13" t="n">
        <v>50</v>
      </c>
      <c r="J144" s="26" t="n"/>
    </row>
    <row r="145">
      <c r="A145" s="100">
        <f>RIGHT(D145,4)</f>
        <v/>
      </c>
      <c r="B145" s="32" t="inlineStr">
        <is>
          <t>БЕКОН Папа может с/к с/н в/у 1/140_50с</t>
        </is>
      </c>
      <c r="C145" s="46" t="inlineStr">
        <is>
          <t>ШТ</t>
        </is>
      </c>
      <c r="D145" s="47" t="n">
        <v>1001223297092</v>
      </c>
      <c r="E145" s="22" t="n"/>
      <c r="F145" s="21" t="n">
        <v>0.14</v>
      </c>
      <c r="G145" s="21">
        <f>E145*F145</f>
        <v/>
      </c>
      <c r="H145" s="13" t="n">
        <v>1.4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МЯСНОЕ АССОРТИ к/з с/н мгс 1/90 10шт.</t>
        </is>
      </c>
      <c r="C146" s="46" t="inlineStr">
        <is>
          <t>ШТ</t>
        </is>
      </c>
      <c r="D146" s="47" t="n">
        <v>1001225416228</v>
      </c>
      <c r="E146" s="22" t="n">
        <v>159</v>
      </c>
      <c r="F146" s="21" t="n">
        <v>0.09</v>
      </c>
      <c r="G146" s="21">
        <f>E146*F146</f>
        <v/>
      </c>
      <c r="H146" s="13" t="n">
        <v>0.9</v>
      </c>
      <c r="I146" s="13" t="n">
        <v>45</v>
      </c>
      <c r="J146" s="26" t="n"/>
    </row>
    <row r="147">
      <c r="A147" s="100">
        <f>RIGHT(D147,4)</f>
        <v/>
      </c>
      <c r="B147" s="32" t="inlineStr">
        <is>
          <t>ДЫМОВИЦА ИЗ ЛОПАТКИ ПМ к/в с/н в/у 1/150</t>
        </is>
      </c>
      <c r="C147" s="46" t="inlineStr">
        <is>
          <t>ШТ</t>
        </is>
      </c>
      <c r="D147" s="47" t="n">
        <v>1001220226208</v>
      </c>
      <c r="E147" s="22" t="n"/>
      <c r="F147" s="21" t="n">
        <v>0.15</v>
      </c>
      <c r="G147" s="21">
        <f>E147*F147</f>
        <v/>
      </c>
      <c r="H147" s="13" t="n">
        <v>1.5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БАЛЫК И ШЕЙКА с/в с/н мгс 1/90 8шт.</t>
        </is>
      </c>
      <c r="C148" s="46" t="inlineStr">
        <is>
          <t>ШТ</t>
        </is>
      </c>
      <c r="D148" s="47" t="n">
        <v>1001225406754</v>
      </c>
      <c r="E148" s="22" t="n"/>
      <c r="F148" s="21" t="n">
        <v>0.09</v>
      </c>
      <c r="G148" s="21">
        <f>E148*F148</f>
        <v/>
      </c>
      <c r="H148" s="13" t="n">
        <v>0.72</v>
      </c>
      <c r="I148" s="13" t="n">
        <v>60</v>
      </c>
      <c r="J148" s="26" t="n"/>
    </row>
    <row r="149">
      <c r="A149" s="100">
        <f>RIGHT(D149,4)</f>
        <v/>
      </c>
      <c r="B149" s="32" t="inlineStr">
        <is>
          <t>КОРЕЙКА ПО-ОСТ.к/в в/с с/н в/у 1/150_45с</t>
        </is>
      </c>
      <c r="C149" s="46" t="inlineStr">
        <is>
          <t>ШТ</t>
        </is>
      </c>
      <c r="D149" s="47" t="n">
        <v>1001220286279</v>
      </c>
      <c r="E149" s="22" t="n">
        <v>107</v>
      </c>
      <c r="F149" s="21" t="n">
        <v>0.15</v>
      </c>
      <c r="G149" s="21">
        <f>E149*F149</f>
        <v/>
      </c>
      <c r="H149" s="13" t="n">
        <v>1.2</v>
      </c>
      <c r="I149" s="13" t="n">
        <v>45</v>
      </c>
      <c r="J149" s="26" t="n"/>
    </row>
    <row r="150">
      <c r="A150" s="100">
        <f>RIGHT(D150,4)</f>
        <v/>
      </c>
      <c r="B150" s="32" t="inlineStr">
        <is>
          <t>БАЛЫК с/к с/н в/у 1/100 10шт_Л11</t>
        </is>
      </c>
      <c r="C150" s="46" t="inlineStr">
        <is>
          <t>ШТ</t>
        </is>
      </c>
      <c r="D150" s="47" t="n">
        <v>1001453907612</v>
      </c>
      <c r="E150" s="22" t="n"/>
      <c r="F150" s="21" t="n">
        <v>0.1</v>
      </c>
      <c r="G150" s="21">
        <f>E150*F150</f>
        <v/>
      </c>
      <c r="H150" s="13" t="n">
        <v>1</v>
      </c>
      <c r="I150" s="13" t="n">
        <v>60</v>
      </c>
      <c r="J150" s="26" t="n"/>
    </row>
    <row r="151">
      <c r="A151" s="100">
        <f>RIGHT(D151,4)</f>
        <v/>
      </c>
      <c r="B151" s="32" t="inlineStr">
        <is>
          <t>КОНСЕРВЫ МЯС.ГОВЯДИНА ТУШ. В/С 338г_ЧЗ</t>
        </is>
      </c>
      <c r="C151" s="46" t="inlineStr">
        <is>
          <t>ШТ</t>
        </is>
      </c>
      <c r="D151" s="47" t="n">
        <v>1001122287344</v>
      </c>
      <c r="E151" s="22" t="n"/>
      <c r="F151" s="21" t="n">
        <v>0.338</v>
      </c>
      <c r="G151" s="21">
        <f>E151*F151</f>
        <v/>
      </c>
      <c r="H151" s="13" t="n"/>
      <c r="I151" s="13" t="n"/>
      <c r="J151" s="26">
        <f>VLOOKUP(D151,[1]Бланк!$D:$J,7,0)</f>
        <v/>
      </c>
    </row>
    <row r="152" ht="15.75" customHeight="1" s="96" thickBot="1">
      <c r="A152" s="100">
        <f>RIGHT(D152,4)</f>
        <v/>
      </c>
      <c r="B152" s="32" t="inlineStr">
        <is>
          <t>КОНСЕРВЫ МЯС.СВИНИНА ТУШ. В/С 325г_ЧЗ</t>
        </is>
      </c>
      <c r="C152" s="46" t="inlineStr">
        <is>
          <t>ШТ</t>
        </is>
      </c>
      <c r="D152" s="47" t="n">
        <v>1001123677345</v>
      </c>
      <c r="E152" s="22" t="n"/>
      <c r="F152" s="21" t="n">
        <v>0.325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6.5" customHeight="1" s="96" thickBot="1" thickTop="1">
      <c r="A153" s="45" t="n"/>
      <c r="B153" s="42" t="inlineStr">
        <is>
          <t>ВСЕГО:</t>
        </is>
      </c>
      <c r="C153" s="14" t="n"/>
      <c r="D153" s="33" t="n"/>
      <c r="E153" s="15">
        <f>SUM(E10:E150)</f>
        <v/>
      </c>
      <c r="F153" s="15" t="n"/>
      <c r="G153" s="15">
        <f>SUM(G11:G152)</f>
        <v/>
      </c>
      <c r="H153" s="15" t="n"/>
      <c r="I153" s="15" t="n"/>
      <c r="J153" s="15" t="n"/>
    </row>
    <row r="154" ht="15.75" customHeight="1" s="96" thickTop="1">
      <c r="B154" s="34" t="n"/>
      <c r="C154" s="16" t="n"/>
      <c r="D154" s="37" t="n"/>
      <c r="F154" s="17" t="n"/>
      <c r="G154" s="17" t="n"/>
      <c r="H154" s="18" t="n"/>
      <c r="I154" s="18" t="n"/>
      <c r="J154" s="19" t="n"/>
    </row>
    <row r="155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2026-10-07T11:31:19Z</dcterms:modified>
  <cp:lastModifiedBy>Uaer4</cp:lastModifiedBy>
  <cp:lastPrinted>2015-01-13T07:32:10Z</cp:lastPrinted>
</cp:coreProperties>
</file>