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"/>
    </mc:Choice>
  </mc:AlternateContent>
  <xr:revisionPtr revIDLastSave="0" documentId="13_ncr:1_{3C544148-CA1C-46A7-9B6A-9351C890FF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Sheet!$A$3:$X$103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6" i="1"/>
  <c r="P6" i="1"/>
  <c r="X101" i="1" l="1"/>
  <c r="X91" i="1"/>
  <c r="X82" i="1"/>
  <c r="R65" i="1"/>
  <c r="R11" i="1"/>
  <c r="R8" i="1"/>
  <c r="R9" i="1"/>
  <c r="R16" i="1"/>
  <c r="R17" i="1"/>
  <c r="R29" i="1"/>
  <c r="R32" i="1"/>
  <c r="R33" i="1"/>
  <c r="X33" i="1" s="1"/>
  <c r="R35" i="1"/>
  <c r="R36" i="1"/>
  <c r="R39" i="1"/>
  <c r="R41" i="1"/>
  <c r="R47" i="1"/>
  <c r="R48" i="1"/>
  <c r="R49" i="1"/>
  <c r="R51" i="1"/>
  <c r="X51" i="1" s="1"/>
  <c r="R54" i="1"/>
  <c r="R56" i="1"/>
  <c r="R58" i="1"/>
  <c r="R61" i="1"/>
  <c r="R62" i="1"/>
  <c r="R64" i="1"/>
  <c r="R67" i="1"/>
  <c r="R68" i="1"/>
  <c r="R70" i="1"/>
  <c r="R71" i="1"/>
  <c r="R72" i="1"/>
  <c r="R74" i="1"/>
  <c r="R75" i="1"/>
  <c r="R78" i="1"/>
  <c r="R79" i="1"/>
  <c r="R83" i="1"/>
  <c r="X84" i="1"/>
  <c r="R86" i="1"/>
  <c r="X86" i="1" s="1"/>
  <c r="R88" i="1"/>
  <c r="X88" i="1" s="1"/>
  <c r="R94" i="1"/>
  <c r="X94" i="1" s="1"/>
  <c r="R95" i="1"/>
  <c r="R96" i="1"/>
  <c r="X96" i="1" s="1"/>
  <c r="R97" i="1"/>
  <c r="X97" i="1" s="1"/>
  <c r="R98" i="1"/>
  <c r="X98" i="1" s="1"/>
  <c r="R99" i="1"/>
  <c r="X100" i="1"/>
  <c r="X102" i="1"/>
  <c r="R103" i="1"/>
  <c r="X9" i="1"/>
  <c r="X17" i="1"/>
  <c r="X21" i="1"/>
  <c r="X23" i="1"/>
  <c r="X25" i="1"/>
  <c r="X27" i="1"/>
  <c r="X29" i="1"/>
  <c r="X35" i="1"/>
  <c r="X39" i="1"/>
  <c r="X41" i="1"/>
  <c r="X47" i="1"/>
  <c r="X49" i="1"/>
  <c r="X57" i="1"/>
  <c r="X61" i="1"/>
  <c r="X67" i="1"/>
  <c r="X71" i="1"/>
  <c r="X75" i="1"/>
  <c r="X79" i="1"/>
  <c r="X81" i="1"/>
  <c r="X83" i="1"/>
  <c r="X85" i="1"/>
  <c r="X87" i="1"/>
  <c r="X95" i="1"/>
  <c r="X99" i="1"/>
  <c r="X103" i="1"/>
  <c r="S7" i="1"/>
  <c r="R7" i="1" s="1"/>
  <c r="S8" i="1"/>
  <c r="S10" i="1"/>
  <c r="R10" i="1" s="1"/>
  <c r="S11" i="1"/>
  <c r="S12" i="1"/>
  <c r="S13" i="1"/>
  <c r="R13" i="1" s="1"/>
  <c r="S14" i="1"/>
  <c r="R14" i="1" s="1"/>
  <c r="S15" i="1"/>
  <c r="S18" i="1"/>
  <c r="R18" i="1" s="1"/>
  <c r="S20" i="1"/>
  <c r="S21" i="1"/>
  <c r="S23" i="1"/>
  <c r="S24" i="1"/>
  <c r="S25" i="1"/>
  <c r="S26" i="1"/>
  <c r="S27" i="1"/>
  <c r="S28" i="1"/>
  <c r="R28" i="1" s="1"/>
  <c r="S30" i="1"/>
  <c r="R30" i="1" s="1"/>
  <c r="S31" i="1"/>
  <c r="R31" i="1" s="1"/>
  <c r="S34" i="1"/>
  <c r="S37" i="1"/>
  <c r="S38" i="1"/>
  <c r="S40" i="1"/>
  <c r="S42" i="1"/>
  <c r="R42" i="1" s="1"/>
  <c r="S43" i="1"/>
  <c r="R43" i="1" s="1"/>
  <c r="X43" i="1" s="1"/>
  <c r="S44" i="1"/>
  <c r="R44" i="1" s="1"/>
  <c r="S46" i="1"/>
  <c r="R46" i="1" s="1"/>
  <c r="S50" i="1"/>
  <c r="S52" i="1"/>
  <c r="S53" i="1"/>
  <c r="R53" i="1" s="1"/>
  <c r="X53" i="1" s="1"/>
  <c r="S55" i="1"/>
  <c r="R55" i="1" s="1"/>
  <c r="S57" i="1"/>
  <c r="S63" i="1"/>
  <c r="R63" i="1" s="1"/>
  <c r="S65" i="1"/>
  <c r="S80" i="1"/>
  <c r="S81" i="1"/>
  <c r="S82" i="1"/>
  <c r="S84" i="1"/>
  <c r="S85" i="1"/>
  <c r="S87" i="1"/>
  <c r="S89" i="1"/>
  <c r="R89" i="1" s="1"/>
  <c r="X89" i="1" s="1"/>
  <c r="S90" i="1"/>
  <c r="R90" i="1" s="1"/>
  <c r="X90" i="1" s="1"/>
  <c r="S91" i="1"/>
  <c r="S100" i="1"/>
  <c r="S101" i="1"/>
  <c r="S102" i="1"/>
  <c r="S6" i="1"/>
  <c r="R6" i="1" s="1"/>
  <c r="X6" i="1" s="1"/>
  <c r="X80" i="1" l="1"/>
  <c r="X78" i="1"/>
  <c r="X74" i="1"/>
  <c r="X72" i="1"/>
  <c r="X70" i="1"/>
  <c r="X68" i="1"/>
  <c r="X64" i="1"/>
  <c r="X62" i="1"/>
  <c r="X58" i="1"/>
  <c r="X56" i="1"/>
  <c r="X54" i="1"/>
  <c r="X52" i="1"/>
  <c r="X50" i="1"/>
  <c r="X48" i="1"/>
  <c r="X40" i="1"/>
  <c r="X38" i="1"/>
  <c r="X36" i="1"/>
  <c r="X34" i="1"/>
  <c r="X32" i="1"/>
  <c r="X28" i="1"/>
  <c r="X26" i="1"/>
  <c r="X24" i="1"/>
  <c r="X20" i="1"/>
  <c r="X18" i="1"/>
  <c r="X16" i="1"/>
  <c r="X12" i="1"/>
  <c r="X10" i="1"/>
  <c r="X8" i="1"/>
  <c r="S5" i="1"/>
  <c r="P7" i="1"/>
  <c r="U7" i="1" s="1"/>
  <c r="P8" i="1"/>
  <c r="T8" i="1" s="1"/>
  <c r="P9" i="1"/>
  <c r="P10" i="1"/>
  <c r="T10" i="1" s="1"/>
  <c r="P11" i="1"/>
  <c r="U11" i="1" s="1"/>
  <c r="P12" i="1"/>
  <c r="T12" i="1" s="1"/>
  <c r="P13" i="1"/>
  <c r="U13" i="1" s="1"/>
  <c r="P14" i="1"/>
  <c r="P15" i="1"/>
  <c r="U15" i="1" s="1"/>
  <c r="P16" i="1"/>
  <c r="T16" i="1" s="1"/>
  <c r="P17" i="1"/>
  <c r="P18" i="1"/>
  <c r="T18" i="1" s="1"/>
  <c r="P19" i="1"/>
  <c r="U19" i="1" s="1"/>
  <c r="P20" i="1"/>
  <c r="T20" i="1" s="1"/>
  <c r="P21" i="1"/>
  <c r="P22" i="1"/>
  <c r="Q22" i="1" s="1"/>
  <c r="R22" i="1" s="1"/>
  <c r="X22" i="1" s="1"/>
  <c r="P23" i="1"/>
  <c r="P24" i="1"/>
  <c r="T24" i="1" s="1"/>
  <c r="P25" i="1"/>
  <c r="P26" i="1"/>
  <c r="T26" i="1" s="1"/>
  <c r="P27" i="1"/>
  <c r="P28" i="1"/>
  <c r="T28" i="1" s="1"/>
  <c r="P29" i="1"/>
  <c r="P30" i="1"/>
  <c r="P31" i="1"/>
  <c r="U31" i="1" s="1"/>
  <c r="P32" i="1"/>
  <c r="T32" i="1" s="1"/>
  <c r="P33" i="1"/>
  <c r="P34" i="1"/>
  <c r="T34" i="1" s="1"/>
  <c r="P35" i="1"/>
  <c r="P36" i="1"/>
  <c r="T36" i="1" s="1"/>
  <c r="P37" i="1"/>
  <c r="U37" i="1" s="1"/>
  <c r="P38" i="1"/>
  <c r="T38" i="1" s="1"/>
  <c r="P39" i="1"/>
  <c r="P40" i="1"/>
  <c r="T40" i="1" s="1"/>
  <c r="P41" i="1"/>
  <c r="P42" i="1"/>
  <c r="P43" i="1"/>
  <c r="P44" i="1"/>
  <c r="P45" i="1"/>
  <c r="U45" i="1" s="1"/>
  <c r="P46" i="1"/>
  <c r="P47" i="1"/>
  <c r="P48" i="1"/>
  <c r="T48" i="1" s="1"/>
  <c r="P49" i="1"/>
  <c r="P50" i="1"/>
  <c r="T50" i="1" s="1"/>
  <c r="P51" i="1"/>
  <c r="P52" i="1"/>
  <c r="T52" i="1" s="1"/>
  <c r="P53" i="1"/>
  <c r="P54" i="1"/>
  <c r="T54" i="1" s="1"/>
  <c r="P55" i="1"/>
  <c r="U55" i="1" s="1"/>
  <c r="P56" i="1"/>
  <c r="T56" i="1" s="1"/>
  <c r="P57" i="1"/>
  <c r="P58" i="1"/>
  <c r="T58" i="1" s="1"/>
  <c r="P59" i="1"/>
  <c r="U59" i="1" s="1"/>
  <c r="P60" i="1"/>
  <c r="P61" i="1"/>
  <c r="P62" i="1"/>
  <c r="T62" i="1" s="1"/>
  <c r="P63" i="1"/>
  <c r="U63" i="1" s="1"/>
  <c r="P64" i="1"/>
  <c r="T64" i="1" s="1"/>
  <c r="P65" i="1"/>
  <c r="U65" i="1" s="1"/>
  <c r="P66" i="1"/>
  <c r="P67" i="1"/>
  <c r="P68" i="1"/>
  <c r="T68" i="1" s="1"/>
  <c r="P69" i="1"/>
  <c r="U69" i="1" s="1"/>
  <c r="P70" i="1"/>
  <c r="T70" i="1" s="1"/>
  <c r="P71" i="1"/>
  <c r="P72" i="1"/>
  <c r="T72" i="1" s="1"/>
  <c r="P73" i="1"/>
  <c r="U73" i="1" s="1"/>
  <c r="P74" i="1"/>
  <c r="T74" i="1" s="1"/>
  <c r="P75" i="1"/>
  <c r="P76" i="1"/>
  <c r="P77" i="1"/>
  <c r="U77" i="1" s="1"/>
  <c r="P78" i="1"/>
  <c r="T78" i="1" s="1"/>
  <c r="P79" i="1"/>
  <c r="P80" i="1"/>
  <c r="T80" i="1" s="1"/>
  <c r="P81" i="1"/>
  <c r="P82" i="1"/>
  <c r="T82" i="1" s="1"/>
  <c r="P83" i="1"/>
  <c r="P84" i="1"/>
  <c r="T84" i="1" s="1"/>
  <c r="P85" i="1"/>
  <c r="P86" i="1"/>
  <c r="T86" i="1" s="1"/>
  <c r="P87" i="1"/>
  <c r="P88" i="1"/>
  <c r="T88" i="1" s="1"/>
  <c r="P89" i="1"/>
  <c r="P90" i="1"/>
  <c r="T90" i="1" s="1"/>
  <c r="P91" i="1"/>
  <c r="P92" i="1"/>
  <c r="P93" i="1"/>
  <c r="U93" i="1" s="1"/>
  <c r="P94" i="1"/>
  <c r="T94" i="1" s="1"/>
  <c r="P95" i="1"/>
  <c r="P96" i="1"/>
  <c r="T96" i="1" s="1"/>
  <c r="P97" i="1"/>
  <c r="P98" i="1"/>
  <c r="T98" i="1" s="1"/>
  <c r="P99" i="1"/>
  <c r="P100" i="1"/>
  <c r="T100" i="1" s="1"/>
  <c r="P101" i="1"/>
  <c r="P102" i="1"/>
  <c r="T102" i="1" s="1"/>
  <c r="P103" i="1"/>
  <c r="T6" i="1"/>
  <c r="T22" i="1" l="1"/>
  <c r="U103" i="1"/>
  <c r="T103" i="1"/>
  <c r="U101" i="1"/>
  <c r="T101" i="1"/>
  <c r="U99" i="1"/>
  <c r="T99" i="1"/>
  <c r="U97" i="1"/>
  <c r="T97" i="1"/>
  <c r="U95" i="1"/>
  <c r="T95" i="1"/>
  <c r="U91" i="1"/>
  <c r="T91" i="1"/>
  <c r="U89" i="1"/>
  <c r="T89" i="1"/>
  <c r="U87" i="1"/>
  <c r="T87" i="1"/>
  <c r="U85" i="1"/>
  <c r="T85" i="1"/>
  <c r="U83" i="1"/>
  <c r="T83" i="1"/>
  <c r="U81" i="1"/>
  <c r="T81" i="1"/>
  <c r="U79" i="1"/>
  <c r="T79" i="1"/>
  <c r="U75" i="1"/>
  <c r="T75" i="1"/>
  <c r="U71" i="1"/>
  <c r="T71" i="1"/>
  <c r="U67" i="1"/>
  <c r="T67" i="1"/>
  <c r="U61" i="1"/>
  <c r="T61" i="1"/>
  <c r="U57" i="1"/>
  <c r="T57" i="1"/>
  <c r="U53" i="1"/>
  <c r="T53" i="1"/>
  <c r="U51" i="1"/>
  <c r="T51" i="1"/>
  <c r="U49" i="1"/>
  <c r="T49" i="1"/>
  <c r="U47" i="1"/>
  <c r="T47" i="1"/>
  <c r="U43" i="1"/>
  <c r="T43" i="1"/>
  <c r="U41" i="1"/>
  <c r="T41" i="1"/>
  <c r="U39" i="1"/>
  <c r="T39" i="1"/>
  <c r="U35" i="1"/>
  <c r="T35" i="1"/>
  <c r="U33" i="1"/>
  <c r="T33" i="1"/>
  <c r="U29" i="1"/>
  <c r="T29" i="1"/>
  <c r="U27" i="1"/>
  <c r="T27" i="1"/>
  <c r="U25" i="1"/>
  <c r="T25" i="1"/>
  <c r="U23" i="1"/>
  <c r="T23" i="1"/>
  <c r="U21" i="1"/>
  <c r="T21" i="1"/>
  <c r="U17" i="1"/>
  <c r="T17" i="1"/>
  <c r="U9" i="1"/>
  <c r="T9" i="1"/>
  <c r="Q93" i="1"/>
  <c r="R93" i="1" s="1"/>
  <c r="Q15" i="1"/>
  <c r="Q11" i="1"/>
  <c r="Q77" i="1"/>
  <c r="R77" i="1" s="1"/>
  <c r="Q73" i="1"/>
  <c r="R73" i="1" s="1"/>
  <c r="Q55" i="1"/>
  <c r="Q7" i="1"/>
  <c r="Q59" i="1"/>
  <c r="R59" i="1" s="1"/>
  <c r="Q19" i="1"/>
  <c r="R19" i="1" s="1"/>
  <c r="Q13" i="1"/>
  <c r="Q37" i="1"/>
  <c r="Q63" i="1"/>
  <c r="Q31" i="1"/>
  <c r="Q45" i="1"/>
  <c r="R45" i="1" s="1"/>
  <c r="Q65" i="1"/>
  <c r="U6" i="1"/>
  <c r="U102" i="1"/>
  <c r="U100" i="1"/>
  <c r="U98" i="1"/>
  <c r="U96" i="1"/>
  <c r="U94" i="1"/>
  <c r="U92" i="1"/>
  <c r="Q92" i="1"/>
  <c r="R92" i="1" s="1"/>
  <c r="U90" i="1"/>
  <c r="U88" i="1"/>
  <c r="U86" i="1"/>
  <c r="U84" i="1"/>
  <c r="U82" i="1"/>
  <c r="U80" i="1"/>
  <c r="U78" i="1"/>
  <c r="Q76" i="1"/>
  <c r="R76" i="1" s="1"/>
  <c r="U74" i="1"/>
  <c r="U70" i="1"/>
  <c r="Q66" i="1"/>
  <c r="R66" i="1" s="1"/>
  <c r="U66" i="1"/>
  <c r="U62" i="1"/>
  <c r="Q60" i="1"/>
  <c r="R60" i="1" s="1"/>
  <c r="U58" i="1"/>
  <c r="U54" i="1"/>
  <c r="U50" i="1"/>
  <c r="Q46" i="1"/>
  <c r="U46" i="1"/>
  <c r="Q44" i="1"/>
  <c r="Q42" i="1"/>
  <c r="U42" i="1"/>
  <c r="U38" i="1"/>
  <c r="U34" i="1"/>
  <c r="Q30" i="1"/>
  <c r="U30" i="1"/>
  <c r="U26" i="1"/>
  <c r="U22" i="1"/>
  <c r="U18" i="1"/>
  <c r="Q14" i="1"/>
  <c r="U14" i="1"/>
  <c r="U10" i="1"/>
  <c r="Q69" i="1"/>
  <c r="R69" i="1" s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V5" i="1"/>
  <c r="P5" i="1"/>
  <c r="Y5" i="1" s="1"/>
  <c r="O5" i="1"/>
  <c r="N5" i="1"/>
  <c r="M5" i="1"/>
  <c r="K5" i="1"/>
  <c r="F5" i="1"/>
  <c r="E5" i="1"/>
  <c r="X14" i="1" l="1"/>
  <c r="T14" i="1"/>
  <c r="X44" i="1"/>
  <c r="T44" i="1"/>
  <c r="X46" i="1"/>
  <c r="T46" i="1"/>
  <c r="X60" i="1"/>
  <c r="T60" i="1"/>
  <c r="X76" i="1"/>
  <c r="T76" i="1"/>
  <c r="X92" i="1"/>
  <c r="T92" i="1"/>
  <c r="X65" i="1"/>
  <c r="T65" i="1"/>
  <c r="X31" i="1"/>
  <c r="T31" i="1"/>
  <c r="X37" i="1"/>
  <c r="T37" i="1"/>
  <c r="X19" i="1"/>
  <c r="T19" i="1"/>
  <c r="X7" i="1"/>
  <c r="T7" i="1"/>
  <c r="R5" i="1"/>
  <c r="X73" i="1"/>
  <c r="T73" i="1"/>
  <c r="X11" i="1"/>
  <c r="T11" i="1"/>
  <c r="X93" i="1"/>
  <c r="T93" i="1"/>
  <c r="X69" i="1"/>
  <c r="T69" i="1"/>
  <c r="X30" i="1"/>
  <c r="T30" i="1"/>
  <c r="X42" i="1"/>
  <c r="T42" i="1"/>
  <c r="X66" i="1"/>
  <c r="T66" i="1"/>
  <c r="X45" i="1"/>
  <c r="T45" i="1"/>
  <c r="X63" i="1"/>
  <c r="T63" i="1"/>
  <c r="X13" i="1"/>
  <c r="T13" i="1"/>
  <c r="X59" i="1"/>
  <c r="T59" i="1"/>
  <c r="X55" i="1"/>
  <c r="T55" i="1"/>
  <c r="X77" i="1"/>
  <c r="T77" i="1"/>
  <c r="X15" i="1"/>
  <c r="T15" i="1"/>
  <c r="Q5" i="1"/>
  <c r="L5" i="1"/>
  <c r="X5" i="1" l="1"/>
</calcChain>
</file>

<file path=xl/sharedStrings.xml><?xml version="1.0" encoding="utf-8"?>
<sst xmlns="http://schemas.openxmlformats.org/spreadsheetml/2006/main" count="339" uniqueCount="140">
  <si>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</si>
  <si>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</si>
  <si>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</si>
  <si>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</si>
  <si>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</si>
  <si>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</si>
  <si>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</si>
  <si>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</si>
  <si>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</si>
  <si>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</si>
  <si>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</si>
  <si>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</si>
  <si>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</si>
  <si>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</si>
  <si>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</si>
  <si>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</si>
  <si>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</si>
  <si>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</si>
  <si>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</si>
  <si>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</si>
  <si>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</si>
  <si>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</si>
  <si>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29,09,м</t>
  </si>
  <si>
    <t>28,09,</t>
  </si>
  <si>
    <t>нет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</si>
  <si>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</si>
  <si>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</si>
  <si>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</si>
  <si>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</si>
  <si>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</si>
  <si>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</si>
  <si>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</si>
  <si>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</si>
  <si>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</si>
  <si>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</si>
  <si>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</si>
  <si>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</si>
  <si>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</si>
  <si>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</si>
  <si>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</si>
  <si>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</si>
  <si>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</si>
  <si>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</si>
  <si>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</si>
  <si>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</si>
  <si>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</si>
  <si>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</si>
  <si>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</si>
  <si>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</si>
  <si>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</si>
  <si>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</si>
  <si>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</si>
  <si>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</si>
  <si>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</si>
  <si>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</si>
  <si>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</si>
  <si>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7154 СЕРВЕЛАТ ЗЕРНИСТЫЙ ПМ в/к в/у 0,35кг_50с  Останкино</t>
  </si>
  <si>
    <t>6392 ФИЛЕЙНАЯ Папа может вар п/о 0,4кг  ОСТАНКИНО</t>
  </si>
  <si>
    <t>7616 ЭКСТРА Папа может с/к с/н в/у 1/100_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</si>
  <si>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</si>
  <si>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</si>
  <si>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</si>
  <si>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</si>
  <si>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</si>
  <si>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</si>
  <si>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</si>
  <si>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</si>
  <si>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</si>
  <si>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</si>
  <si>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</si>
  <si>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</si>
  <si>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</si>
  <si>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</si>
  <si>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</si>
  <si>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</si>
  <si>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</si>
  <si>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</si>
  <si>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</si>
  <si>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</si>
  <si>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</si>
  <si>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</si>
  <si>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</si>
  <si>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</si>
  <si>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</si>
  <si>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</si>
  <si>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</si>
  <si>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</si>
  <si>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</si>
  <si>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</si>
  <si>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</si>
  <si>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</si>
  <si>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</si>
  <si>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</si>
  <si>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</si>
  <si>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</si>
  <si>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</si>
  <si>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</si>
  <si>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</si>
  <si>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</si>
  <si>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</si>
  <si>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</si>
  <si>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</si>
  <si>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</si>
  <si>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</si>
  <si>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</si>
  <si>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</si>
  <si>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7461 ДЛЯ ДЕТЕЙ Папа Может сос п/о мгс 0,33кг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</si>
  <si>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</si>
  <si>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</si>
  <si>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</si>
  <si>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</si>
  <si>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</si>
  <si>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</si>
  <si>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</si>
  <si>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</si>
  <si>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</si>
  <si>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</si>
  <si>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</si>
  <si>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</si>
  <si>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</si>
  <si>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</si>
  <si>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</si>
  <si>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</si>
  <si>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</si>
  <si>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</si>
  <si>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</si>
  <si>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</si>
  <si>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</si>
  <si>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</si>
  <si>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7156 СЕРВЕЛАТ КОПЧ.НА БУКЕ в/к в/у 0.35кг_50с  ОСТАНКИНО</t>
  </si>
  <si>
    <t>8014 ДОКТОРСКАЯ ПРЕМИУМ вар п/о(п)    ОСТАНКИНО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</si>
  <si>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</si>
  <si>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</si>
  <si>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</si>
  <si>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</si>
  <si>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</si>
  <si>
    <t>ТК</t>
  </si>
  <si>
    <t>Титенок</t>
  </si>
  <si>
    <t>заказ</t>
  </si>
  <si>
    <t>06,10,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</si>
</sst>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8,09,26%20&#1084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29,09,м</v>
          </cell>
          <cell r="P4" t="str">
            <v>28,09,</v>
          </cell>
        </row>
        <row r="5">
          <cell r="E5">
            <v>5186.2580000000007</v>
          </cell>
          <cell r="F5">
            <v>7176.5959999999995</v>
          </cell>
          <cell r="K5">
            <v>7978.5800000000008</v>
          </cell>
          <cell r="L5">
            <v>-2792.3220000000001</v>
          </cell>
          <cell r="M5">
            <v>0</v>
          </cell>
          <cell r="N5">
            <v>0</v>
          </cell>
          <cell r="O5">
            <v>7774</v>
          </cell>
          <cell r="P5">
            <v>1037.2516000000001</v>
          </cell>
          <cell r="Q5">
            <v>5035.7849999999999</v>
          </cell>
          <cell r="R5">
            <v>6380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G6">
            <v>1</v>
          </cell>
          <cell r="H6">
            <v>120</v>
          </cell>
          <cell r="I6" t="str">
            <v>матрица</v>
          </cell>
          <cell r="K6">
            <v>5.0999999999999996</v>
          </cell>
          <cell r="L6">
            <v>-5.0999999999999996</v>
          </cell>
          <cell r="O6">
            <v>4</v>
          </cell>
          <cell r="P6">
            <v>0</v>
          </cell>
          <cell r="Q6">
            <v>8</v>
          </cell>
          <cell r="R6">
            <v>40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72</v>
          </cell>
          <cell r="D7">
            <v>326</v>
          </cell>
          <cell r="E7">
            <v>139</v>
          </cell>
          <cell r="F7">
            <v>253</v>
          </cell>
          <cell r="G7">
            <v>0.4</v>
          </cell>
          <cell r="H7">
            <v>60</v>
          </cell>
          <cell r="I7" t="str">
            <v>матрица</v>
          </cell>
          <cell r="K7">
            <v>146</v>
          </cell>
          <cell r="L7">
            <v>-7</v>
          </cell>
          <cell r="O7">
            <v>100</v>
          </cell>
          <cell r="P7">
            <v>27.8</v>
          </cell>
          <cell r="Q7">
            <v>64</v>
          </cell>
          <cell r="R7">
            <v>150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8.0419999999999998</v>
          </cell>
          <cell r="D8">
            <v>7.9269999999999996</v>
          </cell>
          <cell r="E8">
            <v>9.5660000000000007</v>
          </cell>
          <cell r="F8">
            <v>4.91</v>
          </cell>
          <cell r="G8">
            <v>1</v>
          </cell>
          <cell r="H8">
            <v>120</v>
          </cell>
          <cell r="I8" t="str">
            <v>матрица</v>
          </cell>
          <cell r="K8">
            <v>9.5</v>
          </cell>
          <cell r="L8">
            <v>6.6000000000000725E-2</v>
          </cell>
          <cell r="O8">
            <v>50</v>
          </cell>
          <cell r="P8">
            <v>1.9132000000000002</v>
          </cell>
          <cell r="R8">
            <v>20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72</v>
          </cell>
          <cell r="D9">
            <v>336</v>
          </cell>
          <cell r="E9">
            <v>98</v>
          </cell>
          <cell r="F9">
            <v>289</v>
          </cell>
          <cell r="G9">
            <v>0.25</v>
          </cell>
          <cell r="H9">
            <v>120</v>
          </cell>
          <cell r="I9" t="str">
            <v>матрица</v>
          </cell>
          <cell r="K9">
            <v>147</v>
          </cell>
          <cell r="L9">
            <v>-49</v>
          </cell>
          <cell r="O9">
            <v>50</v>
          </cell>
          <cell r="P9">
            <v>19.600000000000001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169.85499999999999</v>
          </cell>
          <cell r="D10">
            <v>108.66200000000001</v>
          </cell>
          <cell r="E10">
            <v>121.32</v>
          </cell>
          <cell r="F10">
            <v>134.124</v>
          </cell>
          <cell r="G10">
            <v>1</v>
          </cell>
          <cell r="H10">
            <v>60</v>
          </cell>
          <cell r="I10" t="str">
            <v>матрица</v>
          </cell>
          <cell r="K10">
            <v>131.80000000000001</v>
          </cell>
          <cell r="L10">
            <v>-10.480000000000018</v>
          </cell>
          <cell r="O10">
            <v>250</v>
          </cell>
          <cell r="P10">
            <v>24.263999999999999</v>
          </cell>
          <cell r="R10">
            <v>150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28.311</v>
          </cell>
          <cell r="E11">
            <v>23.010999999999999</v>
          </cell>
          <cell r="F11">
            <v>3.9460000000000002</v>
          </cell>
          <cell r="G11">
            <v>1</v>
          </cell>
          <cell r="H11">
            <v>120</v>
          </cell>
          <cell r="I11" t="str">
            <v>матрица</v>
          </cell>
          <cell r="K11">
            <v>19.5</v>
          </cell>
          <cell r="L11">
            <v>3.5109999999999992</v>
          </cell>
          <cell r="O11">
            <v>0</v>
          </cell>
          <cell r="P11">
            <v>4.6021999999999998</v>
          </cell>
          <cell r="Q11">
            <v>46.678200000000004</v>
          </cell>
          <cell r="R11">
            <v>100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40.392000000000003</v>
          </cell>
          <cell r="D12">
            <v>1.363</v>
          </cell>
          <cell r="E12">
            <v>26.852</v>
          </cell>
          <cell r="F12">
            <v>5.4290000000000003</v>
          </cell>
          <cell r="G12">
            <v>1</v>
          </cell>
          <cell r="H12">
            <v>60</v>
          </cell>
          <cell r="I12" t="str">
            <v>матрица</v>
          </cell>
          <cell r="K12">
            <v>26.5</v>
          </cell>
          <cell r="L12">
            <v>0.35200000000000031</v>
          </cell>
          <cell r="O12">
            <v>100</v>
          </cell>
          <cell r="P12">
            <v>5.3704000000000001</v>
          </cell>
          <cell r="R12">
            <v>50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293.66199999999998</v>
          </cell>
          <cell r="D13">
            <v>105.24</v>
          </cell>
          <cell r="E13">
            <v>140.517</v>
          </cell>
          <cell r="F13">
            <v>237.898</v>
          </cell>
          <cell r="G13">
            <v>1</v>
          </cell>
          <cell r="H13">
            <v>60</v>
          </cell>
          <cell r="I13" t="str">
            <v>матрица</v>
          </cell>
          <cell r="K13">
            <v>147.69999999999999</v>
          </cell>
          <cell r="L13">
            <v>-7.1829999999999927</v>
          </cell>
          <cell r="O13">
            <v>100</v>
          </cell>
          <cell r="P13">
            <v>28.103400000000001</v>
          </cell>
          <cell r="Q13">
            <v>83.652999999999992</v>
          </cell>
          <cell r="R13">
            <v>150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128</v>
          </cell>
          <cell r="D14">
            <v>103</v>
          </cell>
          <cell r="E14">
            <v>101</v>
          </cell>
          <cell r="F14">
            <v>121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111</v>
          </cell>
          <cell r="L14">
            <v>-10</v>
          </cell>
          <cell r="O14">
            <v>50</v>
          </cell>
          <cell r="P14">
            <v>20.2</v>
          </cell>
          <cell r="Q14">
            <v>132</v>
          </cell>
          <cell r="R14">
            <v>200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61.256999999999998</v>
          </cell>
          <cell r="D15">
            <v>1.5589999999999999</v>
          </cell>
          <cell r="E15">
            <v>36.837000000000003</v>
          </cell>
          <cell r="F15">
            <v>16.280999999999999</v>
          </cell>
          <cell r="G15">
            <v>1</v>
          </cell>
          <cell r="H15">
            <v>60</v>
          </cell>
          <cell r="I15" t="str">
            <v>матрица</v>
          </cell>
          <cell r="K15">
            <v>38</v>
          </cell>
          <cell r="L15">
            <v>-1.1629999999999967</v>
          </cell>
          <cell r="O15">
            <v>0</v>
          </cell>
          <cell r="P15">
            <v>7.3674000000000008</v>
          </cell>
          <cell r="Q15">
            <v>72.127800000000008</v>
          </cell>
          <cell r="R15">
            <v>150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128</v>
          </cell>
          <cell r="D16">
            <v>297</v>
          </cell>
          <cell r="E16">
            <v>98</v>
          </cell>
          <cell r="F16">
            <v>303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121</v>
          </cell>
          <cell r="L16">
            <v>-23</v>
          </cell>
          <cell r="O16">
            <v>50</v>
          </cell>
          <cell r="P16">
            <v>19.600000000000001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150</v>
          </cell>
          <cell r="D17">
            <v>3</v>
          </cell>
          <cell r="E17">
            <v>22</v>
          </cell>
          <cell r="F17">
            <v>128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25</v>
          </cell>
          <cell r="L17">
            <v>-3</v>
          </cell>
          <cell r="O17">
            <v>50</v>
          </cell>
          <cell r="P17">
            <v>4.4000000000000004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D18">
            <v>258.65699999999998</v>
          </cell>
          <cell r="E18">
            <v>52.406999999999996</v>
          </cell>
          <cell r="F18">
            <v>189.36199999999999</v>
          </cell>
          <cell r="G18">
            <v>1</v>
          </cell>
          <cell r="H18">
            <v>45</v>
          </cell>
          <cell r="I18" t="str">
            <v>матрица</v>
          </cell>
          <cell r="K18">
            <v>95.6</v>
          </cell>
          <cell r="L18">
            <v>-43.192999999999998</v>
          </cell>
          <cell r="O18">
            <v>200</v>
          </cell>
          <cell r="P18">
            <v>10.481399999999999</v>
          </cell>
          <cell r="R18">
            <v>50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16.548999999999999</v>
          </cell>
          <cell r="E19">
            <v>9.8059999999999992</v>
          </cell>
          <cell r="F19">
            <v>5.1890000000000001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9.5</v>
          </cell>
          <cell r="L19">
            <v>0.30599999999999916</v>
          </cell>
          <cell r="O19">
            <v>8</v>
          </cell>
          <cell r="P19">
            <v>1.9611999999999998</v>
          </cell>
          <cell r="Q19">
            <v>16.228999999999999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G20">
            <v>0.4</v>
          </cell>
          <cell r="H20">
            <v>45</v>
          </cell>
          <cell r="I20" t="str">
            <v>матрица</v>
          </cell>
          <cell r="K20">
            <v>80</v>
          </cell>
          <cell r="L20">
            <v>-80</v>
          </cell>
          <cell r="O20">
            <v>220</v>
          </cell>
          <cell r="P20">
            <v>0</v>
          </cell>
          <cell r="R20">
            <v>150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40.296999999999997</v>
          </cell>
          <cell r="D21">
            <v>136.51300000000001</v>
          </cell>
          <cell r="E21">
            <v>59.405000000000001</v>
          </cell>
          <cell r="F21">
            <v>101.24299999999999</v>
          </cell>
          <cell r="G21">
            <v>1</v>
          </cell>
          <cell r="H21">
            <v>60</v>
          </cell>
          <cell r="I21" t="str">
            <v>матрица</v>
          </cell>
          <cell r="K21">
            <v>68.2</v>
          </cell>
          <cell r="L21">
            <v>-8.7950000000000017</v>
          </cell>
          <cell r="O21">
            <v>100</v>
          </cell>
          <cell r="P21">
            <v>11.881</v>
          </cell>
          <cell r="R21">
            <v>70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224</v>
          </cell>
          <cell r="D22">
            <v>13</v>
          </cell>
          <cell r="E22">
            <v>144</v>
          </cell>
          <cell r="F22">
            <v>78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186</v>
          </cell>
          <cell r="L22">
            <v>-42</v>
          </cell>
          <cell r="O22">
            <v>0</v>
          </cell>
          <cell r="P22">
            <v>28.8</v>
          </cell>
          <cell r="Q22">
            <v>296.40000000000003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G23">
            <v>1</v>
          </cell>
          <cell r="H23">
            <v>40</v>
          </cell>
          <cell r="I23" t="str">
            <v>матрица</v>
          </cell>
          <cell r="K23">
            <v>2.2999999999999998</v>
          </cell>
          <cell r="L23">
            <v>-2.2999999999999998</v>
          </cell>
          <cell r="O23">
            <v>30</v>
          </cell>
          <cell r="P23">
            <v>0</v>
          </cell>
          <cell r="R23">
            <v>50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12.153</v>
          </cell>
          <cell r="D24">
            <v>80.881</v>
          </cell>
          <cell r="E24">
            <v>28.425000000000001</v>
          </cell>
          <cell r="F24">
            <v>56.57</v>
          </cell>
          <cell r="G24">
            <v>1</v>
          </cell>
          <cell r="H24">
            <v>60</v>
          </cell>
          <cell r="I24" t="str">
            <v>матрица</v>
          </cell>
          <cell r="K24">
            <v>38.4</v>
          </cell>
          <cell r="L24">
            <v>-9.9749999999999979</v>
          </cell>
          <cell r="O24">
            <v>50</v>
          </cell>
          <cell r="P24">
            <v>5.6850000000000005</v>
          </cell>
          <cell r="R24">
            <v>50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20</v>
          </cell>
          <cell r="D25">
            <v>1</v>
          </cell>
          <cell r="E25">
            <v>19</v>
          </cell>
          <cell r="F25">
            <v>1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119</v>
          </cell>
          <cell r="L25">
            <v>-100</v>
          </cell>
          <cell r="O25">
            <v>200</v>
          </cell>
          <cell r="P25">
            <v>3.8</v>
          </cell>
          <cell r="Q25">
            <v>20</v>
          </cell>
          <cell r="R25">
            <v>100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60</v>
          </cell>
          <cell r="L26">
            <v>-60</v>
          </cell>
          <cell r="O26">
            <v>50</v>
          </cell>
          <cell r="P26">
            <v>0</v>
          </cell>
          <cell r="Q26">
            <v>60</v>
          </cell>
          <cell r="R26">
            <v>200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5</v>
          </cell>
          <cell r="L27">
            <v>-5</v>
          </cell>
          <cell r="O27">
            <v>40</v>
          </cell>
          <cell r="P27">
            <v>0</v>
          </cell>
          <cell r="R27">
            <v>50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115.601</v>
          </cell>
          <cell r="D28">
            <v>6.4459999999999997</v>
          </cell>
          <cell r="E28">
            <v>58.581000000000003</v>
          </cell>
          <cell r="F28">
            <v>57.02</v>
          </cell>
          <cell r="G28">
            <v>1</v>
          </cell>
          <cell r="H28">
            <v>45</v>
          </cell>
          <cell r="I28" t="str">
            <v>матрица</v>
          </cell>
          <cell r="K28">
            <v>59.5</v>
          </cell>
          <cell r="L28">
            <v>-0.91899999999999693</v>
          </cell>
          <cell r="O28">
            <v>150</v>
          </cell>
          <cell r="P28">
            <v>11.716200000000001</v>
          </cell>
          <cell r="R28">
            <v>70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D29">
            <v>145</v>
          </cell>
          <cell r="E29">
            <v>33</v>
          </cell>
          <cell r="F29">
            <v>111</v>
          </cell>
          <cell r="G29">
            <v>0.4</v>
          </cell>
          <cell r="H29">
            <v>60</v>
          </cell>
          <cell r="I29" t="str">
            <v>матрица</v>
          </cell>
          <cell r="K29">
            <v>60</v>
          </cell>
          <cell r="L29">
            <v>-27</v>
          </cell>
          <cell r="O29">
            <v>50</v>
          </cell>
          <cell r="P29">
            <v>6.6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168</v>
          </cell>
          <cell r="D30">
            <v>350</v>
          </cell>
          <cell r="E30">
            <v>210</v>
          </cell>
          <cell r="F30">
            <v>272</v>
          </cell>
          <cell r="G30">
            <v>0.4</v>
          </cell>
          <cell r="H30">
            <v>60</v>
          </cell>
          <cell r="I30" t="str">
            <v>матрица</v>
          </cell>
          <cell r="K30">
            <v>254</v>
          </cell>
          <cell r="L30">
            <v>-44</v>
          </cell>
          <cell r="O30">
            <v>150</v>
          </cell>
          <cell r="P30">
            <v>42</v>
          </cell>
          <cell r="Q30">
            <v>208</v>
          </cell>
          <cell r="R30">
            <v>300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168</v>
          </cell>
          <cell r="D31">
            <v>264</v>
          </cell>
          <cell r="E31">
            <v>195</v>
          </cell>
          <cell r="F31">
            <v>206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226</v>
          </cell>
          <cell r="L31">
            <v>-31</v>
          </cell>
          <cell r="O31">
            <v>200</v>
          </cell>
          <cell r="P31">
            <v>39</v>
          </cell>
          <cell r="Q31">
            <v>179</v>
          </cell>
          <cell r="R31">
            <v>300</v>
          </cell>
        </row>
        <row r="32">
          <cell r="A32" t="str">
            <v>6470 ВЕТЧ.МРАМОРНАЯ в/у_45с  ОСТАНКИНО</v>
          </cell>
          <cell r="B32" t="str">
            <v>кг</v>
          </cell>
          <cell r="E32">
            <v>14.827999999999999</v>
          </cell>
          <cell r="F32">
            <v>-14.827999999999999</v>
          </cell>
          <cell r="G32">
            <v>0</v>
          </cell>
          <cell r="H32">
            <v>45</v>
          </cell>
          <cell r="I32" t="str">
            <v>не в матрице</v>
          </cell>
          <cell r="K32">
            <v>19.2</v>
          </cell>
          <cell r="L32">
            <v>-4.3719999999999999</v>
          </cell>
          <cell r="O32">
            <v>0</v>
          </cell>
          <cell r="P32">
            <v>2.9655999999999998</v>
          </cell>
        </row>
        <row r="33">
          <cell r="A33" t="str">
            <v>6475 Сосиски Папа может 400г С сыром  ОСТАНКИНО</v>
          </cell>
          <cell r="B33" t="str">
            <v>шт</v>
          </cell>
          <cell r="E33">
            <v>24</v>
          </cell>
          <cell r="F33">
            <v>-24</v>
          </cell>
          <cell r="G33">
            <v>0</v>
          </cell>
          <cell r="I33" t="str">
            <v>не в матрице</v>
          </cell>
          <cell r="K33">
            <v>76</v>
          </cell>
          <cell r="L33">
            <v>-52</v>
          </cell>
          <cell r="O33">
            <v>0</v>
          </cell>
          <cell r="P33">
            <v>4.8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30</v>
          </cell>
          <cell r="D34">
            <v>1</v>
          </cell>
          <cell r="E34">
            <v>9</v>
          </cell>
          <cell r="F34">
            <v>20</v>
          </cell>
          <cell r="G34">
            <v>0.3</v>
          </cell>
          <cell r="H34">
            <v>45</v>
          </cell>
          <cell r="I34" t="str">
            <v>ротация на код 7725</v>
          </cell>
          <cell r="K34">
            <v>15</v>
          </cell>
          <cell r="L34">
            <v>-6</v>
          </cell>
          <cell r="O34">
            <v>30</v>
          </cell>
          <cell r="P34">
            <v>1.8</v>
          </cell>
          <cell r="R34">
            <v>150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370.803</v>
          </cell>
          <cell r="D35">
            <v>3.077</v>
          </cell>
          <cell r="E35">
            <v>72.600999999999999</v>
          </cell>
          <cell r="F35">
            <v>292.80399999999997</v>
          </cell>
          <cell r="G35">
            <v>1</v>
          </cell>
          <cell r="H35">
            <v>60</v>
          </cell>
          <cell r="I35" t="str">
            <v>матрица</v>
          </cell>
          <cell r="K35">
            <v>77</v>
          </cell>
          <cell r="L35">
            <v>-4.3990000000000009</v>
          </cell>
          <cell r="O35">
            <v>0</v>
          </cell>
          <cell r="P35">
            <v>14.520199999999999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6.34</v>
          </cell>
          <cell r="D36">
            <v>15.76</v>
          </cell>
          <cell r="F36">
            <v>22.1</v>
          </cell>
          <cell r="G36">
            <v>1</v>
          </cell>
          <cell r="H36">
            <v>45</v>
          </cell>
          <cell r="I36" t="str">
            <v>матрица</v>
          </cell>
          <cell r="L36">
            <v>0</v>
          </cell>
          <cell r="O36">
            <v>50</v>
          </cell>
          <cell r="P36">
            <v>0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31.033999999999999</v>
          </cell>
          <cell r="D37">
            <v>1.044</v>
          </cell>
          <cell r="E37">
            <v>22.838999999999999</v>
          </cell>
          <cell r="F37">
            <v>6.14</v>
          </cell>
          <cell r="G37">
            <v>1</v>
          </cell>
          <cell r="H37">
            <v>45</v>
          </cell>
          <cell r="I37" t="str">
            <v>матрица</v>
          </cell>
          <cell r="K37">
            <v>23</v>
          </cell>
          <cell r="L37">
            <v>-0.16100000000000136</v>
          </cell>
          <cell r="O37">
            <v>20</v>
          </cell>
          <cell r="P37">
            <v>4.5678000000000001</v>
          </cell>
          <cell r="Q37">
            <v>42.376999999999995</v>
          </cell>
          <cell r="R37">
            <v>100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3.1379999999999999</v>
          </cell>
          <cell r="D38">
            <v>7.298</v>
          </cell>
          <cell r="E38">
            <v>4.1619999999999999</v>
          </cell>
          <cell r="F38">
            <v>4.22</v>
          </cell>
          <cell r="G38">
            <v>1</v>
          </cell>
          <cell r="H38">
            <v>45</v>
          </cell>
          <cell r="I38" t="str">
            <v>матрица</v>
          </cell>
          <cell r="K38">
            <v>8</v>
          </cell>
          <cell r="L38">
            <v>-3.8380000000000001</v>
          </cell>
          <cell r="O38">
            <v>40</v>
          </cell>
          <cell r="P38">
            <v>0.83240000000000003</v>
          </cell>
          <cell r="R38">
            <v>40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D39">
            <v>162</v>
          </cell>
          <cell r="E39">
            <v>54</v>
          </cell>
          <cell r="F39">
            <v>97</v>
          </cell>
          <cell r="G39">
            <v>0.3</v>
          </cell>
          <cell r="H39">
            <v>45</v>
          </cell>
          <cell r="I39" t="str">
            <v>матрица</v>
          </cell>
          <cell r="K39">
            <v>109</v>
          </cell>
          <cell r="L39">
            <v>-55</v>
          </cell>
          <cell r="O39">
            <v>150</v>
          </cell>
          <cell r="P39">
            <v>10.8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G40">
            <v>1</v>
          </cell>
          <cell r="I40" t="str">
            <v>матрица</v>
          </cell>
          <cell r="K40">
            <v>0.5</v>
          </cell>
          <cell r="L40">
            <v>-0.5</v>
          </cell>
          <cell r="O40">
            <v>30</v>
          </cell>
          <cell r="P40">
            <v>0</v>
          </cell>
          <cell r="R40">
            <v>50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E41">
            <v>12.545</v>
          </cell>
          <cell r="F41">
            <v>-12.545</v>
          </cell>
          <cell r="G41">
            <v>1</v>
          </cell>
          <cell r="H41">
            <v>45</v>
          </cell>
          <cell r="I41" t="str">
            <v>матрица</v>
          </cell>
          <cell r="K41">
            <v>12</v>
          </cell>
          <cell r="L41">
            <v>0.54499999999999993</v>
          </cell>
          <cell r="O41">
            <v>80</v>
          </cell>
          <cell r="P41">
            <v>2.5089999999999999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96</v>
          </cell>
          <cell r="D42">
            <v>679</v>
          </cell>
          <cell r="E42">
            <v>307</v>
          </cell>
          <cell r="F42">
            <v>415</v>
          </cell>
          <cell r="G42">
            <v>0.35</v>
          </cell>
          <cell r="H42">
            <v>45</v>
          </cell>
          <cell r="I42" t="str">
            <v>матрица</v>
          </cell>
          <cell r="K42">
            <v>439</v>
          </cell>
          <cell r="L42">
            <v>-132</v>
          </cell>
          <cell r="O42">
            <v>200</v>
          </cell>
          <cell r="P42">
            <v>61.4</v>
          </cell>
          <cell r="Q42">
            <v>306</v>
          </cell>
          <cell r="R42">
            <v>400</v>
          </cell>
        </row>
        <row r="43">
          <cell r="A43" t="str">
            <v>6713 СОЧНЫЙ ГРИЛЬ ПМ сос п/о мгс 0,41кг 8 шт.  ОСТАНКИНО</v>
          </cell>
          <cell r="B43" t="str">
            <v>шт</v>
          </cell>
          <cell r="G43">
            <v>0.41</v>
          </cell>
          <cell r="H43">
            <v>45</v>
          </cell>
          <cell r="I43" t="str">
            <v>ротация на код 7490</v>
          </cell>
          <cell r="K43">
            <v>266</v>
          </cell>
          <cell r="L43">
            <v>-266</v>
          </cell>
          <cell r="O43">
            <v>50</v>
          </cell>
          <cell r="P43">
            <v>0</v>
          </cell>
          <cell r="Q43">
            <v>280</v>
          </cell>
          <cell r="R43">
            <v>350</v>
          </cell>
        </row>
        <row r="44">
          <cell r="A44" t="str">
            <v>6724 МОЛОЧНЫЕ ПМ сос п/о мгс 0,41кг 10шт  Останкино</v>
          </cell>
          <cell r="B44" t="str">
            <v>шт</v>
          </cell>
          <cell r="C44">
            <v>160</v>
          </cell>
          <cell r="D44">
            <v>2</v>
          </cell>
          <cell r="E44">
            <v>104</v>
          </cell>
          <cell r="F44">
            <v>56</v>
          </cell>
          <cell r="G44">
            <v>0.41</v>
          </cell>
          <cell r="H44">
            <v>45</v>
          </cell>
          <cell r="I44" t="str">
            <v>матрица</v>
          </cell>
          <cell r="K44">
            <v>107</v>
          </cell>
          <cell r="L44">
            <v>-3</v>
          </cell>
          <cell r="O44">
            <v>200</v>
          </cell>
          <cell r="P44">
            <v>20.8</v>
          </cell>
          <cell r="Q44">
            <v>56</v>
          </cell>
          <cell r="R44">
            <v>100</v>
          </cell>
        </row>
        <row r="45">
          <cell r="A45" t="str">
            <v>6765 РУБЛЕНЫЕ сос ц/о мгс 0,36кг 6шт  Останкино</v>
          </cell>
          <cell r="B45" t="str">
            <v>шт</v>
          </cell>
          <cell r="D45">
            <v>18</v>
          </cell>
          <cell r="E45">
            <v>16</v>
          </cell>
          <cell r="F45">
            <v>2</v>
          </cell>
          <cell r="G45">
            <v>0.36</v>
          </cell>
          <cell r="H45">
            <v>45</v>
          </cell>
          <cell r="I45" t="str">
            <v>матрица</v>
          </cell>
          <cell r="K45">
            <v>30</v>
          </cell>
          <cell r="L45">
            <v>-14</v>
          </cell>
          <cell r="O45">
            <v>30</v>
          </cell>
          <cell r="P45">
            <v>3.2</v>
          </cell>
          <cell r="Q45">
            <v>16</v>
          </cell>
        </row>
        <row r="46">
          <cell r="A46" t="str">
            <v>6787 СЕРВЕЛАТ КРЕМЛЕВСКИЙ в/к в/у 0,33кг 8шт  Останкино</v>
          </cell>
          <cell r="B46" t="str">
            <v>шт</v>
          </cell>
          <cell r="D46">
            <v>48</v>
          </cell>
          <cell r="E46">
            <v>24</v>
          </cell>
          <cell r="F46">
            <v>20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35</v>
          </cell>
          <cell r="L46">
            <v>-11</v>
          </cell>
          <cell r="O46">
            <v>40</v>
          </cell>
          <cell r="P46">
            <v>4.8</v>
          </cell>
          <cell r="Q46">
            <v>12</v>
          </cell>
          <cell r="R46">
            <v>40</v>
          </cell>
        </row>
        <row r="47">
          <cell r="A47" t="str">
            <v>6797 С ИНДЕЙКОЙ Папа может вар п/о 0,4кг 8шт. ОСТАНКИНО</v>
          </cell>
          <cell r="B47" t="str">
            <v>шт</v>
          </cell>
          <cell r="D47">
            <v>156</v>
          </cell>
          <cell r="E47">
            <v>27</v>
          </cell>
          <cell r="F47">
            <v>124</v>
          </cell>
          <cell r="G47">
            <v>0.4</v>
          </cell>
          <cell r="H47">
            <v>60</v>
          </cell>
          <cell r="I47" t="str">
            <v>матрица</v>
          </cell>
          <cell r="K47">
            <v>75</v>
          </cell>
          <cell r="L47">
            <v>-48</v>
          </cell>
          <cell r="O47">
            <v>30</v>
          </cell>
          <cell r="P47">
            <v>5.4</v>
          </cell>
          <cell r="Q47">
            <v>24</v>
          </cell>
        </row>
        <row r="48">
          <cell r="A48" t="str">
            <v>6807 СЕРВЕЛАТ ЕВРОПЕЙСКИЙ в/к в/у 0,33кг 8шт  Останкино</v>
          </cell>
          <cell r="B48" t="str">
            <v>шт</v>
          </cell>
          <cell r="G48">
            <v>0.33</v>
          </cell>
          <cell r="H48">
            <v>45</v>
          </cell>
          <cell r="I48" t="str">
            <v>матрица</v>
          </cell>
          <cell r="L48">
            <v>0</v>
          </cell>
          <cell r="O48">
            <v>0</v>
          </cell>
          <cell r="P48">
            <v>0</v>
          </cell>
          <cell r="Q48">
            <v>16</v>
          </cell>
        </row>
        <row r="49">
          <cell r="A49" t="str">
            <v>6829  МОЛОЧНЫЕ КЛАССИЧЕСКИЕ сос п/о мгс 2*4 С  Останккино</v>
          </cell>
          <cell r="B49" t="str">
            <v>кг</v>
          </cell>
          <cell r="C49">
            <v>8.4250000000000007</v>
          </cell>
          <cell r="D49">
            <v>91.662000000000006</v>
          </cell>
          <cell r="E49">
            <v>21.199000000000002</v>
          </cell>
          <cell r="F49">
            <v>68.206000000000003</v>
          </cell>
          <cell r="G49">
            <v>1</v>
          </cell>
          <cell r="H49">
            <v>45</v>
          </cell>
          <cell r="I49" t="str">
            <v>матрица</v>
          </cell>
          <cell r="K49">
            <v>36</v>
          </cell>
          <cell r="L49">
            <v>-14.800999999999998</v>
          </cell>
          <cell r="O49">
            <v>0</v>
          </cell>
          <cell r="P49">
            <v>4.2398000000000007</v>
          </cell>
        </row>
        <row r="50">
          <cell r="A50" t="str">
            <v>6837 ФИЛЕЙНЫЕ Папа Может сос ц/о мгс 0,4кг  Останкино</v>
          </cell>
          <cell r="B50" t="str">
            <v>шт</v>
          </cell>
          <cell r="E50">
            <v>12</v>
          </cell>
          <cell r="F50">
            <v>-12</v>
          </cell>
          <cell r="G50">
            <v>0.4</v>
          </cell>
          <cell r="H50">
            <v>45</v>
          </cell>
          <cell r="I50" t="str">
            <v>матрица</v>
          </cell>
          <cell r="K50">
            <v>31</v>
          </cell>
          <cell r="L50">
            <v>-19</v>
          </cell>
          <cell r="O50">
            <v>150</v>
          </cell>
          <cell r="P50">
            <v>2.4</v>
          </cell>
          <cell r="R50">
            <v>200</v>
          </cell>
        </row>
        <row r="51">
          <cell r="A51" t="str">
            <v>6861 ДОМАШНИЙ РЕЦЕПТ Коровино вар п/о  Останкино</v>
          </cell>
          <cell r="B51" t="str">
            <v>кг</v>
          </cell>
          <cell r="G51">
            <v>0</v>
          </cell>
          <cell r="I51" t="str">
            <v>матрица</v>
          </cell>
          <cell r="L51">
            <v>0</v>
          </cell>
          <cell r="O51">
            <v>0</v>
          </cell>
          <cell r="P51">
            <v>0</v>
          </cell>
        </row>
        <row r="52">
          <cell r="A52" t="str">
            <v>6866 ВЕТЧ.НЕЖНАЯ Коровино п/о_Маяк  Останкино</v>
          </cell>
          <cell r="B52" t="str">
            <v>кг</v>
          </cell>
          <cell r="E52">
            <v>6.11</v>
          </cell>
          <cell r="F52">
            <v>-6.11</v>
          </cell>
          <cell r="G52">
            <v>1</v>
          </cell>
          <cell r="H52">
            <v>60</v>
          </cell>
          <cell r="I52" t="str">
            <v>матрица</v>
          </cell>
          <cell r="K52">
            <v>12.5</v>
          </cell>
          <cell r="L52">
            <v>-6.39</v>
          </cell>
          <cell r="O52">
            <v>40</v>
          </cell>
          <cell r="P52">
            <v>1.222</v>
          </cell>
          <cell r="R52">
            <v>50</v>
          </cell>
        </row>
        <row r="53">
          <cell r="A53" t="str">
            <v>6929 КАРБОНАД ДОМАШНИЙ ПМ к/в кр/к в/у  ОСТАНКИНО</v>
          </cell>
          <cell r="B53" t="str">
            <v>кг</v>
          </cell>
          <cell r="G53">
            <v>1</v>
          </cell>
          <cell r="H53">
            <v>45</v>
          </cell>
          <cell r="I53" t="str">
            <v>матрица</v>
          </cell>
          <cell r="L53">
            <v>0</v>
          </cell>
          <cell r="O53">
            <v>70</v>
          </cell>
          <cell r="P53">
            <v>0</v>
          </cell>
          <cell r="R53">
            <v>50</v>
          </cell>
        </row>
        <row r="54">
          <cell r="A54" t="str">
            <v>6937 САЛЯМИ Папа может с/к в/у 1/250 8шт  Останкино</v>
          </cell>
          <cell r="B54" t="str">
            <v>шт</v>
          </cell>
          <cell r="C54">
            <v>120</v>
          </cell>
          <cell r="F54">
            <v>120</v>
          </cell>
          <cell r="G54">
            <v>0</v>
          </cell>
          <cell r="I54" t="str">
            <v>не в матрице</v>
          </cell>
          <cell r="L54">
            <v>0</v>
          </cell>
          <cell r="O54">
            <v>0</v>
          </cell>
          <cell r="P54">
            <v>0</v>
          </cell>
        </row>
        <row r="55">
          <cell r="A55" t="str">
            <v>6967 БУРГУНДИЯ Папа может с/к в/у 1/250 8шт  Останкино</v>
          </cell>
          <cell r="B55" t="str">
            <v>шт</v>
          </cell>
          <cell r="C55">
            <v>64</v>
          </cell>
          <cell r="D55">
            <v>67</v>
          </cell>
          <cell r="E55">
            <v>62</v>
          </cell>
          <cell r="F55">
            <v>65</v>
          </cell>
          <cell r="G55">
            <v>0.25</v>
          </cell>
          <cell r="H55">
            <v>120</v>
          </cell>
          <cell r="I55" t="str">
            <v>матрица</v>
          </cell>
          <cell r="K55">
            <v>67</v>
          </cell>
          <cell r="L55">
            <v>-5</v>
          </cell>
          <cell r="O55">
            <v>70</v>
          </cell>
          <cell r="P55">
            <v>12.4</v>
          </cell>
          <cell r="Q55">
            <v>51</v>
          </cell>
          <cell r="R55">
            <v>100</v>
          </cell>
        </row>
        <row r="56">
          <cell r="A56" t="str">
            <v>7001 КЛАССИЧЕСКИЕ Папа может сар б/о мгс 1*3  Останкино</v>
          </cell>
          <cell r="B56" t="str">
            <v>кг</v>
          </cell>
          <cell r="C56">
            <v>6.234</v>
          </cell>
          <cell r="F56">
            <v>6.234</v>
          </cell>
          <cell r="G56">
            <v>1</v>
          </cell>
          <cell r="H56">
            <v>45</v>
          </cell>
          <cell r="I56" t="str">
            <v>матрица</v>
          </cell>
          <cell r="L56">
            <v>0</v>
          </cell>
          <cell r="O56">
            <v>40</v>
          </cell>
          <cell r="P56">
            <v>0</v>
          </cell>
        </row>
        <row r="57">
          <cell r="A57" t="str">
            <v>7040 С ИНДЕЙКОЙ ПМ сос ц/о в/у 1/270 8шт.  ОСТАНКИНО</v>
          </cell>
          <cell r="B57" t="str">
            <v>шт</v>
          </cell>
          <cell r="G57">
            <v>0.27</v>
          </cell>
          <cell r="I57" t="str">
            <v>матрица</v>
          </cell>
          <cell r="L57">
            <v>0</v>
          </cell>
          <cell r="O57">
            <v>50</v>
          </cell>
          <cell r="P57">
            <v>0</v>
          </cell>
          <cell r="R57">
            <v>100</v>
          </cell>
        </row>
        <row r="58">
          <cell r="A58" t="str">
            <v>7059 ШПИКАЧКИ СОЧНЫЕ С БЕК. п/о мгс 0,3кг 60с ОСТАНКИНО</v>
          </cell>
          <cell r="B58" t="str">
            <v>шт</v>
          </cell>
          <cell r="D58">
            <v>80</v>
          </cell>
          <cell r="E58">
            <v>10</v>
          </cell>
          <cell r="F58">
            <v>70</v>
          </cell>
          <cell r="G58">
            <v>0.3</v>
          </cell>
          <cell r="H58">
            <v>60</v>
          </cell>
          <cell r="I58" t="str">
            <v>матрица</v>
          </cell>
          <cell r="K58">
            <v>14</v>
          </cell>
          <cell r="L58">
            <v>-4</v>
          </cell>
          <cell r="O58">
            <v>50</v>
          </cell>
          <cell r="P58">
            <v>2</v>
          </cell>
        </row>
        <row r="59">
          <cell r="A59" t="str">
            <v>7066 СОЧНЫЕ ПМ сос п/о мгс 0,41кг 10шт 50с  Останкино</v>
          </cell>
          <cell r="B59" t="str">
            <v>шт</v>
          </cell>
          <cell r="C59">
            <v>440</v>
          </cell>
          <cell r="D59">
            <v>53</v>
          </cell>
          <cell r="E59">
            <v>462</v>
          </cell>
          <cell r="F59">
            <v>-25</v>
          </cell>
          <cell r="G59">
            <v>0.41</v>
          </cell>
          <cell r="H59">
            <v>50</v>
          </cell>
          <cell r="I59" t="str">
            <v>матрица</v>
          </cell>
          <cell r="K59">
            <v>531</v>
          </cell>
          <cell r="L59">
            <v>-69</v>
          </cell>
          <cell r="O59">
            <v>0</v>
          </cell>
          <cell r="P59">
            <v>92.4</v>
          </cell>
          <cell r="Q59">
            <v>949</v>
          </cell>
        </row>
        <row r="60">
          <cell r="A60" t="str">
            <v>7070 СОЧНЫЕ ПМ сос п/о 1,5*4_А_50с  Останкино</v>
          </cell>
          <cell r="B60" t="str">
            <v>кг</v>
          </cell>
          <cell r="C60">
            <v>191.774</v>
          </cell>
          <cell r="E60">
            <v>54.545999999999999</v>
          </cell>
          <cell r="F60">
            <v>133.518</v>
          </cell>
          <cell r="G60">
            <v>1</v>
          </cell>
          <cell r="H60">
            <v>50</v>
          </cell>
          <cell r="I60" t="str">
            <v>матрица</v>
          </cell>
          <cell r="K60">
            <v>71</v>
          </cell>
          <cell r="L60">
            <v>-16.454000000000001</v>
          </cell>
          <cell r="O60">
            <v>0</v>
          </cell>
          <cell r="P60">
            <v>10.9092</v>
          </cell>
          <cell r="Q60">
            <v>30.120000000000005</v>
          </cell>
        </row>
        <row r="61">
          <cell r="A61" t="str">
            <v>7073 МОЛОЧ.ПРЕМИУМ ПМ сос п/о в/у 1/350_50с  Останкино</v>
          </cell>
          <cell r="B61" t="str">
            <v>шт</v>
          </cell>
          <cell r="D61">
            <v>214</v>
          </cell>
          <cell r="E61">
            <v>79</v>
          </cell>
          <cell r="F61">
            <v>114</v>
          </cell>
          <cell r="G61">
            <v>0.35</v>
          </cell>
          <cell r="H61">
            <v>50</v>
          </cell>
          <cell r="I61" t="str">
            <v>матрица</v>
          </cell>
          <cell r="K61">
            <v>184</v>
          </cell>
          <cell r="L61">
            <v>-105</v>
          </cell>
          <cell r="O61">
            <v>200</v>
          </cell>
          <cell r="P61">
            <v>15.8</v>
          </cell>
        </row>
        <row r="62">
          <cell r="A62" t="str">
            <v>7075 МОЛОЧ.ПРЕМИУМ ПМ сос п/о мгс 1,5*4_О_50с  Останкино</v>
          </cell>
          <cell r="B62" t="str">
            <v>кг</v>
          </cell>
          <cell r="G62">
            <v>1</v>
          </cell>
          <cell r="H62">
            <v>50</v>
          </cell>
          <cell r="I62" t="str">
            <v>матрица</v>
          </cell>
          <cell r="L62">
            <v>0</v>
          </cell>
          <cell r="O62">
            <v>0</v>
          </cell>
          <cell r="P62">
            <v>0</v>
          </cell>
          <cell r="Q62">
            <v>10</v>
          </cell>
        </row>
        <row r="63">
          <cell r="A63" t="str">
            <v>7080 СЛИВОЧНЫЕ ПМ сос п/о мгс 0,41кг 10шт 50с  Останкино</v>
          </cell>
          <cell r="B63" t="str">
            <v>шт</v>
          </cell>
          <cell r="C63">
            <v>240</v>
          </cell>
          <cell r="D63">
            <v>629</v>
          </cell>
          <cell r="E63">
            <v>289</v>
          </cell>
          <cell r="F63">
            <v>543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320</v>
          </cell>
          <cell r="L63">
            <v>-31</v>
          </cell>
          <cell r="O63">
            <v>200</v>
          </cell>
          <cell r="P63">
            <v>57.8</v>
          </cell>
          <cell r="Q63">
            <v>124</v>
          </cell>
          <cell r="R63">
            <v>200</v>
          </cell>
        </row>
        <row r="64">
          <cell r="A64" t="str">
            <v>7083 СЛИВОЧНЫЕ ПМ сос п/о мгс 1.5*4_А_50с  ОСТАНКИНО</v>
          </cell>
          <cell r="B64" t="str">
            <v>кг</v>
          </cell>
          <cell r="C64">
            <v>6.2969999999999997</v>
          </cell>
          <cell r="E64">
            <v>1.5760000000000001</v>
          </cell>
          <cell r="F64">
            <v>4.7210000000000001</v>
          </cell>
          <cell r="G64">
            <v>1</v>
          </cell>
          <cell r="H64">
            <v>50</v>
          </cell>
          <cell r="I64" t="str">
            <v>матрица</v>
          </cell>
          <cell r="K64">
            <v>1.5</v>
          </cell>
          <cell r="L64">
            <v>7.6000000000000068E-2</v>
          </cell>
          <cell r="O64">
            <v>4</v>
          </cell>
          <cell r="P64">
            <v>0.31520000000000004</v>
          </cell>
        </row>
        <row r="65">
          <cell r="A65" t="str">
            <v>7090 СВИНИНА ПО-ДОМ.к/в мл/к в/у 0,3кг_50с  Останкино</v>
          </cell>
          <cell r="B65" t="str">
            <v>шт</v>
          </cell>
          <cell r="C65">
            <v>66</v>
          </cell>
          <cell r="D65">
            <v>4</v>
          </cell>
          <cell r="E65">
            <v>76</v>
          </cell>
          <cell r="F65">
            <v>-10</v>
          </cell>
          <cell r="G65">
            <v>0.3</v>
          </cell>
          <cell r="H65">
            <v>50</v>
          </cell>
          <cell r="I65" t="str">
            <v>матрица</v>
          </cell>
          <cell r="K65">
            <v>84</v>
          </cell>
          <cell r="L65">
            <v>-8</v>
          </cell>
          <cell r="O65">
            <v>130</v>
          </cell>
          <cell r="P65">
            <v>15.2</v>
          </cell>
          <cell r="Q65">
            <v>108</v>
          </cell>
          <cell r="R65">
            <v>200</v>
          </cell>
        </row>
        <row r="66">
          <cell r="A66" t="str">
            <v>7103 БЕКОН Останкино с/к с/н в/у 1/180_50с  Останкино</v>
          </cell>
          <cell r="B66" t="str">
            <v>шт</v>
          </cell>
          <cell r="C66">
            <v>100</v>
          </cell>
          <cell r="D66">
            <v>3</v>
          </cell>
          <cell r="E66">
            <v>57</v>
          </cell>
          <cell r="F66">
            <v>37</v>
          </cell>
          <cell r="G66">
            <v>0.18</v>
          </cell>
          <cell r="H66">
            <v>50</v>
          </cell>
          <cell r="I66" t="str">
            <v>матрица</v>
          </cell>
          <cell r="K66">
            <v>70</v>
          </cell>
          <cell r="L66">
            <v>-13</v>
          </cell>
          <cell r="O66">
            <v>41</v>
          </cell>
          <cell r="P66">
            <v>11.4</v>
          </cell>
          <cell r="Q66">
            <v>93</v>
          </cell>
        </row>
        <row r="67">
          <cell r="A67" t="str">
            <v>7143 БРАУНШВЕЙГСКАЯ ГОСТ с/к в/у 1/220 8шт.  ОСТАНКИНО</v>
          </cell>
          <cell r="B67" t="str">
            <v>шт</v>
          </cell>
          <cell r="G67">
            <v>0.22</v>
          </cell>
          <cell r="H67">
            <v>120</v>
          </cell>
          <cell r="I67" t="str">
            <v>матрица</v>
          </cell>
          <cell r="L67">
            <v>0</v>
          </cell>
          <cell r="O67">
            <v>70</v>
          </cell>
          <cell r="P67">
            <v>0</v>
          </cell>
        </row>
        <row r="68">
          <cell r="A68" t="str">
            <v>7149 БАЛЫКОВАЯ Коровино п/к в/у 0,84кг_50с  Останкино</v>
          </cell>
          <cell r="B68" t="str">
            <v>кг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7154 СЕРВЕЛАТ ЗЕРНИСТЫЙ ПМ в/к в/у 0,35кг_50с  Останкино</v>
          </cell>
          <cell r="B69" t="str">
            <v>шт</v>
          </cell>
          <cell r="C69">
            <v>392</v>
          </cell>
          <cell r="D69">
            <v>277</v>
          </cell>
          <cell r="E69">
            <v>291</v>
          </cell>
          <cell r="F69">
            <v>331</v>
          </cell>
          <cell r="G69">
            <v>0.35</v>
          </cell>
          <cell r="H69">
            <v>50</v>
          </cell>
          <cell r="I69" t="str">
            <v>матрица</v>
          </cell>
          <cell r="K69">
            <v>333</v>
          </cell>
          <cell r="L69">
            <v>-42</v>
          </cell>
          <cell r="O69">
            <v>0</v>
          </cell>
          <cell r="P69">
            <v>58.2</v>
          </cell>
          <cell r="Q69">
            <v>542</v>
          </cell>
        </row>
        <row r="70">
          <cell r="A70" t="str">
            <v>7156 СЕРВЕЛАТ КОПЧ.НА БУКЕ в/к в/у 0.35кг_50с  ОСТАНКИНО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P70">
            <v>0</v>
          </cell>
        </row>
        <row r="71">
          <cell r="A71" t="str">
            <v>7157 СЕРВЕЛАТ ЗЕРНИСТЫЙ ПМ в/к в/у_50с  Останкино</v>
          </cell>
          <cell r="B71" t="str">
            <v>кг</v>
          </cell>
          <cell r="C71">
            <v>5.4180000000000001</v>
          </cell>
          <cell r="D71">
            <v>98.430999999999997</v>
          </cell>
          <cell r="E71">
            <v>30.64</v>
          </cell>
          <cell r="F71">
            <v>27.433</v>
          </cell>
          <cell r="G71">
            <v>1</v>
          </cell>
          <cell r="H71">
            <v>50</v>
          </cell>
          <cell r="I71" t="str">
            <v>матрица</v>
          </cell>
          <cell r="K71">
            <v>92.8</v>
          </cell>
          <cell r="L71">
            <v>-62.16</v>
          </cell>
          <cell r="O71">
            <v>100</v>
          </cell>
          <cell r="P71">
            <v>6.1280000000000001</v>
          </cell>
          <cell r="Q71">
            <v>40</v>
          </cell>
        </row>
        <row r="72">
          <cell r="A72" t="str">
            <v>7166 СЕРВЕЛАТ ОХОТНИЧИЙ ПМ в/к в/у_50с  Останкино</v>
          </cell>
          <cell r="B72" t="str">
            <v>кг</v>
          </cell>
          <cell r="D72">
            <v>135.31200000000001</v>
          </cell>
          <cell r="E72">
            <v>69.876000000000005</v>
          </cell>
          <cell r="F72">
            <v>48.948</v>
          </cell>
          <cell r="G72">
            <v>1</v>
          </cell>
          <cell r="H72">
            <v>50</v>
          </cell>
          <cell r="I72" t="str">
            <v>матрица</v>
          </cell>
          <cell r="K72">
            <v>110.3</v>
          </cell>
          <cell r="L72">
            <v>-40.423999999999992</v>
          </cell>
          <cell r="O72">
            <v>250</v>
          </cell>
          <cell r="P72">
            <v>13.975200000000001</v>
          </cell>
        </row>
        <row r="73">
          <cell r="A73" t="str">
            <v>7169 СЕРВЕЛАТ ОХОТНИЧИЙ ПМ в/к в/у 0,35кг_50с  Останкино</v>
          </cell>
          <cell r="B73" t="str">
            <v>шт</v>
          </cell>
          <cell r="C73">
            <v>104</v>
          </cell>
          <cell r="D73">
            <v>160</v>
          </cell>
          <cell r="E73">
            <v>236</v>
          </cell>
          <cell r="F73">
            <v>-14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298</v>
          </cell>
          <cell r="L73">
            <v>-62</v>
          </cell>
          <cell r="O73">
            <v>70</v>
          </cell>
          <cell r="P73">
            <v>47.2</v>
          </cell>
          <cell r="Q73">
            <v>463.20000000000005</v>
          </cell>
        </row>
        <row r="74">
          <cell r="A74" t="str">
            <v>7187 ГРУДИНКА ПРЕМИУМ к/в мл/к в/у 0,3кг_50с  Останкино</v>
          </cell>
          <cell r="B74" t="str">
            <v>шт</v>
          </cell>
          <cell r="D74">
            <v>124</v>
          </cell>
          <cell r="E74">
            <v>22</v>
          </cell>
          <cell r="F74">
            <v>98</v>
          </cell>
          <cell r="G74">
            <v>0.3</v>
          </cell>
          <cell r="H74">
            <v>50</v>
          </cell>
          <cell r="I74" t="str">
            <v>матрица</v>
          </cell>
          <cell r="K74">
            <v>81</v>
          </cell>
          <cell r="L74">
            <v>-59</v>
          </cell>
          <cell r="O74">
            <v>100</v>
          </cell>
          <cell r="P74">
            <v>4.4000000000000004</v>
          </cell>
        </row>
        <row r="75">
          <cell r="A75" t="str">
            <v>7231 КЛАССИЧЕСКАЯ ПМ вар п/о 0,3кг 8 шт_209к  Останкино</v>
          </cell>
          <cell r="B75" t="str">
            <v>шт</v>
          </cell>
          <cell r="D75">
            <v>34</v>
          </cell>
          <cell r="E75">
            <v>5</v>
          </cell>
          <cell r="F75">
            <v>27</v>
          </cell>
          <cell r="G75">
            <v>0.3</v>
          </cell>
          <cell r="H75">
            <v>60</v>
          </cell>
          <cell r="I75" t="str">
            <v>матрица</v>
          </cell>
          <cell r="K75">
            <v>11</v>
          </cell>
          <cell r="L75">
            <v>-6</v>
          </cell>
          <cell r="O75">
            <v>80</v>
          </cell>
          <cell r="P75">
            <v>1</v>
          </cell>
        </row>
        <row r="76">
          <cell r="A76" t="str">
            <v>7232 БОЯNСКАЯ ПМ п/к в/у 0,28кг 8шт_209к  Останкино</v>
          </cell>
          <cell r="B76" t="str">
            <v>шт</v>
          </cell>
          <cell r="C76">
            <v>200</v>
          </cell>
          <cell r="D76">
            <v>233</v>
          </cell>
          <cell r="E76">
            <v>131</v>
          </cell>
          <cell r="F76">
            <v>283</v>
          </cell>
          <cell r="G76">
            <v>0.28000000000000003</v>
          </cell>
          <cell r="H76">
            <v>50</v>
          </cell>
          <cell r="I76" t="str">
            <v>матрица</v>
          </cell>
          <cell r="K76">
            <v>144</v>
          </cell>
          <cell r="L76">
            <v>-13</v>
          </cell>
          <cell r="O76">
            <v>0</v>
          </cell>
          <cell r="P76">
            <v>26.2</v>
          </cell>
          <cell r="Q76">
            <v>110</v>
          </cell>
        </row>
        <row r="77">
          <cell r="A77" t="str">
            <v>7236 СЕРВЕЛАТ КАРЕЛЬСКИЙ в/к в/у 0,28кг_209к  Останкино</v>
          </cell>
          <cell r="B77" t="str">
            <v>шт</v>
          </cell>
          <cell r="C77">
            <v>200</v>
          </cell>
          <cell r="D77">
            <v>20</v>
          </cell>
          <cell r="E77">
            <v>230</v>
          </cell>
          <cell r="F77">
            <v>-40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257</v>
          </cell>
          <cell r="L77">
            <v>-27</v>
          </cell>
          <cell r="O77">
            <v>150</v>
          </cell>
          <cell r="P77">
            <v>46</v>
          </cell>
          <cell r="Q77">
            <v>442</v>
          </cell>
        </row>
        <row r="78">
          <cell r="A78" t="str">
            <v>7241 САЛЯМИ Папа может п/к в/у 0,28кг ОСТАНКИНО</v>
          </cell>
          <cell r="B78" t="str">
            <v>шт</v>
          </cell>
          <cell r="C78">
            <v>72</v>
          </cell>
          <cell r="D78">
            <v>343</v>
          </cell>
          <cell r="E78">
            <v>119</v>
          </cell>
          <cell r="F78">
            <v>265</v>
          </cell>
          <cell r="G78">
            <v>0.28000000000000003</v>
          </cell>
          <cell r="H78">
            <v>45</v>
          </cell>
          <cell r="I78" t="str">
            <v>матрица</v>
          </cell>
          <cell r="K78">
            <v>217</v>
          </cell>
          <cell r="L78">
            <v>-98</v>
          </cell>
          <cell r="O78">
            <v>150</v>
          </cell>
          <cell r="P78">
            <v>23.8</v>
          </cell>
        </row>
        <row r="79">
          <cell r="A79" t="str">
            <v>7255 МЯСНЫЕ С ГОВЯД.ПМ сос п/о мгс 0.4кг 6шт.  ОСТАНКИНО</v>
          </cell>
          <cell r="B79" t="str">
            <v>шт</v>
          </cell>
          <cell r="C79">
            <v>528</v>
          </cell>
          <cell r="D79">
            <v>371</v>
          </cell>
          <cell r="E79">
            <v>212</v>
          </cell>
          <cell r="F79">
            <v>638</v>
          </cell>
          <cell r="G79">
            <v>0.4</v>
          </cell>
          <cell r="H79">
            <v>50</v>
          </cell>
          <cell r="I79" t="str">
            <v>матрица</v>
          </cell>
          <cell r="K79">
            <v>253</v>
          </cell>
          <cell r="L79">
            <v>-41</v>
          </cell>
          <cell r="O79">
            <v>46</v>
          </cell>
          <cell r="P79">
            <v>42.4</v>
          </cell>
        </row>
        <row r="80">
          <cell r="A80" t="str">
            <v>7299 НАБОР ДЛЯ ПИЦЦЫ Папа Может с/к в/у  ОСТАНКИНО</v>
          </cell>
          <cell r="B80" t="str">
            <v>кг</v>
          </cell>
          <cell r="G80">
            <v>1</v>
          </cell>
          <cell r="H80">
            <v>30</v>
          </cell>
          <cell r="I80" t="str">
            <v>матрица</v>
          </cell>
          <cell r="K80">
            <v>14.3</v>
          </cell>
          <cell r="L80">
            <v>-14.3</v>
          </cell>
          <cell r="O80">
            <v>120</v>
          </cell>
          <cell r="P80">
            <v>0</v>
          </cell>
          <cell r="R80">
            <v>200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G81">
            <v>0.33800000000000002</v>
          </cell>
          <cell r="H81" t="str">
            <v>3 года</v>
          </cell>
          <cell r="I81" t="str">
            <v>матрица</v>
          </cell>
          <cell r="K81">
            <v>20</v>
          </cell>
          <cell r="L81">
            <v>-20</v>
          </cell>
          <cell r="O81">
            <v>200</v>
          </cell>
          <cell r="P81">
            <v>0</v>
          </cell>
          <cell r="R81">
            <v>100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G82">
            <v>0.32500000000000001</v>
          </cell>
          <cell r="H82" t="str">
            <v>3 года</v>
          </cell>
          <cell r="I82" t="str">
            <v>матрица</v>
          </cell>
          <cell r="K82">
            <v>60</v>
          </cell>
          <cell r="L82">
            <v>-60</v>
          </cell>
          <cell r="O82">
            <v>200</v>
          </cell>
          <cell r="P82">
            <v>0</v>
          </cell>
          <cell r="R82">
            <v>100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32</v>
          </cell>
          <cell r="D83">
            <v>328</v>
          </cell>
          <cell r="E83">
            <v>81</v>
          </cell>
          <cell r="F83">
            <v>269</v>
          </cell>
          <cell r="G83">
            <v>0.12</v>
          </cell>
          <cell r="H83">
            <v>60</v>
          </cell>
          <cell r="I83" t="str">
            <v>матрица</v>
          </cell>
          <cell r="K83">
            <v>119</v>
          </cell>
          <cell r="L83">
            <v>-38</v>
          </cell>
          <cell r="O83">
            <v>70</v>
          </cell>
          <cell r="P83">
            <v>16.2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31</v>
          </cell>
          <cell r="L84">
            <v>-31</v>
          </cell>
          <cell r="O84">
            <v>200</v>
          </cell>
          <cell r="P84">
            <v>0</v>
          </cell>
          <cell r="R84">
            <v>150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G85">
            <v>0.15</v>
          </cell>
          <cell r="H85">
            <v>90</v>
          </cell>
          <cell r="I85" t="str">
            <v>матрица</v>
          </cell>
          <cell r="K85">
            <v>37</v>
          </cell>
          <cell r="L85">
            <v>-37</v>
          </cell>
          <cell r="O85">
            <v>70</v>
          </cell>
          <cell r="P85">
            <v>0</v>
          </cell>
          <cell r="R85">
            <v>250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72</v>
          </cell>
          <cell r="D86">
            <v>39</v>
          </cell>
          <cell r="E86">
            <v>32</v>
          </cell>
          <cell r="F86">
            <v>71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52</v>
          </cell>
          <cell r="L86">
            <v>-20</v>
          </cell>
          <cell r="O86">
            <v>77</v>
          </cell>
          <cell r="P86">
            <v>6.4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G87">
            <v>0.15</v>
          </cell>
          <cell r="H87">
            <v>60</v>
          </cell>
          <cell r="I87" t="str">
            <v>матрица</v>
          </cell>
          <cell r="K87">
            <v>43</v>
          </cell>
          <cell r="L87">
            <v>-43</v>
          </cell>
          <cell r="O87">
            <v>200</v>
          </cell>
          <cell r="P87">
            <v>0</v>
          </cell>
          <cell r="R87">
            <v>300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G88">
            <v>0.26</v>
          </cell>
          <cell r="H88">
            <v>45</v>
          </cell>
          <cell r="I88" t="str">
            <v>матрица</v>
          </cell>
          <cell r="K88">
            <v>63</v>
          </cell>
          <cell r="L88">
            <v>-63</v>
          </cell>
          <cell r="O88">
            <v>200</v>
          </cell>
          <cell r="P88">
            <v>0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G89">
            <v>1</v>
          </cell>
          <cell r="H89">
            <v>30</v>
          </cell>
          <cell r="I89" t="str">
            <v>матрица</v>
          </cell>
          <cell r="L89">
            <v>0</v>
          </cell>
          <cell r="O89">
            <v>50</v>
          </cell>
          <cell r="P89">
            <v>0</v>
          </cell>
          <cell r="R89">
            <v>50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G90">
            <v>0.31</v>
          </cell>
          <cell r="H90">
            <v>45</v>
          </cell>
          <cell r="I90" t="str">
            <v>матрица</v>
          </cell>
          <cell r="K90">
            <v>54</v>
          </cell>
          <cell r="L90">
            <v>-54</v>
          </cell>
          <cell r="O90">
            <v>115</v>
          </cell>
          <cell r="P90">
            <v>0</v>
          </cell>
          <cell r="R90">
            <v>200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G91">
            <v>1</v>
          </cell>
          <cell r="H91">
            <v>30</v>
          </cell>
          <cell r="I91" t="str">
            <v>матрица</v>
          </cell>
          <cell r="L91">
            <v>0</v>
          </cell>
          <cell r="O91">
            <v>50</v>
          </cell>
          <cell r="P91">
            <v>0</v>
          </cell>
          <cell r="R91">
            <v>50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132</v>
          </cell>
          <cell r="D92">
            <v>47</v>
          </cell>
          <cell r="E92">
            <v>100</v>
          </cell>
          <cell r="F92">
            <v>66</v>
          </cell>
          <cell r="G92">
            <v>0.4</v>
          </cell>
          <cell r="H92">
            <v>60</v>
          </cell>
          <cell r="I92" t="str">
            <v>матрица</v>
          </cell>
          <cell r="K92">
            <v>112</v>
          </cell>
          <cell r="L92">
            <v>-12</v>
          </cell>
          <cell r="O92">
            <v>200</v>
          </cell>
          <cell r="P92">
            <v>20</v>
          </cell>
          <cell r="Q92">
            <v>34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D93">
            <v>56</v>
          </cell>
          <cell r="E93">
            <v>35</v>
          </cell>
          <cell r="F93">
            <v>20</v>
          </cell>
          <cell r="G93">
            <v>0.35</v>
          </cell>
          <cell r="H93">
            <v>60</v>
          </cell>
          <cell r="I93" t="str">
            <v>матрица</v>
          </cell>
          <cell r="K93">
            <v>39</v>
          </cell>
          <cell r="L93">
            <v>-4</v>
          </cell>
          <cell r="O93">
            <v>0</v>
          </cell>
          <cell r="P93">
            <v>7</v>
          </cell>
          <cell r="Q93">
            <v>71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C94">
            <v>52.542000000000002</v>
          </cell>
          <cell r="D94">
            <v>0.314</v>
          </cell>
          <cell r="E94">
            <v>15.609</v>
          </cell>
          <cell r="F94">
            <v>33.783000000000001</v>
          </cell>
          <cell r="G94">
            <v>1</v>
          </cell>
          <cell r="H94">
            <v>45</v>
          </cell>
          <cell r="I94" t="str">
            <v>матрица</v>
          </cell>
          <cell r="K94">
            <v>16</v>
          </cell>
          <cell r="L94">
            <v>-0.39100000000000001</v>
          </cell>
          <cell r="O94">
            <v>100</v>
          </cell>
          <cell r="P94">
            <v>3.1217999999999999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G95">
            <v>1</v>
          </cell>
          <cell r="H95">
            <v>45</v>
          </cell>
          <cell r="I95" t="str">
            <v>матрица</v>
          </cell>
          <cell r="K95">
            <v>31.88</v>
          </cell>
          <cell r="L95">
            <v>-31.88</v>
          </cell>
          <cell r="O95">
            <v>0</v>
          </cell>
          <cell r="P95">
            <v>0</v>
          </cell>
          <cell r="Q95">
            <v>30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G96">
            <v>0.33</v>
          </cell>
          <cell r="H96">
            <v>45</v>
          </cell>
          <cell r="I96" t="str">
            <v>матрица</v>
          </cell>
          <cell r="K96">
            <v>105</v>
          </cell>
          <cell r="L96">
            <v>-105</v>
          </cell>
          <cell r="O96">
            <v>200</v>
          </cell>
          <cell r="P96">
            <v>0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D97">
            <v>1</v>
          </cell>
          <cell r="E97">
            <v>1</v>
          </cell>
          <cell r="F97">
            <v>-1</v>
          </cell>
          <cell r="G97">
            <v>0.1</v>
          </cell>
          <cell r="H97">
            <v>60</v>
          </cell>
          <cell r="I97" t="str">
            <v>матрица</v>
          </cell>
          <cell r="K97">
            <v>127</v>
          </cell>
          <cell r="L97">
            <v>-126</v>
          </cell>
          <cell r="O97">
            <v>150</v>
          </cell>
          <cell r="P97">
            <v>0.2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D98">
            <v>1</v>
          </cell>
          <cell r="E98">
            <v>1</v>
          </cell>
          <cell r="F98">
            <v>-1</v>
          </cell>
          <cell r="G98">
            <v>0.1</v>
          </cell>
          <cell r="H98">
            <v>60</v>
          </cell>
          <cell r="I98" t="str">
            <v>матрица</v>
          </cell>
          <cell r="K98">
            <v>202</v>
          </cell>
          <cell r="L98">
            <v>-201</v>
          </cell>
          <cell r="O98">
            <v>100</v>
          </cell>
          <cell r="P98">
            <v>0.2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168</v>
          </cell>
          <cell r="D99">
            <v>174</v>
          </cell>
          <cell r="E99">
            <v>93</v>
          </cell>
          <cell r="F99">
            <v>229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111</v>
          </cell>
          <cell r="L99">
            <v>-18</v>
          </cell>
          <cell r="O99">
            <v>55</v>
          </cell>
          <cell r="P99">
            <v>18.600000000000001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56</v>
          </cell>
          <cell r="E100">
            <v>4</v>
          </cell>
          <cell r="F100">
            <v>52</v>
          </cell>
          <cell r="G100">
            <v>0.1</v>
          </cell>
          <cell r="I100" t="str">
            <v>ротация на код 7730</v>
          </cell>
          <cell r="K100">
            <v>4</v>
          </cell>
          <cell r="L100">
            <v>0</v>
          </cell>
          <cell r="O100">
            <v>0</v>
          </cell>
          <cell r="P100">
            <v>0.8</v>
          </cell>
          <cell r="R100">
            <v>150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56</v>
          </cell>
          <cell r="E101">
            <v>4</v>
          </cell>
          <cell r="F101">
            <v>52</v>
          </cell>
          <cell r="G101">
            <v>0.1</v>
          </cell>
          <cell r="I101" t="str">
            <v>ротация на код 7731</v>
          </cell>
          <cell r="K101">
            <v>4</v>
          </cell>
          <cell r="L101">
            <v>0</v>
          </cell>
          <cell r="O101">
            <v>4</v>
          </cell>
          <cell r="P101">
            <v>0.8</v>
          </cell>
          <cell r="R101">
            <v>150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56</v>
          </cell>
          <cell r="D102">
            <v>4</v>
          </cell>
          <cell r="E102">
            <v>25</v>
          </cell>
          <cell r="F102">
            <v>31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31</v>
          </cell>
          <cell r="L102">
            <v>-6</v>
          </cell>
          <cell r="O102">
            <v>150</v>
          </cell>
          <cell r="P102">
            <v>5</v>
          </cell>
          <cell r="R102">
            <v>150</v>
          </cell>
        </row>
        <row r="103">
          <cell r="A103" t="str">
            <v>8014 ДОКТОРСКАЯ ПРЕМИУМ вар п/о(п)    ОСТАНКИНО</v>
          </cell>
          <cell r="B103" t="str">
            <v>кг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8" sqref="AB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7" customWidth="1"/>
    <col min="20" max="21" width="5" customWidth="1"/>
    <col min="22" max="22" width="6" customWidth="1"/>
    <col min="23" max="23" width="50.85546875" customWidth="1"/>
    <col min="24" max="24" width="7" customWidth="1"/>
    <col min="25" max="25" width="7.5703125" customWidth="1"/>
    <col min="26" max="38" width="3" customWidth="1"/>
  </cols>
  <sheetData>
    <row r="1" spans="1:3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138</v>
      </c>
      <c r="S3" s="3" t="s">
        <v>136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139</v>
      </c>
      <c r="S4" s="1" t="s">
        <v>137</v>
      </c>
      <c r="T4" s="1"/>
      <c r="U4" s="1"/>
      <c r="V4" s="1" t="s">
        <v>24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4">
        <f>SUM(E6:E484)</f>
        <v>5186.2580000000007</v>
      </c>
      <c r="F5" s="4">
        <f>SUM(F6:F484)</f>
        <v>7176.5959999999995</v>
      </c>
      <c r="G5" s="7"/>
      <c r="H5" s="1"/>
      <c r="I5" s="1"/>
      <c r="J5" s="1"/>
      <c r="K5" s="4">
        <f t="shared" ref="K5:S5" si="0">SUM(K6:K484)</f>
        <v>7978.5800000000008</v>
      </c>
      <c r="L5" s="4">
        <f t="shared" si="0"/>
        <v>-2792.3220000000001</v>
      </c>
      <c r="M5" s="4">
        <f t="shared" si="0"/>
        <v>0</v>
      </c>
      <c r="N5" s="4">
        <f t="shared" si="0"/>
        <v>0</v>
      </c>
      <c r="O5" s="4">
        <f t="shared" si="0"/>
        <v>7774</v>
      </c>
      <c r="P5" s="4">
        <f t="shared" si="0"/>
        <v>1037.2516000000001</v>
      </c>
      <c r="Q5" s="4">
        <f t="shared" si="0"/>
        <v>5035.7849999999999</v>
      </c>
      <c r="R5" s="4">
        <f t="shared" si="0"/>
        <v>8012</v>
      </c>
      <c r="S5" s="4">
        <f t="shared" si="0"/>
        <v>6380</v>
      </c>
      <c r="T5" s="1"/>
      <c r="U5" s="1"/>
      <c r="V5" s="4">
        <f>SUM(V6:V484)</f>
        <v>0</v>
      </c>
      <c r="W5" s="1"/>
      <c r="X5" s="4">
        <f>SUM(X6:X484)</f>
        <v>3550.9</v>
      </c>
      <c r="Y5" s="4">
        <f>SUM(Y6:Y484)</f>
        <v>468.20799999999991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13" t="s">
        <v>25</v>
      </c>
      <c r="B6" s="1" t="s">
        <v>26</v>
      </c>
      <c r="C6" s="1"/>
      <c r="D6" s="1"/>
      <c r="E6" s="1"/>
      <c r="F6" s="1"/>
      <c r="G6" s="7">
        <v>1</v>
      </c>
      <c r="H6" s="1">
        <v>120</v>
      </c>
      <c r="I6" s="1" t="s">
        <v>27</v>
      </c>
      <c r="J6" s="1"/>
      <c r="K6" s="1">
        <v>5.0999999999999996</v>
      </c>
      <c r="L6" s="1">
        <f t="shared" ref="L6:L32" si="1">E6-K6</f>
        <v>-5.0999999999999996</v>
      </c>
      <c r="M6" s="1"/>
      <c r="N6" s="1"/>
      <c r="O6" s="1">
        <v>4</v>
      </c>
      <c r="P6" s="1">
        <f>E6/5</f>
        <v>0</v>
      </c>
      <c r="Q6" s="5">
        <v>8</v>
      </c>
      <c r="R6" s="5">
        <f>S6</f>
        <v>40</v>
      </c>
      <c r="S6" s="16">
        <f>VLOOKUP(A6,[1]Sheet!$A:$R,18,0)</f>
        <v>40</v>
      </c>
      <c r="T6" s="1" t="e">
        <f>(F6+O6+R6)/P6</f>
        <v>#DIV/0!</v>
      </c>
      <c r="U6" s="1" t="e">
        <f>(F6+O6)/P6</f>
        <v>#DIV/0!</v>
      </c>
      <c r="V6" s="1">
        <v>0</v>
      </c>
      <c r="W6" s="1"/>
      <c r="X6" s="1">
        <f>G6*R6</f>
        <v>40</v>
      </c>
      <c r="Y6" s="1">
        <f>P6*G6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1" t="s">
        <v>28</v>
      </c>
      <c r="B7" s="1" t="s">
        <v>29</v>
      </c>
      <c r="C7" s="1">
        <v>72</v>
      </c>
      <c r="D7" s="1">
        <v>326</v>
      </c>
      <c r="E7" s="1">
        <v>139</v>
      </c>
      <c r="F7" s="1">
        <v>253</v>
      </c>
      <c r="G7" s="7">
        <v>0.4</v>
      </c>
      <c r="H7" s="1">
        <v>60</v>
      </c>
      <c r="I7" s="1" t="s">
        <v>27</v>
      </c>
      <c r="J7" s="1"/>
      <c r="K7" s="1">
        <v>146</v>
      </c>
      <c r="L7" s="1">
        <f t="shared" si="1"/>
        <v>-7</v>
      </c>
      <c r="M7" s="1"/>
      <c r="N7" s="1"/>
      <c r="O7" s="1">
        <v>100</v>
      </c>
      <c r="P7" s="1">
        <f t="shared" ref="P7:P70" si="2">E7/5</f>
        <v>27.8</v>
      </c>
      <c r="Q7" s="5">
        <f t="shared" ref="Q7:Q31" si="3">15*P7-O7-F7</f>
        <v>64</v>
      </c>
      <c r="R7" s="5">
        <f t="shared" ref="R7:R8" si="4">S7</f>
        <v>150</v>
      </c>
      <c r="S7" s="16">
        <f>VLOOKUP(A7,[1]Sheet!$A:$R,18,0)</f>
        <v>150</v>
      </c>
      <c r="T7" s="1">
        <f t="shared" ref="T7:T70" si="5">(F7+O7+R7)/P7</f>
        <v>18.093525179856115</v>
      </c>
      <c r="U7" s="1">
        <f t="shared" ref="U7:U70" si="6">(F7+O7)/P7</f>
        <v>12.697841726618705</v>
      </c>
      <c r="V7" s="1">
        <v>0</v>
      </c>
      <c r="W7" s="1"/>
      <c r="X7" s="1">
        <f t="shared" ref="X7:X70" si="7">G7*R7</f>
        <v>60</v>
      </c>
      <c r="Y7" s="1">
        <f t="shared" ref="Y7:Y70" si="8">P7*G7</f>
        <v>11.120000000000001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3" t="s">
        <v>31</v>
      </c>
      <c r="B8" s="1" t="s">
        <v>26</v>
      </c>
      <c r="C8" s="1">
        <v>8.0419999999999998</v>
      </c>
      <c r="D8" s="1">
        <v>7.9269999999999996</v>
      </c>
      <c r="E8" s="1">
        <v>9.5660000000000007</v>
      </c>
      <c r="F8" s="1">
        <v>4.91</v>
      </c>
      <c r="G8" s="7">
        <v>1</v>
      </c>
      <c r="H8" s="1">
        <v>120</v>
      </c>
      <c r="I8" s="1" t="s">
        <v>27</v>
      </c>
      <c r="J8" s="1"/>
      <c r="K8" s="1">
        <v>9.5</v>
      </c>
      <c r="L8" s="1">
        <f t="shared" si="1"/>
        <v>6.6000000000000725E-2</v>
      </c>
      <c r="M8" s="1"/>
      <c r="N8" s="1"/>
      <c r="O8" s="1">
        <v>50</v>
      </c>
      <c r="P8" s="1">
        <f t="shared" si="2"/>
        <v>1.9132000000000002</v>
      </c>
      <c r="Q8" s="5"/>
      <c r="R8" s="5">
        <f t="shared" si="4"/>
        <v>20</v>
      </c>
      <c r="S8" s="16">
        <f>VLOOKUP(A8,[1]Sheet!$A:$R,18,0)</f>
        <v>20</v>
      </c>
      <c r="T8" s="1">
        <f t="shared" si="5"/>
        <v>39.154296466652724</v>
      </c>
      <c r="U8" s="1">
        <f t="shared" si="6"/>
        <v>28.700606314028846</v>
      </c>
      <c r="V8" s="1">
        <v>0</v>
      </c>
      <c r="W8" s="1"/>
      <c r="X8" s="1">
        <f t="shared" si="7"/>
        <v>20</v>
      </c>
      <c r="Y8" s="1">
        <f t="shared" si="8"/>
        <v>1.9132000000000002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3" t="s">
        <v>32</v>
      </c>
      <c r="B9" s="1" t="s">
        <v>29</v>
      </c>
      <c r="C9" s="1">
        <v>72</v>
      </c>
      <c r="D9" s="1">
        <v>336</v>
      </c>
      <c r="E9" s="1">
        <v>98</v>
      </c>
      <c r="F9" s="1">
        <v>289</v>
      </c>
      <c r="G9" s="7">
        <v>0.25</v>
      </c>
      <c r="H9" s="1">
        <v>120</v>
      </c>
      <c r="I9" s="1" t="s">
        <v>27</v>
      </c>
      <c r="J9" s="1"/>
      <c r="K9" s="1">
        <v>147</v>
      </c>
      <c r="L9" s="1">
        <f t="shared" si="1"/>
        <v>-49</v>
      </c>
      <c r="M9" s="1"/>
      <c r="N9" s="1"/>
      <c r="O9" s="1">
        <v>50</v>
      </c>
      <c r="P9" s="1">
        <f t="shared" si="2"/>
        <v>19.600000000000001</v>
      </c>
      <c r="Q9" s="5"/>
      <c r="R9" s="5">
        <f t="shared" ref="R9:R70" si="9">ROUND(Q9,0)</f>
        <v>0</v>
      </c>
      <c r="S9" s="16"/>
      <c r="T9" s="1">
        <f t="shared" si="5"/>
        <v>17.295918367346939</v>
      </c>
      <c r="U9" s="1">
        <f t="shared" si="6"/>
        <v>17.295918367346939</v>
      </c>
      <c r="V9" s="1">
        <v>0</v>
      </c>
      <c r="W9" s="1"/>
      <c r="X9" s="1">
        <f t="shared" si="7"/>
        <v>0</v>
      </c>
      <c r="Y9" s="1">
        <f t="shared" si="8"/>
        <v>4.9000000000000004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13" t="s">
        <v>33</v>
      </c>
      <c r="B10" s="1" t="s">
        <v>26</v>
      </c>
      <c r="C10" s="1">
        <v>169.85499999999999</v>
      </c>
      <c r="D10" s="1">
        <v>108.66200000000001</v>
      </c>
      <c r="E10" s="1">
        <v>121.32</v>
      </c>
      <c r="F10" s="1">
        <v>134.124</v>
      </c>
      <c r="G10" s="7">
        <v>1</v>
      </c>
      <c r="H10" s="1">
        <v>60</v>
      </c>
      <c r="I10" s="1" t="s">
        <v>27</v>
      </c>
      <c r="J10" s="1"/>
      <c r="K10" s="1">
        <v>131.80000000000001</v>
      </c>
      <c r="L10" s="1">
        <f t="shared" si="1"/>
        <v>-10.480000000000018</v>
      </c>
      <c r="M10" s="1"/>
      <c r="N10" s="1"/>
      <c r="O10" s="1">
        <v>250</v>
      </c>
      <c r="P10" s="1">
        <f t="shared" si="2"/>
        <v>24.263999999999999</v>
      </c>
      <c r="Q10" s="5"/>
      <c r="R10" s="5">
        <f t="shared" ref="R10:R14" si="10">S10</f>
        <v>150</v>
      </c>
      <c r="S10" s="16">
        <f>VLOOKUP(A10,[1]Sheet!$A:$R,18,0)</f>
        <v>150</v>
      </c>
      <c r="T10" s="1">
        <f t="shared" si="5"/>
        <v>22.013023409165843</v>
      </c>
      <c r="U10" s="1">
        <f t="shared" si="6"/>
        <v>15.83102538740521</v>
      </c>
      <c r="V10" s="1">
        <v>0</v>
      </c>
      <c r="W10" s="1"/>
      <c r="X10" s="1">
        <f t="shared" si="7"/>
        <v>150</v>
      </c>
      <c r="Y10" s="1">
        <f t="shared" si="8"/>
        <v>24.263999999999999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1" t="s">
        <v>35</v>
      </c>
      <c r="B11" s="1" t="s">
        <v>26</v>
      </c>
      <c r="C11" s="1">
        <v>28.311</v>
      </c>
      <c r="D11" s="1"/>
      <c r="E11" s="1">
        <v>23.010999999999999</v>
      </c>
      <c r="F11" s="1">
        <v>3.9460000000000002</v>
      </c>
      <c r="G11" s="7">
        <v>1</v>
      </c>
      <c r="H11" s="1">
        <v>120</v>
      </c>
      <c r="I11" s="1" t="s">
        <v>27</v>
      </c>
      <c r="J11" s="1"/>
      <c r="K11" s="1">
        <v>19.5</v>
      </c>
      <c r="L11" s="1">
        <f t="shared" si="1"/>
        <v>3.5109999999999992</v>
      </c>
      <c r="M11" s="1"/>
      <c r="N11" s="1"/>
      <c r="O11" s="1">
        <v>0</v>
      </c>
      <c r="P11" s="1">
        <f t="shared" si="2"/>
        <v>4.6021999999999998</v>
      </c>
      <c r="Q11" s="5">
        <f>11*P11-O11-F11</f>
        <v>46.678200000000004</v>
      </c>
      <c r="R11" s="5">
        <f t="shared" si="10"/>
        <v>100</v>
      </c>
      <c r="S11" s="16">
        <f>VLOOKUP(A11,[1]Sheet!$A:$R,18,0)</f>
        <v>100</v>
      </c>
      <c r="T11" s="1">
        <f t="shared" si="5"/>
        <v>22.586154447872758</v>
      </c>
      <c r="U11" s="1">
        <f t="shared" si="6"/>
        <v>0.85741601842597026</v>
      </c>
      <c r="V11" s="1">
        <v>0</v>
      </c>
      <c r="W11" s="1"/>
      <c r="X11" s="1">
        <f t="shared" si="7"/>
        <v>100</v>
      </c>
      <c r="Y11" s="1">
        <f t="shared" si="8"/>
        <v>4.6021999999999998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3" t="s">
        <v>36</v>
      </c>
      <c r="B12" s="1" t="s">
        <v>26</v>
      </c>
      <c r="C12" s="1">
        <v>40.392000000000003</v>
      </c>
      <c r="D12" s="1">
        <v>1.363</v>
      </c>
      <c r="E12" s="1">
        <v>26.852</v>
      </c>
      <c r="F12" s="1">
        <v>5.4290000000000003</v>
      </c>
      <c r="G12" s="7">
        <v>1</v>
      </c>
      <c r="H12" s="1">
        <v>60</v>
      </c>
      <c r="I12" s="1" t="s">
        <v>27</v>
      </c>
      <c r="J12" s="1"/>
      <c r="K12" s="1">
        <v>26.5</v>
      </c>
      <c r="L12" s="1">
        <f t="shared" si="1"/>
        <v>0.35200000000000031</v>
      </c>
      <c r="M12" s="1"/>
      <c r="N12" s="1"/>
      <c r="O12" s="1">
        <v>100</v>
      </c>
      <c r="P12" s="1">
        <f t="shared" si="2"/>
        <v>5.3704000000000001</v>
      </c>
      <c r="Q12" s="5"/>
      <c r="R12" s="5">
        <v>20</v>
      </c>
      <c r="S12" s="16">
        <f>VLOOKUP(A12,[1]Sheet!$A:$R,18,0)</f>
        <v>50</v>
      </c>
      <c r="T12" s="1">
        <f t="shared" si="5"/>
        <v>23.355615969015343</v>
      </c>
      <c r="U12" s="1">
        <f t="shared" si="6"/>
        <v>19.631498584835395</v>
      </c>
      <c r="V12" s="1">
        <v>0</v>
      </c>
      <c r="W12" s="1"/>
      <c r="X12" s="1">
        <f t="shared" si="7"/>
        <v>20</v>
      </c>
      <c r="Y12" s="1">
        <f t="shared" si="8"/>
        <v>5.3704000000000001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 t="s">
        <v>37</v>
      </c>
      <c r="B13" s="1" t="s">
        <v>26</v>
      </c>
      <c r="C13" s="1">
        <v>293.66199999999998</v>
      </c>
      <c r="D13" s="1">
        <v>105.24</v>
      </c>
      <c r="E13" s="1">
        <v>140.517</v>
      </c>
      <c r="F13" s="1">
        <v>237.898</v>
      </c>
      <c r="G13" s="7">
        <v>1</v>
      </c>
      <c r="H13" s="1">
        <v>60</v>
      </c>
      <c r="I13" s="1" t="s">
        <v>27</v>
      </c>
      <c r="J13" s="1"/>
      <c r="K13" s="1">
        <v>147.69999999999999</v>
      </c>
      <c r="L13" s="1">
        <f t="shared" si="1"/>
        <v>-7.1829999999999927</v>
      </c>
      <c r="M13" s="1"/>
      <c r="N13" s="1"/>
      <c r="O13" s="1">
        <v>100</v>
      </c>
      <c r="P13" s="1">
        <f t="shared" si="2"/>
        <v>28.103400000000001</v>
      </c>
      <c r="Q13" s="5">
        <f t="shared" si="3"/>
        <v>83.652999999999992</v>
      </c>
      <c r="R13" s="5">
        <f t="shared" si="10"/>
        <v>150</v>
      </c>
      <c r="S13" s="16">
        <f>VLOOKUP(A13,[1]Sheet!$A:$R,18,0)</f>
        <v>150</v>
      </c>
      <c r="T13" s="1">
        <f t="shared" si="5"/>
        <v>17.36081755232463</v>
      </c>
      <c r="U13" s="1">
        <f t="shared" si="6"/>
        <v>12.023385070845521</v>
      </c>
      <c r="V13" s="1">
        <v>0</v>
      </c>
      <c r="W13" s="1"/>
      <c r="X13" s="1">
        <f t="shared" si="7"/>
        <v>150</v>
      </c>
      <c r="Y13" s="1">
        <f t="shared" si="8"/>
        <v>28.103400000000001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 t="s">
        <v>38</v>
      </c>
      <c r="B14" s="1" t="s">
        <v>29</v>
      </c>
      <c r="C14" s="1">
        <v>128</v>
      </c>
      <c r="D14" s="1">
        <v>103</v>
      </c>
      <c r="E14" s="1">
        <v>101</v>
      </c>
      <c r="F14" s="1">
        <v>121</v>
      </c>
      <c r="G14" s="7">
        <v>0.25</v>
      </c>
      <c r="H14" s="1">
        <v>120</v>
      </c>
      <c r="I14" s="1" t="s">
        <v>27</v>
      </c>
      <c r="J14" s="1"/>
      <c r="K14" s="1">
        <v>111</v>
      </c>
      <c r="L14" s="1">
        <f t="shared" si="1"/>
        <v>-10</v>
      </c>
      <c r="M14" s="1"/>
      <c r="N14" s="1"/>
      <c r="O14" s="1">
        <v>50</v>
      </c>
      <c r="P14" s="1">
        <f t="shared" si="2"/>
        <v>20.2</v>
      </c>
      <c r="Q14" s="5">
        <f t="shared" si="3"/>
        <v>132</v>
      </c>
      <c r="R14" s="5">
        <f t="shared" si="10"/>
        <v>200</v>
      </c>
      <c r="S14" s="16">
        <f>VLOOKUP(A14,[1]Sheet!$A:$R,18,0)</f>
        <v>200</v>
      </c>
      <c r="T14" s="1">
        <f t="shared" si="5"/>
        <v>18.366336633663366</v>
      </c>
      <c r="U14" s="1">
        <f t="shared" si="6"/>
        <v>8.4653465346534649</v>
      </c>
      <c r="V14" s="1">
        <v>0</v>
      </c>
      <c r="W14" s="1"/>
      <c r="X14" s="1">
        <f t="shared" si="7"/>
        <v>50</v>
      </c>
      <c r="Y14" s="1">
        <f t="shared" si="8"/>
        <v>5.05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 t="s">
        <v>39</v>
      </c>
      <c r="B15" s="1" t="s">
        <v>26</v>
      </c>
      <c r="C15" s="1">
        <v>61.256999999999998</v>
      </c>
      <c r="D15" s="1">
        <v>1.5589999999999999</v>
      </c>
      <c r="E15" s="1">
        <v>36.837000000000003</v>
      </c>
      <c r="F15" s="1">
        <v>16.280999999999999</v>
      </c>
      <c r="G15" s="7">
        <v>1</v>
      </c>
      <c r="H15" s="1">
        <v>60</v>
      </c>
      <c r="I15" s="1" t="s">
        <v>27</v>
      </c>
      <c r="J15" s="1"/>
      <c r="K15" s="1">
        <v>38</v>
      </c>
      <c r="L15" s="1">
        <f t="shared" si="1"/>
        <v>-1.1629999999999967</v>
      </c>
      <c r="M15" s="1"/>
      <c r="N15" s="1"/>
      <c r="O15" s="1">
        <v>0</v>
      </c>
      <c r="P15" s="1">
        <f t="shared" si="2"/>
        <v>7.3674000000000008</v>
      </c>
      <c r="Q15" s="5">
        <f>12*P15-O15-F15</f>
        <v>72.127800000000008</v>
      </c>
      <c r="R15" s="5">
        <v>120</v>
      </c>
      <c r="S15" s="16">
        <f>VLOOKUP(A15,[1]Sheet!$A:$R,18,0)</f>
        <v>150</v>
      </c>
      <c r="T15" s="1">
        <f t="shared" si="5"/>
        <v>18.497841843798355</v>
      </c>
      <c r="U15" s="1">
        <f t="shared" si="6"/>
        <v>2.2098705106279009</v>
      </c>
      <c r="V15" s="1">
        <v>0</v>
      </c>
      <c r="W15" s="1"/>
      <c r="X15" s="1">
        <f t="shared" si="7"/>
        <v>120</v>
      </c>
      <c r="Y15" s="1">
        <f t="shared" si="8"/>
        <v>7.3674000000000008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3" t="s">
        <v>40</v>
      </c>
      <c r="B16" s="1" t="s">
        <v>29</v>
      </c>
      <c r="C16" s="1">
        <v>128</v>
      </c>
      <c r="D16" s="1">
        <v>297</v>
      </c>
      <c r="E16" s="1">
        <v>98</v>
      </c>
      <c r="F16" s="1">
        <v>303</v>
      </c>
      <c r="G16" s="7">
        <v>0.25</v>
      </c>
      <c r="H16" s="1">
        <v>120</v>
      </c>
      <c r="I16" s="1" t="s">
        <v>27</v>
      </c>
      <c r="J16" s="1"/>
      <c r="K16" s="1">
        <v>121</v>
      </c>
      <c r="L16" s="1">
        <f t="shared" si="1"/>
        <v>-23</v>
      </c>
      <c r="M16" s="1"/>
      <c r="N16" s="1"/>
      <c r="O16" s="1">
        <v>50</v>
      </c>
      <c r="P16" s="1">
        <f t="shared" si="2"/>
        <v>19.600000000000001</v>
      </c>
      <c r="Q16" s="5"/>
      <c r="R16" s="5">
        <f t="shared" si="9"/>
        <v>0</v>
      </c>
      <c r="S16" s="16"/>
      <c r="T16" s="1">
        <f t="shared" si="5"/>
        <v>18.010204081632651</v>
      </c>
      <c r="U16" s="1">
        <f t="shared" si="6"/>
        <v>18.010204081632651</v>
      </c>
      <c r="V16" s="1">
        <v>0</v>
      </c>
      <c r="W16" s="1"/>
      <c r="X16" s="1">
        <f t="shared" si="7"/>
        <v>0</v>
      </c>
      <c r="Y16" s="1">
        <f t="shared" si="8"/>
        <v>4.9000000000000004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3" t="s">
        <v>41</v>
      </c>
      <c r="B17" s="1" t="s">
        <v>29</v>
      </c>
      <c r="C17" s="1">
        <v>150</v>
      </c>
      <c r="D17" s="1">
        <v>3</v>
      </c>
      <c r="E17" s="1">
        <v>22</v>
      </c>
      <c r="F17" s="1">
        <v>128</v>
      </c>
      <c r="G17" s="7">
        <v>0.4</v>
      </c>
      <c r="H17" s="1">
        <v>60</v>
      </c>
      <c r="I17" s="1" t="s">
        <v>27</v>
      </c>
      <c r="J17" s="1"/>
      <c r="K17" s="1">
        <v>25</v>
      </c>
      <c r="L17" s="1">
        <f t="shared" si="1"/>
        <v>-3</v>
      </c>
      <c r="M17" s="1"/>
      <c r="N17" s="1"/>
      <c r="O17" s="1">
        <v>50</v>
      </c>
      <c r="P17" s="1">
        <f t="shared" si="2"/>
        <v>4.4000000000000004</v>
      </c>
      <c r="Q17" s="5"/>
      <c r="R17" s="5">
        <f t="shared" si="9"/>
        <v>0</v>
      </c>
      <c r="S17" s="16"/>
      <c r="T17" s="1">
        <f t="shared" si="5"/>
        <v>40.454545454545453</v>
      </c>
      <c r="U17" s="1">
        <f t="shared" si="6"/>
        <v>40.454545454545453</v>
      </c>
      <c r="V17" s="1">
        <v>0</v>
      </c>
      <c r="W17" s="14" t="s">
        <v>34</v>
      </c>
      <c r="X17" s="1">
        <f t="shared" si="7"/>
        <v>0</v>
      </c>
      <c r="Y17" s="1">
        <f t="shared" si="8"/>
        <v>1.7600000000000002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3" t="s">
        <v>42</v>
      </c>
      <c r="B18" s="1" t="s">
        <v>26</v>
      </c>
      <c r="C18" s="1"/>
      <c r="D18" s="1">
        <v>258.65699999999998</v>
      </c>
      <c r="E18" s="1">
        <v>52.406999999999996</v>
      </c>
      <c r="F18" s="1">
        <v>189.36199999999999</v>
      </c>
      <c r="G18" s="7">
        <v>1</v>
      </c>
      <c r="H18" s="1">
        <v>45</v>
      </c>
      <c r="I18" s="1" t="s">
        <v>27</v>
      </c>
      <c r="J18" s="1"/>
      <c r="K18" s="1">
        <v>95.6</v>
      </c>
      <c r="L18" s="1">
        <f t="shared" si="1"/>
        <v>-43.192999999999998</v>
      </c>
      <c r="M18" s="1"/>
      <c r="N18" s="1"/>
      <c r="O18" s="1">
        <v>200</v>
      </c>
      <c r="P18" s="1">
        <f t="shared" si="2"/>
        <v>10.481399999999999</v>
      </c>
      <c r="Q18" s="5"/>
      <c r="R18" s="5">
        <f>S18</f>
        <v>50</v>
      </c>
      <c r="S18" s="16">
        <f>VLOOKUP(A18,[1]Sheet!$A:$R,18,0)</f>
        <v>50</v>
      </c>
      <c r="T18" s="1">
        <f t="shared" si="5"/>
        <v>41.918255194916711</v>
      </c>
      <c r="U18" s="1">
        <f t="shared" si="6"/>
        <v>37.147900089682679</v>
      </c>
      <c r="V18" s="1">
        <v>0</v>
      </c>
      <c r="W18" s="1"/>
      <c r="X18" s="1">
        <f t="shared" si="7"/>
        <v>50</v>
      </c>
      <c r="Y18" s="1">
        <f t="shared" si="8"/>
        <v>10.481399999999999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 t="s">
        <v>43</v>
      </c>
      <c r="B19" s="1" t="s">
        <v>26</v>
      </c>
      <c r="C19" s="1">
        <v>16.548999999999999</v>
      </c>
      <c r="D19" s="1"/>
      <c r="E19" s="1">
        <v>9.8059999999999992</v>
      </c>
      <c r="F19" s="1">
        <v>5.1890000000000001</v>
      </c>
      <c r="G19" s="7">
        <v>1</v>
      </c>
      <c r="H19" s="1">
        <v>120</v>
      </c>
      <c r="I19" s="1" t="s">
        <v>131</v>
      </c>
      <c r="J19" s="1"/>
      <c r="K19" s="1">
        <v>9.5</v>
      </c>
      <c r="L19" s="1">
        <f t="shared" si="1"/>
        <v>0.30599999999999916</v>
      </c>
      <c r="M19" s="1"/>
      <c r="N19" s="1"/>
      <c r="O19" s="1">
        <v>8</v>
      </c>
      <c r="P19" s="1">
        <f t="shared" si="2"/>
        <v>1.9611999999999998</v>
      </c>
      <c r="Q19" s="5">
        <f t="shared" si="3"/>
        <v>16.228999999999999</v>
      </c>
      <c r="R19" s="5">
        <f t="shared" si="9"/>
        <v>16</v>
      </c>
      <c r="S19" s="16"/>
      <c r="T19" s="1">
        <f t="shared" si="5"/>
        <v>14.883234754232104</v>
      </c>
      <c r="U19" s="1">
        <f t="shared" si="6"/>
        <v>6.7249643075667969</v>
      </c>
      <c r="V19" s="1">
        <v>0</v>
      </c>
      <c r="W19" s="1"/>
      <c r="X19" s="1">
        <f t="shared" si="7"/>
        <v>16</v>
      </c>
      <c r="Y19" s="1">
        <f t="shared" si="8"/>
        <v>1.9611999999999998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3" t="s">
        <v>44</v>
      </c>
      <c r="B20" s="1" t="s">
        <v>29</v>
      </c>
      <c r="C20" s="1"/>
      <c r="D20" s="1"/>
      <c r="E20" s="1"/>
      <c r="F20" s="1"/>
      <c r="G20" s="7">
        <v>0.4</v>
      </c>
      <c r="H20" s="1">
        <v>45</v>
      </c>
      <c r="I20" s="1" t="s">
        <v>27</v>
      </c>
      <c r="J20" s="1"/>
      <c r="K20" s="1">
        <v>80</v>
      </c>
      <c r="L20" s="1">
        <f t="shared" si="1"/>
        <v>-80</v>
      </c>
      <c r="M20" s="1"/>
      <c r="N20" s="1"/>
      <c r="O20" s="1">
        <v>220</v>
      </c>
      <c r="P20" s="1">
        <f t="shared" si="2"/>
        <v>0</v>
      </c>
      <c r="Q20" s="5"/>
      <c r="R20" s="5">
        <v>100</v>
      </c>
      <c r="S20" s="16">
        <f>VLOOKUP(A20,[1]Sheet!$A:$R,18,0)</f>
        <v>150</v>
      </c>
      <c r="T20" s="1" t="e">
        <f t="shared" si="5"/>
        <v>#DIV/0!</v>
      </c>
      <c r="U20" s="1" t="e">
        <f t="shared" si="6"/>
        <v>#DIV/0!</v>
      </c>
      <c r="V20" s="1">
        <v>0</v>
      </c>
      <c r="W20" s="1"/>
      <c r="X20" s="1">
        <f t="shared" si="7"/>
        <v>40</v>
      </c>
      <c r="Y20" s="1">
        <f t="shared" si="8"/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3" t="s">
        <v>45</v>
      </c>
      <c r="B21" s="1" t="s">
        <v>26</v>
      </c>
      <c r="C21" s="1">
        <v>40.296999999999997</v>
      </c>
      <c r="D21" s="1">
        <v>136.51300000000001</v>
      </c>
      <c r="E21" s="1">
        <v>59.405000000000001</v>
      </c>
      <c r="F21" s="1">
        <v>101.24299999999999</v>
      </c>
      <c r="G21" s="7">
        <v>1</v>
      </c>
      <c r="H21" s="1">
        <v>60</v>
      </c>
      <c r="I21" s="1" t="s">
        <v>27</v>
      </c>
      <c r="J21" s="1"/>
      <c r="K21" s="1">
        <v>68.2</v>
      </c>
      <c r="L21" s="1">
        <f t="shared" si="1"/>
        <v>-8.7950000000000017</v>
      </c>
      <c r="M21" s="1"/>
      <c r="N21" s="1"/>
      <c r="O21" s="1">
        <v>100</v>
      </c>
      <c r="P21" s="1">
        <f t="shared" si="2"/>
        <v>11.881</v>
      </c>
      <c r="Q21" s="5"/>
      <c r="R21" s="5">
        <v>50</v>
      </c>
      <c r="S21" s="16">
        <f>VLOOKUP(A21,[1]Sheet!$A:$R,18,0)</f>
        <v>70</v>
      </c>
      <c r="T21" s="1">
        <f t="shared" si="5"/>
        <v>21.146620654827036</v>
      </c>
      <c r="U21" s="1">
        <f t="shared" si="6"/>
        <v>16.938220688494233</v>
      </c>
      <c r="V21" s="1">
        <v>0</v>
      </c>
      <c r="W21" s="1"/>
      <c r="X21" s="1">
        <f t="shared" si="7"/>
        <v>50</v>
      </c>
      <c r="Y21" s="1">
        <f t="shared" si="8"/>
        <v>11.881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 t="s">
        <v>46</v>
      </c>
      <c r="B22" s="1" t="s">
        <v>29</v>
      </c>
      <c r="C22" s="1">
        <v>224</v>
      </c>
      <c r="D22" s="1">
        <v>13</v>
      </c>
      <c r="E22" s="1">
        <v>144</v>
      </c>
      <c r="F22" s="1">
        <v>78</v>
      </c>
      <c r="G22" s="7">
        <v>0.22</v>
      </c>
      <c r="H22" s="1">
        <v>120</v>
      </c>
      <c r="I22" s="1" t="s">
        <v>27</v>
      </c>
      <c r="J22" s="1"/>
      <c r="K22" s="1">
        <v>186</v>
      </c>
      <c r="L22" s="1">
        <f t="shared" si="1"/>
        <v>-42</v>
      </c>
      <c r="M22" s="1"/>
      <c r="N22" s="1"/>
      <c r="O22" s="1">
        <v>0</v>
      </c>
      <c r="P22" s="1">
        <f t="shared" si="2"/>
        <v>28.8</v>
      </c>
      <c r="Q22" s="5">
        <f>13*P22-O22-F22</f>
        <v>296.40000000000003</v>
      </c>
      <c r="R22" s="5">
        <f t="shared" si="9"/>
        <v>296</v>
      </c>
      <c r="S22" s="16"/>
      <c r="T22" s="1">
        <f t="shared" si="5"/>
        <v>12.986111111111111</v>
      </c>
      <c r="U22" s="1">
        <f t="shared" si="6"/>
        <v>2.7083333333333335</v>
      </c>
      <c r="V22" s="1">
        <v>0</v>
      </c>
      <c r="W22" s="1"/>
      <c r="X22" s="1">
        <f t="shared" si="7"/>
        <v>65.12</v>
      </c>
      <c r="Y22" s="1">
        <f t="shared" si="8"/>
        <v>6.3360000000000003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3" t="s">
        <v>47</v>
      </c>
      <c r="B23" s="1" t="s">
        <v>26</v>
      </c>
      <c r="C23" s="1"/>
      <c r="D23" s="1"/>
      <c r="E23" s="1"/>
      <c r="F23" s="1"/>
      <c r="G23" s="7">
        <v>1</v>
      </c>
      <c r="H23" s="1">
        <v>40</v>
      </c>
      <c r="I23" s="1" t="s">
        <v>27</v>
      </c>
      <c r="J23" s="1"/>
      <c r="K23" s="1">
        <v>2.2999999999999998</v>
      </c>
      <c r="L23" s="1">
        <f t="shared" si="1"/>
        <v>-2.2999999999999998</v>
      </c>
      <c r="M23" s="1"/>
      <c r="N23" s="1"/>
      <c r="O23" s="1">
        <v>30</v>
      </c>
      <c r="P23" s="1">
        <f t="shared" si="2"/>
        <v>0</v>
      </c>
      <c r="Q23" s="5"/>
      <c r="R23" s="5">
        <v>30</v>
      </c>
      <c r="S23" s="16">
        <f>VLOOKUP(A23,[1]Sheet!$A:$R,18,0)</f>
        <v>50</v>
      </c>
      <c r="T23" s="1" t="e">
        <f t="shared" si="5"/>
        <v>#DIV/0!</v>
      </c>
      <c r="U23" s="1" t="e">
        <f t="shared" si="6"/>
        <v>#DIV/0!</v>
      </c>
      <c r="V23" s="1">
        <v>0</v>
      </c>
      <c r="W23" s="1"/>
      <c r="X23" s="1">
        <f t="shared" si="7"/>
        <v>30</v>
      </c>
      <c r="Y23" s="1">
        <f t="shared" si="8"/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3" t="s">
        <v>49</v>
      </c>
      <c r="B24" s="1" t="s">
        <v>26</v>
      </c>
      <c r="C24" s="1">
        <v>12.153</v>
      </c>
      <c r="D24" s="1">
        <v>80.881</v>
      </c>
      <c r="E24" s="1">
        <v>28.425000000000001</v>
      </c>
      <c r="F24" s="1">
        <v>56.57</v>
      </c>
      <c r="G24" s="7">
        <v>1</v>
      </c>
      <c r="H24" s="1">
        <v>60</v>
      </c>
      <c r="I24" s="1" t="s">
        <v>27</v>
      </c>
      <c r="J24" s="1"/>
      <c r="K24" s="1">
        <v>38.4</v>
      </c>
      <c r="L24" s="1">
        <f t="shared" si="1"/>
        <v>-9.9749999999999979</v>
      </c>
      <c r="M24" s="1"/>
      <c r="N24" s="1"/>
      <c r="O24" s="1">
        <v>50</v>
      </c>
      <c r="P24" s="1">
        <f t="shared" si="2"/>
        <v>5.6850000000000005</v>
      </c>
      <c r="Q24" s="5"/>
      <c r="R24" s="5">
        <v>40</v>
      </c>
      <c r="S24" s="16">
        <f>VLOOKUP(A24,[1]Sheet!$A:$R,18,0)</f>
        <v>50</v>
      </c>
      <c r="T24" s="1">
        <f t="shared" si="5"/>
        <v>25.781882145998239</v>
      </c>
      <c r="U24" s="1">
        <f t="shared" si="6"/>
        <v>18.745822339489884</v>
      </c>
      <c r="V24" s="1">
        <v>0</v>
      </c>
      <c r="W24" s="1"/>
      <c r="X24" s="1">
        <f t="shared" si="7"/>
        <v>40</v>
      </c>
      <c r="Y24" s="1">
        <f t="shared" si="8"/>
        <v>5.6850000000000005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3" t="s">
        <v>50</v>
      </c>
      <c r="B25" s="1" t="s">
        <v>29</v>
      </c>
      <c r="C25" s="1">
        <v>20</v>
      </c>
      <c r="D25" s="1">
        <v>1</v>
      </c>
      <c r="E25" s="1">
        <v>19</v>
      </c>
      <c r="F25" s="1">
        <v>1</v>
      </c>
      <c r="G25" s="7">
        <v>0.09</v>
      </c>
      <c r="H25" s="1">
        <v>60</v>
      </c>
      <c r="I25" s="1" t="s">
        <v>27</v>
      </c>
      <c r="J25" s="1"/>
      <c r="K25" s="1">
        <v>119</v>
      </c>
      <c r="L25" s="1">
        <f t="shared" si="1"/>
        <v>-100</v>
      </c>
      <c r="M25" s="1"/>
      <c r="N25" s="1"/>
      <c r="O25" s="1">
        <v>200</v>
      </c>
      <c r="P25" s="1">
        <f t="shared" si="2"/>
        <v>3.8</v>
      </c>
      <c r="Q25" s="5">
        <v>20</v>
      </c>
      <c r="R25" s="5">
        <v>80</v>
      </c>
      <c r="S25" s="16">
        <f>VLOOKUP(A25,[1]Sheet!$A:$R,18,0)</f>
        <v>100</v>
      </c>
      <c r="T25" s="1">
        <f t="shared" si="5"/>
        <v>73.94736842105263</v>
      </c>
      <c r="U25" s="1">
        <f t="shared" si="6"/>
        <v>52.894736842105267</v>
      </c>
      <c r="V25" s="1">
        <v>0</v>
      </c>
      <c r="W25" s="1"/>
      <c r="X25" s="1">
        <f t="shared" si="7"/>
        <v>7.1999999999999993</v>
      </c>
      <c r="Y25" s="1">
        <f t="shared" si="8"/>
        <v>0.34199999999999997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3" t="s">
        <v>51</v>
      </c>
      <c r="B26" s="1" t="s">
        <v>29</v>
      </c>
      <c r="C26" s="1"/>
      <c r="D26" s="1"/>
      <c r="E26" s="1"/>
      <c r="F26" s="1"/>
      <c r="G26" s="7">
        <v>0.09</v>
      </c>
      <c r="H26" s="1">
        <v>45</v>
      </c>
      <c r="I26" s="1" t="s">
        <v>27</v>
      </c>
      <c r="J26" s="1"/>
      <c r="K26" s="1">
        <v>60</v>
      </c>
      <c r="L26" s="1">
        <f t="shared" si="1"/>
        <v>-60</v>
      </c>
      <c r="M26" s="1"/>
      <c r="N26" s="1"/>
      <c r="O26" s="1">
        <v>50</v>
      </c>
      <c r="P26" s="1">
        <f t="shared" si="2"/>
        <v>0</v>
      </c>
      <c r="Q26" s="5">
        <v>60</v>
      </c>
      <c r="R26" s="5">
        <v>150</v>
      </c>
      <c r="S26" s="16">
        <f>VLOOKUP(A26,[1]Sheet!$A:$R,18,0)</f>
        <v>200</v>
      </c>
      <c r="T26" s="1" t="e">
        <f t="shared" si="5"/>
        <v>#DIV/0!</v>
      </c>
      <c r="U26" s="1" t="e">
        <f t="shared" si="6"/>
        <v>#DIV/0!</v>
      </c>
      <c r="V26" s="1">
        <v>0</v>
      </c>
      <c r="W26" s="1"/>
      <c r="X26" s="1">
        <f t="shared" si="7"/>
        <v>13.5</v>
      </c>
      <c r="Y26" s="1">
        <f t="shared" si="8"/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3" t="s">
        <v>52</v>
      </c>
      <c r="B27" s="1" t="s">
        <v>29</v>
      </c>
      <c r="C27" s="1"/>
      <c r="D27" s="1"/>
      <c r="E27" s="1"/>
      <c r="F27" s="1"/>
      <c r="G27" s="7">
        <v>0.15</v>
      </c>
      <c r="H27" s="1">
        <v>45</v>
      </c>
      <c r="I27" s="1" t="s">
        <v>27</v>
      </c>
      <c r="J27" s="1"/>
      <c r="K27" s="1">
        <v>5</v>
      </c>
      <c r="L27" s="1">
        <f t="shared" si="1"/>
        <v>-5</v>
      </c>
      <c r="M27" s="1"/>
      <c r="N27" s="1"/>
      <c r="O27" s="1">
        <v>40</v>
      </c>
      <c r="P27" s="1">
        <f t="shared" si="2"/>
        <v>0</v>
      </c>
      <c r="Q27" s="5"/>
      <c r="R27" s="5">
        <v>40</v>
      </c>
      <c r="S27" s="16">
        <f>VLOOKUP(A27,[1]Sheet!$A:$R,18,0)</f>
        <v>50</v>
      </c>
      <c r="T27" s="1" t="e">
        <f t="shared" si="5"/>
        <v>#DIV/0!</v>
      </c>
      <c r="U27" s="1" t="e">
        <f t="shared" si="6"/>
        <v>#DIV/0!</v>
      </c>
      <c r="V27" s="1">
        <v>0</v>
      </c>
      <c r="W27" s="1"/>
      <c r="X27" s="1">
        <f t="shared" si="7"/>
        <v>6</v>
      </c>
      <c r="Y27" s="1">
        <f t="shared" si="8"/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3" t="s">
        <v>53</v>
      </c>
      <c r="B28" s="1" t="s">
        <v>26</v>
      </c>
      <c r="C28" s="1">
        <v>115.601</v>
      </c>
      <c r="D28" s="1">
        <v>6.4459999999999997</v>
      </c>
      <c r="E28" s="1">
        <v>58.581000000000003</v>
      </c>
      <c r="F28" s="1">
        <v>57.02</v>
      </c>
      <c r="G28" s="7">
        <v>1</v>
      </c>
      <c r="H28" s="1">
        <v>45</v>
      </c>
      <c r="I28" s="1" t="s">
        <v>27</v>
      </c>
      <c r="J28" s="1"/>
      <c r="K28" s="1">
        <v>59.5</v>
      </c>
      <c r="L28" s="1">
        <f t="shared" si="1"/>
        <v>-0.91899999999999693</v>
      </c>
      <c r="M28" s="1"/>
      <c r="N28" s="1"/>
      <c r="O28" s="1">
        <v>150</v>
      </c>
      <c r="P28" s="1">
        <f t="shared" si="2"/>
        <v>11.716200000000001</v>
      </c>
      <c r="Q28" s="5"/>
      <c r="R28" s="5">
        <f t="shared" ref="R28" si="11">S28</f>
        <v>70</v>
      </c>
      <c r="S28" s="16">
        <f>VLOOKUP(A28,[1]Sheet!$A:$R,18,0)</f>
        <v>70</v>
      </c>
      <c r="T28" s="1">
        <f t="shared" si="5"/>
        <v>23.644184974650482</v>
      </c>
      <c r="U28" s="1">
        <f t="shared" si="6"/>
        <v>17.669551561086358</v>
      </c>
      <c r="V28" s="1">
        <v>0</v>
      </c>
      <c r="W28" s="1"/>
      <c r="X28" s="1">
        <f t="shared" si="7"/>
        <v>70</v>
      </c>
      <c r="Y28" s="1">
        <f t="shared" si="8"/>
        <v>11.716200000000001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3" t="s">
        <v>54</v>
      </c>
      <c r="B29" s="1" t="s">
        <v>29</v>
      </c>
      <c r="C29" s="1"/>
      <c r="D29" s="1">
        <v>145</v>
      </c>
      <c r="E29" s="1">
        <v>33</v>
      </c>
      <c r="F29" s="1">
        <v>111</v>
      </c>
      <c r="G29" s="7">
        <v>0.4</v>
      </c>
      <c r="H29" s="1">
        <v>60</v>
      </c>
      <c r="I29" s="1" t="s">
        <v>27</v>
      </c>
      <c r="J29" s="1"/>
      <c r="K29" s="1">
        <v>60</v>
      </c>
      <c r="L29" s="1">
        <f t="shared" si="1"/>
        <v>-27</v>
      </c>
      <c r="M29" s="1"/>
      <c r="N29" s="1"/>
      <c r="O29" s="1">
        <v>50</v>
      </c>
      <c r="P29" s="1">
        <f t="shared" si="2"/>
        <v>6.6</v>
      </c>
      <c r="Q29" s="5"/>
      <c r="R29" s="5">
        <f t="shared" si="9"/>
        <v>0</v>
      </c>
      <c r="S29" s="16"/>
      <c r="T29" s="1">
        <f t="shared" si="5"/>
        <v>24.393939393939394</v>
      </c>
      <c r="U29" s="1">
        <f t="shared" si="6"/>
        <v>24.393939393939394</v>
      </c>
      <c r="V29" s="1">
        <v>0</v>
      </c>
      <c r="W29" s="1"/>
      <c r="X29" s="1">
        <f t="shared" si="7"/>
        <v>0</v>
      </c>
      <c r="Y29" s="1">
        <f t="shared" si="8"/>
        <v>2.64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 t="s">
        <v>55</v>
      </c>
      <c r="B30" s="1" t="s">
        <v>29</v>
      </c>
      <c r="C30" s="1">
        <v>168</v>
      </c>
      <c r="D30" s="1">
        <v>350</v>
      </c>
      <c r="E30" s="1">
        <v>210</v>
      </c>
      <c r="F30" s="1">
        <v>272</v>
      </c>
      <c r="G30" s="7">
        <v>0.4</v>
      </c>
      <c r="H30" s="1">
        <v>60</v>
      </c>
      <c r="I30" s="1" t="s">
        <v>27</v>
      </c>
      <c r="J30" s="1"/>
      <c r="K30" s="1">
        <v>254</v>
      </c>
      <c r="L30" s="1">
        <f t="shared" si="1"/>
        <v>-44</v>
      </c>
      <c r="M30" s="1"/>
      <c r="N30" s="1"/>
      <c r="O30" s="1">
        <v>150</v>
      </c>
      <c r="P30" s="1">
        <f t="shared" si="2"/>
        <v>42</v>
      </c>
      <c r="Q30" s="5">
        <f t="shared" si="3"/>
        <v>208</v>
      </c>
      <c r="R30" s="5">
        <f t="shared" ref="R30:R31" si="12">S30</f>
        <v>300</v>
      </c>
      <c r="S30" s="16">
        <f>VLOOKUP(A30,[1]Sheet!$A:$R,18,0)</f>
        <v>300</v>
      </c>
      <c r="T30" s="1">
        <f t="shared" si="5"/>
        <v>17.19047619047619</v>
      </c>
      <c r="U30" s="1">
        <f t="shared" si="6"/>
        <v>10.047619047619047</v>
      </c>
      <c r="V30" s="1">
        <v>0</v>
      </c>
      <c r="W30" s="1"/>
      <c r="X30" s="1">
        <f t="shared" si="7"/>
        <v>120</v>
      </c>
      <c r="Y30" s="1">
        <f t="shared" si="8"/>
        <v>16.8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 t="s">
        <v>57</v>
      </c>
      <c r="B31" s="1" t="s">
        <v>29</v>
      </c>
      <c r="C31" s="1">
        <v>168</v>
      </c>
      <c r="D31" s="1">
        <v>264</v>
      </c>
      <c r="E31" s="1">
        <v>195</v>
      </c>
      <c r="F31" s="1">
        <v>206</v>
      </c>
      <c r="G31" s="7">
        <v>0.4</v>
      </c>
      <c r="H31" s="1">
        <v>60</v>
      </c>
      <c r="I31" s="1" t="s">
        <v>27</v>
      </c>
      <c r="J31" s="1"/>
      <c r="K31" s="1">
        <v>226</v>
      </c>
      <c r="L31" s="1">
        <f t="shared" si="1"/>
        <v>-31</v>
      </c>
      <c r="M31" s="1"/>
      <c r="N31" s="1"/>
      <c r="O31" s="1">
        <v>200</v>
      </c>
      <c r="P31" s="1">
        <f t="shared" si="2"/>
        <v>39</v>
      </c>
      <c r="Q31" s="5">
        <f t="shared" si="3"/>
        <v>179</v>
      </c>
      <c r="R31" s="5">
        <f t="shared" si="12"/>
        <v>300</v>
      </c>
      <c r="S31" s="16">
        <f>VLOOKUP(A31,[1]Sheet!$A:$R,18,0)</f>
        <v>300</v>
      </c>
      <c r="T31" s="1">
        <f t="shared" si="5"/>
        <v>18.102564102564102</v>
      </c>
      <c r="U31" s="1">
        <f t="shared" si="6"/>
        <v>10.410256410256411</v>
      </c>
      <c r="V31" s="1">
        <v>0</v>
      </c>
      <c r="W31" s="1"/>
      <c r="X31" s="1">
        <f t="shared" si="7"/>
        <v>120</v>
      </c>
      <c r="Y31" s="1">
        <f t="shared" si="8"/>
        <v>15.600000000000001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2" t="s">
        <v>59</v>
      </c>
      <c r="B32" s="9" t="s">
        <v>26</v>
      </c>
      <c r="C32" s="9"/>
      <c r="D32" s="9"/>
      <c r="E32" s="9">
        <v>14.827999999999999</v>
      </c>
      <c r="F32" s="9">
        <v>-14.827999999999999</v>
      </c>
      <c r="G32" s="10">
        <v>0</v>
      </c>
      <c r="H32" s="9">
        <v>45</v>
      </c>
      <c r="I32" s="9" t="s">
        <v>48</v>
      </c>
      <c r="J32" s="9"/>
      <c r="K32" s="9">
        <v>19.2</v>
      </c>
      <c r="L32" s="9">
        <f t="shared" si="1"/>
        <v>-4.3719999999999999</v>
      </c>
      <c r="M32" s="9"/>
      <c r="N32" s="9"/>
      <c r="O32" s="9">
        <v>0</v>
      </c>
      <c r="P32" s="9">
        <f t="shared" si="2"/>
        <v>2.9655999999999998</v>
      </c>
      <c r="Q32" s="11"/>
      <c r="R32" s="5">
        <f t="shared" si="9"/>
        <v>0</v>
      </c>
      <c r="S32" s="16"/>
      <c r="T32" s="1">
        <f t="shared" si="5"/>
        <v>-5</v>
      </c>
      <c r="U32" s="9">
        <f t="shared" si="6"/>
        <v>-5</v>
      </c>
      <c r="V32" s="9">
        <v>0</v>
      </c>
      <c r="W32" s="9"/>
      <c r="X32" s="1">
        <f t="shared" si="7"/>
        <v>0</v>
      </c>
      <c r="Y32" s="1">
        <f t="shared" si="8"/>
        <v>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9" t="s">
        <v>60</v>
      </c>
      <c r="B33" s="9" t="s">
        <v>29</v>
      </c>
      <c r="C33" s="9"/>
      <c r="D33" s="9"/>
      <c r="E33" s="9">
        <v>24</v>
      </c>
      <c r="F33" s="9">
        <v>-24</v>
      </c>
      <c r="G33" s="10">
        <v>0</v>
      </c>
      <c r="H33" s="9"/>
      <c r="I33" s="9" t="s">
        <v>48</v>
      </c>
      <c r="J33" s="9"/>
      <c r="K33" s="9">
        <v>76</v>
      </c>
      <c r="L33" s="9">
        <f t="shared" ref="L33:L62" si="13">E33-K33</f>
        <v>-52</v>
      </c>
      <c r="M33" s="9"/>
      <c r="N33" s="9"/>
      <c r="O33" s="9">
        <v>0</v>
      </c>
      <c r="P33" s="9">
        <f t="shared" si="2"/>
        <v>4.8</v>
      </c>
      <c r="Q33" s="11"/>
      <c r="R33" s="5">
        <f t="shared" si="9"/>
        <v>0</v>
      </c>
      <c r="S33" s="16"/>
      <c r="T33" s="1">
        <f t="shared" si="5"/>
        <v>-5</v>
      </c>
      <c r="U33" s="9">
        <f t="shared" si="6"/>
        <v>-5</v>
      </c>
      <c r="V33" s="9">
        <v>0</v>
      </c>
      <c r="W33" s="9"/>
      <c r="X33" s="1">
        <f t="shared" si="7"/>
        <v>0</v>
      </c>
      <c r="Y33" s="1">
        <f t="shared" si="8"/>
        <v>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3" t="s">
        <v>61</v>
      </c>
      <c r="B34" s="1" t="s">
        <v>29</v>
      </c>
      <c r="C34" s="1">
        <v>30</v>
      </c>
      <c r="D34" s="1">
        <v>1</v>
      </c>
      <c r="E34" s="1">
        <v>9</v>
      </c>
      <c r="F34" s="1">
        <v>20</v>
      </c>
      <c r="G34" s="7">
        <v>0.3</v>
      </c>
      <c r="H34" s="1">
        <v>45</v>
      </c>
      <c r="I34" s="1" t="s">
        <v>132</v>
      </c>
      <c r="J34" s="1"/>
      <c r="K34" s="1">
        <v>15</v>
      </c>
      <c r="L34" s="1">
        <f t="shared" si="13"/>
        <v>-6</v>
      </c>
      <c r="M34" s="1"/>
      <c r="N34" s="1"/>
      <c r="O34" s="1">
        <v>30</v>
      </c>
      <c r="P34" s="1">
        <f t="shared" si="2"/>
        <v>1.8</v>
      </c>
      <c r="Q34" s="5"/>
      <c r="R34" s="5">
        <v>30</v>
      </c>
      <c r="S34" s="16">
        <f>VLOOKUP(A34,[1]Sheet!$A:$R,18,0)</f>
        <v>150</v>
      </c>
      <c r="T34" s="1">
        <f t="shared" si="5"/>
        <v>44.444444444444443</v>
      </c>
      <c r="U34" s="1">
        <f t="shared" si="6"/>
        <v>27.777777777777779</v>
      </c>
      <c r="V34" s="1">
        <v>0</v>
      </c>
      <c r="W34" s="14" t="s">
        <v>34</v>
      </c>
      <c r="X34" s="1">
        <f t="shared" si="7"/>
        <v>9</v>
      </c>
      <c r="Y34" s="1">
        <f t="shared" si="8"/>
        <v>0.54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3" t="s">
        <v>62</v>
      </c>
      <c r="B35" s="1" t="s">
        <v>26</v>
      </c>
      <c r="C35" s="1">
        <v>370.803</v>
      </c>
      <c r="D35" s="1">
        <v>3.077</v>
      </c>
      <c r="E35" s="1">
        <v>72.600999999999999</v>
      </c>
      <c r="F35" s="1">
        <v>292.80399999999997</v>
      </c>
      <c r="G35" s="7">
        <v>1</v>
      </c>
      <c r="H35" s="1">
        <v>60</v>
      </c>
      <c r="I35" s="1" t="s">
        <v>27</v>
      </c>
      <c r="J35" s="1"/>
      <c r="K35" s="1">
        <v>77</v>
      </c>
      <c r="L35" s="1">
        <f t="shared" si="13"/>
        <v>-4.3990000000000009</v>
      </c>
      <c r="M35" s="1"/>
      <c r="N35" s="1"/>
      <c r="O35" s="1">
        <v>0</v>
      </c>
      <c r="P35" s="1">
        <f t="shared" si="2"/>
        <v>14.520199999999999</v>
      </c>
      <c r="Q35" s="5"/>
      <c r="R35" s="5">
        <f t="shared" si="9"/>
        <v>0</v>
      </c>
      <c r="S35" s="16"/>
      <c r="T35" s="1">
        <f t="shared" si="5"/>
        <v>20.165286979518189</v>
      </c>
      <c r="U35" s="1">
        <f t="shared" si="6"/>
        <v>20.165286979518189</v>
      </c>
      <c r="V35" s="1">
        <v>0</v>
      </c>
      <c r="W35" s="14" t="s">
        <v>34</v>
      </c>
      <c r="X35" s="1">
        <f t="shared" si="7"/>
        <v>0</v>
      </c>
      <c r="Y35" s="1">
        <f t="shared" si="8"/>
        <v>14.520199999999999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3" t="s">
        <v>63</v>
      </c>
      <c r="B36" s="1" t="s">
        <v>26</v>
      </c>
      <c r="C36" s="1">
        <v>6.34</v>
      </c>
      <c r="D36" s="1">
        <v>15.76</v>
      </c>
      <c r="E36" s="1"/>
      <c r="F36" s="1">
        <v>22.1</v>
      </c>
      <c r="G36" s="7">
        <v>1</v>
      </c>
      <c r="H36" s="1">
        <v>45</v>
      </c>
      <c r="I36" s="1" t="s">
        <v>27</v>
      </c>
      <c r="J36" s="1"/>
      <c r="K36" s="1"/>
      <c r="L36" s="1">
        <f t="shared" si="13"/>
        <v>0</v>
      </c>
      <c r="M36" s="1"/>
      <c r="N36" s="1"/>
      <c r="O36" s="1">
        <v>50</v>
      </c>
      <c r="P36" s="1">
        <f t="shared" si="2"/>
        <v>0</v>
      </c>
      <c r="Q36" s="5"/>
      <c r="R36" s="5">
        <f t="shared" si="9"/>
        <v>0</v>
      </c>
      <c r="S36" s="16"/>
      <c r="T36" s="1" t="e">
        <f t="shared" si="5"/>
        <v>#DIV/0!</v>
      </c>
      <c r="U36" s="1" t="e">
        <f t="shared" si="6"/>
        <v>#DIV/0!</v>
      </c>
      <c r="V36" s="1">
        <v>0</v>
      </c>
      <c r="W36" s="15" t="s">
        <v>30</v>
      </c>
      <c r="X36" s="1">
        <f t="shared" si="7"/>
        <v>0</v>
      </c>
      <c r="Y36" s="1">
        <f t="shared" si="8"/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 t="s">
        <v>64</v>
      </c>
      <c r="B37" s="1" t="s">
        <v>26</v>
      </c>
      <c r="C37" s="1">
        <v>31.033999999999999</v>
      </c>
      <c r="D37" s="1">
        <v>1.044</v>
      </c>
      <c r="E37" s="1">
        <v>22.838999999999999</v>
      </c>
      <c r="F37" s="1">
        <v>6.14</v>
      </c>
      <c r="G37" s="7">
        <v>1</v>
      </c>
      <c r="H37" s="1">
        <v>45</v>
      </c>
      <c r="I37" s="1" t="s">
        <v>27</v>
      </c>
      <c r="J37" s="1"/>
      <c r="K37" s="1">
        <v>23</v>
      </c>
      <c r="L37" s="1">
        <f t="shared" si="13"/>
        <v>-0.16100000000000136</v>
      </c>
      <c r="M37" s="1"/>
      <c r="N37" s="1"/>
      <c r="O37" s="1">
        <v>20</v>
      </c>
      <c r="P37" s="1">
        <f t="shared" si="2"/>
        <v>4.5678000000000001</v>
      </c>
      <c r="Q37" s="5">
        <f t="shared" ref="Q37:Q46" si="14">15*P37-O37-F37</f>
        <v>42.376999999999995</v>
      </c>
      <c r="R37" s="5">
        <v>60</v>
      </c>
      <c r="S37" s="16">
        <f>VLOOKUP(A37,[1]Sheet!$A:$R,18,0)</f>
        <v>100</v>
      </c>
      <c r="T37" s="1">
        <f t="shared" si="5"/>
        <v>18.858093611804371</v>
      </c>
      <c r="U37" s="1">
        <f t="shared" si="6"/>
        <v>5.7226673672227335</v>
      </c>
      <c r="V37" s="1">
        <v>0</v>
      </c>
      <c r="W37" s="1"/>
      <c r="X37" s="1">
        <f t="shared" si="7"/>
        <v>60</v>
      </c>
      <c r="Y37" s="1">
        <f t="shared" si="8"/>
        <v>4.5678000000000001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3" t="s">
        <v>65</v>
      </c>
      <c r="B38" s="1" t="s">
        <v>26</v>
      </c>
      <c r="C38" s="1">
        <v>3.1379999999999999</v>
      </c>
      <c r="D38" s="1">
        <v>7.298</v>
      </c>
      <c r="E38" s="1">
        <v>4.1619999999999999</v>
      </c>
      <c r="F38" s="1">
        <v>4.22</v>
      </c>
      <c r="G38" s="7">
        <v>1</v>
      </c>
      <c r="H38" s="1">
        <v>45</v>
      </c>
      <c r="I38" s="1" t="s">
        <v>27</v>
      </c>
      <c r="J38" s="1"/>
      <c r="K38" s="1">
        <v>8</v>
      </c>
      <c r="L38" s="1">
        <f t="shared" si="13"/>
        <v>-3.8380000000000001</v>
      </c>
      <c r="M38" s="1"/>
      <c r="N38" s="1"/>
      <c r="O38" s="1">
        <v>40</v>
      </c>
      <c r="P38" s="1">
        <f t="shared" si="2"/>
        <v>0.83240000000000003</v>
      </c>
      <c r="Q38" s="5"/>
      <c r="R38" s="5">
        <v>30</v>
      </c>
      <c r="S38" s="16">
        <f>VLOOKUP(A38,[1]Sheet!$A:$R,18,0)</f>
        <v>40</v>
      </c>
      <c r="T38" s="1">
        <f t="shared" si="5"/>
        <v>89.163863527150397</v>
      </c>
      <c r="U38" s="1">
        <f t="shared" si="6"/>
        <v>53.12349831811629</v>
      </c>
      <c r="V38" s="1">
        <v>0</v>
      </c>
      <c r="W38" s="1"/>
      <c r="X38" s="1">
        <f t="shared" si="7"/>
        <v>30</v>
      </c>
      <c r="Y38" s="1">
        <f t="shared" si="8"/>
        <v>0.83240000000000003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3" t="s">
        <v>66</v>
      </c>
      <c r="B39" s="1" t="s">
        <v>29</v>
      </c>
      <c r="C39" s="1"/>
      <c r="D39" s="1">
        <v>162</v>
      </c>
      <c r="E39" s="1">
        <v>54</v>
      </c>
      <c r="F39" s="1">
        <v>97</v>
      </c>
      <c r="G39" s="7">
        <v>0.3</v>
      </c>
      <c r="H39" s="1">
        <v>45</v>
      </c>
      <c r="I39" s="1" t="s">
        <v>27</v>
      </c>
      <c r="J39" s="1"/>
      <c r="K39" s="1">
        <v>109</v>
      </c>
      <c r="L39" s="1">
        <f t="shared" si="13"/>
        <v>-55</v>
      </c>
      <c r="M39" s="1"/>
      <c r="N39" s="1"/>
      <c r="O39" s="1">
        <v>150</v>
      </c>
      <c r="P39" s="1">
        <f t="shared" si="2"/>
        <v>10.8</v>
      </c>
      <c r="Q39" s="5"/>
      <c r="R39" s="5">
        <f t="shared" si="9"/>
        <v>0</v>
      </c>
      <c r="S39" s="16"/>
      <c r="T39" s="1">
        <f t="shared" si="5"/>
        <v>22.87037037037037</v>
      </c>
      <c r="U39" s="1">
        <f t="shared" si="6"/>
        <v>22.87037037037037</v>
      </c>
      <c r="V39" s="1">
        <v>0</v>
      </c>
      <c r="W39" s="1"/>
      <c r="X39" s="1">
        <f t="shared" si="7"/>
        <v>0</v>
      </c>
      <c r="Y39" s="1">
        <f t="shared" si="8"/>
        <v>3.24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3" t="s">
        <v>67</v>
      </c>
      <c r="B40" s="1" t="s">
        <v>26</v>
      </c>
      <c r="C40" s="1"/>
      <c r="D40" s="1"/>
      <c r="E40" s="1"/>
      <c r="F40" s="1"/>
      <c r="G40" s="7">
        <v>1</v>
      </c>
      <c r="H40" s="1"/>
      <c r="I40" s="1" t="s">
        <v>27</v>
      </c>
      <c r="J40" s="1"/>
      <c r="K40" s="1">
        <v>0.5</v>
      </c>
      <c r="L40" s="1">
        <f t="shared" si="13"/>
        <v>-0.5</v>
      </c>
      <c r="M40" s="1"/>
      <c r="N40" s="1"/>
      <c r="O40" s="1">
        <v>30</v>
      </c>
      <c r="P40" s="1">
        <f t="shared" si="2"/>
        <v>0</v>
      </c>
      <c r="Q40" s="5"/>
      <c r="R40" s="5">
        <v>30</v>
      </c>
      <c r="S40" s="16">
        <f>VLOOKUP(A40,[1]Sheet!$A:$R,18,0)</f>
        <v>50</v>
      </c>
      <c r="T40" s="1" t="e">
        <f t="shared" si="5"/>
        <v>#DIV/0!</v>
      </c>
      <c r="U40" s="1" t="e">
        <f t="shared" si="6"/>
        <v>#DIV/0!</v>
      </c>
      <c r="V40" s="1">
        <v>0</v>
      </c>
      <c r="W40" s="1"/>
      <c r="X40" s="1">
        <f t="shared" si="7"/>
        <v>30</v>
      </c>
      <c r="Y40" s="1">
        <f t="shared" si="8"/>
        <v>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3" t="s">
        <v>68</v>
      </c>
      <c r="B41" s="1" t="s">
        <v>26</v>
      </c>
      <c r="C41" s="1"/>
      <c r="D41" s="1"/>
      <c r="E41" s="1">
        <v>12.545</v>
      </c>
      <c r="F41" s="1">
        <v>-12.545</v>
      </c>
      <c r="G41" s="7">
        <v>1</v>
      </c>
      <c r="H41" s="1">
        <v>45</v>
      </c>
      <c r="I41" s="1" t="s">
        <v>27</v>
      </c>
      <c r="J41" s="1"/>
      <c r="K41" s="1">
        <v>12</v>
      </c>
      <c r="L41" s="1">
        <f t="shared" si="13"/>
        <v>0.54499999999999993</v>
      </c>
      <c r="M41" s="1"/>
      <c r="N41" s="1"/>
      <c r="O41" s="1">
        <v>80</v>
      </c>
      <c r="P41" s="1">
        <f t="shared" si="2"/>
        <v>2.5089999999999999</v>
      </c>
      <c r="Q41" s="5"/>
      <c r="R41" s="5">
        <f t="shared" si="9"/>
        <v>0</v>
      </c>
      <c r="S41" s="16"/>
      <c r="T41" s="1">
        <f t="shared" si="5"/>
        <v>26.88521323236349</v>
      </c>
      <c r="U41" s="1">
        <f t="shared" si="6"/>
        <v>26.88521323236349</v>
      </c>
      <c r="V41" s="1">
        <v>0</v>
      </c>
      <c r="W41" s="1"/>
      <c r="X41" s="1">
        <f t="shared" si="7"/>
        <v>0</v>
      </c>
      <c r="Y41" s="1">
        <f t="shared" si="8"/>
        <v>2.5089999999999999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 t="s">
        <v>69</v>
      </c>
      <c r="B42" s="1" t="s">
        <v>29</v>
      </c>
      <c r="C42" s="1">
        <v>96</v>
      </c>
      <c r="D42" s="1">
        <v>679</v>
      </c>
      <c r="E42" s="1">
        <v>307</v>
      </c>
      <c r="F42" s="1">
        <v>415</v>
      </c>
      <c r="G42" s="7">
        <v>0.35</v>
      </c>
      <c r="H42" s="1">
        <v>45</v>
      </c>
      <c r="I42" s="1" t="s">
        <v>27</v>
      </c>
      <c r="J42" s="1"/>
      <c r="K42" s="1">
        <v>439</v>
      </c>
      <c r="L42" s="1">
        <f t="shared" si="13"/>
        <v>-132</v>
      </c>
      <c r="M42" s="1"/>
      <c r="N42" s="1"/>
      <c r="O42" s="1">
        <v>200</v>
      </c>
      <c r="P42" s="1">
        <f t="shared" si="2"/>
        <v>61.4</v>
      </c>
      <c r="Q42" s="5">
        <f t="shared" si="14"/>
        <v>306</v>
      </c>
      <c r="R42" s="5">
        <f t="shared" ref="R42:R44" si="15">S42</f>
        <v>400</v>
      </c>
      <c r="S42" s="16">
        <f>VLOOKUP(A42,[1]Sheet!$A:$R,18,0)</f>
        <v>400</v>
      </c>
      <c r="T42" s="1">
        <f t="shared" si="5"/>
        <v>16.530944625407166</v>
      </c>
      <c r="U42" s="1">
        <f t="shared" si="6"/>
        <v>10.016286644951141</v>
      </c>
      <c r="V42" s="1">
        <v>0</v>
      </c>
      <c r="W42" s="1"/>
      <c r="X42" s="1">
        <f t="shared" si="7"/>
        <v>140</v>
      </c>
      <c r="Y42" s="1">
        <f t="shared" si="8"/>
        <v>21.49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3" t="s">
        <v>70</v>
      </c>
      <c r="B43" s="1" t="s">
        <v>29</v>
      </c>
      <c r="C43" s="1"/>
      <c r="D43" s="1"/>
      <c r="E43" s="1"/>
      <c r="F43" s="1"/>
      <c r="G43" s="7">
        <v>0.41</v>
      </c>
      <c r="H43" s="1">
        <v>45</v>
      </c>
      <c r="I43" s="1" t="s">
        <v>133</v>
      </c>
      <c r="J43" s="1"/>
      <c r="K43" s="1">
        <v>266</v>
      </c>
      <c r="L43" s="1">
        <f t="shared" si="13"/>
        <v>-266</v>
      </c>
      <c r="M43" s="1"/>
      <c r="N43" s="1"/>
      <c r="O43" s="1">
        <v>50</v>
      </c>
      <c r="P43" s="1">
        <f t="shared" si="2"/>
        <v>0</v>
      </c>
      <c r="Q43" s="5">
        <v>280</v>
      </c>
      <c r="R43" s="5">
        <f t="shared" si="15"/>
        <v>350</v>
      </c>
      <c r="S43" s="16">
        <f>VLOOKUP(A43,[1]Sheet!$A:$R,18,0)</f>
        <v>350</v>
      </c>
      <c r="T43" s="1" t="e">
        <f t="shared" si="5"/>
        <v>#DIV/0!</v>
      </c>
      <c r="U43" s="1" t="e">
        <f t="shared" si="6"/>
        <v>#DIV/0!</v>
      </c>
      <c r="V43" s="1">
        <v>0</v>
      </c>
      <c r="W43" s="1"/>
      <c r="X43" s="1">
        <f t="shared" si="7"/>
        <v>143.5</v>
      </c>
      <c r="Y43" s="1">
        <f t="shared" si="8"/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 t="s">
        <v>71</v>
      </c>
      <c r="B44" s="1" t="s">
        <v>29</v>
      </c>
      <c r="C44" s="1">
        <v>160</v>
      </c>
      <c r="D44" s="1">
        <v>2</v>
      </c>
      <c r="E44" s="1">
        <v>104</v>
      </c>
      <c r="F44" s="1">
        <v>56</v>
      </c>
      <c r="G44" s="7">
        <v>0.41</v>
      </c>
      <c r="H44" s="1">
        <v>45</v>
      </c>
      <c r="I44" s="1" t="s">
        <v>27</v>
      </c>
      <c r="J44" s="1"/>
      <c r="K44" s="1">
        <v>107</v>
      </c>
      <c r="L44" s="1">
        <f t="shared" si="13"/>
        <v>-3</v>
      </c>
      <c r="M44" s="1"/>
      <c r="N44" s="1"/>
      <c r="O44" s="1">
        <v>200</v>
      </c>
      <c r="P44" s="1">
        <f t="shared" si="2"/>
        <v>20.8</v>
      </c>
      <c r="Q44" s="5">
        <f t="shared" si="14"/>
        <v>56</v>
      </c>
      <c r="R44" s="5">
        <f t="shared" si="15"/>
        <v>100</v>
      </c>
      <c r="S44" s="16">
        <f>VLOOKUP(A44,[1]Sheet!$A:$R,18,0)</f>
        <v>100</v>
      </c>
      <c r="T44" s="1">
        <f t="shared" si="5"/>
        <v>17.115384615384613</v>
      </c>
      <c r="U44" s="1">
        <f t="shared" si="6"/>
        <v>12.307692307692307</v>
      </c>
      <c r="V44" s="1">
        <v>0</v>
      </c>
      <c r="W44" s="1"/>
      <c r="X44" s="1">
        <f t="shared" si="7"/>
        <v>41</v>
      </c>
      <c r="Y44" s="1">
        <f t="shared" si="8"/>
        <v>8.5280000000000005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 t="s">
        <v>72</v>
      </c>
      <c r="B45" s="1" t="s">
        <v>29</v>
      </c>
      <c r="C45" s="1"/>
      <c r="D45" s="1">
        <v>18</v>
      </c>
      <c r="E45" s="1">
        <v>16</v>
      </c>
      <c r="F45" s="1">
        <v>2</v>
      </c>
      <c r="G45" s="7">
        <v>0.36</v>
      </c>
      <c r="H45" s="1">
        <v>45</v>
      </c>
      <c r="I45" s="1" t="s">
        <v>27</v>
      </c>
      <c r="J45" s="1"/>
      <c r="K45" s="1">
        <v>30</v>
      </c>
      <c r="L45" s="1">
        <f t="shared" si="13"/>
        <v>-14</v>
      </c>
      <c r="M45" s="1"/>
      <c r="N45" s="1"/>
      <c r="O45" s="1">
        <v>30</v>
      </c>
      <c r="P45" s="1">
        <f t="shared" si="2"/>
        <v>3.2</v>
      </c>
      <c r="Q45" s="5">
        <f t="shared" si="14"/>
        <v>16</v>
      </c>
      <c r="R45" s="5">
        <f t="shared" si="9"/>
        <v>16</v>
      </c>
      <c r="S45" s="16"/>
      <c r="T45" s="1">
        <f t="shared" si="5"/>
        <v>15</v>
      </c>
      <c r="U45" s="1">
        <f t="shared" si="6"/>
        <v>10</v>
      </c>
      <c r="V45" s="1">
        <v>0</v>
      </c>
      <c r="W45" s="1"/>
      <c r="X45" s="1">
        <f t="shared" si="7"/>
        <v>5.76</v>
      </c>
      <c r="Y45" s="1">
        <f t="shared" si="8"/>
        <v>1.1519999999999999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 t="s">
        <v>73</v>
      </c>
      <c r="B46" s="1" t="s">
        <v>29</v>
      </c>
      <c r="C46" s="1"/>
      <c r="D46" s="1">
        <v>48</v>
      </c>
      <c r="E46" s="1">
        <v>24</v>
      </c>
      <c r="F46" s="1">
        <v>20</v>
      </c>
      <c r="G46" s="7">
        <v>0.33</v>
      </c>
      <c r="H46" s="1">
        <v>45</v>
      </c>
      <c r="I46" s="1" t="s">
        <v>27</v>
      </c>
      <c r="J46" s="1"/>
      <c r="K46" s="1">
        <v>35</v>
      </c>
      <c r="L46" s="1">
        <f t="shared" si="13"/>
        <v>-11</v>
      </c>
      <c r="M46" s="1"/>
      <c r="N46" s="1"/>
      <c r="O46" s="1">
        <v>40</v>
      </c>
      <c r="P46" s="1">
        <f t="shared" si="2"/>
        <v>4.8</v>
      </c>
      <c r="Q46" s="5">
        <f t="shared" si="14"/>
        <v>12</v>
      </c>
      <c r="R46" s="5">
        <f>S46</f>
        <v>40</v>
      </c>
      <c r="S46" s="16">
        <f>VLOOKUP(A46,[1]Sheet!$A:$R,18,0)</f>
        <v>40</v>
      </c>
      <c r="T46" s="1">
        <f t="shared" si="5"/>
        <v>20.833333333333336</v>
      </c>
      <c r="U46" s="1">
        <f t="shared" si="6"/>
        <v>12.5</v>
      </c>
      <c r="V46" s="1">
        <v>0</v>
      </c>
      <c r="W46" s="1"/>
      <c r="X46" s="1">
        <f t="shared" si="7"/>
        <v>13.200000000000001</v>
      </c>
      <c r="Y46" s="1">
        <f t="shared" si="8"/>
        <v>1.5840000000000001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3" t="s">
        <v>74</v>
      </c>
      <c r="B47" s="1" t="s">
        <v>29</v>
      </c>
      <c r="C47" s="1"/>
      <c r="D47" s="1">
        <v>156</v>
      </c>
      <c r="E47" s="1">
        <v>27</v>
      </c>
      <c r="F47" s="1">
        <v>124</v>
      </c>
      <c r="G47" s="7">
        <v>0.4</v>
      </c>
      <c r="H47" s="1">
        <v>60</v>
      </c>
      <c r="I47" s="1" t="s">
        <v>27</v>
      </c>
      <c r="J47" s="1"/>
      <c r="K47" s="1">
        <v>75</v>
      </c>
      <c r="L47" s="1">
        <f t="shared" si="13"/>
        <v>-48</v>
      </c>
      <c r="M47" s="1"/>
      <c r="N47" s="1"/>
      <c r="O47" s="1">
        <v>30</v>
      </c>
      <c r="P47" s="1">
        <f t="shared" si="2"/>
        <v>5.4</v>
      </c>
      <c r="Q47" s="5">
        <v>24</v>
      </c>
      <c r="R47" s="5">
        <f t="shared" si="9"/>
        <v>24</v>
      </c>
      <c r="S47" s="16"/>
      <c r="T47" s="1">
        <f t="shared" si="5"/>
        <v>32.962962962962962</v>
      </c>
      <c r="U47" s="1">
        <f t="shared" si="6"/>
        <v>28.518518518518515</v>
      </c>
      <c r="V47" s="1">
        <v>0</v>
      </c>
      <c r="W47" s="1"/>
      <c r="X47" s="1">
        <f t="shared" si="7"/>
        <v>9.6000000000000014</v>
      </c>
      <c r="Y47" s="1">
        <f t="shared" si="8"/>
        <v>2.16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3" t="s">
        <v>75</v>
      </c>
      <c r="B48" s="1" t="s">
        <v>29</v>
      </c>
      <c r="C48" s="1"/>
      <c r="D48" s="1"/>
      <c r="E48" s="1"/>
      <c r="F48" s="1"/>
      <c r="G48" s="7">
        <v>0.33</v>
      </c>
      <c r="H48" s="1">
        <v>45</v>
      </c>
      <c r="I48" s="1" t="s">
        <v>27</v>
      </c>
      <c r="J48" s="1"/>
      <c r="K48" s="1"/>
      <c r="L48" s="1">
        <f t="shared" si="13"/>
        <v>0</v>
      </c>
      <c r="M48" s="1"/>
      <c r="N48" s="1"/>
      <c r="O48" s="1">
        <v>0</v>
      </c>
      <c r="P48" s="1">
        <f t="shared" si="2"/>
        <v>0</v>
      </c>
      <c r="Q48" s="5">
        <v>16</v>
      </c>
      <c r="R48" s="5">
        <f t="shared" si="9"/>
        <v>16</v>
      </c>
      <c r="S48" s="16"/>
      <c r="T48" s="1" t="e">
        <f t="shared" si="5"/>
        <v>#DIV/0!</v>
      </c>
      <c r="U48" s="1" t="e">
        <f t="shared" si="6"/>
        <v>#DIV/0!</v>
      </c>
      <c r="V48" s="1">
        <v>0</v>
      </c>
      <c r="W48" s="1"/>
      <c r="X48" s="1">
        <f t="shared" si="7"/>
        <v>5.28</v>
      </c>
      <c r="Y48" s="1">
        <f t="shared" si="8"/>
        <v>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3" t="s">
        <v>76</v>
      </c>
      <c r="B49" s="1" t="s">
        <v>26</v>
      </c>
      <c r="C49" s="1">
        <v>8.4250000000000007</v>
      </c>
      <c r="D49" s="1">
        <v>91.662000000000006</v>
      </c>
      <c r="E49" s="1">
        <v>21.199000000000002</v>
      </c>
      <c r="F49" s="1">
        <v>68.206000000000003</v>
      </c>
      <c r="G49" s="7">
        <v>1</v>
      </c>
      <c r="H49" s="1">
        <v>45</v>
      </c>
      <c r="I49" s="1" t="s">
        <v>27</v>
      </c>
      <c r="J49" s="1"/>
      <c r="K49" s="1">
        <v>36</v>
      </c>
      <c r="L49" s="1">
        <f t="shared" si="13"/>
        <v>-14.800999999999998</v>
      </c>
      <c r="M49" s="1"/>
      <c r="N49" s="1"/>
      <c r="O49" s="1">
        <v>0</v>
      </c>
      <c r="P49" s="1">
        <f t="shared" si="2"/>
        <v>4.2398000000000007</v>
      </c>
      <c r="Q49" s="5"/>
      <c r="R49" s="5">
        <f t="shared" si="9"/>
        <v>0</v>
      </c>
      <c r="S49" s="16"/>
      <c r="T49" s="1">
        <f t="shared" si="5"/>
        <v>16.087079579225435</v>
      </c>
      <c r="U49" s="1">
        <f t="shared" si="6"/>
        <v>16.087079579225435</v>
      </c>
      <c r="V49" s="1">
        <v>0</v>
      </c>
      <c r="W49" s="1"/>
      <c r="X49" s="1">
        <f t="shared" si="7"/>
        <v>0</v>
      </c>
      <c r="Y49" s="1">
        <f t="shared" si="8"/>
        <v>4.2398000000000007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3" t="s">
        <v>77</v>
      </c>
      <c r="B50" s="1" t="s">
        <v>29</v>
      </c>
      <c r="C50" s="1"/>
      <c r="D50" s="1"/>
      <c r="E50" s="1">
        <v>12</v>
      </c>
      <c r="F50" s="1">
        <v>-12</v>
      </c>
      <c r="G50" s="7">
        <v>0.4</v>
      </c>
      <c r="H50" s="1">
        <v>45</v>
      </c>
      <c r="I50" s="1" t="s">
        <v>27</v>
      </c>
      <c r="J50" s="1"/>
      <c r="K50" s="1">
        <v>31</v>
      </c>
      <c r="L50" s="1">
        <f t="shared" si="13"/>
        <v>-19</v>
      </c>
      <c r="M50" s="1"/>
      <c r="N50" s="1"/>
      <c r="O50" s="1">
        <v>150</v>
      </c>
      <c r="P50" s="1">
        <f t="shared" si="2"/>
        <v>2.4</v>
      </c>
      <c r="Q50" s="5"/>
      <c r="R50" s="5">
        <v>120</v>
      </c>
      <c r="S50" s="16">
        <f>VLOOKUP(A50,[1]Sheet!$A:$R,18,0)</f>
        <v>200</v>
      </c>
      <c r="T50" s="1">
        <f t="shared" si="5"/>
        <v>107.5</v>
      </c>
      <c r="U50" s="1">
        <f t="shared" si="6"/>
        <v>57.5</v>
      </c>
      <c r="V50" s="1">
        <v>0</v>
      </c>
      <c r="W50" s="1"/>
      <c r="X50" s="1">
        <f t="shared" si="7"/>
        <v>48</v>
      </c>
      <c r="Y50" s="1">
        <f t="shared" si="8"/>
        <v>0.96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9" t="s">
        <v>78</v>
      </c>
      <c r="B51" s="9" t="s">
        <v>26</v>
      </c>
      <c r="C51" s="9"/>
      <c r="D51" s="9"/>
      <c r="E51" s="9"/>
      <c r="F51" s="9"/>
      <c r="G51" s="10">
        <v>0</v>
      </c>
      <c r="H51" s="9"/>
      <c r="I51" s="9" t="s">
        <v>27</v>
      </c>
      <c r="J51" s="9"/>
      <c r="K51" s="9"/>
      <c r="L51" s="9">
        <f t="shared" si="13"/>
        <v>0</v>
      </c>
      <c r="M51" s="9"/>
      <c r="N51" s="9"/>
      <c r="O51" s="9">
        <v>0</v>
      </c>
      <c r="P51" s="9">
        <f t="shared" si="2"/>
        <v>0</v>
      </c>
      <c r="Q51" s="11"/>
      <c r="R51" s="5">
        <f t="shared" si="9"/>
        <v>0</v>
      </c>
      <c r="S51" s="16"/>
      <c r="T51" s="1" t="e">
        <f t="shared" si="5"/>
        <v>#DIV/0!</v>
      </c>
      <c r="U51" s="9" t="e">
        <f t="shared" si="6"/>
        <v>#DIV/0!</v>
      </c>
      <c r="V51" s="9">
        <v>0</v>
      </c>
      <c r="W51" s="9" t="s">
        <v>79</v>
      </c>
      <c r="X51" s="1">
        <f t="shared" si="7"/>
        <v>0</v>
      </c>
      <c r="Y51" s="1">
        <f t="shared" si="8"/>
        <v>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3" t="s">
        <v>80</v>
      </c>
      <c r="B52" s="1" t="s">
        <v>26</v>
      </c>
      <c r="C52" s="1"/>
      <c r="D52" s="1"/>
      <c r="E52" s="1">
        <v>6.11</v>
      </c>
      <c r="F52" s="1">
        <v>-6.11</v>
      </c>
      <c r="G52" s="7">
        <v>1</v>
      </c>
      <c r="H52" s="1">
        <v>60</v>
      </c>
      <c r="I52" s="1" t="s">
        <v>27</v>
      </c>
      <c r="J52" s="1"/>
      <c r="K52" s="1">
        <v>12.5</v>
      </c>
      <c r="L52" s="1">
        <f t="shared" si="13"/>
        <v>-6.39</v>
      </c>
      <c r="M52" s="1"/>
      <c r="N52" s="1"/>
      <c r="O52" s="1">
        <v>40</v>
      </c>
      <c r="P52" s="1">
        <f t="shared" si="2"/>
        <v>1.222</v>
      </c>
      <c r="Q52" s="5"/>
      <c r="R52" s="5">
        <v>40</v>
      </c>
      <c r="S52" s="16">
        <f>VLOOKUP(A52,[1]Sheet!$A:$R,18,0)</f>
        <v>50</v>
      </c>
      <c r="T52" s="1">
        <f t="shared" si="5"/>
        <v>60.466448445171849</v>
      </c>
      <c r="U52" s="1">
        <f t="shared" si="6"/>
        <v>27.733224222585925</v>
      </c>
      <c r="V52" s="1">
        <v>0</v>
      </c>
      <c r="W52" s="1"/>
      <c r="X52" s="1">
        <f t="shared" si="7"/>
        <v>40</v>
      </c>
      <c r="Y52" s="1">
        <f t="shared" si="8"/>
        <v>1.222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3" t="s">
        <v>81</v>
      </c>
      <c r="B53" s="1" t="s">
        <v>26</v>
      </c>
      <c r="C53" s="1"/>
      <c r="D53" s="1"/>
      <c r="E53" s="1"/>
      <c r="F53" s="1"/>
      <c r="G53" s="7">
        <v>1</v>
      </c>
      <c r="H53" s="1">
        <v>45</v>
      </c>
      <c r="I53" s="1" t="s">
        <v>27</v>
      </c>
      <c r="J53" s="1"/>
      <c r="K53" s="1"/>
      <c r="L53" s="1">
        <f t="shared" si="13"/>
        <v>0</v>
      </c>
      <c r="M53" s="1"/>
      <c r="N53" s="1"/>
      <c r="O53" s="1">
        <v>70</v>
      </c>
      <c r="P53" s="1">
        <f t="shared" si="2"/>
        <v>0</v>
      </c>
      <c r="Q53" s="5"/>
      <c r="R53" s="5">
        <f t="shared" ref="R53" si="16">S53</f>
        <v>50</v>
      </c>
      <c r="S53" s="16">
        <f>VLOOKUP(A53,[1]Sheet!$A:$R,18,0)</f>
        <v>50</v>
      </c>
      <c r="T53" s="1" t="e">
        <f t="shared" si="5"/>
        <v>#DIV/0!</v>
      </c>
      <c r="U53" s="1" t="e">
        <f t="shared" si="6"/>
        <v>#DIV/0!</v>
      </c>
      <c r="V53" s="1">
        <v>0</v>
      </c>
      <c r="W53" s="1"/>
      <c r="X53" s="1">
        <f t="shared" si="7"/>
        <v>50</v>
      </c>
      <c r="Y53" s="1">
        <f t="shared" si="8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9" t="s">
        <v>82</v>
      </c>
      <c r="B54" s="9" t="s">
        <v>29</v>
      </c>
      <c r="C54" s="9">
        <v>120</v>
      </c>
      <c r="D54" s="9"/>
      <c r="E54" s="9"/>
      <c r="F54" s="9">
        <v>120</v>
      </c>
      <c r="G54" s="10">
        <v>0</v>
      </c>
      <c r="H54" s="9"/>
      <c r="I54" s="9" t="s">
        <v>48</v>
      </c>
      <c r="J54" s="9"/>
      <c r="K54" s="9"/>
      <c r="L54" s="9">
        <f t="shared" si="13"/>
        <v>0</v>
      </c>
      <c r="M54" s="9"/>
      <c r="N54" s="9"/>
      <c r="O54" s="9">
        <v>0</v>
      </c>
      <c r="P54" s="9">
        <f t="shared" si="2"/>
        <v>0</v>
      </c>
      <c r="Q54" s="11"/>
      <c r="R54" s="5">
        <f t="shared" si="9"/>
        <v>0</v>
      </c>
      <c r="S54" s="16"/>
      <c r="T54" s="1" t="e">
        <f t="shared" si="5"/>
        <v>#DIV/0!</v>
      </c>
      <c r="U54" s="9" t="e">
        <f t="shared" si="6"/>
        <v>#DIV/0!</v>
      </c>
      <c r="V54" s="9">
        <v>0</v>
      </c>
      <c r="W54" s="9"/>
      <c r="X54" s="1">
        <f t="shared" si="7"/>
        <v>0</v>
      </c>
      <c r="Y54" s="1">
        <f t="shared" si="8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 t="s">
        <v>83</v>
      </c>
      <c r="B55" s="1" t="s">
        <v>29</v>
      </c>
      <c r="C55" s="1">
        <v>64</v>
      </c>
      <c r="D55" s="1">
        <v>67</v>
      </c>
      <c r="E55" s="1">
        <v>62</v>
      </c>
      <c r="F55" s="1">
        <v>65</v>
      </c>
      <c r="G55" s="7">
        <v>0.25</v>
      </c>
      <c r="H55" s="1">
        <v>120</v>
      </c>
      <c r="I55" s="1" t="s">
        <v>27</v>
      </c>
      <c r="J55" s="1"/>
      <c r="K55" s="1">
        <v>67</v>
      </c>
      <c r="L55" s="1">
        <f t="shared" si="13"/>
        <v>-5</v>
      </c>
      <c r="M55" s="1"/>
      <c r="N55" s="1"/>
      <c r="O55" s="1">
        <v>70</v>
      </c>
      <c r="P55" s="1">
        <f t="shared" si="2"/>
        <v>12.4</v>
      </c>
      <c r="Q55" s="5">
        <f t="shared" ref="Q55:Q66" si="17">15*P55-O55-F55</f>
        <v>51</v>
      </c>
      <c r="R55" s="5">
        <f>S55</f>
        <v>100</v>
      </c>
      <c r="S55" s="16">
        <f>VLOOKUP(A55,[1]Sheet!$A:$R,18,0)</f>
        <v>100</v>
      </c>
      <c r="T55" s="1">
        <f t="shared" si="5"/>
        <v>18.951612903225804</v>
      </c>
      <c r="U55" s="1">
        <f t="shared" si="6"/>
        <v>10.887096774193548</v>
      </c>
      <c r="V55" s="1">
        <v>0</v>
      </c>
      <c r="W55" s="1"/>
      <c r="X55" s="1">
        <f t="shared" si="7"/>
        <v>25</v>
      </c>
      <c r="Y55" s="1">
        <f t="shared" si="8"/>
        <v>3.1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3" t="s">
        <v>84</v>
      </c>
      <c r="B56" s="1" t="s">
        <v>26</v>
      </c>
      <c r="C56" s="1">
        <v>6.234</v>
      </c>
      <c r="D56" s="1"/>
      <c r="E56" s="1"/>
      <c r="F56" s="1">
        <v>6.234</v>
      </c>
      <c r="G56" s="7">
        <v>1</v>
      </c>
      <c r="H56" s="1">
        <v>45</v>
      </c>
      <c r="I56" s="1" t="s">
        <v>27</v>
      </c>
      <c r="J56" s="1"/>
      <c r="K56" s="1"/>
      <c r="L56" s="1">
        <f t="shared" si="13"/>
        <v>0</v>
      </c>
      <c r="M56" s="1"/>
      <c r="N56" s="1"/>
      <c r="O56" s="1">
        <v>40</v>
      </c>
      <c r="P56" s="1">
        <f t="shared" si="2"/>
        <v>0</v>
      </c>
      <c r="Q56" s="5"/>
      <c r="R56" s="5">
        <f t="shared" si="9"/>
        <v>0</v>
      </c>
      <c r="S56" s="16"/>
      <c r="T56" s="1" t="e">
        <f t="shared" si="5"/>
        <v>#DIV/0!</v>
      </c>
      <c r="U56" s="1" t="e">
        <f t="shared" si="6"/>
        <v>#DIV/0!</v>
      </c>
      <c r="V56" s="1">
        <v>0</v>
      </c>
      <c r="W56" s="1"/>
      <c r="X56" s="1">
        <f t="shared" si="7"/>
        <v>0</v>
      </c>
      <c r="Y56" s="1">
        <f t="shared" si="8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3" t="s">
        <v>85</v>
      </c>
      <c r="B57" s="1" t="s">
        <v>29</v>
      </c>
      <c r="C57" s="1"/>
      <c r="D57" s="1"/>
      <c r="E57" s="1"/>
      <c r="F57" s="1"/>
      <c r="G57" s="7">
        <v>0.27</v>
      </c>
      <c r="H57" s="1"/>
      <c r="I57" s="1" t="s">
        <v>27</v>
      </c>
      <c r="J57" s="1"/>
      <c r="K57" s="1"/>
      <c r="L57" s="1">
        <f t="shared" si="13"/>
        <v>0</v>
      </c>
      <c r="M57" s="1"/>
      <c r="N57" s="1"/>
      <c r="O57" s="1">
        <v>50</v>
      </c>
      <c r="P57" s="1">
        <f t="shared" si="2"/>
        <v>0</v>
      </c>
      <c r="Q57" s="5"/>
      <c r="R57" s="5">
        <v>50</v>
      </c>
      <c r="S57" s="16">
        <f>VLOOKUP(A57,[1]Sheet!$A:$R,18,0)</f>
        <v>100</v>
      </c>
      <c r="T57" s="1" t="e">
        <f t="shared" si="5"/>
        <v>#DIV/0!</v>
      </c>
      <c r="U57" s="1" t="e">
        <f t="shared" si="6"/>
        <v>#DIV/0!</v>
      </c>
      <c r="V57" s="1">
        <v>0</v>
      </c>
      <c r="W57" s="1"/>
      <c r="X57" s="1">
        <f t="shared" si="7"/>
        <v>13.5</v>
      </c>
      <c r="Y57" s="1">
        <f t="shared" si="8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3" t="s">
        <v>86</v>
      </c>
      <c r="B58" s="1" t="s">
        <v>29</v>
      </c>
      <c r="C58" s="1"/>
      <c r="D58" s="1">
        <v>80</v>
      </c>
      <c r="E58" s="1">
        <v>10</v>
      </c>
      <c r="F58" s="1">
        <v>70</v>
      </c>
      <c r="G58" s="7">
        <v>0.3</v>
      </c>
      <c r="H58" s="1">
        <v>60</v>
      </c>
      <c r="I58" s="1" t="s">
        <v>27</v>
      </c>
      <c r="J58" s="1"/>
      <c r="K58" s="1">
        <v>14</v>
      </c>
      <c r="L58" s="1">
        <f t="shared" si="13"/>
        <v>-4</v>
      </c>
      <c r="M58" s="1"/>
      <c r="N58" s="1"/>
      <c r="O58" s="1">
        <v>50</v>
      </c>
      <c r="P58" s="1">
        <f t="shared" si="2"/>
        <v>2</v>
      </c>
      <c r="Q58" s="5"/>
      <c r="R58" s="5">
        <f t="shared" si="9"/>
        <v>0</v>
      </c>
      <c r="S58" s="16"/>
      <c r="T58" s="1">
        <f t="shared" si="5"/>
        <v>60</v>
      </c>
      <c r="U58" s="1">
        <f t="shared" si="6"/>
        <v>60</v>
      </c>
      <c r="V58" s="1">
        <v>0</v>
      </c>
      <c r="W58" s="1"/>
      <c r="X58" s="1">
        <f t="shared" si="7"/>
        <v>0</v>
      </c>
      <c r="Y58" s="1">
        <f t="shared" si="8"/>
        <v>0.6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 t="s">
        <v>87</v>
      </c>
      <c r="B59" s="1" t="s">
        <v>29</v>
      </c>
      <c r="C59" s="1">
        <v>440</v>
      </c>
      <c r="D59" s="1">
        <v>53</v>
      </c>
      <c r="E59" s="1">
        <v>462</v>
      </c>
      <c r="F59" s="1">
        <v>-25</v>
      </c>
      <c r="G59" s="7">
        <v>0.41</v>
      </c>
      <c r="H59" s="1">
        <v>50</v>
      </c>
      <c r="I59" s="1" t="s">
        <v>27</v>
      </c>
      <c r="J59" s="1"/>
      <c r="K59" s="1">
        <v>531</v>
      </c>
      <c r="L59" s="1">
        <f t="shared" si="13"/>
        <v>-69</v>
      </c>
      <c r="M59" s="1"/>
      <c r="N59" s="1"/>
      <c r="O59" s="1">
        <v>0</v>
      </c>
      <c r="P59" s="1">
        <f t="shared" si="2"/>
        <v>92.4</v>
      </c>
      <c r="Q59" s="5">
        <f>10*P59-O59-F59</f>
        <v>949</v>
      </c>
      <c r="R59" s="5">
        <f t="shared" si="9"/>
        <v>949</v>
      </c>
      <c r="S59" s="16"/>
      <c r="T59" s="1">
        <f t="shared" si="5"/>
        <v>10</v>
      </c>
      <c r="U59" s="1">
        <f t="shared" si="6"/>
        <v>-0.27056277056277056</v>
      </c>
      <c r="V59" s="1">
        <v>0</v>
      </c>
      <c r="W59" s="1"/>
      <c r="X59" s="1">
        <f t="shared" si="7"/>
        <v>389.09</v>
      </c>
      <c r="Y59" s="1">
        <f t="shared" si="8"/>
        <v>37.884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 t="s">
        <v>88</v>
      </c>
      <c r="B60" s="1" t="s">
        <v>26</v>
      </c>
      <c r="C60" s="1">
        <v>191.774</v>
      </c>
      <c r="D60" s="1"/>
      <c r="E60" s="1">
        <v>54.545999999999999</v>
      </c>
      <c r="F60" s="1">
        <v>133.518</v>
      </c>
      <c r="G60" s="7">
        <v>1</v>
      </c>
      <c r="H60" s="1">
        <v>50</v>
      </c>
      <c r="I60" s="1" t="s">
        <v>27</v>
      </c>
      <c r="J60" s="1"/>
      <c r="K60" s="1">
        <v>71</v>
      </c>
      <c r="L60" s="1">
        <f t="shared" si="13"/>
        <v>-16.454000000000001</v>
      </c>
      <c r="M60" s="1"/>
      <c r="N60" s="1"/>
      <c r="O60" s="1">
        <v>0</v>
      </c>
      <c r="P60" s="1">
        <f t="shared" si="2"/>
        <v>10.9092</v>
      </c>
      <c r="Q60" s="5">
        <f t="shared" si="17"/>
        <v>30.120000000000005</v>
      </c>
      <c r="R60" s="5">
        <f t="shared" si="9"/>
        <v>30</v>
      </c>
      <c r="S60" s="16"/>
      <c r="T60" s="1">
        <f t="shared" si="5"/>
        <v>14.9890001099989</v>
      </c>
      <c r="U60" s="1">
        <f t="shared" si="6"/>
        <v>12.239027609723902</v>
      </c>
      <c r="V60" s="1">
        <v>0</v>
      </c>
      <c r="W60" s="1"/>
      <c r="X60" s="1">
        <f t="shared" si="7"/>
        <v>30</v>
      </c>
      <c r="Y60" s="1">
        <f t="shared" si="8"/>
        <v>10.9092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3" t="s">
        <v>89</v>
      </c>
      <c r="B61" s="1" t="s">
        <v>29</v>
      </c>
      <c r="C61" s="1"/>
      <c r="D61" s="1">
        <v>214</v>
      </c>
      <c r="E61" s="1">
        <v>79</v>
      </c>
      <c r="F61" s="1">
        <v>114</v>
      </c>
      <c r="G61" s="7">
        <v>0.35</v>
      </c>
      <c r="H61" s="1">
        <v>50</v>
      </c>
      <c r="I61" s="1" t="s">
        <v>27</v>
      </c>
      <c r="J61" s="1"/>
      <c r="K61" s="1">
        <v>184</v>
      </c>
      <c r="L61" s="1">
        <f t="shared" si="13"/>
        <v>-105</v>
      </c>
      <c r="M61" s="1"/>
      <c r="N61" s="1"/>
      <c r="O61" s="1">
        <v>200</v>
      </c>
      <c r="P61" s="1">
        <f t="shared" si="2"/>
        <v>15.8</v>
      </c>
      <c r="Q61" s="5"/>
      <c r="R61" s="5">
        <f t="shared" si="9"/>
        <v>0</v>
      </c>
      <c r="S61" s="16"/>
      <c r="T61" s="1">
        <f t="shared" si="5"/>
        <v>19.873417721518987</v>
      </c>
      <c r="U61" s="1">
        <f t="shared" si="6"/>
        <v>19.873417721518987</v>
      </c>
      <c r="V61" s="1">
        <v>0</v>
      </c>
      <c r="W61" s="1"/>
      <c r="X61" s="1">
        <f t="shared" si="7"/>
        <v>0</v>
      </c>
      <c r="Y61" s="1">
        <f t="shared" si="8"/>
        <v>5.53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3" t="s">
        <v>90</v>
      </c>
      <c r="B62" s="1" t="s">
        <v>26</v>
      </c>
      <c r="C62" s="1"/>
      <c r="D62" s="1"/>
      <c r="E62" s="1"/>
      <c r="F62" s="1"/>
      <c r="G62" s="7">
        <v>1</v>
      </c>
      <c r="H62" s="1">
        <v>50</v>
      </c>
      <c r="I62" s="1" t="s">
        <v>27</v>
      </c>
      <c r="J62" s="1"/>
      <c r="K62" s="1"/>
      <c r="L62" s="1">
        <f t="shared" si="13"/>
        <v>0</v>
      </c>
      <c r="M62" s="1"/>
      <c r="N62" s="1"/>
      <c r="O62" s="1">
        <v>0</v>
      </c>
      <c r="P62" s="1">
        <f t="shared" si="2"/>
        <v>0</v>
      </c>
      <c r="Q62" s="5">
        <v>10</v>
      </c>
      <c r="R62" s="5">
        <f t="shared" si="9"/>
        <v>10</v>
      </c>
      <c r="S62" s="16"/>
      <c r="T62" s="1" t="e">
        <f t="shared" si="5"/>
        <v>#DIV/0!</v>
      </c>
      <c r="U62" s="1" t="e">
        <f t="shared" si="6"/>
        <v>#DIV/0!</v>
      </c>
      <c r="V62" s="1">
        <v>0</v>
      </c>
      <c r="W62" s="1"/>
      <c r="X62" s="1">
        <f t="shared" si="7"/>
        <v>10</v>
      </c>
      <c r="Y62" s="1">
        <f t="shared" si="8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 t="s">
        <v>91</v>
      </c>
      <c r="B63" s="1" t="s">
        <v>29</v>
      </c>
      <c r="C63" s="1">
        <v>240</v>
      </c>
      <c r="D63" s="1">
        <v>629</v>
      </c>
      <c r="E63" s="1">
        <v>289</v>
      </c>
      <c r="F63" s="1">
        <v>543</v>
      </c>
      <c r="G63" s="7">
        <v>0.41</v>
      </c>
      <c r="H63" s="1">
        <v>50</v>
      </c>
      <c r="I63" s="1" t="s">
        <v>27</v>
      </c>
      <c r="J63" s="1"/>
      <c r="K63" s="1">
        <v>320</v>
      </c>
      <c r="L63" s="1">
        <f t="shared" ref="L63:L89" si="18">E63-K63</f>
        <v>-31</v>
      </c>
      <c r="M63" s="1"/>
      <c r="N63" s="1"/>
      <c r="O63" s="1">
        <v>200</v>
      </c>
      <c r="P63" s="1">
        <f t="shared" si="2"/>
        <v>57.8</v>
      </c>
      <c r="Q63" s="5">
        <f t="shared" si="17"/>
        <v>124</v>
      </c>
      <c r="R63" s="5">
        <f>S63</f>
        <v>200</v>
      </c>
      <c r="S63" s="16">
        <f>VLOOKUP(A63,[1]Sheet!$A:$R,18,0)</f>
        <v>200</v>
      </c>
      <c r="T63" s="1">
        <f t="shared" si="5"/>
        <v>16.314878892733564</v>
      </c>
      <c r="U63" s="1">
        <f t="shared" si="6"/>
        <v>12.854671280276817</v>
      </c>
      <c r="V63" s="1">
        <v>0</v>
      </c>
      <c r="W63" s="1"/>
      <c r="X63" s="1">
        <f t="shared" si="7"/>
        <v>82</v>
      </c>
      <c r="Y63" s="1">
        <f t="shared" si="8"/>
        <v>23.697999999999997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3" t="s">
        <v>92</v>
      </c>
      <c r="B64" s="1" t="s">
        <v>26</v>
      </c>
      <c r="C64" s="1">
        <v>6.2969999999999997</v>
      </c>
      <c r="D64" s="1"/>
      <c r="E64" s="1">
        <v>1.5760000000000001</v>
      </c>
      <c r="F64" s="1">
        <v>4.7210000000000001</v>
      </c>
      <c r="G64" s="7">
        <v>1</v>
      </c>
      <c r="H64" s="1">
        <v>50</v>
      </c>
      <c r="I64" s="1" t="s">
        <v>27</v>
      </c>
      <c r="J64" s="1"/>
      <c r="K64" s="1">
        <v>1.5</v>
      </c>
      <c r="L64" s="1">
        <f t="shared" si="18"/>
        <v>7.6000000000000068E-2</v>
      </c>
      <c r="M64" s="1"/>
      <c r="N64" s="1"/>
      <c r="O64" s="1">
        <v>4</v>
      </c>
      <c r="P64" s="1">
        <f t="shared" si="2"/>
        <v>0.31520000000000004</v>
      </c>
      <c r="Q64" s="5"/>
      <c r="R64" s="5">
        <f t="shared" si="9"/>
        <v>0</v>
      </c>
      <c r="S64" s="16"/>
      <c r="T64" s="1">
        <f t="shared" si="5"/>
        <v>27.668147208121823</v>
      </c>
      <c r="U64" s="1">
        <f t="shared" si="6"/>
        <v>27.668147208121823</v>
      </c>
      <c r="V64" s="1">
        <v>0</v>
      </c>
      <c r="W64" s="14" t="s">
        <v>34</v>
      </c>
      <c r="X64" s="1">
        <f t="shared" si="7"/>
        <v>0</v>
      </c>
      <c r="Y64" s="1">
        <f t="shared" si="8"/>
        <v>0.31520000000000004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 t="s">
        <v>93</v>
      </c>
      <c r="B65" s="1" t="s">
        <v>29</v>
      </c>
      <c r="C65" s="1">
        <v>66</v>
      </c>
      <c r="D65" s="1">
        <v>4</v>
      </c>
      <c r="E65" s="1">
        <v>76</v>
      </c>
      <c r="F65" s="1">
        <v>-10</v>
      </c>
      <c r="G65" s="7">
        <v>0.3</v>
      </c>
      <c r="H65" s="1">
        <v>50</v>
      </c>
      <c r="I65" s="1" t="s">
        <v>27</v>
      </c>
      <c r="J65" s="1"/>
      <c r="K65" s="1">
        <v>84</v>
      </c>
      <c r="L65" s="1">
        <f t="shared" si="18"/>
        <v>-8</v>
      </c>
      <c r="M65" s="1"/>
      <c r="N65" s="1"/>
      <c r="O65" s="1">
        <v>130</v>
      </c>
      <c r="P65" s="1">
        <f t="shared" si="2"/>
        <v>15.2</v>
      </c>
      <c r="Q65" s="5">
        <f t="shared" si="17"/>
        <v>108</v>
      </c>
      <c r="R65" s="5">
        <f>S65</f>
        <v>200</v>
      </c>
      <c r="S65" s="16">
        <f>VLOOKUP(A65,[1]Sheet!$A:$R,18,0)</f>
        <v>200</v>
      </c>
      <c r="T65" s="1">
        <f t="shared" si="5"/>
        <v>21.05263157894737</v>
      </c>
      <c r="U65" s="1">
        <f t="shared" si="6"/>
        <v>7.8947368421052637</v>
      </c>
      <c r="V65" s="1">
        <v>0</v>
      </c>
      <c r="W65" s="1"/>
      <c r="X65" s="1">
        <f t="shared" si="7"/>
        <v>60</v>
      </c>
      <c r="Y65" s="1">
        <f t="shared" si="8"/>
        <v>4.5599999999999996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 t="s">
        <v>94</v>
      </c>
      <c r="B66" s="1" t="s">
        <v>29</v>
      </c>
      <c r="C66" s="1">
        <v>100</v>
      </c>
      <c r="D66" s="1">
        <v>3</v>
      </c>
      <c r="E66" s="1">
        <v>57</v>
      </c>
      <c r="F66" s="1">
        <v>37</v>
      </c>
      <c r="G66" s="7">
        <v>0.18</v>
      </c>
      <c r="H66" s="1">
        <v>50</v>
      </c>
      <c r="I66" s="1" t="s">
        <v>27</v>
      </c>
      <c r="J66" s="1"/>
      <c r="K66" s="1">
        <v>70</v>
      </c>
      <c r="L66" s="1">
        <f t="shared" si="18"/>
        <v>-13</v>
      </c>
      <c r="M66" s="1"/>
      <c r="N66" s="1"/>
      <c r="O66" s="1">
        <v>41</v>
      </c>
      <c r="P66" s="1">
        <f t="shared" si="2"/>
        <v>11.4</v>
      </c>
      <c r="Q66" s="5">
        <f t="shared" si="17"/>
        <v>93</v>
      </c>
      <c r="R66" s="5">
        <f t="shared" si="9"/>
        <v>93</v>
      </c>
      <c r="S66" s="16"/>
      <c r="T66" s="1">
        <f t="shared" si="5"/>
        <v>15</v>
      </c>
      <c r="U66" s="1">
        <f t="shared" si="6"/>
        <v>6.8421052631578947</v>
      </c>
      <c r="V66" s="1">
        <v>0</v>
      </c>
      <c r="W66" s="1"/>
      <c r="X66" s="1">
        <f t="shared" si="7"/>
        <v>16.739999999999998</v>
      </c>
      <c r="Y66" s="1">
        <f t="shared" si="8"/>
        <v>2.052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3" t="s">
        <v>95</v>
      </c>
      <c r="B67" s="1" t="s">
        <v>29</v>
      </c>
      <c r="C67" s="1"/>
      <c r="D67" s="1"/>
      <c r="E67" s="1"/>
      <c r="F67" s="1"/>
      <c r="G67" s="7">
        <v>0.22</v>
      </c>
      <c r="H67" s="1">
        <v>120</v>
      </c>
      <c r="I67" s="1" t="s">
        <v>27</v>
      </c>
      <c r="J67" s="1"/>
      <c r="K67" s="1"/>
      <c r="L67" s="1">
        <f t="shared" si="18"/>
        <v>0</v>
      </c>
      <c r="M67" s="1"/>
      <c r="N67" s="1"/>
      <c r="O67" s="1">
        <v>70</v>
      </c>
      <c r="P67" s="1">
        <f t="shared" si="2"/>
        <v>0</v>
      </c>
      <c r="Q67" s="5"/>
      <c r="R67" s="5">
        <f t="shared" si="9"/>
        <v>0</v>
      </c>
      <c r="S67" s="16"/>
      <c r="T67" s="1" t="e">
        <f t="shared" si="5"/>
        <v>#DIV/0!</v>
      </c>
      <c r="U67" s="1" t="e">
        <f t="shared" si="6"/>
        <v>#DIV/0!</v>
      </c>
      <c r="V67" s="1">
        <v>0</v>
      </c>
      <c r="W67" s="1"/>
      <c r="X67" s="1">
        <f t="shared" si="7"/>
        <v>0</v>
      </c>
      <c r="Y67" s="1">
        <f t="shared" si="8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9" t="s">
        <v>96</v>
      </c>
      <c r="B68" s="9" t="s">
        <v>26</v>
      </c>
      <c r="C68" s="9"/>
      <c r="D68" s="9"/>
      <c r="E68" s="9"/>
      <c r="F68" s="9"/>
      <c r="G68" s="10">
        <v>0</v>
      </c>
      <c r="H68" s="9"/>
      <c r="I68" s="9" t="s">
        <v>27</v>
      </c>
      <c r="J68" s="9"/>
      <c r="K68" s="9"/>
      <c r="L68" s="9">
        <f t="shared" si="18"/>
        <v>0</v>
      </c>
      <c r="M68" s="9"/>
      <c r="N68" s="9"/>
      <c r="O68" s="9">
        <v>0</v>
      </c>
      <c r="P68" s="9">
        <f t="shared" si="2"/>
        <v>0</v>
      </c>
      <c r="Q68" s="11"/>
      <c r="R68" s="5">
        <f t="shared" si="9"/>
        <v>0</v>
      </c>
      <c r="S68" s="16"/>
      <c r="T68" s="1" t="e">
        <f t="shared" si="5"/>
        <v>#DIV/0!</v>
      </c>
      <c r="U68" s="9" t="e">
        <f t="shared" si="6"/>
        <v>#DIV/0!</v>
      </c>
      <c r="V68" s="9">
        <v>0</v>
      </c>
      <c r="W68" s="9" t="s">
        <v>79</v>
      </c>
      <c r="X68" s="1">
        <f t="shared" si="7"/>
        <v>0</v>
      </c>
      <c r="Y68" s="1">
        <f t="shared" si="8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 t="s">
        <v>56</v>
      </c>
      <c r="B69" s="1" t="s">
        <v>29</v>
      </c>
      <c r="C69" s="1">
        <v>392</v>
      </c>
      <c r="D69" s="1">
        <v>277</v>
      </c>
      <c r="E69" s="1">
        <v>291</v>
      </c>
      <c r="F69" s="1">
        <v>331</v>
      </c>
      <c r="G69" s="7">
        <v>0.35</v>
      </c>
      <c r="H69" s="1">
        <v>50</v>
      </c>
      <c r="I69" s="1" t="s">
        <v>27</v>
      </c>
      <c r="J69" s="1"/>
      <c r="K69" s="1">
        <v>333</v>
      </c>
      <c r="L69" s="1">
        <f t="shared" si="18"/>
        <v>-42</v>
      </c>
      <c r="M69" s="1"/>
      <c r="N69" s="1"/>
      <c r="O69" s="1">
        <v>0</v>
      </c>
      <c r="P69" s="1">
        <f t="shared" si="2"/>
        <v>58.2</v>
      </c>
      <c r="Q69" s="5">
        <f>15*P69-O69-F69</f>
        <v>542</v>
      </c>
      <c r="R69" s="5">
        <f t="shared" si="9"/>
        <v>542</v>
      </c>
      <c r="S69" s="16"/>
      <c r="T69" s="1">
        <f t="shared" si="5"/>
        <v>15</v>
      </c>
      <c r="U69" s="1">
        <f t="shared" si="6"/>
        <v>5.6872852233676969</v>
      </c>
      <c r="V69" s="1">
        <v>0</v>
      </c>
      <c r="W69" s="1"/>
      <c r="X69" s="1">
        <f t="shared" si="7"/>
        <v>189.7</v>
      </c>
      <c r="Y69" s="1">
        <f t="shared" si="8"/>
        <v>20.37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2" t="s">
        <v>129</v>
      </c>
      <c r="B70" s="9" t="s">
        <v>29</v>
      </c>
      <c r="C70" s="9"/>
      <c r="D70" s="9"/>
      <c r="E70" s="9"/>
      <c r="F70" s="9"/>
      <c r="G70" s="10">
        <v>0</v>
      </c>
      <c r="H70" s="9"/>
      <c r="I70" s="9" t="s">
        <v>27</v>
      </c>
      <c r="J70" s="9"/>
      <c r="K70" s="9"/>
      <c r="L70" s="9">
        <f t="shared" si="18"/>
        <v>0</v>
      </c>
      <c r="M70" s="9"/>
      <c r="N70" s="9"/>
      <c r="O70" s="9">
        <v>0</v>
      </c>
      <c r="P70" s="9">
        <f t="shared" si="2"/>
        <v>0</v>
      </c>
      <c r="Q70" s="11"/>
      <c r="R70" s="5">
        <f t="shared" si="9"/>
        <v>0</v>
      </c>
      <c r="S70" s="16"/>
      <c r="T70" s="1" t="e">
        <f t="shared" si="5"/>
        <v>#DIV/0!</v>
      </c>
      <c r="U70" s="9" t="e">
        <f t="shared" si="6"/>
        <v>#DIV/0!</v>
      </c>
      <c r="V70" s="9">
        <v>0</v>
      </c>
      <c r="W70" s="9" t="s">
        <v>79</v>
      </c>
      <c r="X70" s="1">
        <f t="shared" si="7"/>
        <v>0</v>
      </c>
      <c r="Y70" s="1">
        <f t="shared" si="8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3" t="s">
        <v>97</v>
      </c>
      <c r="B71" s="1" t="s">
        <v>26</v>
      </c>
      <c r="C71" s="1">
        <v>5.4180000000000001</v>
      </c>
      <c r="D71" s="1">
        <v>98.430999999999997</v>
      </c>
      <c r="E71" s="1">
        <v>30.64</v>
      </c>
      <c r="F71" s="1">
        <v>27.433</v>
      </c>
      <c r="G71" s="7">
        <v>1</v>
      </c>
      <c r="H71" s="1">
        <v>50</v>
      </c>
      <c r="I71" s="1" t="s">
        <v>27</v>
      </c>
      <c r="J71" s="1"/>
      <c r="K71" s="1">
        <v>92.8</v>
      </c>
      <c r="L71" s="1">
        <f t="shared" si="18"/>
        <v>-62.16</v>
      </c>
      <c r="M71" s="1"/>
      <c r="N71" s="1"/>
      <c r="O71" s="1">
        <v>100</v>
      </c>
      <c r="P71" s="1">
        <f t="shared" ref="P71:P103" si="19">E71/5</f>
        <v>6.1280000000000001</v>
      </c>
      <c r="Q71" s="5">
        <v>40</v>
      </c>
      <c r="R71" s="5">
        <f t="shared" ref="R71:R103" si="20">ROUND(Q71,0)</f>
        <v>40</v>
      </c>
      <c r="S71" s="16"/>
      <c r="T71" s="1">
        <f t="shared" ref="T71:T103" si="21">(F71+O71+R71)/P71</f>
        <v>27.322617493472585</v>
      </c>
      <c r="U71" s="1">
        <f t="shared" ref="U71:U103" si="22">(F71+O71)/P71</f>
        <v>20.795202349869449</v>
      </c>
      <c r="V71" s="1">
        <v>0</v>
      </c>
      <c r="W71" s="1"/>
      <c r="X71" s="1">
        <f t="shared" ref="X71:X103" si="23">G71*R71</f>
        <v>40</v>
      </c>
      <c r="Y71" s="1">
        <f t="shared" ref="Y71:Y103" si="24">P71*G71</f>
        <v>6.1280000000000001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3" t="s">
        <v>98</v>
      </c>
      <c r="B72" s="1" t="s">
        <v>26</v>
      </c>
      <c r="C72" s="1"/>
      <c r="D72" s="1">
        <v>135.31200000000001</v>
      </c>
      <c r="E72" s="1">
        <v>69.876000000000005</v>
      </c>
      <c r="F72" s="1">
        <v>48.948</v>
      </c>
      <c r="G72" s="7">
        <v>1</v>
      </c>
      <c r="H72" s="1">
        <v>50</v>
      </c>
      <c r="I72" s="1" t="s">
        <v>27</v>
      </c>
      <c r="J72" s="1"/>
      <c r="K72" s="1">
        <v>110.3</v>
      </c>
      <c r="L72" s="1">
        <f t="shared" si="18"/>
        <v>-40.423999999999992</v>
      </c>
      <c r="M72" s="1"/>
      <c r="N72" s="1"/>
      <c r="O72" s="1">
        <v>250</v>
      </c>
      <c r="P72" s="1">
        <f t="shared" si="19"/>
        <v>13.975200000000001</v>
      </c>
      <c r="Q72" s="5"/>
      <c r="R72" s="5">
        <f t="shared" si="20"/>
        <v>0</v>
      </c>
      <c r="S72" s="16"/>
      <c r="T72" s="1">
        <f t="shared" si="21"/>
        <v>21.391321769992555</v>
      </c>
      <c r="U72" s="1">
        <f t="shared" si="22"/>
        <v>21.391321769992555</v>
      </c>
      <c r="V72" s="1">
        <v>0</v>
      </c>
      <c r="W72" s="1"/>
      <c r="X72" s="1">
        <f t="shared" si="23"/>
        <v>0</v>
      </c>
      <c r="Y72" s="1">
        <f t="shared" si="24"/>
        <v>13.975200000000001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 t="s">
        <v>99</v>
      </c>
      <c r="B73" s="1" t="s">
        <v>29</v>
      </c>
      <c r="C73" s="1">
        <v>104</v>
      </c>
      <c r="D73" s="1">
        <v>160</v>
      </c>
      <c r="E73" s="1">
        <v>236</v>
      </c>
      <c r="F73" s="1">
        <v>-14</v>
      </c>
      <c r="G73" s="7">
        <v>0.35</v>
      </c>
      <c r="H73" s="1">
        <v>50</v>
      </c>
      <c r="I73" s="1" t="s">
        <v>27</v>
      </c>
      <c r="J73" s="1"/>
      <c r="K73" s="1">
        <v>298</v>
      </c>
      <c r="L73" s="1">
        <f t="shared" si="18"/>
        <v>-62</v>
      </c>
      <c r="M73" s="1"/>
      <c r="N73" s="1"/>
      <c r="O73" s="1">
        <v>70</v>
      </c>
      <c r="P73" s="1">
        <f t="shared" si="19"/>
        <v>47.2</v>
      </c>
      <c r="Q73" s="5">
        <f>11*P73-O73-F73</f>
        <v>463.20000000000005</v>
      </c>
      <c r="R73" s="5">
        <f t="shared" si="20"/>
        <v>463</v>
      </c>
      <c r="S73" s="16"/>
      <c r="T73" s="1">
        <f t="shared" si="21"/>
        <v>10.995762711864407</v>
      </c>
      <c r="U73" s="1">
        <f t="shared" si="22"/>
        <v>1.1864406779661016</v>
      </c>
      <c r="V73" s="1">
        <v>0</v>
      </c>
      <c r="W73" s="1"/>
      <c r="X73" s="1">
        <f t="shared" si="23"/>
        <v>162.04999999999998</v>
      </c>
      <c r="Y73" s="1">
        <f t="shared" si="24"/>
        <v>16.52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3" t="s">
        <v>100</v>
      </c>
      <c r="B74" s="1" t="s">
        <v>29</v>
      </c>
      <c r="C74" s="1"/>
      <c r="D74" s="1">
        <v>124</v>
      </c>
      <c r="E74" s="1">
        <v>22</v>
      </c>
      <c r="F74" s="1">
        <v>98</v>
      </c>
      <c r="G74" s="7">
        <v>0.3</v>
      </c>
      <c r="H74" s="1">
        <v>50</v>
      </c>
      <c r="I74" s="1" t="s">
        <v>27</v>
      </c>
      <c r="J74" s="1"/>
      <c r="K74" s="1">
        <v>81</v>
      </c>
      <c r="L74" s="1">
        <f t="shared" si="18"/>
        <v>-59</v>
      </c>
      <c r="M74" s="1"/>
      <c r="N74" s="1"/>
      <c r="O74" s="1">
        <v>100</v>
      </c>
      <c r="P74" s="1">
        <f t="shared" si="19"/>
        <v>4.4000000000000004</v>
      </c>
      <c r="Q74" s="5"/>
      <c r="R74" s="5">
        <f t="shared" si="20"/>
        <v>0</v>
      </c>
      <c r="S74" s="16"/>
      <c r="T74" s="1">
        <f t="shared" si="21"/>
        <v>44.999999999999993</v>
      </c>
      <c r="U74" s="1">
        <f t="shared" si="22"/>
        <v>44.999999999999993</v>
      </c>
      <c r="V74" s="1">
        <v>0</v>
      </c>
      <c r="W74" s="1"/>
      <c r="X74" s="1">
        <f t="shared" si="23"/>
        <v>0</v>
      </c>
      <c r="Y74" s="1">
        <f t="shared" si="24"/>
        <v>1.32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3" t="s">
        <v>101</v>
      </c>
      <c r="B75" s="1" t="s">
        <v>29</v>
      </c>
      <c r="C75" s="1"/>
      <c r="D75" s="1">
        <v>34</v>
      </c>
      <c r="E75" s="1">
        <v>5</v>
      </c>
      <c r="F75" s="1">
        <v>27</v>
      </c>
      <c r="G75" s="7">
        <v>0.3</v>
      </c>
      <c r="H75" s="1">
        <v>60</v>
      </c>
      <c r="I75" s="1" t="s">
        <v>27</v>
      </c>
      <c r="J75" s="1"/>
      <c r="K75" s="1">
        <v>11</v>
      </c>
      <c r="L75" s="1">
        <f t="shared" si="18"/>
        <v>-6</v>
      </c>
      <c r="M75" s="1"/>
      <c r="N75" s="1"/>
      <c r="O75" s="1">
        <v>80</v>
      </c>
      <c r="P75" s="1">
        <f t="shared" si="19"/>
        <v>1</v>
      </c>
      <c r="Q75" s="5"/>
      <c r="R75" s="5">
        <f t="shared" si="20"/>
        <v>0</v>
      </c>
      <c r="S75" s="16"/>
      <c r="T75" s="1">
        <f t="shared" si="21"/>
        <v>107</v>
      </c>
      <c r="U75" s="1">
        <f t="shared" si="22"/>
        <v>107</v>
      </c>
      <c r="V75" s="1">
        <v>0</v>
      </c>
      <c r="W75" s="1"/>
      <c r="X75" s="1">
        <f t="shared" si="23"/>
        <v>0</v>
      </c>
      <c r="Y75" s="1">
        <f t="shared" si="24"/>
        <v>0.3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 t="s">
        <v>102</v>
      </c>
      <c r="B76" s="1" t="s">
        <v>29</v>
      </c>
      <c r="C76" s="1">
        <v>200</v>
      </c>
      <c r="D76" s="1">
        <v>233</v>
      </c>
      <c r="E76" s="1">
        <v>131</v>
      </c>
      <c r="F76" s="1">
        <v>283</v>
      </c>
      <c r="G76" s="7">
        <v>0.28000000000000003</v>
      </c>
      <c r="H76" s="1">
        <v>50</v>
      </c>
      <c r="I76" s="1" t="s">
        <v>27</v>
      </c>
      <c r="J76" s="1"/>
      <c r="K76" s="1">
        <v>144</v>
      </c>
      <c r="L76" s="1">
        <f t="shared" si="18"/>
        <v>-13</v>
      </c>
      <c r="M76" s="1"/>
      <c r="N76" s="1"/>
      <c r="O76" s="1">
        <v>0</v>
      </c>
      <c r="P76" s="1">
        <f t="shared" si="19"/>
        <v>26.2</v>
      </c>
      <c r="Q76" s="5">
        <f t="shared" ref="Q76:Q92" si="25">15*P76-O76-F76</f>
        <v>110</v>
      </c>
      <c r="R76" s="5">
        <f t="shared" si="20"/>
        <v>110</v>
      </c>
      <c r="S76" s="16"/>
      <c r="T76" s="1">
        <f t="shared" si="21"/>
        <v>15</v>
      </c>
      <c r="U76" s="1">
        <f t="shared" si="22"/>
        <v>10.801526717557252</v>
      </c>
      <c r="V76" s="1">
        <v>0</v>
      </c>
      <c r="W76" s="1"/>
      <c r="X76" s="1">
        <f t="shared" si="23"/>
        <v>30.800000000000004</v>
      </c>
      <c r="Y76" s="1">
        <f t="shared" si="24"/>
        <v>7.3360000000000003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 t="s">
        <v>103</v>
      </c>
      <c r="B77" s="1" t="s">
        <v>29</v>
      </c>
      <c r="C77" s="1">
        <v>200</v>
      </c>
      <c r="D77" s="1">
        <v>20</v>
      </c>
      <c r="E77" s="1">
        <v>230</v>
      </c>
      <c r="F77" s="1">
        <v>-40</v>
      </c>
      <c r="G77" s="7">
        <v>0.28000000000000003</v>
      </c>
      <c r="H77" s="1">
        <v>45</v>
      </c>
      <c r="I77" s="1" t="s">
        <v>27</v>
      </c>
      <c r="J77" s="1"/>
      <c r="K77" s="1">
        <v>257</v>
      </c>
      <c r="L77" s="1">
        <f t="shared" si="18"/>
        <v>-27</v>
      </c>
      <c r="M77" s="1"/>
      <c r="N77" s="1"/>
      <c r="O77" s="1">
        <v>150</v>
      </c>
      <c r="P77" s="1">
        <f t="shared" si="19"/>
        <v>46</v>
      </c>
      <c r="Q77" s="5">
        <f>12*P77-O77-F77</f>
        <v>442</v>
      </c>
      <c r="R77" s="5">
        <f t="shared" si="20"/>
        <v>442</v>
      </c>
      <c r="S77" s="16"/>
      <c r="T77" s="1">
        <f t="shared" si="21"/>
        <v>12</v>
      </c>
      <c r="U77" s="1">
        <f t="shared" si="22"/>
        <v>2.3913043478260869</v>
      </c>
      <c r="V77" s="1">
        <v>0</v>
      </c>
      <c r="W77" s="1"/>
      <c r="X77" s="1">
        <f t="shared" si="23"/>
        <v>123.76</v>
      </c>
      <c r="Y77" s="1">
        <f t="shared" si="24"/>
        <v>12.88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3" t="s">
        <v>104</v>
      </c>
      <c r="B78" s="1" t="s">
        <v>29</v>
      </c>
      <c r="C78" s="1">
        <v>72</v>
      </c>
      <c r="D78" s="1">
        <v>343</v>
      </c>
      <c r="E78" s="1">
        <v>119</v>
      </c>
      <c r="F78" s="1">
        <v>265</v>
      </c>
      <c r="G78" s="7">
        <v>0.28000000000000003</v>
      </c>
      <c r="H78" s="1">
        <v>45</v>
      </c>
      <c r="I78" s="1" t="s">
        <v>27</v>
      </c>
      <c r="J78" s="1"/>
      <c r="K78" s="1">
        <v>217</v>
      </c>
      <c r="L78" s="1">
        <f t="shared" si="18"/>
        <v>-98</v>
      </c>
      <c r="M78" s="1"/>
      <c r="N78" s="1"/>
      <c r="O78" s="1">
        <v>150</v>
      </c>
      <c r="P78" s="1">
        <f t="shared" si="19"/>
        <v>23.8</v>
      </c>
      <c r="Q78" s="5"/>
      <c r="R78" s="5">
        <f t="shared" si="20"/>
        <v>0</v>
      </c>
      <c r="S78" s="16"/>
      <c r="T78" s="1">
        <f t="shared" si="21"/>
        <v>17.436974789915965</v>
      </c>
      <c r="U78" s="1">
        <f t="shared" si="22"/>
        <v>17.436974789915965</v>
      </c>
      <c r="V78" s="1">
        <v>0</v>
      </c>
      <c r="W78" s="1"/>
      <c r="X78" s="1">
        <f t="shared" si="23"/>
        <v>0</v>
      </c>
      <c r="Y78" s="1">
        <f t="shared" si="24"/>
        <v>6.6640000000000006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3" t="s">
        <v>105</v>
      </c>
      <c r="B79" s="1" t="s">
        <v>29</v>
      </c>
      <c r="C79" s="1">
        <v>528</v>
      </c>
      <c r="D79" s="1">
        <v>371</v>
      </c>
      <c r="E79" s="1">
        <v>212</v>
      </c>
      <c r="F79" s="1">
        <v>638</v>
      </c>
      <c r="G79" s="7">
        <v>0.4</v>
      </c>
      <c r="H79" s="1">
        <v>50</v>
      </c>
      <c r="I79" s="1" t="s">
        <v>27</v>
      </c>
      <c r="J79" s="1"/>
      <c r="K79" s="1">
        <v>253</v>
      </c>
      <c r="L79" s="1">
        <f t="shared" si="18"/>
        <v>-41</v>
      </c>
      <c r="M79" s="1"/>
      <c r="N79" s="1"/>
      <c r="O79" s="1">
        <v>46</v>
      </c>
      <c r="P79" s="1">
        <f t="shared" si="19"/>
        <v>42.4</v>
      </c>
      <c r="Q79" s="5"/>
      <c r="R79" s="5">
        <f t="shared" si="20"/>
        <v>0</v>
      </c>
      <c r="S79" s="16"/>
      <c r="T79" s="1">
        <f t="shared" si="21"/>
        <v>16.132075471698112</v>
      </c>
      <c r="U79" s="1">
        <f t="shared" si="22"/>
        <v>16.132075471698112</v>
      </c>
      <c r="V79" s="1">
        <v>0</v>
      </c>
      <c r="W79" s="1"/>
      <c r="X79" s="1">
        <f t="shared" si="23"/>
        <v>0</v>
      </c>
      <c r="Y79" s="1">
        <f t="shared" si="24"/>
        <v>16.96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3" t="s">
        <v>107</v>
      </c>
      <c r="B80" s="1" t="s">
        <v>26</v>
      </c>
      <c r="C80" s="1"/>
      <c r="D80" s="1"/>
      <c r="E80" s="1"/>
      <c r="F80" s="1"/>
      <c r="G80" s="7">
        <v>1</v>
      </c>
      <c r="H80" s="1">
        <v>30</v>
      </c>
      <c r="I80" s="1" t="s">
        <v>27</v>
      </c>
      <c r="J80" s="1"/>
      <c r="K80" s="1">
        <v>14.3</v>
      </c>
      <c r="L80" s="1">
        <f t="shared" si="18"/>
        <v>-14.3</v>
      </c>
      <c r="M80" s="1"/>
      <c r="N80" s="1"/>
      <c r="O80" s="1">
        <v>120</v>
      </c>
      <c r="P80" s="1">
        <f t="shared" si="19"/>
        <v>0</v>
      </c>
      <c r="Q80" s="5"/>
      <c r="R80" s="5">
        <v>100</v>
      </c>
      <c r="S80" s="16">
        <f>VLOOKUP(A80,[1]Sheet!$A:$R,18,0)</f>
        <v>200</v>
      </c>
      <c r="T80" s="1" t="e">
        <f t="shared" si="21"/>
        <v>#DIV/0!</v>
      </c>
      <c r="U80" s="1" t="e">
        <f t="shared" si="22"/>
        <v>#DIV/0!</v>
      </c>
      <c r="V80" s="1">
        <v>0</v>
      </c>
      <c r="W80" s="1"/>
      <c r="X80" s="1">
        <f t="shared" si="23"/>
        <v>100</v>
      </c>
      <c r="Y80" s="1">
        <f t="shared" si="24"/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3" t="s">
        <v>108</v>
      </c>
      <c r="B81" s="1" t="s">
        <v>29</v>
      </c>
      <c r="C81" s="1"/>
      <c r="D81" s="1"/>
      <c r="E81" s="1"/>
      <c r="F81" s="1"/>
      <c r="G81" s="7">
        <v>0.33800000000000002</v>
      </c>
      <c r="H81" s="1" t="s">
        <v>109</v>
      </c>
      <c r="I81" s="1" t="s">
        <v>27</v>
      </c>
      <c r="J81" s="1"/>
      <c r="K81" s="1">
        <v>20</v>
      </c>
      <c r="L81" s="1">
        <f t="shared" si="18"/>
        <v>-20</v>
      </c>
      <c r="M81" s="1"/>
      <c r="N81" s="1"/>
      <c r="O81" s="1">
        <v>200</v>
      </c>
      <c r="P81" s="1">
        <f t="shared" si="19"/>
        <v>0</v>
      </c>
      <c r="Q81" s="5"/>
      <c r="R81" s="5">
        <v>50</v>
      </c>
      <c r="S81" s="16">
        <f>VLOOKUP(A81,[1]Sheet!$A:$R,18,0)</f>
        <v>100</v>
      </c>
      <c r="T81" s="1" t="e">
        <f t="shared" si="21"/>
        <v>#DIV/0!</v>
      </c>
      <c r="U81" s="1" t="e">
        <f t="shared" si="22"/>
        <v>#DIV/0!</v>
      </c>
      <c r="V81" s="1">
        <v>0</v>
      </c>
      <c r="W81" s="1"/>
      <c r="X81" s="1">
        <f t="shared" si="23"/>
        <v>16.900000000000002</v>
      </c>
      <c r="Y81" s="1">
        <f t="shared" si="24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3" t="s">
        <v>110</v>
      </c>
      <c r="B82" s="1" t="s">
        <v>29</v>
      </c>
      <c r="C82" s="1"/>
      <c r="D82" s="1"/>
      <c r="E82" s="1"/>
      <c r="F82" s="1"/>
      <c r="G82" s="7">
        <v>0.32500000000000001</v>
      </c>
      <c r="H82" s="1" t="s">
        <v>109</v>
      </c>
      <c r="I82" s="1" t="s">
        <v>27</v>
      </c>
      <c r="J82" s="1"/>
      <c r="K82" s="1">
        <v>60</v>
      </c>
      <c r="L82" s="1">
        <f t="shared" si="18"/>
        <v>-60</v>
      </c>
      <c r="M82" s="1"/>
      <c r="N82" s="1"/>
      <c r="O82" s="1">
        <v>200</v>
      </c>
      <c r="P82" s="1">
        <f t="shared" si="19"/>
        <v>0</v>
      </c>
      <c r="Q82" s="5"/>
      <c r="R82" s="5">
        <v>50</v>
      </c>
      <c r="S82" s="16">
        <f>VLOOKUP(A82,[1]Sheet!$A:$R,18,0)</f>
        <v>100</v>
      </c>
      <c r="T82" s="1" t="e">
        <f t="shared" si="21"/>
        <v>#DIV/0!</v>
      </c>
      <c r="U82" s="1" t="e">
        <f t="shared" si="22"/>
        <v>#DIV/0!</v>
      </c>
      <c r="V82" s="1">
        <v>0</v>
      </c>
      <c r="W82" s="1"/>
      <c r="X82" s="1">
        <f t="shared" si="23"/>
        <v>16.25</v>
      </c>
      <c r="Y82" s="1">
        <f t="shared" si="24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3" t="s">
        <v>111</v>
      </c>
      <c r="B83" s="1" t="s">
        <v>29</v>
      </c>
      <c r="C83" s="1">
        <v>32</v>
      </c>
      <c r="D83" s="1">
        <v>328</v>
      </c>
      <c r="E83" s="1">
        <v>81</v>
      </c>
      <c r="F83" s="1">
        <v>269</v>
      </c>
      <c r="G83" s="7">
        <v>0.12</v>
      </c>
      <c r="H83" s="1">
        <v>60</v>
      </c>
      <c r="I83" s="1" t="s">
        <v>27</v>
      </c>
      <c r="J83" s="1"/>
      <c r="K83" s="1">
        <v>119</v>
      </c>
      <c r="L83" s="1">
        <f t="shared" si="18"/>
        <v>-38</v>
      </c>
      <c r="M83" s="1"/>
      <c r="N83" s="1"/>
      <c r="O83" s="1">
        <v>70</v>
      </c>
      <c r="P83" s="1">
        <f t="shared" si="19"/>
        <v>16.2</v>
      </c>
      <c r="Q83" s="5"/>
      <c r="R83" s="5">
        <f t="shared" si="20"/>
        <v>0</v>
      </c>
      <c r="S83" s="16"/>
      <c r="T83" s="1">
        <f t="shared" si="21"/>
        <v>20.925925925925927</v>
      </c>
      <c r="U83" s="1">
        <f t="shared" si="22"/>
        <v>20.925925925925927</v>
      </c>
      <c r="V83" s="1">
        <v>0</v>
      </c>
      <c r="W83" s="1"/>
      <c r="X83" s="1">
        <f t="shared" si="23"/>
        <v>0</v>
      </c>
      <c r="Y83" s="1">
        <f t="shared" si="24"/>
        <v>1.944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3" t="s">
        <v>112</v>
      </c>
      <c r="B84" s="1" t="s">
        <v>29</v>
      </c>
      <c r="C84" s="1"/>
      <c r="D84" s="1"/>
      <c r="E84" s="1"/>
      <c r="F84" s="1"/>
      <c r="G84" s="7">
        <v>0.15</v>
      </c>
      <c r="H84" s="1">
        <v>90</v>
      </c>
      <c r="I84" s="1" t="s">
        <v>27</v>
      </c>
      <c r="J84" s="1"/>
      <c r="K84" s="1">
        <v>31</v>
      </c>
      <c r="L84" s="1">
        <f t="shared" si="18"/>
        <v>-31</v>
      </c>
      <c r="M84" s="1"/>
      <c r="N84" s="1"/>
      <c r="O84" s="1">
        <v>200</v>
      </c>
      <c r="P84" s="1">
        <f t="shared" si="19"/>
        <v>0</v>
      </c>
      <c r="Q84" s="5"/>
      <c r="R84" s="5">
        <v>100</v>
      </c>
      <c r="S84" s="16">
        <f>VLOOKUP(A84,[1]Sheet!$A:$R,18,0)</f>
        <v>150</v>
      </c>
      <c r="T84" s="1" t="e">
        <f t="shared" si="21"/>
        <v>#DIV/0!</v>
      </c>
      <c r="U84" s="1" t="e">
        <f t="shared" si="22"/>
        <v>#DIV/0!</v>
      </c>
      <c r="V84" s="1">
        <v>0</v>
      </c>
      <c r="W84" s="1"/>
      <c r="X84" s="1">
        <f t="shared" si="23"/>
        <v>15</v>
      </c>
      <c r="Y84" s="1">
        <f t="shared" si="24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3" t="s">
        <v>113</v>
      </c>
      <c r="B85" s="1" t="s">
        <v>29</v>
      </c>
      <c r="C85" s="1"/>
      <c r="D85" s="1"/>
      <c r="E85" s="1"/>
      <c r="F85" s="1"/>
      <c r="G85" s="7">
        <v>0.15</v>
      </c>
      <c r="H85" s="1">
        <v>90</v>
      </c>
      <c r="I85" s="1" t="s">
        <v>27</v>
      </c>
      <c r="J85" s="1"/>
      <c r="K85" s="1">
        <v>37</v>
      </c>
      <c r="L85" s="1">
        <f t="shared" si="18"/>
        <v>-37</v>
      </c>
      <c r="M85" s="1"/>
      <c r="N85" s="1"/>
      <c r="O85" s="1">
        <v>70</v>
      </c>
      <c r="P85" s="1">
        <f t="shared" si="19"/>
        <v>0</v>
      </c>
      <c r="Q85" s="5"/>
      <c r="R85" s="5">
        <v>100</v>
      </c>
      <c r="S85" s="16">
        <f>VLOOKUP(A85,[1]Sheet!$A:$R,18,0)</f>
        <v>250</v>
      </c>
      <c r="T85" s="1" t="e">
        <f t="shared" si="21"/>
        <v>#DIV/0!</v>
      </c>
      <c r="U85" s="1" t="e">
        <f t="shared" si="22"/>
        <v>#DIV/0!</v>
      </c>
      <c r="V85" s="1">
        <v>0</v>
      </c>
      <c r="W85" s="1"/>
      <c r="X85" s="1">
        <f t="shared" si="23"/>
        <v>15</v>
      </c>
      <c r="Y85" s="1">
        <f t="shared" si="24"/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3" t="s">
        <v>106</v>
      </c>
      <c r="B86" s="1" t="s">
        <v>29</v>
      </c>
      <c r="C86" s="1">
        <v>72</v>
      </c>
      <c r="D86" s="1">
        <v>39</v>
      </c>
      <c r="E86" s="1">
        <v>32</v>
      </c>
      <c r="F86" s="1">
        <v>71</v>
      </c>
      <c r="G86" s="7">
        <v>0.33</v>
      </c>
      <c r="H86" s="1">
        <v>30</v>
      </c>
      <c r="I86" s="1" t="s">
        <v>27</v>
      </c>
      <c r="J86" s="1"/>
      <c r="K86" s="1">
        <v>52</v>
      </c>
      <c r="L86" s="1">
        <f t="shared" si="18"/>
        <v>-20</v>
      </c>
      <c r="M86" s="1"/>
      <c r="N86" s="1"/>
      <c r="O86" s="1">
        <v>77</v>
      </c>
      <c r="P86" s="1">
        <f t="shared" si="19"/>
        <v>6.4</v>
      </c>
      <c r="Q86" s="5"/>
      <c r="R86" s="5">
        <f t="shared" si="20"/>
        <v>0</v>
      </c>
      <c r="S86" s="16"/>
      <c r="T86" s="1">
        <f t="shared" si="21"/>
        <v>23.125</v>
      </c>
      <c r="U86" s="1">
        <f t="shared" si="22"/>
        <v>23.125</v>
      </c>
      <c r="V86" s="1">
        <v>0</v>
      </c>
      <c r="W86" s="14" t="s">
        <v>34</v>
      </c>
      <c r="X86" s="1">
        <f t="shared" si="23"/>
        <v>0</v>
      </c>
      <c r="Y86" s="1">
        <f t="shared" si="24"/>
        <v>2.1120000000000001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3" t="s">
        <v>114</v>
      </c>
      <c r="B87" s="1" t="s">
        <v>29</v>
      </c>
      <c r="C87" s="1"/>
      <c r="D87" s="1"/>
      <c r="E87" s="1"/>
      <c r="F87" s="1"/>
      <c r="G87" s="7">
        <v>0.15</v>
      </c>
      <c r="H87" s="1">
        <v>60</v>
      </c>
      <c r="I87" s="1" t="s">
        <v>27</v>
      </c>
      <c r="J87" s="1"/>
      <c r="K87" s="1">
        <v>43</v>
      </c>
      <c r="L87" s="1">
        <f t="shared" si="18"/>
        <v>-43</v>
      </c>
      <c r="M87" s="1"/>
      <c r="N87" s="1"/>
      <c r="O87" s="1">
        <v>200</v>
      </c>
      <c r="P87" s="1">
        <f t="shared" si="19"/>
        <v>0</v>
      </c>
      <c r="Q87" s="5"/>
      <c r="R87" s="5">
        <v>150</v>
      </c>
      <c r="S87" s="16">
        <f>VLOOKUP(A87,[1]Sheet!$A:$R,18,0)</f>
        <v>300</v>
      </c>
      <c r="T87" s="1" t="e">
        <f t="shared" si="21"/>
        <v>#DIV/0!</v>
      </c>
      <c r="U87" s="1" t="e">
        <f t="shared" si="22"/>
        <v>#DIV/0!</v>
      </c>
      <c r="V87" s="1">
        <v>0</v>
      </c>
      <c r="W87" s="1"/>
      <c r="X87" s="1">
        <f t="shared" si="23"/>
        <v>22.5</v>
      </c>
      <c r="Y87" s="1">
        <f t="shared" si="24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3" t="s">
        <v>115</v>
      </c>
      <c r="B88" s="1" t="s">
        <v>29</v>
      </c>
      <c r="C88" s="1"/>
      <c r="D88" s="1"/>
      <c r="E88" s="1"/>
      <c r="F88" s="1"/>
      <c r="G88" s="7">
        <v>0.26</v>
      </c>
      <c r="H88" s="1">
        <v>45</v>
      </c>
      <c r="I88" s="1" t="s">
        <v>27</v>
      </c>
      <c r="J88" s="1"/>
      <c r="K88" s="1">
        <v>63</v>
      </c>
      <c r="L88" s="1">
        <f t="shared" si="18"/>
        <v>-63</v>
      </c>
      <c r="M88" s="1"/>
      <c r="N88" s="1"/>
      <c r="O88" s="1">
        <v>200</v>
      </c>
      <c r="P88" s="1">
        <f t="shared" si="19"/>
        <v>0</v>
      </c>
      <c r="Q88" s="5"/>
      <c r="R88" s="5">
        <f t="shared" si="20"/>
        <v>0</v>
      </c>
      <c r="S88" s="16"/>
      <c r="T88" s="1" t="e">
        <f t="shared" si="21"/>
        <v>#DIV/0!</v>
      </c>
      <c r="U88" s="1" t="e">
        <f t="shared" si="22"/>
        <v>#DIV/0!</v>
      </c>
      <c r="V88" s="1">
        <v>0</v>
      </c>
      <c r="W88" s="1"/>
      <c r="X88" s="1">
        <f t="shared" si="23"/>
        <v>0</v>
      </c>
      <c r="Y88" s="1">
        <f t="shared" si="24"/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3" t="s">
        <v>116</v>
      </c>
      <c r="B89" s="1" t="s">
        <v>26</v>
      </c>
      <c r="C89" s="1"/>
      <c r="D89" s="1"/>
      <c r="E89" s="1"/>
      <c r="F89" s="1"/>
      <c r="G89" s="7">
        <v>1</v>
      </c>
      <c r="H89" s="1">
        <v>30</v>
      </c>
      <c r="I89" s="1" t="s">
        <v>27</v>
      </c>
      <c r="J89" s="1"/>
      <c r="K89" s="1"/>
      <c r="L89" s="1">
        <f t="shared" si="18"/>
        <v>0</v>
      </c>
      <c r="M89" s="1"/>
      <c r="N89" s="1"/>
      <c r="O89" s="1">
        <v>50</v>
      </c>
      <c r="P89" s="1">
        <f t="shared" si="19"/>
        <v>0</v>
      </c>
      <c r="Q89" s="5"/>
      <c r="R89" s="5">
        <f t="shared" ref="R89:R90" si="26">S89</f>
        <v>50</v>
      </c>
      <c r="S89" s="16">
        <f>VLOOKUP(A89,[1]Sheet!$A:$R,18,0)</f>
        <v>50</v>
      </c>
      <c r="T89" s="1" t="e">
        <f t="shared" si="21"/>
        <v>#DIV/0!</v>
      </c>
      <c r="U89" s="1" t="e">
        <f t="shared" si="22"/>
        <v>#DIV/0!</v>
      </c>
      <c r="V89" s="1">
        <v>0</v>
      </c>
      <c r="W89" s="1"/>
      <c r="X89" s="1">
        <f t="shared" si="23"/>
        <v>50</v>
      </c>
      <c r="Y89" s="1">
        <f t="shared" si="24"/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3" t="s">
        <v>117</v>
      </c>
      <c r="B90" s="1" t="s">
        <v>29</v>
      </c>
      <c r="C90" s="1"/>
      <c r="D90" s="1"/>
      <c r="E90" s="1"/>
      <c r="F90" s="1"/>
      <c r="G90" s="7">
        <v>0.31</v>
      </c>
      <c r="H90" s="1">
        <v>45</v>
      </c>
      <c r="I90" s="1" t="s">
        <v>27</v>
      </c>
      <c r="J90" s="1"/>
      <c r="K90" s="1">
        <v>54</v>
      </c>
      <c r="L90" s="1">
        <f t="shared" ref="L90:L103" si="27">E90-K90</f>
        <v>-54</v>
      </c>
      <c r="M90" s="1"/>
      <c r="N90" s="1"/>
      <c r="O90" s="1">
        <v>115</v>
      </c>
      <c r="P90" s="1">
        <f t="shared" si="19"/>
        <v>0</v>
      </c>
      <c r="Q90" s="5"/>
      <c r="R90" s="5">
        <f t="shared" si="26"/>
        <v>200</v>
      </c>
      <c r="S90" s="16">
        <f>VLOOKUP(A90,[1]Sheet!$A:$R,18,0)</f>
        <v>200</v>
      </c>
      <c r="T90" s="1" t="e">
        <f t="shared" si="21"/>
        <v>#DIV/0!</v>
      </c>
      <c r="U90" s="1" t="e">
        <f t="shared" si="22"/>
        <v>#DIV/0!</v>
      </c>
      <c r="V90" s="1">
        <v>0</v>
      </c>
      <c r="W90" s="1"/>
      <c r="X90" s="1">
        <f t="shared" si="23"/>
        <v>62</v>
      </c>
      <c r="Y90" s="1">
        <f t="shared" si="24"/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3" t="s">
        <v>118</v>
      </c>
      <c r="B91" s="1" t="s">
        <v>26</v>
      </c>
      <c r="C91" s="1"/>
      <c r="D91" s="1"/>
      <c r="E91" s="1"/>
      <c r="F91" s="1"/>
      <c r="G91" s="7">
        <v>1</v>
      </c>
      <c r="H91" s="1">
        <v>30</v>
      </c>
      <c r="I91" s="1" t="s">
        <v>27</v>
      </c>
      <c r="J91" s="1"/>
      <c r="K91" s="1"/>
      <c r="L91" s="1">
        <f t="shared" si="27"/>
        <v>0</v>
      </c>
      <c r="M91" s="1"/>
      <c r="N91" s="1"/>
      <c r="O91" s="1">
        <v>50</v>
      </c>
      <c r="P91" s="1">
        <f t="shared" si="19"/>
        <v>0</v>
      </c>
      <c r="Q91" s="5"/>
      <c r="R91" s="5">
        <v>40</v>
      </c>
      <c r="S91" s="16">
        <f>VLOOKUP(A91,[1]Sheet!$A:$R,18,0)</f>
        <v>50</v>
      </c>
      <c r="T91" s="1" t="e">
        <f t="shared" si="21"/>
        <v>#DIV/0!</v>
      </c>
      <c r="U91" s="1" t="e">
        <f t="shared" si="22"/>
        <v>#DIV/0!</v>
      </c>
      <c r="V91" s="1">
        <v>0</v>
      </c>
      <c r="W91" s="1"/>
      <c r="X91" s="1">
        <f t="shared" si="23"/>
        <v>40</v>
      </c>
      <c r="Y91" s="1">
        <f t="shared" si="24"/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 t="s">
        <v>119</v>
      </c>
      <c r="B92" s="1" t="s">
        <v>29</v>
      </c>
      <c r="C92" s="1">
        <v>132</v>
      </c>
      <c r="D92" s="1">
        <v>47</v>
      </c>
      <c r="E92" s="1">
        <v>100</v>
      </c>
      <c r="F92" s="1">
        <v>66</v>
      </c>
      <c r="G92" s="7">
        <v>0.4</v>
      </c>
      <c r="H92" s="1">
        <v>60</v>
      </c>
      <c r="I92" s="1" t="s">
        <v>27</v>
      </c>
      <c r="J92" s="1"/>
      <c r="K92" s="1">
        <v>112</v>
      </c>
      <c r="L92" s="1">
        <f t="shared" si="27"/>
        <v>-12</v>
      </c>
      <c r="M92" s="1"/>
      <c r="N92" s="1"/>
      <c r="O92" s="1">
        <v>200</v>
      </c>
      <c r="P92" s="1">
        <f t="shared" si="19"/>
        <v>20</v>
      </c>
      <c r="Q92" s="5">
        <f t="shared" si="25"/>
        <v>34</v>
      </c>
      <c r="R92" s="5">
        <f t="shared" si="20"/>
        <v>34</v>
      </c>
      <c r="S92" s="16"/>
      <c r="T92" s="1">
        <f t="shared" si="21"/>
        <v>15</v>
      </c>
      <c r="U92" s="1">
        <f t="shared" si="22"/>
        <v>13.3</v>
      </c>
      <c r="V92" s="1">
        <v>0</v>
      </c>
      <c r="W92" s="1"/>
      <c r="X92" s="1">
        <f t="shared" si="23"/>
        <v>13.600000000000001</v>
      </c>
      <c r="Y92" s="1">
        <f t="shared" si="24"/>
        <v>8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 t="s">
        <v>120</v>
      </c>
      <c r="B93" s="1" t="s">
        <v>29</v>
      </c>
      <c r="C93" s="1"/>
      <c r="D93" s="1">
        <v>56</v>
      </c>
      <c r="E93" s="1">
        <v>35</v>
      </c>
      <c r="F93" s="1">
        <v>20</v>
      </c>
      <c r="G93" s="7">
        <v>0.35</v>
      </c>
      <c r="H93" s="1">
        <v>60</v>
      </c>
      <c r="I93" s="1" t="s">
        <v>27</v>
      </c>
      <c r="J93" s="1"/>
      <c r="K93" s="1">
        <v>39</v>
      </c>
      <c r="L93" s="1">
        <f t="shared" si="27"/>
        <v>-4</v>
      </c>
      <c r="M93" s="1"/>
      <c r="N93" s="1"/>
      <c r="O93" s="1">
        <v>0</v>
      </c>
      <c r="P93" s="1">
        <f t="shared" si="19"/>
        <v>7</v>
      </c>
      <c r="Q93" s="5">
        <f>13*P93-O93-F93</f>
        <v>71</v>
      </c>
      <c r="R93" s="5">
        <f t="shared" si="20"/>
        <v>71</v>
      </c>
      <c r="S93" s="16"/>
      <c r="T93" s="1">
        <f t="shared" si="21"/>
        <v>13</v>
      </c>
      <c r="U93" s="1">
        <f t="shared" si="22"/>
        <v>2.8571428571428572</v>
      </c>
      <c r="V93" s="1">
        <v>0</v>
      </c>
      <c r="W93" s="1"/>
      <c r="X93" s="1">
        <f t="shared" si="23"/>
        <v>24.849999999999998</v>
      </c>
      <c r="Y93" s="1">
        <f t="shared" si="24"/>
        <v>2.4499999999999997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3" t="s">
        <v>121</v>
      </c>
      <c r="B94" s="1" t="s">
        <v>26</v>
      </c>
      <c r="C94" s="1">
        <v>52.542000000000002</v>
      </c>
      <c r="D94" s="1">
        <v>0.314</v>
      </c>
      <c r="E94" s="1">
        <v>15.609</v>
      </c>
      <c r="F94" s="1">
        <v>33.783000000000001</v>
      </c>
      <c r="G94" s="7">
        <v>1</v>
      </c>
      <c r="H94" s="1">
        <v>45</v>
      </c>
      <c r="I94" s="1" t="s">
        <v>27</v>
      </c>
      <c r="J94" s="1"/>
      <c r="K94" s="1">
        <v>16</v>
      </c>
      <c r="L94" s="1">
        <f t="shared" si="27"/>
        <v>-0.39100000000000001</v>
      </c>
      <c r="M94" s="1"/>
      <c r="N94" s="1"/>
      <c r="O94" s="1">
        <v>100</v>
      </c>
      <c r="P94" s="1">
        <f t="shared" si="19"/>
        <v>3.1217999999999999</v>
      </c>
      <c r="Q94" s="5"/>
      <c r="R94" s="5">
        <f t="shared" si="20"/>
        <v>0</v>
      </c>
      <c r="S94" s="16"/>
      <c r="T94" s="1">
        <f t="shared" si="21"/>
        <v>42.854442949580374</v>
      </c>
      <c r="U94" s="1">
        <f t="shared" si="22"/>
        <v>42.854442949580374</v>
      </c>
      <c r="V94" s="1">
        <v>0</v>
      </c>
      <c r="W94" s="14" t="s">
        <v>34</v>
      </c>
      <c r="X94" s="1">
        <f t="shared" si="23"/>
        <v>0</v>
      </c>
      <c r="Y94" s="1">
        <f t="shared" si="24"/>
        <v>3.1217999999999999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3" t="s">
        <v>122</v>
      </c>
      <c r="B95" s="1" t="s">
        <v>26</v>
      </c>
      <c r="C95" s="1"/>
      <c r="D95" s="1"/>
      <c r="E95" s="1"/>
      <c r="F95" s="1"/>
      <c r="G95" s="7">
        <v>1</v>
      </c>
      <c r="H95" s="1">
        <v>45</v>
      </c>
      <c r="I95" s="1" t="s">
        <v>27</v>
      </c>
      <c r="J95" s="1"/>
      <c r="K95" s="1">
        <v>31.88</v>
      </c>
      <c r="L95" s="1">
        <f t="shared" si="27"/>
        <v>-31.88</v>
      </c>
      <c r="M95" s="1"/>
      <c r="N95" s="1"/>
      <c r="O95" s="1">
        <v>0</v>
      </c>
      <c r="P95" s="1">
        <f t="shared" si="19"/>
        <v>0</v>
      </c>
      <c r="Q95" s="5">
        <v>30</v>
      </c>
      <c r="R95" s="5">
        <f t="shared" si="20"/>
        <v>30</v>
      </c>
      <c r="S95" s="16"/>
      <c r="T95" s="1" t="e">
        <f t="shared" si="21"/>
        <v>#DIV/0!</v>
      </c>
      <c r="U95" s="1" t="e">
        <f t="shared" si="22"/>
        <v>#DIV/0!</v>
      </c>
      <c r="V95" s="1">
        <v>0</v>
      </c>
      <c r="W95" s="1"/>
      <c r="X95" s="1">
        <f t="shared" si="23"/>
        <v>30</v>
      </c>
      <c r="Y95" s="1">
        <f t="shared" si="24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3" t="s">
        <v>123</v>
      </c>
      <c r="B96" s="1" t="s">
        <v>29</v>
      </c>
      <c r="C96" s="1"/>
      <c r="D96" s="1"/>
      <c r="E96" s="1"/>
      <c r="F96" s="1"/>
      <c r="G96" s="7">
        <v>0.33</v>
      </c>
      <c r="H96" s="1">
        <v>45</v>
      </c>
      <c r="I96" s="1" t="s">
        <v>27</v>
      </c>
      <c r="J96" s="1"/>
      <c r="K96" s="1">
        <v>105</v>
      </c>
      <c r="L96" s="1">
        <f t="shared" si="27"/>
        <v>-105</v>
      </c>
      <c r="M96" s="1"/>
      <c r="N96" s="1"/>
      <c r="O96" s="1">
        <v>200</v>
      </c>
      <c r="P96" s="1">
        <f t="shared" si="19"/>
        <v>0</v>
      </c>
      <c r="Q96" s="5"/>
      <c r="R96" s="5">
        <f t="shared" si="20"/>
        <v>0</v>
      </c>
      <c r="S96" s="16"/>
      <c r="T96" s="1" t="e">
        <f t="shared" si="21"/>
        <v>#DIV/0!</v>
      </c>
      <c r="U96" s="1" t="e">
        <f t="shared" si="22"/>
        <v>#DIV/0!</v>
      </c>
      <c r="V96" s="1">
        <v>0</v>
      </c>
      <c r="W96" s="1"/>
      <c r="X96" s="1">
        <f t="shared" si="23"/>
        <v>0</v>
      </c>
      <c r="Y96" s="1">
        <f t="shared" si="24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3" t="s">
        <v>124</v>
      </c>
      <c r="B97" s="1" t="s">
        <v>29</v>
      </c>
      <c r="C97" s="1"/>
      <c r="D97" s="1">
        <v>1</v>
      </c>
      <c r="E97" s="1">
        <v>1</v>
      </c>
      <c r="F97" s="1">
        <v>-1</v>
      </c>
      <c r="G97" s="7">
        <v>0.1</v>
      </c>
      <c r="H97" s="1">
        <v>60</v>
      </c>
      <c r="I97" s="1" t="s">
        <v>27</v>
      </c>
      <c r="J97" s="1"/>
      <c r="K97" s="1">
        <v>127</v>
      </c>
      <c r="L97" s="1">
        <f t="shared" si="27"/>
        <v>-126</v>
      </c>
      <c r="M97" s="1"/>
      <c r="N97" s="1"/>
      <c r="O97" s="1">
        <v>150</v>
      </c>
      <c r="P97" s="1">
        <f t="shared" si="19"/>
        <v>0.2</v>
      </c>
      <c r="Q97" s="5"/>
      <c r="R97" s="5">
        <f t="shared" si="20"/>
        <v>0</v>
      </c>
      <c r="S97" s="16"/>
      <c r="T97" s="1">
        <f t="shared" si="21"/>
        <v>745</v>
      </c>
      <c r="U97" s="1">
        <f t="shared" si="22"/>
        <v>745</v>
      </c>
      <c r="V97" s="1">
        <v>0</v>
      </c>
      <c r="W97" s="1"/>
      <c r="X97" s="1">
        <f t="shared" si="23"/>
        <v>0</v>
      </c>
      <c r="Y97" s="1">
        <f t="shared" si="24"/>
        <v>2.0000000000000004E-2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3" t="s">
        <v>58</v>
      </c>
      <c r="B98" s="1" t="s">
        <v>29</v>
      </c>
      <c r="C98" s="1"/>
      <c r="D98" s="1">
        <v>1</v>
      </c>
      <c r="E98" s="1">
        <v>1</v>
      </c>
      <c r="F98" s="1">
        <v>-1</v>
      </c>
      <c r="G98" s="7">
        <v>0.1</v>
      </c>
      <c r="H98" s="1">
        <v>60</v>
      </c>
      <c r="I98" s="1" t="s">
        <v>27</v>
      </c>
      <c r="J98" s="1"/>
      <c r="K98" s="1">
        <v>202</v>
      </c>
      <c r="L98" s="1">
        <f t="shared" si="27"/>
        <v>-201</v>
      </c>
      <c r="M98" s="1"/>
      <c r="N98" s="1"/>
      <c r="O98" s="1">
        <v>100</v>
      </c>
      <c r="P98" s="1">
        <f t="shared" si="19"/>
        <v>0.2</v>
      </c>
      <c r="Q98" s="5"/>
      <c r="R98" s="5">
        <f t="shared" si="20"/>
        <v>0</v>
      </c>
      <c r="S98" s="16"/>
      <c r="T98" s="1">
        <f t="shared" si="21"/>
        <v>495</v>
      </c>
      <c r="U98" s="1">
        <f t="shared" si="22"/>
        <v>495</v>
      </c>
      <c r="V98" s="1">
        <v>0</v>
      </c>
      <c r="W98" s="1"/>
      <c r="X98" s="1">
        <f t="shared" si="23"/>
        <v>0</v>
      </c>
      <c r="Y98" s="1">
        <f t="shared" si="24"/>
        <v>2.0000000000000004E-2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3" t="s">
        <v>125</v>
      </c>
      <c r="B99" s="1" t="s">
        <v>29</v>
      </c>
      <c r="C99" s="1">
        <v>168</v>
      </c>
      <c r="D99" s="1">
        <v>174</v>
      </c>
      <c r="E99" s="1">
        <v>93</v>
      </c>
      <c r="F99" s="1">
        <v>229</v>
      </c>
      <c r="G99" s="7">
        <v>0.4</v>
      </c>
      <c r="H99" s="1">
        <v>60</v>
      </c>
      <c r="I99" s="1" t="s">
        <v>27</v>
      </c>
      <c r="J99" s="1"/>
      <c r="K99" s="1">
        <v>111</v>
      </c>
      <c r="L99" s="1">
        <f t="shared" si="27"/>
        <v>-18</v>
      </c>
      <c r="M99" s="1"/>
      <c r="N99" s="1"/>
      <c r="O99" s="1">
        <v>55</v>
      </c>
      <c r="P99" s="1">
        <f t="shared" si="19"/>
        <v>18.600000000000001</v>
      </c>
      <c r="Q99" s="5"/>
      <c r="R99" s="5">
        <f t="shared" si="20"/>
        <v>0</v>
      </c>
      <c r="S99" s="16"/>
      <c r="T99" s="1">
        <f t="shared" si="21"/>
        <v>15.268817204301074</v>
      </c>
      <c r="U99" s="1">
        <f t="shared" si="22"/>
        <v>15.268817204301074</v>
      </c>
      <c r="V99" s="1">
        <v>0</v>
      </c>
      <c r="W99" s="1"/>
      <c r="X99" s="1">
        <f t="shared" si="23"/>
        <v>0</v>
      </c>
      <c r="Y99" s="1">
        <f t="shared" si="24"/>
        <v>7.4400000000000013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3" t="s">
        <v>126</v>
      </c>
      <c r="B100" s="1" t="s">
        <v>29</v>
      </c>
      <c r="C100" s="1">
        <v>56</v>
      </c>
      <c r="D100" s="1"/>
      <c r="E100" s="1">
        <v>4</v>
      </c>
      <c r="F100" s="1">
        <v>52</v>
      </c>
      <c r="G100" s="7">
        <v>0.1</v>
      </c>
      <c r="H100" s="1"/>
      <c r="I100" s="1" t="s">
        <v>134</v>
      </c>
      <c r="J100" s="1"/>
      <c r="K100" s="1">
        <v>4</v>
      </c>
      <c r="L100" s="1">
        <f t="shared" si="27"/>
        <v>0</v>
      </c>
      <c r="M100" s="1"/>
      <c r="N100" s="1"/>
      <c r="O100" s="1">
        <v>0</v>
      </c>
      <c r="P100" s="1">
        <f t="shared" si="19"/>
        <v>0.8</v>
      </c>
      <c r="Q100" s="5"/>
      <c r="R100" s="5"/>
      <c r="S100" s="16">
        <f>VLOOKUP(A100,[1]Sheet!$A:$R,18,0)</f>
        <v>150</v>
      </c>
      <c r="T100" s="1">
        <f t="shared" si="21"/>
        <v>65</v>
      </c>
      <c r="U100" s="1">
        <f t="shared" si="22"/>
        <v>65</v>
      </c>
      <c r="V100" s="1">
        <v>0</v>
      </c>
      <c r="W100" s="15" t="s">
        <v>30</v>
      </c>
      <c r="X100" s="1">
        <f t="shared" si="23"/>
        <v>0</v>
      </c>
      <c r="Y100" s="1">
        <f t="shared" si="24"/>
        <v>8.0000000000000016E-2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3" t="s">
        <v>127</v>
      </c>
      <c r="B101" s="1" t="s">
        <v>29</v>
      </c>
      <c r="C101" s="1">
        <v>56</v>
      </c>
      <c r="D101" s="1"/>
      <c r="E101" s="1">
        <v>4</v>
      </c>
      <c r="F101" s="1">
        <v>52</v>
      </c>
      <c r="G101" s="7">
        <v>0.1</v>
      </c>
      <c r="H101" s="1"/>
      <c r="I101" s="1" t="s">
        <v>135</v>
      </c>
      <c r="J101" s="1"/>
      <c r="K101" s="1">
        <v>4</v>
      </c>
      <c r="L101" s="1">
        <f t="shared" si="27"/>
        <v>0</v>
      </c>
      <c r="M101" s="1"/>
      <c r="N101" s="1"/>
      <c r="O101" s="1">
        <v>4</v>
      </c>
      <c r="P101" s="1">
        <f t="shared" si="19"/>
        <v>0.8</v>
      </c>
      <c r="Q101" s="5"/>
      <c r="R101" s="5"/>
      <c r="S101" s="16">
        <f>VLOOKUP(A101,[1]Sheet!$A:$R,18,0)</f>
        <v>150</v>
      </c>
      <c r="T101" s="1">
        <f t="shared" si="21"/>
        <v>70</v>
      </c>
      <c r="U101" s="1">
        <f t="shared" si="22"/>
        <v>70</v>
      </c>
      <c r="V101" s="1">
        <v>0</v>
      </c>
      <c r="W101" s="15" t="s">
        <v>30</v>
      </c>
      <c r="X101" s="1">
        <f t="shared" si="23"/>
        <v>0</v>
      </c>
      <c r="Y101" s="1">
        <f t="shared" si="24"/>
        <v>8.0000000000000016E-2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3" t="s">
        <v>128</v>
      </c>
      <c r="B102" s="1" t="s">
        <v>29</v>
      </c>
      <c r="C102" s="1">
        <v>56</v>
      </c>
      <c r="D102" s="1">
        <v>4</v>
      </c>
      <c r="E102" s="1">
        <v>25</v>
      </c>
      <c r="F102" s="1">
        <v>31</v>
      </c>
      <c r="G102" s="7">
        <v>0.3</v>
      </c>
      <c r="H102" s="1">
        <v>45</v>
      </c>
      <c r="I102" s="1" t="s">
        <v>27</v>
      </c>
      <c r="J102" s="1"/>
      <c r="K102" s="1">
        <v>31</v>
      </c>
      <c r="L102" s="1">
        <f t="shared" si="27"/>
        <v>-6</v>
      </c>
      <c r="M102" s="1"/>
      <c r="N102" s="1"/>
      <c r="O102" s="1">
        <v>150</v>
      </c>
      <c r="P102" s="1">
        <f t="shared" si="19"/>
        <v>5</v>
      </c>
      <c r="Q102" s="5"/>
      <c r="R102" s="5">
        <v>30</v>
      </c>
      <c r="S102" s="16">
        <f>VLOOKUP(A102,[1]Sheet!$A:$R,18,0)</f>
        <v>150</v>
      </c>
      <c r="T102" s="1">
        <f t="shared" si="21"/>
        <v>42.2</v>
      </c>
      <c r="U102" s="1">
        <f t="shared" si="22"/>
        <v>36.200000000000003</v>
      </c>
      <c r="V102" s="1">
        <v>0</v>
      </c>
      <c r="W102" s="14" t="s">
        <v>34</v>
      </c>
      <c r="X102" s="1">
        <f t="shared" si="23"/>
        <v>9</v>
      </c>
      <c r="Y102" s="1">
        <f t="shared" si="24"/>
        <v>1.5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2" t="s">
        <v>130</v>
      </c>
      <c r="B103" s="9" t="s">
        <v>26</v>
      </c>
      <c r="C103" s="9"/>
      <c r="D103" s="9"/>
      <c r="E103" s="9"/>
      <c r="F103" s="9"/>
      <c r="G103" s="10">
        <v>0</v>
      </c>
      <c r="H103" s="9"/>
      <c r="I103" s="9" t="s">
        <v>27</v>
      </c>
      <c r="J103" s="9"/>
      <c r="K103" s="9"/>
      <c r="L103" s="9">
        <f t="shared" si="27"/>
        <v>0</v>
      </c>
      <c r="M103" s="9"/>
      <c r="N103" s="9"/>
      <c r="O103" s="9">
        <v>0</v>
      </c>
      <c r="P103" s="9">
        <f t="shared" si="19"/>
        <v>0</v>
      </c>
      <c r="Q103" s="11"/>
      <c r="R103" s="5">
        <f t="shared" si="20"/>
        <v>0</v>
      </c>
      <c r="S103" s="16"/>
      <c r="T103" s="1" t="e">
        <f t="shared" si="21"/>
        <v>#DIV/0!</v>
      </c>
      <c r="U103" s="9" t="e">
        <f t="shared" si="22"/>
        <v>#DIV/0!</v>
      </c>
      <c r="V103" s="9">
        <v>0</v>
      </c>
      <c r="W103" s="9" t="s">
        <v>79</v>
      </c>
      <c r="X103" s="1">
        <f t="shared" si="23"/>
        <v>0</v>
      </c>
      <c r="Y103" s="1">
        <f t="shared" si="24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</sheetData>
  <autoFilter ref="A3:X103" xr:uid="{4B0267E4-6AF9-4427-9CA6-663384F84C0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2026-09-28T10:31:34Z</dcterms:created>
  <dcterms:modified xsi:type="dcterms:W3CDTF">2026-10-05T08:00:12Z</dcterms:modified>
</cp:coreProperties>
</file>