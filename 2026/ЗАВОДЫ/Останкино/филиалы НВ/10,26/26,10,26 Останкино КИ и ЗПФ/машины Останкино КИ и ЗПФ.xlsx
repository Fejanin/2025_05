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Останкино\филиалы НВ\10,26\26,10,26 Останкино КИ и ЗПФ\"/>
    </mc:Choice>
  </mc:AlternateContent>
  <xr:revisionPtr revIDLastSave="0" documentId="13_ncr:1_{0B8EA1C6-10C4-458B-A6B2-720E037EAF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Лист1!$A$1:$G$19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6" i="1" l="1"/>
  <c r="F19" i="1" s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2" i="1"/>
  <c r="C16" i="1" l="1"/>
  <c r="C19" i="1" s="1"/>
  <c r="D16" i="1"/>
  <c r="D19" i="1" s="1"/>
  <c r="E16" i="1"/>
  <c r="E19" i="1" s="1"/>
  <c r="B16" i="1"/>
  <c r="G16" i="1" l="1"/>
</calcChain>
</file>

<file path=xl/sharedStrings.xml><?xml version="1.0" encoding="utf-8"?>
<sst xmlns="http://schemas.openxmlformats.org/spreadsheetml/2006/main" count="33" uniqueCount="30">
  <si>
    <t>Бердянск</t>
  </si>
  <si>
    <t>Донецк</t>
  </si>
  <si>
    <t>Луганск</t>
  </si>
  <si>
    <t>Мелитополь</t>
  </si>
  <si>
    <t>ПРС ЛП</t>
  </si>
  <si>
    <t>Доброцен-Луганск</t>
  </si>
  <si>
    <t>ПОЛУЧАТЕЛЬ</t>
  </si>
  <si>
    <t>ОБЩИИЙ ВЕС</t>
  </si>
  <si>
    <t>Остаток</t>
  </si>
  <si>
    <t>Количество паллет</t>
  </si>
  <si>
    <t>ИТОГОВЫЕ ДАННЫЕ</t>
  </si>
  <si>
    <t>Бердянск ЗПФ</t>
  </si>
  <si>
    <t>Донецк ЗПФ</t>
  </si>
  <si>
    <t>Луганск ЗПФ</t>
  </si>
  <si>
    <t>Мелитополь ЗПФ</t>
  </si>
  <si>
    <t>одним заказом на пн</t>
  </si>
  <si>
    <t>во вторую машину Крыма</t>
  </si>
  <si>
    <t>в первую машину Крыма</t>
  </si>
  <si>
    <t>вс</t>
  </si>
  <si>
    <t>пн</t>
  </si>
  <si>
    <t>вт</t>
  </si>
  <si>
    <t>Мариуполь</t>
  </si>
  <si>
    <t>в третью машину Крыма</t>
  </si>
  <si>
    <t>Байдерман ЛП</t>
  </si>
  <si>
    <t>САП 01,11</t>
  </si>
  <si>
    <t>САП 02,11</t>
  </si>
  <si>
    <t>САП 03,11</t>
  </si>
  <si>
    <t>САП 04,11</t>
  </si>
  <si>
    <t>Баранова, Карлов, Кафанова</t>
  </si>
  <si>
    <t>Мариуполь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</si>
</sst>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5" borderId="1" xfId="0" applyFill="1" applyBorder="1"/>
    <xf numFmtId="0" fontId="0" fillId="5" borderId="0" xfId="0" applyFill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K26" sqref="K26"/>
    </sheetView>
  </sheetViews>
  <sheetFormatPr defaultRowHeight="15" x14ac:dyDescent="0.25"/>
  <cols>
    <col min="1" max="1" width="26.85546875" customWidth="1"/>
    <col min="2" max="2" width="13.7109375" bestFit="1" customWidth="1"/>
    <col min="3" max="5" width="9.85546875" bestFit="1" customWidth="1"/>
    <col min="6" max="6" width="9.85546875" customWidth="1"/>
    <col min="7" max="7" width="8.140625" bestFit="1" customWidth="1"/>
    <col min="8" max="8" width="26.85546875" customWidth="1"/>
  </cols>
  <sheetData>
    <row r="1" spans="1:8" x14ac:dyDescent="0.25">
      <c r="A1" s="5" t="s">
        <v>6</v>
      </c>
      <c r="B1" s="5" t="s">
        <v>7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8</v>
      </c>
    </row>
    <row r="2" spans="1:8" x14ac:dyDescent="0.25">
      <c r="A2" s="2" t="s">
        <v>23</v>
      </c>
      <c r="B2" s="2">
        <v>2746</v>
      </c>
      <c r="C2" s="2"/>
      <c r="D2" s="2">
        <v>2746</v>
      </c>
      <c r="E2" s="2"/>
      <c r="F2" s="2"/>
      <c r="G2" s="2">
        <f>B2-C2-D2-E2-F2</f>
        <v>0</v>
      </c>
    </row>
    <row r="3" spans="1:8" x14ac:dyDescent="0.25">
      <c r="A3" s="2" t="s">
        <v>4</v>
      </c>
      <c r="B3" s="2">
        <v>2608</v>
      </c>
      <c r="C3" s="2">
        <v>2608</v>
      </c>
      <c r="D3" s="2"/>
      <c r="E3" s="2"/>
      <c r="F3" s="2"/>
      <c r="G3" s="2">
        <f t="shared" ref="G3:G15" si="0">B3-C3-D3-E3-F3</f>
        <v>0</v>
      </c>
    </row>
    <row r="4" spans="1:8" x14ac:dyDescent="0.25">
      <c r="A4" s="6" t="s">
        <v>0</v>
      </c>
      <c r="B4" s="6">
        <v>2853</v>
      </c>
      <c r="C4" s="6"/>
      <c r="D4" s="6"/>
      <c r="E4" s="6">
        <v>2853</v>
      </c>
      <c r="F4" s="6"/>
      <c r="G4" s="6">
        <f t="shared" si="0"/>
        <v>0</v>
      </c>
      <c r="H4" s="7" t="s">
        <v>16</v>
      </c>
    </row>
    <row r="5" spans="1:8" x14ac:dyDescent="0.25">
      <c r="A5" s="6" t="s">
        <v>11</v>
      </c>
      <c r="B5" s="6">
        <v>436</v>
      </c>
      <c r="C5" s="6"/>
      <c r="D5" s="6"/>
      <c r="E5" s="6">
        <v>436</v>
      </c>
      <c r="F5" s="6"/>
      <c r="G5" s="6">
        <f t="shared" si="0"/>
        <v>0</v>
      </c>
      <c r="H5" s="7" t="s">
        <v>16</v>
      </c>
    </row>
    <row r="6" spans="1:8" x14ac:dyDescent="0.25">
      <c r="A6" s="10" t="s">
        <v>21</v>
      </c>
      <c r="B6" s="10">
        <v>689</v>
      </c>
      <c r="C6" s="10"/>
      <c r="D6" s="10"/>
      <c r="E6" s="10"/>
      <c r="F6" s="10">
        <v>689</v>
      </c>
      <c r="G6" s="10">
        <f t="shared" si="0"/>
        <v>0</v>
      </c>
      <c r="H6" s="11" t="s">
        <v>22</v>
      </c>
    </row>
    <row r="7" spans="1:8" x14ac:dyDescent="0.25">
      <c r="A7" s="10" t="s">
        <v>29</v>
      </c>
      <c r="B7" s="10">
        <v>160</v>
      </c>
      <c r="C7" s="10"/>
      <c r="D7" s="10"/>
      <c r="E7" s="10"/>
      <c r="F7" s="10">
        <v>160</v>
      </c>
      <c r="G7" s="10">
        <f t="shared" si="0"/>
        <v>0</v>
      </c>
      <c r="H7" s="11" t="s">
        <v>22</v>
      </c>
    </row>
    <row r="8" spans="1:8" x14ac:dyDescent="0.25">
      <c r="A8" s="2" t="s">
        <v>1</v>
      </c>
      <c r="B8" s="2">
        <v>4929</v>
      </c>
      <c r="C8" s="2">
        <v>2900</v>
      </c>
      <c r="D8" s="2">
        <v>2029</v>
      </c>
      <c r="E8" s="2"/>
      <c r="F8" s="2"/>
      <c r="G8" s="2">
        <f t="shared" si="0"/>
        <v>0</v>
      </c>
    </row>
    <row r="9" spans="1:8" x14ac:dyDescent="0.25">
      <c r="A9" s="2" t="s">
        <v>12</v>
      </c>
      <c r="B9" s="2">
        <v>275</v>
      </c>
      <c r="C9" s="2"/>
      <c r="D9" s="2">
        <v>275</v>
      </c>
      <c r="E9" s="2"/>
      <c r="F9" s="2"/>
      <c r="G9" s="2">
        <f t="shared" si="0"/>
        <v>0</v>
      </c>
    </row>
    <row r="10" spans="1:8" x14ac:dyDescent="0.25">
      <c r="A10" s="2" t="s">
        <v>2</v>
      </c>
      <c r="B10" s="2">
        <v>6364</v>
      </c>
      <c r="C10" s="2"/>
      <c r="D10" s="2">
        <v>6364</v>
      </c>
      <c r="E10" s="2"/>
      <c r="F10" s="2"/>
      <c r="G10" s="2">
        <f t="shared" si="0"/>
        <v>0</v>
      </c>
      <c r="H10" t="s">
        <v>15</v>
      </c>
    </row>
    <row r="11" spans="1:8" x14ac:dyDescent="0.25">
      <c r="A11" s="2" t="s">
        <v>13</v>
      </c>
      <c r="B11" s="2">
        <v>0</v>
      </c>
      <c r="C11" s="2"/>
      <c r="D11" s="2">
        <v>0</v>
      </c>
      <c r="E11" s="2"/>
      <c r="F11" s="2"/>
      <c r="G11" s="2">
        <f t="shared" si="0"/>
        <v>0</v>
      </c>
    </row>
    <row r="12" spans="1:8" x14ac:dyDescent="0.25">
      <c r="A12" s="8" t="s">
        <v>3</v>
      </c>
      <c r="B12" s="8">
        <v>6027</v>
      </c>
      <c r="C12" s="8"/>
      <c r="D12" s="8">
        <v>6027</v>
      </c>
      <c r="E12" s="8"/>
      <c r="F12" s="8"/>
      <c r="G12" s="8">
        <f t="shared" si="0"/>
        <v>0</v>
      </c>
      <c r="H12" s="9" t="s">
        <v>17</v>
      </c>
    </row>
    <row r="13" spans="1:8" x14ac:dyDescent="0.25">
      <c r="A13" s="8" t="s">
        <v>14</v>
      </c>
      <c r="B13" s="8">
        <v>324</v>
      </c>
      <c r="C13" s="8"/>
      <c r="D13" s="8">
        <v>324</v>
      </c>
      <c r="E13" s="8"/>
      <c r="F13" s="8"/>
      <c r="G13" s="8">
        <f t="shared" si="0"/>
        <v>0</v>
      </c>
      <c r="H13" s="9" t="s">
        <v>17</v>
      </c>
    </row>
    <row r="14" spans="1:8" x14ac:dyDescent="0.25">
      <c r="A14" s="2" t="s">
        <v>28</v>
      </c>
      <c r="B14" s="2">
        <v>2800</v>
      </c>
      <c r="C14" s="2">
        <v>2800</v>
      </c>
      <c r="D14" s="2"/>
      <c r="E14" s="2"/>
      <c r="F14" s="2"/>
      <c r="G14" s="2">
        <f t="shared" si="0"/>
        <v>0</v>
      </c>
    </row>
    <row r="15" spans="1:8" x14ac:dyDescent="0.25">
      <c r="A15" s="2" t="s">
        <v>5</v>
      </c>
      <c r="B15" s="2"/>
      <c r="C15" s="2"/>
      <c r="D15" s="2"/>
      <c r="E15" s="2"/>
      <c r="F15" s="2"/>
      <c r="G15" s="2">
        <f t="shared" si="0"/>
        <v>0</v>
      </c>
    </row>
    <row r="16" spans="1:8" s="1" customFormat="1" x14ac:dyDescent="0.25">
      <c r="A16" s="4" t="s">
        <v>10</v>
      </c>
      <c r="B16" s="4">
        <f t="shared" ref="B16:G16" si="1">SUM(B2:B15)</f>
        <v>30211</v>
      </c>
      <c r="C16" s="4">
        <f t="shared" si="1"/>
        <v>8308</v>
      </c>
      <c r="D16" s="4">
        <f t="shared" si="1"/>
        <v>17765</v>
      </c>
      <c r="E16" s="4">
        <f t="shared" si="1"/>
        <v>3289</v>
      </c>
      <c r="F16" s="4">
        <f t="shared" si="1"/>
        <v>849</v>
      </c>
      <c r="G16" s="4">
        <f t="shared" si="1"/>
        <v>0</v>
      </c>
    </row>
    <row r="17" spans="3:6" ht="15.75" thickBot="1" x14ac:dyDescent="0.3">
      <c r="C17" t="s">
        <v>18</v>
      </c>
      <c r="D17" t="s">
        <v>19</v>
      </c>
      <c r="E17" t="s">
        <v>20</v>
      </c>
    </row>
    <row r="18" spans="3:6" ht="15.75" thickBot="1" x14ac:dyDescent="0.3">
      <c r="C18" s="12" t="s">
        <v>9</v>
      </c>
      <c r="D18" s="13"/>
      <c r="E18" s="13"/>
      <c r="F18" s="14"/>
    </row>
    <row r="19" spans="3:6" x14ac:dyDescent="0.25">
      <c r="C19" s="3">
        <f>IF(ROUNDUP(C16/500,0)&gt;32,32,ROUNDUP(C16/500,0))</f>
        <v>17</v>
      </c>
      <c r="D19" s="3">
        <f t="shared" ref="D19:F19" si="2">IF(ROUNDUP(D16/500,0)&gt;32,32,ROUNDUP(D16/500,0))</f>
        <v>32</v>
      </c>
      <c r="E19" s="3">
        <f t="shared" si="2"/>
        <v>7</v>
      </c>
      <c r="F19" s="3">
        <f t="shared" si="2"/>
        <v>2</v>
      </c>
    </row>
  </sheetData>
  <autoFilter ref="A1:G19" xr:uid="{0B6DDAE6-5B4B-4C45-BA2E-60D082964256}"/>
  <mergeCells count="1">
    <mergeCell ref="C18:F18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2026-10-29T12:53:35Z</dcterms:modified>
</cp:coreProperties>
</file>