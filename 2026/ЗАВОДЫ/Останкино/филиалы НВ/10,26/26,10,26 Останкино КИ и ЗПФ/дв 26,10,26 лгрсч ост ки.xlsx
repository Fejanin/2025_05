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95F6C92B-FFA2-4A0C-8B70-30D37DF0D15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9" i="1"/>
  <c r="R10" i="1"/>
  <c r="AG10" i="1" s="1"/>
  <c r="R17" i="1"/>
  <c r="R19" i="1"/>
  <c r="AG19" i="1" s="1"/>
  <c r="R20" i="1"/>
  <c r="AG20" i="1" s="1"/>
  <c r="R21" i="1"/>
  <c r="R24" i="1"/>
  <c r="AG24" i="1" s="1"/>
  <c r="R32" i="1"/>
  <c r="AG32" i="1" s="1"/>
  <c r="R33" i="1"/>
  <c r="R35" i="1"/>
  <c r="AG35" i="1" s="1"/>
  <c r="R39" i="1"/>
  <c r="R41" i="1"/>
  <c r="AG41" i="1" s="1"/>
  <c r="R43" i="1"/>
  <c r="R44" i="1"/>
  <c r="AG44" i="1" s="1"/>
  <c r="R46" i="1"/>
  <c r="AG46" i="1" s="1"/>
  <c r="R50" i="1"/>
  <c r="AG50" i="1" s="1"/>
  <c r="R51" i="1"/>
  <c r="R53" i="1"/>
  <c r="AG53" i="1" s="1"/>
  <c r="R54" i="1"/>
  <c r="AG54" i="1" s="1"/>
  <c r="R59" i="1"/>
  <c r="R62" i="1"/>
  <c r="AG62" i="1" s="1"/>
  <c r="R66" i="1"/>
  <c r="AG66" i="1" s="1"/>
  <c r="R78" i="1"/>
  <c r="AG78" i="1" s="1"/>
  <c r="R79" i="1"/>
  <c r="R80" i="1"/>
  <c r="AG80" i="1" s="1"/>
  <c r="R82" i="1"/>
  <c r="AG82" i="1" s="1"/>
  <c r="R83" i="1"/>
  <c r="AG83" i="1" s="1"/>
  <c r="R85" i="1"/>
  <c r="R89" i="1"/>
  <c r="R91" i="1"/>
  <c r="R92" i="1"/>
  <c r="AG92" i="1" s="1"/>
  <c r="R93" i="1"/>
  <c r="R94" i="1"/>
  <c r="AG94" i="1" s="1"/>
  <c r="R95" i="1"/>
  <c r="R98" i="1"/>
  <c r="AG98" i="1" s="1"/>
  <c r="R100" i="1"/>
  <c r="AG100" i="1" s="1"/>
  <c r="R101" i="1"/>
  <c r="AG101" i="1" s="1"/>
  <c r="R102" i="1"/>
  <c r="AG102" i="1" s="1"/>
  <c r="R6" i="1"/>
  <c r="AG6" i="1" s="1"/>
  <c r="S22" i="1"/>
  <c r="R22" i="1" s="1"/>
  <c r="S23" i="1"/>
  <c r="R23" i="1" s="1"/>
  <c r="AG23" i="1" s="1"/>
  <c r="S30" i="1"/>
  <c r="R30" i="1" s="1"/>
  <c r="S31" i="1"/>
  <c r="R31" i="1" s="1"/>
  <c r="AG31" i="1" s="1"/>
  <c r="S40" i="1"/>
  <c r="R40" i="1" s="1"/>
  <c r="S47" i="1"/>
  <c r="R47" i="1" s="1"/>
  <c r="AG47" i="1" s="1"/>
  <c r="S48" i="1"/>
  <c r="R48" i="1" s="1"/>
  <c r="S49" i="1"/>
  <c r="R49" i="1" s="1"/>
  <c r="S52" i="1"/>
  <c r="R52" i="1" s="1"/>
  <c r="S55" i="1"/>
  <c r="R55" i="1" s="1"/>
  <c r="S58" i="1"/>
  <c r="R58" i="1" s="1"/>
  <c r="S61" i="1"/>
  <c r="R61" i="1" s="1"/>
  <c r="S64" i="1"/>
  <c r="R64" i="1" s="1"/>
  <c r="AG64" i="1" s="1"/>
  <c r="S65" i="1"/>
  <c r="R65" i="1" s="1"/>
  <c r="AG65" i="1" s="1"/>
  <c r="S70" i="1"/>
  <c r="R70" i="1" s="1"/>
  <c r="S77" i="1"/>
  <c r="R77" i="1" s="1"/>
  <c r="S87" i="1"/>
  <c r="R87" i="1" s="1"/>
  <c r="S88" i="1"/>
  <c r="R88" i="1" s="1"/>
  <c r="AG88" i="1" s="1"/>
  <c r="S90" i="1"/>
  <c r="R90" i="1" s="1"/>
  <c r="AG90" i="1" s="1"/>
  <c r="S103" i="1"/>
  <c r="R103" i="1" s="1"/>
  <c r="AG103" i="1" s="1"/>
  <c r="S105" i="1"/>
  <c r="R105" i="1" s="1"/>
  <c r="S106" i="1"/>
  <c r="R106" i="1" s="1"/>
  <c r="S107" i="1"/>
  <c r="R107" i="1" s="1"/>
  <c r="AG7" i="1"/>
  <c r="AG9" i="1"/>
  <c r="AG17" i="1"/>
  <c r="AG21" i="1"/>
  <c r="AG33" i="1"/>
  <c r="AG39" i="1"/>
  <c r="AG43" i="1"/>
  <c r="AG51" i="1"/>
  <c r="AG59" i="1"/>
  <c r="AG79" i="1"/>
  <c r="AG85" i="1"/>
  <c r="AG89" i="1"/>
  <c r="AG91" i="1"/>
  <c r="AG93" i="1"/>
  <c r="AG95" i="1"/>
  <c r="S5" i="1" l="1"/>
  <c r="P107" i="1" l="1"/>
  <c r="L107" i="1"/>
  <c r="F106" i="1"/>
  <c r="E106" i="1"/>
  <c r="P106" i="1" s="1"/>
  <c r="E105" i="1"/>
  <c r="L105" i="1" s="1"/>
  <c r="E104" i="1"/>
  <c r="L104" i="1" s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T94" i="1" s="1"/>
  <c r="L94" i="1"/>
  <c r="P93" i="1"/>
  <c r="L93" i="1"/>
  <c r="P92" i="1"/>
  <c r="T92" i="1" s="1"/>
  <c r="L92" i="1"/>
  <c r="P91" i="1"/>
  <c r="T91" i="1" s="1"/>
  <c r="L91" i="1"/>
  <c r="P90" i="1"/>
  <c r="T90" i="1" s="1"/>
  <c r="L90" i="1"/>
  <c r="P89" i="1"/>
  <c r="T89" i="1" s="1"/>
  <c r="L89" i="1"/>
  <c r="P88" i="1"/>
  <c r="T88" i="1" s="1"/>
  <c r="L88" i="1"/>
  <c r="O87" i="1"/>
  <c r="E87" i="1"/>
  <c r="P86" i="1"/>
  <c r="L86" i="1"/>
  <c r="P85" i="1"/>
  <c r="L85" i="1"/>
  <c r="P84" i="1"/>
  <c r="L84" i="1"/>
  <c r="P83" i="1"/>
  <c r="T83" i="1" s="1"/>
  <c r="L83" i="1"/>
  <c r="P82" i="1"/>
  <c r="T82" i="1" s="1"/>
  <c r="L82" i="1"/>
  <c r="P81" i="1"/>
  <c r="L81" i="1"/>
  <c r="P80" i="1"/>
  <c r="T80" i="1" s="1"/>
  <c r="L80" i="1"/>
  <c r="P79" i="1"/>
  <c r="L79" i="1"/>
  <c r="P78" i="1"/>
  <c r="T78" i="1" s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T66" i="1" s="1"/>
  <c r="L66" i="1"/>
  <c r="P65" i="1"/>
  <c r="L65" i="1"/>
  <c r="P64" i="1"/>
  <c r="T64" i="1" s="1"/>
  <c r="L64" i="1"/>
  <c r="P63" i="1"/>
  <c r="L63" i="1"/>
  <c r="P62" i="1"/>
  <c r="T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T54" i="1" s="1"/>
  <c r="L54" i="1"/>
  <c r="P53" i="1"/>
  <c r="L53" i="1"/>
  <c r="P52" i="1"/>
  <c r="L52" i="1"/>
  <c r="P51" i="1"/>
  <c r="T51" i="1" s="1"/>
  <c r="L51" i="1"/>
  <c r="P50" i="1"/>
  <c r="L50" i="1"/>
  <c r="P49" i="1"/>
  <c r="L49" i="1"/>
  <c r="P48" i="1"/>
  <c r="L48" i="1"/>
  <c r="P47" i="1"/>
  <c r="T47" i="1" s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T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T23" i="1" s="1"/>
  <c r="L23" i="1"/>
  <c r="P22" i="1"/>
  <c r="L22" i="1"/>
  <c r="P21" i="1"/>
  <c r="T21" i="1" s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T10" i="1" s="1"/>
  <c r="L10" i="1"/>
  <c r="P9" i="1"/>
  <c r="L9" i="1"/>
  <c r="P8" i="1"/>
  <c r="L8" i="1"/>
  <c r="P7" i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N5" i="1"/>
  <c r="M5" i="1"/>
  <c r="K5" i="1"/>
  <c r="T34" i="1" l="1"/>
  <c r="T45" i="1"/>
  <c r="T68" i="1"/>
  <c r="U7" i="1"/>
  <c r="T7" i="1"/>
  <c r="U9" i="1"/>
  <c r="T9" i="1"/>
  <c r="U11" i="1"/>
  <c r="U13" i="1"/>
  <c r="T13" i="1"/>
  <c r="Q14" i="1"/>
  <c r="R14" i="1" s="1"/>
  <c r="AG14" i="1" s="1"/>
  <c r="T14" i="1"/>
  <c r="U15" i="1"/>
  <c r="U17" i="1"/>
  <c r="T17" i="1"/>
  <c r="Q18" i="1"/>
  <c r="R18" i="1" s="1"/>
  <c r="AG18" i="1" s="1"/>
  <c r="U19" i="1"/>
  <c r="T19" i="1"/>
  <c r="U20" i="1"/>
  <c r="T20" i="1"/>
  <c r="U22" i="1"/>
  <c r="U24" i="1"/>
  <c r="T24" i="1"/>
  <c r="Q25" i="1"/>
  <c r="R25" i="1" s="1"/>
  <c r="AG25" i="1" s="1"/>
  <c r="T25" i="1"/>
  <c r="U26" i="1"/>
  <c r="T26" i="1"/>
  <c r="Q27" i="1"/>
  <c r="R27" i="1" s="1"/>
  <c r="AG27" i="1" s="1"/>
  <c r="T27" i="1"/>
  <c r="U28" i="1"/>
  <c r="T28" i="1"/>
  <c r="U29" i="1"/>
  <c r="T29" i="1"/>
  <c r="U30" i="1"/>
  <c r="U32" i="1"/>
  <c r="T32" i="1"/>
  <c r="U33" i="1"/>
  <c r="T33" i="1"/>
  <c r="U35" i="1"/>
  <c r="T35" i="1"/>
  <c r="U37" i="1"/>
  <c r="U39" i="1"/>
  <c r="T39" i="1"/>
  <c r="U41" i="1"/>
  <c r="T41" i="1"/>
  <c r="U42" i="1"/>
  <c r="T42" i="1"/>
  <c r="U43" i="1"/>
  <c r="T43" i="1"/>
  <c r="U44" i="1"/>
  <c r="T44" i="1"/>
  <c r="U46" i="1"/>
  <c r="T46" i="1"/>
  <c r="U48" i="1"/>
  <c r="T48" i="1"/>
  <c r="U49" i="1"/>
  <c r="T49" i="1"/>
  <c r="U50" i="1"/>
  <c r="T50" i="1"/>
  <c r="U53" i="1"/>
  <c r="T53" i="1"/>
  <c r="U55" i="1"/>
  <c r="U57" i="1"/>
  <c r="Q58" i="1"/>
  <c r="AG58" i="1" s="1"/>
  <c r="T58" i="1"/>
  <c r="U59" i="1"/>
  <c r="T59" i="1"/>
  <c r="U61" i="1"/>
  <c r="U63" i="1"/>
  <c r="U65" i="1"/>
  <c r="T65" i="1"/>
  <c r="U67" i="1"/>
  <c r="U69" i="1"/>
  <c r="U71" i="1"/>
  <c r="Q72" i="1"/>
  <c r="R72" i="1" s="1"/>
  <c r="AG72" i="1" s="1"/>
  <c r="U73" i="1"/>
  <c r="U75" i="1"/>
  <c r="U77" i="1"/>
  <c r="T77" i="1"/>
  <c r="U79" i="1"/>
  <c r="T79" i="1"/>
  <c r="U81" i="1"/>
  <c r="T81" i="1"/>
  <c r="Q84" i="1"/>
  <c r="R84" i="1" s="1"/>
  <c r="AG84" i="1" s="1"/>
  <c r="T84" i="1"/>
  <c r="U85" i="1"/>
  <c r="T85" i="1"/>
  <c r="Q86" i="1"/>
  <c r="R86" i="1" s="1"/>
  <c r="AG86" i="1" s="1"/>
  <c r="T86" i="1"/>
  <c r="U93" i="1"/>
  <c r="T93" i="1"/>
  <c r="U95" i="1"/>
  <c r="T95" i="1"/>
  <c r="U96" i="1"/>
  <c r="T96" i="1"/>
  <c r="Q97" i="1"/>
  <c r="R97" i="1" s="1"/>
  <c r="AG97" i="1" s="1"/>
  <c r="T97" i="1"/>
  <c r="U98" i="1"/>
  <c r="T98" i="1"/>
  <c r="U99" i="1"/>
  <c r="T99" i="1"/>
  <c r="U100" i="1"/>
  <c r="T100" i="1"/>
  <c r="U101" i="1"/>
  <c r="T101" i="1"/>
  <c r="U102" i="1"/>
  <c r="T102" i="1"/>
  <c r="U103" i="1"/>
  <c r="T103" i="1"/>
  <c r="F5" i="1"/>
  <c r="T106" i="1"/>
  <c r="Q106" i="1"/>
  <c r="AG106" i="1" s="1"/>
  <c r="Q55" i="1"/>
  <c r="AG55" i="1" s="1"/>
  <c r="Q71" i="1"/>
  <c r="R71" i="1" s="1"/>
  <c r="AG71" i="1" s="1"/>
  <c r="Q63" i="1"/>
  <c r="R63" i="1" s="1"/>
  <c r="AG63" i="1" s="1"/>
  <c r="Q26" i="1"/>
  <c r="R26" i="1" s="1"/>
  <c r="AG26" i="1" s="1"/>
  <c r="Q22" i="1"/>
  <c r="AG22" i="1" s="1"/>
  <c r="Q96" i="1"/>
  <c r="R96" i="1" s="1"/>
  <c r="AG96" i="1" s="1"/>
  <c r="Q15" i="1"/>
  <c r="R15" i="1" s="1"/>
  <c r="AG15" i="1" s="1"/>
  <c r="Q77" i="1"/>
  <c r="AG77" i="1" s="1"/>
  <c r="U83" i="1"/>
  <c r="Q48" i="1"/>
  <c r="AG48" i="1" s="1"/>
  <c r="Q57" i="1"/>
  <c r="R57" i="1" s="1"/>
  <c r="AG57" i="1" s="1"/>
  <c r="Q13" i="1"/>
  <c r="R13" i="1" s="1"/>
  <c r="AG13" i="1" s="1"/>
  <c r="Q30" i="1"/>
  <c r="AG30" i="1" s="1"/>
  <c r="Q73" i="1"/>
  <c r="R73" i="1" s="1"/>
  <c r="AG73" i="1" s="1"/>
  <c r="Q61" i="1"/>
  <c r="AG61" i="1" s="1"/>
  <c r="Q69" i="1"/>
  <c r="R69" i="1" s="1"/>
  <c r="AG69" i="1" s="1"/>
  <c r="Q75" i="1"/>
  <c r="R75" i="1" s="1"/>
  <c r="AG75" i="1" s="1"/>
  <c r="Q12" i="1"/>
  <c r="R12" i="1" s="1"/>
  <c r="AG12" i="1" s="1"/>
  <c r="Q16" i="1"/>
  <c r="R16" i="1" s="1"/>
  <c r="AG16" i="1" s="1"/>
  <c r="Q34" i="1"/>
  <c r="R34" i="1" s="1"/>
  <c r="AG34" i="1" s="1"/>
  <c r="Q36" i="1"/>
  <c r="R36" i="1" s="1"/>
  <c r="AG36" i="1" s="1"/>
  <c r="Q45" i="1"/>
  <c r="R45" i="1" s="1"/>
  <c r="AG45" i="1" s="1"/>
  <c r="U47" i="1"/>
  <c r="Q76" i="1"/>
  <c r="R76" i="1" s="1"/>
  <c r="AG76" i="1" s="1"/>
  <c r="U94" i="1"/>
  <c r="Q81" i="1"/>
  <c r="R81" i="1" s="1"/>
  <c r="AG81" i="1" s="1"/>
  <c r="Q8" i="1"/>
  <c r="R8" i="1" s="1"/>
  <c r="Q29" i="1"/>
  <c r="R29" i="1" s="1"/>
  <c r="AG29" i="1" s="1"/>
  <c r="U31" i="1"/>
  <c r="Q38" i="1"/>
  <c r="R38" i="1" s="1"/>
  <c r="AG38" i="1" s="1"/>
  <c r="Q40" i="1"/>
  <c r="AG40" i="1" s="1"/>
  <c r="U45" i="1"/>
  <c r="U51" i="1"/>
  <c r="Q56" i="1"/>
  <c r="R56" i="1" s="1"/>
  <c r="AG56" i="1" s="1"/>
  <c r="Q60" i="1"/>
  <c r="R60" i="1" s="1"/>
  <c r="AG60" i="1" s="1"/>
  <c r="Q74" i="1"/>
  <c r="R74" i="1" s="1"/>
  <c r="AG74" i="1" s="1"/>
  <c r="U89" i="1"/>
  <c r="U97" i="1"/>
  <c r="Q11" i="1"/>
  <c r="R11" i="1" s="1"/>
  <c r="AG11" i="1" s="1"/>
  <c r="Q28" i="1"/>
  <c r="R28" i="1" s="1"/>
  <c r="AG28" i="1" s="1"/>
  <c r="Q37" i="1"/>
  <c r="R37" i="1" s="1"/>
  <c r="AG37" i="1" s="1"/>
  <c r="Q42" i="1"/>
  <c r="R42" i="1" s="1"/>
  <c r="AG42" i="1" s="1"/>
  <c r="Q67" i="1"/>
  <c r="R67" i="1" s="1"/>
  <c r="AG67" i="1" s="1"/>
  <c r="Q49" i="1"/>
  <c r="AG49" i="1" s="1"/>
  <c r="Q52" i="1"/>
  <c r="AG52" i="1" s="1"/>
  <c r="Q68" i="1"/>
  <c r="R68" i="1" s="1"/>
  <c r="AG68" i="1" s="1"/>
  <c r="Q70" i="1"/>
  <c r="AG70" i="1" s="1"/>
  <c r="Q99" i="1"/>
  <c r="R99" i="1" s="1"/>
  <c r="AG99" i="1" s="1"/>
  <c r="Q107" i="1"/>
  <c r="AG107" i="1" s="1"/>
  <c r="U91" i="1"/>
  <c r="U6" i="1"/>
  <c r="U8" i="1"/>
  <c r="U10" i="1"/>
  <c r="U12" i="1"/>
  <c r="U14" i="1"/>
  <c r="U16" i="1"/>
  <c r="U18" i="1"/>
  <c r="U21" i="1"/>
  <c r="U23" i="1"/>
  <c r="U25" i="1"/>
  <c r="U27" i="1"/>
  <c r="L106" i="1"/>
  <c r="E5" i="1"/>
  <c r="O5" i="1"/>
  <c r="U34" i="1"/>
  <c r="U36" i="1"/>
  <c r="U38" i="1"/>
  <c r="U40" i="1"/>
  <c r="U52" i="1"/>
  <c r="U54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4" i="1"/>
  <c r="U86" i="1"/>
  <c r="P87" i="1"/>
  <c r="L87" i="1"/>
  <c r="L5" i="1" s="1"/>
  <c r="U88" i="1"/>
  <c r="U90" i="1"/>
  <c r="U92" i="1"/>
  <c r="P104" i="1"/>
  <c r="P105" i="1"/>
  <c r="U106" i="1"/>
  <c r="U107" i="1"/>
  <c r="T73" i="1" l="1"/>
  <c r="T72" i="1"/>
  <c r="T71" i="1"/>
  <c r="T69" i="1"/>
  <c r="T18" i="1"/>
  <c r="T74" i="1"/>
  <c r="T56" i="1"/>
  <c r="T38" i="1"/>
  <c r="T12" i="1"/>
  <c r="T105" i="1"/>
  <c r="AG8" i="1"/>
  <c r="T75" i="1"/>
  <c r="T67" i="1"/>
  <c r="T63" i="1"/>
  <c r="T61" i="1"/>
  <c r="T57" i="1"/>
  <c r="T55" i="1"/>
  <c r="T37" i="1"/>
  <c r="T30" i="1"/>
  <c r="T22" i="1"/>
  <c r="T15" i="1"/>
  <c r="T11" i="1"/>
  <c r="T107" i="1"/>
  <c r="T76" i="1"/>
  <c r="T70" i="1"/>
  <c r="T60" i="1"/>
  <c r="T52" i="1"/>
  <c r="T40" i="1"/>
  <c r="T36" i="1"/>
  <c r="T16" i="1"/>
  <c r="T8" i="1"/>
  <c r="Q104" i="1"/>
  <c r="R104" i="1" s="1"/>
  <c r="AG104" i="1" s="1"/>
  <c r="Q87" i="1"/>
  <c r="AG87" i="1" s="1"/>
  <c r="Q105" i="1"/>
  <c r="AG105" i="1" s="1"/>
  <c r="U105" i="1"/>
  <c r="U104" i="1"/>
  <c r="P5" i="1"/>
  <c r="U87" i="1"/>
  <c r="T104" i="1" l="1"/>
  <c r="R5" i="1"/>
  <c r="T87" i="1"/>
  <c r="AG5" i="1"/>
  <c r="Q5" i="1"/>
</calcChain>
</file>

<file path=xl/sharedStrings.xml><?xml version="1.0" encoding="utf-8"?>
<sst xmlns="http://schemas.openxmlformats.org/spreadsheetml/2006/main" count="401" uniqueCount="169">
  <si>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</si>
  <si>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</si>
  <si>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</si>
  <si>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</si>
  <si>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</si>
  <si>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</si>
  <si>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</si>
  <si>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</si>
  <si>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</si>
  <si>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</si>
  <si>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</si>
  <si>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</si>
  <si>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</si>
  <si>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</si>
  <si>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</si>
  <si>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</si>
  <si>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</si>
  <si>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</si>
  <si>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</si>
  <si>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</si>
  <si>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</si>
  <si>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</si>
  <si>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</si>
  <si>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</si>
  <si>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</si>
  <si>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</si>
  <si>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</si>
  <si>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</si>
  <si>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</si>
  <si>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</si>
  <si>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</si>
  <si>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</si>
  <si>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</si>
  <si>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</si>
  <si>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</si>
  <si>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</si>
  <si>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</si>
  <si>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</si>
  <si>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</si>
  <si>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</si>
  <si>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</si>
  <si>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</si>
  <si>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</si>
  <si>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</si>
  <si>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</si>
  <si>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</si>
  <si>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</si>
  <si>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</si>
  <si>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</si>
  <si>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</si>
  <si>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</si>
  <si>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</si>
  <si>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</si>
  <si>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</si>
  <si>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</si>
  <si>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</si>
  <si>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</si>
  <si>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</si>
  <si>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</si>
  <si>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</si>
  <si>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</si>
  <si>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</si>
  <si>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</si>
  <si>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</si>
  <si>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</si>
  <si>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</si>
  <si>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Главторг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</si>
  <si>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</si>
  <si>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</si>
  <si>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</si>
  <si>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</si>
  <si>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</si>
  <si>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</si>
  <si>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нужно увеличить продажи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</si>
  <si>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</si>
  <si>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</si>
  <si>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</si>
  <si>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</si>
  <si>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</si>
  <si>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</si>
  <si>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</si>
  <si>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</si>
  <si>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</si>
  <si>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</si>
  <si>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</si>
  <si>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</si>
  <si>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</si>
  <si>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</si>
  <si>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</si>
  <si>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</si>
  <si>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</si>
  <si>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</si>
  <si>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</si>
  <si>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</si>
  <si>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</si>
  <si>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</si>
  <si>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нет потребности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</si>
  <si>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</si>
  <si>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</si>
  <si>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</si>
  <si>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</si>
  <si>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</si>
  <si>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</si>
  <si>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</si>
  <si>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</si>
  <si>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</si>
  <si>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</si>
  <si>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</si>
  <si>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</si>
  <si>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</si>
  <si>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</si>
  <si>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</si>
  <si>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</si>
  <si>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</si>
  <si>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</si>
  <si>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</si>
  <si>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</si>
  <si>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</si>
  <si>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</si>
  <si>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</si>
  <si>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</si>
  <si>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</si>
  <si>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</si>
  <si>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</si>
  <si>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</si>
  <si>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</si>
  <si>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</si>
  <si>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</si>
  <si>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</si>
  <si>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</si>
  <si>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РАЗОВО / АСЛАМ</t>
  </si>
  <si>
    <t>отдельным бланком</t>
  </si>
  <si>
    <t>7408 МОЛОЧНАЯ ASLAM сос п/о мгс 0.41кг  ОСТАНКИНО</t>
  </si>
  <si>
    <t>для опта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</si>
  <si>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</si>
  <si>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</si>
  <si>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</si>
  <si>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</si>
  <si>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</si>
  <si>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</si>
  <si>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</si>
  <si>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</si>
  <si>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</si>
  <si>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</si>
  <si>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</si>
  <si>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</si>
  <si>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</si>
  <si>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</si>
  <si>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</si>
  <si>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</si>
  <si>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</si>
  <si>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</si>
  <si>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</si>
  <si>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</si>
  <si>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</si>
  <si>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</si>
  <si>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7700 ЛИТОВСКАЯ с/к в/у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</si>
  <si>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</si>
  <si>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</si>
  <si>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</si>
  <si>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</si>
  <si>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</si>
  <si>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5708</t>
    </r>
  </si>
  <si>
    <t>вместо 7647</t>
  </si>
  <si>
    <t>ротация на код 7520</t>
  </si>
  <si>
    <t>заказ</t>
  </si>
  <si>
    <t>02,11,</t>
  </si>
  <si>
    <t>ТК</t>
  </si>
  <si>
    <t>Чепрасова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</si>
</sst>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6" fillId="7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610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26,10,</v>
          </cell>
          <cell r="P4" t="str">
            <v>26,10,</v>
          </cell>
        </row>
        <row r="5">
          <cell r="E5">
            <v>15537.323</v>
          </cell>
          <cell r="F5">
            <v>11921.202000000003</v>
          </cell>
          <cell r="K5">
            <v>15669.624000000002</v>
          </cell>
          <cell r="L5">
            <v>-132.30099999999996</v>
          </cell>
          <cell r="M5">
            <v>0</v>
          </cell>
          <cell r="N5">
            <v>0</v>
          </cell>
          <cell r="O5">
            <v>19337</v>
          </cell>
          <cell r="P5">
            <v>3107.4645999999993</v>
          </cell>
          <cell r="Q5">
            <v>12766.899399999998</v>
          </cell>
          <cell r="R5">
            <v>4310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171.547</v>
          </cell>
          <cell r="E6">
            <v>11.414</v>
          </cell>
          <cell r="F6">
            <v>160.04300000000001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7.9</v>
          </cell>
          <cell r="L6">
            <v>3.5139999999999993</v>
          </cell>
          <cell r="O6">
            <v>0</v>
          </cell>
          <cell r="P6">
            <v>2.2827999999999999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117</v>
          </cell>
          <cell r="D7">
            <v>278</v>
          </cell>
          <cell r="E7">
            <v>113</v>
          </cell>
          <cell r="F7">
            <v>203</v>
          </cell>
          <cell r="G7">
            <v>0.4</v>
          </cell>
          <cell r="H7">
            <v>60</v>
          </cell>
          <cell r="I7" t="str">
            <v>матрица</v>
          </cell>
          <cell r="K7">
            <v>117</v>
          </cell>
          <cell r="L7">
            <v>-4</v>
          </cell>
          <cell r="O7">
            <v>140</v>
          </cell>
          <cell r="P7">
            <v>22.6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60.829000000000001</v>
          </cell>
          <cell r="D8">
            <v>25.527999999999999</v>
          </cell>
          <cell r="E8">
            <v>35.451000000000001</v>
          </cell>
          <cell r="F8">
            <v>47.512999999999998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31.9</v>
          </cell>
          <cell r="L8">
            <v>3.5510000000000019</v>
          </cell>
          <cell r="O8">
            <v>22</v>
          </cell>
          <cell r="P8">
            <v>7.0902000000000003</v>
          </cell>
          <cell r="Q8">
            <v>29.7498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525</v>
          </cell>
          <cell r="D9">
            <v>15</v>
          </cell>
          <cell r="E9">
            <v>80</v>
          </cell>
          <cell r="F9">
            <v>436</v>
          </cell>
          <cell r="G9">
            <v>0.25</v>
          </cell>
          <cell r="H9">
            <v>120</v>
          </cell>
          <cell r="I9" t="str">
            <v>матрица</v>
          </cell>
          <cell r="K9">
            <v>81</v>
          </cell>
          <cell r="L9">
            <v>-1</v>
          </cell>
          <cell r="O9">
            <v>0</v>
          </cell>
          <cell r="P9">
            <v>16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622.11</v>
          </cell>
          <cell r="D10">
            <v>747.35699999999997</v>
          </cell>
          <cell r="E10">
            <v>535.43899999999996</v>
          </cell>
          <cell r="F10">
            <v>618.91399999999999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519.65</v>
          </cell>
          <cell r="L10">
            <v>15.788999999999987</v>
          </cell>
          <cell r="O10">
            <v>969</v>
          </cell>
          <cell r="P10">
            <v>107.08779999999999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56.475999999999999</v>
          </cell>
          <cell r="D11">
            <v>36.170999999999999</v>
          </cell>
          <cell r="E11">
            <v>28.097000000000001</v>
          </cell>
          <cell r="F11">
            <v>47.051000000000002</v>
          </cell>
          <cell r="G11">
            <v>1</v>
          </cell>
          <cell r="H11">
            <v>120</v>
          </cell>
          <cell r="I11" t="str">
            <v>матрица</v>
          </cell>
          <cell r="K11">
            <v>27.6</v>
          </cell>
          <cell r="L11">
            <v>0.49699999999999989</v>
          </cell>
          <cell r="O11">
            <v>20</v>
          </cell>
          <cell r="P11">
            <v>5.6194000000000006</v>
          </cell>
          <cell r="Q11">
            <v>11.62060000000001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243.262</v>
          </cell>
          <cell r="D12">
            <v>309.44200000000001</v>
          </cell>
          <cell r="E12">
            <v>226.48</v>
          </cell>
          <cell r="F12">
            <v>199.453</v>
          </cell>
          <cell r="G12">
            <v>1</v>
          </cell>
          <cell r="H12">
            <v>60</v>
          </cell>
          <cell r="I12" t="str">
            <v>матрица</v>
          </cell>
          <cell r="K12">
            <v>223.1</v>
          </cell>
          <cell r="L12">
            <v>3.3799999999999955</v>
          </cell>
          <cell r="O12">
            <v>214</v>
          </cell>
          <cell r="P12">
            <v>45.295999999999999</v>
          </cell>
          <cell r="Q12">
            <v>220.691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349.99599999999998</v>
          </cell>
          <cell r="D13">
            <v>159.136</v>
          </cell>
          <cell r="E13">
            <v>215.58600000000001</v>
          </cell>
          <cell r="F13">
            <v>172.58099999999999</v>
          </cell>
          <cell r="G13">
            <v>1</v>
          </cell>
          <cell r="H13">
            <v>60</v>
          </cell>
          <cell r="I13" t="str">
            <v>матрица</v>
          </cell>
          <cell r="K13">
            <v>211.05</v>
          </cell>
          <cell r="L13">
            <v>4.5360000000000014</v>
          </cell>
          <cell r="O13">
            <v>420</v>
          </cell>
          <cell r="P13">
            <v>43.117200000000004</v>
          </cell>
          <cell r="Q13">
            <v>11.059800000000024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364</v>
          </cell>
          <cell r="D14">
            <v>10</v>
          </cell>
          <cell r="E14">
            <v>162</v>
          </cell>
          <cell r="F14">
            <v>183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163</v>
          </cell>
          <cell r="L14">
            <v>-1</v>
          </cell>
          <cell r="O14">
            <v>0</v>
          </cell>
          <cell r="P14">
            <v>32.4</v>
          </cell>
          <cell r="Q14">
            <v>238.2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147.78800000000001</v>
          </cell>
          <cell r="D15">
            <v>61.758000000000003</v>
          </cell>
          <cell r="E15">
            <v>103.842</v>
          </cell>
          <cell r="F15">
            <v>70.933999999999997</v>
          </cell>
          <cell r="G15">
            <v>1</v>
          </cell>
          <cell r="H15">
            <v>60</v>
          </cell>
          <cell r="I15" t="str">
            <v>матрица</v>
          </cell>
          <cell r="K15">
            <v>101.95</v>
          </cell>
          <cell r="L15">
            <v>1.8919999999999959</v>
          </cell>
          <cell r="O15">
            <v>0</v>
          </cell>
          <cell r="P15">
            <v>20.7684</v>
          </cell>
          <cell r="Q15">
            <v>136.75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397</v>
          </cell>
          <cell r="D16">
            <v>59</v>
          </cell>
          <cell r="E16">
            <v>157</v>
          </cell>
          <cell r="F16">
            <v>252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164</v>
          </cell>
          <cell r="L16">
            <v>-7</v>
          </cell>
          <cell r="O16">
            <v>34</v>
          </cell>
          <cell r="P16">
            <v>31.4</v>
          </cell>
          <cell r="Q16">
            <v>153.59999999999997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54</v>
          </cell>
          <cell r="D17">
            <v>3</v>
          </cell>
          <cell r="E17">
            <v>51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86</v>
          </cell>
          <cell r="L17">
            <v>-35</v>
          </cell>
          <cell r="O17">
            <v>169</v>
          </cell>
          <cell r="P17">
            <v>10.199999999999999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561.03599999999994</v>
          </cell>
          <cell r="D18">
            <v>81.522000000000006</v>
          </cell>
          <cell r="E18">
            <v>403.53500000000003</v>
          </cell>
          <cell r="F18">
            <v>111.27</v>
          </cell>
          <cell r="G18">
            <v>1</v>
          </cell>
          <cell r="H18">
            <v>45</v>
          </cell>
          <cell r="I18" t="str">
            <v>матрица</v>
          </cell>
          <cell r="K18">
            <v>386.1</v>
          </cell>
          <cell r="L18">
            <v>17.435000000000002</v>
          </cell>
          <cell r="O18">
            <v>400</v>
          </cell>
          <cell r="P18">
            <v>80.707000000000008</v>
          </cell>
          <cell r="Q18">
            <v>537.92100000000005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45.255000000000003</v>
          </cell>
          <cell r="D19">
            <v>15.683</v>
          </cell>
          <cell r="E19">
            <v>35.036000000000001</v>
          </cell>
          <cell r="F19">
            <v>9.5109999999999992</v>
          </cell>
          <cell r="G19">
            <v>0</v>
          </cell>
          <cell r="H19">
            <v>120</v>
          </cell>
          <cell r="I19" t="str">
            <v>вывод</v>
          </cell>
          <cell r="K19">
            <v>34.299999999999997</v>
          </cell>
          <cell r="L19">
            <v>0.73600000000000421</v>
          </cell>
          <cell r="O19">
            <v>0</v>
          </cell>
          <cell r="P19">
            <v>7.0072000000000001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66</v>
          </cell>
          <cell r="D20">
            <v>9</v>
          </cell>
          <cell r="E20">
            <v>40</v>
          </cell>
          <cell r="F20">
            <v>21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41</v>
          </cell>
          <cell r="L20">
            <v>-1</v>
          </cell>
          <cell r="O20">
            <v>160</v>
          </cell>
          <cell r="P20">
            <v>8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619.38800000000003</v>
          </cell>
          <cell r="D21">
            <v>31.552</v>
          </cell>
          <cell r="E21">
            <v>169.84</v>
          </cell>
          <cell r="F21">
            <v>396.596</v>
          </cell>
          <cell r="G21">
            <v>1</v>
          </cell>
          <cell r="H21">
            <v>60</v>
          </cell>
          <cell r="I21" t="str">
            <v>матрица</v>
          </cell>
          <cell r="K21">
            <v>163.05000000000001</v>
          </cell>
          <cell r="L21">
            <v>6.789999999999992</v>
          </cell>
          <cell r="O21">
            <v>262</v>
          </cell>
          <cell r="P21">
            <v>33.968000000000004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D22">
            <v>485</v>
          </cell>
          <cell r="E22">
            <v>311</v>
          </cell>
          <cell r="F22">
            <v>22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439</v>
          </cell>
          <cell r="L22">
            <v>-128</v>
          </cell>
          <cell r="O22">
            <v>200</v>
          </cell>
          <cell r="P22">
            <v>62.2</v>
          </cell>
          <cell r="Q22">
            <v>462.20000000000005</v>
          </cell>
          <cell r="R22">
            <v>600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54.137</v>
          </cell>
          <cell r="D23">
            <v>33.191000000000003</v>
          </cell>
          <cell r="E23">
            <v>32.481999999999999</v>
          </cell>
          <cell r="F23">
            <v>33.914000000000001</v>
          </cell>
          <cell r="G23">
            <v>1</v>
          </cell>
          <cell r="H23">
            <v>40</v>
          </cell>
          <cell r="I23" t="str">
            <v>матрица</v>
          </cell>
          <cell r="K23">
            <v>30.86</v>
          </cell>
          <cell r="L23">
            <v>1.6219999999999999</v>
          </cell>
          <cell r="O23">
            <v>61</v>
          </cell>
          <cell r="P23">
            <v>6.4963999999999995</v>
          </cell>
          <cell r="R23">
            <v>20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173.41200000000001</v>
          </cell>
          <cell r="D24">
            <v>7.2679999999999998</v>
          </cell>
          <cell r="E24">
            <v>97.155000000000001</v>
          </cell>
          <cell r="F24">
            <v>35.661000000000001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93.8</v>
          </cell>
          <cell r="L24">
            <v>3.355000000000004</v>
          </cell>
          <cell r="O24">
            <v>325</v>
          </cell>
          <cell r="P24">
            <v>19.431000000000001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230</v>
          </cell>
          <cell r="D25">
            <v>466</v>
          </cell>
          <cell r="E25">
            <v>375</v>
          </cell>
          <cell r="F25">
            <v>136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379</v>
          </cell>
          <cell r="L25">
            <v>-4</v>
          </cell>
          <cell r="O25">
            <v>300</v>
          </cell>
          <cell r="P25">
            <v>75</v>
          </cell>
          <cell r="Q25">
            <v>539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187</v>
          </cell>
          <cell r="D26">
            <v>175</v>
          </cell>
          <cell r="E26">
            <v>221</v>
          </cell>
          <cell r="F26">
            <v>56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226</v>
          </cell>
          <cell r="L26">
            <v>-5</v>
          </cell>
          <cell r="O26">
            <v>165</v>
          </cell>
          <cell r="P26">
            <v>44.2</v>
          </cell>
          <cell r="Q26">
            <v>309.40000000000009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363</v>
          </cell>
          <cell r="D27">
            <v>17</v>
          </cell>
          <cell r="E27">
            <v>230</v>
          </cell>
          <cell r="F27">
            <v>86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238</v>
          </cell>
          <cell r="L27">
            <v>-8</v>
          </cell>
          <cell r="O27">
            <v>30</v>
          </cell>
          <cell r="P27">
            <v>46</v>
          </cell>
          <cell r="Q27">
            <v>344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357.81900000000002</v>
          </cell>
          <cell r="D28">
            <v>94.372</v>
          </cell>
          <cell r="E28">
            <v>335.70100000000002</v>
          </cell>
          <cell r="F28">
            <v>-0.22800000000000001</v>
          </cell>
          <cell r="G28">
            <v>1</v>
          </cell>
          <cell r="H28">
            <v>45</v>
          </cell>
          <cell r="I28" t="str">
            <v>матрица</v>
          </cell>
          <cell r="K28">
            <v>337.4</v>
          </cell>
          <cell r="L28">
            <v>-1.6989999999999554</v>
          </cell>
          <cell r="O28">
            <v>620</v>
          </cell>
          <cell r="P28">
            <v>67.140200000000007</v>
          </cell>
          <cell r="Q28">
            <v>320.19080000000014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113</v>
          </cell>
          <cell r="D29">
            <v>561</v>
          </cell>
          <cell r="E29">
            <v>229</v>
          </cell>
          <cell r="F29">
            <v>262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237</v>
          </cell>
          <cell r="L29">
            <v>-8</v>
          </cell>
          <cell r="O29">
            <v>150</v>
          </cell>
          <cell r="P29">
            <v>45.8</v>
          </cell>
          <cell r="Q29">
            <v>229.19999999999993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527</v>
          </cell>
          <cell r="D30">
            <v>108</v>
          </cell>
          <cell r="E30">
            <v>258</v>
          </cell>
          <cell r="F30">
            <v>289</v>
          </cell>
          <cell r="G30">
            <v>0.4</v>
          </cell>
          <cell r="H30">
            <v>60</v>
          </cell>
          <cell r="I30" t="str">
            <v>матрица</v>
          </cell>
          <cell r="K30">
            <v>264</v>
          </cell>
          <cell r="L30">
            <v>-6</v>
          </cell>
          <cell r="O30">
            <v>306</v>
          </cell>
          <cell r="P30">
            <v>51.6</v>
          </cell>
          <cell r="Q30">
            <v>127.39999999999998</v>
          </cell>
          <cell r="R30">
            <v>300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388</v>
          </cell>
          <cell r="D31">
            <v>191</v>
          </cell>
          <cell r="E31">
            <v>148</v>
          </cell>
          <cell r="F31">
            <v>333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152</v>
          </cell>
          <cell r="L31">
            <v>-4</v>
          </cell>
          <cell r="O31">
            <v>80</v>
          </cell>
          <cell r="P31">
            <v>29.6</v>
          </cell>
          <cell r="Q31">
            <v>8</v>
          </cell>
          <cell r="R31">
            <v>50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-126</v>
          </cell>
          <cell r="D32">
            <v>177</v>
          </cell>
          <cell r="E32">
            <v>44</v>
          </cell>
          <cell r="G32">
            <v>0</v>
          </cell>
          <cell r="H32">
            <v>45</v>
          </cell>
          <cell r="I32" t="str">
            <v>вывод</v>
          </cell>
          <cell r="J32" t="str">
            <v>7725 ВЕТ.МРАМОРНАЯ в/у срез 0.3кг 6шт_62  ОСТАНКИНО</v>
          </cell>
          <cell r="K32">
            <v>52</v>
          </cell>
          <cell r="L32">
            <v>-8</v>
          </cell>
          <cell r="O32">
            <v>0</v>
          </cell>
          <cell r="P32">
            <v>8.8000000000000007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214.363</v>
          </cell>
          <cell r="D33">
            <v>75.334000000000003</v>
          </cell>
          <cell r="E33">
            <v>56.350999999999999</v>
          </cell>
          <cell r="F33">
            <v>207.43700000000001</v>
          </cell>
          <cell r="G33">
            <v>1</v>
          </cell>
          <cell r="H33">
            <v>60</v>
          </cell>
          <cell r="I33" t="str">
            <v>матрица</v>
          </cell>
          <cell r="K33">
            <v>60.5</v>
          </cell>
          <cell r="L33">
            <v>-4.1490000000000009</v>
          </cell>
          <cell r="O33">
            <v>20</v>
          </cell>
          <cell r="P33">
            <v>11.270199999999999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222.64500000000001</v>
          </cell>
          <cell r="D34">
            <v>54.174999999999997</v>
          </cell>
          <cell r="E34">
            <v>108.3</v>
          </cell>
          <cell r="F34">
            <v>105.94199999999999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110.7</v>
          </cell>
          <cell r="L34">
            <v>-2.4000000000000057</v>
          </cell>
          <cell r="O34">
            <v>189</v>
          </cell>
          <cell r="P34">
            <v>21.66</v>
          </cell>
          <cell r="Q34">
            <v>8.298000000000016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250.619</v>
          </cell>
          <cell r="D35">
            <v>37.142000000000003</v>
          </cell>
          <cell r="E35">
            <v>50.317999999999998</v>
          </cell>
          <cell r="F35">
            <v>168.93199999999999</v>
          </cell>
          <cell r="G35">
            <v>1</v>
          </cell>
          <cell r="H35">
            <v>45</v>
          </cell>
          <cell r="I35" t="str">
            <v>матрица</v>
          </cell>
          <cell r="K35">
            <v>54.7</v>
          </cell>
          <cell r="L35">
            <v>-4.382000000000005</v>
          </cell>
          <cell r="O35">
            <v>138</v>
          </cell>
          <cell r="P35">
            <v>10.063599999999999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316.15100000000001</v>
          </cell>
          <cell r="D36">
            <v>42.548000000000002</v>
          </cell>
          <cell r="E36">
            <v>102.548</v>
          </cell>
          <cell r="F36">
            <v>189.06299999999999</v>
          </cell>
          <cell r="G36">
            <v>1</v>
          </cell>
          <cell r="H36">
            <v>45</v>
          </cell>
          <cell r="I36" t="str">
            <v>матрица</v>
          </cell>
          <cell r="K36">
            <v>105.7</v>
          </cell>
          <cell r="L36">
            <v>-3.152000000000001</v>
          </cell>
          <cell r="O36">
            <v>59</v>
          </cell>
          <cell r="P36">
            <v>20.509599999999999</v>
          </cell>
          <cell r="Q36">
            <v>39.071399999999983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309</v>
          </cell>
          <cell r="D37">
            <v>68</v>
          </cell>
          <cell r="E37">
            <v>268</v>
          </cell>
          <cell r="F37">
            <v>1</v>
          </cell>
          <cell r="G37">
            <v>0.3</v>
          </cell>
          <cell r="H37">
            <v>45</v>
          </cell>
          <cell r="I37" t="str">
            <v>матрица</v>
          </cell>
          <cell r="K37">
            <v>276</v>
          </cell>
          <cell r="L37">
            <v>-8</v>
          </cell>
          <cell r="O37">
            <v>445</v>
          </cell>
          <cell r="P37">
            <v>53.6</v>
          </cell>
          <cell r="Q37">
            <v>304.39999999999998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368.53500000000003</v>
          </cell>
          <cell r="D38">
            <v>21.446999999999999</v>
          </cell>
          <cell r="E38">
            <v>173.191</v>
          </cell>
          <cell r="F38">
            <v>164.34</v>
          </cell>
          <cell r="G38">
            <v>1</v>
          </cell>
          <cell r="H38">
            <v>30</v>
          </cell>
          <cell r="I38" t="str">
            <v>матрица</v>
          </cell>
          <cell r="K38">
            <v>174.6</v>
          </cell>
          <cell r="L38">
            <v>-1.4089999999999918</v>
          </cell>
          <cell r="O38">
            <v>210</v>
          </cell>
          <cell r="P38">
            <v>34.638199999999998</v>
          </cell>
          <cell r="Q38">
            <v>110.59479999999999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294.024</v>
          </cell>
          <cell r="D39">
            <v>51.595999999999997</v>
          </cell>
          <cell r="E39">
            <v>201.47200000000001</v>
          </cell>
          <cell r="F39">
            <v>17.946999999999999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194.6</v>
          </cell>
          <cell r="L39">
            <v>6.8720000000000141</v>
          </cell>
          <cell r="O39">
            <v>699</v>
          </cell>
          <cell r="P39">
            <v>40.294400000000003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442</v>
          </cell>
          <cell r="D40">
            <v>227</v>
          </cell>
          <cell r="E40">
            <v>428</v>
          </cell>
          <cell r="F40">
            <v>106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438</v>
          </cell>
          <cell r="L40">
            <v>-10</v>
          </cell>
          <cell r="O40">
            <v>636</v>
          </cell>
          <cell r="P40">
            <v>85.6</v>
          </cell>
          <cell r="Q40">
            <v>456.39999999999986</v>
          </cell>
          <cell r="R40">
            <v>600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223</v>
          </cell>
          <cell r="D41">
            <v>101</v>
          </cell>
          <cell r="E41">
            <v>311</v>
          </cell>
          <cell r="G41">
            <v>0</v>
          </cell>
          <cell r="H41">
            <v>45</v>
          </cell>
          <cell r="I41" t="str">
            <v>вывод</v>
          </cell>
          <cell r="J41" t="str">
            <v>7490 СОЧНЫЙ ГРИЛЬ сос ц/о мгс 0.41кг_Даблпак  ОСТАНКИНО</v>
          </cell>
          <cell r="K41">
            <v>339</v>
          </cell>
          <cell r="L41">
            <v>-28</v>
          </cell>
          <cell r="O41">
            <v>349</v>
          </cell>
          <cell r="P41">
            <v>62.2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196</v>
          </cell>
          <cell r="D42">
            <v>96</v>
          </cell>
          <cell r="E42">
            <v>125</v>
          </cell>
          <cell r="F42">
            <v>121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129</v>
          </cell>
          <cell r="L42">
            <v>-4</v>
          </cell>
          <cell r="O42">
            <v>125</v>
          </cell>
          <cell r="P42">
            <v>25</v>
          </cell>
          <cell r="Q42">
            <v>104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110</v>
          </cell>
          <cell r="D43">
            <v>311</v>
          </cell>
          <cell r="E43">
            <v>196</v>
          </cell>
          <cell r="F43">
            <v>107</v>
          </cell>
          <cell r="G43">
            <v>0.36</v>
          </cell>
          <cell r="H43">
            <v>45</v>
          </cell>
          <cell r="I43" t="str">
            <v>ротация на код 7520</v>
          </cell>
          <cell r="K43">
            <v>200</v>
          </cell>
          <cell r="L43">
            <v>-4</v>
          </cell>
          <cell r="O43">
            <v>469</v>
          </cell>
          <cell r="P43">
            <v>39.200000000000003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28</v>
          </cell>
          <cell r="D44">
            <v>11</v>
          </cell>
          <cell r="E44">
            <v>30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96</v>
          </cell>
          <cell r="L44">
            <v>-66</v>
          </cell>
          <cell r="O44">
            <v>170</v>
          </cell>
          <cell r="P44">
            <v>6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93</v>
          </cell>
          <cell r="D45">
            <v>15</v>
          </cell>
          <cell r="E45">
            <v>70</v>
          </cell>
          <cell r="G45">
            <v>0.4</v>
          </cell>
          <cell r="H45">
            <v>60</v>
          </cell>
          <cell r="I45" t="str">
            <v>матрица</v>
          </cell>
          <cell r="K45">
            <v>74</v>
          </cell>
          <cell r="L45">
            <v>-4</v>
          </cell>
          <cell r="O45">
            <v>100</v>
          </cell>
          <cell r="P45">
            <v>14</v>
          </cell>
          <cell r="Q45">
            <v>96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C46">
            <v>44</v>
          </cell>
          <cell r="D46">
            <v>36</v>
          </cell>
          <cell r="E46">
            <v>40</v>
          </cell>
          <cell r="F46">
            <v>28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40</v>
          </cell>
          <cell r="L46">
            <v>0</v>
          </cell>
          <cell r="O46">
            <v>80</v>
          </cell>
          <cell r="P46">
            <v>8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253.13900000000001</v>
          </cell>
          <cell r="D47">
            <v>141.732</v>
          </cell>
          <cell r="E47">
            <v>246.51900000000001</v>
          </cell>
          <cell r="F47">
            <v>6.194</v>
          </cell>
          <cell r="G47">
            <v>1</v>
          </cell>
          <cell r="H47">
            <v>45</v>
          </cell>
          <cell r="I47" t="str">
            <v>матрица</v>
          </cell>
          <cell r="K47">
            <v>231.2</v>
          </cell>
          <cell r="L47">
            <v>15.319000000000017</v>
          </cell>
          <cell r="O47">
            <v>900</v>
          </cell>
          <cell r="P47">
            <v>49.303800000000003</v>
          </cell>
          <cell r="R47">
            <v>150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62</v>
          </cell>
          <cell r="D48">
            <v>9</v>
          </cell>
          <cell r="E48">
            <v>43</v>
          </cell>
          <cell r="F48">
            <v>8</v>
          </cell>
          <cell r="G48">
            <v>0.4</v>
          </cell>
          <cell r="H48">
            <v>45</v>
          </cell>
          <cell r="I48" t="str">
            <v>матрица</v>
          </cell>
          <cell r="K48">
            <v>52</v>
          </cell>
          <cell r="L48">
            <v>-9</v>
          </cell>
          <cell r="O48">
            <v>80</v>
          </cell>
          <cell r="P48">
            <v>8.6</v>
          </cell>
          <cell r="Q48">
            <v>32.399999999999991</v>
          </cell>
          <cell r="R48">
            <v>50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37.372</v>
          </cell>
          <cell r="D49">
            <v>11.603999999999999</v>
          </cell>
          <cell r="E49">
            <v>23.236999999999998</v>
          </cell>
          <cell r="F49">
            <v>12.029</v>
          </cell>
          <cell r="G49">
            <v>1</v>
          </cell>
          <cell r="H49">
            <v>60</v>
          </cell>
          <cell r="I49" t="str">
            <v>ротация на код 7754</v>
          </cell>
          <cell r="K49">
            <v>20.100000000000001</v>
          </cell>
          <cell r="L49">
            <v>3.1369999999999969</v>
          </cell>
          <cell r="O49">
            <v>30</v>
          </cell>
          <cell r="P49">
            <v>4.6473999999999993</v>
          </cell>
          <cell r="Q49">
            <v>23.034599999999994</v>
          </cell>
          <cell r="R49">
            <v>60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25.404</v>
          </cell>
          <cell r="D50">
            <v>21.003</v>
          </cell>
          <cell r="E50">
            <v>13.45</v>
          </cell>
          <cell r="F50">
            <v>23.875</v>
          </cell>
          <cell r="G50">
            <v>1</v>
          </cell>
          <cell r="H50">
            <v>60</v>
          </cell>
          <cell r="I50" t="str">
            <v>матрица</v>
          </cell>
          <cell r="K50">
            <v>13.3</v>
          </cell>
          <cell r="L50">
            <v>0.14999999999999858</v>
          </cell>
          <cell r="O50">
            <v>49</v>
          </cell>
          <cell r="P50">
            <v>2.69</v>
          </cell>
        </row>
        <row r="51">
          <cell r="A51" t="str">
            <v>6929 КАРБОНАД ДОМАШНИЙ ПМ к/в кр/к в/у  ОСТАНКИНО</v>
          </cell>
          <cell r="B51" t="str">
            <v>кг</v>
          </cell>
          <cell r="E51">
            <v>-0.67800000000000005</v>
          </cell>
          <cell r="G51">
            <v>0</v>
          </cell>
          <cell r="H51">
            <v>45</v>
          </cell>
          <cell r="I51" t="str">
            <v>матрица</v>
          </cell>
          <cell r="K51">
            <v>1.3</v>
          </cell>
          <cell r="L51">
            <v>-1.9780000000000002</v>
          </cell>
          <cell r="O51">
            <v>0</v>
          </cell>
          <cell r="P51">
            <v>-0.1356</v>
          </cell>
        </row>
        <row r="52">
          <cell r="A52" t="str">
            <v>6967 БУРГУНДИЯ Папа может с/к в/у 1/250 8шт  Останкино</v>
          </cell>
          <cell r="B52" t="str">
            <v>шт</v>
          </cell>
          <cell r="C52">
            <v>51</v>
          </cell>
          <cell r="D52">
            <v>14</v>
          </cell>
          <cell r="E52">
            <v>42</v>
          </cell>
          <cell r="G52">
            <v>0.25</v>
          </cell>
          <cell r="H52">
            <v>120</v>
          </cell>
          <cell r="I52" t="str">
            <v>матрица</v>
          </cell>
          <cell r="K52">
            <v>53</v>
          </cell>
          <cell r="L52">
            <v>-11</v>
          </cell>
          <cell r="O52">
            <v>100</v>
          </cell>
          <cell r="P52">
            <v>8.4</v>
          </cell>
          <cell r="Q52">
            <v>17.600000000000009</v>
          </cell>
          <cell r="R52">
            <v>50</v>
          </cell>
        </row>
        <row r="53">
          <cell r="A53" t="str">
            <v>7001 КЛАССИЧЕСКИЕ Папа может сар б/о мгс 1*3  Останкино</v>
          </cell>
          <cell r="B53" t="str">
            <v>кг</v>
          </cell>
          <cell r="C53">
            <v>192.84200000000001</v>
          </cell>
          <cell r="D53">
            <v>168.41499999999999</v>
          </cell>
          <cell r="E53">
            <v>35.499000000000002</v>
          </cell>
          <cell r="F53">
            <v>156.51499999999999</v>
          </cell>
          <cell r="G53">
            <v>1</v>
          </cell>
          <cell r="H53">
            <v>45</v>
          </cell>
          <cell r="I53" t="str">
            <v>матрица</v>
          </cell>
          <cell r="K53">
            <v>36.9</v>
          </cell>
          <cell r="L53">
            <v>-1.4009999999999962</v>
          </cell>
          <cell r="O53">
            <v>50</v>
          </cell>
          <cell r="P53">
            <v>7.0998000000000001</v>
          </cell>
        </row>
        <row r="54">
          <cell r="A54" t="str">
            <v>7040 С ИНДЕЙКОЙ ПМ сос ц/о в/у 1/270 8шт.  ОСТАНКИНО</v>
          </cell>
          <cell r="B54" t="str">
            <v>шт</v>
          </cell>
          <cell r="C54">
            <v>53</v>
          </cell>
          <cell r="D54">
            <v>7</v>
          </cell>
          <cell r="E54">
            <v>53</v>
          </cell>
          <cell r="G54">
            <v>0.27</v>
          </cell>
          <cell r="H54">
            <v>45</v>
          </cell>
          <cell r="I54" t="str">
            <v>матрица</v>
          </cell>
          <cell r="K54">
            <v>85</v>
          </cell>
          <cell r="L54">
            <v>-32</v>
          </cell>
          <cell r="O54">
            <v>150</v>
          </cell>
          <cell r="P54">
            <v>10.6</v>
          </cell>
        </row>
        <row r="55">
          <cell r="A55" t="str">
            <v>7059 ШПИКАЧКИ СОЧНЫЕ С БЕК. п/о мгс 0,3кг 60с ОСТАНКИНО</v>
          </cell>
          <cell r="B55" t="str">
            <v>шт</v>
          </cell>
          <cell r="C55">
            <v>314</v>
          </cell>
          <cell r="D55">
            <v>50</v>
          </cell>
          <cell r="E55">
            <v>158</v>
          </cell>
          <cell r="F55">
            <v>142</v>
          </cell>
          <cell r="G55">
            <v>0.3</v>
          </cell>
          <cell r="H55">
            <v>60</v>
          </cell>
          <cell r="I55" t="str">
            <v>матрица</v>
          </cell>
          <cell r="K55">
            <v>160</v>
          </cell>
          <cell r="L55">
            <v>-2</v>
          </cell>
          <cell r="O55">
            <v>52</v>
          </cell>
          <cell r="P55">
            <v>31.6</v>
          </cell>
          <cell r="Q55">
            <v>216.8</v>
          </cell>
          <cell r="R55">
            <v>400</v>
          </cell>
        </row>
        <row r="56">
          <cell r="A56" t="str">
            <v>7066 СОЧНЫЕ ПМ сос п/о мгс 0,41кг 10шт 50с  Останкино</v>
          </cell>
          <cell r="B56" t="str">
            <v>шт</v>
          </cell>
          <cell r="C56">
            <v>545</v>
          </cell>
          <cell r="D56">
            <v>704</v>
          </cell>
          <cell r="E56">
            <v>699</v>
          </cell>
          <cell r="F56">
            <v>445</v>
          </cell>
          <cell r="G56">
            <v>0.41</v>
          </cell>
          <cell r="H56">
            <v>50</v>
          </cell>
          <cell r="I56" t="str">
            <v>матрица</v>
          </cell>
          <cell r="K56">
            <v>701</v>
          </cell>
          <cell r="L56">
            <v>-2</v>
          </cell>
          <cell r="O56">
            <v>848</v>
          </cell>
          <cell r="P56">
            <v>139.80000000000001</v>
          </cell>
          <cell r="Q56">
            <v>664.20000000000027</v>
          </cell>
        </row>
        <row r="57">
          <cell r="A57" t="str">
            <v>7070 СОЧНЫЕ ПМ сос п/о 1,5*4_А_50с  Останкино</v>
          </cell>
          <cell r="B57" t="str">
            <v>кг</v>
          </cell>
          <cell r="C57">
            <v>712.84299999999996</v>
          </cell>
          <cell r="D57">
            <v>387.81599999999997</v>
          </cell>
          <cell r="E57">
            <v>501.42700000000002</v>
          </cell>
          <cell r="F57">
            <v>290.54899999999998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485.3</v>
          </cell>
          <cell r="L57">
            <v>16.12700000000001</v>
          </cell>
          <cell r="O57">
            <v>550</v>
          </cell>
          <cell r="P57">
            <v>100.28540000000001</v>
          </cell>
          <cell r="Q57">
            <v>563.44660000000022</v>
          </cell>
        </row>
        <row r="58">
          <cell r="A58" t="str">
            <v>7073 МОЛОЧ.ПРЕМИУМ ПМ сос п/о в/у 1/350_50с  Останкино</v>
          </cell>
          <cell r="B58" t="str">
            <v>шт</v>
          </cell>
          <cell r="C58">
            <v>284</v>
          </cell>
          <cell r="D58">
            <v>3</v>
          </cell>
          <cell r="E58">
            <v>102</v>
          </cell>
          <cell r="F58">
            <v>63</v>
          </cell>
          <cell r="G58">
            <v>0.35</v>
          </cell>
          <cell r="H58">
            <v>50</v>
          </cell>
          <cell r="I58" t="str">
            <v>матрица</v>
          </cell>
          <cell r="K58">
            <v>104</v>
          </cell>
          <cell r="L58">
            <v>-2</v>
          </cell>
          <cell r="O58">
            <v>0</v>
          </cell>
          <cell r="P58">
            <v>20.399999999999999</v>
          </cell>
          <cell r="Q58">
            <v>141</v>
          </cell>
          <cell r="R58">
            <v>200</v>
          </cell>
        </row>
        <row r="59">
          <cell r="A59" t="str">
            <v>7075 МОЛОЧ.ПРЕМИУМ ПМ сос п/о мгс 1,5*4_О_50с  Останкино</v>
          </cell>
          <cell r="B59" t="str">
            <v>кг</v>
          </cell>
          <cell r="C59">
            <v>269.863</v>
          </cell>
          <cell r="D59">
            <v>1.5449999999999999</v>
          </cell>
          <cell r="E59">
            <v>46.616</v>
          </cell>
          <cell r="F59">
            <v>202.99100000000001</v>
          </cell>
          <cell r="G59">
            <v>1</v>
          </cell>
          <cell r="H59">
            <v>50</v>
          </cell>
          <cell r="I59" t="str">
            <v>матрица</v>
          </cell>
          <cell r="K59">
            <v>44.5</v>
          </cell>
          <cell r="L59">
            <v>2.1159999999999997</v>
          </cell>
          <cell r="O59">
            <v>0</v>
          </cell>
          <cell r="P59">
            <v>9.3231999999999999</v>
          </cell>
        </row>
        <row r="60">
          <cell r="A60" t="str">
            <v>7080 СЛИВОЧНЫЕ ПМ сос п/о мгс 0,41кг 10шт 50с  Останкино</v>
          </cell>
          <cell r="B60" t="str">
            <v>шт</v>
          </cell>
          <cell r="C60">
            <v>488</v>
          </cell>
          <cell r="D60">
            <v>247</v>
          </cell>
          <cell r="E60">
            <v>326</v>
          </cell>
          <cell r="F60">
            <v>292</v>
          </cell>
          <cell r="G60">
            <v>0.41</v>
          </cell>
          <cell r="H60">
            <v>50</v>
          </cell>
          <cell r="I60" t="str">
            <v>матрица</v>
          </cell>
          <cell r="K60">
            <v>327</v>
          </cell>
          <cell r="L60">
            <v>-1</v>
          </cell>
          <cell r="O60">
            <v>425</v>
          </cell>
          <cell r="P60">
            <v>65.2</v>
          </cell>
          <cell r="Q60">
            <v>195.80000000000007</v>
          </cell>
        </row>
        <row r="61">
          <cell r="A61" t="str">
            <v>7083 СЛИВОЧНЫЕ ПМ сос п/о мгс 1.5*4_А_50с  ОСТАНКИНО</v>
          </cell>
          <cell r="B61" t="str">
            <v>кг</v>
          </cell>
          <cell r="C61">
            <v>271.88299999999998</v>
          </cell>
          <cell r="D61">
            <v>31.026</v>
          </cell>
          <cell r="E61">
            <v>168.893</v>
          </cell>
          <cell r="F61">
            <v>66.641999999999996</v>
          </cell>
          <cell r="G61">
            <v>1</v>
          </cell>
          <cell r="H61">
            <v>50</v>
          </cell>
          <cell r="I61" t="str">
            <v>матрица</v>
          </cell>
          <cell r="K61">
            <v>158.80000000000001</v>
          </cell>
          <cell r="L61">
            <v>10.092999999999989</v>
          </cell>
          <cell r="O61">
            <v>370</v>
          </cell>
          <cell r="P61">
            <v>33.778599999999997</v>
          </cell>
          <cell r="Q61">
            <v>36.258399999999995</v>
          </cell>
          <cell r="R61">
            <v>100</v>
          </cell>
        </row>
        <row r="62">
          <cell r="A62" t="str">
            <v>7090 СВИНИНА ПО-ДОМ.к/в мл/к в/у 0,3кг_50с  Останкино</v>
          </cell>
          <cell r="B62" t="str">
            <v>шт</v>
          </cell>
          <cell r="C62">
            <v>71</v>
          </cell>
          <cell r="D62">
            <v>195</v>
          </cell>
          <cell r="E62">
            <v>80</v>
          </cell>
          <cell r="F62">
            <v>131</v>
          </cell>
          <cell r="G62">
            <v>0.3</v>
          </cell>
          <cell r="H62">
            <v>50</v>
          </cell>
          <cell r="I62" t="str">
            <v>матрица</v>
          </cell>
          <cell r="K62">
            <v>87</v>
          </cell>
          <cell r="L62">
            <v>-7</v>
          </cell>
          <cell r="O62">
            <v>150</v>
          </cell>
          <cell r="P62">
            <v>16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536</v>
          </cell>
          <cell r="D63">
            <v>185</v>
          </cell>
          <cell r="E63">
            <v>278</v>
          </cell>
          <cell r="F63">
            <v>307</v>
          </cell>
          <cell r="G63">
            <v>0.18</v>
          </cell>
          <cell r="H63">
            <v>50</v>
          </cell>
          <cell r="I63" t="str">
            <v>матрица</v>
          </cell>
          <cell r="K63">
            <v>288</v>
          </cell>
          <cell r="L63">
            <v>-10</v>
          </cell>
          <cell r="O63">
            <v>0</v>
          </cell>
          <cell r="P63">
            <v>55.6</v>
          </cell>
          <cell r="Q63">
            <v>415.80000000000007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7</v>
          </cell>
          <cell r="D64">
            <v>16</v>
          </cell>
          <cell r="E64">
            <v>18</v>
          </cell>
          <cell r="F64">
            <v>3</v>
          </cell>
          <cell r="G64">
            <v>0.22</v>
          </cell>
          <cell r="H64">
            <v>120</v>
          </cell>
          <cell r="I64" t="str">
            <v>матрица</v>
          </cell>
          <cell r="K64">
            <v>36</v>
          </cell>
          <cell r="L64">
            <v>-18</v>
          </cell>
          <cell r="O64">
            <v>50</v>
          </cell>
          <cell r="P64">
            <v>3.6</v>
          </cell>
          <cell r="R64">
            <v>50</v>
          </cell>
        </row>
        <row r="65">
          <cell r="A65" t="str">
            <v>7149 БАЛЫКОВАЯ Коровино п/к в/у 0,84кг_50с  Останкино</v>
          </cell>
          <cell r="B65" t="str">
            <v>шт</v>
          </cell>
          <cell r="C65">
            <v>67</v>
          </cell>
          <cell r="D65">
            <v>14</v>
          </cell>
          <cell r="E65">
            <v>53</v>
          </cell>
          <cell r="F65">
            <v>12</v>
          </cell>
          <cell r="G65">
            <v>0.84</v>
          </cell>
          <cell r="H65">
            <v>50</v>
          </cell>
          <cell r="I65" t="str">
            <v>матрица</v>
          </cell>
          <cell r="K65">
            <v>53</v>
          </cell>
          <cell r="L65">
            <v>0</v>
          </cell>
          <cell r="O65">
            <v>259</v>
          </cell>
          <cell r="P65">
            <v>10.6</v>
          </cell>
          <cell r="R65">
            <v>50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563</v>
          </cell>
          <cell r="D66">
            <v>136</v>
          </cell>
          <cell r="E66">
            <v>346</v>
          </cell>
          <cell r="F66">
            <v>192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356</v>
          </cell>
          <cell r="L66">
            <v>-10</v>
          </cell>
          <cell r="O66">
            <v>800</v>
          </cell>
          <cell r="P66">
            <v>69.2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C67">
            <v>480</v>
          </cell>
          <cell r="D67">
            <v>214</v>
          </cell>
          <cell r="E67">
            <v>312</v>
          </cell>
          <cell r="F67">
            <v>151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313</v>
          </cell>
          <cell r="L67">
            <v>-1</v>
          </cell>
          <cell r="O67">
            <v>450</v>
          </cell>
          <cell r="P67">
            <v>62.4</v>
          </cell>
          <cell r="Q67">
            <v>272.60000000000002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526.81700000000001</v>
          </cell>
          <cell r="D68">
            <v>45.435000000000002</v>
          </cell>
          <cell r="E68">
            <v>301.846</v>
          </cell>
          <cell r="F68">
            <v>175.608</v>
          </cell>
          <cell r="G68">
            <v>1</v>
          </cell>
          <cell r="H68">
            <v>50</v>
          </cell>
          <cell r="I68" t="str">
            <v>матрица</v>
          </cell>
          <cell r="K68">
            <v>278.10000000000002</v>
          </cell>
          <cell r="L68">
            <v>23.745999999999981</v>
          </cell>
          <cell r="O68">
            <v>275</v>
          </cell>
          <cell r="P68">
            <v>60.369199999999999</v>
          </cell>
          <cell r="Q68">
            <v>394.56080000000003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487.99900000000002</v>
          </cell>
          <cell r="D69">
            <v>46.813000000000002</v>
          </cell>
          <cell r="E69">
            <v>281.69200000000001</v>
          </cell>
          <cell r="F69">
            <v>169.678</v>
          </cell>
          <cell r="G69">
            <v>1</v>
          </cell>
          <cell r="H69">
            <v>50</v>
          </cell>
          <cell r="I69" t="str">
            <v>матрица</v>
          </cell>
          <cell r="K69">
            <v>263.5</v>
          </cell>
          <cell r="L69">
            <v>18.192000000000007</v>
          </cell>
          <cell r="O69">
            <v>414</v>
          </cell>
          <cell r="P69">
            <v>56.3384</v>
          </cell>
          <cell r="Q69">
            <v>205.05960000000005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569</v>
          </cell>
          <cell r="D70">
            <v>14</v>
          </cell>
          <cell r="E70">
            <v>214</v>
          </cell>
          <cell r="F70">
            <v>297</v>
          </cell>
          <cell r="G70">
            <v>0.35</v>
          </cell>
          <cell r="H70">
            <v>50</v>
          </cell>
          <cell r="I70" t="str">
            <v>матрица</v>
          </cell>
          <cell r="K70">
            <v>246</v>
          </cell>
          <cell r="L70">
            <v>-32</v>
          </cell>
          <cell r="O70">
            <v>200</v>
          </cell>
          <cell r="P70">
            <v>42.8</v>
          </cell>
          <cell r="Q70">
            <v>102.19999999999993</v>
          </cell>
          <cell r="R70">
            <v>200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92</v>
          </cell>
          <cell r="D71">
            <v>21</v>
          </cell>
          <cell r="E71">
            <v>90</v>
          </cell>
          <cell r="G71">
            <v>0.3</v>
          </cell>
          <cell r="H71">
            <v>50</v>
          </cell>
          <cell r="I71" t="str">
            <v>матрица</v>
          </cell>
          <cell r="K71">
            <v>98</v>
          </cell>
          <cell r="L71">
            <v>-8</v>
          </cell>
          <cell r="O71">
            <v>107</v>
          </cell>
          <cell r="P71">
            <v>18</v>
          </cell>
          <cell r="Q71">
            <v>127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263</v>
          </cell>
          <cell r="D72">
            <v>11</v>
          </cell>
          <cell r="E72">
            <v>130</v>
          </cell>
          <cell r="F72">
            <v>106</v>
          </cell>
          <cell r="G72">
            <v>0.3</v>
          </cell>
          <cell r="H72">
            <v>60</v>
          </cell>
          <cell r="I72" t="str">
            <v>матрица</v>
          </cell>
          <cell r="K72">
            <v>130</v>
          </cell>
          <cell r="L72">
            <v>0</v>
          </cell>
          <cell r="O72">
            <v>0</v>
          </cell>
          <cell r="P72">
            <v>26</v>
          </cell>
          <cell r="Q72">
            <v>180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292</v>
          </cell>
          <cell r="D73">
            <v>15</v>
          </cell>
          <cell r="E73">
            <v>259</v>
          </cell>
          <cell r="G73">
            <v>0.28000000000000003</v>
          </cell>
          <cell r="H73">
            <v>50</v>
          </cell>
          <cell r="I73" t="str">
            <v>матрица</v>
          </cell>
          <cell r="K73">
            <v>263</v>
          </cell>
          <cell r="L73">
            <v>-4</v>
          </cell>
          <cell r="O73">
            <v>350</v>
          </cell>
          <cell r="P73">
            <v>51.8</v>
          </cell>
          <cell r="Q73">
            <v>375.19999999999993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280</v>
          </cell>
          <cell r="D74">
            <v>46</v>
          </cell>
          <cell r="E74">
            <v>294</v>
          </cell>
          <cell r="G74">
            <v>0.28000000000000003</v>
          </cell>
          <cell r="H74">
            <v>45</v>
          </cell>
          <cell r="I74" t="str">
            <v>матрица</v>
          </cell>
          <cell r="K74">
            <v>297</v>
          </cell>
          <cell r="L74">
            <v>-3</v>
          </cell>
          <cell r="O74">
            <v>400</v>
          </cell>
          <cell r="P74">
            <v>58.8</v>
          </cell>
          <cell r="Q74">
            <v>423.19999999999993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392</v>
          </cell>
          <cell r="D75">
            <v>582</v>
          </cell>
          <cell r="E75">
            <v>612</v>
          </cell>
          <cell r="F75">
            <v>228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621</v>
          </cell>
          <cell r="L75">
            <v>-9</v>
          </cell>
          <cell r="O75">
            <v>649</v>
          </cell>
          <cell r="P75">
            <v>122.4</v>
          </cell>
          <cell r="Q75">
            <v>836.60000000000014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348</v>
          </cell>
          <cell r="D76">
            <v>7</v>
          </cell>
          <cell r="E76">
            <v>143</v>
          </cell>
          <cell r="F76">
            <v>164</v>
          </cell>
          <cell r="G76">
            <v>0.4</v>
          </cell>
          <cell r="H76">
            <v>50</v>
          </cell>
          <cell r="I76" t="str">
            <v>матрица</v>
          </cell>
          <cell r="K76">
            <v>144</v>
          </cell>
          <cell r="L76">
            <v>-1</v>
          </cell>
          <cell r="O76">
            <v>171</v>
          </cell>
          <cell r="P76">
            <v>28.6</v>
          </cell>
          <cell r="Q76">
            <v>65.400000000000034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-3.125</v>
          </cell>
          <cell r="D77">
            <v>247.33699999999999</v>
          </cell>
          <cell r="E77">
            <v>190.595</v>
          </cell>
          <cell r="F77">
            <v>0.93700000000000006</v>
          </cell>
          <cell r="G77">
            <v>1</v>
          </cell>
          <cell r="H77">
            <v>30</v>
          </cell>
          <cell r="I77" t="str">
            <v>матрица</v>
          </cell>
          <cell r="K77">
            <v>222.16399999999999</v>
          </cell>
          <cell r="L77">
            <v>-31.568999999999988</v>
          </cell>
          <cell r="O77">
            <v>400</v>
          </cell>
          <cell r="P77">
            <v>38.119</v>
          </cell>
          <cell r="Q77">
            <v>132.72899999999993</v>
          </cell>
          <cell r="R77">
            <v>300</v>
          </cell>
        </row>
        <row r="78">
          <cell r="A78" t="str">
            <v>7344 КОНСЕРВЫ МЯС.ГОВЯДИНА ТУШ. В/С 338г_ЧЗ  ОСТАНКИНО</v>
          </cell>
          <cell r="B78" t="str">
            <v>шт</v>
          </cell>
          <cell r="C78">
            <v>31</v>
          </cell>
          <cell r="D78">
            <v>1</v>
          </cell>
          <cell r="E78">
            <v>3</v>
          </cell>
          <cell r="F78">
            <v>28</v>
          </cell>
          <cell r="G78">
            <v>0.33800000000000002</v>
          </cell>
          <cell r="H78" t="str">
            <v>3 года</v>
          </cell>
          <cell r="I78" t="str">
            <v>матрица</v>
          </cell>
          <cell r="K78">
            <v>3</v>
          </cell>
          <cell r="L78">
            <v>0</v>
          </cell>
          <cell r="O78">
            <v>30</v>
          </cell>
          <cell r="P78">
            <v>0.6</v>
          </cell>
        </row>
        <row r="79">
          <cell r="A79" t="str">
            <v>7345 КОНСЕРВЫ МЯС.СВИНИНА ТУШ. В/С 325г_ЧЗ  ОСТАНКИНО</v>
          </cell>
          <cell r="B79" t="str">
            <v>шт</v>
          </cell>
          <cell r="C79">
            <v>71</v>
          </cell>
          <cell r="D79">
            <v>1</v>
          </cell>
          <cell r="E79">
            <v>3</v>
          </cell>
          <cell r="F79">
            <v>69</v>
          </cell>
          <cell r="G79">
            <v>0.32500000000000001</v>
          </cell>
          <cell r="H79" t="str">
            <v>3 года</v>
          </cell>
          <cell r="I79" t="str">
            <v>матрица</v>
          </cell>
          <cell r="K79">
            <v>3</v>
          </cell>
          <cell r="L79">
            <v>0</v>
          </cell>
          <cell r="O79">
            <v>0</v>
          </cell>
          <cell r="P79">
            <v>0.6</v>
          </cell>
        </row>
        <row r="80">
          <cell r="A80" t="str">
            <v>7382  САЛЯМИ МЕЛКОЗЕРНЕНАЯ с/к в/у1/120 8шт.  ОСТАНКИНО</v>
          </cell>
          <cell r="B80" t="str">
            <v>шт</v>
          </cell>
          <cell r="C80">
            <v>622</v>
          </cell>
          <cell r="D80">
            <v>9</v>
          </cell>
          <cell r="E80">
            <v>132</v>
          </cell>
          <cell r="F80">
            <v>458</v>
          </cell>
          <cell r="G80">
            <v>0.12</v>
          </cell>
          <cell r="H80">
            <v>60</v>
          </cell>
          <cell r="I80" t="str">
            <v>матрица</v>
          </cell>
          <cell r="K80">
            <v>135</v>
          </cell>
          <cell r="L80">
            <v>-3</v>
          </cell>
          <cell r="O80">
            <v>0</v>
          </cell>
          <cell r="P80">
            <v>26.4</v>
          </cell>
        </row>
        <row r="81">
          <cell r="A81" t="str">
            <v>7386 БАРСЕЛОНА ПМ с/к в/у 1/150  ОСТАНКИНО</v>
          </cell>
          <cell r="B81" t="str">
            <v>шт</v>
          </cell>
          <cell r="C81">
            <v>79</v>
          </cell>
          <cell r="D81">
            <v>86</v>
          </cell>
          <cell r="E81">
            <v>105</v>
          </cell>
          <cell r="F81">
            <v>10</v>
          </cell>
          <cell r="G81">
            <v>0.15</v>
          </cell>
          <cell r="H81">
            <v>90</v>
          </cell>
          <cell r="I81" t="str">
            <v>матрица</v>
          </cell>
          <cell r="K81">
            <v>108</v>
          </cell>
          <cell r="L81">
            <v>-3</v>
          </cell>
          <cell r="O81">
            <v>172</v>
          </cell>
          <cell r="P81">
            <v>21</v>
          </cell>
          <cell r="Q81">
            <v>112</v>
          </cell>
        </row>
        <row r="82">
          <cell r="A82" t="str">
            <v>7399 САЛЯМИ ZHAZIRA ASLAM в/к в/у 0.82кг  ОСТАНКИНО</v>
          </cell>
          <cell r="B82" t="str">
            <v>шт</v>
          </cell>
          <cell r="D82">
            <v>120</v>
          </cell>
          <cell r="E82">
            <v>47</v>
          </cell>
          <cell r="F82">
            <v>58</v>
          </cell>
          <cell r="G82">
            <v>0</v>
          </cell>
          <cell r="H82">
            <v>45</v>
          </cell>
          <cell r="I82" t="str">
            <v>РАЗОВО / АСЛАМ</v>
          </cell>
          <cell r="L82">
            <v>47</v>
          </cell>
          <cell r="O82">
            <v>0</v>
          </cell>
          <cell r="P82">
            <v>9.4</v>
          </cell>
        </row>
        <row r="83">
          <cell r="A83" t="str">
            <v>7408 МОЛОЧНАЯ ASLAM сос п/о мгс 0.41кг  ОСТАНКИНО</v>
          </cell>
          <cell r="B83" t="str">
            <v>шт</v>
          </cell>
          <cell r="D83">
            <v>300</v>
          </cell>
          <cell r="E83">
            <v>26</v>
          </cell>
          <cell r="F83">
            <v>262</v>
          </cell>
          <cell r="G83">
            <v>0</v>
          </cell>
          <cell r="I83" t="str">
            <v>РАЗОВО / АСЛАМ</v>
          </cell>
          <cell r="K83">
            <v>26</v>
          </cell>
          <cell r="L83">
            <v>0</v>
          </cell>
          <cell r="P83">
            <v>5.2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63</v>
          </cell>
          <cell r="D84">
            <v>77</v>
          </cell>
          <cell r="E84">
            <v>112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114</v>
          </cell>
          <cell r="L84">
            <v>-2</v>
          </cell>
          <cell r="O84">
            <v>122</v>
          </cell>
          <cell r="P84">
            <v>22.4</v>
          </cell>
          <cell r="Q84">
            <v>146.79999999999995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54</v>
          </cell>
          <cell r="D85">
            <v>76</v>
          </cell>
          <cell r="E85">
            <v>56</v>
          </cell>
          <cell r="F85">
            <v>19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85</v>
          </cell>
          <cell r="L85">
            <v>-29</v>
          </cell>
          <cell r="O85">
            <v>250</v>
          </cell>
          <cell r="P85">
            <v>11.2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321</v>
          </cell>
          <cell r="D86">
            <v>384</v>
          </cell>
          <cell r="E86">
            <v>388</v>
          </cell>
          <cell r="F86">
            <v>190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394</v>
          </cell>
          <cell r="L86">
            <v>-6</v>
          </cell>
          <cell r="O86">
            <v>253</v>
          </cell>
          <cell r="P86">
            <v>77.599999999999994</v>
          </cell>
          <cell r="Q86">
            <v>565.79999999999995</v>
          </cell>
        </row>
        <row r="87">
          <cell r="A87" t="str">
            <v>7490 СОЧНЫЙ ГРИЛЬ сос ц/о мгс 0.41кг_Даблпак  ОСТАНКИНО</v>
          </cell>
          <cell r="B87" t="str">
            <v>шт</v>
          </cell>
          <cell r="D87">
            <v>80</v>
          </cell>
          <cell r="E87">
            <v>311</v>
          </cell>
          <cell r="F87">
            <v>1</v>
          </cell>
          <cell r="G87">
            <v>0.41</v>
          </cell>
          <cell r="H87">
            <v>45</v>
          </cell>
          <cell r="I87" t="str">
            <v>матрица</v>
          </cell>
          <cell r="K87">
            <v>1</v>
          </cell>
          <cell r="L87">
            <v>310</v>
          </cell>
          <cell r="O87">
            <v>349</v>
          </cell>
          <cell r="P87">
            <v>62.2</v>
          </cell>
          <cell r="Q87">
            <v>458.6</v>
          </cell>
          <cell r="R87">
            <v>250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G88">
            <v>0.26</v>
          </cell>
          <cell r="H88">
            <v>45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  <cell r="R88">
            <v>200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G89">
            <v>0</v>
          </cell>
          <cell r="H89">
            <v>30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G90">
            <v>0.31</v>
          </cell>
          <cell r="H90">
            <v>45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  <cell r="R90">
            <v>100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G91">
            <v>0</v>
          </cell>
          <cell r="H91">
            <v>30</v>
          </cell>
          <cell r="I91" t="str">
            <v>матрица</v>
          </cell>
          <cell r="L91">
            <v>0</v>
          </cell>
          <cell r="O91">
            <v>0</v>
          </cell>
          <cell r="P91">
            <v>0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121</v>
          </cell>
          <cell r="D92">
            <v>128</v>
          </cell>
          <cell r="E92">
            <v>83</v>
          </cell>
          <cell r="F92">
            <v>103</v>
          </cell>
          <cell r="G92">
            <v>0.4</v>
          </cell>
          <cell r="H92">
            <v>60</v>
          </cell>
          <cell r="I92" t="str">
            <v>матрица</v>
          </cell>
          <cell r="K92">
            <v>83</v>
          </cell>
          <cell r="L92">
            <v>0</v>
          </cell>
          <cell r="O92">
            <v>169</v>
          </cell>
          <cell r="P92">
            <v>16.600000000000001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E93">
            <v>-2</v>
          </cell>
          <cell r="G93">
            <v>0</v>
          </cell>
          <cell r="H93">
            <v>60</v>
          </cell>
          <cell r="I93" t="str">
            <v>матрица</v>
          </cell>
          <cell r="K93">
            <v>15</v>
          </cell>
          <cell r="L93">
            <v>-17</v>
          </cell>
          <cell r="O93">
            <v>0</v>
          </cell>
          <cell r="P93">
            <v>-0.4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G94">
            <v>0</v>
          </cell>
          <cell r="H94">
            <v>45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G95">
            <v>0</v>
          </cell>
          <cell r="I95" t="str">
            <v>матрица</v>
          </cell>
          <cell r="K95">
            <v>4.2</v>
          </cell>
          <cell r="L95">
            <v>-4.2</v>
          </cell>
          <cell r="O95">
            <v>0</v>
          </cell>
          <cell r="P95">
            <v>0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233</v>
          </cell>
          <cell r="D96">
            <v>28</v>
          </cell>
          <cell r="E96">
            <v>125</v>
          </cell>
          <cell r="F96">
            <v>101</v>
          </cell>
          <cell r="G96">
            <v>0.33</v>
          </cell>
          <cell r="H96">
            <v>45</v>
          </cell>
          <cell r="I96" t="str">
            <v>матрица</v>
          </cell>
          <cell r="K96">
            <v>126</v>
          </cell>
          <cell r="L96">
            <v>-1</v>
          </cell>
          <cell r="O96">
            <v>0</v>
          </cell>
          <cell r="P96">
            <v>25</v>
          </cell>
          <cell r="Q96">
            <v>174</v>
          </cell>
        </row>
        <row r="97">
          <cell r="A97" t="str">
            <v>7613 АРОМАТНАЯ с/к с/н в/у 1/100 10шт_Л10  ОСТАНКИНО</v>
          </cell>
          <cell r="B97" t="str">
            <v>шт</v>
          </cell>
          <cell r="C97">
            <v>452</v>
          </cell>
          <cell r="D97">
            <v>137</v>
          </cell>
          <cell r="E97">
            <v>306</v>
          </cell>
          <cell r="F97">
            <v>195</v>
          </cell>
          <cell r="G97">
            <v>0.1</v>
          </cell>
          <cell r="H97">
            <v>60</v>
          </cell>
          <cell r="I97" t="str">
            <v>матрица</v>
          </cell>
          <cell r="K97">
            <v>321</v>
          </cell>
          <cell r="L97">
            <v>-15</v>
          </cell>
          <cell r="O97">
            <v>200</v>
          </cell>
          <cell r="P97">
            <v>61.2</v>
          </cell>
          <cell r="Q97">
            <v>400.6</v>
          </cell>
        </row>
        <row r="98">
          <cell r="A98" t="str">
            <v>7616 ЭКСТРА Папа может с/к с/н в/у 1/100_  ОСТАНКИНО</v>
          </cell>
          <cell r="B98" t="str">
            <v>шт</v>
          </cell>
          <cell r="C98">
            <v>232</v>
          </cell>
          <cell r="D98">
            <v>816</v>
          </cell>
          <cell r="E98">
            <v>240</v>
          </cell>
          <cell r="F98">
            <v>586</v>
          </cell>
          <cell r="G98">
            <v>0.1</v>
          </cell>
          <cell r="H98">
            <v>60</v>
          </cell>
          <cell r="I98" t="str">
            <v>матрица</v>
          </cell>
          <cell r="K98">
            <v>306</v>
          </cell>
          <cell r="L98">
            <v>-66</v>
          </cell>
          <cell r="O98">
            <v>100</v>
          </cell>
          <cell r="P98">
            <v>48</v>
          </cell>
        </row>
        <row r="99">
          <cell r="A99" t="str">
            <v>7632 ЭКСТРА Папа может вар п/о 0.4кг 8шт_195к  ОСТАНКИНО</v>
          </cell>
          <cell r="B99" t="str">
            <v>шт</v>
          </cell>
          <cell r="C99">
            <v>231</v>
          </cell>
          <cell r="D99">
            <v>203</v>
          </cell>
          <cell r="E99">
            <v>161</v>
          </cell>
          <cell r="F99">
            <v>182</v>
          </cell>
          <cell r="G99">
            <v>0.4</v>
          </cell>
          <cell r="H99">
            <v>60</v>
          </cell>
          <cell r="I99" t="str">
            <v>матрица</v>
          </cell>
          <cell r="K99">
            <v>172</v>
          </cell>
          <cell r="L99">
            <v>-11</v>
          </cell>
          <cell r="O99">
            <v>100</v>
          </cell>
          <cell r="P99">
            <v>32.200000000000003</v>
          </cell>
          <cell r="Q99">
            <v>168.80000000000007</v>
          </cell>
        </row>
        <row r="100">
          <cell r="A100" t="str">
            <v>7647 ХОЧУ ВЕТЧ.ИЗ СВ.ОТРУБА с/н мгс 1/100_Л11  ОСТАНКИНО</v>
          </cell>
          <cell r="B100" t="str">
            <v>шт</v>
          </cell>
          <cell r="C100">
            <v>-1</v>
          </cell>
          <cell r="D100">
            <v>1</v>
          </cell>
          <cell r="E100">
            <v>-2</v>
          </cell>
          <cell r="G100">
            <v>0</v>
          </cell>
          <cell r="I100" t="str">
            <v>вывод</v>
          </cell>
          <cell r="J100" t="str">
            <v>7730 ХОЧУ ВЕТЧ.ИЗ СВ.ОТРУБА мгс 1/100_45с_Л11  ОСТАНКИНО</v>
          </cell>
          <cell r="L100">
            <v>-2</v>
          </cell>
          <cell r="P100">
            <v>-0.4</v>
          </cell>
        </row>
        <row r="101">
          <cell r="A101" t="str">
            <v>7651 ХОЧУ ВЕТЧ.МРАМОР. ПМ с/н мгс 1/100_Л11  ОСТАНКИНО</v>
          </cell>
          <cell r="B101" t="str">
            <v>шт</v>
          </cell>
          <cell r="C101">
            <v>138</v>
          </cell>
          <cell r="E101">
            <v>91</v>
          </cell>
          <cell r="F101">
            <v>4</v>
          </cell>
          <cell r="G101">
            <v>0</v>
          </cell>
          <cell r="I101" t="str">
            <v>вывод</v>
          </cell>
          <cell r="J101" t="str">
            <v>7731 ХОЧУ ВЕТЧ. МРАМОР. с/н мгс 1/100_45с_Л11  ОСТАНКИНО</v>
          </cell>
          <cell r="K101">
            <v>104</v>
          </cell>
          <cell r="L101">
            <v>-13</v>
          </cell>
          <cell r="O101">
            <v>0</v>
          </cell>
          <cell r="P101">
            <v>18.2</v>
          </cell>
        </row>
        <row r="102">
          <cell r="A102" t="str">
            <v>7700 ЛИТОВСКАЯ с/к в/у</v>
          </cell>
          <cell r="B102" t="str">
            <v>кг</v>
          </cell>
          <cell r="C102">
            <v>70.403999999999996</v>
          </cell>
          <cell r="F102">
            <v>70.403999999999996</v>
          </cell>
          <cell r="G102">
            <v>1</v>
          </cell>
          <cell r="H102">
            <v>120</v>
          </cell>
          <cell r="I102" t="str">
            <v>матрица</v>
          </cell>
          <cell r="L102">
            <v>0</v>
          </cell>
          <cell r="O102">
            <v>0</v>
          </cell>
          <cell r="P102">
            <v>0</v>
          </cell>
        </row>
        <row r="103">
          <cell r="A103" t="str">
            <v>7710 КРАКОВСКАЯ ГОСТ п/к н/о мгс 0.3кг  ОСТАНКИНО</v>
          </cell>
          <cell r="B103" t="str">
            <v>шт</v>
          </cell>
          <cell r="C103">
            <v>-1</v>
          </cell>
          <cell r="D103">
            <v>201</v>
          </cell>
          <cell r="E103">
            <v>15</v>
          </cell>
          <cell r="F103">
            <v>183</v>
          </cell>
          <cell r="G103">
            <v>0.3</v>
          </cell>
          <cell r="H103">
            <v>45</v>
          </cell>
          <cell r="I103" t="str">
            <v>матрица</v>
          </cell>
          <cell r="K103">
            <v>44</v>
          </cell>
          <cell r="L103">
            <v>-29</v>
          </cell>
          <cell r="O103">
            <v>250</v>
          </cell>
          <cell r="P103">
            <v>3</v>
          </cell>
          <cell r="R103">
            <v>400</v>
          </cell>
        </row>
        <row r="104">
          <cell r="A104" t="str">
            <v>7725 ВЕТ.МРАМОРНАЯ в/у срез 0.3кг 6шт_62  ОСТАНКИНО</v>
          </cell>
          <cell r="B104" t="str">
            <v>шт</v>
          </cell>
          <cell r="C104">
            <v>450</v>
          </cell>
          <cell r="D104">
            <v>237</v>
          </cell>
          <cell r="E104">
            <v>233</v>
          </cell>
          <cell r="F104">
            <v>294</v>
          </cell>
          <cell r="G104">
            <v>0.3</v>
          </cell>
          <cell r="H104">
            <v>62</v>
          </cell>
          <cell r="I104" t="str">
            <v>матрица</v>
          </cell>
          <cell r="K104">
            <v>206</v>
          </cell>
          <cell r="L104">
            <v>27</v>
          </cell>
          <cell r="O104">
            <v>122</v>
          </cell>
          <cell r="P104">
            <v>46.6</v>
          </cell>
          <cell r="Q104">
            <v>236.39999999999998</v>
          </cell>
        </row>
        <row r="105">
          <cell r="A105" t="str">
            <v>7730 ХОЧУ ВЕТЧ.ИЗ СВ.ОТРУБА мгс 1/100_45с_Л11  ОСТАНКИНО</v>
          </cell>
          <cell r="B105" t="str">
            <v>шт</v>
          </cell>
          <cell r="C105">
            <v>152</v>
          </cell>
          <cell r="D105">
            <v>27</v>
          </cell>
          <cell r="E105">
            <v>79</v>
          </cell>
          <cell r="F105">
            <v>43</v>
          </cell>
          <cell r="G105">
            <v>0.1</v>
          </cell>
          <cell r="H105">
            <v>45</v>
          </cell>
          <cell r="I105" t="str">
            <v>матрица</v>
          </cell>
          <cell r="K105">
            <v>84</v>
          </cell>
          <cell r="L105">
            <v>-5</v>
          </cell>
          <cell r="O105">
            <v>0</v>
          </cell>
          <cell r="P105">
            <v>15.8</v>
          </cell>
          <cell r="Q105">
            <v>115</v>
          </cell>
          <cell r="R105">
            <v>80</v>
          </cell>
        </row>
        <row r="106">
          <cell r="A106" t="str">
            <v>7731 ХОЧУ ВЕТЧ. МРАМОР. с/н мгс 1/100_45с_Л11  ОСТАНКИНО</v>
          </cell>
          <cell r="B106" t="str">
            <v>шт</v>
          </cell>
          <cell r="C106">
            <v>-31</v>
          </cell>
          <cell r="D106">
            <v>39</v>
          </cell>
          <cell r="E106">
            <v>97</v>
          </cell>
          <cell r="F106">
            <v>0</v>
          </cell>
          <cell r="G106">
            <v>0.1</v>
          </cell>
          <cell r="I106" t="str">
            <v>матрица</v>
          </cell>
          <cell r="K106">
            <v>8</v>
          </cell>
          <cell r="L106">
            <v>89</v>
          </cell>
          <cell r="O106">
            <v>90</v>
          </cell>
          <cell r="P106">
            <v>19.399999999999999</v>
          </cell>
          <cell r="Q106">
            <v>142.79999999999998</v>
          </cell>
          <cell r="R106">
            <v>50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C107">
            <v>89.744</v>
          </cell>
          <cell r="D107">
            <v>9.9429999999999996</v>
          </cell>
          <cell r="E107">
            <v>57.988999999999997</v>
          </cell>
          <cell r="F107">
            <v>19.905999999999999</v>
          </cell>
          <cell r="G107">
            <v>1</v>
          </cell>
          <cell r="H107">
            <v>60</v>
          </cell>
          <cell r="I107" t="str">
            <v>матрица</v>
          </cell>
          <cell r="K107">
            <v>57.8</v>
          </cell>
          <cell r="L107">
            <v>0.18900000000000006</v>
          </cell>
          <cell r="O107">
            <v>115</v>
          </cell>
          <cell r="P107">
            <v>11.597799999999999</v>
          </cell>
          <cell r="Q107">
            <v>27.463199999999979</v>
          </cell>
          <cell r="R10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14" sqref="AF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22.140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22" customWidth="1"/>
    <col min="20" max="21" width="5" customWidth="1"/>
    <col min="22" max="31" width="6" customWidth="1"/>
    <col min="32" max="32" width="52" customWidth="1"/>
    <col min="33" max="33" width="7" customWidth="1"/>
    <col min="34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165</v>
      </c>
      <c r="S3" s="2" t="s">
        <v>167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22</v>
      </c>
      <c r="Q4" s="5"/>
      <c r="R4" s="5" t="s">
        <v>166</v>
      </c>
      <c r="S4" s="5" t="s">
        <v>168</v>
      </c>
      <c r="T4" s="5"/>
      <c r="U4" s="5"/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SUM(E6:E496)</f>
        <v>15537.323</v>
      </c>
      <c r="F5" s="3">
        <f>SUM(F6:F496)</f>
        <v>11921.202000000003</v>
      </c>
      <c r="G5" s="7"/>
      <c r="H5" s="5"/>
      <c r="I5" s="5"/>
      <c r="J5" s="5"/>
      <c r="K5" s="3">
        <f t="shared" ref="K5:S5" si="0">SUM(K6:K496)</f>
        <v>15669.624000000002</v>
      </c>
      <c r="L5" s="3">
        <f t="shared" si="0"/>
        <v>-132.30099999999996</v>
      </c>
      <c r="M5" s="3">
        <f t="shared" si="0"/>
        <v>0</v>
      </c>
      <c r="N5" s="3">
        <f t="shared" si="0"/>
        <v>0</v>
      </c>
      <c r="O5" s="3">
        <f t="shared" si="0"/>
        <v>19337</v>
      </c>
      <c r="P5" s="3">
        <f t="shared" si="0"/>
        <v>3107.4645999999993</v>
      </c>
      <c r="Q5" s="3">
        <f t="shared" si="0"/>
        <v>12766.899399999998</v>
      </c>
      <c r="R5" s="3">
        <f t="shared" si="0"/>
        <v>14578</v>
      </c>
      <c r="S5" s="3">
        <f t="shared" si="0"/>
        <v>4310</v>
      </c>
      <c r="T5" s="5"/>
      <c r="U5" s="5"/>
      <c r="V5" s="3">
        <f t="shared" ref="V5:AE5" si="1">SUM(V6:V496)</f>
        <v>2921.090200000001</v>
      </c>
      <c r="W5" s="3">
        <f t="shared" si="1"/>
        <v>2575.5234000000005</v>
      </c>
      <c r="X5" s="3">
        <f t="shared" si="1"/>
        <v>2573.5535999999988</v>
      </c>
      <c r="Y5" s="3">
        <f t="shared" si="1"/>
        <v>2614.1696000000006</v>
      </c>
      <c r="Z5" s="3">
        <f t="shared" si="1"/>
        <v>2799.6672000000008</v>
      </c>
      <c r="AA5" s="3">
        <f t="shared" si="1"/>
        <v>3193.3780000000006</v>
      </c>
      <c r="AB5" s="3">
        <f t="shared" si="1"/>
        <v>2962.3814000000002</v>
      </c>
      <c r="AC5" s="3">
        <f t="shared" si="1"/>
        <v>2639.1455999999998</v>
      </c>
      <c r="AD5" s="3">
        <f t="shared" si="1"/>
        <v>2648.2276000000002</v>
      </c>
      <c r="AE5" s="3">
        <f t="shared" si="1"/>
        <v>3067.9252000000001</v>
      </c>
      <c r="AF5" s="5"/>
      <c r="AG5" s="3">
        <f>SUM(AG6:AG496)</f>
        <v>6364.3600000000015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33</v>
      </c>
      <c r="B6" s="5" t="s">
        <v>34</v>
      </c>
      <c r="C6" s="5">
        <v>171.547</v>
      </c>
      <c r="D6" s="5"/>
      <c r="E6" s="5">
        <v>11.414</v>
      </c>
      <c r="F6" s="5">
        <v>160.04300000000001</v>
      </c>
      <c r="G6" s="7">
        <v>1</v>
      </c>
      <c r="H6" s="5">
        <v>120</v>
      </c>
      <c r="I6" s="5" t="s">
        <v>35</v>
      </c>
      <c r="J6" s="5"/>
      <c r="K6" s="5">
        <v>7.9</v>
      </c>
      <c r="L6" s="5">
        <f t="shared" ref="L6:L37" si="2">E6-K6</f>
        <v>3.5139999999999993</v>
      </c>
      <c r="M6" s="5"/>
      <c r="N6" s="5"/>
      <c r="O6" s="5">
        <v>0</v>
      </c>
      <c r="P6" s="5">
        <f t="shared" ref="P6:P37" si="3">E6/5</f>
        <v>2.2827999999999999</v>
      </c>
      <c r="Q6" s="4"/>
      <c r="R6" s="4">
        <f>ROUND(Q6,0)</f>
        <v>0</v>
      </c>
      <c r="S6" s="21"/>
      <c r="T6" s="5">
        <f>(F6+O6+R6)/P6</f>
        <v>70.108200455580871</v>
      </c>
      <c r="U6" s="5">
        <f t="shared" ref="U6:U37" si="4">(F6+O6)/P6</f>
        <v>70.108200455580871</v>
      </c>
      <c r="V6" s="5">
        <v>0.76</v>
      </c>
      <c r="W6" s="5">
        <v>0.86999999999999988</v>
      </c>
      <c r="X6" s="5">
        <v>3.9201999999999999</v>
      </c>
      <c r="Y6" s="5">
        <v>0.1074</v>
      </c>
      <c r="Z6" s="5">
        <v>0.21740000000000001</v>
      </c>
      <c r="AA6" s="5">
        <v>1.3042</v>
      </c>
      <c r="AB6" s="5">
        <v>0</v>
      </c>
      <c r="AC6" s="5">
        <v>0</v>
      </c>
      <c r="AD6" s="5">
        <v>0</v>
      </c>
      <c r="AE6" s="5">
        <v>0</v>
      </c>
      <c r="AF6" s="11" t="s">
        <v>36</v>
      </c>
      <c r="AG6" s="5">
        <f>G6*R6</f>
        <v>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37</v>
      </c>
      <c r="B7" s="5" t="s">
        <v>38</v>
      </c>
      <c r="C7" s="5">
        <v>117</v>
      </c>
      <c r="D7" s="5">
        <v>278</v>
      </c>
      <c r="E7" s="5">
        <v>113</v>
      </c>
      <c r="F7" s="5">
        <v>203</v>
      </c>
      <c r="G7" s="7">
        <v>0.4</v>
      </c>
      <c r="H7" s="5">
        <v>60</v>
      </c>
      <c r="I7" s="5" t="s">
        <v>35</v>
      </c>
      <c r="J7" s="5"/>
      <c r="K7" s="5">
        <v>117</v>
      </c>
      <c r="L7" s="5">
        <f t="shared" si="2"/>
        <v>-4</v>
      </c>
      <c r="M7" s="5"/>
      <c r="N7" s="5"/>
      <c r="O7" s="5">
        <v>140</v>
      </c>
      <c r="P7" s="5">
        <f t="shared" si="3"/>
        <v>22.6</v>
      </c>
      <c r="Q7" s="4"/>
      <c r="R7" s="4">
        <f t="shared" ref="R7:R70" si="5">ROUND(Q7,0)</f>
        <v>0</v>
      </c>
      <c r="S7" s="21"/>
      <c r="T7" s="5">
        <f t="shared" ref="T7:T70" si="6">(F7+O7+R7)/P7</f>
        <v>15.176991150442477</v>
      </c>
      <c r="U7" s="5">
        <f t="shared" si="4"/>
        <v>15.176991150442477</v>
      </c>
      <c r="V7" s="5">
        <v>30</v>
      </c>
      <c r="W7" s="5">
        <v>33</v>
      </c>
      <c r="X7" s="5">
        <v>16</v>
      </c>
      <c r="Y7" s="5">
        <v>30.8</v>
      </c>
      <c r="Z7" s="5">
        <v>22.6</v>
      </c>
      <c r="AA7" s="5">
        <v>29.8</v>
      </c>
      <c r="AB7" s="5">
        <v>23</v>
      </c>
      <c r="AC7" s="5">
        <v>32.4</v>
      </c>
      <c r="AD7" s="5">
        <v>20.2</v>
      </c>
      <c r="AE7" s="5">
        <v>22.6</v>
      </c>
      <c r="AF7" s="5"/>
      <c r="AG7" s="5">
        <f t="shared" ref="AG7:AG70" si="7">G7*R7</f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39</v>
      </c>
      <c r="B8" s="5" t="s">
        <v>34</v>
      </c>
      <c r="C8" s="5">
        <v>60.829000000000001</v>
      </c>
      <c r="D8" s="5">
        <v>25.527999999999999</v>
      </c>
      <c r="E8" s="5">
        <v>35.451000000000001</v>
      </c>
      <c r="F8" s="5">
        <v>47.512999999999998</v>
      </c>
      <c r="G8" s="7">
        <v>1</v>
      </c>
      <c r="H8" s="5">
        <v>120</v>
      </c>
      <c r="I8" s="5" t="s">
        <v>35</v>
      </c>
      <c r="J8" s="5"/>
      <c r="K8" s="5">
        <v>31.9</v>
      </c>
      <c r="L8" s="5">
        <f t="shared" si="2"/>
        <v>3.5510000000000019</v>
      </c>
      <c r="M8" s="5"/>
      <c r="N8" s="5"/>
      <c r="O8" s="5">
        <v>22</v>
      </c>
      <c r="P8" s="5">
        <f t="shared" si="3"/>
        <v>7.0902000000000003</v>
      </c>
      <c r="Q8" s="4">
        <f t="shared" ref="Q8:Q16" si="8">14*P8-O8-F8</f>
        <v>29.7498</v>
      </c>
      <c r="R8" s="4">
        <f t="shared" si="5"/>
        <v>30</v>
      </c>
      <c r="S8" s="21"/>
      <c r="T8" s="5">
        <f t="shared" si="6"/>
        <v>14.035288144199036</v>
      </c>
      <c r="U8" s="5">
        <f t="shared" si="4"/>
        <v>9.8040957941948044</v>
      </c>
      <c r="V8" s="5">
        <v>7.0340000000000007</v>
      </c>
      <c r="W8" s="5">
        <v>7.9428000000000001</v>
      </c>
      <c r="X8" s="5">
        <v>1.0052000000000001</v>
      </c>
      <c r="Y8" s="5">
        <v>2.4647999999999999</v>
      </c>
      <c r="Z8" s="5">
        <v>8.1918000000000006</v>
      </c>
      <c r="AA8" s="5">
        <v>2.5813999999999999</v>
      </c>
      <c r="AB8" s="5">
        <v>0.79560000000000008</v>
      </c>
      <c r="AC8" s="5">
        <v>0.99399999999999999</v>
      </c>
      <c r="AD8" s="5">
        <v>2.5045999999999999</v>
      </c>
      <c r="AE8" s="5">
        <v>4.4005999999999998</v>
      </c>
      <c r="AF8" s="5"/>
      <c r="AG8" s="5">
        <f t="shared" si="7"/>
        <v>30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40</v>
      </c>
      <c r="B9" s="5" t="s">
        <v>38</v>
      </c>
      <c r="C9" s="5">
        <v>525</v>
      </c>
      <c r="D9" s="5">
        <v>15</v>
      </c>
      <c r="E9" s="5">
        <v>80</v>
      </c>
      <c r="F9" s="5">
        <v>436</v>
      </c>
      <c r="G9" s="7">
        <v>0.25</v>
      </c>
      <c r="H9" s="5">
        <v>120</v>
      </c>
      <c r="I9" s="5" t="s">
        <v>35</v>
      </c>
      <c r="J9" s="5"/>
      <c r="K9" s="5">
        <v>81</v>
      </c>
      <c r="L9" s="5">
        <f t="shared" si="2"/>
        <v>-1</v>
      </c>
      <c r="M9" s="5"/>
      <c r="N9" s="5"/>
      <c r="O9" s="5">
        <v>0</v>
      </c>
      <c r="P9" s="5">
        <f t="shared" si="3"/>
        <v>16</v>
      </c>
      <c r="Q9" s="4"/>
      <c r="R9" s="4">
        <f t="shared" si="5"/>
        <v>0</v>
      </c>
      <c r="S9" s="21"/>
      <c r="T9" s="5">
        <f t="shared" si="6"/>
        <v>27.25</v>
      </c>
      <c r="U9" s="5">
        <f t="shared" si="4"/>
        <v>27.25</v>
      </c>
      <c r="V9" s="5">
        <v>8.1999999999999993</v>
      </c>
      <c r="W9" s="5">
        <v>7.6</v>
      </c>
      <c r="X9" s="5">
        <v>16.8</v>
      </c>
      <c r="Y9" s="5">
        <v>16.8</v>
      </c>
      <c r="Z9" s="5">
        <v>25.4</v>
      </c>
      <c r="AA9" s="5">
        <v>14.6</v>
      </c>
      <c r="AB9" s="5">
        <v>9.6</v>
      </c>
      <c r="AC9" s="5">
        <v>7.2</v>
      </c>
      <c r="AD9" s="5">
        <v>10.4</v>
      </c>
      <c r="AE9" s="5">
        <v>12.6</v>
      </c>
      <c r="AF9" s="11" t="s">
        <v>41</v>
      </c>
      <c r="AG9" s="5">
        <f t="shared" si="7"/>
        <v>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42</v>
      </c>
      <c r="B10" s="5" t="s">
        <v>34</v>
      </c>
      <c r="C10" s="5">
        <v>622.11</v>
      </c>
      <c r="D10" s="5">
        <v>747.35699999999997</v>
      </c>
      <c r="E10" s="5">
        <v>535.43899999999996</v>
      </c>
      <c r="F10" s="5">
        <v>618.91399999999999</v>
      </c>
      <c r="G10" s="7">
        <v>1</v>
      </c>
      <c r="H10" s="5">
        <v>60</v>
      </c>
      <c r="I10" s="5" t="s">
        <v>35</v>
      </c>
      <c r="J10" s="5"/>
      <c r="K10" s="5">
        <v>519.65</v>
      </c>
      <c r="L10" s="5">
        <f t="shared" si="2"/>
        <v>15.788999999999987</v>
      </c>
      <c r="M10" s="5"/>
      <c r="N10" s="5"/>
      <c r="O10" s="5">
        <v>969</v>
      </c>
      <c r="P10" s="5">
        <f t="shared" si="3"/>
        <v>107.08779999999999</v>
      </c>
      <c r="Q10" s="4"/>
      <c r="R10" s="4">
        <f t="shared" si="5"/>
        <v>0</v>
      </c>
      <c r="S10" s="21"/>
      <c r="T10" s="5">
        <f t="shared" si="6"/>
        <v>14.828150358864409</v>
      </c>
      <c r="U10" s="5">
        <f t="shared" si="4"/>
        <v>14.828150358864409</v>
      </c>
      <c r="V10" s="5">
        <v>142.6754</v>
      </c>
      <c r="W10" s="5">
        <v>129.93680000000001</v>
      </c>
      <c r="X10" s="5">
        <v>130.52940000000001</v>
      </c>
      <c r="Y10" s="5">
        <v>105.297</v>
      </c>
      <c r="Z10" s="5">
        <v>148.8186</v>
      </c>
      <c r="AA10" s="5">
        <v>163.08619999999999</v>
      </c>
      <c r="AB10" s="5">
        <v>98.185000000000002</v>
      </c>
      <c r="AC10" s="5">
        <v>188.5754</v>
      </c>
      <c r="AD10" s="5">
        <v>112.44499999999999</v>
      </c>
      <c r="AE10" s="5">
        <v>197.815</v>
      </c>
      <c r="AF10" s="5"/>
      <c r="AG10" s="5">
        <f t="shared" si="7"/>
        <v>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43</v>
      </c>
      <c r="B11" s="5" t="s">
        <v>34</v>
      </c>
      <c r="C11" s="5">
        <v>56.475999999999999</v>
      </c>
      <c r="D11" s="5">
        <v>36.170999999999999</v>
      </c>
      <c r="E11" s="5">
        <v>28.097000000000001</v>
      </c>
      <c r="F11" s="5">
        <v>47.051000000000002</v>
      </c>
      <c r="G11" s="7">
        <v>1</v>
      </c>
      <c r="H11" s="5">
        <v>120</v>
      </c>
      <c r="I11" s="5" t="s">
        <v>35</v>
      </c>
      <c r="J11" s="5"/>
      <c r="K11" s="5">
        <v>27.6</v>
      </c>
      <c r="L11" s="5">
        <f t="shared" si="2"/>
        <v>0.49699999999999989</v>
      </c>
      <c r="M11" s="5"/>
      <c r="N11" s="5"/>
      <c r="O11" s="5">
        <v>20</v>
      </c>
      <c r="P11" s="5">
        <f t="shared" si="3"/>
        <v>5.6194000000000006</v>
      </c>
      <c r="Q11" s="4">
        <f t="shared" si="8"/>
        <v>11.62060000000001</v>
      </c>
      <c r="R11" s="4">
        <f t="shared" si="5"/>
        <v>12</v>
      </c>
      <c r="S11" s="21"/>
      <c r="T11" s="5">
        <f t="shared" si="6"/>
        <v>14.067516104922232</v>
      </c>
      <c r="U11" s="5">
        <f t="shared" si="4"/>
        <v>11.932056803217424</v>
      </c>
      <c r="V11" s="5">
        <v>6.5246000000000004</v>
      </c>
      <c r="W11" s="5">
        <v>7.44</v>
      </c>
      <c r="X11" s="5">
        <v>6.5706000000000007</v>
      </c>
      <c r="Y11" s="5">
        <v>2.8273999999999999</v>
      </c>
      <c r="Z11" s="5">
        <v>7.1639999999999997</v>
      </c>
      <c r="AA11" s="5">
        <v>3.3096000000000001</v>
      </c>
      <c r="AB11" s="5">
        <v>5.1166</v>
      </c>
      <c r="AC11" s="5">
        <v>4.2884000000000002</v>
      </c>
      <c r="AD11" s="5">
        <v>2.2122000000000002</v>
      </c>
      <c r="AE11" s="5">
        <v>12.5686</v>
      </c>
      <c r="AF11" s="5"/>
      <c r="AG11" s="5">
        <f t="shared" si="7"/>
        <v>12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44</v>
      </c>
      <c r="B12" s="5" t="s">
        <v>34</v>
      </c>
      <c r="C12" s="5">
        <v>243.262</v>
      </c>
      <c r="D12" s="5">
        <v>309.44200000000001</v>
      </c>
      <c r="E12" s="5">
        <v>226.48</v>
      </c>
      <c r="F12" s="5">
        <v>199.453</v>
      </c>
      <c r="G12" s="7">
        <v>1</v>
      </c>
      <c r="H12" s="5">
        <v>60</v>
      </c>
      <c r="I12" s="5" t="s">
        <v>35</v>
      </c>
      <c r="J12" s="5"/>
      <c r="K12" s="5">
        <v>223.1</v>
      </c>
      <c r="L12" s="5">
        <f t="shared" si="2"/>
        <v>3.3799999999999955</v>
      </c>
      <c r="M12" s="5"/>
      <c r="N12" s="5"/>
      <c r="O12" s="5">
        <v>214</v>
      </c>
      <c r="P12" s="5">
        <f t="shared" si="3"/>
        <v>45.295999999999999</v>
      </c>
      <c r="Q12" s="4">
        <f t="shared" si="8"/>
        <v>220.691</v>
      </c>
      <c r="R12" s="4">
        <f t="shared" si="5"/>
        <v>221</v>
      </c>
      <c r="S12" s="21"/>
      <c r="T12" s="5">
        <f t="shared" si="6"/>
        <v>14.006821794418933</v>
      </c>
      <c r="U12" s="5">
        <f t="shared" si="4"/>
        <v>9.1278037795831857</v>
      </c>
      <c r="V12" s="5">
        <v>40.245199999999997</v>
      </c>
      <c r="W12" s="5">
        <v>43.416600000000003</v>
      </c>
      <c r="X12" s="5">
        <v>42.758800000000001</v>
      </c>
      <c r="Y12" s="5">
        <v>31.892600000000002</v>
      </c>
      <c r="Z12" s="5">
        <v>23.503599999999999</v>
      </c>
      <c r="AA12" s="5">
        <v>48.733199999999997</v>
      </c>
      <c r="AB12" s="5">
        <v>58.470599999999997</v>
      </c>
      <c r="AC12" s="5">
        <v>29.0534</v>
      </c>
      <c r="AD12" s="5">
        <v>45.863799999999998</v>
      </c>
      <c r="AE12" s="5">
        <v>58.744199999999999</v>
      </c>
      <c r="AF12" s="5"/>
      <c r="AG12" s="5">
        <f t="shared" si="7"/>
        <v>221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45</v>
      </c>
      <c r="B13" s="5" t="s">
        <v>34</v>
      </c>
      <c r="C13" s="5">
        <v>349.99599999999998</v>
      </c>
      <c r="D13" s="5">
        <v>159.136</v>
      </c>
      <c r="E13" s="5">
        <v>215.58600000000001</v>
      </c>
      <c r="F13" s="5">
        <v>172.58099999999999</v>
      </c>
      <c r="G13" s="7">
        <v>1</v>
      </c>
      <c r="H13" s="5">
        <v>60</v>
      </c>
      <c r="I13" s="5" t="s">
        <v>35</v>
      </c>
      <c r="J13" s="5"/>
      <c r="K13" s="5">
        <v>211.05</v>
      </c>
      <c r="L13" s="5">
        <f t="shared" si="2"/>
        <v>4.5360000000000014</v>
      </c>
      <c r="M13" s="5"/>
      <c r="N13" s="5"/>
      <c r="O13" s="5">
        <v>420</v>
      </c>
      <c r="P13" s="5">
        <f t="shared" si="3"/>
        <v>43.117200000000004</v>
      </c>
      <c r="Q13" s="4">
        <f t="shared" si="8"/>
        <v>11.059800000000024</v>
      </c>
      <c r="R13" s="4">
        <f t="shared" si="5"/>
        <v>11</v>
      </c>
      <c r="S13" s="21"/>
      <c r="T13" s="5">
        <f t="shared" si="6"/>
        <v>13.998613082482164</v>
      </c>
      <c r="U13" s="5">
        <f t="shared" si="4"/>
        <v>13.743494475522528</v>
      </c>
      <c r="V13" s="5">
        <v>55.126199999999997</v>
      </c>
      <c r="W13" s="5">
        <v>41.968600000000002</v>
      </c>
      <c r="X13" s="5">
        <v>50.244799999999998</v>
      </c>
      <c r="Y13" s="5">
        <v>36.288799999999988</v>
      </c>
      <c r="Z13" s="5">
        <v>54.486600000000003</v>
      </c>
      <c r="AA13" s="5">
        <v>60.668999999999997</v>
      </c>
      <c r="AB13" s="5">
        <v>62.0244</v>
      </c>
      <c r="AC13" s="5">
        <v>49.931800000000003</v>
      </c>
      <c r="AD13" s="5">
        <v>53.7774</v>
      </c>
      <c r="AE13" s="5">
        <v>54.776000000000003</v>
      </c>
      <c r="AF13" s="5"/>
      <c r="AG13" s="5">
        <f t="shared" si="7"/>
        <v>11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46</v>
      </c>
      <c r="B14" s="5" t="s">
        <v>38</v>
      </c>
      <c r="C14" s="5">
        <v>364</v>
      </c>
      <c r="D14" s="5">
        <v>10</v>
      </c>
      <c r="E14" s="5">
        <v>162</v>
      </c>
      <c r="F14" s="5">
        <v>183</v>
      </c>
      <c r="G14" s="7">
        <v>0.25</v>
      </c>
      <c r="H14" s="5">
        <v>120</v>
      </c>
      <c r="I14" s="5" t="s">
        <v>35</v>
      </c>
      <c r="J14" s="5"/>
      <c r="K14" s="5">
        <v>163</v>
      </c>
      <c r="L14" s="5">
        <f t="shared" si="2"/>
        <v>-1</v>
      </c>
      <c r="M14" s="5"/>
      <c r="N14" s="5"/>
      <c r="O14" s="5">
        <v>0</v>
      </c>
      <c r="P14" s="5">
        <f t="shared" si="3"/>
        <v>32.4</v>
      </c>
      <c r="Q14" s="4">
        <f>13*P14-O14-F14</f>
        <v>238.2</v>
      </c>
      <c r="R14" s="4">
        <f t="shared" si="5"/>
        <v>238</v>
      </c>
      <c r="S14" s="21"/>
      <c r="T14" s="5">
        <f t="shared" si="6"/>
        <v>12.993827160493828</v>
      </c>
      <c r="U14" s="5">
        <f t="shared" si="4"/>
        <v>5.6481481481481488</v>
      </c>
      <c r="V14" s="5">
        <v>15</v>
      </c>
      <c r="W14" s="5">
        <v>15.8</v>
      </c>
      <c r="X14" s="5">
        <v>10.6</v>
      </c>
      <c r="Y14" s="5">
        <v>10.4</v>
      </c>
      <c r="Z14" s="5">
        <v>13.4</v>
      </c>
      <c r="AA14" s="5">
        <v>7.4</v>
      </c>
      <c r="AB14" s="5">
        <v>16.399999999999999</v>
      </c>
      <c r="AC14" s="5">
        <v>9.1999999999999993</v>
      </c>
      <c r="AD14" s="5">
        <v>7.2</v>
      </c>
      <c r="AE14" s="5">
        <v>11.8</v>
      </c>
      <c r="AF14" s="5"/>
      <c r="AG14" s="5">
        <f t="shared" si="7"/>
        <v>59.5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47</v>
      </c>
      <c r="B15" s="5" t="s">
        <v>34</v>
      </c>
      <c r="C15" s="5">
        <v>147.78800000000001</v>
      </c>
      <c r="D15" s="5">
        <v>61.758000000000003</v>
      </c>
      <c r="E15" s="5">
        <v>103.842</v>
      </c>
      <c r="F15" s="5">
        <v>70.933999999999997</v>
      </c>
      <c r="G15" s="7">
        <v>1</v>
      </c>
      <c r="H15" s="5">
        <v>60</v>
      </c>
      <c r="I15" s="5" t="s">
        <v>35</v>
      </c>
      <c r="J15" s="5"/>
      <c r="K15" s="5">
        <v>101.95</v>
      </c>
      <c r="L15" s="5">
        <f t="shared" si="2"/>
        <v>1.8919999999999959</v>
      </c>
      <c r="M15" s="5"/>
      <c r="N15" s="5"/>
      <c r="O15" s="5">
        <v>0</v>
      </c>
      <c r="P15" s="5">
        <f t="shared" si="3"/>
        <v>20.7684</v>
      </c>
      <c r="Q15" s="4">
        <f>10*P15-O15-F15</f>
        <v>136.75</v>
      </c>
      <c r="R15" s="4">
        <f t="shared" si="5"/>
        <v>137</v>
      </c>
      <c r="S15" s="21"/>
      <c r="T15" s="5">
        <f t="shared" si="6"/>
        <v>10.012037518537779</v>
      </c>
      <c r="U15" s="5">
        <f t="shared" si="4"/>
        <v>3.4154773598351342</v>
      </c>
      <c r="V15" s="5">
        <v>11.143599999999999</v>
      </c>
      <c r="W15" s="5">
        <v>15.076599999999999</v>
      </c>
      <c r="X15" s="5">
        <v>15.7036</v>
      </c>
      <c r="Y15" s="5">
        <v>10.545199999999999</v>
      </c>
      <c r="Z15" s="5">
        <v>14.672599999999999</v>
      </c>
      <c r="AA15" s="5">
        <v>16.9358</v>
      </c>
      <c r="AB15" s="5">
        <v>23.624600000000001</v>
      </c>
      <c r="AC15" s="5">
        <v>16.122</v>
      </c>
      <c r="AD15" s="5">
        <v>7.6433999999999997</v>
      </c>
      <c r="AE15" s="5">
        <v>14.446</v>
      </c>
      <c r="AF15" s="5"/>
      <c r="AG15" s="5">
        <f t="shared" si="7"/>
        <v>137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48</v>
      </c>
      <c r="B16" s="5" t="s">
        <v>38</v>
      </c>
      <c r="C16" s="5">
        <v>397</v>
      </c>
      <c r="D16" s="5">
        <v>59</v>
      </c>
      <c r="E16" s="5">
        <v>157</v>
      </c>
      <c r="F16" s="5">
        <v>252</v>
      </c>
      <c r="G16" s="7">
        <v>0.25</v>
      </c>
      <c r="H16" s="5">
        <v>120</v>
      </c>
      <c r="I16" s="5" t="s">
        <v>35</v>
      </c>
      <c r="J16" s="5"/>
      <c r="K16" s="5">
        <v>164</v>
      </c>
      <c r="L16" s="5">
        <f t="shared" si="2"/>
        <v>-7</v>
      </c>
      <c r="M16" s="5"/>
      <c r="N16" s="5"/>
      <c r="O16" s="5">
        <v>34</v>
      </c>
      <c r="P16" s="5">
        <f t="shared" si="3"/>
        <v>31.4</v>
      </c>
      <c r="Q16" s="4">
        <f t="shared" si="8"/>
        <v>153.59999999999997</v>
      </c>
      <c r="R16" s="4">
        <f t="shared" si="5"/>
        <v>154</v>
      </c>
      <c r="S16" s="21"/>
      <c r="T16" s="5">
        <f t="shared" si="6"/>
        <v>14.012738853503185</v>
      </c>
      <c r="U16" s="5">
        <f t="shared" si="4"/>
        <v>9.1082802547770711</v>
      </c>
      <c r="V16" s="5">
        <v>30</v>
      </c>
      <c r="W16" s="5">
        <v>39.200000000000003</v>
      </c>
      <c r="X16" s="5">
        <v>43.2</v>
      </c>
      <c r="Y16" s="5">
        <v>44.4</v>
      </c>
      <c r="Z16" s="5">
        <v>57.6</v>
      </c>
      <c r="AA16" s="5">
        <v>50.2</v>
      </c>
      <c r="AB16" s="5">
        <v>39.4</v>
      </c>
      <c r="AC16" s="5">
        <v>33</v>
      </c>
      <c r="AD16" s="5">
        <v>38.4</v>
      </c>
      <c r="AE16" s="5">
        <v>24.2</v>
      </c>
      <c r="AF16" s="5"/>
      <c r="AG16" s="5">
        <f t="shared" si="7"/>
        <v>38.5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49</v>
      </c>
      <c r="B17" s="5" t="s">
        <v>38</v>
      </c>
      <c r="C17" s="5">
        <v>54</v>
      </c>
      <c r="D17" s="5">
        <v>3</v>
      </c>
      <c r="E17" s="5">
        <v>51</v>
      </c>
      <c r="F17" s="5"/>
      <c r="G17" s="7">
        <v>0.4</v>
      </c>
      <c r="H17" s="5">
        <v>60</v>
      </c>
      <c r="I17" s="5" t="s">
        <v>35</v>
      </c>
      <c r="J17" s="5"/>
      <c r="K17" s="5">
        <v>86</v>
      </c>
      <c r="L17" s="5">
        <f t="shared" si="2"/>
        <v>-35</v>
      </c>
      <c r="M17" s="5"/>
      <c r="N17" s="5"/>
      <c r="O17" s="5">
        <v>169</v>
      </c>
      <c r="P17" s="5">
        <f t="shared" si="3"/>
        <v>10.199999999999999</v>
      </c>
      <c r="Q17" s="4"/>
      <c r="R17" s="4">
        <f t="shared" si="5"/>
        <v>0</v>
      </c>
      <c r="S17" s="21"/>
      <c r="T17" s="5">
        <f t="shared" si="6"/>
        <v>16.568627450980394</v>
      </c>
      <c r="U17" s="5">
        <f t="shared" si="4"/>
        <v>16.568627450980394</v>
      </c>
      <c r="V17" s="5">
        <v>21</v>
      </c>
      <c r="W17" s="5">
        <v>9.6</v>
      </c>
      <c r="X17" s="5">
        <v>12.6</v>
      </c>
      <c r="Y17" s="5">
        <v>11.4</v>
      </c>
      <c r="Z17" s="5">
        <v>21</v>
      </c>
      <c r="AA17" s="5">
        <v>21.6</v>
      </c>
      <c r="AB17" s="5">
        <v>11</v>
      </c>
      <c r="AC17" s="5">
        <v>19.600000000000001</v>
      </c>
      <c r="AD17" s="5">
        <v>18.600000000000001</v>
      </c>
      <c r="AE17" s="5">
        <v>22.4</v>
      </c>
      <c r="AF17" s="5"/>
      <c r="AG17" s="5">
        <f t="shared" si="7"/>
        <v>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50</v>
      </c>
      <c r="B18" s="5" t="s">
        <v>34</v>
      </c>
      <c r="C18" s="5">
        <v>561.03599999999994</v>
      </c>
      <c r="D18" s="5">
        <v>81.522000000000006</v>
      </c>
      <c r="E18" s="5">
        <v>403.53500000000003</v>
      </c>
      <c r="F18" s="5">
        <v>111.27</v>
      </c>
      <c r="G18" s="7">
        <v>1</v>
      </c>
      <c r="H18" s="5">
        <v>45</v>
      </c>
      <c r="I18" s="5" t="s">
        <v>35</v>
      </c>
      <c r="J18" s="5"/>
      <c r="K18" s="5">
        <v>386.1</v>
      </c>
      <c r="L18" s="5">
        <f t="shared" si="2"/>
        <v>17.435000000000002</v>
      </c>
      <c r="M18" s="5"/>
      <c r="N18" s="5"/>
      <c r="O18" s="5">
        <v>400</v>
      </c>
      <c r="P18" s="5">
        <f t="shared" si="3"/>
        <v>80.707000000000008</v>
      </c>
      <c r="Q18" s="4">
        <f>13*P18-O18-F18</f>
        <v>537.92100000000005</v>
      </c>
      <c r="R18" s="4">
        <f t="shared" si="5"/>
        <v>538</v>
      </c>
      <c r="S18" s="21"/>
      <c r="T18" s="5">
        <f t="shared" si="6"/>
        <v>13.000978849418265</v>
      </c>
      <c r="U18" s="5">
        <f t="shared" si="4"/>
        <v>6.3348904060366502</v>
      </c>
      <c r="V18" s="5">
        <v>60.1004</v>
      </c>
      <c r="W18" s="5">
        <v>40.905200000000001</v>
      </c>
      <c r="X18" s="5">
        <v>69.438400000000001</v>
      </c>
      <c r="Y18" s="5">
        <v>41.328600000000002</v>
      </c>
      <c r="Z18" s="5">
        <v>68.407600000000002</v>
      </c>
      <c r="AA18" s="5">
        <v>70.5762</v>
      </c>
      <c r="AB18" s="5">
        <v>68.051400000000001</v>
      </c>
      <c r="AC18" s="5">
        <v>40.533799999999999</v>
      </c>
      <c r="AD18" s="5">
        <v>50.552799999999998</v>
      </c>
      <c r="AE18" s="5">
        <v>79.149000000000001</v>
      </c>
      <c r="AF18" s="5"/>
      <c r="AG18" s="5">
        <f t="shared" si="7"/>
        <v>538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5" t="s">
        <v>51</v>
      </c>
      <c r="B19" s="15" t="s">
        <v>34</v>
      </c>
      <c r="C19" s="15">
        <v>45.255000000000003</v>
      </c>
      <c r="D19" s="15">
        <v>15.683</v>
      </c>
      <c r="E19" s="15">
        <v>35.036000000000001</v>
      </c>
      <c r="F19" s="15">
        <v>9.5109999999999992</v>
      </c>
      <c r="G19" s="16">
        <v>0</v>
      </c>
      <c r="H19" s="15">
        <v>120</v>
      </c>
      <c r="I19" s="15" t="s">
        <v>52</v>
      </c>
      <c r="J19" s="15"/>
      <c r="K19" s="15">
        <v>34.299999999999997</v>
      </c>
      <c r="L19" s="15">
        <f t="shared" si="2"/>
        <v>0.73600000000000421</v>
      </c>
      <c r="M19" s="15"/>
      <c r="N19" s="15"/>
      <c r="O19" s="15">
        <v>0</v>
      </c>
      <c r="P19" s="15">
        <f t="shared" si="3"/>
        <v>7.0072000000000001</v>
      </c>
      <c r="Q19" s="17"/>
      <c r="R19" s="4">
        <f t="shared" si="5"/>
        <v>0</v>
      </c>
      <c r="S19" s="21"/>
      <c r="T19" s="5">
        <f t="shared" si="6"/>
        <v>1.3573181870076492</v>
      </c>
      <c r="U19" s="15">
        <f t="shared" si="4"/>
        <v>1.3573181870076492</v>
      </c>
      <c r="V19" s="15">
        <v>6.1440000000000001</v>
      </c>
      <c r="W19" s="15">
        <v>1.2170000000000001</v>
      </c>
      <c r="X19" s="15">
        <v>15.298</v>
      </c>
      <c r="Y19" s="15">
        <v>2.0011999999999999</v>
      </c>
      <c r="Z19" s="15">
        <v>9.5774000000000008</v>
      </c>
      <c r="AA19" s="15">
        <v>8.5001999999999995</v>
      </c>
      <c r="AB19" s="15">
        <v>11.8896</v>
      </c>
      <c r="AC19" s="15">
        <v>8.5475999999999992</v>
      </c>
      <c r="AD19" s="15">
        <v>6.8586</v>
      </c>
      <c r="AE19" s="15">
        <v>10.388</v>
      </c>
      <c r="AF19" s="15" t="s">
        <v>53</v>
      </c>
      <c r="AG19" s="5">
        <f t="shared" si="7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54</v>
      </c>
      <c r="B20" s="5" t="s">
        <v>38</v>
      </c>
      <c r="C20" s="5">
        <v>66</v>
      </c>
      <c r="D20" s="5">
        <v>9</v>
      </c>
      <c r="E20" s="5">
        <v>40</v>
      </c>
      <c r="F20" s="5">
        <v>21</v>
      </c>
      <c r="G20" s="7">
        <v>0.4</v>
      </c>
      <c r="H20" s="5">
        <v>45</v>
      </c>
      <c r="I20" s="5" t="s">
        <v>35</v>
      </c>
      <c r="J20" s="5"/>
      <c r="K20" s="5">
        <v>41</v>
      </c>
      <c r="L20" s="5">
        <f t="shared" si="2"/>
        <v>-1</v>
      </c>
      <c r="M20" s="5"/>
      <c r="N20" s="5"/>
      <c r="O20" s="5">
        <v>160</v>
      </c>
      <c r="P20" s="5">
        <f t="shared" si="3"/>
        <v>8</v>
      </c>
      <c r="Q20" s="4"/>
      <c r="R20" s="4">
        <f t="shared" si="5"/>
        <v>0</v>
      </c>
      <c r="S20" s="21"/>
      <c r="T20" s="5">
        <f t="shared" si="6"/>
        <v>22.625</v>
      </c>
      <c r="U20" s="5">
        <f t="shared" si="4"/>
        <v>22.625</v>
      </c>
      <c r="V20" s="5">
        <v>16.2</v>
      </c>
      <c r="W20" s="5">
        <v>5</v>
      </c>
      <c r="X20" s="5">
        <v>3.8</v>
      </c>
      <c r="Y20" s="5">
        <v>6.4</v>
      </c>
      <c r="Z20" s="5">
        <v>9.6</v>
      </c>
      <c r="AA20" s="5">
        <v>8.6</v>
      </c>
      <c r="AB20" s="5">
        <v>4.4000000000000004</v>
      </c>
      <c r="AC20" s="5">
        <v>8.4</v>
      </c>
      <c r="AD20" s="5">
        <v>10.4</v>
      </c>
      <c r="AE20" s="5">
        <v>12</v>
      </c>
      <c r="AF20" s="9" t="s">
        <v>73</v>
      </c>
      <c r="AG20" s="5">
        <f t="shared" si="7"/>
        <v>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55</v>
      </c>
      <c r="B21" s="5" t="s">
        <v>34</v>
      </c>
      <c r="C21" s="5">
        <v>619.38800000000003</v>
      </c>
      <c r="D21" s="5">
        <v>31.552</v>
      </c>
      <c r="E21" s="5">
        <v>169.84</v>
      </c>
      <c r="F21" s="5">
        <v>396.596</v>
      </c>
      <c r="G21" s="7">
        <v>1</v>
      </c>
      <c r="H21" s="5">
        <v>60</v>
      </c>
      <c r="I21" s="5" t="s">
        <v>35</v>
      </c>
      <c r="J21" s="5"/>
      <c r="K21" s="5">
        <v>163.05000000000001</v>
      </c>
      <c r="L21" s="5">
        <f t="shared" si="2"/>
        <v>6.789999999999992</v>
      </c>
      <c r="M21" s="5"/>
      <c r="N21" s="5"/>
      <c r="O21" s="5">
        <v>262</v>
      </c>
      <c r="P21" s="5">
        <f t="shared" si="3"/>
        <v>33.968000000000004</v>
      </c>
      <c r="Q21" s="4"/>
      <c r="R21" s="4">
        <f t="shared" si="5"/>
        <v>0</v>
      </c>
      <c r="S21" s="21"/>
      <c r="T21" s="5">
        <f t="shared" si="6"/>
        <v>19.388718794159207</v>
      </c>
      <c r="U21" s="5">
        <f t="shared" si="4"/>
        <v>19.388718794159207</v>
      </c>
      <c r="V21" s="5">
        <v>56.331400000000002</v>
      </c>
      <c r="W21" s="5">
        <v>51.843800000000002</v>
      </c>
      <c r="X21" s="5">
        <v>42.229399999999998</v>
      </c>
      <c r="Y21" s="5">
        <v>45.889400000000002</v>
      </c>
      <c r="Z21" s="5">
        <v>41.034599999999998</v>
      </c>
      <c r="AA21" s="5">
        <v>58.996200000000002</v>
      </c>
      <c r="AB21" s="5">
        <v>55.147399999999998</v>
      </c>
      <c r="AC21" s="5">
        <v>40.955800000000004</v>
      </c>
      <c r="AD21" s="5">
        <v>44.343600000000002</v>
      </c>
      <c r="AE21" s="5">
        <v>53.409799999999997</v>
      </c>
      <c r="AF21" s="5"/>
      <c r="AG21" s="5">
        <f t="shared" si="7"/>
        <v>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56</v>
      </c>
      <c r="B22" s="5" t="s">
        <v>38</v>
      </c>
      <c r="C22" s="5"/>
      <c r="D22" s="5">
        <v>485</v>
      </c>
      <c r="E22" s="5">
        <v>311</v>
      </c>
      <c r="F22" s="5">
        <v>22</v>
      </c>
      <c r="G22" s="7">
        <v>0.22</v>
      </c>
      <c r="H22" s="5">
        <v>120</v>
      </c>
      <c r="I22" s="5" t="s">
        <v>35</v>
      </c>
      <c r="J22" s="5"/>
      <c r="K22" s="5">
        <v>439</v>
      </c>
      <c r="L22" s="5">
        <f t="shared" si="2"/>
        <v>-128</v>
      </c>
      <c r="M22" s="5"/>
      <c r="N22" s="5"/>
      <c r="O22" s="5">
        <v>200</v>
      </c>
      <c r="P22" s="5">
        <f t="shared" si="3"/>
        <v>62.2</v>
      </c>
      <c r="Q22" s="4">
        <f>11*P22-O22-F22</f>
        <v>462.20000000000005</v>
      </c>
      <c r="R22" s="4">
        <f>S22</f>
        <v>600</v>
      </c>
      <c r="S22" s="21">
        <f>VLOOKUP(A22,[1]Sheet!$A:$R,18,0)</f>
        <v>600</v>
      </c>
      <c r="T22" s="5">
        <f t="shared" si="6"/>
        <v>13.215434083601286</v>
      </c>
      <c r="U22" s="5">
        <f t="shared" si="4"/>
        <v>3.5691318327974275</v>
      </c>
      <c r="V22" s="5">
        <v>27.4</v>
      </c>
      <c r="W22" s="5">
        <v>6.6</v>
      </c>
      <c r="X22" s="5">
        <v>72.599999999999994</v>
      </c>
      <c r="Y22" s="5">
        <v>82.6</v>
      </c>
      <c r="Z22" s="5">
        <v>67.2</v>
      </c>
      <c r="AA22" s="5">
        <v>96.8</v>
      </c>
      <c r="AB22" s="5">
        <v>100.6</v>
      </c>
      <c r="AC22" s="5">
        <v>103.8</v>
      </c>
      <c r="AD22" s="5">
        <v>95.4</v>
      </c>
      <c r="AE22" s="5">
        <v>97.4</v>
      </c>
      <c r="AF22" s="5" t="s">
        <v>57</v>
      </c>
      <c r="AG22" s="5">
        <f t="shared" si="7"/>
        <v>132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58</v>
      </c>
      <c r="B23" s="5" t="s">
        <v>34</v>
      </c>
      <c r="C23" s="5">
        <v>54.137</v>
      </c>
      <c r="D23" s="5">
        <v>33.191000000000003</v>
      </c>
      <c r="E23" s="5">
        <v>32.481999999999999</v>
      </c>
      <c r="F23" s="5">
        <v>33.914000000000001</v>
      </c>
      <c r="G23" s="7">
        <v>1</v>
      </c>
      <c r="H23" s="5">
        <v>40</v>
      </c>
      <c r="I23" s="5" t="s">
        <v>35</v>
      </c>
      <c r="J23" s="5"/>
      <c r="K23" s="5">
        <v>30.86</v>
      </c>
      <c r="L23" s="5">
        <f t="shared" si="2"/>
        <v>1.6219999999999999</v>
      </c>
      <c r="M23" s="5"/>
      <c r="N23" s="5"/>
      <c r="O23" s="5">
        <v>61</v>
      </c>
      <c r="P23" s="5">
        <f t="shared" si="3"/>
        <v>6.4963999999999995</v>
      </c>
      <c r="Q23" s="4"/>
      <c r="R23" s="4">
        <f>S23</f>
        <v>20</v>
      </c>
      <c r="S23" s="21">
        <f>VLOOKUP(A23,[1]Sheet!$A:$R,18,0)</f>
        <v>20</v>
      </c>
      <c r="T23" s="5">
        <f t="shared" si="6"/>
        <v>17.688873837817869</v>
      </c>
      <c r="U23" s="5">
        <f t="shared" si="4"/>
        <v>14.610245674527432</v>
      </c>
      <c r="V23" s="5">
        <v>8.9047999999999998</v>
      </c>
      <c r="W23" s="5">
        <v>7.6651999999999996</v>
      </c>
      <c r="X23" s="5">
        <v>8.4291999999999998</v>
      </c>
      <c r="Y23" s="5">
        <v>6.2392000000000003</v>
      </c>
      <c r="Z23" s="5">
        <v>7.6382000000000003</v>
      </c>
      <c r="AA23" s="5">
        <v>8.5272000000000006</v>
      </c>
      <c r="AB23" s="5">
        <v>6.7948000000000004</v>
      </c>
      <c r="AC23" s="5">
        <v>6.8343999999999996</v>
      </c>
      <c r="AD23" s="5">
        <v>6.0042</v>
      </c>
      <c r="AE23" s="5">
        <v>7.3087999999999997</v>
      </c>
      <c r="AF23" s="5" t="s">
        <v>59</v>
      </c>
      <c r="AG23" s="5">
        <f t="shared" si="7"/>
        <v>20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60</v>
      </c>
      <c r="B24" s="5" t="s">
        <v>34</v>
      </c>
      <c r="C24" s="5">
        <v>173.41200000000001</v>
      </c>
      <c r="D24" s="5">
        <v>7.2679999999999998</v>
      </c>
      <c r="E24" s="5">
        <v>97.155000000000001</v>
      </c>
      <c r="F24" s="5">
        <v>35.661000000000001</v>
      </c>
      <c r="G24" s="7">
        <v>1</v>
      </c>
      <c r="H24" s="5">
        <v>60</v>
      </c>
      <c r="I24" s="5" t="s">
        <v>35</v>
      </c>
      <c r="J24" s="5"/>
      <c r="K24" s="5">
        <v>93.8</v>
      </c>
      <c r="L24" s="5">
        <f t="shared" si="2"/>
        <v>3.355000000000004</v>
      </c>
      <c r="M24" s="5"/>
      <c r="N24" s="5"/>
      <c r="O24" s="5">
        <v>325</v>
      </c>
      <c r="P24" s="5">
        <f t="shared" si="3"/>
        <v>19.431000000000001</v>
      </c>
      <c r="Q24" s="4"/>
      <c r="R24" s="4">
        <f t="shared" si="5"/>
        <v>0</v>
      </c>
      <c r="S24" s="21"/>
      <c r="T24" s="5">
        <f t="shared" si="6"/>
        <v>18.561113684318872</v>
      </c>
      <c r="U24" s="5">
        <f t="shared" si="4"/>
        <v>18.561113684318872</v>
      </c>
      <c r="V24" s="5">
        <v>42.6342</v>
      </c>
      <c r="W24" s="5">
        <v>21.335799999999999</v>
      </c>
      <c r="X24" s="5">
        <v>24.572399999999998</v>
      </c>
      <c r="Y24" s="5">
        <v>12.414400000000001</v>
      </c>
      <c r="Z24" s="5">
        <v>40.942799999999998</v>
      </c>
      <c r="AA24" s="5">
        <v>20.069199999999999</v>
      </c>
      <c r="AB24" s="5">
        <v>18.4602</v>
      </c>
      <c r="AC24" s="5">
        <v>27.0306</v>
      </c>
      <c r="AD24" s="5">
        <v>24.778199999999998</v>
      </c>
      <c r="AE24" s="5">
        <v>30.382400000000001</v>
      </c>
      <c r="AF24" s="5"/>
      <c r="AG24" s="5">
        <f t="shared" si="7"/>
        <v>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61</v>
      </c>
      <c r="B25" s="5" t="s">
        <v>38</v>
      </c>
      <c r="C25" s="5">
        <v>230</v>
      </c>
      <c r="D25" s="5">
        <v>466</v>
      </c>
      <c r="E25" s="5">
        <v>375</v>
      </c>
      <c r="F25" s="5">
        <v>136</v>
      </c>
      <c r="G25" s="7">
        <v>0.09</v>
      </c>
      <c r="H25" s="5">
        <v>60</v>
      </c>
      <c r="I25" s="5" t="s">
        <v>35</v>
      </c>
      <c r="J25" s="5"/>
      <c r="K25" s="5">
        <v>379</v>
      </c>
      <c r="L25" s="5">
        <f t="shared" si="2"/>
        <v>-4</v>
      </c>
      <c r="M25" s="5"/>
      <c r="N25" s="5"/>
      <c r="O25" s="5">
        <v>300</v>
      </c>
      <c r="P25" s="5">
        <f t="shared" si="3"/>
        <v>75</v>
      </c>
      <c r="Q25" s="4">
        <f>13*P25-O25-F25</f>
        <v>539</v>
      </c>
      <c r="R25" s="4">
        <f t="shared" si="5"/>
        <v>539</v>
      </c>
      <c r="S25" s="21"/>
      <c r="T25" s="5">
        <f t="shared" si="6"/>
        <v>13</v>
      </c>
      <c r="U25" s="5">
        <f t="shared" si="4"/>
        <v>5.8133333333333335</v>
      </c>
      <c r="V25" s="5">
        <v>50.6</v>
      </c>
      <c r="W25" s="5">
        <v>54.8</v>
      </c>
      <c r="X25" s="5">
        <v>46.6</v>
      </c>
      <c r="Y25" s="5">
        <v>45.4</v>
      </c>
      <c r="Z25" s="5">
        <v>62.8</v>
      </c>
      <c r="AA25" s="5">
        <v>58.2</v>
      </c>
      <c r="AB25" s="5">
        <v>56.6</v>
      </c>
      <c r="AC25" s="5">
        <v>46.8</v>
      </c>
      <c r="AD25" s="5">
        <v>44.8</v>
      </c>
      <c r="AE25" s="5">
        <v>65.599999999999994</v>
      </c>
      <c r="AF25" s="5"/>
      <c r="AG25" s="5">
        <f t="shared" si="7"/>
        <v>48.51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62</v>
      </c>
      <c r="B26" s="5" t="s">
        <v>38</v>
      </c>
      <c r="C26" s="5">
        <v>187</v>
      </c>
      <c r="D26" s="5">
        <v>175</v>
      </c>
      <c r="E26" s="5">
        <v>221</v>
      </c>
      <c r="F26" s="5">
        <v>56</v>
      </c>
      <c r="G26" s="7">
        <v>0.09</v>
      </c>
      <c r="H26" s="5">
        <v>45</v>
      </c>
      <c r="I26" s="5" t="s">
        <v>35</v>
      </c>
      <c r="J26" s="5"/>
      <c r="K26" s="5">
        <v>226</v>
      </c>
      <c r="L26" s="5">
        <f t="shared" si="2"/>
        <v>-5</v>
      </c>
      <c r="M26" s="5"/>
      <c r="N26" s="5"/>
      <c r="O26" s="5">
        <v>165</v>
      </c>
      <c r="P26" s="5">
        <f t="shared" si="3"/>
        <v>44.2</v>
      </c>
      <c r="Q26" s="4">
        <f>12*P26-O26-F26</f>
        <v>309.40000000000009</v>
      </c>
      <c r="R26" s="4">
        <f t="shared" si="5"/>
        <v>309</v>
      </c>
      <c r="S26" s="21"/>
      <c r="T26" s="5">
        <f t="shared" si="6"/>
        <v>11.990950226244344</v>
      </c>
      <c r="U26" s="5">
        <f t="shared" si="4"/>
        <v>5</v>
      </c>
      <c r="V26" s="5">
        <v>29.8</v>
      </c>
      <c r="W26" s="5">
        <v>30.2</v>
      </c>
      <c r="X26" s="5">
        <v>25.8</v>
      </c>
      <c r="Y26" s="5">
        <v>38.799999999999997</v>
      </c>
      <c r="Z26" s="5">
        <v>34.4</v>
      </c>
      <c r="AA26" s="5">
        <v>50.2</v>
      </c>
      <c r="AB26" s="5">
        <v>35.799999999999997</v>
      </c>
      <c r="AC26" s="5">
        <v>34.799999999999997</v>
      </c>
      <c r="AD26" s="5">
        <v>39.200000000000003</v>
      </c>
      <c r="AE26" s="5">
        <v>30.8</v>
      </c>
      <c r="AF26" s="5"/>
      <c r="AG26" s="5">
        <f t="shared" si="7"/>
        <v>27.81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63</v>
      </c>
      <c r="B27" s="5" t="s">
        <v>38</v>
      </c>
      <c r="C27" s="5">
        <v>363</v>
      </c>
      <c r="D27" s="5">
        <v>17</v>
      </c>
      <c r="E27" s="5">
        <v>230</v>
      </c>
      <c r="F27" s="5">
        <v>86</v>
      </c>
      <c r="G27" s="7">
        <v>0.15</v>
      </c>
      <c r="H27" s="5">
        <v>45</v>
      </c>
      <c r="I27" s="5" t="s">
        <v>35</v>
      </c>
      <c r="J27" s="5"/>
      <c r="K27" s="5">
        <v>238</v>
      </c>
      <c r="L27" s="5">
        <f t="shared" si="2"/>
        <v>-8</v>
      </c>
      <c r="M27" s="5"/>
      <c r="N27" s="5"/>
      <c r="O27" s="5">
        <v>30</v>
      </c>
      <c r="P27" s="5">
        <f t="shared" si="3"/>
        <v>46</v>
      </c>
      <c r="Q27" s="4">
        <f>10*P27-O27-F27</f>
        <v>344</v>
      </c>
      <c r="R27" s="4">
        <f t="shared" si="5"/>
        <v>344</v>
      </c>
      <c r="S27" s="21"/>
      <c r="T27" s="5">
        <f t="shared" si="6"/>
        <v>10</v>
      </c>
      <c r="U27" s="5">
        <f t="shared" si="4"/>
        <v>2.5217391304347827</v>
      </c>
      <c r="V27" s="5">
        <v>23.4</v>
      </c>
      <c r="W27" s="5">
        <v>23.2</v>
      </c>
      <c r="X27" s="5">
        <v>25</v>
      </c>
      <c r="Y27" s="5">
        <v>21.6</v>
      </c>
      <c r="Z27" s="5">
        <v>32</v>
      </c>
      <c r="AA27" s="5">
        <v>41</v>
      </c>
      <c r="AB27" s="5">
        <v>26.2</v>
      </c>
      <c r="AC27" s="5">
        <v>35.4</v>
      </c>
      <c r="AD27" s="5">
        <v>32.200000000000003</v>
      </c>
      <c r="AE27" s="5">
        <v>24.6</v>
      </c>
      <c r="AF27" s="5"/>
      <c r="AG27" s="5">
        <f t="shared" si="7"/>
        <v>51.6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64</v>
      </c>
      <c r="B28" s="5" t="s">
        <v>34</v>
      </c>
      <c r="C28" s="5">
        <v>357.81900000000002</v>
      </c>
      <c r="D28" s="5">
        <v>94.372</v>
      </c>
      <c r="E28" s="5">
        <v>335.70100000000002</v>
      </c>
      <c r="F28" s="5">
        <v>-0.22800000000000001</v>
      </c>
      <c r="G28" s="7">
        <v>1</v>
      </c>
      <c r="H28" s="5">
        <v>45</v>
      </c>
      <c r="I28" s="5" t="s">
        <v>35</v>
      </c>
      <c r="J28" s="5"/>
      <c r="K28" s="5">
        <v>337.4</v>
      </c>
      <c r="L28" s="5">
        <f t="shared" si="2"/>
        <v>-1.6989999999999554</v>
      </c>
      <c r="M28" s="5"/>
      <c r="N28" s="5"/>
      <c r="O28" s="5">
        <v>620</v>
      </c>
      <c r="P28" s="5">
        <f t="shared" si="3"/>
        <v>67.140200000000007</v>
      </c>
      <c r="Q28" s="4">
        <f t="shared" ref="Q28:Q30" si="9">14*P28-O28-F28</f>
        <v>320.19080000000014</v>
      </c>
      <c r="R28" s="4">
        <f t="shared" si="5"/>
        <v>320</v>
      </c>
      <c r="S28" s="21"/>
      <c r="T28" s="5">
        <f t="shared" si="6"/>
        <v>13.997158185409038</v>
      </c>
      <c r="U28" s="5">
        <f t="shared" si="4"/>
        <v>9.2310121209052092</v>
      </c>
      <c r="V28" s="5">
        <v>74.251599999999996</v>
      </c>
      <c r="W28" s="5">
        <v>48.738</v>
      </c>
      <c r="X28" s="5">
        <v>62.7712</v>
      </c>
      <c r="Y28" s="5">
        <v>55.223999999999997</v>
      </c>
      <c r="Z28" s="5">
        <v>72.854399999999998</v>
      </c>
      <c r="AA28" s="5">
        <v>72.474000000000004</v>
      </c>
      <c r="AB28" s="5">
        <v>75.914000000000001</v>
      </c>
      <c r="AC28" s="5">
        <v>85.097200000000001</v>
      </c>
      <c r="AD28" s="5">
        <v>86.089399999999998</v>
      </c>
      <c r="AE28" s="5">
        <v>101.1476</v>
      </c>
      <c r="AF28" s="5"/>
      <c r="AG28" s="5">
        <f t="shared" si="7"/>
        <v>320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65</v>
      </c>
      <c r="B29" s="5" t="s">
        <v>38</v>
      </c>
      <c r="C29" s="5">
        <v>113</v>
      </c>
      <c r="D29" s="5">
        <v>561</v>
      </c>
      <c r="E29" s="5">
        <v>229</v>
      </c>
      <c r="F29" s="5">
        <v>262</v>
      </c>
      <c r="G29" s="7">
        <v>0.4</v>
      </c>
      <c r="H29" s="5">
        <v>60</v>
      </c>
      <c r="I29" s="5" t="s">
        <v>35</v>
      </c>
      <c r="J29" s="5"/>
      <c r="K29" s="5">
        <v>237</v>
      </c>
      <c r="L29" s="5">
        <f t="shared" si="2"/>
        <v>-8</v>
      </c>
      <c r="M29" s="5"/>
      <c r="N29" s="5"/>
      <c r="O29" s="5">
        <v>150</v>
      </c>
      <c r="P29" s="5">
        <f t="shared" si="3"/>
        <v>45.8</v>
      </c>
      <c r="Q29" s="4">
        <f t="shared" si="9"/>
        <v>229.19999999999993</v>
      </c>
      <c r="R29" s="4">
        <f t="shared" si="5"/>
        <v>229</v>
      </c>
      <c r="S29" s="21"/>
      <c r="T29" s="5">
        <f t="shared" si="6"/>
        <v>13.995633187772926</v>
      </c>
      <c r="U29" s="5">
        <f t="shared" si="4"/>
        <v>8.9956331877729259</v>
      </c>
      <c r="V29" s="5">
        <v>41.8</v>
      </c>
      <c r="W29" s="5">
        <v>50.6</v>
      </c>
      <c r="X29" s="5">
        <v>37.799999999999997</v>
      </c>
      <c r="Y29" s="5">
        <v>33.200000000000003</v>
      </c>
      <c r="Z29" s="5">
        <v>33</v>
      </c>
      <c r="AA29" s="5">
        <v>46.4</v>
      </c>
      <c r="AB29" s="5">
        <v>36.6</v>
      </c>
      <c r="AC29" s="5">
        <v>33.4</v>
      </c>
      <c r="AD29" s="5">
        <v>46.4</v>
      </c>
      <c r="AE29" s="5">
        <v>43.2</v>
      </c>
      <c r="AF29" s="5" t="s">
        <v>66</v>
      </c>
      <c r="AG29" s="5">
        <f t="shared" si="7"/>
        <v>91.600000000000009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67</v>
      </c>
      <c r="B30" s="5" t="s">
        <v>38</v>
      </c>
      <c r="C30" s="5">
        <v>527</v>
      </c>
      <c r="D30" s="5">
        <v>108</v>
      </c>
      <c r="E30" s="5">
        <v>258</v>
      </c>
      <c r="F30" s="5">
        <v>289</v>
      </c>
      <c r="G30" s="7">
        <v>0.4</v>
      </c>
      <c r="H30" s="5">
        <v>60</v>
      </c>
      <c r="I30" s="5" t="s">
        <v>35</v>
      </c>
      <c r="J30" s="5"/>
      <c r="K30" s="5">
        <v>264</v>
      </c>
      <c r="L30" s="5">
        <f t="shared" si="2"/>
        <v>-6</v>
      </c>
      <c r="M30" s="5"/>
      <c r="N30" s="5"/>
      <c r="O30" s="5">
        <v>306</v>
      </c>
      <c r="P30" s="5">
        <f t="shared" si="3"/>
        <v>51.6</v>
      </c>
      <c r="Q30" s="4">
        <f t="shared" si="9"/>
        <v>127.39999999999998</v>
      </c>
      <c r="R30" s="4">
        <f t="shared" ref="R30:R31" si="10">S30</f>
        <v>300</v>
      </c>
      <c r="S30" s="21">
        <f>VLOOKUP(A30,[1]Sheet!$A:$R,18,0)</f>
        <v>300</v>
      </c>
      <c r="T30" s="5">
        <f t="shared" si="6"/>
        <v>17.344961240310077</v>
      </c>
      <c r="U30" s="5">
        <f t="shared" si="4"/>
        <v>11.531007751937985</v>
      </c>
      <c r="V30" s="5">
        <v>55.8</v>
      </c>
      <c r="W30" s="5">
        <v>62.6</v>
      </c>
      <c r="X30" s="5">
        <v>43</v>
      </c>
      <c r="Y30" s="5">
        <v>55.4</v>
      </c>
      <c r="Z30" s="5">
        <v>52.8</v>
      </c>
      <c r="AA30" s="5">
        <v>72.400000000000006</v>
      </c>
      <c r="AB30" s="5">
        <v>60.4</v>
      </c>
      <c r="AC30" s="5">
        <v>48.8</v>
      </c>
      <c r="AD30" s="5">
        <v>45</v>
      </c>
      <c r="AE30" s="5">
        <v>32</v>
      </c>
      <c r="AF30" s="5"/>
      <c r="AG30" s="5">
        <f t="shared" si="7"/>
        <v>120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68</v>
      </c>
      <c r="B31" s="5" t="s">
        <v>38</v>
      </c>
      <c r="C31" s="5">
        <v>388</v>
      </c>
      <c r="D31" s="5">
        <v>191</v>
      </c>
      <c r="E31" s="5">
        <v>148</v>
      </c>
      <c r="F31" s="5">
        <v>333</v>
      </c>
      <c r="G31" s="7">
        <v>0.4</v>
      </c>
      <c r="H31" s="5">
        <v>60</v>
      </c>
      <c r="I31" s="5" t="s">
        <v>35</v>
      </c>
      <c r="J31" s="5"/>
      <c r="K31" s="5">
        <v>152</v>
      </c>
      <c r="L31" s="5">
        <f t="shared" si="2"/>
        <v>-4</v>
      </c>
      <c r="M31" s="5"/>
      <c r="N31" s="5"/>
      <c r="O31" s="5">
        <v>80</v>
      </c>
      <c r="P31" s="5">
        <f t="shared" si="3"/>
        <v>29.6</v>
      </c>
      <c r="Q31" s="4">
        <v>8</v>
      </c>
      <c r="R31" s="4">
        <f t="shared" si="10"/>
        <v>50</v>
      </c>
      <c r="S31" s="21">
        <f>VLOOKUP(A31,[1]Sheet!$A:$R,18,0)</f>
        <v>50</v>
      </c>
      <c r="T31" s="5">
        <f t="shared" si="6"/>
        <v>15.641891891891891</v>
      </c>
      <c r="U31" s="5">
        <f t="shared" si="4"/>
        <v>13.952702702702702</v>
      </c>
      <c r="V31" s="5">
        <v>36</v>
      </c>
      <c r="W31" s="5">
        <v>51.4</v>
      </c>
      <c r="X31" s="5">
        <v>33.6</v>
      </c>
      <c r="Y31" s="5">
        <v>45.4</v>
      </c>
      <c r="Z31" s="5">
        <v>35.200000000000003</v>
      </c>
      <c r="AA31" s="5">
        <v>62.6</v>
      </c>
      <c r="AB31" s="5">
        <v>39.200000000000003</v>
      </c>
      <c r="AC31" s="5">
        <v>37.799999999999997</v>
      </c>
      <c r="AD31" s="5">
        <v>42.8</v>
      </c>
      <c r="AE31" s="5">
        <v>27.4</v>
      </c>
      <c r="AF31" s="5"/>
      <c r="AG31" s="5">
        <f t="shared" si="7"/>
        <v>20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15" t="s">
        <v>69</v>
      </c>
      <c r="B32" s="15" t="s">
        <v>38</v>
      </c>
      <c r="C32" s="15">
        <v>-126</v>
      </c>
      <c r="D32" s="15">
        <v>177</v>
      </c>
      <c r="E32" s="19">
        <v>44</v>
      </c>
      <c r="F32" s="15"/>
      <c r="G32" s="16">
        <v>0</v>
      </c>
      <c r="H32" s="15">
        <v>45</v>
      </c>
      <c r="I32" s="15" t="s">
        <v>52</v>
      </c>
      <c r="J32" s="15" t="s">
        <v>70</v>
      </c>
      <c r="K32" s="15">
        <v>52</v>
      </c>
      <c r="L32" s="15">
        <f t="shared" si="2"/>
        <v>-8</v>
      </c>
      <c r="M32" s="15"/>
      <c r="N32" s="15"/>
      <c r="O32" s="15">
        <v>0</v>
      </c>
      <c r="P32" s="15">
        <f t="shared" si="3"/>
        <v>8.8000000000000007</v>
      </c>
      <c r="Q32" s="17"/>
      <c r="R32" s="4">
        <f t="shared" si="5"/>
        <v>0</v>
      </c>
      <c r="S32" s="21"/>
      <c r="T32" s="5">
        <f t="shared" si="6"/>
        <v>0</v>
      </c>
      <c r="U32" s="15">
        <f t="shared" si="4"/>
        <v>0</v>
      </c>
      <c r="V32" s="15">
        <v>24</v>
      </c>
      <c r="W32" s="15">
        <v>27</v>
      </c>
      <c r="X32" s="15">
        <v>48</v>
      </c>
      <c r="Y32" s="15">
        <v>43.6</v>
      </c>
      <c r="Z32" s="15">
        <v>18.399999999999999</v>
      </c>
      <c r="AA32" s="15">
        <v>34.4</v>
      </c>
      <c r="AB32" s="15">
        <v>27.2</v>
      </c>
      <c r="AC32" s="15">
        <v>16.399999999999999</v>
      </c>
      <c r="AD32" s="15">
        <v>22.4</v>
      </c>
      <c r="AE32" s="15">
        <v>36</v>
      </c>
      <c r="AF32" s="15" t="s">
        <v>71</v>
      </c>
      <c r="AG32" s="5">
        <f t="shared" si="7"/>
        <v>0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72</v>
      </c>
      <c r="B33" s="5" t="s">
        <v>34</v>
      </c>
      <c r="C33" s="5">
        <v>214.363</v>
      </c>
      <c r="D33" s="5">
        <v>75.334000000000003</v>
      </c>
      <c r="E33" s="5">
        <v>56.350999999999999</v>
      </c>
      <c r="F33" s="5">
        <v>207.43700000000001</v>
      </c>
      <c r="G33" s="7">
        <v>1</v>
      </c>
      <c r="H33" s="5">
        <v>60</v>
      </c>
      <c r="I33" s="5" t="s">
        <v>35</v>
      </c>
      <c r="J33" s="5"/>
      <c r="K33" s="5">
        <v>60.5</v>
      </c>
      <c r="L33" s="5">
        <f t="shared" si="2"/>
        <v>-4.1490000000000009</v>
      </c>
      <c r="M33" s="5"/>
      <c r="N33" s="5"/>
      <c r="O33" s="5">
        <v>20</v>
      </c>
      <c r="P33" s="5">
        <f t="shared" si="3"/>
        <v>11.270199999999999</v>
      </c>
      <c r="Q33" s="4"/>
      <c r="R33" s="4">
        <f t="shared" si="5"/>
        <v>0</v>
      </c>
      <c r="S33" s="21"/>
      <c r="T33" s="5">
        <f t="shared" si="6"/>
        <v>20.180387215843556</v>
      </c>
      <c r="U33" s="5">
        <f t="shared" si="4"/>
        <v>20.180387215843556</v>
      </c>
      <c r="V33" s="5">
        <v>13.143800000000001</v>
      </c>
      <c r="W33" s="5">
        <v>24.308399999999999</v>
      </c>
      <c r="X33" s="5">
        <v>13.016</v>
      </c>
      <c r="Y33" s="5">
        <v>17.422599999999999</v>
      </c>
      <c r="Z33" s="5">
        <v>20.948799999999999</v>
      </c>
      <c r="AA33" s="5">
        <v>18.779599999999999</v>
      </c>
      <c r="AB33" s="5">
        <v>14.0886</v>
      </c>
      <c r="AC33" s="5">
        <v>16.861599999999999</v>
      </c>
      <c r="AD33" s="5">
        <v>19.841200000000001</v>
      </c>
      <c r="AE33" s="5">
        <v>21.473199999999999</v>
      </c>
      <c r="AF33" s="9" t="s">
        <v>73</v>
      </c>
      <c r="AG33" s="5">
        <f t="shared" si="7"/>
        <v>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74</v>
      </c>
      <c r="B34" s="5" t="s">
        <v>34</v>
      </c>
      <c r="C34" s="5">
        <v>222.64500000000001</v>
      </c>
      <c r="D34" s="5">
        <v>54.174999999999997</v>
      </c>
      <c r="E34" s="5">
        <v>108.3</v>
      </c>
      <c r="F34" s="5">
        <v>105.94199999999999</v>
      </c>
      <c r="G34" s="7">
        <v>1</v>
      </c>
      <c r="H34" s="5">
        <v>45</v>
      </c>
      <c r="I34" s="5" t="s">
        <v>35</v>
      </c>
      <c r="J34" s="5"/>
      <c r="K34" s="5">
        <v>110.7</v>
      </c>
      <c r="L34" s="5">
        <f t="shared" si="2"/>
        <v>-2.4000000000000057</v>
      </c>
      <c r="M34" s="5"/>
      <c r="N34" s="5"/>
      <c r="O34" s="5">
        <v>189</v>
      </c>
      <c r="P34" s="5">
        <f t="shared" si="3"/>
        <v>21.66</v>
      </c>
      <c r="Q34" s="4">
        <f t="shared" ref="Q34:Q40" si="11">14*P34-O34-F34</f>
        <v>8.298000000000016</v>
      </c>
      <c r="R34" s="4">
        <f t="shared" si="5"/>
        <v>8</v>
      </c>
      <c r="S34" s="21"/>
      <c r="T34" s="5">
        <f t="shared" si="6"/>
        <v>13.986241920590951</v>
      </c>
      <c r="U34" s="5">
        <f t="shared" si="4"/>
        <v>13.616897506925207</v>
      </c>
      <c r="V34" s="5">
        <v>28.796800000000001</v>
      </c>
      <c r="W34" s="5">
        <v>7.9718</v>
      </c>
      <c r="X34" s="5">
        <v>20.371400000000001</v>
      </c>
      <c r="Y34" s="5">
        <v>20</v>
      </c>
      <c r="Z34" s="5">
        <v>7.6871999999999998</v>
      </c>
      <c r="AA34" s="5">
        <v>18.589200000000002</v>
      </c>
      <c r="AB34" s="5">
        <v>16.758800000000001</v>
      </c>
      <c r="AC34" s="5">
        <v>9.6164000000000005</v>
      </c>
      <c r="AD34" s="5">
        <v>15.4948</v>
      </c>
      <c r="AE34" s="5">
        <v>17.491800000000001</v>
      </c>
      <c r="AF34" s="5"/>
      <c r="AG34" s="5">
        <f t="shared" si="7"/>
        <v>8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75</v>
      </c>
      <c r="B35" s="5" t="s">
        <v>34</v>
      </c>
      <c r="C35" s="5">
        <v>250.619</v>
      </c>
      <c r="D35" s="5">
        <v>37.142000000000003</v>
      </c>
      <c r="E35" s="5">
        <v>50.317999999999998</v>
      </c>
      <c r="F35" s="5">
        <v>168.93199999999999</v>
      </c>
      <c r="G35" s="7">
        <v>1</v>
      </c>
      <c r="H35" s="5">
        <v>45</v>
      </c>
      <c r="I35" s="5" t="s">
        <v>35</v>
      </c>
      <c r="J35" s="5"/>
      <c r="K35" s="5">
        <v>54.7</v>
      </c>
      <c r="L35" s="5">
        <f t="shared" si="2"/>
        <v>-4.382000000000005</v>
      </c>
      <c r="M35" s="5"/>
      <c r="N35" s="5"/>
      <c r="O35" s="5">
        <v>138</v>
      </c>
      <c r="P35" s="5">
        <f t="shared" si="3"/>
        <v>10.063599999999999</v>
      </c>
      <c r="Q35" s="4"/>
      <c r="R35" s="4">
        <f t="shared" si="5"/>
        <v>0</v>
      </c>
      <c r="S35" s="21"/>
      <c r="T35" s="5">
        <f t="shared" si="6"/>
        <v>30.499224929448712</v>
      </c>
      <c r="U35" s="5">
        <f t="shared" si="4"/>
        <v>30.499224929448712</v>
      </c>
      <c r="V35" s="5">
        <v>25.0062</v>
      </c>
      <c r="W35" s="5">
        <v>12.4328</v>
      </c>
      <c r="X35" s="5">
        <v>14.1114</v>
      </c>
      <c r="Y35" s="5">
        <v>12.1136</v>
      </c>
      <c r="Z35" s="5">
        <v>21.622599999999998</v>
      </c>
      <c r="AA35" s="5">
        <v>31.792000000000002</v>
      </c>
      <c r="AB35" s="5">
        <v>20.077200000000001</v>
      </c>
      <c r="AC35" s="5">
        <v>11.674799999999999</v>
      </c>
      <c r="AD35" s="5">
        <v>20.364000000000001</v>
      </c>
      <c r="AE35" s="5">
        <v>26.2212</v>
      </c>
      <c r="AF35" s="5"/>
      <c r="AG35" s="5">
        <f t="shared" si="7"/>
        <v>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76</v>
      </c>
      <c r="B36" s="5" t="s">
        <v>34</v>
      </c>
      <c r="C36" s="5">
        <v>316.15100000000001</v>
      </c>
      <c r="D36" s="5">
        <v>42.548000000000002</v>
      </c>
      <c r="E36" s="5">
        <v>102.548</v>
      </c>
      <c r="F36" s="5">
        <v>189.06299999999999</v>
      </c>
      <c r="G36" s="7">
        <v>1</v>
      </c>
      <c r="H36" s="5">
        <v>45</v>
      </c>
      <c r="I36" s="5" t="s">
        <v>35</v>
      </c>
      <c r="J36" s="5"/>
      <c r="K36" s="5">
        <v>105.7</v>
      </c>
      <c r="L36" s="5">
        <f t="shared" si="2"/>
        <v>-3.152000000000001</v>
      </c>
      <c r="M36" s="5"/>
      <c r="N36" s="5"/>
      <c r="O36" s="5">
        <v>59</v>
      </c>
      <c r="P36" s="5">
        <f t="shared" si="3"/>
        <v>20.509599999999999</v>
      </c>
      <c r="Q36" s="4">
        <f t="shared" si="11"/>
        <v>39.071399999999983</v>
      </c>
      <c r="R36" s="4">
        <f t="shared" si="5"/>
        <v>39</v>
      </c>
      <c r="S36" s="21"/>
      <c r="T36" s="5">
        <f t="shared" si="6"/>
        <v>13.99651870343644</v>
      </c>
      <c r="U36" s="5">
        <f t="shared" si="4"/>
        <v>12.094970160315169</v>
      </c>
      <c r="V36" s="5">
        <v>24.169599999999999</v>
      </c>
      <c r="W36" s="5">
        <v>18.371600000000001</v>
      </c>
      <c r="X36" s="5">
        <v>34.582000000000001</v>
      </c>
      <c r="Y36" s="5">
        <v>23.183399999999999</v>
      </c>
      <c r="Z36" s="5">
        <v>28.372599999999998</v>
      </c>
      <c r="AA36" s="5">
        <v>42.488399999999999</v>
      </c>
      <c r="AB36" s="5">
        <v>29.185600000000001</v>
      </c>
      <c r="AC36" s="5">
        <v>25.471800000000002</v>
      </c>
      <c r="AD36" s="5">
        <v>27.164400000000001</v>
      </c>
      <c r="AE36" s="5">
        <v>49.6982</v>
      </c>
      <c r="AF36" s="5"/>
      <c r="AG36" s="5">
        <f t="shared" si="7"/>
        <v>39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77</v>
      </c>
      <c r="B37" s="5" t="s">
        <v>38</v>
      </c>
      <c r="C37" s="5">
        <v>309</v>
      </c>
      <c r="D37" s="5">
        <v>68</v>
      </c>
      <c r="E37" s="5">
        <v>268</v>
      </c>
      <c r="F37" s="5">
        <v>1</v>
      </c>
      <c r="G37" s="7">
        <v>0.3</v>
      </c>
      <c r="H37" s="5">
        <v>45</v>
      </c>
      <c r="I37" s="5" t="s">
        <v>35</v>
      </c>
      <c r="J37" s="5"/>
      <c r="K37" s="5">
        <v>276</v>
      </c>
      <c r="L37" s="5">
        <f t="shared" si="2"/>
        <v>-8</v>
      </c>
      <c r="M37" s="5"/>
      <c r="N37" s="5"/>
      <c r="O37" s="5">
        <v>445</v>
      </c>
      <c r="P37" s="5">
        <f t="shared" si="3"/>
        <v>53.6</v>
      </c>
      <c r="Q37" s="4">
        <f t="shared" si="11"/>
        <v>304.39999999999998</v>
      </c>
      <c r="R37" s="4">
        <f t="shared" si="5"/>
        <v>304</v>
      </c>
      <c r="S37" s="21"/>
      <c r="T37" s="5">
        <f t="shared" si="6"/>
        <v>13.992537313432836</v>
      </c>
      <c r="U37" s="5">
        <f t="shared" si="4"/>
        <v>8.3208955223880601</v>
      </c>
      <c r="V37" s="5">
        <v>52.6</v>
      </c>
      <c r="W37" s="5">
        <v>40</v>
      </c>
      <c r="X37" s="5">
        <v>51.4</v>
      </c>
      <c r="Y37" s="5">
        <v>52.6</v>
      </c>
      <c r="Z37" s="5">
        <v>58.4</v>
      </c>
      <c r="AA37" s="5">
        <v>62.2</v>
      </c>
      <c r="AB37" s="5">
        <v>54.2</v>
      </c>
      <c r="AC37" s="5">
        <v>35.6</v>
      </c>
      <c r="AD37" s="5">
        <v>48.4</v>
      </c>
      <c r="AE37" s="5">
        <v>70.2</v>
      </c>
      <c r="AF37" s="5"/>
      <c r="AG37" s="5">
        <f t="shared" si="7"/>
        <v>91.2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78</v>
      </c>
      <c r="B38" s="5" t="s">
        <v>34</v>
      </c>
      <c r="C38" s="5">
        <v>368.53500000000003</v>
      </c>
      <c r="D38" s="5">
        <v>21.446999999999999</v>
      </c>
      <c r="E38" s="5">
        <v>173.191</v>
      </c>
      <c r="F38" s="5">
        <v>164.34</v>
      </c>
      <c r="G38" s="7">
        <v>1</v>
      </c>
      <c r="H38" s="5">
        <v>30</v>
      </c>
      <c r="I38" s="5" t="s">
        <v>35</v>
      </c>
      <c r="J38" s="5"/>
      <c r="K38" s="5">
        <v>174.6</v>
      </c>
      <c r="L38" s="5">
        <f t="shared" ref="L38:L69" si="12">E38-K38</f>
        <v>-1.4089999999999918</v>
      </c>
      <c r="M38" s="5"/>
      <c r="N38" s="5"/>
      <c r="O38" s="5">
        <v>210</v>
      </c>
      <c r="P38" s="5">
        <f t="shared" ref="P38:P69" si="13">E38/5</f>
        <v>34.638199999999998</v>
      </c>
      <c r="Q38" s="4">
        <f t="shared" si="11"/>
        <v>110.59479999999999</v>
      </c>
      <c r="R38" s="4">
        <f t="shared" si="5"/>
        <v>111</v>
      </c>
      <c r="S38" s="21"/>
      <c r="T38" s="5">
        <f t="shared" si="6"/>
        <v>14.011698067451544</v>
      </c>
      <c r="U38" s="5">
        <f t="shared" ref="U38:U69" si="14">(F38+O38)/P38</f>
        <v>10.807143558268042</v>
      </c>
      <c r="V38" s="5">
        <v>37.513800000000003</v>
      </c>
      <c r="W38" s="5">
        <v>32.568399999999997</v>
      </c>
      <c r="X38" s="5">
        <v>44.972000000000001</v>
      </c>
      <c r="Y38" s="5">
        <v>23.103200000000001</v>
      </c>
      <c r="Z38" s="5">
        <v>34.4876</v>
      </c>
      <c r="AA38" s="5">
        <v>27.011600000000001</v>
      </c>
      <c r="AB38" s="5">
        <v>22.9208</v>
      </c>
      <c r="AC38" s="5">
        <v>23.462</v>
      </c>
      <c r="AD38" s="5">
        <v>26.2592</v>
      </c>
      <c r="AE38" s="5">
        <v>36.895600000000002</v>
      </c>
      <c r="AF38" s="5"/>
      <c r="AG38" s="5">
        <f t="shared" si="7"/>
        <v>111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79</v>
      </c>
      <c r="B39" s="5" t="s">
        <v>34</v>
      </c>
      <c r="C39" s="5">
        <v>294.024</v>
      </c>
      <c r="D39" s="5">
        <v>51.595999999999997</v>
      </c>
      <c r="E39" s="5">
        <v>201.47200000000001</v>
      </c>
      <c r="F39" s="5">
        <v>17.946999999999999</v>
      </c>
      <c r="G39" s="7">
        <v>1</v>
      </c>
      <c r="H39" s="5">
        <v>45</v>
      </c>
      <c r="I39" s="5" t="s">
        <v>35</v>
      </c>
      <c r="J39" s="5"/>
      <c r="K39" s="5">
        <v>194.6</v>
      </c>
      <c r="L39" s="5">
        <f t="shared" si="12"/>
        <v>6.8720000000000141</v>
      </c>
      <c r="M39" s="5"/>
      <c r="N39" s="5"/>
      <c r="O39" s="5">
        <v>699</v>
      </c>
      <c r="P39" s="5">
        <f t="shared" si="13"/>
        <v>40.294400000000003</v>
      </c>
      <c r="Q39" s="4"/>
      <c r="R39" s="4">
        <f t="shared" si="5"/>
        <v>0</v>
      </c>
      <c r="S39" s="21"/>
      <c r="T39" s="5">
        <f t="shared" si="6"/>
        <v>17.792720576556544</v>
      </c>
      <c r="U39" s="5">
        <f t="shared" si="14"/>
        <v>17.792720576556544</v>
      </c>
      <c r="V39" s="5">
        <v>88.5518</v>
      </c>
      <c r="W39" s="5">
        <v>39.857999999999997</v>
      </c>
      <c r="X39" s="5">
        <v>60.587800000000001</v>
      </c>
      <c r="Y39" s="5">
        <v>56.868200000000002</v>
      </c>
      <c r="Z39" s="5">
        <v>55.290599999999998</v>
      </c>
      <c r="AA39" s="5">
        <v>69.810400000000001</v>
      </c>
      <c r="AB39" s="5">
        <v>76.587800000000001</v>
      </c>
      <c r="AC39" s="5">
        <v>48.989199999999997</v>
      </c>
      <c r="AD39" s="5">
        <v>66.378</v>
      </c>
      <c r="AE39" s="5">
        <v>55.039200000000008</v>
      </c>
      <c r="AF39" s="5"/>
      <c r="AG39" s="5">
        <f t="shared" si="7"/>
        <v>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80</v>
      </c>
      <c r="B40" s="5" t="s">
        <v>38</v>
      </c>
      <c r="C40" s="5">
        <v>442</v>
      </c>
      <c r="D40" s="5">
        <v>227</v>
      </c>
      <c r="E40" s="5">
        <v>428</v>
      </c>
      <c r="F40" s="5">
        <v>106</v>
      </c>
      <c r="G40" s="7">
        <v>0.35</v>
      </c>
      <c r="H40" s="5">
        <v>45</v>
      </c>
      <c r="I40" s="5" t="s">
        <v>35</v>
      </c>
      <c r="J40" s="5"/>
      <c r="K40" s="5">
        <v>438</v>
      </c>
      <c r="L40" s="5">
        <f t="shared" si="12"/>
        <v>-10</v>
      </c>
      <c r="M40" s="5"/>
      <c r="N40" s="5"/>
      <c r="O40" s="5">
        <v>636</v>
      </c>
      <c r="P40" s="5">
        <f t="shared" si="13"/>
        <v>85.6</v>
      </c>
      <c r="Q40" s="4">
        <f t="shared" si="11"/>
        <v>456.39999999999986</v>
      </c>
      <c r="R40" s="4">
        <f>S40</f>
        <v>600</v>
      </c>
      <c r="S40" s="21">
        <f>VLOOKUP(A40,[1]Sheet!$A:$R,18,0)</f>
        <v>600</v>
      </c>
      <c r="T40" s="5">
        <f t="shared" si="6"/>
        <v>15.677570093457945</v>
      </c>
      <c r="U40" s="5">
        <f t="shared" si="14"/>
        <v>8.6682242990654217</v>
      </c>
      <c r="V40" s="5">
        <v>76.400000000000006</v>
      </c>
      <c r="W40" s="5">
        <v>60.8</v>
      </c>
      <c r="X40" s="5">
        <v>64</v>
      </c>
      <c r="Y40" s="5">
        <v>73</v>
      </c>
      <c r="Z40" s="5">
        <v>43.8</v>
      </c>
      <c r="AA40" s="5">
        <v>54.2</v>
      </c>
      <c r="AB40" s="5">
        <v>82.6</v>
      </c>
      <c r="AC40" s="5">
        <v>46.2</v>
      </c>
      <c r="AD40" s="5">
        <v>63</v>
      </c>
      <c r="AE40" s="5">
        <v>93.8</v>
      </c>
      <c r="AF40" s="5"/>
      <c r="AG40" s="5">
        <f t="shared" si="7"/>
        <v>210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5" t="s">
        <v>81</v>
      </c>
      <c r="B41" s="15" t="s">
        <v>38</v>
      </c>
      <c r="C41" s="15">
        <v>223</v>
      </c>
      <c r="D41" s="15">
        <v>101</v>
      </c>
      <c r="E41" s="19">
        <v>311</v>
      </c>
      <c r="F41" s="15"/>
      <c r="G41" s="16">
        <v>0</v>
      </c>
      <c r="H41" s="15">
        <v>45</v>
      </c>
      <c r="I41" s="18" t="s">
        <v>52</v>
      </c>
      <c r="J41" s="18" t="s">
        <v>82</v>
      </c>
      <c r="K41" s="15">
        <v>339</v>
      </c>
      <c r="L41" s="15">
        <f t="shared" si="12"/>
        <v>-28</v>
      </c>
      <c r="M41" s="15"/>
      <c r="N41" s="15"/>
      <c r="O41" s="9">
        <v>349</v>
      </c>
      <c r="P41" s="15">
        <f t="shared" si="13"/>
        <v>62.2</v>
      </c>
      <c r="Q41" s="17"/>
      <c r="R41" s="4">
        <f t="shared" si="5"/>
        <v>0</v>
      </c>
      <c r="S41" s="21"/>
      <c r="T41" s="5">
        <f t="shared" si="6"/>
        <v>5.610932475884244</v>
      </c>
      <c r="U41" s="15">
        <f t="shared" si="14"/>
        <v>5.610932475884244</v>
      </c>
      <c r="V41" s="15">
        <v>42.4</v>
      </c>
      <c r="W41" s="15">
        <v>32.799999999999997</v>
      </c>
      <c r="X41" s="15">
        <v>30.2</v>
      </c>
      <c r="Y41" s="15">
        <v>56.2</v>
      </c>
      <c r="Z41" s="15">
        <v>46</v>
      </c>
      <c r="AA41" s="15">
        <v>60.4</v>
      </c>
      <c r="AB41" s="15">
        <v>59.8</v>
      </c>
      <c r="AC41" s="15">
        <v>66</v>
      </c>
      <c r="AD41" s="15">
        <v>59.4</v>
      </c>
      <c r="AE41" s="15">
        <v>44.8</v>
      </c>
      <c r="AF41" s="15" t="s">
        <v>83</v>
      </c>
      <c r="AG41" s="5">
        <f t="shared" si="7"/>
        <v>0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84</v>
      </c>
      <c r="B42" s="5" t="s">
        <v>38</v>
      </c>
      <c r="C42" s="5">
        <v>196</v>
      </c>
      <c r="D42" s="5">
        <v>96</v>
      </c>
      <c r="E42" s="5">
        <v>125</v>
      </c>
      <c r="F42" s="5">
        <v>121</v>
      </c>
      <c r="G42" s="7">
        <v>0.41</v>
      </c>
      <c r="H42" s="5">
        <v>45</v>
      </c>
      <c r="I42" s="5" t="s">
        <v>35</v>
      </c>
      <c r="J42" s="5"/>
      <c r="K42" s="5">
        <v>129</v>
      </c>
      <c r="L42" s="5">
        <f t="shared" si="12"/>
        <v>-4</v>
      </c>
      <c r="M42" s="5"/>
      <c r="N42" s="5"/>
      <c r="O42" s="5">
        <v>125</v>
      </c>
      <c r="P42" s="5">
        <f t="shared" si="13"/>
        <v>25</v>
      </c>
      <c r="Q42" s="4">
        <f t="shared" ref="Q42:Q49" si="15">14*P42-O42-F42</f>
        <v>104</v>
      </c>
      <c r="R42" s="4">
        <f t="shared" si="5"/>
        <v>104</v>
      </c>
      <c r="S42" s="21"/>
      <c r="T42" s="5">
        <f t="shared" si="6"/>
        <v>14</v>
      </c>
      <c r="U42" s="5">
        <f t="shared" si="14"/>
        <v>9.84</v>
      </c>
      <c r="V42" s="5">
        <v>24.4</v>
      </c>
      <c r="W42" s="5">
        <v>24.8</v>
      </c>
      <c r="X42" s="5">
        <v>23.6</v>
      </c>
      <c r="Y42" s="5">
        <v>27.4</v>
      </c>
      <c r="Z42" s="5">
        <v>33.6</v>
      </c>
      <c r="AA42" s="5">
        <v>34.200000000000003</v>
      </c>
      <c r="AB42" s="5">
        <v>28.6</v>
      </c>
      <c r="AC42" s="5">
        <v>35.6</v>
      </c>
      <c r="AD42" s="5">
        <v>34.200000000000003</v>
      </c>
      <c r="AE42" s="5">
        <v>40.6</v>
      </c>
      <c r="AF42" s="5"/>
      <c r="AG42" s="5">
        <f t="shared" si="7"/>
        <v>42.64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85</v>
      </c>
      <c r="B43" s="5" t="s">
        <v>38</v>
      </c>
      <c r="C43" s="5">
        <v>110</v>
      </c>
      <c r="D43" s="5">
        <v>311</v>
      </c>
      <c r="E43" s="5">
        <v>196</v>
      </c>
      <c r="F43" s="5">
        <v>107</v>
      </c>
      <c r="G43" s="7">
        <v>0.36</v>
      </c>
      <c r="H43" s="5">
        <v>45</v>
      </c>
      <c r="I43" s="5" t="s">
        <v>164</v>
      </c>
      <c r="J43" s="5"/>
      <c r="K43" s="5">
        <v>200</v>
      </c>
      <c r="L43" s="5">
        <f t="shared" si="12"/>
        <v>-4</v>
      </c>
      <c r="M43" s="5"/>
      <c r="N43" s="5"/>
      <c r="O43" s="5">
        <v>469</v>
      </c>
      <c r="P43" s="5">
        <f t="shared" si="13"/>
        <v>39.200000000000003</v>
      </c>
      <c r="Q43" s="4"/>
      <c r="R43" s="4">
        <f t="shared" si="5"/>
        <v>0</v>
      </c>
      <c r="S43" s="21"/>
      <c r="T43" s="5">
        <f t="shared" si="6"/>
        <v>14.693877551020407</v>
      </c>
      <c r="U43" s="5">
        <f t="shared" si="14"/>
        <v>14.693877551020407</v>
      </c>
      <c r="V43" s="5">
        <v>61.2</v>
      </c>
      <c r="W43" s="5">
        <v>43.6</v>
      </c>
      <c r="X43" s="5">
        <v>43</v>
      </c>
      <c r="Y43" s="5">
        <v>45</v>
      </c>
      <c r="Z43" s="5">
        <v>38.799999999999997</v>
      </c>
      <c r="AA43" s="5">
        <v>34.200000000000003</v>
      </c>
      <c r="AB43" s="5">
        <v>27.4</v>
      </c>
      <c r="AC43" s="5">
        <v>35</v>
      </c>
      <c r="AD43" s="5">
        <v>23.2</v>
      </c>
      <c r="AE43" s="5">
        <v>54.2</v>
      </c>
      <c r="AF43" s="5" t="s">
        <v>66</v>
      </c>
      <c r="AG43" s="5">
        <f t="shared" si="7"/>
        <v>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86</v>
      </c>
      <c r="B44" s="5" t="s">
        <v>38</v>
      </c>
      <c r="C44" s="5">
        <v>28</v>
      </c>
      <c r="D44" s="5">
        <v>11</v>
      </c>
      <c r="E44" s="5">
        <v>30</v>
      </c>
      <c r="F44" s="5"/>
      <c r="G44" s="7">
        <v>0.33</v>
      </c>
      <c r="H44" s="5">
        <v>45</v>
      </c>
      <c r="I44" s="5" t="s">
        <v>35</v>
      </c>
      <c r="J44" s="5"/>
      <c r="K44" s="5">
        <v>96</v>
      </c>
      <c r="L44" s="5">
        <f t="shared" si="12"/>
        <v>-66</v>
      </c>
      <c r="M44" s="5"/>
      <c r="N44" s="5"/>
      <c r="O44" s="5">
        <v>170</v>
      </c>
      <c r="P44" s="5">
        <f t="shared" si="13"/>
        <v>6</v>
      </c>
      <c r="Q44" s="4"/>
      <c r="R44" s="4">
        <f t="shared" si="5"/>
        <v>0</v>
      </c>
      <c r="S44" s="21"/>
      <c r="T44" s="5">
        <f t="shared" si="6"/>
        <v>28.333333333333332</v>
      </c>
      <c r="U44" s="5">
        <f t="shared" si="14"/>
        <v>28.333333333333332</v>
      </c>
      <c r="V44" s="5">
        <v>15.2</v>
      </c>
      <c r="W44" s="5">
        <v>7.2</v>
      </c>
      <c r="X44" s="5">
        <v>9.6</v>
      </c>
      <c r="Y44" s="5">
        <v>7.4</v>
      </c>
      <c r="Z44" s="5">
        <v>9</v>
      </c>
      <c r="AA44" s="5">
        <v>12.6</v>
      </c>
      <c r="AB44" s="5">
        <v>7.4</v>
      </c>
      <c r="AC44" s="5">
        <v>7.2</v>
      </c>
      <c r="AD44" s="5">
        <v>14.4</v>
      </c>
      <c r="AE44" s="5">
        <v>9</v>
      </c>
      <c r="AF44" s="5"/>
      <c r="AG44" s="5">
        <f t="shared" si="7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87</v>
      </c>
      <c r="B45" s="5" t="s">
        <v>38</v>
      </c>
      <c r="C45" s="5">
        <v>93</v>
      </c>
      <c r="D45" s="5">
        <v>15</v>
      </c>
      <c r="E45" s="5">
        <v>70</v>
      </c>
      <c r="F45" s="5"/>
      <c r="G45" s="7">
        <v>0.4</v>
      </c>
      <c r="H45" s="5">
        <v>60</v>
      </c>
      <c r="I45" s="5" t="s">
        <v>35</v>
      </c>
      <c r="J45" s="5"/>
      <c r="K45" s="5">
        <v>74</v>
      </c>
      <c r="L45" s="5">
        <f t="shared" si="12"/>
        <v>-4</v>
      </c>
      <c r="M45" s="5"/>
      <c r="N45" s="5"/>
      <c r="O45" s="5">
        <v>100</v>
      </c>
      <c r="P45" s="5">
        <f t="shared" si="13"/>
        <v>14</v>
      </c>
      <c r="Q45" s="4">
        <f t="shared" si="15"/>
        <v>96</v>
      </c>
      <c r="R45" s="4">
        <f t="shared" si="5"/>
        <v>96</v>
      </c>
      <c r="S45" s="21"/>
      <c r="T45" s="5">
        <f t="shared" si="6"/>
        <v>14</v>
      </c>
      <c r="U45" s="5">
        <f t="shared" si="14"/>
        <v>7.1428571428571432</v>
      </c>
      <c r="V45" s="5">
        <v>10.199999999999999</v>
      </c>
      <c r="W45" s="5">
        <v>5.4</v>
      </c>
      <c r="X45" s="5">
        <v>4</v>
      </c>
      <c r="Y45" s="5">
        <v>9.6</v>
      </c>
      <c r="Z45" s="5">
        <v>7</v>
      </c>
      <c r="AA45" s="5">
        <v>13</v>
      </c>
      <c r="AB45" s="5">
        <v>17.2</v>
      </c>
      <c r="AC45" s="5">
        <v>13.8</v>
      </c>
      <c r="AD45" s="5">
        <v>24.4</v>
      </c>
      <c r="AE45" s="5">
        <v>15.2</v>
      </c>
      <c r="AF45" s="5"/>
      <c r="AG45" s="5">
        <f t="shared" si="7"/>
        <v>38.400000000000006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88</v>
      </c>
      <c r="B46" s="5" t="s">
        <v>38</v>
      </c>
      <c r="C46" s="5">
        <v>44</v>
      </c>
      <c r="D46" s="5">
        <v>36</v>
      </c>
      <c r="E46" s="5">
        <v>40</v>
      </c>
      <c r="F46" s="5">
        <v>28</v>
      </c>
      <c r="G46" s="7">
        <v>0.33</v>
      </c>
      <c r="H46" s="5">
        <v>45</v>
      </c>
      <c r="I46" s="5" t="s">
        <v>35</v>
      </c>
      <c r="J46" s="5"/>
      <c r="K46" s="5">
        <v>40</v>
      </c>
      <c r="L46" s="5">
        <f t="shared" si="12"/>
        <v>0</v>
      </c>
      <c r="M46" s="5"/>
      <c r="N46" s="5"/>
      <c r="O46" s="5">
        <v>80</v>
      </c>
      <c r="P46" s="5">
        <f t="shared" si="13"/>
        <v>8</v>
      </c>
      <c r="Q46" s="4"/>
      <c r="R46" s="4">
        <f t="shared" si="5"/>
        <v>0</v>
      </c>
      <c r="S46" s="21"/>
      <c r="T46" s="5">
        <f t="shared" si="6"/>
        <v>13.5</v>
      </c>
      <c r="U46" s="5">
        <f t="shared" si="14"/>
        <v>13.5</v>
      </c>
      <c r="V46" s="5">
        <v>8</v>
      </c>
      <c r="W46" s="5">
        <v>7.4</v>
      </c>
      <c r="X46" s="5">
        <v>7.8</v>
      </c>
      <c r="Y46" s="5">
        <v>8.6</v>
      </c>
      <c r="Z46" s="5">
        <v>1.8</v>
      </c>
      <c r="AA46" s="5">
        <v>6.4</v>
      </c>
      <c r="AB46" s="5">
        <v>5.2</v>
      </c>
      <c r="AC46" s="5">
        <v>3.8</v>
      </c>
      <c r="AD46" s="5">
        <v>5.6</v>
      </c>
      <c r="AE46" s="5">
        <v>7</v>
      </c>
      <c r="AF46" s="5"/>
      <c r="AG46" s="5">
        <f t="shared" si="7"/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89</v>
      </c>
      <c r="B47" s="5" t="s">
        <v>34</v>
      </c>
      <c r="C47" s="5">
        <v>253.13900000000001</v>
      </c>
      <c r="D47" s="5">
        <v>141.732</v>
      </c>
      <c r="E47" s="5">
        <v>246.51900000000001</v>
      </c>
      <c r="F47" s="5">
        <v>6.194</v>
      </c>
      <c r="G47" s="7">
        <v>1</v>
      </c>
      <c r="H47" s="5">
        <v>45</v>
      </c>
      <c r="I47" s="5" t="s">
        <v>35</v>
      </c>
      <c r="J47" s="5"/>
      <c r="K47" s="5">
        <v>231.2</v>
      </c>
      <c r="L47" s="5">
        <f t="shared" si="12"/>
        <v>15.319000000000017</v>
      </c>
      <c r="M47" s="5"/>
      <c r="N47" s="5"/>
      <c r="O47" s="5">
        <v>900</v>
      </c>
      <c r="P47" s="5">
        <f t="shared" si="13"/>
        <v>49.303800000000003</v>
      </c>
      <c r="Q47" s="4"/>
      <c r="R47" s="4">
        <f t="shared" ref="R47:R49" si="16">S47</f>
        <v>150</v>
      </c>
      <c r="S47" s="21">
        <f>VLOOKUP(A47,[1]Sheet!$A:$R,18,0)</f>
        <v>150</v>
      </c>
      <c r="T47" s="5">
        <f t="shared" si="6"/>
        <v>21.422162186281785</v>
      </c>
      <c r="U47" s="5">
        <f t="shared" si="14"/>
        <v>18.379800339933229</v>
      </c>
      <c r="V47" s="5">
        <v>97.882000000000005</v>
      </c>
      <c r="W47" s="5">
        <v>42.2898</v>
      </c>
      <c r="X47" s="5">
        <v>61.675400000000003</v>
      </c>
      <c r="Y47" s="5">
        <v>57.358199999999997</v>
      </c>
      <c r="Z47" s="5">
        <v>72.658199999999994</v>
      </c>
      <c r="AA47" s="5">
        <v>59.006399999999999</v>
      </c>
      <c r="AB47" s="5">
        <v>74.868399999999994</v>
      </c>
      <c r="AC47" s="5">
        <v>62.738</v>
      </c>
      <c r="AD47" s="5">
        <v>79.360399999999998</v>
      </c>
      <c r="AE47" s="5">
        <v>76.403599999999997</v>
      </c>
      <c r="AF47" s="5"/>
      <c r="AG47" s="5">
        <f t="shared" si="7"/>
        <v>150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90</v>
      </c>
      <c r="B48" s="5" t="s">
        <v>38</v>
      </c>
      <c r="C48" s="5">
        <v>62</v>
      </c>
      <c r="D48" s="5">
        <v>9</v>
      </c>
      <c r="E48" s="5">
        <v>43</v>
      </c>
      <c r="F48" s="5">
        <v>8</v>
      </c>
      <c r="G48" s="7">
        <v>0.4</v>
      </c>
      <c r="H48" s="5">
        <v>45</v>
      </c>
      <c r="I48" s="5" t="s">
        <v>35</v>
      </c>
      <c r="J48" s="5"/>
      <c r="K48" s="5">
        <v>52</v>
      </c>
      <c r="L48" s="5">
        <f t="shared" si="12"/>
        <v>-9</v>
      </c>
      <c r="M48" s="5"/>
      <c r="N48" s="5"/>
      <c r="O48" s="5">
        <v>80</v>
      </c>
      <c r="P48" s="5">
        <f t="shared" si="13"/>
        <v>8.6</v>
      </c>
      <c r="Q48" s="4">
        <f t="shared" si="15"/>
        <v>32.399999999999991</v>
      </c>
      <c r="R48" s="4">
        <f t="shared" si="16"/>
        <v>50</v>
      </c>
      <c r="S48" s="21">
        <f>VLOOKUP(A48,[1]Sheet!$A:$R,18,0)</f>
        <v>50</v>
      </c>
      <c r="T48" s="5">
        <f t="shared" si="6"/>
        <v>16.046511627906977</v>
      </c>
      <c r="U48" s="5">
        <f t="shared" si="14"/>
        <v>10.232558139534884</v>
      </c>
      <c r="V48" s="5">
        <v>6.2</v>
      </c>
      <c r="W48" s="5">
        <v>3.6</v>
      </c>
      <c r="X48" s="5">
        <v>4.5999999999999996</v>
      </c>
      <c r="Y48" s="5">
        <v>10.8</v>
      </c>
      <c r="Z48" s="5">
        <v>6.6</v>
      </c>
      <c r="AA48" s="5">
        <v>11</v>
      </c>
      <c r="AB48" s="5">
        <v>11.6</v>
      </c>
      <c r="AC48" s="5">
        <v>6.6</v>
      </c>
      <c r="AD48" s="5">
        <v>13.6</v>
      </c>
      <c r="AE48" s="5">
        <v>25.4</v>
      </c>
      <c r="AF48" s="5"/>
      <c r="AG48" s="5">
        <f t="shared" si="7"/>
        <v>20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91</v>
      </c>
      <c r="B49" s="5" t="s">
        <v>34</v>
      </c>
      <c r="C49" s="5">
        <v>37.372</v>
      </c>
      <c r="D49" s="5">
        <v>11.603999999999999</v>
      </c>
      <c r="E49" s="5">
        <v>23.236999999999998</v>
      </c>
      <c r="F49" s="5">
        <v>12.029</v>
      </c>
      <c r="G49" s="7">
        <v>1</v>
      </c>
      <c r="H49" s="5">
        <v>60</v>
      </c>
      <c r="I49" s="5" t="s">
        <v>92</v>
      </c>
      <c r="J49" s="5"/>
      <c r="K49" s="5">
        <v>20.100000000000001</v>
      </c>
      <c r="L49" s="5">
        <f t="shared" si="12"/>
        <v>3.1369999999999969</v>
      </c>
      <c r="M49" s="5"/>
      <c r="N49" s="5"/>
      <c r="O49" s="5">
        <v>30</v>
      </c>
      <c r="P49" s="5">
        <f t="shared" si="13"/>
        <v>4.6473999999999993</v>
      </c>
      <c r="Q49" s="4">
        <f t="shared" si="15"/>
        <v>23.034599999999994</v>
      </c>
      <c r="R49" s="4">
        <f t="shared" si="16"/>
        <v>60</v>
      </c>
      <c r="S49" s="21">
        <f>VLOOKUP(A49,[1]Sheet!$A:$R,18,0)</f>
        <v>60</v>
      </c>
      <c r="T49" s="5">
        <f t="shared" si="6"/>
        <v>21.953995782588116</v>
      </c>
      <c r="U49" s="5">
        <f t="shared" si="14"/>
        <v>9.0435512329474559</v>
      </c>
      <c r="V49" s="5">
        <v>3.5529999999999999</v>
      </c>
      <c r="W49" s="5">
        <v>3.1501999999999999</v>
      </c>
      <c r="X49" s="5">
        <v>3.5398000000000009</v>
      </c>
      <c r="Y49" s="5">
        <v>3.5333999999999999</v>
      </c>
      <c r="Z49" s="5">
        <v>4.3151999999999999</v>
      </c>
      <c r="AA49" s="5">
        <v>3.9378000000000002</v>
      </c>
      <c r="AB49" s="5">
        <v>1.5831999999999999</v>
      </c>
      <c r="AC49" s="5">
        <v>3.5358000000000001</v>
      </c>
      <c r="AD49" s="5">
        <v>5.3479999999999999</v>
      </c>
      <c r="AE49" s="5">
        <v>2.3647999999999998</v>
      </c>
      <c r="AF49" s="5" t="s">
        <v>93</v>
      </c>
      <c r="AG49" s="5">
        <f t="shared" si="7"/>
        <v>60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94</v>
      </c>
      <c r="B50" s="5" t="s">
        <v>34</v>
      </c>
      <c r="C50" s="5">
        <v>25.404</v>
      </c>
      <c r="D50" s="5">
        <v>21.003</v>
      </c>
      <c r="E50" s="5">
        <v>13.45</v>
      </c>
      <c r="F50" s="5">
        <v>23.875</v>
      </c>
      <c r="G50" s="7">
        <v>1</v>
      </c>
      <c r="H50" s="5">
        <v>60</v>
      </c>
      <c r="I50" s="5" t="s">
        <v>35</v>
      </c>
      <c r="J50" s="5"/>
      <c r="K50" s="5">
        <v>13.3</v>
      </c>
      <c r="L50" s="5">
        <f t="shared" si="12"/>
        <v>0.14999999999999858</v>
      </c>
      <c r="M50" s="5"/>
      <c r="N50" s="5"/>
      <c r="O50" s="5">
        <v>49</v>
      </c>
      <c r="P50" s="5">
        <f t="shared" si="13"/>
        <v>2.69</v>
      </c>
      <c r="Q50" s="4"/>
      <c r="R50" s="4">
        <f t="shared" si="5"/>
        <v>0</v>
      </c>
      <c r="S50" s="21"/>
      <c r="T50" s="5">
        <f t="shared" si="6"/>
        <v>27.091078066914498</v>
      </c>
      <c r="U50" s="5">
        <f t="shared" si="14"/>
        <v>27.091078066914498</v>
      </c>
      <c r="V50" s="5">
        <v>6.0655999999999999</v>
      </c>
      <c r="W50" s="5">
        <v>3.9169999999999998</v>
      </c>
      <c r="X50" s="5">
        <v>3.0973999999999999</v>
      </c>
      <c r="Y50" s="5">
        <v>4.5704000000000002</v>
      </c>
      <c r="Z50" s="5">
        <v>3.036</v>
      </c>
      <c r="AA50" s="5">
        <v>5.133</v>
      </c>
      <c r="AB50" s="5">
        <v>1.51</v>
      </c>
      <c r="AC50" s="5">
        <v>4.2290000000000001</v>
      </c>
      <c r="AD50" s="5">
        <v>4.1909999999999998</v>
      </c>
      <c r="AE50" s="5">
        <v>3.3281999999999998</v>
      </c>
      <c r="AF50" s="11" t="s">
        <v>41</v>
      </c>
      <c r="AG50" s="5">
        <f t="shared" si="7"/>
        <v>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15" t="s">
        <v>95</v>
      </c>
      <c r="B51" s="15" t="s">
        <v>34</v>
      </c>
      <c r="C51" s="15"/>
      <c r="D51" s="15"/>
      <c r="E51" s="15">
        <v>-0.67800000000000005</v>
      </c>
      <c r="F51" s="15"/>
      <c r="G51" s="16">
        <v>0</v>
      </c>
      <c r="H51" s="15">
        <v>45</v>
      </c>
      <c r="I51" s="15" t="s">
        <v>35</v>
      </c>
      <c r="J51" s="15"/>
      <c r="K51" s="15">
        <v>1.3</v>
      </c>
      <c r="L51" s="15">
        <f t="shared" si="12"/>
        <v>-1.9780000000000002</v>
      </c>
      <c r="M51" s="15"/>
      <c r="N51" s="15"/>
      <c r="O51" s="15">
        <v>0</v>
      </c>
      <c r="P51" s="15">
        <f t="shared" si="13"/>
        <v>-0.1356</v>
      </c>
      <c r="Q51" s="17"/>
      <c r="R51" s="4">
        <f t="shared" si="5"/>
        <v>0</v>
      </c>
      <c r="S51" s="21"/>
      <c r="T51" s="5">
        <f t="shared" si="6"/>
        <v>0</v>
      </c>
      <c r="U51" s="15">
        <f t="shared" si="14"/>
        <v>0</v>
      </c>
      <c r="V51" s="15">
        <v>-0.1056</v>
      </c>
      <c r="W51" s="15">
        <v>0.2316</v>
      </c>
      <c r="X51" s="15">
        <v>0.438</v>
      </c>
      <c r="Y51" s="15">
        <v>1.8016000000000001</v>
      </c>
      <c r="Z51" s="15">
        <v>3.0728</v>
      </c>
      <c r="AA51" s="15">
        <v>1.0875999999999999</v>
      </c>
      <c r="AB51" s="15">
        <v>0</v>
      </c>
      <c r="AC51" s="15">
        <v>0</v>
      </c>
      <c r="AD51" s="15">
        <v>0</v>
      </c>
      <c r="AE51" s="15">
        <v>0</v>
      </c>
      <c r="AF51" s="18" t="s">
        <v>96</v>
      </c>
      <c r="AG51" s="5">
        <f t="shared" si="7"/>
        <v>0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97</v>
      </c>
      <c r="B52" s="5" t="s">
        <v>38</v>
      </c>
      <c r="C52" s="5">
        <v>51</v>
      </c>
      <c r="D52" s="5">
        <v>14</v>
      </c>
      <c r="E52" s="5">
        <v>42</v>
      </c>
      <c r="F52" s="5"/>
      <c r="G52" s="7">
        <v>0.25</v>
      </c>
      <c r="H52" s="5">
        <v>120</v>
      </c>
      <c r="I52" s="5" t="s">
        <v>35</v>
      </c>
      <c r="J52" s="5"/>
      <c r="K52" s="5">
        <v>53</v>
      </c>
      <c r="L52" s="5">
        <f t="shared" si="12"/>
        <v>-11</v>
      </c>
      <c r="M52" s="5"/>
      <c r="N52" s="5"/>
      <c r="O52" s="5">
        <v>100</v>
      </c>
      <c r="P52" s="5">
        <f t="shared" si="13"/>
        <v>8.4</v>
      </c>
      <c r="Q52" s="4">
        <f t="shared" ref="Q52:Q81" si="17">14*P52-O52-F52</f>
        <v>17.600000000000009</v>
      </c>
      <c r="R52" s="4">
        <f>S52</f>
        <v>50</v>
      </c>
      <c r="S52" s="21">
        <f>VLOOKUP(A52,[1]Sheet!$A:$R,18,0)</f>
        <v>50</v>
      </c>
      <c r="T52" s="5">
        <f t="shared" si="6"/>
        <v>17.857142857142858</v>
      </c>
      <c r="U52" s="5">
        <f t="shared" si="14"/>
        <v>11.904761904761905</v>
      </c>
      <c r="V52" s="5">
        <v>9.4</v>
      </c>
      <c r="W52" s="5">
        <v>5.4</v>
      </c>
      <c r="X52" s="5">
        <v>7.2</v>
      </c>
      <c r="Y52" s="5">
        <v>7.8</v>
      </c>
      <c r="Z52" s="5">
        <v>8.8000000000000007</v>
      </c>
      <c r="AA52" s="5">
        <v>6.4</v>
      </c>
      <c r="AB52" s="5">
        <v>3</v>
      </c>
      <c r="AC52" s="5">
        <v>8.1999999999999993</v>
      </c>
      <c r="AD52" s="5">
        <v>6.8</v>
      </c>
      <c r="AE52" s="5">
        <v>7</v>
      </c>
      <c r="AF52" s="5"/>
      <c r="AG52" s="5">
        <f t="shared" si="7"/>
        <v>12.5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98</v>
      </c>
      <c r="B53" s="5" t="s">
        <v>34</v>
      </c>
      <c r="C53" s="5">
        <v>192.84200000000001</v>
      </c>
      <c r="D53" s="5">
        <v>168.41499999999999</v>
      </c>
      <c r="E53" s="5">
        <v>35.499000000000002</v>
      </c>
      <c r="F53" s="5">
        <v>156.51499999999999</v>
      </c>
      <c r="G53" s="7">
        <v>1</v>
      </c>
      <c r="H53" s="5">
        <v>45</v>
      </c>
      <c r="I53" s="5" t="s">
        <v>35</v>
      </c>
      <c r="J53" s="5"/>
      <c r="K53" s="5">
        <v>36.9</v>
      </c>
      <c r="L53" s="5">
        <f t="shared" si="12"/>
        <v>-1.4009999999999962</v>
      </c>
      <c r="M53" s="5"/>
      <c r="N53" s="5"/>
      <c r="O53" s="5">
        <v>50</v>
      </c>
      <c r="P53" s="5">
        <f t="shared" si="13"/>
        <v>7.0998000000000001</v>
      </c>
      <c r="Q53" s="4"/>
      <c r="R53" s="4">
        <f t="shared" si="5"/>
        <v>0</v>
      </c>
      <c r="S53" s="21"/>
      <c r="T53" s="5">
        <f t="shared" si="6"/>
        <v>29.087439082791061</v>
      </c>
      <c r="U53" s="5">
        <f t="shared" si="14"/>
        <v>29.087439082791061</v>
      </c>
      <c r="V53" s="5">
        <v>7.8865999999999996</v>
      </c>
      <c r="W53" s="5">
        <v>3.9163999999999999</v>
      </c>
      <c r="X53" s="5">
        <v>5.7690000000000001</v>
      </c>
      <c r="Y53" s="5">
        <v>4.4276</v>
      </c>
      <c r="Z53" s="5">
        <v>5.3130000000000006</v>
      </c>
      <c r="AA53" s="5">
        <v>9.0622000000000007</v>
      </c>
      <c r="AB53" s="5">
        <v>6.2986000000000004</v>
      </c>
      <c r="AC53" s="5">
        <v>8.4708000000000006</v>
      </c>
      <c r="AD53" s="5">
        <v>8.6494</v>
      </c>
      <c r="AE53" s="5">
        <v>8.8480000000000008</v>
      </c>
      <c r="AF53" s="11" t="s">
        <v>41</v>
      </c>
      <c r="AG53" s="5">
        <f t="shared" si="7"/>
        <v>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99</v>
      </c>
      <c r="B54" s="5" t="s">
        <v>38</v>
      </c>
      <c r="C54" s="5">
        <v>53</v>
      </c>
      <c r="D54" s="5">
        <v>7</v>
      </c>
      <c r="E54" s="5">
        <v>53</v>
      </c>
      <c r="F54" s="5"/>
      <c r="G54" s="7">
        <v>0.27</v>
      </c>
      <c r="H54" s="5">
        <v>45</v>
      </c>
      <c r="I54" s="5" t="s">
        <v>35</v>
      </c>
      <c r="J54" s="5"/>
      <c r="K54" s="5">
        <v>85</v>
      </c>
      <c r="L54" s="5">
        <f t="shared" si="12"/>
        <v>-32</v>
      </c>
      <c r="M54" s="5"/>
      <c r="N54" s="5"/>
      <c r="O54" s="5">
        <v>150</v>
      </c>
      <c r="P54" s="5">
        <f t="shared" si="13"/>
        <v>10.6</v>
      </c>
      <c r="Q54" s="4"/>
      <c r="R54" s="4">
        <f t="shared" si="5"/>
        <v>0</v>
      </c>
      <c r="S54" s="21"/>
      <c r="T54" s="5">
        <f t="shared" si="6"/>
        <v>14.150943396226415</v>
      </c>
      <c r="U54" s="5">
        <f t="shared" si="14"/>
        <v>14.150943396226415</v>
      </c>
      <c r="V54" s="5">
        <v>11.8</v>
      </c>
      <c r="W54" s="5">
        <v>6</v>
      </c>
      <c r="X54" s="5">
        <v>9</v>
      </c>
      <c r="Y54" s="5">
        <v>14.2</v>
      </c>
      <c r="Z54" s="5">
        <v>13.2</v>
      </c>
      <c r="AA54" s="5">
        <v>13</v>
      </c>
      <c r="AB54" s="5">
        <v>12.6</v>
      </c>
      <c r="AC54" s="5">
        <v>16.2</v>
      </c>
      <c r="AD54" s="5">
        <v>17.399999999999999</v>
      </c>
      <c r="AE54" s="5">
        <v>20.2</v>
      </c>
      <c r="AF54" s="5"/>
      <c r="AG54" s="5">
        <f t="shared" si="7"/>
        <v>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100</v>
      </c>
      <c r="B55" s="5" t="s">
        <v>38</v>
      </c>
      <c r="C55" s="5">
        <v>314</v>
      </c>
      <c r="D55" s="5">
        <v>50</v>
      </c>
      <c r="E55" s="5">
        <v>158</v>
      </c>
      <c r="F55" s="5">
        <v>142</v>
      </c>
      <c r="G55" s="7">
        <v>0.3</v>
      </c>
      <c r="H55" s="5">
        <v>60</v>
      </c>
      <c r="I55" s="5" t="s">
        <v>35</v>
      </c>
      <c r="J55" s="5"/>
      <c r="K55" s="5">
        <v>160</v>
      </c>
      <c r="L55" s="5">
        <f t="shared" si="12"/>
        <v>-2</v>
      </c>
      <c r="M55" s="5"/>
      <c r="N55" s="5"/>
      <c r="O55" s="5">
        <v>52</v>
      </c>
      <c r="P55" s="5">
        <f t="shared" si="13"/>
        <v>31.6</v>
      </c>
      <c r="Q55" s="4">
        <f>13*P55-O55-F55</f>
        <v>216.8</v>
      </c>
      <c r="R55" s="4">
        <f>S55</f>
        <v>400</v>
      </c>
      <c r="S55" s="21">
        <f>VLOOKUP(A55,[1]Sheet!$A:$R,18,0)</f>
        <v>400</v>
      </c>
      <c r="T55" s="5">
        <f t="shared" si="6"/>
        <v>18.797468354430379</v>
      </c>
      <c r="U55" s="5">
        <f t="shared" si="14"/>
        <v>6.1392405063291138</v>
      </c>
      <c r="V55" s="5">
        <v>25.4</v>
      </c>
      <c r="W55" s="5">
        <v>33.799999999999997</v>
      </c>
      <c r="X55" s="5">
        <v>17.2</v>
      </c>
      <c r="Y55" s="5">
        <v>19.8</v>
      </c>
      <c r="Z55" s="5">
        <v>15</v>
      </c>
      <c r="AA55" s="5">
        <v>29.2</v>
      </c>
      <c r="AB55" s="5">
        <v>13.8</v>
      </c>
      <c r="AC55" s="5">
        <v>-0.2</v>
      </c>
      <c r="AD55" s="5">
        <v>15.4</v>
      </c>
      <c r="AE55" s="5">
        <v>43.2</v>
      </c>
      <c r="AF55" s="5"/>
      <c r="AG55" s="5">
        <f t="shared" si="7"/>
        <v>120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101</v>
      </c>
      <c r="B56" s="5" t="s">
        <v>38</v>
      </c>
      <c r="C56" s="5">
        <v>545</v>
      </c>
      <c r="D56" s="5">
        <v>704</v>
      </c>
      <c r="E56" s="5">
        <v>699</v>
      </c>
      <c r="F56" s="5">
        <v>445</v>
      </c>
      <c r="G56" s="7">
        <v>0.41</v>
      </c>
      <c r="H56" s="5">
        <v>50</v>
      </c>
      <c r="I56" s="5" t="s">
        <v>35</v>
      </c>
      <c r="J56" s="5"/>
      <c r="K56" s="5">
        <v>701</v>
      </c>
      <c r="L56" s="5">
        <f t="shared" si="12"/>
        <v>-2</v>
      </c>
      <c r="M56" s="5"/>
      <c r="N56" s="5"/>
      <c r="O56" s="5">
        <v>848</v>
      </c>
      <c r="P56" s="5">
        <f t="shared" si="13"/>
        <v>139.80000000000001</v>
      </c>
      <c r="Q56" s="4">
        <f t="shared" si="17"/>
        <v>664.20000000000027</v>
      </c>
      <c r="R56" s="4">
        <f t="shared" si="5"/>
        <v>664</v>
      </c>
      <c r="S56" s="21"/>
      <c r="T56" s="5">
        <f t="shared" si="6"/>
        <v>13.998569384835479</v>
      </c>
      <c r="U56" s="5">
        <f t="shared" si="14"/>
        <v>9.2489270386266078</v>
      </c>
      <c r="V56" s="5">
        <v>129.19999999999999</v>
      </c>
      <c r="W56" s="5">
        <v>127.8</v>
      </c>
      <c r="X56" s="5">
        <v>81</v>
      </c>
      <c r="Y56" s="5">
        <v>149.19999999999999</v>
      </c>
      <c r="Z56" s="5">
        <v>136.80000000000001</v>
      </c>
      <c r="AA56" s="5">
        <v>122.8</v>
      </c>
      <c r="AB56" s="5">
        <v>125</v>
      </c>
      <c r="AC56" s="5">
        <v>129.80000000000001</v>
      </c>
      <c r="AD56" s="5">
        <v>117.6</v>
      </c>
      <c r="AE56" s="5">
        <v>103</v>
      </c>
      <c r="AF56" s="5"/>
      <c r="AG56" s="5">
        <f t="shared" si="7"/>
        <v>272.24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102</v>
      </c>
      <c r="B57" s="5" t="s">
        <v>34</v>
      </c>
      <c r="C57" s="5">
        <v>712.84299999999996</v>
      </c>
      <c r="D57" s="5">
        <v>387.81599999999997</v>
      </c>
      <c r="E57" s="5">
        <v>501.42700000000002</v>
      </c>
      <c r="F57" s="5">
        <v>290.54899999999998</v>
      </c>
      <c r="G57" s="7">
        <v>1</v>
      </c>
      <c r="H57" s="5">
        <v>50</v>
      </c>
      <c r="I57" s="5" t="s">
        <v>35</v>
      </c>
      <c r="J57" s="5"/>
      <c r="K57" s="5">
        <v>485.3</v>
      </c>
      <c r="L57" s="5">
        <f t="shared" si="12"/>
        <v>16.12700000000001</v>
      </c>
      <c r="M57" s="5"/>
      <c r="N57" s="5"/>
      <c r="O57" s="5">
        <v>550</v>
      </c>
      <c r="P57" s="5">
        <f t="shared" si="13"/>
        <v>100.28540000000001</v>
      </c>
      <c r="Q57" s="4">
        <f t="shared" si="17"/>
        <v>563.44660000000022</v>
      </c>
      <c r="R57" s="4">
        <f t="shared" si="5"/>
        <v>563</v>
      </c>
      <c r="S57" s="21"/>
      <c r="T57" s="5">
        <f t="shared" si="6"/>
        <v>13.995546709690542</v>
      </c>
      <c r="U57" s="5">
        <f t="shared" si="14"/>
        <v>8.3815690020680957</v>
      </c>
      <c r="V57" s="5">
        <v>89.342999999999989</v>
      </c>
      <c r="W57" s="5">
        <v>87.617400000000004</v>
      </c>
      <c r="X57" s="5">
        <v>55.369799999999998</v>
      </c>
      <c r="Y57" s="5">
        <v>65.080200000000005</v>
      </c>
      <c r="Z57" s="5">
        <v>105.386</v>
      </c>
      <c r="AA57" s="5">
        <v>127.5326</v>
      </c>
      <c r="AB57" s="5">
        <v>79.505200000000002</v>
      </c>
      <c r="AC57" s="5">
        <v>112.825</v>
      </c>
      <c r="AD57" s="5">
        <v>123.32</v>
      </c>
      <c r="AE57" s="5">
        <v>98.82820000000001</v>
      </c>
      <c r="AF57" s="5"/>
      <c r="AG57" s="5">
        <f t="shared" si="7"/>
        <v>563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103</v>
      </c>
      <c r="B58" s="5" t="s">
        <v>38</v>
      </c>
      <c r="C58" s="5">
        <v>284</v>
      </c>
      <c r="D58" s="5">
        <v>3</v>
      </c>
      <c r="E58" s="5">
        <v>102</v>
      </c>
      <c r="F58" s="5">
        <v>63</v>
      </c>
      <c r="G58" s="7">
        <v>0.35</v>
      </c>
      <c r="H58" s="5">
        <v>50</v>
      </c>
      <c r="I58" s="5" t="s">
        <v>35</v>
      </c>
      <c r="J58" s="5"/>
      <c r="K58" s="5">
        <v>104</v>
      </c>
      <c r="L58" s="5">
        <f t="shared" si="12"/>
        <v>-2</v>
      </c>
      <c r="M58" s="5"/>
      <c r="N58" s="5"/>
      <c r="O58" s="5">
        <v>0</v>
      </c>
      <c r="P58" s="5">
        <f t="shared" si="13"/>
        <v>20.399999999999999</v>
      </c>
      <c r="Q58" s="4">
        <f>10*P58-O58-F58</f>
        <v>141</v>
      </c>
      <c r="R58" s="4">
        <f>S58</f>
        <v>200</v>
      </c>
      <c r="S58" s="21">
        <f>VLOOKUP(A58,[1]Sheet!$A:$R,18,0)</f>
        <v>200</v>
      </c>
      <c r="T58" s="5">
        <f t="shared" si="6"/>
        <v>12.892156862745098</v>
      </c>
      <c r="U58" s="5">
        <f t="shared" si="14"/>
        <v>3.0882352941176472</v>
      </c>
      <c r="V58" s="5">
        <v>5.4</v>
      </c>
      <c r="W58" s="5">
        <v>7</v>
      </c>
      <c r="X58" s="5">
        <v>7.2</v>
      </c>
      <c r="Y58" s="5">
        <v>9.1999999999999993</v>
      </c>
      <c r="Z58" s="5">
        <v>4.2</v>
      </c>
      <c r="AA58" s="5">
        <v>7</v>
      </c>
      <c r="AB58" s="5">
        <v>12.8</v>
      </c>
      <c r="AC58" s="5">
        <v>4.5999999999999996</v>
      </c>
      <c r="AD58" s="5">
        <v>9.1999999999999993</v>
      </c>
      <c r="AE58" s="5">
        <v>6</v>
      </c>
      <c r="AF58" s="5"/>
      <c r="AG58" s="5">
        <f t="shared" si="7"/>
        <v>70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104</v>
      </c>
      <c r="B59" s="5" t="s">
        <v>34</v>
      </c>
      <c r="C59" s="5">
        <v>269.863</v>
      </c>
      <c r="D59" s="5">
        <v>1.5449999999999999</v>
      </c>
      <c r="E59" s="5">
        <v>46.616</v>
      </c>
      <c r="F59" s="5">
        <v>202.99100000000001</v>
      </c>
      <c r="G59" s="7">
        <v>1</v>
      </c>
      <c r="H59" s="5">
        <v>50</v>
      </c>
      <c r="I59" s="5" t="s">
        <v>35</v>
      </c>
      <c r="J59" s="5"/>
      <c r="K59" s="5">
        <v>44.5</v>
      </c>
      <c r="L59" s="5">
        <f t="shared" si="12"/>
        <v>2.1159999999999997</v>
      </c>
      <c r="M59" s="5"/>
      <c r="N59" s="5"/>
      <c r="O59" s="5">
        <v>0</v>
      </c>
      <c r="P59" s="5">
        <f t="shared" si="13"/>
        <v>9.3231999999999999</v>
      </c>
      <c r="Q59" s="4"/>
      <c r="R59" s="4">
        <f t="shared" si="5"/>
        <v>0</v>
      </c>
      <c r="S59" s="21"/>
      <c r="T59" s="5">
        <f t="shared" si="6"/>
        <v>21.772674618156859</v>
      </c>
      <c r="U59" s="5">
        <f t="shared" si="14"/>
        <v>21.772674618156859</v>
      </c>
      <c r="V59" s="5">
        <v>13.036799999999999</v>
      </c>
      <c r="W59" s="5">
        <v>12.728199999999999</v>
      </c>
      <c r="X59" s="5">
        <v>8.3908000000000005</v>
      </c>
      <c r="Y59" s="5">
        <v>3.1414</v>
      </c>
      <c r="Z59" s="5">
        <v>11.3216</v>
      </c>
      <c r="AA59" s="5">
        <v>15.835800000000001</v>
      </c>
      <c r="AB59" s="5">
        <v>10.3026</v>
      </c>
      <c r="AC59" s="5">
        <v>13.5976</v>
      </c>
      <c r="AD59" s="5">
        <v>13.354799999999999</v>
      </c>
      <c r="AE59" s="5">
        <v>11.995200000000001</v>
      </c>
      <c r="AF59" s="11" t="s">
        <v>41</v>
      </c>
      <c r="AG59" s="5">
        <f t="shared" si="7"/>
        <v>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105</v>
      </c>
      <c r="B60" s="5" t="s">
        <v>38</v>
      </c>
      <c r="C60" s="5">
        <v>488</v>
      </c>
      <c r="D60" s="5">
        <v>247</v>
      </c>
      <c r="E60" s="5">
        <v>326</v>
      </c>
      <c r="F60" s="5">
        <v>292</v>
      </c>
      <c r="G60" s="7">
        <v>0.41</v>
      </c>
      <c r="H60" s="5">
        <v>50</v>
      </c>
      <c r="I60" s="5" t="s">
        <v>35</v>
      </c>
      <c r="J60" s="5"/>
      <c r="K60" s="5">
        <v>327</v>
      </c>
      <c r="L60" s="5">
        <f t="shared" si="12"/>
        <v>-1</v>
      </c>
      <c r="M60" s="5"/>
      <c r="N60" s="5"/>
      <c r="O60" s="5">
        <v>425</v>
      </c>
      <c r="P60" s="5">
        <f t="shared" si="13"/>
        <v>65.2</v>
      </c>
      <c r="Q60" s="4">
        <f t="shared" si="17"/>
        <v>195.80000000000007</v>
      </c>
      <c r="R60" s="4">
        <f t="shared" si="5"/>
        <v>196</v>
      </c>
      <c r="S60" s="21"/>
      <c r="T60" s="5">
        <f t="shared" si="6"/>
        <v>14.003067484662576</v>
      </c>
      <c r="U60" s="5">
        <f t="shared" si="14"/>
        <v>10.996932515337424</v>
      </c>
      <c r="V60" s="5">
        <v>71.2</v>
      </c>
      <c r="W60" s="5">
        <v>73.8</v>
      </c>
      <c r="X60" s="5">
        <v>56.8</v>
      </c>
      <c r="Y60" s="5">
        <v>60.8</v>
      </c>
      <c r="Z60" s="5">
        <v>88.8</v>
      </c>
      <c r="AA60" s="5">
        <v>107.6</v>
      </c>
      <c r="AB60" s="5">
        <v>69.400000000000006</v>
      </c>
      <c r="AC60" s="5">
        <v>73.8</v>
      </c>
      <c r="AD60" s="5">
        <v>71.400000000000006</v>
      </c>
      <c r="AE60" s="5">
        <v>52.4</v>
      </c>
      <c r="AF60" s="5"/>
      <c r="AG60" s="5">
        <f t="shared" si="7"/>
        <v>80.36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106</v>
      </c>
      <c r="B61" s="5" t="s">
        <v>34</v>
      </c>
      <c r="C61" s="5">
        <v>271.88299999999998</v>
      </c>
      <c r="D61" s="5">
        <v>31.026</v>
      </c>
      <c r="E61" s="5">
        <v>168.893</v>
      </c>
      <c r="F61" s="5">
        <v>66.641999999999996</v>
      </c>
      <c r="G61" s="7">
        <v>1</v>
      </c>
      <c r="H61" s="5">
        <v>50</v>
      </c>
      <c r="I61" s="5" t="s">
        <v>35</v>
      </c>
      <c r="J61" s="5"/>
      <c r="K61" s="5">
        <v>158.80000000000001</v>
      </c>
      <c r="L61" s="5">
        <f t="shared" si="12"/>
        <v>10.092999999999989</v>
      </c>
      <c r="M61" s="5"/>
      <c r="N61" s="5"/>
      <c r="O61" s="5">
        <v>370</v>
      </c>
      <c r="P61" s="5">
        <f t="shared" si="13"/>
        <v>33.778599999999997</v>
      </c>
      <c r="Q61" s="4">
        <f t="shared" si="17"/>
        <v>36.258399999999995</v>
      </c>
      <c r="R61" s="4">
        <f>S61</f>
        <v>100</v>
      </c>
      <c r="S61" s="21">
        <f>VLOOKUP(A61,[1]Sheet!$A:$R,18,0)</f>
        <v>100</v>
      </c>
      <c r="T61" s="5">
        <f t="shared" si="6"/>
        <v>15.887040907556859</v>
      </c>
      <c r="U61" s="5">
        <f t="shared" si="14"/>
        <v>12.926586655456415</v>
      </c>
      <c r="V61" s="5">
        <v>37.8508</v>
      </c>
      <c r="W61" s="5">
        <v>26.976600000000001</v>
      </c>
      <c r="X61" s="5">
        <v>29.493200000000002</v>
      </c>
      <c r="Y61" s="5">
        <v>23.936199999999999</v>
      </c>
      <c r="Z61" s="5">
        <v>37.869</v>
      </c>
      <c r="AA61" s="5">
        <v>22.273399999999999</v>
      </c>
      <c r="AB61" s="5">
        <v>41.055199999999999</v>
      </c>
      <c r="AC61" s="5">
        <v>31.539000000000001</v>
      </c>
      <c r="AD61" s="5">
        <v>37.269799999999996</v>
      </c>
      <c r="AE61" s="5">
        <v>44.215200000000003</v>
      </c>
      <c r="AF61" s="5"/>
      <c r="AG61" s="5">
        <f t="shared" si="7"/>
        <v>100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107</v>
      </c>
      <c r="B62" s="5" t="s">
        <v>38</v>
      </c>
      <c r="C62" s="5">
        <v>71</v>
      </c>
      <c r="D62" s="5">
        <v>195</v>
      </c>
      <c r="E62" s="5">
        <v>80</v>
      </c>
      <c r="F62" s="5">
        <v>131</v>
      </c>
      <c r="G62" s="7">
        <v>0.3</v>
      </c>
      <c r="H62" s="5">
        <v>50</v>
      </c>
      <c r="I62" s="5" t="s">
        <v>35</v>
      </c>
      <c r="J62" s="5"/>
      <c r="K62" s="5">
        <v>87</v>
      </c>
      <c r="L62" s="5">
        <f t="shared" si="12"/>
        <v>-7</v>
      </c>
      <c r="M62" s="5"/>
      <c r="N62" s="5"/>
      <c r="O62" s="5">
        <v>150</v>
      </c>
      <c r="P62" s="5">
        <f t="shared" si="13"/>
        <v>16</v>
      </c>
      <c r="Q62" s="4"/>
      <c r="R62" s="4">
        <f t="shared" si="5"/>
        <v>0</v>
      </c>
      <c r="S62" s="21"/>
      <c r="T62" s="5">
        <f t="shared" si="6"/>
        <v>17.5625</v>
      </c>
      <c r="U62" s="5">
        <f t="shared" si="14"/>
        <v>17.5625</v>
      </c>
      <c r="V62" s="5">
        <v>16.8</v>
      </c>
      <c r="W62" s="5">
        <v>21.6</v>
      </c>
      <c r="X62" s="5">
        <v>17.2</v>
      </c>
      <c r="Y62" s="5">
        <v>17.8</v>
      </c>
      <c r="Z62" s="5">
        <v>29.4</v>
      </c>
      <c r="AA62" s="5">
        <v>16.8</v>
      </c>
      <c r="AB62" s="5">
        <v>18</v>
      </c>
      <c r="AC62" s="5">
        <v>18.8</v>
      </c>
      <c r="AD62" s="5">
        <v>15.6</v>
      </c>
      <c r="AE62" s="5">
        <v>18.600000000000001</v>
      </c>
      <c r="AF62" s="9" t="s">
        <v>73</v>
      </c>
      <c r="AG62" s="5">
        <f t="shared" si="7"/>
        <v>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108</v>
      </c>
      <c r="B63" s="5" t="s">
        <v>38</v>
      </c>
      <c r="C63" s="5">
        <v>536</v>
      </c>
      <c r="D63" s="5">
        <v>185</v>
      </c>
      <c r="E63" s="5">
        <v>278</v>
      </c>
      <c r="F63" s="5">
        <v>307</v>
      </c>
      <c r="G63" s="7">
        <v>0.18</v>
      </c>
      <c r="H63" s="5">
        <v>50</v>
      </c>
      <c r="I63" s="5" t="s">
        <v>35</v>
      </c>
      <c r="J63" s="5"/>
      <c r="K63" s="5">
        <v>288</v>
      </c>
      <c r="L63" s="5">
        <f t="shared" si="12"/>
        <v>-10</v>
      </c>
      <c r="M63" s="5"/>
      <c r="N63" s="5"/>
      <c r="O63" s="5">
        <v>0</v>
      </c>
      <c r="P63" s="5">
        <f t="shared" si="13"/>
        <v>55.6</v>
      </c>
      <c r="Q63" s="4">
        <f>13*P63-O63-F63</f>
        <v>415.80000000000007</v>
      </c>
      <c r="R63" s="4">
        <f t="shared" si="5"/>
        <v>416</v>
      </c>
      <c r="S63" s="21"/>
      <c r="T63" s="5">
        <f t="shared" si="6"/>
        <v>13.003597122302159</v>
      </c>
      <c r="U63" s="5">
        <f t="shared" si="14"/>
        <v>5.5215827338129495</v>
      </c>
      <c r="V63" s="5">
        <v>38</v>
      </c>
      <c r="W63" s="5">
        <v>53.8</v>
      </c>
      <c r="X63" s="5">
        <v>33.4</v>
      </c>
      <c r="Y63" s="5">
        <v>43.4</v>
      </c>
      <c r="Z63" s="5">
        <v>45.6</v>
      </c>
      <c r="AA63" s="5">
        <v>63.8</v>
      </c>
      <c r="AB63" s="5">
        <v>63</v>
      </c>
      <c r="AC63" s="5">
        <v>46.4</v>
      </c>
      <c r="AD63" s="5">
        <v>48.6</v>
      </c>
      <c r="AE63" s="5">
        <v>62</v>
      </c>
      <c r="AF63" s="5"/>
      <c r="AG63" s="5">
        <f t="shared" si="7"/>
        <v>74.88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109</v>
      </c>
      <c r="B64" s="5" t="s">
        <v>38</v>
      </c>
      <c r="C64" s="5">
        <v>7</v>
      </c>
      <c r="D64" s="5">
        <v>16</v>
      </c>
      <c r="E64" s="5">
        <v>18</v>
      </c>
      <c r="F64" s="5">
        <v>3</v>
      </c>
      <c r="G64" s="7">
        <v>0.22</v>
      </c>
      <c r="H64" s="5">
        <v>120</v>
      </c>
      <c r="I64" s="5" t="s">
        <v>35</v>
      </c>
      <c r="J64" s="5"/>
      <c r="K64" s="5">
        <v>36</v>
      </c>
      <c r="L64" s="5">
        <f t="shared" si="12"/>
        <v>-18</v>
      </c>
      <c r="M64" s="5"/>
      <c r="N64" s="5"/>
      <c r="O64" s="5">
        <v>50</v>
      </c>
      <c r="P64" s="5">
        <f t="shared" si="13"/>
        <v>3.6</v>
      </c>
      <c r="Q64" s="4"/>
      <c r="R64" s="4">
        <f t="shared" ref="R64:R65" si="18">S64</f>
        <v>50</v>
      </c>
      <c r="S64" s="21">
        <f>VLOOKUP(A64,[1]Sheet!$A:$R,18,0)</f>
        <v>50</v>
      </c>
      <c r="T64" s="5">
        <f t="shared" si="6"/>
        <v>28.611111111111111</v>
      </c>
      <c r="U64" s="5">
        <f t="shared" si="14"/>
        <v>14.722222222222221</v>
      </c>
      <c r="V64" s="5">
        <v>3.8</v>
      </c>
      <c r="W64" s="5">
        <v>4.2</v>
      </c>
      <c r="X64" s="5">
        <v>5.6</v>
      </c>
      <c r="Y64" s="5">
        <v>0.8</v>
      </c>
      <c r="Z64" s="5">
        <v>0.8</v>
      </c>
      <c r="AA64" s="5">
        <v>2.4</v>
      </c>
      <c r="AB64" s="5">
        <v>0</v>
      </c>
      <c r="AC64" s="5">
        <v>0</v>
      </c>
      <c r="AD64" s="5">
        <v>0</v>
      </c>
      <c r="AE64" s="5">
        <v>0</v>
      </c>
      <c r="AF64" s="5" t="s">
        <v>110</v>
      </c>
      <c r="AG64" s="5">
        <f t="shared" si="7"/>
        <v>11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111</v>
      </c>
      <c r="B65" s="5" t="s">
        <v>38</v>
      </c>
      <c r="C65" s="5">
        <v>67</v>
      </c>
      <c r="D65" s="5">
        <v>14</v>
      </c>
      <c r="E65" s="5">
        <v>53</v>
      </c>
      <c r="F65" s="5">
        <v>12</v>
      </c>
      <c r="G65" s="7">
        <v>0.84</v>
      </c>
      <c r="H65" s="5">
        <v>50</v>
      </c>
      <c r="I65" s="5" t="s">
        <v>35</v>
      </c>
      <c r="J65" s="5"/>
      <c r="K65" s="5">
        <v>53</v>
      </c>
      <c r="L65" s="5">
        <f t="shared" si="12"/>
        <v>0</v>
      </c>
      <c r="M65" s="5"/>
      <c r="N65" s="5"/>
      <c r="O65" s="5">
        <v>259</v>
      </c>
      <c r="P65" s="5">
        <f t="shared" si="13"/>
        <v>10.6</v>
      </c>
      <c r="Q65" s="4"/>
      <c r="R65" s="4">
        <f t="shared" si="18"/>
        <v>50</v>
      </c>
      <c r="S65" s="21">
        <f>VLOOKUP(A65,[1]Sheet!$A:$R,18,0)</f>
        <v>50</v>
      </c>
      <c r="T65" s="5">
        <f t="shared" si="6"/>
        <v>30.283018867924529</v>
      </c>
      <c r="U65" s="5">
        <f t="shared" si="14"/>
        <v>25.566037735849058</v>
      </c>
      <c r="V65" s="5">
        <v>32.200000000000003</v>
      </c>
      <c r="W65" s="5">
        <v>21</v>
      </c>
      <c r="X65" s="5">
        <v>11.8</v>
      </c>
      <c r="Y65" s="5">
        <v>13.4</v>
      </c>
      <c r="Z65" s="5">
        <v>16.8</v>
      </c>
      <c r="AA65" s="5">
        <v>9.1999999999999993</v>
      </c>
      <c r="AB65" s="5">
        <v>9.6</v>
      </c>
      <c r="AC65" s="5">
        <v>10</v>
      </c>
      <c r="AD65" s="5">
        <v>14.2</v>
      </c>
      <c r="AE65" s="5">
        <v>4.5999999999999996</v>
      </c>
      <c r="AF65" s="9" t="s">
        <v>73</v>
      </c>
      <c r="AG65" s="5">
        <f t="shared" si="7"/>
        <v>42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112</v>
      </c>
      <c r="B66" s="5" t="s">
        <v>38</v>
      </c>
      <c r="C66" s="5">
        <v>563</v>
      </c>
      <c r="D66" s="5">
        <v>136</v>
      </c>
      <c r="E66" s="5">
        <v>346</v>
      </c>
      <c r="F66" s="5">
        <v>192</v>
      </c>
      <c r="G66" s="7">
        <v>0.35</v>
      </c>
      <c r="H66" s="5">
        <v>50</v>
      </c>
      <c r="I66" s="5" t="s">
        <v>35</v>
      </c>
      <c r="J66" s="5"/>
      <c r="K66" s="5">
        <v>356</v>
      </c>
      <c r="L66" s="5">
        <f t="shared" si="12"/>
        <v>-10</v>
      </c>
      <c r="M66" s="5"/>
      <c r="N66" s="5"/>
      <c r="O66" s="5">
        <v>800</v>
      </c>
      <c r="P66" s="5">
        <f t="shared" si="13"/>
        <v>69.2</v>
      </c>
      <c r="Q66" s="4"/>
      <c r="R66" s="4">
        <f t="shared" si="5"/>
        <v>0</v>
      </c>
      <c r="S66" s="21"/>
      <c r="T66" s="5">
        <f t="shared" si="6"/>
        <v>14.335260115606935</v>
      </c>
      <c r="U66" s="5">
        <f t="shared" si="14"/>
        <v>14.335260115606935</v>
      </c>
      <c r="V66" s="5">
        <v>84.2</v>
      </c>
      <c r="W66" s="5">
        <v>67.2</v>
      </c>
      <c r="X66" s="5">
        <v>87.2</v>
      </c>
      <c r="Y66" s="5">
        <v>77</v>
      </c>
      <c r="Z66" s="5">
        <v>63.2</v>
      </c>
      <c r="AA66" s="5">
        <v>116.2</v>
      </c>
      <c r="AB66" s="5">
        <v>122.4</v>
      </c>
      <c r="AC66" s="5">
        <v>82.2</v>
      </c>
      <c r="AD66" s="5">
        <v>90.6</v>
      </c>
      <c r="AE66" s="5">
        <v>105.6</v>
      </c>
      <c r="AF66" s="5"/>
      <c r="AG66" s="5">
        <f t="shared" si="7"/>
        <v>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113</v>
      </c>
      <c r="B67" s="5" t="s">
        <v>38</v>
      </c>
      <c r="C67" s="5">
        <v>480</v>
      </c>
      <c r="D67" s="5">
        <v>214</v>
      </c>
      <c r="E67" s="5">
        <v>312</v>
      </c>
      <c r="F67" s="5">
        <v>151</v>
      </c>
      <c r="G67" s="7">
        <v>0.35</v>
      </c>
      <c r="H67" s="5">
        <v>50</v>
      </c>
      <c r="I67" s="5" t="s">
        <v>35</v>
      </c>
      <c r="J67" s="5"/>
      <c r="K67" s="5">
        <v>313</v>
      </c>
      <c r="L67" s="5">
        <f t="shared" si="12"/>
        <v>-1</v>
      </c>
      <c r="M67" s="5"/>
      <c r="N67" s="5"/>
      <c r="O67" s="5">
        <v>450</v>
      </c>
      <c r="P67" s="5">
        <f t="shared" si="13"/>
        <v>62.4</v>
      </c>
      <c r="Q67" s="4">
        <f t="shared" si="17"/>
        <v>272.60000000000002</v>
      </c>
      <c r="R67" s="4">
        <f t="shared" si="5"/>
        <v>273</v>
      </c>
      <c r="S67" s="21"/>
      <c r="T67" s="5">
        <f t="shared" si="6"/>
        <v>14.006410256410257</v>
      </c>
      <c r="U67" s="5">
        <f t="shared" si="14"/>
        <v>9.6314102564102573</v>
      </c>
      <c r="V67" s="5">
        <v>54.6</v>
      </c>
      <c r="W67" s="5">
        <v>51.4</v>
      </c>
      <c r="X67" s="5">
        <v>43.2</v>
      </c>
      <c r="Y67" s="5">
        <v>45.8</v>
      </c>
      <c r="Z67" s="5">
        <v>55.2</v>
      </c>
      <c r="AA67" s="5">
        <v>39.200000000000003</v>
      </c>
      <c r="AB67" s="5">
        <v>43.2</v>
      </c>
      <c r="AC67" s="5">
        <v>35</v>
      </c>
      <c r="AD67" s="5">
        <v>0</v>
      </c>
      <c r="AE67" s="5">
        <v>0</v>
      </c>
      <c r="AF67" s="5" t="s">
        <v>110</v>
      </c>
      <c r="AG67" s="5">
        <f t="shared" si="7"/>
        <v>95.55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114</v>
      </c>
      <c r="B68" s="5" t="s">
        <v>34</v>
      </c>
      <c r="C68" s="5">
        <v>526.81700000000001</v>
      </c>
      <c r="D68" s="5">
        <v>45.435000000000002</v>
      </c>
      <c r="E68" s="5">
        <v>301.846</v>
      </c>
      <c r="F68" s="5">
        <v>175.608</v>
      </c>
      <c r="G68" s="7">
        <v>1</v>
      </c>
      <c r="H68" s="5">
        <v>50</v>
      </c>
      <c r="I68" s="5" t="s">
        <v>35</v>
      </c>
      <c r="J68" s="5"/>
      <c r="K68" s="5">
        <v>278.10000000000002</v>
      </c>
      <c r="L68" s="5">
        <f t="shared" si="12"/>
        <v>23.745999999999981</v>
      </c>
      <c r="M68" s="5"/>
      <c r="N68" s="5"/>
      <c r="O68" s="5">
        <v>275</v>
      </c>
      <c r="P68" s="5">
        <f t="shared" si="13"/>
        <v>60.369199999999999</v>
      </c>
      <c r="Q68" s="4">
        <f t="shared" si="17"/>
        <v>394.56080000000003</v>
      </c>
      <c r="R68" s="4">
        <f t="shared" si="5"/>
        <v>395</v>
      </c>
      <c r="S68" s="21"/>
      <c r="T68" s="5">
        <f t="shared" si="6"/>
        <v>14.007275233065867</v>
      </c>
      <c r="U68" s="5">
        <f t="shared" si="14"/>
        <v>7.4642036005115191</v>
      </c>
      <c r="V68" s="5">
        <v>51.904200000000003</v>
      </c>
      <c r="W68" s="5">
        <v>33.8596</v>
      </c>
      <c r="X68" s="5">
        <v>61.115400000000001</v>
      </c>
      <c r="Y68" s="5">
        <v>41.524000000000001</v>
      </c>
      <c r="Z68" s="5">
        <v>59.298800000000007</v>
      </c>
      <c r="AA68" s="5">
        <v>60.036800000000007</v>
      </c>
      <c r="AB68" s="5">
        <v>68.844000000000008</v>
      </c>
      <c r="AC68" s="5">
        <v>29.391200000000001</v>
      </c>
      <c r="AD68" s="5">
        <v>35.189399999999999</v>
      </c>
      <c r="AE68" s="5">
        <v>67.367999999999995</v>
      </c>
      <c r="AF68" s="5"/>
      <c r="AG68" s="5">
        <f t="shared" si="7"/>
        <v>395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 t="s">
        <v>115</v>
      </c>
      <c r="B69" s="5" t="s">
        <v>34</v>
      </c>
      <c r="C69" s="5">
        <v>487.99900000000002</v>
      </c>
      <c r="D69" s="5">
        <v>46.813000000000002</v>
      </c>
      <c r="E69" s="5">
        <v>281.69200000000001</v>
      </c>
      <c r="F69" s="5">
        <v>169.678</v>
      </c>
      <c r="G69" s="7">
        <v>1</v>
      </c>
      <c r="H69" s="5">
        <v>50</v>
      </c>
      <c r="I69" s="5" t="s">
        <v>35</v>
      </c>
      <c r="J69" s="5"/>
      <c r="K69" s="5">
        <v>263.5</v>
      </c>
      <c r="L69" s="5">
        <f t="shared" si="12"/>
        <v>18.192000000000007</v>
      </c>
      <c r="M69" s="5"/>
      <c r="N69" s="5"/>
      <c r="O69" s="5">
        <v>414</v>
      </c>
      <c r="P69" s="5">
        <f t="shared" si="13"/>
        <v>56.3384</v>
      </c>
      <c r="Q69" s="4">
        <f t="shared" si="17"/>
        <v>205.05960000000005</v>
      </c>
      <c r="R69" s="4">
        <f t="shared" si="5"/>
        <v>205</v>
      </c>
      <c r="S69" s="21"/>
      <c r="T69" s="5">
        <f t="shared" si="6"/>
        <v>13.998942106982094</v>
      </c>
      <c r="U69" s="5">
        <f t="shared" si="14"/>
        <v>10.360216122573592</v>
      </c>
      <c r="V69" s="5">
        <v>58.373399999999997</v>
      </c>
      <c r="W69" s="5">
        <v>36.005399999999987</v>
      </c>
      <c r="X69" s="5">
        <v>63.586199999999998</v>
      </c>
      <c r="Y69" s="5">
        <v>36.731400000000001</v>
      </c>
      <c r="Z69" s="5">
        <v>60.394000000000013</v>
      </c>
      <c r="AA69" s="5">
        <v>68.526800000000009</v>
      </c>
      <c r="AB69" s="5">
        <v>70.324399999999997</v>
      </c>
      <c r="AC69" s="5">
        <v>26.7746</v>
      </c>
      <c r="AD69" s="5">
        <v>56.224200000000003</v>
      </c>
      <c r="AE69" s="5">
        <v>77.818399999999997</v>
      </c>
      <c r="AF69" s="5"/>
      <c r="AG69" s="5">
        <f t="shared" si="7"/>
        <v>205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116</v>
      </c>
      <c r="B70" s="5" t="s">
        <v>38</v>
      </c>
      <c r="C70" s="5">
        <v>569</v>
      </c>
      <c r="D70" s="5">
        <v>14</v>
      </c>
      <c r="E70" s="5">
        <v>214</v>
      </c>
      <c r="F70" s="5">
        <v>297</v>
      </c>
      <c r="G70" s="7">
        <v>0.35</v>
      </c>
      <c r="H70" s="5">
        <v>50</v>
      </c>
      <c r="I70" s="5" t="s">
        <v>35</v>
      </c>
      <c r="J70" s="5"/>
      <c r="K70" s="5">
        <v>246</v>
      </c>
      <c r="L70" s="5">
        <f t="shared" ref="L70:L101" si="19">E70-K70</f>
        <v>-32</v>
      </c>
      <c r="M70" s="5"/>
      <c r="N70" s="5"/>
      <c r="O70" s="5">
        <v>200</v>
      </c>
      <c r="P70" s="5">
        <f t="shared" ref="P70:P101" si="20">E70/5</f>
        <v>42.8</v>
      </c>
      <c r="Q70" s="4">
        <f t="shared" si="17"/>
        <v>102.19999999999993</v>
      </c>
      <c r="R70" s="4">
        <f>S70</f>
        <v>200</v>
      </c>
      <c r="S70" s="21">
        <f>VLOOKUP(A70,[1]Sheet!$A:$R,18,0)</f>
        <v>200</v>
      </c>
      <c r="T70" s="5">
        <f t="shared" si="6"/>
        <v>16.285046728971963</v>
      </c>
      <c r="U70" s="5">
        <f t="shared" ref="U70:U101" si="21">(F70+O70)/P70</f>
        <v>11.612149532710282</v>
      </c>
      <c r="V70" s="5">
        <v>44.8</v>
      </c>
      <c r="W70" s="5">
        <v>39.200000000000003</v>
      </c>
      <c r="X70" s="5">
        <v>30.8</v>
      </c>
      <c r="Y70" s="5">
        <v>38.200000000000003</v>
      </c>
      <c r="Z70" s="5">
        <v>23.4</v>
      </c>
      <c r="AA70" s="5">
        <v>53.4</v>
      </c>
      <c r="AB70" s="5">
        <v>62</v>
      </c>
      <c r="AC70" s="5">
        <v>40</v>
      </c>
      <c r="AD70" s="5">
        <v>41.8</v>
      </c>
      <c r="AE70" s="5">
        <v>65.599999999999994</v>
      </c>
      <c r="AF70" s="5"/>
      <c r="AG70" s="5">
        <f t="shared" si="7"/>
        <v>70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 t="s">
        <v>117</v>
      </c>
      <c r="B71" s="5" t="s">
        <v>38</v>
      </c>
      <c r="C71" s="5">
        <v>92</v>
      </c>
      <c r="D71" s="5">
        <v>21</v>
      </c>
      <c r="E71" s="5">
        <v>90</v>
      </c>
      <c r="F71" s="5"/>
      <c r="G71" s="7">
        <v>0.3</v>
      </c>
      <c r="H71" s="5">
        <v>50</v>
      </c>
      <c r="I71" s="5" t="s">
        <v>35</v>
      </c>
      <c r="J71" s="5"/>
      <c r="K71" s="5">
        <v>98</v>
      </c>
      <c r="L71" s="5">
        <f t="shared" si="19"/>
        <v>-8</v>
      </c>
      <c r="M71" s="5"/>
      <c r="N71" s="5"/>
      <c r="O71" s="5">
        <v>107</v>
      </c>
      <c r="P71" s="5">
        <f t="shared" si="20"/>
        <v>18</v>
      </c>
      <c r="Q71" s="4">
        <f>13*P71-O71-F71</f>
        <v>127</v>
      </c>
      <c r="R71" s="4">
        <f t="shared" ref="R71:R107" si="22">ROUND(Q71,0)</f>
        <v>127</v>
      </c>
      <c r="S71" s="21"/>
      <c r="T71" s="5">
        <f t="shared" ref="T71:T107" si="23">(F71+O71+R71)/P71</f>
        <v>13</v>
      </c>
      <c r="U71" s="5">
        <f t="shared" si="21"/>
        <v>5.9444444444444446</v>
      </c>
      <c r="V71" s="5">
        <v>13.6</v>
      </c>
      <c r="W71" s="5">
        <v>11</v>
      </c>
      <c r="X71" s="5">
        <v>7.6</v>
      </c>
      <c r="Y71" s="5">
        <v>14.8</v>
      </c>
      <c r="Z71" s="5">
        <v>10.4</v>
      </c>
      <c r="AA71" s="5">
        <v>10.6</v>
      </c>
      <c r="AB71" s="5">
        <v>14.8</v>
      </c>
      <c r="AC71" s="5">
        <v>14.8</v>
      </c>
      <c r="AD71" s="5">
        <v>13.2</v>
      </c>
      <c r="AE71" s="5">
        <v>13.4</v>
      </c>
      <c r="AF71" s="5"/>
      <c r="AG71" s="5">
        <f t="shared" ref="AG71:AG107" si="24">G71*R71</f>
        <v>38.1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118</v>
      </c>
      <c r="B72" s="5" t="s">
        <v>38</v>
      </c>
      <c r="C72" s="5">
        <v>263</v>
      </c>
      <c r="D72" s="5">
        <v>11</v>
      </c>
      <c r="E72" s="5">
        <v>130</v>
      </c>
      <c r="F72" s="5">
        <v>106</v>
      </c>
      <c r="G72" s="7">
        <v>0.3</v>
      </c>
      <c r="H72" s="5">
        <v>60</v>
      </c>
      <c r="I72" s="5" t="s">
        <v>35</v>
      </c>
      <c r="J72" s="5"/>
      <c r="K72" s="5">
        <v>130</v>
      </c>
      <c r="L72" s="5">
        <f t="shared" si="19"/>
        <v>0</v>
      </c>
      <c r="M72" s="5"/>
      <c r="N72" s="5"/>
      <c r="O72" s="5">
        <v>0</v>
      </c>
      <c r="P72" s="5">
        <f t="shared" si="20"/>
        <v>26</v>
      </c>
      <c r="Q72" s="4">
        <f>11*P72-O72-F72</f>
        <v>180</v>
      </c>
      <c r="R72" s="4">
        <f t="shared" si="22"/>
        <v>180</v>
      </c>
      <c r="S72" s="21"/>
      <c r="T72" s="5">
        <f t="shared" si="23"/>
        <v>11</v>
      </c>
      <c r="U72" s="5">
        <f t="shared" si="21"/>
        <v>4.0769230769230766</v>
      </c>
      <c r="V72" s="5">
        <v>15.2</v>
      </c>
      <c r="W72" s="5">
        <v>16</v>
      </c>
      <c r="X72" s="5">
        <v>9.4</v>
      </c>
      <c r="Y72" s="5">
        <v>22</v>
      </c>
      <c r="Z72" s="5">
        <v>10.4</v>
      </c>
      <c r="AA72" s="5">
        <v>19</v>
      </c>
      <c r="AB72" s="5">
        <v>16.2</v>
      </c>
      <c r="AC72" s="5">
        <v>15.6</v>
      </c>
      <c r="AD72" s="5">
        <v>16.2</v>
      </c>
      <c r="AE72" s="5">
        <v>17.2</v>
      </c>
      <c r="AF72" s="5"/>
      <c r="AG72" s="5">
        <f t="shared" si="24"/>
        <v>54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119</v>
      </c>
      <c r="B73" s="5" t="s">
        <v>38</v>
      </c>
      <c r="C73" s="5">
        <v>292</v>
      </c>
      <c r="D73" s="5">
        <v>15</v>
      </c>
      <c r="E73" s="5">
        <v>259</v>
      </c>
      <c r="F73" s="5"/>
      <c r="G73" s="7">
        <v>0.28000000000000003</v>
      </c>
      <c r="H73" s="5">
        <v>50</v>
      </c>
      <c r="I73" s="5" t="s">
        <v>35</v>
      </c>
      <c r="J73" s="5"/>
      <c r="K73" s="5">
        <v>263</v>
      </c>
      <c r="L73" s="5">
        <f t="shared" si="19"/>
        <v>-4</v>
      </c>
      <c r="M73" s="5"/>
      <c r="N73" s="5"/>
      <c r="O73" s="5">
        <v>350</v>
      </c>
      <c r="P73" s="5">
        <f t="shared" si="20"/>
        <v>51.8</v>
      </c>
      <c r="Q73" s="4">
        <f t="shared" si="17"/>
        <v>375.19999999999993</v>
      </c>
      <c r="R73" s="4">
        <f t="shared" si="22"/>
        <v>375</v>
      </c>
      <c r="S73" s="21"/>
      <c r="T73" s="5">
        <f t="shared" si="23"/>
        <v>13.996138996138997</v>
      </c>
      <c r="U73" s="5">
        <f t="shared" si="21"/>
        <v>6.756756756756757</v>
      </c>
      <c r="V73" s="5">
        <v>32</v>
      </c>
      <c r="W73" s="5">
        <v>27.2</v>
      </c>
      <c r="X73" s="5">
        <v>38.6</v>
      </c>
      <c r="Y73" s="5">
        <v>32.200000000000003</v>
      </c>
      <c r="Z73" s="5">
        <v>25.6</v>
      </c>
      <c r="AA73" s="5">
        <v>30</v>
      </c>
      <c r="AB73" s="5">
        <v>34.799999999999997</v>
      </c>
      <c r="AC73" s="5">
        <v>24.2</v>
      </c>
      <c r="AD73" s="5">
        <v>27.8</v>
      </c>
      <c r="AE73" s="5">
        <v>28.6</v>
      </c>
      <c r="AF73" s="5"/>
      <c r="AG73" s="5">
        <f t="shared" si="24"/>
        <v>105.00000000000001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120</v>
      </c>
      <c r="B74" s="5" t="s">
        <v>38</v>
      </c>
      <c r="C74" s="5">
        <v>280</v>
      </c>
      <c r="D74" s="5">
        <v>46</v>
      </c>
      <c r="E74" s="5">
        <v>294</v>
      </c>
      <c r="F74" s="5"/>
      <c r="G74" s="7">
        <v>0.28000000000000003</v>
      </c>
      <c r="H74" s="5">
        <v>45</v>
      </c>
      <c r="I74" s="5" t="s">
        <v>35</v>
      </c>
      <c r="J74" s="5"/>
      <c r="K74" s="5">
        <v>297</v>
      </c>
      <c r="L74" s="5">
        <f t="shared" si="19"/>
        <v>-3</v>
      </c>
      <c r="M74" s="5"/>
      <c r="N74" s="5"/>
      <c r="O74" s="5">
        <v>400</v>
      </c>
      <c r="P74" s="5">
        <f t="shared" si="20"/>
        <v>58.8</v>
      </c>
      <c r="Q74" s="4">
        <f t="shared" si="17"/>
        <v>423.19999999999993</v>
      </c>
      <c r="R74" s="4">
        <f t="shared" si="22"/>
        <v>423</v>
      </c>
      <c r="S74" s="21"/>
      <c r="T74" s="5">
        <f t="shared" si="23"/>
        <v>13.996598639455783</v>
      </c>
      <c r="U74" s="5">
        <f t="shared" si="21"/>
        <v>6.8027210884353746</v>
      </c>
      <c r="V74" s="5">
        <v>36.799999999999997</v>
      </c>
      <c r="W74" s="5">
        <v>28.4</v>
      </c>
      <c r="X74" s="5">
        <v>25</v>
      </c>
      <c r="Y74" s="5">
        <v>36.200000000000003</v>
      </c>
      <c r="Z74" s="5">
        <v>39.200000000000003</v>
      </c>
      <c r="AA74" s="5">
        <v>26.8</v>
      </c>
      <c r="AB74" s="5">
        <v>50.2</v>
      </c>
      <c r="AC74" s="5">
        <v>40.4</v>
      </c>
      <c r="AD74" s="5">
        <v>33.4</v>
      </c>
      <c r="AE74" s="5">
        <v>42.8</v>
      </c>
      <c r="AF74" s="5"/>
      <c r="AG74" s="5">
        <f t="shared" si="24"/>
        <v>118.44000000000001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121</v>
      </c>
      <c r="B75" s="5" t="s">
        <v>38</v>
      </c>
      <c r="C75" s="5">
        <v>392</v>
      </c>
      <c r="D75" s="5">
        <v>582</v>
      </c>
      <c r="E75" s="5">
        <v>612</v>
      </c>
      <c r="F75" s="5">
        <v>228</v>
      </c>
      <c r="G75" s="7">
        <v>0.28000000000000003</v>
      </c>
      <c r="H75" s="5">
        <v>45</v>
      </c>
      <c r="I75" s="5" t="s">
        <v>35</v>
      </c>
      <c r="J75" s="5"/>
      <c r="K75" s="5">
        <v>621</v>
      </c>
      <c r="L75" s="5">
        <f t="shared" si="19"/>
        <v>-9</v>
      </c>
      <c r="M75" s="5"/>
      <c r="N75" s="5"/>
      <c r="O75" s="5">
        <v>649</v>
      </c>
      <c r="P75" s="5">
        <f t="shared" si="20"/>
        <v>122.4</v>
      </c>
      <c r="Q75" s="4">
        <f t="shared" si="17"/>
        <v>836.60000000000014</v>
      </c>
      <c r="R75" s="4">
        <f t="shared" si="22"/>
        <v>837</v>
      </c>
      <c r="S75" s="21"/>
      <c r="T75" s="5">
        <f t="shared" si="23"/>
        <v>14.003267973856209</v>
      </c>
      <c r="U75" s="5">
        <f t="shared" si="21"/>
        <v>7.1650326797385615</v>
      </c>
      <c r="V75" s="5">
        <v>97.4</v>
      </c>
      <c r="W75" s="5">
        <v>89.6</v>
      </c>
      <c r="X75" s="5">
        <v>76.2</v>
      </c>
      <c r="Y75" s="5">
        <v>109</v>
      </c>
      <c r="Z75" s="5">
        <v>117.8</v>
      </c>
      <c r="AA75" s="5">
        <v>130.80000000000001</v>
      </c>
      <c r="AB75" s="5">
        <v>98.6</v>
      </c>
      <c r="AC75" s="5">
        <v>101.2</v>
      </c>
      <c r="AD75" s="5">
        <v>97.2</v>
      </c>
      <c r="AE75" s="5">
        <v>82.4</v>
      </c>
      <c r="AF75" s="5"/>
      <c r="AG75" s="5">
        <f t="shared" si="24"/>
        <v>234.36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122</v>
      </c>
      <c r="B76" s="5" t="s">
        <v>38</v>
      </c>
      <c r="C76" s="5">
        <v>348</v>
      </c>
      <c r="D76" s="5">
        <v>7</v>
      </c>
      <c r="E76" s="5">
        <v>143</v>
      </c>
      <c r="F76" s="5">
        <v>164</v>
      </c>
      <c r="G76" s="7">
        <v>0.4</v>
      </c>
      <c r="H76" s="5">
        <v>50</v>
      </c>
      <c r="I76" s="5" t="s">
        <v>35</v>
      </c>
      <c r="J76" s="5"/>
      <c r="K76" s="5">
        <v>144</v>
      </c>
      <c r="L76" s="5">
        <f t="shared" si="19"/>
        <v>-1</v>
      </c>
      <c r="M76" s="5"/>
      <c r="N76" s="5"/>
      <c r="O76" s="5">
        <v>171</v>
      </c>
      <c r="P76" s="5">
        <f t="shared" si="20"/>
        <v>28.6</v>
      </c>
      <c r="Q76" s="4">
        <f t="shared" si="17"/>
        <v>65.400000000000034</v>
      </c>
      <c r="R76" s="4">
        <f t="shared" si="22"/>
        <v>65</v>
      </c>
      <c r="S76" s="21"/>
      <c r="T76" s="5">
        <f t="shared" si="23"/>
        <v>13.986013986013985</v>
      </c>
      <c r="U76" s="5">
        <f t="shared" si="21"/>
        <v>11.713286713286713</v>
      </c>
      <c r="V76" s="5">
        <v>31.4</v>
      </c>
      <c r="W76" s="5">
        <v>22.8</v>
      </c>
      <c r="X76" s="5">
        <v>25</v>
      </c>
      <c r="Y76" s="5">
        <v>24.8</v>
      </c>
      <c r="Z76" s="5">
        <v>30.8</v>
      </c>
      <c r="AA76" s="5">
        <v>42.2</v>
      </c>
      <c r="AB76" s="5">
        <v>40.200000000000003</v>
      </c>
      <c r="AC76" s="5">
        <v>32.4</v>
      </c>
      <c r="AD76" s="5">
        <v>40.200000000000003</v>
      </c>
      <c r="AE76" s="5">
        <v>36.200000000000003</v>
      </c>
      <c r="AF76" s="5"/>
      <c r="AG76" s="5">
        <f t="shared" si="24"/>
        <v>26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123</v>
      </c>
      <c r="B77" s="5" t="s">
        <v>34</v>
      </c>
      <c r="C77" s="5">
        <v>-3.125</v>
      </c>
      <c r="D77" s="5">
        <v>247.33699999999999</v>
      </c>
      <c r="E77" s="5">
        <v>190.595</v>
      </c>
      <c r="F77" s="5">
        <v>0.93700000000000006</v>
      </c>
      <c r="G77" s="7">
        <v>1</v>
      </c>
      <c r="H77" s="5">
        <v>30</v>
      </c>
      <c r="I77" s="5" t="s">
        <v>35</v>
      </c>
      <c r="J77" s="5"/>
      <c r="K77" s="5">
        <v>222.16399999999999</v>
      </c>
      <c r="L77" s="5">
        <f t="shared" si="19"/>
        <v>-31.568999999999988</v>
      </c>
      <c r="M77" s="5"/>
      <c r="N77" s="5"/>
      <c r="O77" s="5">
        <v>400</v>
      </c>
      <c r="P77" s="5">
        <f t="shared" si="20"/>
        <v>38.119</v>
      </c>
      <c r="Q77" s="4">
        <f t="shared" si="17"/>
        <v>132.72899999999993</v>
      </c>
      <c r="R77" s="4">
        <f>S77</f>
        <v>300</v>
      </c>
      <c r="S77" s="21">
        <f>VLOOKUP(A77,[1]Sheet!$A:$R,18,0)</f>
        <v>300</v>
      </c>
      <c r="T77" s="5">
        <f t="shared" si="23"/>
        <v>18.38812665599832</v>
      </c>
      <c r="U77" s="5">
        <f t="shared" si="21"/>
        <v>10.518035625278733</v>
      </c>
      <c r="V77" s="5">
        <v>5.4151999999999996</v>
      </c>
      <c r="W77" s="5">
        <v>61.568600000000004</v>
      </c>
      <c r="X77" s="5">
        <v>41.13</v>
      </c>
      <c r="Y77" s="5">
        <v>37.4452</v>
      </c>
      <c r="Z77" s="5">
        <v>10.79</v>
      </c>
      <c r="AA77" s="5">
        <v>6.1048</v>
      </c>
      <c r="AB77" s="5">
        <v>25.026399999999999</v>
      </c>
      <c r="AC77" s="5">
        <v>19.0764</v>
      </c>
      <c r="AD77" s="5">
        <v>11.9458</v>
      </c>
      <c r="AE77" s="5">
        <v>14.8004</v>
      </c>
      <c r="AF77" s="5" t="s">
        <v>57</v>
      </c>
      <c r="AG77" s="5">
        <f t="shared" si="24"/>
        <v>300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124</v>
      </c>
      <c r="B78" s="5" t="s">
        <v>38</v>
      </c>
      <c r="C78" s="5">
        <v>31</v>
      </c>
      <c r="D78" s="5">
        <v>1</v>
      </c>
      <c r="E78" s="5">
        <v>3</v>
      </c>
      <c r="F78" s="5">
        <v>28</v>
      </c>
      <c r="G78" s="7">
        <v>0.33800000000000002</v>
      </c>
      <c r="H78" s="5" t="s">
        <v>125</v>
      </c>
      <c r="I78" s="5" t="s">
        <v>35</v>
      </c>
      <c r="J78" s="5"/>
      <c r="K78" s="5">
        <v>3</v>
      </c>
      <c r="L78" s="5">
        <f t="shared" si="19"/>
        <v>0</v>
      </c>
      <c r="M78" s="5"/>
      <c r="N78" s="5"/>
      <c r="O78" s="5">
        <v>30</v>
      </c>
      <c r="P78" s="5">
        <f t="shared" si="20"/>
        <v>0.6</v>
      </c>
      <c r="Q78" s="4"/>
      <c r="R78" s="4">
        <f t="shared" si="22"/>
        <v>0</v>
      </c>
      <c r="S78" s="21"/>
      <c r="T78" s="5">
        <f t="shared" si="23"/>
        <v>96.666666666666671</v>
      </c>
      <c r="U78" s="5">
        <f t="shared" si="21"/>
        <v>96.666666666666671</v>
      </c>
      <c r="V78" s="5">
        <v>3</v>
      </c>
      <c r="W78" s="5">
        <v>0</v>
      </c>
      <c r="X78" s="5">
        <v>3.6</v>
      </c>
      <c r="Y78" s="5">
        <v>0.4</v>
      </c>
      <c r="Z78" s="5">
        <v>5.4</v>
      </c>
      <c r="AA78" s="5">
        <v>0.4</v>
      </c>
      <c r="AB78" s="5">
        <v>0</v>
      </c>
      <c r="AC78" s="5">
        <v>0</v>
      </c>
      <c r="AD78" s="5">
        <v>0</v>
      </c>
      <c r="AE78" s="5">
        <v>0</v>
      </c>
      <c r="AF78" s="11" t="s">
        <v>36</v>
      </c>
      <c r="AG78" s="5">
        <f t="shared" si="24"/>
        <v>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126</v>
      </c>
      <c r="B79" s="5" t="s">
        <v>38</v>
      </c>
      <c r="C79" s="5">
        <v>71</v>
      </c>
      <c r="D79" s="5">
        <v>1</v>
      </c>
      <c r="E79" s="5">
        <v>3</v>
      </c>
      <c r="F79" s="5">
        <v>69</v>
      </c>
      <c r="G79" s="7">
        <v>0.32500000000000001</v>
      </c>
      <c r="H79" s="5" t="s">
        <v>125</v>
      </c>
      <c r="I79" s="5" t="s">
        <v>35</v>
      </c>
      <c r="J79" s="5"/>
      <c r="K79" s="5">
        <v>3</v>
      </c>
      <c r="L79" s="5">
        <f t="shared" si="19"/>
        <v>0</v>
      </c>
      <c r="M79" s="5"/>
      <c r="N79" s="5"/>
      <c r="O79" s="5">
        <v>0</v>
      </c>
      <c r="P79" s="5">
        <f t="shared" si="20"/>
        <v>0.6</v>
      </c>
      <c r="Q79" s="4"/>
      <c r="R79" s="4">
        <f t="shared" si="22"/>
        <v>0</v>
      </c>
      <c r="S79" s="21"/>
      <c r="T79" s="5">
        <f t="shared" si="23"/>
        <v>115</v>
      </c>
      <c r="U79" s="5">
        <f t="shared" si="21"/>
        <v>115</v>
      </c>
      <c r="V79" s="5">
        <v>3.6</v>
      </c>
      <c r="W79" s="5">
        <v>0</v>
      </c>
      <c r="X79" s="5">
        <v>3.6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11" t="s">
        <v>36</v>
      </c>
      <c r="AG79" s="5">
        <f t="shared" si="24"/>
        <v>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127</v>
      </c>
      <c r="B80" s="5" t="s">
        <v>38</v>
      </c>
      <c r="C80" s="5">
        <v>622</v>
      </c>
      <c r="D80" s="5">
        <v>9</v>
      </c>
      <c r="E80" s="5">
        <v>132</v>
      </c>
      <c r="F80" s="5">
        <v>458</v>
      </c>
      <c r="G80" s="7">
        <v>0.12</v>
      </c>
      <c r="H80" s="5">
        <v>60</v>
      </c>
      <c r="I80" s="5" t="s">
        <v>35</v>
      </c>
      <c r="J80" s="5"/>
      <c r="K80" s="5">
        <v>135</v>
      </c>
      <c r="L80" s="5">
        <f t="shared" si="19"/>
        <v>-3</v>
      </c>
      <c r="M80" s="5"/>
      <c r="N80" s="5"/>
      <c r="O80" s="5">
        <v>0</v>
      </c>
      <c r="P80" s="5">
        <f t="shared" si="20"/>
        <v>26.4</v>
      </c>
      <c r="Q80" s="4"/>
      <c r="R80" s="4">
        <f t="shared" si="22"/>
        <v>0</v>
      </c>
      <c r="S80" s="21"/>
      <c r="T80" s="5">
        <f t="shared" si="23"/>
        <v>17.348484848484848</v>
      </c>
      <c r="U80" s="5">
        <f t="shared" si="21"/>
        <v>17.348484848484848</v>
      </c>
      <c r="V80" s="5">
        <v>19.399999999999999</v>
      </c>
      <c r="W80" s="5">
        <v>24.2</v>
      </c>
      <c r="X80" s="5">
        <v>28.2</v>
      </c>
      <c r="Y80" s="5">
        <v>35.799999999999997</v>
      </c>
      <c r="Z80" s="5">
        <v>20.6</v>
      </c>
      <c r="AA80" s="5">
        <v>37.200000000000003</v>
      </c>
      <c r="AB80" s="5">
        <v>42.4</v>
      </c>
      <c r="AC80" s="5">
        <v>23.8</v>
      </c>
      <c r="AD80" s="5">
        <v>27.4</v>
      </c>
      <c r="AE80" s="5">
        <v>28.2</v>
      </c>
      <c r="AF80" s="11" t="s">
        <v>41</v>
      </c>
      <c r="AG80" s="5">
        <f t="shared" si="24"/>
        <v>0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128</v>
      </c>
      <c r="B81" s="5" t="s">
        <v>38</v>
      </c>
      <c r="C81" s="5">
        <v>79</v>
      </c>
      <c r="D81" s="5">
        <v>86</v>
      </c>
      <c r="E81" s="5">
        <v>105</v>
      </c>
      <c r="F81" s="5">
        <v>10</v>
      </c>
      <c r="G81" s="7">
        <v>0.15</v>
      </c>
      <c r="H81" s="5">
        <v>90</v>
      </c>
      <c r="I81" s="5" t="s">
        <v>35</v>
      </c>
      <c r="J81" s="5"/>
      <c r="K81" s="5">
        <v>108</v>
      </c>
      <c r="L81" s="5">
        <f t="shared" si="19"/>
        <v>-3</v>
      </c>
      <c r="M81" s="5"/>
      <c r="N81" s="5"/>
      <c r="O81" s="5">
        <v>172</v>
      </c>
      <c r="P81" s="5">
        <f t="shared" si="20"/>
        <v>21</v>
      </c>
      <c r="Q81" s="4">
        <f t="shared" si="17"/>
        <v>112</v>
      </c>
      <c r="R81" s="4">
        <f t="shared" si="22"/>
        <v>112</v>
      </c>
      <c r="S81" s="21"/>
      <c r="T81" s="5">
        <f t="shared" si="23"/>
        <v>14</v>
      </c>
      <c r="U81" s="5">
        <f t="shared" si="21"/>
        <v>8.6666666666666661</v>
      </c>
      <c r="V81" s="5">
        <v>22.2</v>
      </c>
      <c r="W81" s="5">
        <v>15.8</v>
      </c>
      <c r="X81" s="5">
        <v>12</v>
      </c>
      <c r="Y81" s="5">
        <v>4.8</v>
      </c>
      <c r="Z81" s="5">
        <v>0.8</v>
      </c>
      <c r="AA81" s="5">
        <v>5.4</v>
      </c>
      <c r="AB81" s="5">
        <v>0</v>
      </c>
      <c r="AC81" s="5">
        <v>0</v>
      </c>
      <c r="AD81" s="5">
        <v>0</v>
      </c>
      <c r="AE81" s="5">
        <v>0</v>
      </c>
      <c r="AF81" s="5" t="s">
        <v>110</v>
      </c>
      <c r="AG81" s="5">
        <f t="shared" si="24"/>
        <v>16.8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12" t="s">
        <v>129</v>
      </c>
      <c r="B82" s="12" t="s">
        <v>38</v>
      </c>
      <c r="C82" s="12"/>
      <c r="D82" s="12">
        <v>120</v>
      </c>
      <c r="E82" s="12">
        <v>47</v>
      </c>
      <c r="F82" s="12">
        <v>58</v>
      </c>
      <c r="G82" s="13">
        <v>0</v>
      </c>
      <c r="H82" s="12">
        <v>45</v>
      </c>
      <c r="I82" s="12" t="s">
        <v>130</v>
      </c>
      <c r="J82" s="12"/>
      <c r="K82" s="12"/>
      <c r="L82" s="12">
        <f t="shared" si="19"/>
        <v>47</v>
      </c>
      <c r="M82" s="12"/>
      <c r="N82" s="12"/>
      <c r="O82" s="12">
        <v>0</v>
      </c>
      <c r="P82" s="12">
        <f t="shared" si="20"/>
        <v>9.4</v>
      </c>
      <c r="Q82" s="14"/>
      <c r="R82" s="4">
        <f t="shared" si="22"/>
        <v>0</v>
      </c>
      <c r="S82" s="21"/>
      <c r="T82" s="5">
        <f t="shared" si="23"/>
        <v>6.1702127659574462</v>
      </c>
      <c r="U82" s="12">
        <f t="shared" si="21"/>
        <v>6.1702127659574462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 t="s">
        <v>131</v>
      </c>
      <c r="AG82" s="5">
        <f t="shared" si="24"/>
        <v>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12" t="s">
        <v>132</v>
      </c>
      <c r="B83" s="12" t="s">
        <v>38</v>
      </c>
      <c r="C83" s="12"/>
      <c r="D83" s="12">
        <v>300</v>
      </c>
      <c r="E83" s="12">
        <v>26</v>
      </c>
      <c r="F83" s="12">
        <v>262</v>
      </c>
      <c r="G83" s="13">
        <v>0</v>
      </c>
      <c r="H83" s="12"/>
      <c r="I83" s="12" t="s">
        <v>130</v>
      </c>
      <c r="J83" s="12"/>
      <c r="K83" s="12">
        <v>26</v>
      </c>
      <c r="L83" s="12">
        <f t="shared" si="19"/>
        <v>0</v>
      </c>
      <c r="M83" s="12"/>
      <c r="N83" s="12"/>
      <c r="O83" s="12"/>
      <c r="P83" s="12">
        <f t="shared" si="20"/>
        <v>5.2</v>
      </c>
      <c r="Q83" s="14"/>
      <c r="R83" s="4">
        <f t="shared" si="22"/>
        <v>0</v>
      </c>
      <c r="S83" s="21"/>
      <c r="T83" s="5">
        <f t="shared" si="23"/>
        <v>50.38461538461538</v>
      </c>
      <c r="U83" s="12">
        <f t="shared" si="21"/>
        <v>50.38461538461538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 t="s">
        <v>133</v>
      </c>
      <c r="AG83" s="5">
        <f t="shared" si="24"/>
        <v>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 t="s">
        <v>134</v>
      </c>
      <c r="B84" s="5" t="s">
        <v>38</v>
      </c>
      <c r="C84" s="5">
        <v>63</v>
      </c>
      <c r="D84" s="5">
        <v>77</v>
      </c>
      <c r="E84" s="5">
        <v>112</v>
      </c>
      <c r="F84" s="5"/>
      <c r="G84" s="7">
        <v>0.15</v>
      </c>
      <c r="H84" s="5">
        <v>90</v>
      </c>
      <c r="I84" s="5" t="s">
        <v>35</v>
      </c>
      <c r="J84" s="5"/>
      <c r="K84" s="5">
        <v>114</v>
      </c>
      <c r="L84" s="5">
        <f t="shared" si="19"/>
        <v>-2</v>
      </c>
      <c r="M84" s="5"/>
      <c r="N84" s="5"/>
      <c r="O84" s="5">
        <v>122</v>
      </c>
      <c r="P84" s="5">
        <f t="shared" si="20"/>
        <v>22.4</v>
      </c>
      <c r="Q84" s="4">
        <f>12*P84-O84-F84</f>
        <v>146.79999999999995</v>
      </c>
      <c r="R84" s="4">
        <f t="shared" si="22"/>
        <v>147</v>
      </c>
      <c r="S84" s="21"/>
      <c r="T84" s="5">
        <f t="shared" si="23"/>
        <v>12.008928571428573</v>
      </c>
      <c r="U84" s="5">
        <f t="shared" si="21"/>
        <v>5.4464285714285721</v>
      </c>
      <c r="V84" s="5">
        <v>15.8</v>
      </c>
      <c r="W84" s="5">
        <v>13.2</v>
      </c>
      <c r="X84" s="5">
        <v>13.8</v>
      </c>
      <c r="Y84" s="5">
        <v>7.2</v>
      </c>
      <c r="Z84" s="5">
        <v>3.8</v>
      </c>
      <c r="AA84" s="5">
        <v>5</v>
      </c>
      <c r="AB84" s="5">
        <v>0</v>
      </c>
      <c r="AC84" s="5">
        <v>0</v>
      </c>
      <c r="AD84" s="5">
        <v>0</v>
      </c>
      <c r="AE84" s="5">
        <v>0</v>
      </c>
      <c r="AF84" s="5" t="s">
        <v>110</v>
      </c>
      <c r="AG84" s="5">
        <f t="shared" si="24"/>
        <v>22.05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 t="s">
        <v>135</v>
      </c>
      <c r="B85" s="5" t="s">
        <v>38</v>
      </c>
      <c r="C85" s="5">
        <v>54</v>
      </c>
      <c r="D85" s="5">
        <v>76</v>
      </c>
      <c r="E85" s="5">
        <v>56</v>
      </c>
      <c r="F85" s="5">
        <v>19</v>
      </c>
      <c r="G85" s="7">
        <v>0.33</v>
      </c>
      <c r="H85" s="5">
        <v>30</v>
      </c>
      <c r="I85" s="5" t="s">
        <v>35</v>
      </c>
      <c r="J85" s="5"/>
      <c r="K85" s="5">
        <v>85</v>
      </c>
      <c r="L85" s="5">
        <f t="shared" si="19"/>
        <v>-29</v>
      </c>
      <c r="M85" s="5"/>
      <c r="N85" s="5"/>
      <c r="O85" s="5">
        <v>250</v>
      </c>
      <c r="P85" s="5">
        <f t="shared" si="20"/>
        <v>11.2</v>
      </c>
      <c r="Q85" s="4"/>
      <c r="R85" s="4">
        <f t="shared" si="22"/>
        <v>0</v>
      </c>
      <c r="S85" s="21"/>
      <c r="T85" s="5">
        <f t="shared" si="23"/>
        <v>24.017857142857146</v>
      </c>
      <c r="U85" s="5">
        <f t="shared" si="21"/>
        <v>24.017857142857146</v>
      </c>
      <c r="V85" s="5">
        <v>18.8</v>
      </c>
      <c r="W85" s="5">
        <v>12.6</v>
      </c>
      <c r="X85" s="5">
        <v>12.2</v>
      </c>
      <c r="Y85" s="5">
        <v>17</v>
      </c>
      <c r="Z85" s="5">
        <v>13.8</v>
      </c>
      <c r="AA85" s="5">
        <v>17</v>
      </c>
      <c r="AB85" s="5">
        <v>22.4</v>
      </c>
      <c r="AC85" s="5">
        <v>17.600000000000001</v>
      </c>
      <c r="AD85" s="5">
        <v>15</v>
      </c>
      <c r="AE85" s="5">
        <v>17</v>
      </c>
      <c r="AF85" s="5"/>
      <c r="AG85" s="5">
        <f t="shared" si="24"/>
        <v>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 t="s">
        <v>136</v>
      </c>
      <c r="B86" s="5" t="s">
        <v>38</v>
      </c>
      <c r="C86" s="5">
        <v>321</v>
      </c>
      <c r="D86" s="5">
        <v>384</v>
      </c>
      <c r="E86" s="5">
        <v>388</v>
      </c>
      <c r="F86" s="5">
        <v>190</v>
      </c>
      <c r="G86" s="7">
        <v>0.15</v>
      </c>
      <c r="H86" s="5">
        <v>60</v>
      </c>
      <c r="I86" s="5" t="s">
        <v>35</v>
      </c>
      <c r="J86" s="5"/>
      <c r="K86" s="5">
        <v>394</v>
      </c>
      <c r="L86" s="5">
        <f t="shared" si="19"/>
        <v>-6</v>
      </c>
      <c r="M86" s="5"/>
      <c r="N86" s="5"/>
      <c r="O86" s="5">
        <v>253</v>
      </c>
      <c r="P86" s="5">
        <f t="shared" si="20"/>
        <v>77.599999999999994</v>
      </c>
      <c r="Q86" s="4">
        <f t="shared" ref="Q86:Q87" si="25">13*P86-O86-F86</f>
        <v>565.79999999999995</v>
      </c>
      <c r="R86" s="4">
        <f t="shared" si="22"/>
        <v>566</v>
      </c>
      <c r="S86" s="21"/>
      <c r="T86" s="5">
        <f t="shared" si="23"/>
        <v>13.00257731958763</v>
      </c>
      <c r="U86" s="5">
        <f t="shared" si="21"/>
        <v>5.7087628865979383</v>
      </c>
      <c r="V86" s="5">
        <v>56.2</v>
      </c>
      <c r="W86" s="5">
        <v>60</v>
      </c>
      <c r="X86" s="5">
        <v>59.8</v>
      </c>
      <c r="Y86" s="5">
        <v>69</v>
      </c>
      <c r="Z86" s="5">
        <v>59.2</v>
      </c>
      <c r="AA86" s="5">
        <v>51</v>
      </c>
      <c r="AB86" s="5">
        <v>47</v>
      </c>
      <c r="AC86" s="5">
        <v>39.200000000000003</v>
      </c>
      <c r="AD86" s="5">
        <v>18</v>
      </c>
      <c r="AE86" s="5">
        <v>47.4</v>
      </c>
      <c r="AF86" s="5"/>
      <c r="AG86" s="5">
        <f t="shared" si="24"/>
        <v>84.899999999999991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10" t="s">
        <v>82</v>
      </c>
      <c r="B87" s="5" t="s">
        <v>38</v>
      </c>
      <c r="C87" s="5"/>
      <c r="D87" s="5">
        <v>80</v>
      </c>
      <c r="E87" s="19">
        <f>0+E41</f>
        <v>311</v>
      </c>
      <c r="F87" s="5">
        <v>1</v>
      </c>
      <c r="G87" s="7">
        <v>0.41</v>
      </c>
      <c r="H87" s="5">
        <v>45</v>
      </c>
      <c r="I87" s="10" t="s">
        <v>35</v>
      </c>
      <c r="J87" s="5"/>
      <c r="K87" s="5">
        <v>1</v>
      </c>
      <c r="L87" s="5">
        <f t="shared" si="19"/>
        <v>310</v>
      </c>
      <c r="M87" s="5"/>
      <c r="N87" s="5"/>
      <c r="O87" s="9">
        <f>O41</f>
        <v>349</v>
      </c>
      <c r="P87" s="5">
        <f t="shared" si="20"/>
        <v>62.2</v>
      </c>
      <c r="Q87" s="4">
        <f t="shared" si="25"/>
        <v>458.6</v>
      </c>
      <c r="R87" s="4">
        <f t="shared" ref="R87:R88" si="26">S87</f>
        <v>250</v>
      </c>
      <c r="S87" s="21">
        <f>VLOOKUP(A87,[1]Sheet!$A:$R,18,0)</f>
        <v>250</v>
      </c>
      <c r="T87" s="5">
        <f t="shared" si="23"/>
        <v>9.6463022508038581</v>
      </c>
      <c r="U87" s="5">
        <f t="shared" si="21"/>
        <v>5.627009646302251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10" t="s">
        <v>137</v>
      </c>
      <c r="AG87" s="5">
        <f t="shared" si="24"/>
        <v>102.5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15" t="s">
        <v>138</v>
      </c>
      <c r="B88" s="15" t="s">
        <v>38</v>
      </c>
      <c r="C88" s="15"/>
      <c r="D88" s="15"/>
      <c r="E88" s="15"/>
      <c r="F88" s="15"/>
      <c r="G88" s="16">
        <v>0.26</v>
      </c>
      <c r="H88" s="15">
        <v>45</v>
      </c>
      <c r="I88" s="15" t="s">
        <v>35</v>
      </c>
      <c r="J88" s="15"/>
      <c r="K88" s="15"/>
      <c r="L88" s="15">
        <f t="shared" si="19"/>
        <v>0</v>
      </c>
      <c r="M88" s="15"/>
      <c r="N88" s="15"/>
      <c r="O88" s="15">
        <v>0</v>
      </c>
      <c r="P88" s="15">
        <f t="shared" si="20"/>
        <v>0</v>
      </c>
      <c r="Q88" s="17"/>
      <c r="R88" s="4">
        <f t="shared" si="26"/>
        <v>200</v>
      </c>
      <c r="S88" s="21">
        <f>VLOOKUP(A88,[1]Sheet!$A:$R,18,0)</f>
        <v>200</v>
      </c>
      <c r="T88" s="5" t="e">
        <f t="shared" si="23"/>
        <v>#DIV/0!</v>
      </c>
      <c r="U88" s="15" t="e">
        <f t="shared" si="21"/>
        <v>#DIV/0!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 t="s">
        <v>139</v>
      </c>
      <c r="AG88" s="5">
        <f t="shared" si="24"/>
        <v>52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15" t="s">
        <v>140</v>
      </c>
      <c r="B89" s="15" t="s">
        <v>34</v>
      </c>
      <c r="C89" s="15"/>
      <c r="D89" s="15"/>
      <c r="E89" s="15"/>
      <c r="F89" s="15"/>
      <c r="G89" s="16">
        <v>0</v>
      </c>
      <c r="H89" s="15">
        <v>30</v>
      </c>
      <c r="I89" s="15" t="s">
        <v>35</v>
      </c>
      <c r="J89" s="15"/>
      <c r="K89" s="15"/>
      <c r="L89" s="15">
        <f t="shared" si="19"/>
        <v>0</v>
      </c>
      <c r="M89" s="15"/>
      <c r="N89" s="15"/>
      <c r="O89" s="15">
        <v>0</v>
      </c>
      <c r="P89" s="15">
        <f t="shared" si="20"/>
        <v>0</v>
      </c>
      <c r="Q89" s="17"/>
      <c r="R89" s="4">
        <f t="shared" si="22"/>
        <v>0</v>
      </c>
      <c r="S89" s="21"/>
      <c r="T89" s="5" t="e">
        <f t="shared" si="23"/>
        <v>#DIV/0!</v>
      </c>
      <c r="U89" s="15" t="e">
        <f t="shared" si="21"/>
        <v>#DIV/0!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1.3322000000000001</v>
      </c>
      <c r="AB89" s="15">
        <v>0</v>
      </c>
      <c r="AC89" s="15">
        <v>0</v>
      </c>
      <c r="AD89" s="15">
        <v>0</v>
      </c>
      <c r="AE89" s="15">
        <v>0</v>
      </c>
      <c r="AF89" s="15" t="s">
        <v>139</v>
      </c>
      <c r="AG89" s="5">
        <f t="shared" si="24"/>
        <v>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15" t="s">
        <v>141</v>
      </c>
      <c r="B90" s="15" t="s">
        <v>38</v>
      </c>
      <c r="C90" s="15"/>
      <c r="D90" s="15"/>
      <c r="E90" s="15"/>
      <c r="F90" s="15"/>
      <c r="G90" s="16">
        <v>0.31</v>
      </c>
      <c r="H90" s="15">
        <v>45</v>
      </c>
      <c r="I90" s="15" t="s">
        <v>35</v>
      </c>
      <c r="J90" s="15"/>
      <c r="K90" s="15"/>
      <c r="L90" s="15">
        <f t="shared" si="19"/>
        <v>0</v>
      </c>
      <c r="M90" s="15"/>
      <c r="N90" s="15"/>
      <c r="O90" s="15">
        <v>0</v>
      </c>
      <c r="P90" s="15">
        <f t="shared" si="20"/>
        <v>0</v>
      </c>
      <c r="Q90" s="17"/>
      <c r="R90" s="4">
        <f>S90</f>
        <v>100</v>
      </c>
      <c r="S90" s="21">
        <f>VLOOKUP(A90,[1]Sheet!$A:$R,18,0)</f>
        <v>100</v>
      </c>
      <c r="T90" s="5" t="e">
        <f t="shared" si="23"/>
        <v>#DIV/0!</v>
      </c>
      <c r="U90" s="15" t="e">
        <f t="shared" si="21"/>
        <v>#DIV/0!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 t="s">
        <v>139</v>
      </c>
      <c r="AG90" s="5">
        <f t="shared" si="24"/>
        <v>31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15" t="s">
        <v>142</v>
      </c>
      <c r="B91" s="15" t="s">
        <v>34</v>
      </c>
      <c r="C91" s="15"/>
      <c r="D91" s="15"/>
      <c r="E91" s="15"/>
      <c r="F91" s="15"/>
      <c r="G91" s="16">
        <v>0</v>
      </c>
      <c r="H91" s="15">
        <v>30</v>
      </c>
      <c r="I91" s="15" t="s">
        <v>35</v>
      </c>
      <c r="J91" s="15"/>
      <c r="K91" s="15"/>
      <c r="L91" s="15">
        <f t="shared" si="19"/>
        <v>0</v>
      </c>
      <c r="M91" s="15"/>
      <c r="N91" s="15"/>
      <c r="O91" s="15">
        <v>0</v>
      </c>
      <c r="P91" s="15">
        <f t="shared" si="20"/>
        <v>0</v>
      </c>
      <c r="Q91" s="17"/>
      <c r="R91" s="4">
        <f t="shared" si="22"/>
        <v>0</v>
      </c>
      <c r="S91" s="21"/>
      <c r="T91" s="5" t="e">
        <f t="shared" si="23"/>
        <v>#DIV/0!</v>
      </c>
      <c r="U91" s="15" t="e">
        <f t="shared" si="21"/>
        <v>#DIV/0!</v>
      </c>
      <c r="V91" s="15">
        <v>-0.43319999999999997</v>
      </c>
      <c r="W91" s="15">
        <v>0</v>
      </c>
      <c r="X91" s="15">
        <v>0</v>
      </c>
      <c r="Y91" s="15">
        <v>0.28539999999999999</v>
      </c>
      <c r="Z91" s="15">
        <v>0.59400000000000008</v>
      </c>
      <c r="AA91" s="15">
        <v>0.86319999999999997</v>
      </c>
      <c r="AB91" s="15">
        <v>0</v>
      </c>
      <c r="AC91" s="15">
        <v>0</v>
      </c>
      <c r="AD91" s="15">
        <v>0</v>
      </c>
      <c r="AE91" s="15">
        <v>0</v>
      </c>
      <c r="AF91" s="15" t="s">
        <v>139</v>
      </c>
      <c r="AG91" s="5">
        <f t="shared" si="24"/>
        <v>0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 t="s">
        <v>143</v>
      </c>
      <c r="B92" s="5" t="s">
        <v>38</v>
      </c>
      <c r="C92" s="5">
        <v>121</v>
      </c>
      <c r="D92" s="5">
        <v>128</v>
      </c>
      <c r="E92" s="5">
        <v>83</v>
      </c>
      <c r="F92" s="5">
        <v>103</v>
      </c>
      <c r="G92" s="7">
        <v>0.4</v>
      </c>
      <c r="H92" s="5">
        <v>60</v>
      </c>
      <c r="I92" s="5" t="s">
        <v>35</v>
      </c>
      <c r="J92" s="5"/>
      <c r="K92" s="5">
        <v>83</v>
      </c>
      <c r="L92" s="5">
        <f t="shared" si="19"/>
        <v>0</v>
      </c>
      <c r="M92" s="5"/>
      <c r="N92" s="5"/>
      <c r="O92" s="5">
        <v>169</v>
      </c>
      <c r="P92" s="5">
        <f t="shared" si="20"/>
        <v>16.600000000000001</v>
      </c>
      <c r="Q92" s="4"/>
      <c r="R92" s="4">
        <f t="shared" si="22"/>
        <v>0</v>
      </c>
      <c r="S92" s="21"/>
      <c r="T92" s="5">
        <f t="shared" si="23"/>
        <v>16.385542168674696</v>
      </c>
      <c r="U92" s="5">
        <f t="shared" si="21"/>
        <v>16.385542168674696</v>
      </c>
      <c r="V92" s="5">
        <v>24.4</v>
      </c>
      <c r="W92" s="5">
        <v>23</v>
      </c>
      <c r="X92" s="5">
        <v>24.2</v>
      </c>
      <c r="Y92" s="5">
        <v>19</v>
      </c>
      <c r="Z92" s="5">
        <v>23.4</v>
      </c>
      <c r="AA92" s="5">
        <v>34</v>
      </c>
      <c r="AB92" s="5">
        <v>18.399999999999999</v>
      </c>
      <c r="AC92" s="5">
        <v>27.8</v>
      </c>
      <c r="AD92" s="5">
        <v>25.6</v>
      </c>
      <c r="AE92" s="5">
        <v>19.8</v>
      </c>
      <c r="AF92" s="5"/>
      <c r="AG92" s="5">
        <f t="shared" si="24"/>
        <v>0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15" t="s">
        <v>144</v>
      </c>
      <c r="B93" s="15" t="s">
        <v>38</v>
      </c>
      <c r="C93" s="15"/>
      <c r="D93" s="15"/>
      <c r="E93" s="15">
        <v>-2</v>
      </c>
      <c r="F93" s="15"/>
      <c r="G93" s="16">
        <v>0</v>
      </c>
      <c r="H93" s="15">
        <v>60</v>
      </c>
      <c r="I93" s="15" t="s">
        <v>35</v>
      </c>
      <c r="J93" s="15"/>
      <c r="K93" s="15">
        <v>15</v>
      </c>
      <c r="L93" s="15">
        <f t="shared" si="19"/>
        <v>-17</v>
      </c>
      <c r="M93" s="15"/>
      <c r="N93" s="15"/>
      <c r="O93" s="15">
        <v>0</v>
      </c>
      <c r="P93" s="15">
        <f t="shared" si="20"/>
        <v>-0.4</v>
      </c>
      <c r="Q93" s="17"/>
      <c r="R93" s="4">
        <f t="shared" si="22"/>
        <v>0</v>
      </c>
      <c r="S93" s="21"/>
      <c r="T93" s="5">
        <f t="shared" si="23"/>
        <v>0</v>
      </c>
      <c r="U93" s="15">
        <f t="shared" si="21"/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0.8</v>
      </c>
      <c r="AC93" s="15">
        <v>0.4</v>
      </c>
      <c r="AD93" s="15">
        <v>1.6</v>
      </c>
      <c r="AE93" s="15">
        <v>2.4</v>
      </c>
      <c r="AF93" s="15" t="s">
        <v>139</v>
      </c>
      <c r="AG93" s="5">
        <f t="shared" si="24"/>
        <v>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15" t="s">
        <v>145</v>
      </c>
      <c r="B94" s="15" t="s">
        <v>34</v>
      </c>
      <c r="C94" s="15"/>
      <c r="D94" s="15"/>
      <c r="E94" s="15"/>
      <c r="F94" s="15"/>
      <c r="G94" s="16">
        <v>0</v>
      </c>
      <c r="H94" s="15">
        <v>45</v>
      </c>
      <c r="I94" s="15" t="s">
        <v>35</v>
      </c>
      <c r="J94" s="15"/>
      <c r="K94" s="15"/>
      <c r="L94" s="15">
        <f t="shared" si="19"/>
        <v>0</v>
      </c>
      <c r="M94" s="15"/>
      <c r="N94" s="15"/>
      <c r="O94" s="15">
        <v>0</v>
      </c>
      <c r="P94" s="15">
        <f t="shared" si="20"/>
        <v>0</v>
      </c>
      <c r="Q94" s="17"/>
      <c r="R94" s="4">
        <f t="shared" si="22"/>
        <v>0</v>
      </c>
      <c r="S94" s="21"/>
      <c r="T94" s="5" t="e">
        <f t="shared" si="23"/>
        <v>#DIV/0!</v>
      </c>
      <c r="U94" s="15" t="e">
        <f t="shared" si="21"/>
        <v>#DIV/0!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 t="s">
        <v>139</v>
      </c>
      <c r="AG94" s="5">
        <f t="shared" si="24"/>
        <v>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15" t="s">
        <v>146</v>
      </c>
      <c r="B95" s="15" t="s">
        <v>34</v>
      </c>
      <c r="C95" s="15"/>
      <c r="D95" s="15"/>
      <c r="E95" s="15"/>
      <c r="F95" s="15"/>
      <c r="G95" s="16">
        <v>0</v>
      </c>
      <c r="H95" s="15"/>
      <c r="I95" s="15" t="s">
        <v>35</v>
      </c>
      <c r="J95" s="15"/>
      <c r="K95" s="15">
        <v>4.2</v>
      </c>
      <c r="L95" s="15">
        <f t="shared" si="19"/>
        <v>-4.2</v>
      </c>
      <c r="M95" s="15"/>
      <c r="N95" s="15"/>
      <c r="O95" s="15">
        <v>0</v>
      </c>
      <c r="P95" s="15">
        <f t="shared" si="20"/>
        <v>0</v>
      </c>
      <c r="Q95" s="17"/>
      <c r="R95" s="4">
        <f t="shared" si="22"/>
        <v>0</v>
      </c>
      <c r="S95" s="21"/>
      <c r="T95" s="5" t="e">
        <f t="shared" si="23"/>
        <v>#DIV/0!</v>
      </c>
      <c r="U95" s="15" t="e">
        <f t="shared" si="21"/>
        <v>#DIV/0!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 t="s">
        <v>139</v>
      </c>
      <c r="AG95" s="5">
        <f t="shared" si="24"/>
        <v>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 t="s">
        <v>147</v>
      </c>
      <c r="B96" s="5" t="s">
        <v>38</v>
      </c>
      <c r="C96" s="5">
        <v>233</v>
      </c>
      <c r="D96" s="5">
        <v>28</v>
      </c>
      <c r="E96" s="5">
        <v>125</v>
      </c>
      <c r="F96" s="5">
        <v>101</v>
      </c>
      <c r="G96" s="7">
        <v>0.33</v>
      </c>
      <c r="H96" s="5">
        <v>45</v>
      </c>
      <c r="I96" s="5" t="s">
        <v>35</v>
      </c>
      <c r="J96" s="5"/>
      <c r="K96" s="5">
        <v>126</v>
      </c>
      <c r="L96" s="5">
        <f t="shared" si="19"/>
        <v>-1</v>
      </c>
      <c r="M96" s="5"/>
      <c r="N96" s="5"/>
      <c r="O96" s="5">
        <v>0</v>
      </c>
      <c r="P96" s="5">
        <f t="shared" si="20"/>
        <v>25</v>
      </c>
      <c r="Q96" s="4">
        <f>11*P96-O96-F96</f>
        <v>174</v>
      </c>
      <c r="R96" s="4">
        <f t="shared" si="22"/>
        <v>174</v>
      </c>
      <c r="S96" s="21"/>
      <c r="T96" s="5">
        <f t="shared" si="23"/>
        <v>11</v>
      </c>
      <c r="U96" s="5">
        <f t="shared" si="21"/>
        <v>4.04</v>
      </c>
      <c r="V96" s="5">
        <v>14</v>
      </c>
      <c r="W96" s="5">
        <v>11.2</v>
      </c>
      <c r="X96" s="5">
        <v>10.199999999999999</v>
      </c>
      <c r="Y96" s="5">
        <v>0.4</v>
      </c>
      <c r="Z96" s="5">
        <v>34</v>
      </c>
      <c r="AA96" s="5">
        <v>8.8000000000000007</v>
      </c>
      <c r="AB96" s="5">
        <v>15.2</v>
      </c>
      <c r="AC96" s="5">
        <v>10.4</v>
      </c>
      <c r="AD96" s="5">
        <v>19.8</v>
      </c>
      <c r="AE96" s="5">
        <v>18</v>
      </c>
      <c r="AF96" s="5"/>
      <c r="AG96" s="5">
        <f t="shared" si="24"/>
        <v>57.42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 t="s">
        <v>148</v>
      </c>
      <c r="B97" s="5" t="s">
        <v>38</v>
      </c>
      <c r="C97" s="5">
        <v>452</v>
      </c>
      <c r="D97" s="5">
        <v>137</v>
      </c>
      <c r="E97" s="5">
        <v>306</v>
      </c>
      <c r="F97" s="5">
        <v>195</v>
      </c>
      <c r="G97" s="7">
        <v>0.1</v>
      </c>
      <c r="H97" s="5">
        <v>60</v>
      </c>
      <c r="I97" s="5" t="s">
        <v>35</v>
      </c>
      <c r="J97" s="5"/>
      <c r="K97" s="5">
        <v>321</v>
      </c>
      <c r="L97" s="5">
        <f t="shared" si="19"/>
        <v>-15</v>
      </c>
      <c r="M97" s="5"/>
      <c r="N97" s="5"/>
      <c r="O97" s="5">
        <v>200</v>
      </c>
      <c r="P97" s="5">
        <f t="shared" si="20"/>
        <v>61.2</v>
      </c>
      <c r="Q97" s="4">
        <f>13*P97-O97-F97</f>
        <v>400.6</v>
      </c>
      <c r="R97" s="4">
        <f t="shared" si="22"/>
        <v>401</v>
      </c>
      <c r="S97" s="21"/>
      <c r="T97" s="5">
        <f t="shared" si="23"/>
        <v>13.006535947712418</v>
      </c>
      <c r="U97" s="5">
        <f t="shared" si="21"/>
        <v>6.4542483660130712</v>
      </c>
      <c r="V97" s="5">
        <v>45.4</v>
      </c>
      <c r="W97" s="5">
        <v>49.6</v>
      </c>
      <c r="X97" s="5">
        <v>44.6</v>
      </c>
      <c r="Y97" s="5">
        <v>55.6</v>
      </c>
      <c r="Z97" s="5">
        <v>37.799999999999997</v>
      </c>
      <c r="AA97" s="5">
        <v>70.8</v>
      </c>
      <c r="AB97" s="5">
        <v>55</v>
      </c>
      <c r="AC97" s="5">
        <v>45.6</v>
      </c>
      <c r="AD97" s="5">
        <v>34.799999999999997</v>
      </c>
      <c r="AE97" s="5">
        <v>53.8</v>
      </c>
      <c r="AF97" s="5"/>
      <c r="AG97" s="5">
        <f t="shared" si="24"/>
        <v>40.1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 t="s">
        <v>149</v>
      </c>
      <c r="B98" s="5" t="s">
        <v>38</v>
      </c>
      <c r="C98" s="5">
        <v>232</v>
      </c>
      <c r="D98" s="5">
        <v>816</v>
      </c>
      <c r="E98" s="5">
        <v>240</v>
      </c>
      <c r="F98" s="5">
        <v>586</v>
      </c>
      <c r="G98" s="7">
        <v>0.1</v>
      </c>
      <c r="H98" s="5">
        <v>60</v>
      </c>
      <c r="I98" s="5" t="s">
        <v>35</v>
      </c>
      <c r="J98" s="5"/>
      <c r="K98" s="5">
        <v>306</v>
      </c>
      <c r="L98" s="5">
        <f t="shared" si="19"/>
        <v>-66</v>
      </c>
      <c r="M98" s="5"/>
      <c r="N98" s="5"/>
      <c r="O98" s="5">
        <v>100</v>
      </c>
      <c r="P98" s="5">
        <f t="shared" si="20"/>
        <v>48</v>
      </c>
      <c r="Q98" s="4"/>
      <c r="R98" s="4">
        <f t="shared" si="22"/>
        <v>0</v>
      </c>
      <c r="S98" s="21"/>
      <c r="T98" s="5">
        <f t="shared" si="23"/>
        <v>14.291666666666666</v>
      </c>
      <c r="U98" s="5">
        <f t="shared" si="21"/>
        <v>14.291666666666666</v>
      </c>
      <c r="V98" s="5">
        <v>36.4</v>
      </c>
      <c r="W98" s="5">
        <v>72.8</v>
      </c>
      <c r="X98" s="5">
        <v>48.6</v>
      </c>
      <c r="Y98" s="5">
        <v>41.2</v>
      </c>
      <c r="Z98" s="5">
        <v>59.4</v>
      </c>
      <c r="AA98" s="5">
        <v>56</v>
      </c>
      <c r="AB98" s="5">
        <v>65.8</v>
      </c>
      <c r="AC98" s="5">
        <v>74.2</v>
      </c>
      <c r="AD98" s="5">
        <v>30.6</v>
      </c>
      <c r="AE98" s="5">
        <v>63.6</v>
      </c>
      <c r="AF98" s="5"/>
      <c r="AG98" s="5">
        <f t="shared" si="24"/>
        <v>0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 t="s">
        <v>150</v>
      </c>
      <c r="B99" s="5" t="s">
        <v>38</v>
      </c>
      <c r="C99" s="5">
        <v>231</v>
      </c>
      <c r="D99" s="5">
        <v>203</v>
      </c>
      <c r="E99" s="5">
        <v>161</v>
      </c>
      <c r="F99" s="5">
        <v>182</v>
      </c>
      <c r="G99" s="7">
        <v>0.4</v>
      </c>
      <c r="H99" s="5">
        <v>60</v>
      </c>
      <c r="I99" s="5" t="s">
        <v>35</v>
      </c>
      <c r="J99" s="5"/>
      <c r="K99" s="5">
        <v>172</v>
      </c>
      <c r="L99" s="5">
        <f t="shared" si="19"/>
        <v>-11</v>
      </c>
      <c r="M99" s="5"/>
      <c r="N99" s="5"/>
      <c r="O99" s="5">
        <v>100</v>
      </c>
      <c r="P99" s="5">
        <f t="shared" si="20"/>
        <v>32.200000000000003</v>
      </c>
      <c r="Q99" s="4">
        <f t="shared" ref="Q99" si="27">14*P99-O99-F99</f>
        <v>168.80000000000007</v>
      </c>
      <c r="R99" s="4">
        <f t="shared" si="22"/>
        <v>169</v>
      </c>
      <c r="S99" s="21"/>
      <c r="T99" s="5">
        <f t="shared" si="23"/>
        <v>14.006211180124222</v>
      </c>
      <c r="U99" s="5">
        <f t="shared" si="21"/>
        <v>8.757763975155278</v>
      </c>
      <c r="V99" s="5">
        <v>24.4</v>
      </c>
      <c r="W99" s="5">
        <v>34.4</v>
      </c>
      <c r="X99" s="5">
        <v>19.399999999999999</v>
      </c>
      <c r="Y99" s="5">
        <v>28.4</v>
      </c>
      <c r="Z99" s="5">
        <v>22.8</v>
      </c>
      <c r="AA99" s="5">
        <v>29.2</v>
      </c>
      <c r="AB99" s="5">
        <v>34.799999999999997</v>
      </c>
      <c r="AC99" s="5">
        <v>28.4</v>
      </c>
      <c r="AD99" s="5">
        <v>30.2</v>
      </c>
      <c r="AE99" s="5">
        <v>28.8</v>
      </c>
      <c r="AF99" s="5"/>
      <c r="AG99" s="5">
        <f t="shared" si="24"/>
        <v>67.600000000000009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15" t="s">
        <v>151</v>
      </c>
      <c r="B100" s="15" t="s">
        <v>38</v>
      </c>
      <c r="C100" s="15">
        <v>-1</v>
      </c>
      <c r="D100" s="15">
        <v>1</v>
      </c>
      <c r="E100" s="19">
        <v>-2</v>
      </c>
      <c r="F100" s="15"/>
      <c r="G100" s="16">
        <v>0</v>
      </c>
      <c r="H100" s="15"/>
      <c r="I100" s="15" t="s">
        <v>52</v>
      </c>
      <c r="J100" s="15" t="s">
        <v>152</v>
      </c>
      <c r="K100" s="15"/>
      <c r="L100" s="15">
        <f t="shared" si="19"/>
        <v>-2</v>
      </c>
      <c r="M100" s="15"/>
      <c r="N100" s="15"/>
      <c r="O100" s="15"/>
      <c r="P100" s="15">
        <f t="shared" si="20"/>
        <v>-0.4</v>
      </c>
      <c r="Q100" s="17"/>
      <c r="R100" s="4">
        <f t="shared" si="22"/>
        <v>0</v>
      </c>
      <c r="S100" s="21"/>
      <c r="T100" s="5">
        <f t="shared" si="23"/>
        <v>0</v>
      </c>
      <c r="U100" s="15">
        <f t="shared" si="21"/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/>
      <c r="AG100" s="5">
        <f t="shared" si="24"/>
        <v>0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15" t="s">
        <v>153</v>
      </c>
      <c r="B101" s="15" t="s">
        <v>38</v>
      </c>
      <c r="C101" s="15">
        <v>138</v>
      </c>
      <c r="D101" s="15"/>
      <c r="E101" s="19">
        <v>91</v>
      </c>
      <c r="F101" s="19">
        <v>4</v>
      </c>
      <c r="G101" s="16">
        <v>0</v>
      </c>
      <c r="H101" s="15"/>
      <c r="I101" s="15" t="s">
        <v>52</v>
      </c>
      <c r="J101" s="18" t="s">
        <v>154</v>
      </c>
      <c r="K101" s="15">
        <v>104</v>
      </c>
      <c r="L101" s="15">
        <f t="shared" si="19"/>
        <v>-13</v>
      </c>
      <c r="M101" s="15"/>
      <c r="N101" s="15"/>
      <c r="O101" s="15">
        <v>0</v>
      </c>
      <c r="P101" s="15">
        <f t="shared" si="20"/>
        <v>18.2</v>
      </c>
      <c r="Q101" s="17"/>
      <c r="R101" s="4">
        <f t="shared" si="22"/>
        <v>0</v>
      </c>
      <c r="S101" s="21"/>
      <c r="T101" s="5">
        <f t="shared" si="23"/>
        <v>0.21978021978021978</v>
      </c>
      <c r="U101" s="15">
        <f t="shared" si="21"/>
        <v>0.21978021978021978</v>
      </c>
      <c r="V101" s="15">
        <v>2.2000000000000002</v>
      </c>
      <c r="W101" s="15">
        <v>4.5999999999999996</v>
      </c>
      <c r="X101" s="15">
        <v>6.6</v>
      </c>
      <c r="Y101" s="15">
        <v>18.2</v>
      </c>
      <c r="Z101" s="15">
        <v>7.6</v>
      </c>
      <c r="AA101" s="15">
        <v>12.6</v>
      </c>
      <c r="AB101" s="15">
        <v>21.6</v>
      </c>
      <c r="AC101" s="15">
        <v>14</v>
      </c>
      <c r="AD101" s="15">
        <v>15.6</v>
      </c>
      <c r="AE101" s="15">
        <v>20</v>
      </c>
      <c r="AF101" s="15" t="s">
        <v>155</v>
      </c>
      <c r="AG101" s="5">
        <f t="shared" si="24"/>
        <v>0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 t="s">
        <v>156</v>
      </c>
      <c r="B102" s="5" t="s">
        <v>34</v>
      </c>
      <c r="C102" s="5">
        <v>70.403999999999996</v>
      </c>
      <c r="D102" s="5"/>
      <c r="E102" s="5"/>
      <c r="F102" s="5">
        <v>70.403999999999996</v>
      </c>
      <c r="G102" s="7">
        <v>1</v>
      </c>
      <c r="H102" s="5">
        <v>120</v>
      </c>
      <c r="I102" s="5" t="s">
        <v>35</v>
      </c>
      <c r="J102" s="5"/>
      <c r="K102" s="5"/>
      <c r="L102" s="5">
        <f t="shared" ref="L102:L107" si="28">E102-K102</f>
        <v>0</v>
      </c>
      <c r="M102" s="5"/>
      <c r="N102" s="5"/>
      <c r="O102" s="5">
        <v>0</v>
      </c>
      <c r="P102" s="5">
        <f t="shared" ref="P102:P107" si="29">E102/5</f>
        <v>0</v>
      </c>
      <c r="Q102" s="4"/>
      <c r="R102" s="4">
        <f t="shared" si="22"/>
        <v>0</v>
      </c>
      <c r="S102" s="21"/>
      <c r="T102" s="5" t="e">
        <f t="shared" si="23"/>
        <v>#DIV/0!</v>
      </c>
      <c r="U102" s="5" t="e">
        <f t="shared" ref="U102:U107" si="30">(F102+O102)/P102</f>
        <v>#DIV/0!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20" t="s">
        <v>162</v>
      </c>
      <c r="AG102" s="5">
        <f t="shared" si="24"/>
        <v>0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 t="s">
        <v>157</v>
      </c>
      <c r="B103" s="5" t="s">
        <v>38</v>
      </c>
      <c r="C103" s="5">
        <v>-1</v>
      </c>
      <c r="D103" s="5">
        <v>201</v>
      </c>
      <c r="E103" s="5">
        <v>15</v>
      </c>
      <c r="F103" s="5">
        <v>183</v>
      </c>
      <c r="G103" s="7">
        <v>0.3</v>
      </c>
      <c r="H103" s="5">
        <v>45</v>
      </c>
      <c r="I103" s="5" t="s">
        <v>35</v>
      </c>
      <c r="J103" s="5"/>
      <c r="K103" s="5">
        <v>44</v>
      </c>
      <c r="L103" s="5">
        <f t="shared" si="28"/>
        <v>-29</v>
      </c>
      <c r="M103" s="5"/>
      <c r="N103" s="5"/>
      <c r="O103" s="5">
        <v>250</v>
      </c>
      <c r="P103" s="5">
        <f t="shared" si="29"/>
        <v>3</v>
      </c>
      <c r="Q103" s="4"/>
      <c r="R103" s="4">
        <f>S103</f>
        <v>400</v>
      </c>
      <c r="S103" s="21">
        <f>VLOOKUP(A103,[1]Sheet!$A:$R,18,0)</f>
        <v>400</v>
      </c>
      <c r="T103" s="5">
        <f t="shared" si="23"/>
        <v>277.66666666666669</v>
      </c>
      <c r="U103" s="5">
        <f t="shared" si="30"/>
        <v>144.33333333333334</v>
      </c>
      <c r="V103" s="5">
        <v>9.8000000000000007</v>
      </c>
      <c r="W103" s="5">
        <v>0</v>
      </c>
      <c r="X103" s="5">
        <v>16</v>
      </c>
      <c r="Y103" s="5">
        <v>16</v>
      </c>
      <c r="Z103" s="5">
        <v>0</v>
      </c>
      <c r="AA103" s="5">
        <v>8</v>
      </c>
      <c r="AB103" s="5">
        <v>0</v>
      </c>
      <c r="AC103" s="5">
        <v>0</v>
      </c>
      <c r="AD103" s="5">
        <v>0</v>
      </c>
      <c r="AE103" s="5">
        <v>0</v>
      </c>
      <c r="AF103" s="5" t="s">
        <v>158</v>
      </c>
      <c r="AG103" s="5">
        <f t="shared" si="24"/>
        <v>120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 t="s">
        <v>70</v>
      </c>
      <c r="B104" s="5" t="s">
        <v>38</v>
      </c>
      <c r="C104" s="5">
        <v>450</v>
      </c>
      <c r="D104" s="5">
        <v>237</v>
      </c>
      <c r="E104" s="19">
        <f>189+E32</f>
        <v>233</v>
      </c>
      <c r="F104" s="5">
        <v>294</v>
      </c>
      <c r="G104" s="7">
        <v>0.3</v>
      </c>
      <c r="H104" s="5">
        <v>62</v>
      </c>
      <c r="I104" s="5" t="s">
        <v>35</v>
      </c>
      <c r="J104" s="5"/>
      <c r="K104" s="5">
        <v>206</v>
      </c>
      <c r="L104" s="5">
        <f t="shared" si="28"/>
        <v>27</v>
      </c>
      <c r="M104" s="5"/>
      <c r="N104" s="5"/>
      <c r="O104" s="5">
        <v>122</v>
      </c>
      <c r="P104" s="5">
        <f t="shared" si="29"/>
        <v>46.6</v>
      </c>
      <c r="Q104" s="4">
        <f t="shared" ref="Q104:Q107" si="31">14*P104-O104-F104</f>
        <v>236.39999999999998</v>
      </c>
      <c r="R104" s="4">
        <f t="shared" si="22"/>
        <v>236</v>
      </c>
      <c r="S104" s="21"/>
      <c r="T104" s="5">
        <f t="shared" si="23"/>
        <v>13.991416309012875</v>
      </c>
      <c r="U104" s="5">
        <f t="shared" si="30"/>
        <v>8.9270386266094413</v>
      </c>
      <c r="V104" s="5">
        <v>42</v>
      </c>
      <c r="W104" s="5">
        <v>31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 t="s">
        <v>159</v>
      </c>
      <c r="AG104" s="5">
        <f t="shared" si="24"/>
        <v>70.8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 t="s">
        <v>152</v>
      </c>
      <c r="B105" s="5" t="s">
        <v>38</v>
      </c>
      <c r="C105" s="5">
        <v>152</v>
      </c>
      <c r="D105" s="5">
        <v>27</v>
      </c>
      <c r="E105" s="19">
        <f>81+E100</f>
        <v>79</v>
      </c>
      <c r="F105" s="5">
        <v>43</v>
      </c>
      <c r="G105" s="7">
        <v>0.1</v>
      </c>
      <c r="H105" s="5">
        <v>45</v>
      </c>
      <c r="I105" s="5" t="s">
        <v>35</v>
      </c>
      <c r="J105" s="5"/>
      <c r="K105" s="5">
        <v>84</v>
      </c>
      <c r="L105" s="5">
        <f t="shared" si="28"/>
        <v>-5</v>
      </c>
      <c r="M105" s="5"/>
      <c r="N105" s="5"/>
      <c r="O105" s="5">
        <v>0</v>
      </c>
      <c r="P105" s="5">
        <f t="shared" si="29"/>
        <v>15.8</v>
      </c>
      <c r="Q105" s="4">
        <f>10*P105-O105-F105</f>
        <v>115</v>
      </c>
      <c r="R105" s="4">
        <f t="shared" ref="R105:R107" si="32">S105</f>
        <v>80</v>
      </c>
      <c r="S105" s="21">
        <f>VLOOKUP(A105,[1]Sheet!$A:$R,18,0)</f>
        <v>80</v>
      </c>
      <c r="T105" s="5">
        <f t="shared" si="23"/>
        <v>7.7848101265822782</v>
      </c>
      <c r="U105" s="5">
        <f t="shared" si="30"/>
        <v>2.721518987341772</v>
      </c>
      <c r="V105" s="5">
        <v>4.5999999999999996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10" t="s">
        <v>163</v>
      </c>
      <c r="AG105" s="5">
        <f t="shared" si="24"/>
        <v>8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10" t="s">
        <v>154</v>
      </c>
      <c r="B106" s="5" t="s">
        <v>38</v>
      </c>
      <c r="C106" s="5">
        <v>-31</v>
      </c>
      <c r="D106" s="5">
        <v>39</v>
      </c>
      <c r="E106" s="19">
        <f>6+E101</f>
        <v>97</v>
      </c>
      <c r="F106" s="19">
        <f>-4+F101</f>
        <v>0</v>
      </c>
      <c r="G106" s="7">
        <v>0.1</v>
      </c>
      <c r="H106" s="5"/>
      <c r="I106" s="5" t="s">
        <v>35</v>
      </c>
      <c r="J106" s="5"/>
      <c r="K106" s="5">
        <v>8</v>
      </c>
      <c r="L106" s="5">
        <f t="shared" si="28"/>
        <v>89</v>
      </c>
      <c r="M106" s="5"/>
      <c r="N106" s="5"/>
      <c r="O106" s="5">
        <v>90</v>
      </c>
      <c r="P106" s="5">
        <f t="shared" si="29"/>
        <v>19.399999999999999</v>
      </c>
      <c r="Q106" s="4">
        <f>12*P106-O106-F106</f>
        <v>142.79999999999998</v>
      </c>
      <c r="R106" s="4">
        <f t="shared" si="32"/>
        <v>50</v>
      </c>
      <c r="S106" s="21">
        <f>VLOOKUP(A106,[1]Sheet!$A:$R,18,0)</f>
        <v>50</v>
      </c>
      <c r="T106" s="5">
        <f t="shared" si="23"/>
        <v>7.2164948453608249</v>
      </c>
      <c r="U106" s="5">
        <f t="shared" si="30"/>
        <v>4.6391752577319592</v>
      </c>
      <c r="V106" s="5">
        <v>6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 t="s">
        <v>160</v>
      </c>
      <c r="AG106" s="5">
        <f t="shared" si="24"/>
        <v>5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 t="s">
        <v>161</v>
      </c>
      <c r="B107" s="5" t="s">
        <v>34</v>
      </c>
      <c r="C107" s="5">
        <v>89.744</v>
      </c>
      <c r="D107" s="5">
        <v>9.9429999999999996</v>
      </c>
      <c r="E107" s="5">
        <v>57.988999999999997</v>
      </c>
      <c r="F107" s="5">
        <v>19.905999999999999</v>
      </c>
      <c r="G107" s="7">
        <v>1</v>
      </c>
      <c r="H107" s="5">
        <v>60</v>
      </c>
      <c r="I107" s="5" t="s">
        <v>35</v>
      </c>
      <c r="J107" s="5"/>
      <c r="K107" s="5">
        <v>57.8</v>
      </c>
      <c r="L107" s="5">
        <f t="shared" si="28"/>
        <v>0.18900000000000006</v>
      </c>
      <c r="M107" s="5"/>
      <c r="N107" s="5"/>
      <c r="O107" s="5">
        <v>115</v>
      </c>
      <c r="P107" s="5">
        <f t="shared" si="29"/>
        <v>11.597799999999999</v>
      </c>
      <c r="Q107" s="4">
        <f t="shared" si="31"/>
        <v>27.463199999999979</v>
      </c>
      <c r="R107" s="4">
        <f t="shared" si="32"/>
        <v>50</v>
      </c>
      <c r="S107" s="21">
        <f>VLOOKUP(A107,[1]Sheet!$A:$R,18,0)</f>
        <v>50</v>
      </c>
      <c r="T107" s="5">
        <f t="shared" si="23"/>
        <v>15.943196123402716</v>
      </c>
      <c r="U107" s="5">
        <f t="shared" si="30"/>
        <v>11.632033661556504</v>
      </c>
      <c r="V107" s="5">
        <v>14.061</v>
      </c>
      <c r="W107" s="5">
        <v>7.5952000000000002</v>
      </c>
      <c r="X107" s="5">
        <v>13.036799999999999</v>
      </c>
      <c r="Y107" s="5">
        <v>2.9236</v>
      </c>
      <c r="Z107" s="5">
        <v>5.2995999999999999</v>
      </c>
      <c r="AA107" s="5">
        <v>4.2118000000000002</v>
      </c>
      <c r="AB107" s="5">
        <v>5.5704000000000002</v>
      </c>
      <c r="AC107" s="5">
        <v>1.3280000000000001</v>
      </c>
      <c r="AD107" s="5">
        <v>0</v>
      </c>
      <c r="AE107" s="5">
        <v>0</v>
      </c>
      <c r="AF107" s="5"/>
      <c r="AG107" s="5">
        <f t="shared" si="24"/>
        <v>50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</sheetData>
  <autoFilter ref="A3:AG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2026-10-26T13:00:14Z</dcterms:created>
  <dcterms:modified xsi:type="dcterms:W3CDTF">2026-10-28T12:13:46Z</dcterms:modified>
</cp:coreProperties>
</file>