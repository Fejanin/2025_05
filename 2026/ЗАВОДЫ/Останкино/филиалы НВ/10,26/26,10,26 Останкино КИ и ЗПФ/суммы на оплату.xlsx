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F749D486-FC52-43D2-BE30-06B24D02EB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1" l="1"/>
  <c r="J12" i="1"/>
  <c r="J13" i="1" s="1"/>
  <c r="Q3" i="1" l="1"/>
  <c r="Q4" i="1"/>
  <c r="Q5" i="1"/>
  <c r="Q6" i="1"/>
  <c r="Q7" i="1"/>
  <c r="Q8" i="1"/>
  <c r="Q9" i="1"/>
  <c r="Q10" i="1"/>
  <c r="Q11" i="1"/>
  <c r="Q2" i="1"/>
  <c r="O17" i="1" l="1"/>
  <c r="O15" i="1" l="1"/>
  <c r="O16" i="1"/>
  <c r="O14" i="1"/>
  <c r="O5" i="1" l="1"/>
  <c r="O6" i="1"/>
  <c r="O7" i="1"/>
  <c r="O8" i="1"/>
  <c r="O9" i="1"/>
  <c r="O10" i="1"/>
  <c r="O11" i="1"/>
  <c r="H12" i="1" l="1"/>
  <c r="O3" i="1"/>
  <c r="O4" i="1" l="1"/>
  <c r="O2" i="1"/>
  <c r="O12" i="1" s="1"/>
  <c r="O18" i="1" l="1"/>
  <c r="Q12" i="1"/>
  <c r="M1" i="1"/>
  <c r="N1" i="1" s="1"/>
  <c r="L1" i="1"/>
  <c r="E5" i="1" l="1"/>
  <c r="E4" i="1"/>
  <c r="D4" i="1"/>
  <c r="D12" i="1" s="1"/>
  <c r="E6" i="1"/>
  <c r="E7" i="1"/>
  <c r="E8" i="1"/>
  <c r="E9" i="1"/>
  <c r="F3" i="1"/>
  <c r="F2" i="1"/>
  <c r="F12" i="1"/>
  <c r="G12" i="1"/>
  <c r="G11" i="1"/>
  <c r="G10" i="1"/>
  <c r="F1" i="1"/>
  <c r="G1" i="1" s="1"/>
  <c r="E1" i="1"/>
  <c r="E12" i="1" l="1"/>
</calcChain>
</file>

<file path=xl/sharedStrings.xml><?xml version="1.0" encoding="utf-8"?>
<sst xmlns="http://schemas.openxmlformats.org/spreadsheetml/2006/main" count="14" uniqueCount="14">
  <si>
    <t>Бердянск КИ</t>
  </si>
  <si>
    <t>Бердянск ЗПФ</t>
  </si>
  <si>
    <t>Донецк КИ</t>
  </si>
  <si>
    <t>Донецк ЗПФ</t>
  </si>
  <si>
    <t>Луганск КИ</t>
  </si>
  <si>
    <t>Луганск ЗПФ</t>
  </si>
  <si>
    <t>Мелитополь КИ</t>
  </si>
  <si>
    <t>Мелитополь ЗПФ</t>
  </si>
  <si>
    <t>Мариуполь КИ</t>
  </si>
  <si>
    <t>Мариуполь ЗПФ</t>
  </si>
  <si>
    <t>Байдерман</t>
  </si>
  <si>
    <t>Баранова и т.д.</t>
  </si>
  <si>
    <t>ПРС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</si>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</sst>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U11" sqref="U11"/>
    </sheetView>
  </sheetViews>
  <sheetFormatPr defaultRowHeight="15" x14ac:dyDescent="0.25"/>
  <cols>
    <col min="1" max="1" width="16.85546875" bestFit="1" customWidth="1"/>
    <col min="2" max="2" width="4.5703125" customWidth="1"/>
    <col min="4" max="7" width="10.140625" bestFit="1" customWidth="1"/>
    <col min="11" max="14" width="10.5703125" customWidth="1"/>
    <col min="15" max="15" width="9.85546875" style="1" bestFit="1" customWidth="1"/>
    <col min="17" max="17" width="9.5703125" bestFit="1" customWidth="1"/>
  </cols>
  <sheetData>
    <row r="1" spans="1:17" x14ac:dyDescent="0.25">
      <c r="C1" s="2"/>
      <c r="D1" s="3">
        <v>46296</v>
      </c>
      <c r="E1" s="3">
        <f>D1+1</f>
        <v>46297</v>
      </c>
      <c r="F1" s="3">
        <f t="shared" ref="F1:G1" si="0">E1+1</f>
        <v>46298</v>
      </c>
      <c r="G1" s="3">
        <f t="shared" si="0"/>
        <v>46299</v>
      </c>
      <c r="J1" s="2"/>
      <c r="K1" s="3">
        <v>46296</v>
      </c>
      <c r="L1" s="3">
        <f>K1+1</f>
        <v>46297</v>
      </c>
      <c r="M1" s="3">
        <f t="shared" ref="M1" si="1">L1+1</f>
        <v>46298</v>
      </c>
      <c r="N1" s="3">
        <f t="shared" ref="N1" si="2">M1+1</f>
        <v>46299</v>
      </c>
    </row>
    <row r="2" spans="1:17" x14ac:dyDescent="0.25">
      <c r="A2" t="s">
        <v>0</v>
      </c>
      <c r="B2">
        <v>360</v>
      </c>
      <c r="C2" s="2">
        <v>600</v>
      </c>
      <c r="D2" s="2"/>
      <c r="E2" s="2"/>
      <c r="F2" s="2">
        <f>C2*B2</f>
        <v>216000</v>
      </c>
      <c r="G2" s="2"/>
      <c r="J2" s="2">
        <v>2852</v>
      </c>
      <c r="K2" s="2"/>
      <c r="L2" s="2"/>
      <c r="M2" s="2"/>
      <c r="N2" s="2"/>
      <c r="O2" s="1">
        <f>J2*B2</f>
        <v>1026720</v>
      </c>
      <c r="Q2" s="6">
        <f>C2-J2</f>
        <v>-2252</v>
      </c>
    </row>
    <row r="3" spans="1:17" x14ac:dyDescent="0.25">
      <c r="A3" t="s">
        <v>1</v>
      </c>
      <c r="B3">
        <v>360</v>
      </c>
      <c r="C3" s="2">
        <v>220</v>
      </c>
      <c r="D3" s="2"/>
      <c r="E3" s="2"/>
      <c r="F3" s="2">
        <f>C3*B3</f>
        <v>79200</v>
      </c>
      <c r="G3" s="2"/>
      <c r="J3" s="2">
        <v>528</v>
      </c>
      <c r="K3" s="2"/>
      <c r="L3" s="2"/>
      <c r="M3" s="2"/>
      <c r="N3" s="2"/>
      <c r="O3" s="1">
        <f>J3*B3</f>
        <v>190080</v>
      </c>
      <c r="Q3">
        <f t="shared" ref="Q3:Q11" si="3">C3-J3</f>
        <v>-308</v>
      </c>
    </row>
    <row r="4" spans="1:17" x14ac:dyDescent="0.25">
      <c r="A4" t="s">
        <v>2</v>
      </c>
      <c r="B4">
        <v>360</v>
      </c>
      <c r="C4" s="2">
        <v>4350</v>
      </c>
      <c r="D4" s="2">
        <f>0.6*C4*B4</f>
        <v>939600</v>
      </c>
      <c r="E4" s="2">
        <f>0.4*C4*B4</f>
        <v>626400</v>
      </c>
      <c r="F4" s="2"/>
      <c r="G4" s="2"/>
      <c r="J4" s="2">
        <v>4930</v>
      </c>
      <c r="K4" s="2"/>
      <c r="L4" s="2"/>
      <c r="M4" s="2"/>
      <c r="N4" s="2"/>
      <c r="O4" s="1">
        <f>J4*B4</f>
        <v>1774800</v>
      </c>
      <c r="Q4">
        <f t="shared" si="3"/>
        <v>-580</v>
      </c>
    </row>
    <row r="5" spans="1:17" x14ac:dyDescent="0.25">
      <c r="A5" t="s">
        <v>3</v>
      </c>
      <c r="B5">
        <v>360</v>
      </c>
      <c r="C5" s="2">
        <v>150</v>
      </c>
      <c r="D5" s="2"/>
      <c r="E5" s="2">
        <f t="shared" ref="E5:E8" si="4">C5*B5</f>
        <v>54000</v>
      </c>
      <c r="F5" s="2"/>
      <c r="G5" s="2"/>
      <c r="J5" s="2">
        <v>315</v>
      </c>
      <c r="K5" s="2"/>
      <c r="L5" s="2"/>
      <c r="M5" s="2"/>
      <c r="N5" s="2"/>
      <c r="O5" s="1">
        <f t="shared" ref="O5:O11" si="5">J5*B5</f>
        <v>113400</v>
      </c>
      <c r="Q5">
        <f t="shared" si="3"/>
        <v>-165</v>
      </c>
    </row>
    <row r="6" spans="1:17" x14ac:dyDescent="0.25">
      <c r="A6" t="s">
        <v>4</v>
      </c>
      <c r="B6">
        <v>320</v>
      </c>
      <c r="C6" s="2">
        <v>5450</v>
      </c>
      <c r="D6" s="2"/>
      <c r="E6" s="2">
        <f t="shared" si="4"/>
        <v>1744000</v>
      </c>
      <c r="F6" s="2"/>
      <c r="G6" s="2"/>
      <c r="J6" s="5">
        <v>6363</v>
      </c>
      <c r="K6" s="2"/>
      <c r="L6" s="2"/>
      <c r="M6" s="2"/>
      <c r="N6" s="2"/>
      <c r="O6" s="1">
        <f t="shared" si="5"/>
        <v>2036160</v>
      </c>
      <c r="Q6">
        <f t="shared" si="3"/>
        <v>-913</v>
      </c>
    </row>
    <row r="7" spans="1:17" x14ac:dyDescent="0.25">
      <c r="A7" t="s">
        <v>5</v>
      </c>
      <c r="B7">
        <v>320</v>
      </c>
      <c r="C7" s="2">
        <v>1100</v>
      </c>
      <c r="D7" s="2"/>
      <c r="E7" s="2">
        <f t="shared" si="4"/>
        <v>352000</v>
      </c>
      <c r="F7" s="2"/>
      <c r="G7" s="2"/>
      <c r="J7" s="5">
        <v>0</v>
      </c>
      <c r="K7" s="2"/>
      <c r="L7" s="2"/>
      <c r="M7" s="2"/>
      <c r="N7" s="2"/>
      <c r="O7" s="1">
        <f t="shared" si="5"/>
        <v>0</v>
      </c>
      <c r="Q7">
        <f t="shared" si="3"/>
        <v>1100</v>
      </c>
    </row>
    <row r="8" spans="1:17" x14ac:dyDescent="0.25">
      <c r="A8" t="s">
        <v>6</v>
      </c>
      <c r="B8">
        <v>360</v>
      </c>
      <c r="C8" s="2">
        <v>4200</v>
      </c>
      <c r="D8" s="2"/>
      <c r="E8" s="2">
        <f t="shared" si="4"/>
        <v>1512000</v>
      </c>
      <c r="F8" s="2"/>
      <c r="G8" s="2"/>
      <c r="J8" s="2">
        <v>6097</v>
      </c>
      <c r="K8" s="2"/>
      <c r="L8" s="2"/>
      <c r="M8" s="2"/>
      <c r="N8" s="2"/>
      <c r="O8" s="1">
        <f t="shared" si="5"/>
        <v>2194920</v>
      </c>
      <c r="Q8" s="6">
        <f t="shared" si="3"/>
        <v>-1897</v>
      </c>
    </row>
    <row r="9" spans="1:17" x14ac:dyDescent="0.25">
      <c r="A9" t="s">
        <v>7</v>
      </c>
      <c r="B9">
        <v>360</v>
      </c>
      <c r="C9" s="2">
        <v>150</v>
      </c>
      <c r="D9" s="2"/>
      <c r="E9" s="2">
        <f>C9*B9</f>
        <v>54000</v>
      </c>
      <c r="F9" s="2"/>
      <c r="G9" s="2"/>
      <c r="J9" s="2">
        <v>389</v>
      </c>
      <c r="K9" s="2"/>
      <c r="L9" s="2"/>
      <c r="M9" s="2"/>
      <c r="N9" s="2"/>
      <c r="O9" s="1">
        <f t="shared" si="5"/>
        <v>140040</v>
      </c>
      <c r="Q9">
        <f t="shared" si="3"/>
        <v>-239</v>
      </c>
    </row>
    <row r="10" spans="1:17" x14ac:dyDescent="0.25">
      <c r="A10" t="s">
        <v>8</v>
      </c>
      <c r="B10">
        <v>360</v>
      </c>
      <c r="C10" s="2">
        <v>700</v>
      </c>
      <c r="D10" s="2"/>
      <c r="E10" s="2"/>
      <c r="F10" s="2"/>
      <c r="G10" s="2">
        <f>C10*B10</f>
        <v>252000</v>
      </c>
      <c r="J10" s="2">
        <v>700</v>
      </c>
      <c r="K10" s="2"/>
      <c r="L10" s="2"/>
      <c r="M10" s="2"/>
      <c r="N10" s="2"/>
      <c r="O10" s="1">
        <f t="shared" si="5"/>
        <v>252000</v>
      </c>
      <c r="Q10">
        <f t="shared" si="3"/>
        <v>0</v>
      </c>
    </row>
    <row r="11" spans="1:17" x14ac:dyDescent="0.25">
      <c r="A11" t="s">
        <v>9</v>
      </c>
      <c r="B11">
        <v>360</v>
      </c>
      <c r="C11" s="2">
        <v>160</v>
      </c>
      <c r="D11" s="2"/>
      <c r="E11" s="2"/>
      <c r="F11" s="2"/>
      <c r="G11" s="2">
        <f>C11*B11</f>
        <v>57600</v>
      </c>
      <c r="J11" s="2">
        <v>160</v>
      </c>
      <c r="K11" s="2"/>
      <c r="L11" s="2"/>
      <c r="M11" s="2"/>
      <c r="N11" s="2"/>
      <c r="O11" s="1">
        <f t="shared" si="5"/>
        <v>57600</v>
      </c>
      <c r="Q11">
        <f t="shared" si="3"/>
        <v>0</v>
      </c>
    </row>
    <row r="12" spans="1:17" x14ac:dyDescent="0.25">
      <c r="C12" s="2">
        <f>SUM(C2:C11)</f>
        <v>17080</v>
      </c>
      <c r="D12" s="4">
        <f>SUM(D2:D11)</f>
        <v>939600</v>
      </c>
      <c r="E12" s="4">
        <f t="shared" ref="E12:G12" si="6">SUM(E2:E11)</f>
        <v>4342400</v>
      </c>
      <c r="F12" s="4">
        <f t="shared" si="6"/>
        <v>295200</v>
      </c>
      <c r="G12" s="4">
        <f t="shared" si="6"/>
        <v>309600</v>
      </c>
      <c r="H12" s="1">
        <f>SUM(D12:G12)</f>
        <v>5886800</v>
      </c>
      <c r="J12" s="2">
        <f>SUM(J2:J11)</f>
        <v>22334</v>
      </c>
      <c r="K12" s="2"/>
      <c r="L12" s="2"/>
      <c r="M12" s="2"/>
      <c r="N12" s="2"/>
      <c r="O12" s="4">
        <f t="shared" ref="O12" si="7">SUM(O2:O11)</f>
        <v>7785720</v>
      </c>
      <c r="Q12" s="1">
        <f>H12-O12</f>
        <v>-1898920</v>
      </c>
    </row>
    <row r="13" spans="1:17" x14ac:dyDescent="0.25">
      <c r="J13">
        <f>J12-C12</f>
        <v>5254</v>
      </c>
    </row>
    <row r="14" spans="1:17" x14ac:dyDescent="0.25">
      <c r="A14" t="s">
        <v>10</v>
      </c>
      <c r="B14">
        <v>320</v>
      </c>
      <c r="J14">
        <v>2750</v>
      </c>
      <c r="O14" s="1">
        <f t="shared" ref="O14:O16" si="8">J14*B14</f>
        <v>880000</v>
      </c>
    </row>
    <row r="15" spans="1:17" x14ac:dyDescent="0.25">
      <c r="A15" t="s">
        <v>11</v>
      </c>
      <c r="B15">
        <v>320</v>
      </c>
      <c r="J15">
        <v>2800</v>
      </c>
      <c r="O15" s="1">
        <f t="shared" si="8"/>
        <v>896000</v>
      </c>
    </row>
    <row r="16" spans="1:17" x14ac:dyDescent="0.25">
      <c r="A16" t="s">
        <v>12</v>
      </c>
      <c r="B16">
        <v>320</v>
      </c>
      <c r="J16">
        <v>2610</v>
      </c>
      <c r="O16" s="1">
        <f t="shared" si="8"/>
        <v>835200</v>
      </c>
    </row>
    <row r="17" spans="14:15" x14ac:dyDescent="0.25">
      <c r="O17" s="4">
        <f>SUM(O14:O16)</f>
        <v>2611200</v>
      </c>
    </row>
    <row r="18" spans="14:15" x14ac:dyDescent="0.25">
      <c r="N18" t="s">
        <v>13</v>
      </c>
      <c r="O18" s="1">
        <f>O17+O12</f>
        <v>10396920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2026-10-28T11:48:11Z</dcterms:modified>
</cp:coreProperties>
</file>