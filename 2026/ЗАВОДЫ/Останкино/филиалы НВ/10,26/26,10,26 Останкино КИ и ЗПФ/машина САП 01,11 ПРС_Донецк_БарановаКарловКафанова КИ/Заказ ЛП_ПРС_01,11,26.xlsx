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8,10 ПРС ЛП КИ\"/>
    </mc:Choice>
  </mc:AlternateContent>
  <xr:revisionPtr revIDLastSave="0" documentId="13_ncr:1_{EE67A6E3-FCB5-4346-94E8-FC15B5A07F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E186" i="1"/>
  <c r="G107" i="1" l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21" i="1" l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<sst xmlns="http://schemas.openxmlformats.org/spreadsheetml/2006/main" count="721" uniqueCount="240">
  <si>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</si>
  <si>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</si>
  <si>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</si>
  <si>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</si>
  <si>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</si>
  <si>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</si>
  <si>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</si>
  <si>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</si>
  <si>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</si>
  <si>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</si>
  <si>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</si>
  <si>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</si>
  <si>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</si>
  <si>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</si>
  <si>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</si>
  <si>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</si>
  <si>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</si>
  <si>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</si>
  <si>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</si>
  <si>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</si>
  <si>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</si>
  <si>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</si>
  <si>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</si>
  <si>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</si>
  <si>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</si>
  <si>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</si>
  <si>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</si>
  <si>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</si>
  <si>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</si>
  <si>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</si>
  <si>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</si>
  <si>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</si>
  <si>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</si>
  <si>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</si>
  <si>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</si>
  <si>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</si>
  <si>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</si>
  <si>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</si>
  <si>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</si>
  <si>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</si>
  <si>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</si>
  <si>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</si>
  <si>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</si>
  <si>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</si>
  <si>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</si>
  <si>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</si>
  <si>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</si>
  <si>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</si>
  <si>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</si>
  <si>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</si>
  <si>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</si>
  <si>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</si>
  <si>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</si>
  <si>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</si>
  <si>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</si>
  <si>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</si>
  <si>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</si>
  <si>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</si>
  <si>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</si>
  <si>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</si>
  <si>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</si>
  <si>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</si>
  <si>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</si>
  <si>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</si>
  <si>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</si>
  <si>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</si>
  <si>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</si>
  <si>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</si>
  <si>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</si>
  <si>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</si>
  <si>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</si>
  <si>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</si>
  <si>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</si>
  <si>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</si>
  <si>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</si>
  <si>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</si>
  <si>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</si>
  <si>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</si>
  <si>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</si>
  <si>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</si>
  <si>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</si>
  <si>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</si>
  <si>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</si>
  <si>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</si>
  <si>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</si>
  <si>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</si>
  <si>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</si>
  <si>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</si>
  <si>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</si>
  <si>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</si>
  <si>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</si>
  <si>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</si>
  <si>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</si>
  <si>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</si>
  <si>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</si>
  <si>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</si>
  <si>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</si>
  <si>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</si>
  <si>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</si>
  <si>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</si>
  <si>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</si>
  <si>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</si>
  <si>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</si>
  <si>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</si>
  <si>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</si>
  <si>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</si>
  <si>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</si>
  <si>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</si>
  <si>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</si>
  <si>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</si>
  <si>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</si>
  <si>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</si>
  <si>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</si>
  <si>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</si>
  <si>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</si>
  <si>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</si>
  <si>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</si>
  <si>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</si>
  <si>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</si>
  <si>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</si>
  <si>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</si>
  <si>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</si>
  <si>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</si>
  <si>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</si>
  <si>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</si>
  <si>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</si>
  <si>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</si>
  <si>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</si>
  <si>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</si>
  <si>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</si>
  <si>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</si>
  <si>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</si>
  <si>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</si>
  <si>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</si>
  <si>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</si>
  <si>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</si>
  <si>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</si>
  <si>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</si>
  <si>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</si>
  <si>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</si>
  <si>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</si>
  <si>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</si>
  <si>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</si>
  <si>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</si>
  <si>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</si>
  <si>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</si>
  <si>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</si>
  <si>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</si>
  <si>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</si>
  <si>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</si>
  <si>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</si>
  <si>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</si>
  <si>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</si>
  <si>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</si>
  <si>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</si>
  <si>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</si>
  <si>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</si>
  <si>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</si>
  <si>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</si>
  <si>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</si>
  <si>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</si>
  <si>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</si>
  <si>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</si>
  <si>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</si>
  <si>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</si>
  <si>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</si>
  <si>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</si>
  <si>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</si>
  <si>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</si>
  <si>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</si>
  <si>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</si>
  <si>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</si>
  <si>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</si>
  <si>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</si>
  <si>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</si>
  <si>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</si>
  <si>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</si>
  <si>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</si>
  <si>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</si>
  <si>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</si>
  <si>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</si>
  <si>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</si>
  <si>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</si>
  <si>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</si>
  <si>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</si>
  <si>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</si>
  <si>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</si>
  <si>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</si>
  <si>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</si>
  <si>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</si>
  <si>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</si>
  <si>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</si>
  <si>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</si>
  <si>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</si>
  <si>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</si>
  <si>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</si>
  <si>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</si>
  <si>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</si>
  <si>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</si>
  <si>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</si>
  <si>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</si>
  <si>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</si>
  <si>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</si>
  <si>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</si>
  <si>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</si>
  <si>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</si>
  <si>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</si>
  <si>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</si>
  <si>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</si>
  <si>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</si>
  <si>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</si>
  <si>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</si>
  <si>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</si>
  <si>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</si>
  <si>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</si>
  <si>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</si>
  <si>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</si>
  <si>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</si>
  <si>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</si>
  <si>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</si>
  <si>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</si>
  <si>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</si>
  <si>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</si>
  <si>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</si>
  <si>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</si>
  <si>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</si>
  <si>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</si>
  <si>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</si>
  <si>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</si>
  <si>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</si>
  <si>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</si>
  <si>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</si>
  <si>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</si>
  <si>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</si>
  <si>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</si>
  <si>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</si>
  <si>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</si>
  <si>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ООО "Логистический партнер"</t>
  </si>
  <si>
    <t>заблоктрован с 15.10</t>
  </si>
  <si>
    <t xml:space="preserve">г.Донецк ул. Чаадаева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</si>
</sst>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darkGray">
        <fgColor indexed="42"/>
        <bgColor theme="5" tint="0.79998168889431442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8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2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2" borderId="0" xfId="0" applyFont="1" applyFill="1"/>
    <xf numFmtId="1" fontId="32" fillId="0" borderId="0" xfId="0" applyNumberFormat="1" applyFont="1" applyAlignment="1">
      <alignment horizontal="center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2" borderId="16" xfId="0" applyFont="1" applyFill="1" applyBorder="1" applyAlignment="1">
      <alignment horizontal="right" vertical="center"/>
    </xf>
    <xf numFmtId="1" fontId="8" fillId="12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3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2" borderId="0" xfId="0" applyNumberFormat="1" applyFont="1" applyFill="1" applyAlignment="1">
      <alignment horizontal="left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72" activePane="bottomLeft" state="frozen"/>
      <selection pane="bottomLeft" activeCell="K195" sqref="K19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5.42578125" style="4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130438384</v>
      </c>
      <c r="E1" s="185" t="s">
        <v>237</v>
      </c>
      <c r="F1" s="186"/>
      <c r="G1" s="186"/>
      <c r="H1" s="186"/>
      <c r="I1" s="186"/>
      <c r="J1" s="187"/>
      <c r="K1" s="116"/>
    </row>
    <row r="2" spans="1:67" ht="16.5" customHeight="1" thickTop="1" thickBot="1" x14ac:dyDescent="0.3">
      <c r="K2" s="116"/>
    </row>
    <row r="3" spans="1:67" ht="19.5" customHeight="1" thickTop="1" thickBot="1" x14ac:dyDescent="0.3">
      <c r="B3" s="32"/>
      <c r="C3" s="7" t="s">
        <v>1</v>
      </c>
      <c r="D3" s="54">
        <v>46327</v>
      </c>
      <c r="E3" s="7" t="s">
        <v>2</v>
      </c>
      <c r="F3" s="54">
        <f>D3+3</f>
        <v>46330</v>
      </c>
      <c r="G3" s="188" t="s">
        <v>239</v>
      </c>
      <c r="H3" s="186"/>
      <c r="I3" s="186"/>
      <c r="J3" s="187"/>
      <c r="K3" s="116"/>
    </row>
    <row r="4" spans="1:67" ht="15.75" customHeight="1" thickTop="1" x14ac:dyDescent="0.25">
      <c r="K4" s="137"/>
    </row>
    <row r="5" spans="1:67" x14ac:dyDescent="0.25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M7" s="115"/>
    </row>
    <row r="8" spans="1:67" ht="16.5" customHeight="1" thickTop="1" thickBot="1" x14ac:dyDescent="0.3">
      <c r="M8" s="115"/>
    </row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5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0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0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hidden="1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0"/>
        <v>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115"/>
    </row>
    <row r="18" spans="1:67" ht="16.5" hidden="1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0"/>
        <v>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5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1">E22*F22</f>
        <v>0</v>
      </c>
      <c r="H22" s="14">
        <v>3.2</v>
      </c>
      <c r="I22" s="14">
        <v>60</v>
      </c>
      <c r="J22" s="29"/>
      <c r="L22" s="115"/>
    </row>
    <row r="23" spans="1:67" ht="16.5" customHeight="1" thickTop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v>300</v>
      </c>
      <c r="F23" s="23">
        <v>0.4</v>
      </c>
      <c r="G23" s="23">
        <f t="shared" si="1"/>
        <v>120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5">
        <v>7632</v>
      </c>
      <c r="B25" s="55" t="s">
        <v>184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3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5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3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24"/>
      <c r="F27" s="142">
        <v>0.5</v>
      </c>
      <c r="G27" s="142">
        <f t="shared" si="3"/>
        <v>0</v>
      </c>
      <c r="H27" s="143">
        <v>4</v>
      </c>
      <c r="I27" s="143">
        <v>60</v>
      </c>
      <c r="J27" s="143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24"/>
      <c r="F28" s="142">
        <v>0.5</v>
      </c>
      <c r="G28" s="142">
        <f t="shared" si="3"/>
        <v>0</v>
      </c>
      <c r="H28" s="143">
        <v>4</v>
      </c>
      <c r="I28" s="143">
        <v>60</v>
      </c>
      <c r="J28" s="143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240</v>
      </c>
      <c r="F29" s="23">
        <v>0.4</v>
      </c>
      <c r="G29" s="23">
        <f t="shared" si="3"/>
        <v>96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400</v>
      </c>
      <c r="F30" s="23">
        <v>0.4</v>
      </c>
      <c r="G30" s="23">
        <f t="shared" si="3"/>
        <v>160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200</v>
      </c>
      <c r="F32" s="59">
        <v>0.4</v>
      </c>
      <c r="G32" s="23">
        <f t="shared" si="3"/>
        <v>80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>
        <v>150</v>
      </c>
      <c r="F33" s="59">
        <v>0.3</v>
      </c>
      <c r="G33" s="23">
        <f t="shared" si="3"/>
        <v>45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8">
        <v>7514</v>
      </c>
      <c r="B34" s="149" t="s">
        <v>203</v>
      </c>
      <c r="C34" s="56" t="s">
        <v>20</v>
      </c>
      <c r="D34" s="70">
        <v>1001017557514</v>
      </c>
      <c r="E34" s="24"/>
      <c r="F34" s="150">
        <v>1.6</v>
      </c>
      <c r="G34" s="23">
        <f t="shared" si="3"/>
        <v>0</v>
      </c>
      <c r="H34" s="60">
        <v>6.4</v>
      </c>
      <c r="I34" s="60">
        <v>30</v>
      </c>
      <c r="J34" s="151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3">
      <c r="A35" s="148">
        <v>7518</v>
      </c>
      <c r="B35" s="149" t="s">
        <v>204</v>
      </c>
      <c r="C35" s="56" t="s">
        <v>20</v>
      </c>
      <c r="D35" s="70">
        <v>1001017567518</v>
      </c>
      <c r="E35" s="24"/>
      <c r="F35" s="150">
        <v>1.35</v>
      </c>
      <c r="G35" s="23">
        <f t="shared" si="3"/>
        <v>0</v>
      </c>
      <c r="H35" s="60">
        <v>2.7</v>
      </c>
      <c r="I35" s="60">
        <v>30</v>
      </c>
      <c r="J35" s="151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4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4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4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/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4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hidden="1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/>
      <c r="F47" s="59">
        <v>1.5</v>
      </c>
      <c r="G47" s="23">
        <f t="shared" si="4"/>
        <v>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4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5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>
        <v>150</v>
      </c>
      <c r="F51" s="59">
        <v>0.36</v>
      </c>
      <c r="G51" s="23">
        <f t="shared" si="5"/>
        <v>54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/>
      <c r="F53" s="59">
        <v>0.3</v>
      </c>
      <c r="G53" s="23">
        <f t="shared" si="5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>
        <v>300</v>
      </c>
      <c r="F54" s="59">
        <v>0.4</v>
      </c>
      <c r="G54" s="23">
        <f t="shared" si="5"/>
        <v>120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138">
        <v>6475</v>
      </c>
      <c r="B55" s="139" t="s">
        <v>45</v>
      </c>
      <c r="C55" s="140" t="s">
        <v>20</v>
      </c>
      <c r="D55" s="144">
        <v>1001025176475</v>
      </c>
      <c r="E55" s="184"/>
      <c r="F55" s="142">
        <v>0.4</v>
      </c>
      <c r="G55" s="142">
        <f t="shared" si="5"/>
        <v>0</v>
      </c>
      <c r="H55" s="143">
        <v>2.4</v>
      </c>
      <c r="I55" s="143">
        <v>45</v>
      </c>
      <c r="J55" s="143" t="s">
        <v>238</v>
      </c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4">
        <v>1001025767284</v>
      </c>
      <c r="E56" s="24"/>
      <c r="F56" s="142">
        <v>0.33</v>
      </c>
      <c r="G56" s="142">
        <f t="shared" si="5"/>
        <v>0</v>
      </c>
      <c r="H56" s="143">
        <v>1.98</v>
      </c>
      <c r="I56" s="143">
        <v>30</v>
      </c>
      <c r="J56" s="143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5">
        <v>7461</v>
      </c>
      <c r="B57" s="55" t="s">
        <v>182</v>
      </c>
      <c r="C57" s="56" t="s">
        <v>20</v>
      </c>
      <c r="D57" s="70">
        <v>1001025767461</v>
      </c>
      <c r="E57" s="24">
        <v>200</v>
      </c>
      <c r="F57" s="59">
        <v>0.33</v>
      </c>
      <c r="G57" s="23">
        <f>E57*F57</f>
        <v>66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4">
        <v>1001026947371</v>
      </c>
      <c r="E59" s="24"/>
      <c r="F59" s="142">
        <v>0.3</v>
      </c>
      <c r="G59" s="142">
        <f t="shared" si="5"/>
        <v>0</v>
      </c>
      <c r="H59" s="143">
        <v>2.4</v>
      </c>
      <c r="I59" s="143">
        <v>45</v>
      </c>
      <c r="J59" s="143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200</v>
      </c>
      <c r="F60" s="59">
        <v>0.4</v>
      </c>
      <c r="G60" s="23">
        <f t="shared" si="5"/>
        <v>80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>
        <v>120</v>
      </c>
      <c r="F61" s="23">
        <v>0.41</v>
      </c>
      <c r="G61" s="23">
        <f t="shared" si="5"/>
        <v>49.199999999999996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5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720</v>
      </c>
      <c r="F63" s="23">
        <v>0.41</v>
      </c>
      <c r="G63" s="23">
        <f t="shared" si="5"/>
        <v>295.2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2" t="s">
        <v>46</v>
      </c>
      <c r="C64" s="140" t="s">
        <v>20</v>
      </c>
      <c r="D64" s="153">
        <v>1001022246713</v>
      </c>
      <c r="E64" s="24"/>
      <c r="F64" s="154">
        <v>0.41</v>
      </c>
      <c r="G64" s="155">
        <f>E64*F64</f>
        <v>0</v>
      </c>
      <c r="H64" s="156">
        <v>3.28</v>
      </c>
      <c r="I64" s="157">
        <v>45</v>
      </c>
      <c r="J64" s="158" t="s">
        <v>205</v>
      </c>
      <c r="L64" s="115"/>
    </row>
    <row r="65" spans="1:12" ht="16.5" customHeight="1" x14ac:dyDescent="0.25">
      <c r="A65" s="57">
        <v>7490</v>
      </c>
      <c r="B65" s="159" t="s">
        <v>206</v>
      </c>
      <c r="C65" s="56" t="s">
        <v>20</v>
      </c>
      <c r="D65" s="160">
        <v>1001027417490</v>
      </c>
      <c r="E65" s="24">
        <v>200</v>
      </c>
      <c r="F65" s="161">
        <v>0.41</v>
      </c>
      <c r="G65" s="162">
        <f>E65*F65</f>
        <v>82</v>
      </c>
      <c r="H65" s="163">
        <v>3.28</v>
      </c>
      <c r="I65" s="164">
        <v>45</v>
      </c>
      <c r="J65" s="165" t="s">
        <v>207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5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5">
        <v>7040</v>
      </c>
      <c r="B68" s="55" t="s">
        <v>200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4">
        <v>1001021007521</v>
      </c>
      <c r="E69" s="24"/>
      <c r="F69" s="142">
        <v>0.5</v>
      </c>
      <c r="G69" s="142">
        <f>E69*F69</f>
        <v>0</v>
      </c>
      <c r="H69" s="143">
        <v>5</v>
      </c>
      <c r="I69" s="143">
        <v>45</v>
      </c>
      <c r="J69" s="143" t="s">
        <v>202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5"/>
        <v>0</v>
      </c>
      <c r="H70" s="14">
        <v>2.8</v>
      </c>
      <c r="I70" s="14">
        <v>50</v>
      </c>
      <c r="J70" s="29"/>
      <c r="L70" s="115"/>
    </row>
    <row r="71" spans="1:12" ht="16.5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>
        <v>300</v>
      </c>
      <c r="F71" s="23">
        <v>0.3</v>
      </c>
      <c r="G71" s="23">
        <f t="shared" si="5"/>
        <v>90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>
        <v>144</v>
      </c>
      <c r="F72" s="23">
        <v>0.3</v>
      </c>
      <c r="G72" s="23">
        <f t="shared" si="5"/>
        <v>43.199999999999996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4">
        <v>1001027067385</v>
      </c>
      <c r="E74" s="24"/>
      <c r="F74" s="142">
        <v>0.33</v>
      </c>
      <c r="G74" s="142">
        <f t="shared" si="5"/>
        <v>0</v>
      </c>
      <c r="H74" s="143">
        <v>2.64</v>
      </c>
      <c r="I74" s="143">
        <v>45</v>
      </c>
      <c r="J74" s="143" t="s">
        <v>196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4">
        <v>1001027247460</v>
      </c>
      <c r="E75" s="24"/>
      <c r="F75" s="142">
        <v>0.33</v>
      </c>
      <c r="G75" s="142">
        <f t="shared" si="5"/>
        <v>0</v>
      </c>
      <c r="H75" s="143">
        <v>2.64</v>
      </c>
      <c r="I75" s="143">
        <v>45</v>
      </c>
      <c r="J75" s="143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6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6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/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6"/>
        <v>0</v>
      </c>
      <c r="H81" s="14">
        <v>3</v>
      </c>
      <c r="I81" s="14">
        <v>45</v>
      </c>
      <c r="J81" s="29"/>
      <c r="L81" s="115"/>
    </row>
    <row r="82" spans="1:12" ht="16.5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>
        <v>200</v>
      </c>
      <c r="F82" s="23">
        <v>0.3</v>
      </c>
      <c r="G82" s="23">
        <f t="shared" ref="G82:G83" si="7">E82*F82</f>
        <v>60</v>
      </c>
      <c r="H82" s="14">
        <v>2.4</v>
      </c>
      <c r="I82" s="14">
        <v>60</v>
      </c>
      <c r="J82" s="29"/>
      <c r="L82" s="115"/>
    </row>
    <row r="83" spans="1:12" ht="16.5" customHeigh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>
        <v>200</v>
      </c>
      <c r="F83" s="23">
        <v>0.4</v>
      </c>
      <c r="G83" s="23">
        <f t="shared" si="7"/>
        <v>80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5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/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/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8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9">E91</f>
        <v>0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 t="shared" si="9"/>
        <v>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5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0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24"/>
      <c r="F94" s="142">
        <v>0.28000000000000003</v>
      </c>
      <c r="G94" s="142">
        <f>E94*F94</f>
        <v>0</v>
      </c>
      <c r="H94" s="143">
        <v>2.2400000000000002</v>
      </c>
      <c r="I94" s="143">
        <v>45</v>
      </c>
      <c r="J94" s="143" t="s">
        <v>202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0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0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200</v>
      </c>
      <c r="F97" s="23">
        <v>0.35</v>
      </c>
      <c r="G97" s="23">
        <f t="shared" si="10"/>
        <v>70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120</v>
      </c>
      <c r="F98" s="23">
        <v>0.35</v>
      </c>
      <c r="G98" s="23">
        <f t="shared" si="10"/>
        <v>42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/>
      <c r="F99" s="23">
        <v>0.31</v>
      </c>
      <c r="G99" s="23">
        <f t="shared" si="10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180</v>
      </c>
      <c r="F100" s="23">
        <v>0.28000000000000003</v>
      </c>
      <c r="G100" s="23">
        <f t="shared" si="10"/>
        <v>50.400000000000006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v>150</v>
      </c>
      <c r="F101" s="23">
        <v>0.35</v>
      </c>
      <c r="G101" s="23">
        <f t="shared" si="10"/>
        <v>52.5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0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8">
        <v>7156</v>
      </c>
      <c r="B103" s="183" t="s">
        <v>232</v>
      </c>
      <c r="C103" s="56" t="s">
        <v>20</v>
      </c>
      <c r="D103" s="58">
        <v>1001304237156</v>
      </c>
      <c r="E103" s="24"/>
      <c r="F103" s="167">
        <v>0.35</v>
      </c>
      <c r="G103" s="23">
        <f>E103*F103</f>
        <v>0</v>
      </c>
      <c r="H103" s="14">
        <v>2.8</v>
      </c>
      <c r="I103" s="14">
        <v>50</v>
      </c>
      <c r="J103" s="151" t="s">
        <v>186</v>
      </c>
      <c r="L103" s="115"/>
    </row>
    <row r="104" spans="1:12" ht="15.75" hidden="1" customHeight="1" x14ac:dyDescent="0.25">
      <c r="A104" s="148">
        <v>7710</v>
      </c>
      <c r="B104" s="183" t="s">
        <v>233</v>
      </c>
      <c r="C104" s="56" t="s">
        <v>20</v>
      </c>
      <c r="D104" s="58">
        <v>1001307587710</v>
      </c>
      <c r="E104" s="24"/>
      <c r="F104" s="167">
        <v>0.3</v>
      </c>
      <c r="G104" s="23">
        <f>E104*F104</f>
        <v>0</v>
      </c>
      <c r="H104" s="14">
        <v>2.4</v>
      </c>
      <c r="I104" s="14">
        <v>45</v>
      </c>
      <c r="J104" s="151" t="s">
        <v>186</v>
      </c>
      <c r="L104" s="115"/>
    </row>
    <row r="105" spans="1:12" ht="15.75" hidden="1" customHeight="1" x14ac:dyDescent="0.25">
      <c r="A105" s="148">
        <v>7562</v>
      </c>
      <c r="B105" s="183" t="s">
        <v>234</v>
      </c>
      <c r="C105" s="56" t="s">
        <v>22</v>
      </c>
      <c r="D105" s="58">
        <v>1001307587562</v>
      </c>
      <c r="E105" s="24"/>
      <c r="F105" s="167">
        <v>0.35</v>
      </c>
      <c r="G105" s="23">
        <f>E105</f>
        <v>0</v>
      </c>
      <c r="H105" s="14">
        <v>2.8</v>
      </c>
      <c r="I105" s="14">
        <v>45</v>
      </c>
      <c r="J105" s="151" t="s">
        <v>186</v>
      </c>
      <c r="L105" s="115"/>
    </row>
    <row r="106" spans="1:12" ht="15.75" hidden="1" customHeight="1" x14ac:dyDescent="0.25">
      <c r="A106" s="148">
        <v>7516</v>
      </c>
      <c r="B106" s="183" t="s">
        <v>235</v>
      </c>
      <c r="C106" s="56" t="s">
        <v>20</v>
      </c>
      <c r="D106" s="58">
        <v>1001307107516</v>
      </c>
      <c r="E106" s="24"/>
      <c r="F106" s="167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151" t="s">
        <v>186</v>
      </c>
      <c r="L106" s="115"/>
    </row>
    <row r="107" spans="1:12" ht="15.75" hidden="1" customHeight="1" x14ac:dyDescent="0.25">
      <c r="A107" s="148">
        <v>7513</v>
      </c>
      <c r="B107" s="183" t="s">
        <v>236</v>
      </c>
      <c r="C107" s="56" t="s">
        <v>20</v>
      </c>
      <c r="D107" s="58">
        <v>1001307077513</v>
      </c>
      <c r="E107" s="24"/>
      <c r="F107" s="167">
        <v>0.26</v>
      </c>
      <c r="G107" s="23">
        <f t="shared" si="11"/>
        <v>0</v>
      </c>
      <c r="H107" s="14">
        <v>2.08</v>
      </c>
      <c r="I107" s="14">
        <v>45</v>
      </c>
      <c r="J107" s="151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300</v>
      </c>
      <c r="F108" s="23">
        <v>0.35</v>
      </c>
      <c r="G108" s="23">
        <f t="shared" si="10"/>
        <v>105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0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24"/>
      <c r="F110" s="142">
        <v>0.28000000000000003</v>
      </c>
      <c r="G110" s="142">
        <f t="shared" si="10"/>
        <v>0</v>
      </c>
      <c r="H110" s="143">
        <v>2.2400000000000002</v>
      </c>
      <c r="I110" s="143">
        <v>45</v>
      </c>
      <c r="J110" s="143" t="s">
        <v>196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300</v>
      </c>
      <c r="F111" s="23">
        <v>0.28000000000000003</v>
      </c>
      <c r="G111" s="23">
        <f t="shared" si="10"/>
        <v>84.000000000000014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24"/>
      <c r="F112" s="142">
        <v>0.28000000000000003</v>
      </c>
      <c r="G112" s="142">
        <f t="shared" si="10"/>
        <v>0</v>
      </c>
      <c r="H112" s="143">
        <v>2.2400000000000002</v>
      </c>
      <c r="I112" s="143">
        <v>50</v>
      </c>
      <c r="J112" s="158" t="s">
        <v>211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24"/>
      <c r="F113" s="142">
        <v>0.28000000000000003</v>
      </c>
      <c r="G113" s="142">
        <f t="shared" si="10"/>
        <v>0</v>
      </c>
      <c r="H113" s="143">
        <v>2.2400000000000002</v>
      </c>
      <c r="I113" s="143">
        <v>50</v>
      </c>
      <c r="J113" s="158" t="s">
        <v>211</v>
      </c>
      <c r="L113" s="115"/>
    </row>
    <row r="114" spans="1:67" ht="15.75" hidden="1" customHeight="1" x14ac:dyDescent="0.25">
      <c r="A114" s="145">
        <v>7608</v>
      </c>
      <c r="B114" s="55" t="s">
        <v>194</v>
      </c>
      <c r="C114" s="51" t="s">
        <v>20</v>
      </c>
      <c r="D114" s="52">
        <v>1001304197608</v>
      </c>
      <c r="E114" s="24"/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195</v>
      </c>
      <c r="C115" s="140" t="s">
        <v>20</v>
      </c>
      <c r="D115" s="141">
        <v>1001306717610</v>
      </c>
      <c r="E115" s="24"/>
      <c r="F115" s="142">
        <v>0.1</v>
      </c>
      <c r="G115" s="142">
        <f t="shared" si="10"/>
        <v>0</v>
      </c>
      <c r="H115" s="143">
        <v>1</v>
      </c>
      <c r="I115" s="143">
        <v>45</v>
      </c>
      <c r="J115" s="158" t="s">
        <v>215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2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2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68">
        <v>5708</v>
      </c>
      <c r="B119" s="152" t="s">
        <v>80</v>
      </c>
      <c r="C119" s="140" t="s">
        <v>22</v>
      </c>
      <c r="D119" s="153">
        <v>1001063145708</v>
      </c>
      <c r="E119" s="24"/>
      <c r="F119" s="154">
        <v>0.5</v>
      </c>
      <c r="G119" s="155">
        <f>E119</f>
        <v>0</v>
      </c>
      <c r="H119" s="155">
        <v>4</v>
      </c>
      <c r="I119" s="170">
        <v>120</v>
      </c>
      <c r="J119" s="158" t="s">
        <v>212</v>
      </c>
      <c r="L119" s="115"/>
    </row>
    <row r="120" spans="1:67" ht="16.5" hidden="1" customHeight="1" x14ac:dyDescent="0.25">
      <c r="A120" s="171">
        <v>7700</v>
      </c>
      <c r="B120" s="159" t="s">
        <v>213</v>
      </c>
      <c r="C120" s="172" t="s">
        <v>22</v>
      </c>
      <c r="D120" s="160">
        <v>1001067977700</v>
      </c>
      <c r="E120" s="24"/>
      <c r="F120" s="161">
        <v>0.44</v>
      </c>
      <c r="G120" s="162">
        <f>E120</f>
        <v>0</v>
      </c>
      <c r="H120" s="173">
        <v>3.52</v>
      </c>
      <c r="I120" s="174">
        <v>120</v>
      </c>
      <c r="J120" s="165" t="s">
        <v>214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2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>
        <v>60</v>
      </c>
      <c r="F124" s="23">
        <v>0.22</v>
      </c>
      <c r="G124" s="23">
        <f t="shared" si="13"/>
        <v>13.2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68">
        <v>7147</v>
      </c>
      <c r="B125" s="152" t="s">
        <v>85</v>
      </c>
      <c r="C125" s="140" t="s">
        <v>20</v>
      </c>
      <c r="D125" s="153">
        <v>1001063237147</v>
      </c>
      <c r="E125" s="24"/>
      <c r="F125" s="154">
        <v>0.22</v>
      </c>
      <c r="G125" s="155">
        <f>E125*F125</f>
        <v>0</v>
      </c>
      <c r="H125" s="155">
        <v>1.76</v>
      </c>
      <c r="I125" s="169">
        <v>120</v>
      </c>
      <c r="J125" s="158" t="s">
        <v>211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60</v>
      </c>
      <c r="F128" s="23">
        <v>0.25</v>
      </c>
      <c r="G128" s="23">
        <f t="shared" si="13"/>
        <v>15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3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3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90</v>
      </c>
      <c r="F131" s="23">
        <v>0.25</v>
      </c>
      <c r="G131" s="23">
        <f t="shared" si="13"/>
        <v>22.5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90</v>
      </c>
      <c r="F132" s="23">
        <v>0.25</v>
      </c>
      <c r="G132" s="23">
        <f t="shared" si="13"/>
        <v>22.5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3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240</v>
      </c>
      <c r="F134" s="23">
        <v>0.25</v>
      </c>
      <c r="G134" s="23">
        <f t="shared" si="13"/>
        <v>60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180</v>
      </c>
      <c r="F135" s="23">
        <v>0.22</v>
      </c>
      <c r="G135" s="23">
        <f t="shared" si="13"/>
        <v>39.6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5">E138*F138</f>
        <v>0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v>150</v>
      </c>
      <c r="F139" s="23">
        <v>0.15</v>
      </c>
      <c r="G139" s="23">
        <f t="shared" si="15"/>
        <v>22.5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400</v>
      </c>
      <c r="F140" s="23">
        <v>0.12</v>
      </c>
      <c r="G140" s="23">
        <f t="shared" si="15"/>
        <v>48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5">
        <v>7613</v>
      </c>
      <c r="B141" s="55" t="s">
        <v>192</v>
      </c>
      <c r="C141" s="51" t="s">
        <v>20</v>
      </c>
      <c r="D141" s="52">
        <v>1001061977613</v>
      </c>
      <c r="E141" s="24"/>
      <c r="F141" s="23">
        <v>0.1</v>
      </c>
      <c r="G141" s="23">
        <f t="shared" si="15"/>
        <v>0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5">
        <v>7616</v>
      </c>
      <c r="B142" s="55" t="s">
        <v>193</v>
      </c>
      <c r="C142" s="51" t="s">
        <v>20</v>
      </c>
      <c r="D142" s="52">
        <v>1001062507616</v>
      </c>
      <c r="E142" s="24">
        <v>150</v>
      </c>
      <c r="F142" s="23">
        <v>0.1</v>
      </c>
      <c r="G142" s="23">
        <f t="shared" si="15"/>
        <v>15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180</v>
      </c>
      <c r="F143" s="23">
        <v>0.09</v>
      </c>
      <c r="G143" s="23">
        <f t="shared" si="15"/>
        <v>16.2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>
        <v>240</v>
      </c>
      <c r="F144" s="23">
        <v>0.09</v>
      </c>
      <c r="G144" s="23">
        <f t="shared" si="15"/>
        <v>21.599999999999998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24"/>
      <c r="F145" s="142">
        <v>0.1</v>
      </c>
      <c r="G145" s="142">
        <f t="shared" si="15"/>
        <v>0</v>
      </c>
      <c r="H145" s="143">
        <v>1</v>
      </c>
      <c r="I145" s="143">
        <v>60</v>
      </c>
      <c r="J145" s="143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24"/>
      <c r="F146" s="142">
        <v>7.0000000000000007E-2</v>
      </c>
      <c r="G146" s="142">
        <f t="shared" si="15"/>
        <v>0</v>
      </c>
      <c r="H146" s="143">
        <v>0.98</v>
      </c>
      <c r="I146" s="143">
        <v>60</v>
      </c>
      <c r="J146" s="143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24"/>
      <c r="F147" s="142">
        <v>0.1</v>
      </c>
      <c r="G147" s="142">
        <f t="shared" si="15"/>
        <v>0</v>
      </c>
      <c r="H147" s="143">
        <v>1</v>
      </c>
      <c r="I147" s="143">
        <v>60</v>
      </c>
      <c r="J147" s="143" t="s">
        <v>191</v>
      </c>
      <c r="L147" s="115"/>
    </row>
    <row r="148" spans="1:67" ht="16.5" hidden="1" customHeight="1" thickBot="1" x14ac:dyDescent="0.3">
      <c r="A148" s="145">
        <v>7626</v>
      </c>
      <c r="B148" s="55" t="s">
        <v>190</v>
      </c>
      <c r="C148" s="51" t="s">
        <v>20</v>
      </c>
      <c r="D148" s="52">
        <v>1001066607626</v>
      </c>
      <c r="E148" s="24"/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68">
        <v>6470</v>
      </c>
      <c r="B150" s="152" t="s">
        <v>116</v>
      </c>
      <c r="C150" s="140" t="s">
        <v>22</v>
      </c>
      <c r="D150" s="153">
        <v>1001092436470</v>
      </c>
      <c r="E150" s="24"/>
      <c r="F150" s="154">
        <v>1.2</v>
      </c>
      <c r="G150" s="155">
        <f>E150</f>
        <v>0</v>
      </c>
      <c r="H150" s="156">
        <v>4.8</v>
      </c>
      <c r="I150" s="157">
        <v>45</v>
      </c>
      <c r="J150" s="158" t="s">
        <v>219</v>
      </c>
      <c r="L150" s="115"/>
    </row>
    <row r="151" spans="1:67" ht="16.149999999999999" hidden="1" customHeight="1" x14ac:dyDescent="0.25">
      <c r="A151" s="171">
        <v>7726</v>
      </c>
      <c r="B151" s="159" t="s">
        <v>220</v>
      </c>
      <c r="C151" s="172" t="s">
        <v>22</v>
      </c>
      <c r="D151" s="160">
        <v>1001092437726</v>
      </c>
      <c r="E151" s="24"/>
      <c r="F151" s="161">
        <v>1.2</v>
      </c>
      <c r="G151" s="162">
        <f>E151</f>
        <v>0</v>
      </c>
      <c r="H151" s="163">
        <v>4.8</v>
      </c>
      <c r="I151" s="164">
        <v>62</v>
      </c>
      <c r="J151" s="165" t="s">
        <v>221</v>
      </c>
      <c r="L151" s="115"/>
    </row>
    <row r="152" spans="1:67" s="61" customFormat="1" ht="16.149999999999999" hidden="1" customHeight="1" x14ac:dyDescent="0.25">
      <c r="A152" s="176">
        <v>6495</v>
      </c>
      <c r="B152" s="177" t="s">
        <v>95</v>
      </c>
      <c r="C152" s="140" t="s">
        <v>20</v>
      </c>
      <c r="D152" s="144">
        <v>1001092436495</v>
      </c>
      <c r="E152" s="24"/>
      <c r="F152" s="178">
        <v>0.3</v>
      </c>
      <c r="G152" s="142">
        <f>E152*F152</f>
        <v>0</v>
      </c>
      <c r="H152" s="143">
        <v>1.8</v>
      </c>
      <c r="I152" s="143">
        <v>45</v>
      </c>
      <c r="J152" s="158" t="s">
        <v>216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1">
        <v>7725</v>
      </c>
      <c r="B153" s="159" t="s">
        <v>217</v>
      </c>
      <c r="C153" s="172" t="s">
        <v>20</v>
      </c>
      <c r="D153" s="160">
        <v>1001092437725</v>
      </c>
      <c r="E153" s="24"/>
      <c r="F153" s="161">
        <v>0.3</v>
      </c>
      <c r="G153" s="23">
        <f>E153*F153</f>
        <v>0</v>
      </c>
      <c r="H153" s="163">
        <v>4.8</v>
      </c>
      <c r="I153" s="164">
        <v>62</v>
      </c>
      <c r="J153" s="165" t="s">
        <v>218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6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6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/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90</v>
      </c>
      <c r="F158" s="59">
        <v>0.4</v>
      </c>
      <c r="G158" s="23">
        <f t="shared" ref="G158:G166" si="17">E158*F158</f>
        <v>36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360</v>
      </c>
      <c r="F159" s="59">
        <v>0.4</v>
      </c>
      <c r="G159" s="23">
        <f t="shared" si="17"/>
        <v>144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6">
        <v>6925</v>
      </c>
      <c r="B161" s="139" t="s">
        <v>103</v>
      </c>
      <c r="C161" s="140" t="s">
        <v>20</v>
      </c>
      <c r="D161" s="179">
        <v>1001095226925</v>
      </c>
      <c r="E161" s="24"/>
      <c r="F161" s="178">
        <v>0.6</v>
      </c>
      <c r="G161" s="142">
        <f t="shared" si="17"/>
        <v>0</v>
      </c>
      <c r="H161" s="143">
        <v>4.8</v>
      </c>
      <c r="I161" s="143">
        <v>45</v>
      </c>
      <c r="J161" s="158" t="s">
        <v>222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0">
        <v>7723</v>
      </c>
      <c r="B162" s="149" t="s">
        <v>223</v>
      </c>
      <c r="C162" s="56" t="s">
        <v>20</v>
      </c>
      <c r="D162" s="108">
        <v>1001095227723</v>
      </c>
      <c r="E162" s="24"/>
      <c r="F162" s="150">
        <v>0.6</v>
      </c>
      <c r="G162" s="59">
        <f t="shared" si="17"/>
        <v>0</v>
      </c>
      <c r="H162" s="60">
        <v>4.8</v>
      </c>
      <c r="I162" s="60">
        <v>62</v>
      </c>
      <c r="J162" s="165" t="s">
        <v>224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68">
        <v>7647</v>
      </c>
      <c r="B163" s="152" t="s">
        <v>185</v>
      </c>
      <c r="C163" s="140" t="s">
        <v>20</v>
      </c>
      <c r="D163" s="153">
        <v>1001097747647</v>
      </c>
      <c r="E163" s="24"/>
      <c r="F163" s="154">
        <v>0.1</v>
      </c>
      <c r="G163" s="155">
        <f t="shared" si="17"/>
        <v>0</v>
      </c>
      <c r="H163" s="155">
        <v>0.8</v>
      </c>
      <c r="I163" s="170">
        <v>30</v>
      </c>
      <c r="J163" s="158" t="s">
        <v>225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1">
        <v>7730</v>
      </c>
      <c r="B164" s="159" t="s">
        <v>226</v>
      </c>
      <c r="C164" s="172" t="s">
        <v>20</v>
      </c>
      <c r="D164" s="160">
        <v>1001097747730</v>
      </c>
      <c r="E164" s="24"/>
      <c r="F164" s="161">
        <v>0.1</v>
      </c>
      <c r="G164" s="162">
        <f t="shared" si="17"/>
        <v>0</v>
      </c>
      <c r="H164" s="173">
        <v>0.8</v>
      </c>
      <c r="I164" s="181">
        <v>62</v>
      </c>
      <c r="J164" s="165" t="s">
        <v>227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68">
        <v>7651</v>
      </c>
      <c r="B165" s="152" t="s">
        <v>187</v>
      </c>
      <c r="C165" s="140" t="s">
        <v>20</v>
      </c>
      <c r="D165" s="153">
        <v>1001097767651</v>
      </c>
      <c r="E165" s="24"/>
      <c r="F165" s="154">
        <v>0.1</v>
      </c>
      <c r="G165" s="155">
        <f t="shared" si="17"/>
        <v>0</v>
      </c>
      <c r="H165" s="155">
        <v>0.8</v>
      </c>
      <c r="I165" s="170">
        <v>30</v>
      </c>
      <c r="J165" s="158" t="s">
        <v>228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1">
        <v>7731</v>
      </c>
      <c r="B166" s="159" t="s">
        <v>229</v>
      </c>
      <c r="C166" s="172" t="s">
        <v>20</v>
      </c>
      <c r="D166" s="160">
        <v>1001097767731</v>
      </c>
      <c r="E166" s="24"/>
      <c r="F166" s="161">
        <v>0.1</v>
      </c>
      <c r="G166" s="182">
        <f t="shared" si="17"/>
        <v>0</v>
      </c>
      <c r="H166" s="163">
        <v>0.8</v>
      </c>
      <c r="I166" s="164">
        <v>62</v>
      </c>
      <c r="J166" s="165" t="s">
        <v>230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5">
        <v>7485</v>
      </c>
      <c r="B168" s="35" t="s">
        <v>198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8">E171*F171</f>
        <v>0</v>
      </c>
      <c r="H171" s="14">
        <v>1.8</v>
      </c>
      <c r="I171" s="14">
        <v>50</v>
      </c>
      <c r="J171" s="29"/>
      <c r="L171" s="115"/>
    </row>
    <row r="172" spans="1:67" ht="16.5" customHeight="1" x14ac:dyDescent="0.25">
      <c r="A172" s="145">
        <v>6008</v>
      </c>
      <c r="B172" s="35" t="s">
        <v>188</v>
      </c>
      <c r="C172" s="51" t="s">
        <v>22</v>
      </c>
      <c r="D172" s="52">
        <v>1001084856008</v>
      </c>
      <c r="E172" s="24">
        <v>150</v>
      </c>
      <c r="F172" s="23">
        <v>0.3</v>
      </c>
      <c r="G172" s="23">
        <f t="shared" si="18"/>
        <v>45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180</v>
      </c>
      <c r="F173" s="23">
        <v>0.3</v>
      </c>
      <c r="G173" s="23">
        <f t="shared" si="18"/>
        <v>54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169</v>
      </c>
      <c r="C174" s="51" t="s">
        <v>20</v>
      </c>
      <c r="D174" s="52">
        <v>1001223297103</v>
      </c>
      <c r="E174" s="24">
        <v>180</v>
      </c>
      <c r="F174" s="23">
        <v>0.18</v>
      </c>
      <c r="G174" s="23">
        <f t="shared" si="18"/>
        <v>32.4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240</v>
      </c>
      <c r="F175" s="23">
        <v>0.15</v>
      </c>
      <c r="G175" s="23">
        <f t="shared" si="18"/>
        <v>36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8">
        <v>6929</v>
      </c>
      <c r="B176" s="166" t="s">
        <v>231</v>
      </c>
      <c r="C176" s="51" t="s">
        <v>22</v>
      </c>
      <c r="D176" s="52">
        <v>1001085476929</v>
      </c>
      <c r="E176" s="24"/>
      <c r="F176" s="167">
        <v>1.375</v>
      </c>
      <c r="G176" s="162">
        <f>E176</f>
        <v>0</v>
      </c>
      <c r="H176" s="14">
        <v>5.5</v>
      </c>
      <c r="I176" s="14">
        <v>45</v>
      </c>
      <c r="J176" s="151" t="s">
        <v>186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5" t="s">
        <v>128</v>
      </c>
      <c r="C178" s="140" t="s">
        <v>20</v>
      </c>
      <c r="D178" s="141">
        <v>1001234146448</v>
      </c>
      <c r="E178" s="24"/>
      <c r="F178" s="142">
        <v>0.1</v>
      </c>
      <c r="G178" s="142">
        <f t="shared" si="18"/>
        <v>0</v>
      </c>
      <c r="H178" s="143">
        <v>1</v>
      </c>
      <c r="I178" s="143">
        <v>45</v>
      </c>
      <c r="J178" s="158" t="s">
        <v>211</v>
      </c>
      <c r="L178" s="115"/>
    </row>
    <row r="179" spans="1:12" ht="16.5" customHeight="1" x14ac:dyDescent="0.25">
      <c r="A179" s="57">
        <v>6754</v>
      </c>
      <c r="B179" s="35" t="s">
        <v>170</v>
      </c>
      <c r="C179" s="51" t="s">
        <v>20</v>
      </c>
      <c r="D179" s="52">
        <v>1001225406754</v>
      </c>
      <c r="E179" s="24">
        <v>200</v>
      </c>
      <c r="F179" s="23">
        <v>0.09</v>
      </c>
      <c r="G179" s="23">
        <f t="shared" si="18"/>
        <v>18</v>
      </c>
      <c r="H179" s="14">
        <v>0.72</v>
      </c>
      <c r="I179" s="14">
        <v>60</v>
      </c>
      <c r="J179" s="29"/>
      <c r="L179" s="115"/>
    </row>
    <row r="180" spans="1:12" ht="16.5" customHeight="1" thickBo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150</v>
      </c>
      <c r="F180" s="23">
        <v>0.15</v>
      </c>
      <c r="G180" s="23">
        <f t="shared" si="18"/>
        <v>22.5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5">
        <v>7612</v>
      </c>
      <c r="B182" s="146" t="s">
        <v>189</v>
      </c>
      <c r="C182" s="51" t="s">
        <v>20</v>
      </c>
      <c r="D182" s="52">
        <v>1001453907612</v>
      </c>
      <c r="E182" s="24"/>
      <c r="F182" s="23">
        <v>0.1</v>
      </c>
      <c r="G182" s="23">
        <f t="shared" si="18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208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25">
      <c r="A184" s="148">
        <v>7344</v>
      </c>
      <c r="B184" s="166" t="s">
        <v>209</v>
      </c>
      <c r="C184" s="51" t="s">
        <v>20</v>
      </c>
      <c r="D184" s="52">
        <v>1001122287344</v>
      </c>
      <c r="E184" s="24">
        <v>0</v>
      </c>
      <c r="F184" s="167">
        <v>0.33800000000000002</v>
      </c>
      <c r="G184" s="23">
        <f>E184*F184</f>
        <v>0</v>
      </c>
      <c r="H184" s="14"/>
      <c r="I184" s="14"/>
      <c r="J184" s="151" t="s">
        <v>186</v>
      </c>
      <c r="L184" s="115"/>
    </row>
    <row r="185" spans="1:12" ht="16.5" hidden="1" customHeight="1" thickBot="1" x14ac:dyDescent="0.3">
      <c r="A185" s="148">
        <v>7345</v>
      </c>
      <c r="B185" s="166" t="s">
        <v>210</v>
      </c>
      <c r="C185" s="51" t="s">
        <v>20</v>
      </c>
      <c r="D185" s="52">
        <v>1001123677345</v>
      </c>
      <c r="E185" s="24">
        <v>0</v>
      </c>
      <c r="F185" s="167">
        <v>0.32500000000000001</v>
      </c>
      <c r="G185" s="23">
        <f>E185*F185</f>
        <v>0</v>
      </c>
      <c r="H185" s="14"/>
      <c r="I185" s="14"/>
      <c r="J185" s="151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8664</v>
      </c>
      <c r="F186" s="17"/>
      <c r="G186" s="17">
        <f>SUM(G11:G185)</f>
        <v>2608.5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7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filters>
        <filter val="120"/>
        <filter val="144"/>
        <filter val="150"/>
        <filter val="180"/>
        <filter val="200"/>
        <filter val="240"/>
        <filter val="300"/>
        <filter val="360"/>
        <filter val="400"/>
        <filter val="60"/>
        <filter val="720"/>
        <filter val="8 664,00"/>
        <filter val="90"/>
      </filters>
    </filterColumn>
  </autoFilter>
  <mergeCells count="2">
    <mergeCell ref="E1:J1"/>
    <mergeCell ref="G3:J3"/>
  </mergeCells>
  <conditionalFormatting sqref="D195">
    <cfRule type="duplicateValues" dxfId="384" priority="1021"/>
    <cfRule type="duplicateValues" dxfId="383" priority="1022"/>
    <cfRule type="duplicateValues" dxfId="382" priority="1023"/>
    <cfRule type="duplicateValues" dxfId="381" priority="1024"/>
    <cfRule type="duplicateValues" dxfId="380" priority="1025"/>
    <cfRule type="duplicateValues" dxfId="379" priority="1026"/>
    <cfRule type="duplicateValues" dxfId="378" priority="1027"/>
    <cfRule type="duplicateValues" dxfId="377" priority="1028"/>
    <cfRule type="duplicateValues" dxfId="376" priority="1029"/>
    <cfRule type="duplicateValues" dxfId="375" priority="1030"/>
  </conditionalFormatting>
  <conditionalFormatting sqref="D195">
    <cfRule type="duplicateValues" dxfId="374" priority="103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2026-10-28T10:29:48Z</dcterms:modified>
</cp:coreProperties>
</file>