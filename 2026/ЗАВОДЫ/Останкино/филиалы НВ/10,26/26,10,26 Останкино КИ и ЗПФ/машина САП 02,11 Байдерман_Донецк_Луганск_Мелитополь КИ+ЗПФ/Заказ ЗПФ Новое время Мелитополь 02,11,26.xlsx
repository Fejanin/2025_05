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left" vertical="center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K1</f>
        <v/>
      </c>
      <c r="E1" s="56" t="inlineStr">
        <is>
          <t>ООО Новое время</t>
        </is>
      </c>
      <c r="F1" s="57" t="n"/>
      <c r="G1" s="57" t="n"/>
      <c r="H1" s="57" t="n"/>
      <c r="I1" s="57" t="n"/>
      <c r="J1" s="58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2" t="n">
        <v>46328</v>
      </c>
      <c r="E3" s="7" t="inlineStr">
        <is>
          <t xml:space="preserve">Доставка: </t>
        </is>
      </c>
      <c r="F3" s="52">
        <f>D3+3</f>
        <v/>
      </c>
      <c r="G3" s="59">
        <f>N1</f>
        <v/>
      </c>
      <c r="H3" s="57" t="n"/>
      <c r="I3" s="57" t="n"/>
      <c r="J3" s="58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3">
        <f>RIGHT(D12,4)</f>
        <v/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50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150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>
        <v>100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200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60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40</v>
      </c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6.5" customHeight="1">
      <c r="A22" s="51" t="n"/>
      <c r="B22" s="62" t="inlineStr">
        <is>
          <t>Пельмени/Вареники</t>
        </is>
      </c>
    </row>
    <row r="23" ht="15.7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6" t="inlineStr">
        <is>
          <t>ШТ</t>
        </is>
      </c>
      <c r="D23" s="47" t="n">
        <v>1002116437216</v>
      </c>
      <c r="E23" s="23" t="n">
        <v>30</v>
      </c>
      <c r="F23" s="22" t="n">
        <v>0.7</v>
      </c>
      <c r="G23" s="55">
        <f>E23*F23</f>
        <v/>
      </c>
      <c r="H23" s="14" t="n"/>
      <c r="I23" s="14" t="n"/>
      <c r="J23" s="28" t="n"/>
    </row>
    <row r="24">
      <c r="A24" s="53">
        <f>RIGHT(D24,4)</f>
        <v/>
      </c>
      <c r="B24" s="54" t="inlineStr">
        <is>
          <t>ОСТАНКИНСКИЕ пельм кор.0.5кг зам_NEW</t>
        </is>
      </c>
      <c r="C24" s="46" t="inlineStr">
        <is>
          <t>ШТ</t>
        </is>
      </c>
      <c r="D24" s="47" t="n">
        <v>1002112606824</v>
      </c>
      <c r="E24" s="23" t="n"/>
      <c r="F24" s="22" t="n">
        <v>0.5</v>
      </c>
      <c r="G24" s="55">
        <f>E24*F24</f>
        <v/>
      </c>
      <c r="H24" s="14" t="n"/>
      <c r="I24" s="14" t="n"/>
      <c r="J24" s="28" t="n"/>
    </row>
    <row r="25">
      <c r="A25" s="53">
        <f>RIGHT(D25,4)</f>
        <v/>
      </c>
      <c r="B25" s="54" t="inlineStr">
        <is>
          <t>С КАРТОФ.И ГРИБ.вареники пл.0.42кг зам.</t>
        </is>
      </c>
      <c r="C25" s="46" t="inlineStr">
        <is>
          <t>ШТ</t>
        </is>
      </c>
      <c r="D25" s="47" t="n">
        <v>1002151787049</v>
      </c>
      <c r="E25" s="23" t="n">
        <v>20</v>
      </c>
      <c r="F25" s="22" t="n">
        <v>0.42</v>
      </c>
      <c r="G25" s="55">
        <f>E25*F25</f>
        <v/>
      </c>
      <c r="H25" s="14" t="n"/>
      <c r="I25" s="14" t="n"/>
      <c r="J25" s="28" t="n"/>
    </row>
    <row r="26">
      <c r="A26" s="53">
        <f>RIGHT(D26,4)</f>
        <v/>
      </c>
      <c r="B26" s="54" t="inlineStr">
        <is>
          <t>ОСТАНКИНСКИЕ пельм пл. 0.7кг 10шт.зам.</t>
        </is>
      </c>
      <c r="C26" s="46" t="inlineStr">
        <is>
          <t>ШТ</t>
        </is>
      </c>
      <c r="D26" s="47" t="n">
        <v>1002112607085</v>
      </c>
      <c r="E26" s="23" t="n">
        <v>40</v>
      </c>
      <c r="F26" s="22" t="n">
        <v>0.7</v>
      </c>
      <c r="G26" s="55">
        <f>E26*F26</f>
        <v/>
      </c>
      <c r="H26" s="14" t="n"/>
      <c r="I26" s="14" t="n"/>
      <c r="J26" s="28" t="n"/>
    </row>
    <row r="27">
      <c r="A27" s="53">
        <f>RIGHT(D27,4)</f>
        <v/>
      </c>
      <c r="B27" s="54" t="inlineStr">
        <is>
          <t>СОЧНЫЕ Папа Может пельм пл.0.42кг зам.</t>
        </is>
      </c>
      <c r="C27" s="46" t="inlineStr">
        <is>
          <t>ШТ</t>
        </is>
      </c>
      <c r="D27" s="47" t="n">
        <v>1002112857212</v>
      </c>
      <c r="E27" s="23" t="n">
        <v>10</v>
      </c>
      <c r="F27" s="22" t="n">
        <v>0.42</v>
      </c>
      <c r="G27" s="55">
        <f>E27*F27</f>
        <v/>
      </c>
      <c r="H27" s="14" t="n"/>
      <c r="I27" s="14" t="n"/>
      <c r="J27" s="28" t="n"/>
    </row>
    <row r="28">
      <c r="A28" s="53">
        <f>RIGHT(D28,4)</f>
        <v/>
      </c>
      <c r="B28" s="54" t="inlineStr">
        <is>
          <t>СОЧНЫЕ Папа Может пельм пл.0.7кг зам.</t>
        </is>
      </c>
      <c r="C28" s="46" t="inlineStr">
        <is>
          <t>ШТ</t>
        </is>
      </c>
      <c r="D28" s="47" t="n">
        <v>1002112857214</v>
      </c>
      <c r="E28" s="23" t="n">
        <v>50</v>
      </c>
      <c r="F28" s="22" t="n">
        <v>0.7</v>
      </c>
      <c r="G28" s="55">
        <f>E28*F28</f>
        <v/>
      </c>
      <c r="H28" s="14" t="n"/>
      <c r="I28" s="14" t="n"/>
      <c r="J28" s="28" t="n"/>
    </row>
    <row r="29">
      <c r="A29" s="53">
        <f>RIGHT(D29,4)</f>
        <v/>
      </c>
      <c r="B29" s="54" t="inlineStr">
        <is>
          <t>МЯСНЫЕ ПРЕМИУМ пельм кор.0.4кг зам.</t>
        </is>
      </c>
      <c r="C29" s="46" t="inlineStr">
        <is>
          <t>ШТ</t>
        </is>
      </c>
      <c r="D29" s="47" t="n">
        <v>1002116517224</v>
      </c>
      <c r="E29" s="23" t="n"/>
      <c r="F29" s="22" t="n">
        <v>0.4</v>
      </c>
      <c r="G29" s="55">
        <f>E29*F29</f>
        <v/>
      </c>
      <c r="H29" s="14" t="n"/>
      <c r="I29" s="14" t="n"/>
      <c r="J29" s="28" t="n"/>
    </row>
    <row r="30" ht="15.7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6" t="inlineStr">
        <is>
          <t>КГ</t>
        </is>
      </c>
      <c r="D30" s="47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49" t="n"/>
      <c r="B31" s="43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2026-10-28T12:41:38Z</dcterms:modified>
  <cp:lastModifiedBy>Uaer4</cp:lastModifiedBy>
  <cp:lastPrinted>2015-01-13T07:32:10Z</cp:lastPrinted>
</cp:coreProperties>
</file>