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063B52F4-909B-4B3F-BDF4-2DA94DCD933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9" i="1"/>
  <c r="S11" i="1"/>
  <c r="R13" i="1"/>
  <c r="S15" i="1"/>
  <c r="S17" i="1"/>
  <c r="S19" i="1"/>
  <c r="S21" i="1"/>
  <c r="S23" i="1"/>
  <c r="P7" i="1"/>
  <c r="S7" i="1" s="1"/>
  <c r="P8" i="1"/>
  <c r="S8" i="1" s="1"/>
  <c r="P9" i="1"/>
  <c r="S9" i="1" s="1"/>
  <c r="P10" i="1"/>
  <c r="R10" i="1" s="1"/>
  <c r="P11" i="1"/>
  <c r="R11" i="1" s="1"/>
  <c r="P12" i="1"/>
  <c r="S12" i="1" s="1"/>
  <c r="P13" i="1"/>
  <c r="S13" i="1" s="1"/>
  <c r="P14" i="1"/>
  <c r="R14" i="1" s="1"/>
  <c r="P15" i="1"/>
  <c r="R15" i="1" s="1"/>
  <c r="P16" i="1"/>
  <c r="R16" i="1" s="1"/>
  <c r="P17" i="1"/>
  <c r="R17" i="1" s="1"/>
  <c r="P18" i="1"/>
  <c r="R18" i="1" s="1"/>
  <c r="P19" i="1"/>
  <c r="R19" i="1" s="1"/>
  <c r="P20" i="1"/>
  <c r="R20" i="1" s="1"/>
  <c r="P21" i="1"/>
  <c r="R21" i="1" s="1"/>
  <c r="P22" i="1"/>
  <c r="R22" i="1" s="1"/>
  <c r="P23" i="1"/>
  <c r="R23" i="1" s="1"/>
  <c r="P6" i="1"/>
  <c r="S6" i="1" s="1"/>
  <c r="R6" i="1" l="1"/>
  <c r="S22" i="1"/>
  <c r="S20" i="1"/>
  <c r="S18" i="1"/>
  <c r="S16" i="1"/>
  <c r="S14" i="1"/>
  <c r="S10" i="1"/>
  <c r="R8" i="1"/>
  <c r="R12" i="1"/>
  <c r="AE23" i="1"/>
  <c r="L23" i="1"/>
  <c r="AE22" i="1"/>
  <c r="L22" i="1"/>
  <c r="AE21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Q5" i="1"/>
  <c r="P5" i="1"/>
  <c r="O5" i="1"/>
  <c r="N5" i="1"/>
  <c r="M5" i="1"/>
  <c r="K5" i="1"/>
  <c r="F5" i="1"/>
  <c r="E5" i="1"/>
  <c r="L5" i="1" l="1"/>
  <c r="AE5" i="1"/>
</calcChain>
</file>

<file path=xl/sharedStrings.xml><?xml version="1.0" encoding="utf-8"?>
<sst xmlns="http://schemas.openxmlformats.org/spreadsheetml/2006/main" count="104" uniqueCount="60">
  <si>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</si>
  <si>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</si>
  <si>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</si>
  <si>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</si>
  <si>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</si>
  <si>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</si>
  <si>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</si>
  <si>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</si>
  <si>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</si>
  <si>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</si>
  <si>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</si>
  <si>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</si>
  <si>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</si>
  <si>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</si>
  <si>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</si>
  <si>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</si>
  <si>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</si>
  <si>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</si>
  <si>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</si>
  <si>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</si>
  <si>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</si>
  <si>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12,10,</t>
  </si>
  <si>
    <t>20,10,</t>
  </si>
  <si>
    <t>19,10,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</si>
  <si>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</si>
  <si>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</si>
  <si>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</si>
  <si>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</si>
  <si>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</si>
  <si>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</si>
  <si>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</si>
  <si>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</si>
  <si>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</si>
  <si>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</si>
  <si>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</si>
  <si>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</si>
  <si>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05,10,26 - завод не отгрузил / 76шт списано (12,09,26 инвенторизация)</t>
  </si>
  <si>
    <t>5754 БЛИНЧ.КРУГЛЫЕ С МЯСОМ 4,5кг зам. ПМ ОСТАНКИНО</t>
  </si>
  <si>
    <t>кг</t>
  </si>
  <si>
    <t>184кг в уценку (29,09,26)</t>
  </si>
  <si>
    <t>5755 БЛИНЧ.КРУГЛЫЕ С ТВОРОГОМ 4,5кг зам. ПМ ОСТАНКИНО</t>
  </si>
  <si>
    <t>54кг в уценку (29,09,26)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</si>
  <si>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</si>
  <si>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</si>
  <si>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</si>
  <si>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</si>
  <si>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</si>
  <si>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</si>
  <si>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</si>
  <si>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</si>
  <si>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</si>
  <si>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</si>
  <si>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</si>
  <si>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</si>
  <si>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</si>
  <si>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</si>
  <si>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</si>
  <si>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нужно увеличить продажи!!!</t>
  </si>
  <si>
    <t>заказ</t>
  </si>
  <si>
    <t>26,10,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</si>
</sst>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5" sqref="Q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1.710937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58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59</v>
      </c>
      <c r="R4" s="1"/>
      <c r="S4" s="1"/>
      <c r="T4" s="1" t="s">
        <v>21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SUM(E6:E493)</f>
        <v>515</v>
      </c>
      <c r="F5" s="4">
        <f>SUM(F6:F493)</f>
        <v>633.79600000000005</v>
      </c>
      <c r="G5" s="7"/>
      <c r="H5" s="1"/>
      <c r="I5" s="1"/>
      <c r="J5" s="1"/>
      <c r="K5" s="4">
        <f t="shared" ref="K5:Q5" si="0">SUM(K6:K493)</f>
        <v>715.5</v>
      </c>
      <c r="L5" s="4">
        <f t="shared" si="0"/>
        <v>-200.5</v>
      </c>
      <c r="M5" s="4">
        <f t="shared" si="0"/>
        <v>0</v>
      </c>
      <c r="N5" s="4">
        <f t="shared" si="0"/>
        <v>0</v>
      </c>
      <c r="O5" s="4">
        <f t="shared" si="0"/>
        <v>850</v>
      </c>
      <c r="P5" s="4">
        <f t="shared" si="0"/>
        <v>102.99999999999999</v>
      </c>
      <c r="Q5" s="4">
        <f t="shared" si="0"/>
        <v>890</v>
      </c>
      <c r="R5" s="1"/>
      <c r="S5" s="1"/>
      <c r="T5" s="4">
        <f t="shared" ref="T5:AC5" si="1">SUM(T6:T493)</f>
        <v>91.4</v>
      </c>
      <c r="U5" s="4">
        <f t="shared" si="1"/>
        <v>16.824400000000001</v>
      </c>
      <c r="V5" s="4">
        <f t="shared" si="1"/>
        <v>14.9</v>
      </c>
      <c r="W5" s="4">
        <f t="shared" si="1"/>
        <v>67.129599999999996</v>
      </c>
      <c r="X5" s="4">
        <f t="shared" si="1"/>
        <v>51.828400000000002</v>
      </c>
      <c r="Y5" s="4">
        <f t="shared" si="1"/>
        <v>21.6</v>
      </c>
      <c r="Z5" s="4">
        <f t="shared" si="1"/>
        <v>100.2</v>
      </c>
      <c r="AA5" s="4">
        <f t="shared" si="1"/>
        <v>57.6</v>
      </c>
      <c r="AB5" s="4">
        <f t="shared" si="1"/>
        <v>15.600000000000001</v>
      </c>
      <c r="AC5" s="4">
        <f t="shared" si="1"/>
        <v>19</v>
      </c>
      <c r="AD5" s="1"/>
      <c r="AE5" s="4">
        <f>SUM(AE6:AE493)</f>
        <v>295.5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8</v>
      </c>
      <c r="D6" s="1"/>
      <c r="E6" s="1">
        <v>10</v>
      </c>
      <c r="F6" s="1">
        <v>-3</v>
      </c>
      <c r="G6" s="7">
        <v>0.42</v>
      </c>
      <c r="H6" s="1">
        <v>120</v>
      </c>
      <c r="I6" s="1" t="s">
        <v>35</v>
      </c>
      <c r="J6" s="1"/>
      <c r="K6" s="1">
        <v>10</v>
      </c>
      <c r="L6" s="1">
        <f t="shared" ref="L6:L23" si="2">E6-K6</f>
        <v>0</v>
      </c>
      <c r="M6" s="1"/>
      <c r="N6" s="1"/>
      <c r="O6" s="1">
        <v>40</v>
      </c>
      <c r="P6" s="1">
        <f>E6/5</f>
        <v>2</v>
      </c>
      <c r="Q6" s="5"/>
      <c r="R6" s="1">
        <f>(F6+O6+Q6)/P6</f>
        <v>18.5</v>
      </c>
      <c r="S6" s="1">
        <f>(F6+O6)/P6</f>
        <v>18.5</v>
      </c>
      <c r="T6" s="1">
        <v>2.4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2.2000000000000002</v>
      </c>
      <c r="AA6" s="1">
        <v>0.6</v>
      </c>
      <c r="AB6" s="1">
        <v>0.6</v>
      </c>
      <c r="AC6" s="1">
        <v>0</v>
      </c>
      <c r="AD6" s="1" t="s">
        <v>36</v>
      </c>
      <c r="AE6" s="1">
        <f t="shared" ref="AE6:AE23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-4.5919999999999996</v>
      </c>
      <c r="D7" s="1">
        <v>18.260000000000002</v>
      </c>
      <c r="E7" s="1"/>
      <c r="F7" s="1">
        <v>13.667999999999999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>
        <v>10</v>
      </c>
      <c r="P7" s="1">
        <f t="shared" ref="P7:P23" si="4">E7/5</f>
        <v>0</v>
      </c>
      <c r="Q7" s="5"/>
      <c r="R7" s="1" t="e">
        <f t="shared" ref="R7:R23" si="5">(F7+O7+Q7)/P7</f>
        <v>#DIV/0!</v>
      </c>
      <c r="S7" s="1" t="e">
        <f t="shared" ref="S7:S23" si="6">(F7+O7)/P7</f>
        <v>#DIV/0!</v>
      </c>
      <c r="T7" s="1">
        <v>0</v>
      </c>
      <c r="U7" s="1">
        <v>0.91839999999999988</v>
      </c>
      <c r="V7" s="1">
        <v>0</v>
      </c>
      <c r="W7" s="1">
        <v>0.91799999999999993</v>
      </c>
      <c r="X7" s="1">
        <v>0.91679999999999995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39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38</v>
      </c>
      <c r="C8" s="1"/>
      <c r="D8" s="1">
        <v>13.773999999999999</v>
      </c>
      <c r="E8" s="1"/>
      <c r="F8" s="1">
        <v>12.773999999999999</v>
      </c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-4.5</v>
      </c>
      <c r="M8" s="1"/>
      <c r="N8" s="1"/>
      <c r="O8" s="1">
        <v>10</v>
      </c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</v>
      </c>
      <c r="U8" s="1">
        <v>0.90600000000000003</v>
      </c>
      <c r="V8" s="1">
        <v>0.9</v>
      </c>
      <c r="W8" s="1">
        <v>1.8116000000000001</v>
      </c>
      <c r="X8" s="1">
        <v>0.91159999999999997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41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34</v>
      </c>
      <c r="C9" s="1">
        <v>30</v>
      </c>
      <c r="D9" s="1"/>
      <c r="E9" s="1">
        <v>3</v>
      </c>
      <c r="F9" s="1">
        <v>6</v>
      </c>
      <c r="G9" s="7">
        <v>0.42</v>
      </c>
      <c r="H9" s="1">
        <v>120</v>
      </c>
      <c r="I9" s="1" t="s">
        <v>35</v>
      </c>
      <c r="J9" s="1"/>
      <c r="K9" s="1">
        <v>3</v>
      </c>
      <c r="L9" s="1">
        <f t="shared" si="2"/>
        <v>0</v>
      </c>
      <c r="M9" s="1"/>
      <c r="N9" s="1"/>
      <c r="O9" s="1">
        <v>40</v>
      </c>
      <c r="P9" s="1">
        <f t="shared" si="4"/>
        <v>0.6</v>
      </c>
      <c r="Q9" s="5"/>
      <c r="R9" s="1">
        <f t="shared" si="5"/>
        <v>76.666666666666671</v>
      </c>
      <c r="S9" s="1">
        <f t="shared" si="6"/>
        <v>76.666666666666671</v>
      </c>
      <c r="T9" s="1">
        <v>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127</v>
      </c>
      <c r="D10" s="1">
        <v>2</v>
      </c>
      <c r="E10" s="1">
        <v>147</v>
      </c>
      <c r="F10" s="1">
        <v>-21</v>
      </c>
      <c r="G10" s="7">
        <v>0.3</v>
      </c>
      <c r="H10" s="1">
        <v>120</v>
      </c>
      <c r="I10" s="1" t="s">
        <v>35</v>
      </c>
      <c r="J10" s="1"/>
      <c r="K10" s="1">
        <v>173</v>
      </c>
      <c r="L10" s="1">
        <f t="shared" si="2"/>
        <v>-26</v>
      </c>
      <c r="M10" s="1"/>
      <c r="N10" s="1"/>
      <c r="O10" s="1">
        <v>140</v>
      </c>
      <c r="P10" s="1">
        <f t="shared" si="4"/>
        <v>29.4</v>
      </c>
      <c r="Q10" s="5">
        <v>320</v>
      </c>
      <c r="R10" s="1">
        <f t="shared" si="5"/>
        <v>14.931972789115648</v>
      </c>
      <c r="S10" s="1">
        <f t="shared" si="6"/>
        <v>4.0476190476190474</v>
      </c>
      <c r="T10" s="1">
        <v>14.8</v>
      </c>
      <c r="U10" s="1">
        <v>1.8</v>
      </c>
      <c r="V10" s="1">
        <v>1.4</v>
      </c>
      <c r="W10" s="1">
        <v>13</v>
      </c>
      <c r="X10" s="1">
        <v>5.8</v>
      </c>
      <c r="Y10" s="1">
        <v>3.4</v>
      </c>
      <c r="Z10" s="1">
        <v>21.6</v>
      </c>
      <c r="AA10" s="1">
        <v>12.2</v>
      </c>
      <c r="AB10" s="1">
        <v>1.2</v>
      </c>
      <c r="AC10" s="1">
        <v>2.4</v>
      </c>
      <c r="AD10" s="1"/>
      <c r="AE10" s="1">
        <f t="shared" si="3"/>
        <v>96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77</v>
      </c>
      <c r="D11" s="1">
        <v>14</v>
      </c>
      <c r="E11" s="1">
        <v>22</v>
      </c>
      <c r="F11" s="1">
        <v>61</v>
      </c>
      <c r="G11" s="7">
        <v>0.3</v>
      </c>
      <c r="H11" s="1">
        <v>120</v>
      </c>
      <c r="I11" s="1" t="s">
        <v>35</v>
      </c>
      <c r="J11" s="1"/>
      <c r="K11" s="1">
        <v>24</v>
      </c>
      <c r="L11" s="1">
        <f t="shared" si="2"/>
        <v>-2</v>
      </c>
      <c r="M11" s="1"/>
      <c r="N11" s="1"/>
      <c r="O11" s="1">
        <v>120</v>
      </c>
      <c r="P11" s="1">
        <f t="shared" si="4"/>
        <v>4.4000000000000004</v>
      </c>
      <c r="Q11" s="5"/>
      <c r="R11" s="1">
        <f t="shared" si="5"/>
        <v>41.136363636363633</v>
      </c>
      <c r="S11" s="1">
        <f t="shared" si="6"/>
        <v>41.136363636363633</v>
      </c>
      <c r="T11" s="1">
        <v>11.4</v>
      </c>
      <c r="U11" s="1">
        <v>3.4</v>
      </c>
      <c r="V11" s="1">
        <v>1.2</v>
      </c>
      <c r="W11" s="1">
        <v>9.6</v>
      </c>
      <c r="X11" s="1">
        <v>3.4</v>
      </c>
      <c r="Y11" s="1">
        <v>3.6</v>
      </c>
      <c r="Z11" s="1">
        <v>9</v>
      </c>
      <c r="AA11" s="1">
        <v>5.8</v>
      </c>
      <c r="AB11" s="1">
        <v>1.4</v>
      </c>
      <c r="AC11" s="1">
        <v>4.4000000000000004</v>
      </c>
      <c r="AD11" s="9" t="s">
        <v>57</v>
      </c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150</v>
      </c>
      <c r="D12" s="1"/>
      <c r="E12" s="1">
        <v>148</v>
      </c>
      <c r="F12" s="1">
        <v>1</v>
      </c>
      <c r="G12" s="7">
        <v>0.35</v>
      </c>
      <c r="H12" s="1">
        <v>120</v>
      </c>
      <c r="I12" s="1" t="s">
        <v>35</v>
      </c>
      <c r="J12" s="1"/>
      <c r="K12" s="1">
        <v>193</v>
      </c>
      <c r="L12" s="1">
        <f t="shared" si="2"/>
        <v>-45</v>
      </c>
      <c r="M12" s="1"/>
      <c r="N12" s="1"/>
      <c r="O12" s="1">
        <v>150</v>
      </c>
      <c r="P12" s="1">
        <f t="shared" si="4"/>
        <v>29.6</v>
      </c>
      <c r="Q12" s="5">
        <v>290</v>
      </c>
      <c r="R12" s="1">
        <f t="shared" si="5"/>
        <v>14.898648648648647</v>
      </c>
      <c r="S12" s="1">
        <f t="shared" si="6"/>
        <v>5.1013513513513509</v>
      </c>
      <c r="T12" s="1">
        <v>16.8</v>
      </c>
      <c r="U12" s="1">
        <v>4</v>
      </c>
      <c r="V12" s="1">
        <v>3</v>
      </c>
      <c r="W12" s="1">
        <v>8.1999999999999993</v>
      </c>
      <c r="X12" s="1">
        <v>11</v>
      </c>
      <c r="Y12" s="1">
        <v>2.6</v>
      </c>
      <c r="Z12" s="1">
        <v>24.6</v>
      </c>
      <c r="AA12" s="1">
        <v>11.8</v>
      </c>
      <c r="AB12" s="1">
        <v>2.4</v>
      </c>
      <c r="AC12" s="1">
        <v>2.6</v>
      </c>
      <c r="AD12" s="1"/>
      <c r="AE12" s="1">
        <f t="shared" si="3"/>
        <v>101.5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26</v>
      </c>
      <c r="D13" s="1">
        <v>2</v>
      </c>
      <c r="E13" s="1">
        <v>19</v>
      </c>
      <c r="F13" s="1">
        <v>6</v>
      </c>
      <c r="G13" s="7">
        <v>0.3</v>
      </c>
      <c r="H13" s="1">
        <v>120</v>
      </c>
      <c r="I13" s="1" t="s">
        <v>35</v>
      </c>
      <c r="J13" s="1"/>
      <c r="K13" s="1">
        <v>21</v>
      </c>
      <c r="L13" s="1">
        <f t="shared" si="2"/>
        <v>-2</v>
      </c>
      <c r="M13" s="1"/>
      <c r="N13" s="1"/>
      <c r="O13" s="1">
        <v>150</v>
      </c>
      <c r="P13" s="1">
        <f t="shared" si="4"/>
        <v>3.8</v>
      </c>
      <c r="Q13" s="5"/>
      <c r="R13" s="1">
        <f t="shared" si="5"/>
        <v>41.05263157894737</v>
      </c>
      <c r="S13" s="1">
        <f t="shared" si="6"/>
        <v>41.05263157894737</v>
      </c>
      <c r="T13" s="1">
        <v>11.6</v>
      </c>
      <c r="U13" s="1">
        <v>0.6</v>
      </c>
      <c r="V13" s="1">
        <v>1</v>
      </c>
      <c r="W13" s="1">
        <v>6</v>
      </c>
      <c r="X13" s="1">
        <v>4.8</v>
      </c>
      <c r="Y13" s="1">
        <v>3</v>
      </c>
      <c r="Z13" s="1">
        <v>6.8</v>
      </c>
      <c r="AA13" s="1">
        <v>5.8</v>
      </c>
      <c r="AB13" s="1">
        <v>3.2</v>
      </c>
      <c r="AC13" s="1">
        <v>3.8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34</v>
      </c>
      <c r="C14" s="1">
        <v>159</v>
      </c>
      <c r="D14" s="1"/>
      <c r="E14" s="1">
        <v>132</v>
      </c>
      <c r="F14" s="1">
        <v>26</v>
      </c>
      <c r="G14" s="7">
        <v>0.35</v>
      </c>
      <c r="H14" s="1">
        <v>120</v>
      </c>
      <c r="I14" s="1" t="s">
        <v>35</v>
      </c>
      <c r="J14" s="1"/>
      <c r="K14" s="1">
        <v>199</v>
      </c>
      <c r="L14" s="1">
        <f t="shared" si="2"/>
        <v>-67</v>
      </c>
      <c r="M14" s="1"/>
      <c r="N14" s="1"/>
      <c r="O14" s="1">
        <v>90</v>
      </c>
      <c r="P14" s="1">
        <f t="shared" si="4"/>
        <v>26.4</v>
      </c>
      <c r="Q14" s="5">
        <v>280</v>
      </c>
      <c r="R14" s="1">
        <f t="shared" si="5"/>
        <v>15</v>
      </c>
      <c r="S14" s="1">
        <f t="shared" si="6"/>
        <v>4.3939393939393945</v>
      </c>
      <c r="T14" s="1">
        <v>17.399999999999999</v>
      </c>
      <c r="U14" s="1">
        <v>4.2</v>
      </c>
      <c r="V14" s="1">
        <v>2.4</v>
      </c>
      <c r="W14" s="1">
        <v>18.8</v>
      </c>
      <c r="X14" s="1">
        <v>13.4</v>
      </c>
      <c r="Y14" s="1">
        <v>5</v>
      </c>
      <c r="Z14" s="1">
        <v>29.2</v>
      </c>
      <c r="AA14" s="1">
        <v>19.600000000000001</v>
      </c>
      <c r="AB14" s="1">
        <v>3.8</v>
      </c>
      <c r="AC14" s="1">
        <v>4.4000000000000004</v>
      </c>
      <c r="AD14" s="1"/>
      <c r="AE14" s="1">
        <f t="shared" si="3"/>
        <v>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>
        <v>99</v>
      </c>
      <c r="D15" s="1">
        <v>32</v>
      </c>
      <c r="E15" s="1">
        <v>9</v>
      </c>
      <c r="F15" s="1">
        <v>77</v>
      </c>
      <c r="G15" s="7">
        <v>0.3</v>
      </c>
      <c r="H15" s="1">
        <v>120</v>
      </c>
      <c r="I15" s="1" t="s">
        <v>35</v>
      </c>
      <c r="J15" s="1"/>
      <c r="K15" s="1">
        <v>63</v>
      </c>
      <c r="L15" s="1">
        <f t="shared" si="2"/>
        <v>-54</v>
      </c>
      <c r="M15" s="1"/>
      <c r="N15" s="1"/>
      <c r="O15" s="1"/>
      <c r="P15" s="1">
        <f t="shared" si="4"/>
        <v>1.8</v>
      </c>
      <c r="Q15" s="5"/>
      <c r="R15" s="1">
        <f t="shared" si="5"/>
        <v>42.777777777777779</v>
      </c>
      <c r="S15" s="1">
        <f t="shared" si="6"/>
        <v>42.777777777777779</v>
      </c>
      <c r="T15" s="1">
        <v>0</v>
      </c>
      <c r="U15" s="1">
        <v>0</v>
      </c>
      <c r="V15" s="1">
        <v>0</v>
      </c>
      <c r="W15" s="1">
        <v>0.2</v>
      </c>
      <c r="X15" s="1">
        <v>0.2</v>
      </c>
      <c r="Y15" s="1">
        <v>0</v>
      </c>
      <c r="Z15" s="1">
        <v>1</v>
      </c>
      <c r="AA15" s="1">
        <v>0.6</v>
      </c>
      <c r="AB15" s="1">
        <v>0.6</v>
      </c>
      <c r="AC15" s="1">
        <v>0.4</v>
      </c>
      <c r="AD15" s="9" t="s">
        <v>57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34</v>
      </c>
      <c r="C16" s="1"/>
      <c r="D16" s="1">
        <v>48</v>
      </c>
      <c r="E16" s="1"/>
      <c r="F16" s="1">
        <v>48</v>
      </c>
      <c r="G16" s="7">
        <v>0.5</v>
      </c>
      <c r="H16" s="1">
        <v>180</v>
      </c>
      <c r="I16" s="1" t="s">
        <v>35</v>
      </c>
      <c r="J16" s="1"/>
      <c r="K16" s="1"/>
      <c r="L16" s="1">
        <f t="shared" si="2"/>
        <v>0</v>
      </c>
      <c r="M16" s="1"/>
      <c r="N16" s="1"/>
      <c r="O16" s="1"/>
      <c r="P16" s="1">
        <f t="shared" si="4"/>
        <v>0</v>
      </c>
      <c r="Q16" s="5"/>
      <c r="R16" s="1" t="e">
        <f t="shared" si="5"/>
        <v>#DIV/0!</v>
      </c>
      <c r="S16" s="1" t="e">
        <f t="shared" si="6"/>
        <v>#DIV/0!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34</v>
      </c>
      <c r="C17" s="1"/>
      <c r="D17" s="1">
        <v>70</v>
      </c>
      <c r="E17" s="1"/>
      <c r="F17" s="1">
        <v>70</v>
      </c>
      <c r="G17" s="7">
        <v>0.42</v>
      </c>
      <c r="H17" s="1">
        <v>120</v>
      </c>
      <c r="I17" s="1" t="s">
        <v>35</v>
      </c>
      <c r="J17" s="1"/>
      <c r="K17" s="1"/>
      <c r="L17" s="1">
        <f t="shared" si="2"/>
        <v>0</v>
      </c>
      <c r="M17" s="1"/>
      <c r="N17" s="1"/>
      <c r="O17" s="1"/>
      <c r="P17" s="1">
        <f t="shared" si="4"/>
        <v>0</v>
      </c>
      <c r="Q17" s="5"/>
      <c r="R17" s="1" t="e">
        <f t="shared" si="5"/>
        <v>#DIV/0!</v>
      </c>
      <c r="S17" s="1" t="e">
        <f t="shared" si="6"/>
        <v>#DIV/0!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  <c r="AE17" s="1">
        <f t="shared" si="3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34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35</v>
      </c>
      <c r="J18" s="1"/>
      <c r="K18" s="1"/>
      <c r="L18" s="1">
        <f t="shared" si="2"/>
        <v>0</v>
      </c>
      <c r="M18" s="1"/>
      <c r="N18" s="1"/>
      <c r="O18" s="1"/>
      <c r="P18" s="1">
        <f t="shared" si="4"/>
        <v>0</v>
      </c>
      <c r="Q18" s="5"/>
      <c r="R18" s="1" t="e">
        <f t="shared" si="5"/>
        <v>#DIV/0!</v>
      </c>
      <c r="S18" s="1" t="e">
        <f t="shared" si="6"/>
        <v>#DIV/0!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 t="shared" si="3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34</v>
      </c>
      <c r="C19" s="1"/>
      <c r="D19" s="1">
        <v>70</v>
      </c>
      <c r="E19" s="1"/>
      <c r="F19" s="1">
        <v>70</v>
      </c>
      <c r="G19" s="7">
        <v>0.42</v>
      </c>
      <c r="H19" s="1">
        <v>180</v>
      </c>
      <c r="I19" s="1" t="s">
        <v>35</v>
      </c>
      <c r="J19" s="1"/>
      <c r="K19" s="1"/>
      <c r="L19" s="1">
        <f t="shared" si="2"/>
        <v>0</v>
      </c>
      <c r="M19" s="1"/>
      <c r="N19" s="1"/>
      <c r="O19" s="1"/>
      <c r="P19" s="1">
        <f t="shared" si="4"/>
        <v>0</v>
      </c>
      <c r="Q19" s="5"/>
      <c r="R19" s="1" t="e">
        <f t="shared" si="5"/>
        <v>#DIV/0!</v>
      </c>
      <c r="S19" s="1" t="e">
        <f t="shared" si="6"/>
        <v>#DIV/0!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3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34</v>
      </c>
      <c r="C20" s="1"/>
      <c r="D20" s="1">
        <v>50</v>
      </c>
      <c r="E20" s="1"/>
      <c r="F20" s="1">
        <v>50</v>
      </c>
      <c r="G20" s="7">
        <v>0.7</v>
      </c>
      <c r="H20" s="1">
        <v>180</v>
      </c>
      <c r="I20" s="1" t="s">
        <v>35</v>
      </c>
      <c r="J20" s="1"/>
      <c r="K20" s="1"/>
      <c r="L20" s="1">
        <f t="shared" si="2"/>
        <v>0</v>
      </c>
      <c r="M20" s="1"/>
      <c r="N20" s="1"/>
      <c r="O20" s="1"/>
      <c r="P20" s="1">
        <f t="shared" si="4"/>
        <v>0</v>
      </c>
      <c r="Q20" s="5"/>
      <c r="R20" s="1" t="e">
        <f t="shared" si="5"/>
        <v>#DIV/0!</v>
      </c>
      <c r="S20" s="1" t="e">
        <f t="shared" si="6"/>
        <v>#DIV/0!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 t="shared" si="3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34</v>
      </c>
      <c r="C21" s="1">
        <v>77</v>
      </c>
      <c r="D21" s="1">
        <v>50</v>
      </c>
      <c r="E21" s="1">
        <v>25</v>
      </c>
      <c r="F21" s="1">
        <v>92</v>
      </c>
      <c r="G21" s="7">
        <v>0.7</v>
      </c>
      <c r="H21" s="1">
        <v>180</v>
      </c>
      <c r="I21" s="1" t="s">
        <v>35</v>
      </c>
      <c r="J21" s="1"/>
      <c r="K21" s="1">
        <v>25</v>
      </c>
      <c r="L21" s="1">
        <f t="shared" si="2"/>
        <v>0</v>
      </c>
      <c r="M21" s="1"/>
      <c r="N21" s="1"/>
      <c r="O21" s="1">
        <v>100</v>
      </c>
      <c r="P21" s="1">
        <f t="shared" si="4"/>
        <v>5</v>
      </c>
      <c r="Q21" s="5"/>
      <c r="R21" s="1">
        <f t="shared" si="5"/>
        <v>38.4</v>
      </c>
      <c r="S21" s="1">
        <f t="shared" si="6"/>
        <v>38.4</v>
      </c>
      <c r="T21" s="1">
        <v>13</v>
      </c>
      <c r="U21" s="1">
        <v>1</v>
      </c>
      <c r="V21" s="1">
        <v>5</v>
      </c>
      <c r="W21" s="1">
        <v>8.6</v>
      </c>
      <c r="X21" s="1">
        <v>10.4</v>
      </c>
      <c r="Y21" s="1">
        <v>4</v>
      </c>
      <c r="Z21" s="1">
        <v>5.8</v>
      </c>
      <c r="AA21" s="1">
        <v>1.2</v>
      </c>
      <c r="AB21" s="1">
        <v>2.4</v>
      </c>
      <c r="AC21" s="1">
        <v>1</v>
      </c>
      <c r="AD21" s="9" t="s">
        <v>57</v>
      </c>
      <c r="AE21" s="1">
        <f t="shared" si="3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34</v>
      </c>
      <c r="C22" s="1"/>
      <c r="D22" s="1">
        <v>64</v>
      </c>
      <c r="E22" s="1"/>
      <c r="F22" s="1">
        <v>64</v>
      </c>
      <c r="G22" s="7">
        <v>0.4</v>
      </c>
      <c r="H22" s="1">
        <v>180</v>
      </c>
      <c r="I22" s="1" t="s">
        <v>35</v>
      </c>
      <c r="J22" s="1"/>
      <c r="K22" s="1"/>
      <c r="L22" s="1">
        <f t="shared" si="2"/>
        <v>0</v>
      </c>
      <c r="M22" s="1"/>
      <c r="N22" s="1"/>
      <c r="O22" s="1"/>
      <c r="P22" s="1">
        <f t="shared" si="4"/>
        <v>0</v>
      </c>
      <c r="Q22" s="5"/>
      <c r="R22" s="1" t="e">
        <f t="shared" si="5"/>
        <v>#DIV/0!</v>
      </c>
      <c r="S22" s="1" t="e">
        <f t="shared" si="6"/>
        <v>#DIV/0!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 t="shared" si="3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38</v>
      </c>
      <c r="C23" s="1"/>
      <c r="D23" s="1">
        <v>40.353999999999999</v>
      </c>
      <c r="E23" s="1"/>
      <c r="F23" s="1">
        <v>40.353999999999999</v>
      </c>
      <c r="G23" s="7">
        <v>1</v>
      </c>
      <c r="H23" s="1">
        <v>180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/>
      <c r="P23" s="1">
        <f t="shared" si="4"/>
        <v>0</v>
      </c>
      <c r="Q23" s="5"/>
      <c r="R23" s="1" t="e">
        <f t="shared" si="5"/>
        <v>#DIV/0!</v>
      </c>
      <c r="S23" s="1" t="e">
        <f t="shared" si="6"/>
        <v>#DIV/0!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 t="shared" si="3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2026-10-19T17:10:15Z</dcterms:created>
  <dcterms:modified xsi:type="dcterms:W3CDTF">2026-10-21T12:22:12Z</dcterms:modified>
</cp:coreProperties>
</file>