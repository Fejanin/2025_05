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EBA96BE-9310-4B18-8401-789F9D7CEC6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21" i="1" l="1"/>
  <c r="AF20" i="1"/>
  <c r="AF19" i="1"/>
  <c r="AF18" i="1"/>
  <c r="AF17" i="1"/>
  <c r="AF15" i="1"/>
  <c r="AF14" i="1"/>
  <c r="AF12" i="1"/>
  <c r="AF11" i="1"/>
  <c r="AF9" i="1"/>
  <c r="AF8" i="1"/>
  <c r="P7" i="1" l="1"/>
  <c r="T7" i="1" s="1"/>
  <c r="P8" i="1"/>
  <c r="Q8" i="1" s="1"/>
  <c r="P9" i="1"/>
  <c r="Q9" i="1" s="1"/>
  <c r="P10" i="1"/>
  <c r="T10" i="1" s="1"/>
  <c r="P11" i="1"/>
  <c r="P12" i="1"/>
  <c r="Q12" i="1" s="1"/>
  <c r="P13" i="1"/>
  <c r="P14" i="1"/>
  <c r="P15" i="1"/>
  <c r="Q15" i="1" s="1"/>
  <c r="P16" i="1"/>
  <c r="P17" i="1"/>
  <c r="P18" i="1"/>
  <c r="Q18" i="1" s="1"/>
  <c r="P19" i="1"/>
  <c r="T19" i="1" s="1"/>
  <c r="P20" i="1"/>
  <c r="T20" i="1" s="1"/>
  <c r="P21" i="1"/>
  <c r="S21" i="1" s="1"/>
  <c r="P22" i="1"/>
  <c r="T22" i="1" s="1"/>
  <c r="P23" i="1"/>
  <c r="T23" i="1" s="1"/>
  <c r="P6" i="1"/>
  <c r="S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Q11" i="1" l="1"/>
  <c r="T6" i="1"/>
  <c r="T21" i="1"/>
  <c r="S23" i="1"/>
  <c r="Q20" i="1"/>
  <c r="S20" i="1" s="1"/>
  <c r="S9" i="1"/>
  <c r="T9" i="1"/>
  <c r="Q10" i="1"/>
  <c r="S10" i="1" s="1"/>
  <c r="AF13" i="1"/>
  <c r="S13" i="1"/>
  <c r="S12" i="1"/>
  <c r="AF7" i="1"/>
  <c r="S7" i="1"/>
  <c r="S17" i="1"/>
  <c r="S16" i="1"/>
  <c r="AF16" i="1"/>
  <c r="S18" i="1"/>
  <c r="S8" i="1"/>
  <c r="S15" i="1"/>
  <c r="S14" i="1"/>
  <c r="T18" i="1"/>
  <c r="T17" i="1"/>
  <c r="T16" i="1"/>
  <c r="T15" i="1"/>
  <c r="T14" i="1"/>
  <c r="T13" i="1"/>
  <c r="T12" i="1"/>
  <c r="T11" i="1"/>
  <c r="P5" i="1"/>
  <c r="T8" i="1"/>
  <c r="AF23" i="1"/>
  <c r="S19" i="1"/>
  <c r="L5" i="1"/>
  <c r="S11" i="1" l="1"/>
  <c r="AF10" i="1"/>
  <c r="Q5" i="1"/>
  <c r="S22" i="1"/>
  <c r="AF22" i="1"/>
  <c r="AF5" i="1" l="1"/>
</calcChain>
</file>

<file path=xl/sharedStrings.xml><?xml version="1.0" encoding="utf-8"?>
<sst xmlns="http://schemas.openxmlformats.org/spreadsheetml/2006/main" count="105" uniqueCount="59">
  <si>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</si>
  <si>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</si>
  <si>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</si>
  <si>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</si>
  <si>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</si>
  <si>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</si>
  <si>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</si>
  <si>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</si>
  <si>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</si>
  <si>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</si>
  <si>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</si>
  <si>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</si>
  <si>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</si>
  <si>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</si>
  <si>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</si>
  <si>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</si>
  <si>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</si>
  <si>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</si>
  <si>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</si>
  <si>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</si>
  <si>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</si>
  <si>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</si>
  <si>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</si>
  <si>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</si>
  <si>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</si>
  <si>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</si>
  <si>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</si>
  <si>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</si>
  <si>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</si>
  <si>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</si>
  <si>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</si>
  <si>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</si>
  <si>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</si>
  <si>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</si>
  <si>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</si>
  <si>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</si>
  <si>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05,10,26 - завод не отгрузил / 76шт списано (12,09,26 инвенторизация)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</si>
  <si>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</si>
  <si>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</si>
  <si>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</si>
  <si>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</si>
  <si>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</si>
  <si>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</si>
  <si>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</si>
  <si>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нужно увеличить продажи!!!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</si>
  <si>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</si>
  <si>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</si>
  <si>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</si>
  <si>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</si>
  <si>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</si>
  <si>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</si>
  <si>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</si>
  <si>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</si>
  <si>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</si>
  <si>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</si>
  <si>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</si>
  <si>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</si>
  <si>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184кг в уценку (29,09,26)</t>
    </r>
  </si>
  <si>
    <t>54шт списано (24,10,26)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</si>
</sst>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3" customWidth="1"/>
    <col min="19" max="20" width="5" customWidth="1"/>
    <col min="21" max="30" width="6" customWidth="1"/>
    <col min="31" max="31" width="46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564.202</v>
      </c>
      <c r="F5" s="4">
        <f>SUM(F6:F499)</f>
        <v>701.67200000000003</v>
      </c>
      <c r="G5" s="7"/>
      <c r="H5" s="1"/>
      <c r="I5" s="1"/>
      <c r="J5" s="1"/>
      <c r="K5" s="4">
        <f t="shared" ref="K5:R5" si="0">SUM(K6:K499)</f>
        <v>995</v>
      </c>
      <c r="L5" s="4">
        <f t="shared" si="0"/>
        <v>-430.798</v>
      </c>
      <c r="M5" s="4">
        <f t="shared" si="0"/>
        <v>0</v>
      </c>
      <c r="N5" s="4">
        <f t="shared" si="0"/>
        <v>0</v>
      </c>
      <c r="O5" s="4">
        <f t="shared" si="0"/>
        <v>890</v>
      </c>
      <c r="P5" s="4">
        <f t="shared" si="0"/>
        <v>112.8404</v>
      </c>
      <c r="Q5" s="4">
        <f t="shared" si="0"/>
        <v>383.81280000000004</v>
      </c>
      <c r="R5" s="4">
        <f t="shared" si="0"/>
        <v>830</v>
      </c>
      <c r="S5" s="1"/>
      <c r="T5" s="1"/>
      <c r="U5" s="4">
        <f t="shared" ref="U5:AD5" si="1">SUM(U6:U499)</f>
        <v>102.99999999999999</v>
      </c>
      <c r="V5" s="4">
        <f t="shared" si="1"/>
        <v>91.4</v>
      </c>
      <c r="W5" s="4">
        <f t="shared" si="1"/>
        <v>16.824400000000001</v>
      </c>
      <c r="X5" s="4">
        <f t="shared" si="1"/>
        <v>14.9</v>
      </c>
      <c r="Y5" s="4">
        <f t="shared" si="1"/>
        <v>67.129599999999996</v>
      </c>
      <c r="Z5" s="4">
        <f t="shared" si="1"/>
        <v>51.828400000000002</v>
      </c>
      <c r="AA5" s="4">
        <f t="shared" si="1"/>
        <v>21.6</v>
      </c>
      <c r="AB5" s="4">
        <f t="shared" si="1"/>
        <v>100.2</v>
      </c>
      <c r="AC5" s="4">
        <f t="shared" si="1"/>
        <v>57.6</v>
      </c>
      <c r="AD5" s="4">
        <f t="shared" si="1"/>
        <v>15.600000000000001</v>
      </c>
      <c r="AE5" s="1"/>
      <c r="AF5" s="4">
        <f>SUM(AF6:AF499)</f>
        <v>388.6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-2</v>
      </c>
      <c r="D6" s="1">
        <v>73</v>
      </c>
      <c r="E6" s="1"/>
      <c r="F6" s="1">
        <v>70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2"/>
      <c r="S6" s="1" t="e">
        <f>(F6+O6+Q6)/P6</f>
        <v>#DIV/0!</v>
      </c>
      <c r="T6" s="1" t="e">
        <f>(F6+O6)/P6</f>
        <v>#DIV/0!</v>
      </c>
      <c r="U6" s="1">
        <v>2</v>
      </c>
      <c r="V6" s="1">
        <v>2.4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2.2000000000000002</v>
      </c>
      <c r="AC6" s="1">
        <v>0.6</v>
      </c>
      <c r="AD6" s="1">
        <v>0.6</v>
      </c>
      <c r="AE6" s="1" t="s">
        <v>36</v>
      </c>
      <c r="AF6" s="1">
        <f t="shared" ref="AF6:AF23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13.667999999999999</v>
      </c>
      <c r="D7" s="1">
        <v>13.778</v>
      </c>
      <c r="E7" s="1"/>
      <c r="F7" s="1">
        <v>17.8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23" si="4">E7/5</f>
        <v>0</v>
      </c>
      <c r="Q7" s="5"/>
      <c r="R7" s="12"/>
      <c r="S7" s="1" t="e">
        <f t="shared" ref="S7:S23" si="5">(F7+O7+Q7)/P7</f>
        <v>#DIV/0!</v>
      </c>
      <c r="T7" s="1" t="e">
        <f t="shared" ref="T7:T23" si="6">(F7+O7)/P7</f>
        <v>#DIV/0!</v>
      </c>
      <c r="U7" s="1">
        <v>0</v>
      </c>
      <c r="V7" s="1">
        <v>0</v>
      </c>
      <c r="W7" s="1">
        <v>0.91839999999999988</v>
      </c>
      <c r="X7" s="1">
        <v>0</v>
      </c>
      <c r="Y7" s="1">
        <v>0.91799999999999993</v>
      </c>
      <c r="Z7" s="1">
        <v>0.91679999999999995</v>
      </c>
      <c r="AA7" s="1">
        <v>0</v>
      </c>
      <c r="AB7" s="1">
        <v>0</v>
      </c>
      <c r="AC7" s="1">
        <v>0</v>
      </c>
      <c r="AD7" s="1">
        <v>0</v>
      </c>
      <c r="AE7" s="10" t="s">
        <v>57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13.773999999999999</v>
      </c>
      <c r="D8" s="1">
        <v>10.256</v>
      </c>
      <c r="E8" s="1">
        <v>9.202</v>
      </c>
      <c r="F8" s="1">
        <v>7.8719999999999999</v>
      </c>
      <c r="G8" s="7">
        <v>1</v>
      </c>
      <c r="H8" s="1">
        <v>120</v>
      </c>
      <c r="I8" s="1" t="s">
        <v>35</v>
      </c>
      <c r="J8" s="1"/>
      <c r="K8" s="1">
        <v>18</v>
      </c>
      <c r="L8" s="1">
        <f t="shared" si="2"/>
        <v>-8.798</v>
      </c>
      <c r="M8" s="1"/>
      <c r="N8" s="1"/>
      <c r="O8" s="1"/>
      <c r="P8" s="1">
        <f t="shared" si="4"/>
        <v>1.8404</v>
      </c>
      <c r="Q8" s="5">
        <f>12*P8-O8-F8</f>
        <v>14.212800000000001</v>
      </c>
      <c r="R8" s="12">
        <v>40</v>
      </c>
      <c r="S8" s="1">
        <f t="shared" si="5"/>
        <v>12</v>
      </c>
      <c r="T8" s="1">
        <f t="shared" si="6"/>
        <v>4.2773310149967401</v>
      </c>
      <c r="U8" s="1">
        <v>0</v>
      </c>
      <c r="V8" s="1">
        <v>0</v>
      </c>
      <c r="W8" s="1">
        <v>0.90600000000000003</v>
      </c>
      <c r="X8" s="1">
        <v>0.9</v>
      </c>
      <c r="Y8" s="1">
        <v>1.8116000000000001</v>
      </c>
      <c r="Z8" s="1">
        <v>0.91159999999999997</v>
      </c>
      <c r="AA8" s="1">
        <v>0</v>
      </c>
      <c r="AB8" s="1">
        <v>0</v>
      </c>
      <c r="AC8" s="1">
        <v>0</v>
      </c>
      <c r="AD8" s="1">
        <v>0</v>
      </c>
      <c r="AE8" s="1" t="s">
        <v>40</v>
      </c>
      <c r="AF8" s="1">
        <f>G8*R8</f>
        <v>40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34</v>
      </c>
      <c r="C9" s="1">
        <v>27</v>
      </c>
      <c r="D9" s="1">
        <v>41</v>
      </c>
      <c r="E9" s="1">
        <v>25</v>
      </c>
      <c r="F9" s="1">
        <v>42</v>
      </c>
      <c r="G9" s="7">
        <v>0.42</v>
      </c>
      <c r="H9" s="1">
        <v>120</v>
      </c>
      <c r="I9" s="1" t="s">
        <v>35</v>
      </c>
      <c r="J9" s="1"/>
      <c r="K9" s="1">
        <v>25</v>
      </c>
      <c r="L9" s="1">
        <f t="shared" si="2"/>
        <v>0</v>
      </c>
      <c r="M9" s="1"/>
      <c r="N9" s="1"/>
      <c r="O9" s="1"/>
      <c r="P9" s="1">
        <f t="shared" si="4"/>
        <v>5</v>
      </c>
      <c r="Q9" s="5">
        <f t="shared" ref="Q9:Q20" si="7">14*P9-O9-F9</f>
        <v>28</v>
      </c>
      <c r="R9" s="12">
        <v>50</v>
      </c>
      <c r="S9" s="1">
        <f t="shared" si="5"/>
        <v>14</v>
      </c>
      <c r="T9" s="1">
        <f t="shared" si="6"/>
        <v>8.4</v>
      </c>
      <c r="U9" s="1">
        <v>0.6</v>
      </c>
      <c r="V9" s="1">
        <v>4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>G9*R9</f>
        <v>21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-20</v>
      </c>
      <c r="D10" s="1">
        <v>166</v>
      </c>
      <c r="E10" s="1">
        <v>145</v>
      </c>
      <c r="F10" s="1"/>
      <c r="G10" s="7">
        <v>0.3</v>
      </c>
      <c r="H10" s="1">
        <v>120</v>
      </c>
      <c r="I10" s="1" t="s">
        <v>35</v>
      </c>
      <c r="J10" s="1"/>
      <c r="K10" s="1">
        <v>289</v>
      </c>
      <c r="L10" s="1">
        <f t="shared" si="2"/>
        <v>-144</v>
      </c>
      <c r="M10" s="1"/>
      <c r="N10" s="1"/>
      <c r="O10" s="1">
        <v>320</v>
      </c>
      <c r="P10" s="1">
        <f t="shared" si="4"/>
        <v>29</v>
      </c>
      <c r="Q10" s="5">
        <f t="shared" si="7"/>
        <v>86</v>
      </c>
      <c r="R10" s="12"/>
      <c r="S10" s="1">
        <f t="shared" si="5"/>
        <v>14</v>
      </c>
      <c r="T10" s="1">
        <f t="shared" si="6"/>
        <v>11.03448275862069</v>
      </c>
      <c r="U10" s="1">
        <v>29.4</v>
      </c>
      <c r="V10" s="1">
        <v>14.8</v>
      </c>
      <c r="W10" s="1">
        <v>1.8</v>
      </c>
      <c r="X10" s="1">
        <v>1.4</v>
      </c>
      <c r="Y10" s="1">
        <v>13</v>
      </c>
      <c r="Z10" s="1">
        <v>5.8</v>
      </c>
      <c r="AA10" s="1">
        <v>3.4</v>
      </c>
      <c r="AB10" s="1">
        <v>21.6</v>
      </c>
      <c r="AC10" s="1">
        <v>12.2</v>
      </c>
      <c r="AD10" s="1">
        <v>1.2</v>
      </c>
      <c r="AE10" s="1"/>
      <c r="AF10" s="1">
        <f t="shared" si="3"/>
        <v>25.8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67</v>
      </c>
      <c r="D11" s="1">
        <v>4</v>
      </c>
      <c r="E11" s="1">
        <v>47</v>
      </c>
      <c r="F11" s="1">
        <v>8</v>
      </c>
      <c r="G11" s="7">
        <v>0.3</v>
      </c>
      <c r="H11" s="1">
        <v>120</v>
      </c>
      <c r="I11" s="1" t="s">
        <v>35</v>
      </c>
      <c r="J11" s="1"/>
      <c r="K11" s="1">
        <v>68</v>
      </c>
      <c r="L11" s="1">
        <f t="shared" si="2"/>
        <v>-21</v>
      </c>
      <c r="M11" s="1"/>
      <c r="N11" s="1"/>
      <c r="O11" s="1"/>
      <c r="P11" s="1">
        <f t="shared" si="4"/>
        <v>9.4</v>
      </c>
      <c r="Q11" s="5">
        <f>9*P11-O11-F11</f>
        <v>76.600000000000009</v>
      </c>
      <c r="R11" s="12">
        <v>150</v>
      </c>
      <c r="S11" s="1">
        <f t="shared" si="5"/>
        <v>9</v>
      </c>
      <c r="T11" s="1">
        <f t="shared" si="6"/>
        <v>0.85106382978723405</v>
      </c>
      <c r="U11" s="1">
        <v>4.4000000000000004</v>
      </c>
      <c r="V11" s="1">
        <v>11.4</v>
      </c>
      <c r="W11" s="1">
        <v>3.4</v>
      </c>
      <c r="X11" s="1">
        <v>1.2</v>
      </c>
      <c r="Y11" s="1">
        <v>9.6</v>
      </c>
      <c r="Z11" s="1">
        <v>3.4</v>
      </c>
      <c r="AA11" s="1">
        <v>3.6</v>
      </c>
      <c r="AB11" s="1">
        <v>9</v>
      </c>
      <c r="AC11" s="1">
        <v>5.8</v>
      </c>
      <c r="AD11" s="1">
        <v>1.4</v>
      </c>
      <c r="AE11" s="1"/>
      <c r="AF11" s="1">
        <f t="shared" ref="AF11:AF12" si="8">G11*R11</f>
        <v>45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34</v>
      </c>
      <c r="C12" s="1">
        <v>2</v>
      </c>
      <c r="D12" s="1">
        <v>164</v>
      </c>
      <c r="E12" s="1">
        <v>114</v>
      </c>
      <c r="F12" s="1">
        <v>15</v>
      </c>
      <c r="G12" s="7">
        <v>0.35</v>
      </c>
      <c r="H12" s="1">
        <v>120</v>
      </c>
      <c r="I12" s="1" t="s">
        <v>35</v>
      </c>
      <c r="J12" s="1"/>
      <c r="K12" s="1">
        <v>174</v>
      </c>
      <c r="L12" s="1">
        <f t="shared" si="2"/>
        <v>-60</v>
      </c>
      <c r="M12" s="1"/>
      <c r="N12" s="1"/>
      <c r="O12" s="1">
        <v>290</v>
      </c>
      <c r="P12" s="1">
        <f t="shared" si="4"/>
        <v>22.8</v>
      </c>
      <c r="Q12" s="5">
        <f t="shared" si="7"/>
        <v>14.199999999999989</v>
      </c>
      <c r="R12" s="12">
        <v>60</v>
      </c>
      <c r="S12" s="1">
        <f t="shared" si="5"/>
        <v>13.999999999999998</v>
      </c>
      <c r="T12" s="1">
        <f t="shared" si="6"/>
        <v>13.37719298245614</v>
      </c>
      <c r="U12" s="1">
        <v>29.6</v>
      </c>
      <c r="V12" s="1">
        <v>16.8</v>
      </c>
      <c r="W12" s="1">
        <v>4</v>
      </c>
      <c r="X12" s="1">
        <v>3</v>
      </c>
      <c r="Y12" s="1">
        <v>8.1999999999999993</v>
      </c>
      <c r="Z12" s="1">
        <v>11</v>
      </c>
      <c r="AA12" s="1">
        <v>2.6</v>
      </c>
      <c r="AB12" s="1">
        <v>24.6</v>
      </c>
      <c r="AC12" s="1">
        <v>11.8</v>
      </c>
      <c r="AD12" s="1">
        <v>2.4</v>
      </c>
      <c r="AE12" s="1"/>
      <c r="AF12" s="1">
        <f t="shared" si="8"/>
        <v>21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7</v>
      </c>
      <c r="D13" s="1">
        <v>151</v>
      </c>
      <c r="E13" s="1">
        <v>12</v>
      </c>
      <c r="F13" s="1">
        <v>105</v>
      </c>
      <c r="G13" s="7">
        <v>0.3</v>
      </c>
      <c r="H13" s="1">
        <v>120</v>
      </c>
      <c r="I13" s="1" t="s">
        <v>35</v>
      </c>
      <c r="J13" s="1"/>
      <c r="K13" s="1">
        <v>61</v>
      </c>
      <c r="L13" s="1">
        <f t="shared" si="2"/>
        <v>-49</v>
      </c>
      <c r="M13" s="1"/>
      <c r="N13" s="1"/>
      <c r="O13" s="1"/>
      <c r="P13" s="1">
        <f t="shared" si="4"/>
        <v>2.4</v>
      </c>
      <c r="Q13" s="5"/>
      <c r="R13" s="12"/>
      <c r="S13" s="1">
        <f t="shared" si="5"/>
        <v>43.75</v>
      </c>
      <c r="T13" s="1">
        <f t="shared" si="6"/>
        <v>43.75</v>
      </c>
      <c r="U13" s="1">
        <v>3.8</v>
      </c>
      <c r="V13" s="1">
        <v>11.6</v>
      </c>
      <c r="W13" s="1">
        <v>0.6</v>
      </c>
      <c r="X13" s="1">
        <v>1</v>
      </c>
      <c r="Y13" s="1">
        <v>6</v>
      </c>
      <c r="Z13" s="1">
        <v>4.8</v>
      </c>
      <c r="AA13" s="1">
        <v>3</v>
      </c>
      <c r="AB13" s="1">
        <v>6.8</v>
      </c>
      <c r="AC13" s="1">
        <v>5.8</v>
      </c>
      <c r="AD13" s="1">
        <v>3.2</v>
      </c>
      <c r="AE13" s="1"/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27</v>
      </c>
      <c r="D14" s="1">
        <v>106</v>
      </c>
      <c r="E14" s="1">
        <v>84</v>
      </c>
      <c r="F14" s="1"/>
      <c r="G14" s="7">
        <v>0.35</v>
      </c>
      <c r="H14" s="1">
        <v>120</v>
      </c>
      <c r="I14" s="1" t="s">
        <v>35</v>
      </c>
      <c r="J14" s="1"/>
      <c r="K14" s="1">
        <v>217</v>
      </c>
      <c r="L14" s="1">
        <f t="shared" si="2"/>
        <v>-133</v>
      </c>
      <c r="M14" s="1"/>
      <c r="N14" s="1"/>
      <c r="O14" s="1">
        <v>280</v>
      </c>
      <c r="P14" s="1">
        <f t="shared" si="4"/>
        <v>16.8</v>
      </c>
      <c r="Q14" s="5">
        <v>100</v>
      </c>
      <c r="R14" s="12">
        <v>200</v>
      </c>
      <c r="S14" s="1">
        <f t="shared" si="5"/>
        <v>22.619047619047617</v>
      </c>
      <c r="T14" s="1">
        <f t="shared" si="6"/>
        <v>16.666666666666664</v>
      </c>
      <c r="U14" s="1">
        <v>26.4</v>
      </c>
      <c r="V14" s="1">
        <v>17.399999999999999</v>
      </c>
      <c r="W14" s="1">
        <v>4.2</v>
      </c>
      <c r="X14" s="1">
        <v>2.4</v>
      </c>
      <c r="Y14" s="1">
        <v>18.8</v>
      </c>
      <c r="Z14" s="1">
        <v>13.4</v>
      </c>
      <c r="AA14" s="1">
        <v>5</v>
      </c>
      <c r="AB14" s="1">
        <v>29.2</v>
      </c>
      <c r="AC14" s="1">
        <v>19.600000000000001</v>
      </c>
      <c r="AD14" s="1">
        <v>3.8</v>
      </c>
      <c r="AE14" s="1"/>
      <c r="AF14" s="1">
        <f t="shared" ref="AF14:AF15" si="9">G14*R14</f>
        <v>70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82</v>
      </c>
      <c r="D15" s="1"/>
      <c r="E15" s="1">
        <v>28</v>
      </c>
      <c r="F15" s="1"/>
      <c r="G15" s="7">
        <v>0.3</v>
      </c>
      <c r="H15" s="1">
        <v>120</v>
      </c>
      <c r="I15" s="1" t="s">
        <v>35</v>
      </c>
      <c r="J15" s="1"/>
      <c r="K15" s="1">
        <v>28</v>
      </c>
      <c r="L15" s="1">
        <f t="shared" si="2"/>
        <v>0</v>
      </c>
      <c r="M15" s="1"/>
      <c r="N15" s="1"/>
      <c r="O15" s="1"/>
      <c r="P15" s="1">
        <f t="shared" si="4"/>
        <v>5.6</v>
      </c>
      <c r="Q15" s="5">
        <f>8*P15-O15-F15</f>
        <v>44.8</v>
      </c>
      <c r="R15" s="12">
        <v>100</v>
      </c>
      <c r="S15" s="1">
        <f t="shared" si="5"/>
        <v>8</v>
      </c>
      <c r="T15" s="1">
        <f t="shared" si="6"/>
        <v>0</v>
      </c>
      <c r="U15" s="1">
        <v>1.8</v>
      </c>
      <c r="V15" s="1">
        <v>0</v>
      </c>
      <c r="W15" s="1">
        <v>0</v>
      </c>
      <c r="X15" s="1">
        <v>0</v>
      </c>
      <c r="Y15" s="1">
        <v>0.2</v>
      </c>
      <c r="Z15" s="1">
        <v>0.2</v>
      </c>
      <c r="AA15" s="1">
        <v>0</v>
      </c>
      <c r="AB15" s="1">
        <v>1</v>
      </c>
      <c r="AC15" s="1">
        <v>0.6</v>
      </c>
      <c r="AD15" s="1">
        <v>0.6</v>
      </c>
      <c r="AE15" s="9" t="s">
        <v>58</v>
      </c>
      <c r="AF15" s="1">
        <f t="shared" si="9"/>
        <v>30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48</v>
      </c>
      <c r="D16" s="1"/>
      <c r="E16" s="1">
        <v>10</v>
      </c>
      <c r="F16" s="1">
        <v>38</v>
      </c>
      <c r="G16" s="7">
        <v>0.5</v>
      </c>
      <c r="H16" s="1">
        <v>180</v>
      </c>
      <c r="I16" s="1" t="s">
        <v>35</v>
      </c>
      <c r="J16" s="1"/>
      <c r="K16" s="1">
        <v>10</v>
      </c>
      <c r="L16" s="1">
        <f t="shared" si="2"/>
        <v>0</v>
      </c>
      <c r="M16" s="1"/>
      <c r="N16" s="1"/>
      <c r="O16" s="1"/>
      <c r="P16" s="1">
        <f t="shared" si="4"/>
        <v>2</v>
      </c>
      <c r="Q16" s="5"/>
      <c r="R16" s="12"/>
      <c r="S16" s="1">
        <f t="shared" si="5"/>
        <v>19</v>
      </c>
      <c r="T16" s="1">
        <f t="shared" si="6"/>
        <v>19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70</v>
      </c>
      <c r="D17" s="1"/>
      <c r="E17" s="1">
        <v>11</v>
      </c>
      <c r="F17" s="1">
        <v>58</v>
      </c>
      <c r="G17" s="7">
        <v>0.42</v>
      </c>
      <c r="H17" s="1">
        <v>120</v>
      </c>
      <c r="I17" s="1" t="s">
        <v>35</v>
      </c>
      <c r="J17" s="1"/>
      <c r="K17" s="1">
        <v>11</v>
      </c>
      <c r="L17" s="1">
        <f t="shared" si="2"/>
        <v>0</v>
      </c>
      <c r="M17" s="1"/>
      <c r="N17" s="1"/>
      <c r="O17" s="1"/>
      <c r="P17" s="1">
        <f t="shared" si="4"/>
        <v>2.2000000000000002</v>
      </c>
      <c r="Q17" s="5"/>
      <c r="R17" s="12">
        <v>50</v>
      </c>
      <c r="S17" s="1">
        <f t="shared" si="5"/>
        <v>26.36363636363636</v>
      </c>
      <c r="T17" s="1">
        <f t="shared" si="6"/>
        <v>26.36363636363636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1" t="s">
        <v>44</v>
      </c>
      <c r="AF17" s="1">
        <f t="shared" ref="AF17:AF21" si="10">G17*R17</f>
        <v>21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20</v>
      </c>
      <c r="D18" s="1"/>
      <c r="E18" s="1">
        <v>6</v>
      </c>
      <c r="F18" s="1">
        <v>4</v>
      </c>
      <c r="G18" s="7">
        <v>0.7</v>
      </c>
      <c r="H18" s="1">
        <v>180</v>
      </c>
      <c r="I18" s="1" t="s">
        <v>35</v>
      </c>
      <c r="J18" s="1"/>
      <c r="K18" s="1">
        <v>6</v>
      </c>
      <c r="L18" s="1">
        <f t="shared" si="2"/>
        <v>0</v>
      </c>
      <c r="M18" s="1"/>
      <c r="N18" s="1"/>
      <c r="O18" s="1"/>
      <c r="P18" s="1">
        <f t="shared" si="4"/>
        <v>1.2</v>
      </c>
      <c r="Q18" s="5">
        <f>11*P18-O18-F18</f>
        <v>9.1999999999999993</v>
      </c>
      <c r="R18" s="12">
        <v>40</v>
      </c>
      <c r="S18" s="1">
        <f t="shared" si="5"/>
        <v>11</v>
      </c>
      <c r="T18" s="1">
        <f t="shared" si="6"/>
        <v>3.3333333333333335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f t="shared" si="10"/>
        <v>28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70</v>
      </c>
      <c r="D19" s="1"/>
      <c r="E19" s="1">
        <v>8</v>
      </c>
      <c r="F19" s="1">
        <v>62</v>
      </c>
      <c r="G19" s="7">
        <v>0.42</v>
      </c>
      <c r="H19" s="1">
        <v>180</v>
      </c>
      <c r="I19" s="1" t="s">
        <v>35</v>
      </c>
      <c r="J19" s="1"/>
      <c r="K19" s="1">
        <v>8</v>
      </c>
      <c r="L19" s="1">
        <f t="shared" si="2"/>
        <v>0</v>
      </c>
      <c r="M19" s="1"/>
      <c r="N19" s="1"/>
      <c r="O19" s="1"/>
      <c r="P19" s="1">
        <f t="shared" si="4"/>
        <v>1.6</v>
      </c>
      <c r="Q19" s="5"/>
      <c r="R19" s="12">
        <v>40</v>
      </c>
      <c r="S19" s="1">
        <f t="shared" si="5"/>
        <v>38.75</v>
      </c>
      <c r="T19" s="1">
        <f t="shared" si="6"/>
        <v>38.75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1" t="s">
        <v>44</v>
      </c>
      <c r="AF19" s="1">
        <f t="shared" si="10"/>
        <v>16.8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50</v>
      </c>
      <c r="D20" s="1"/>
      <c r="E20" s="1">
        <v>11</v>
      </c>
      <c r="F20" s="1">
        <v>20</v>
      </c>
      <c r="G20" s="7">
        <v>0.7</v>
      </c>
      <c r="H20" s="1">
        <v>180</v>
      </c>
      <c r="I20" s="1" t="s">
        <v>35</v>
      </c>
      <c r="J20" s="1"/>
      <c r="K20" s="1">
        <v>11</v>
      </c>
      <c r="L20" s="1">
        <f t="shared" si="2"/>
        <v>0</v>
      </c>
      <c r="M20" s="1"/>
      <c r="N20" s="1"/>
      <c r="O20" s="1"/>
      <c r="P20" s="1">
        <f t="shared" si="4"/>
        <v>2.2000000000000002</v>
      </c>
      <c r="Q20" s="5">
        <f t="shared" si="7"/>
        <v>10.800000000000004</v>
      </c>
      <c r="R20" s="12">
        <v>50</v>
      </c>
      <c r="S20" s="1">
        <f t="shared" si="5"/>
        <v>14</v>
      </c>
      <c r="T20" s="1">
        <f t="shared" si="6"/>
        <v>9.0909090909090899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 t="shared" si="10"/>
        <v>35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34</v>
      </c>
      <c r="C21" s="1">
        <v>102</v>
      </c>
      <c r="D21" s="1">
        <v>119</v>
      </c>
      <c r="E21" s="1">
        <v>36</v>
      </c>
      <c r="F21" s="1">
        <v>165</v>
      </c>
      <c r="G21" s="7">
        <v>0.7</v>
      </c>
      <c r="H21" s="1">
        <v>180</v>
      </c>
      <c r="I21" s="1" t="s">
        <v>35</v>
      </c>
      <c r="J21" s="1"/>
      <c r="K21" s="1">
        <v>46</v>
      </c>
      <c r="L21" s="1">
        <f t="shared" si="2"/>
        <v>-10</v>
      </c>
      <c r="M21" s="1"/>
      <c r="N21" s="1"/>
      <c r="O21" s="1"/>
      <c r="P21" s="1">
        <f t="shared" si="4"/>
        <v>7.2</v>
      </c>
      <c r="Q21" s="5"/>
      <c r="R21" s="12">
        <v>50</v>
      </c>
      <c r="S21" s="1">
        <f t="shared" si="5"/>
        <v>22.916666666666668</v>
      </c>
      <c r="T21" s="1">
        <f t="shared" si="6"/>
        <v>22.916666666666668</v>
      </c>
      <c r="U21" s="1">
        <v>5</v>
      </c>
      <c r="V21" s="1">
        <v>13</v>
      </c>
      <c r="W21" s="1">
        <v>1</v>
      </c>
      <c r="X21" s="1">
        <v>5</v>
      </c>
      <c r="Y21" s="1">
        <v>8.6</v>
      </c>
      <c r="Z21" s="1">
        <v>10.4</v>
      </c>
      <c r="AA21" s="1">
        <v>4</v>
      </c>
      <c r="AB21" s="1">
        <v>5.8</v>
      </c>
      <c r="AC21" s="1">
        <v>1.2</v>
      </c>
      <c r="AD21" s="1">
        <v>2.4</v>
      </c>
      <c r="AE21" s="11" t="s">
        <v>44</v>
      </c>
      <c r="AF21" s="1">
        <f t="shared" si="10"/>
        <v>35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34</v>
      </c>
      <c r="C22" s="1">
        <v>64</v>
      </c>
      <c r="D22" s="1"/>
      <c r="E22" s="1">
        <v>14</v>
      </c>
      <c r="F22" s="1">
        <v>49</v>
      </c>
      <c r="G22" s="7">
        <v>0.4</v>
      </c>
      <c r="H22" s="1">
        <v>180</v>
      </c>
      <c r="I22" s="1" t="s">
        <v>35</v>
      </c>
      <c r="J22" s="1"/>
      <c r="K22" s="1">
        <v>14</v>
      </c>
      <c r="L22" s="1">
        <f t="shared" si="2"/>
        <v>0</v>
      </c>
      <c r="M22" s="1"/>
      <c r="N22" s="1"/>
      <c r="O22" s="1"/>
      <c r="P22" s="1">
        <f t="shared" si="4"/>
        <v>2.8</v>
      </c>
      <c r="Q22" s="5"/>
      <c r="R22" s="12"/>
      <c r="S22" s="1">
        <f t="shared" si="5"/>
        <v>17.5</v>
      </c>
      <c r="T22" s="1">
        <f t="shared" si="6"/>
        <v>17.5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38</v>
      </c>
      <c r="C23" s="1">
        <v>40.353999999999999</v>
      </c>
      <c r="D23" s="1">
        <v>7.6459999999999999</v>
      </c>
      <c r="E23" s="1">
        <v>4</v>
      </c>
      <c r="F23" s="1">
        <v>40</v>
      </c>
      <c r="G23" s="7">
        <v>1</v>
      </c>
      <c r="H23" s="1">
        <v>180</v>
      </c>
      <c r="I23" s="1" t="s">
        <v>35</v>
      </c>
      <c r="J23" s="1"/>
      <c r="K23" s="1">
        <v>9</v>
      </c>
      <c r="L23" s="1">
        <f t="shared" si="2"/>
        <v>-5</v>
      </c>
      <c r="M23" s="1"/>
      <c r="N23" s="1"/>
      <c r="O23" s="1"/>
      <c r="P23" s="1">
        <f t="shared" si="4"/>
        <v>0.8</v>
      </c>
      <c r="Q23" s="5"/>
      <c r="R23" s="12"/>
      <c r="S23" s="1">
        <f t="shared" si="5"/>
        <v>50</v>
      </c>
      <c r="T23" s="1">
        <f t="shared" si="6"/>
        <v>50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1" t="s">
        <v>44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2026-10-26T16:57:16Z</dcterms:created>
  <dcterms:modified xsi:type="dcterms:W3CDTF">2026-10-28T12:29:45Z</dcterms:modified>
</cp:coreProperties>
</file>