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28,10 Байдерман ЛП\"/>
    </mc:Choice>
  </mc:AlternateContent>
  <xr:revisionPtr revIDLastSave="0" documentId="13_ncr:1_{DED711EC-F081-4DD8-B971-C4AF57205FF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Бланк!$A$9:$J$186</definedName>
    <definedName name="кол_во_инд.__упак_к">Бланк!$AC$3:$AC$622</definedName>
    <definedName name="номин.вес_нетто__кг">Бланк!$W$3:$W$622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" i="1" l="1"/>
  <c r="E186" i="1"/>
  <c r="G107" i="1" l="1"/>
  <c r="G106" i="1"/>
  <c r="G105" i="1"/>
  <c r="G104" i="1"/>
  <c r="G103" i="1"/>
  <c r="G176" i="1"/>
  <c r="G166" i="1"/>
  <c r="G165" i="1"/>
  <c r="G164" i="1"/>
  <c r="G163" i="1"/>
  <c r="G162" i="1"/>
  <c r="G161" i="1"/>
  <c r="G151" i="1"/>
  <c r="G150" i="1"/>
  <c r="G153" i="1"/>
  <c r="G152" i="1"/>
  <c r="G120" i="1"/>
  <c r="G119" i="1"/>
  <c r="G125" i="1"/>
  <c r="G185" i="1"/>
  <c r="G184" i="1"/>
  <c r="G65" i="1"/>
  <c r="G64" i="1"/>
  <c r="G35" i="1"/>
  <c r="G34" i="1"/>
  <c r="G69" i="1" l="1"/>
  <c r="G68" i="1"/>
  <c r="G94" i="1"/>
  <c r="G168" i="1"/>
  <c r="G115" i="1" l="1"/>
  <c r="G114" i="1"/>
  <c r="G142" i="1"/>
  <c r="G141" i="1"/>
  <c r="G145" i="1"/>
  <c r="G148" i="1"/>
  <c r="G182" i="1"/>
  <c r="G172" i="1"/>
  <c r="G181" i="1" l="1"/>
  <c r="G180" i="1"/>
  <c r="G179" i="1"/>
  <c r="G178" i="1"/>
  <c r="G177" i="1"/>
  <c r="G175" i="1"/>
  <c r="G174" i="1"/>
  <c r="G173" i="1"/>
  <c r="G171" i="1"/>
  <c r="G160" i="1"/>
  <c r="G159" i="1"/>
  <c r="G158" i="1"/>
  <c r="G147" i="1"/>
  <c r="G146" i="1"/>
  <c r="G144" i="1"/>
  <c r="G143" i="1"/>
  <c r="G140" i="1"/>
  <c r="G139" i="1"/>
  <c r="G138" i="1"/>
  <c r="G135" i="1"/>
  <c r="G134" i="1"/>
  <c r="G133" i="1"/>
  <c r="G132" i="1"/>
  <c r="G131" i="1"/>
  <c r="G130" i="1"/>
  <c r="G129" i="1"/>
  <c r="G128" i="1"/>
  <c r="G127" i="1"/>
  <c r="G126" i="1"/>
  <c r="G124" i="1"/>
  <c r="G123" i="1"/>
  <c r="G122" i="1"/>
  <c r="G113" i="1"/>
  <c r="G112" i="1"/>
  <c r="G111" i="1"/>
  <c r="G110" i="1"/>
  <c r="G109" i="1"/>
  <c r="G108" i="1"/>
  <c r="G102" i="1"/>
  <c r="G101" i="1"/>
  <c r="G100" i="1"/>
  <c r="G99" i="1"/>
  <c r="G98" i="1"/>
  <c r="G97" i="1"/>
  <c r="G96" i="1"/>
  <c r="G95" i="1"/>
  <c r="G93" i="1"/>
  <c r="G90" i="1"/>
  <c r="G83" i="1"/>
  <c r="G82" i="1"/>
  <c r="G75" i="1"/>
  <c r="G73" i="1"/>
  <c r="G74" i="1"/>
  <c r="G72" i="1"/>
  <c r="G71" i="1"/>
  <c r="G70" i="1"/>
  <c r="G67" i="1"/>
  <c r="G66" i="1"/>
  <c r="G63" i="1"/>
  <c r="G62" i="1"/>
  <c r="G61" i="1"/>
  <c r="G60" i="1"/>
  <c r="G59" i="1"/>
  <c r="G57" i="1"/>
  <c r="G58" i="1"/>
  <c r="G56" i="1"/>
  <c r="G55" i="1"/>
  <c r="G54" i="1"/>
  <c r="G53" i="1"/>
  <c r="G52" i="1"/>
  <c r="G51" i="1"/>
  <c r="G50" i="1"/>
  <c r="G49" i="1"/>
  <c r="G33" i="1"/>
  <c r="G32" i="1"/>
  <c r="G31" i="1"/>
  <c r="G30" i="1"/>
  <c r="G29" i="1"/>
  <c r="G28" i="1"/>
  <c r="G27" i="1"/>
  <c r="G26" i="1"/>
  <c r="G25" i="1"/>
  <c r="G23" i="1"/>
  <c r="G22" i="1"/>
  <c r="G170" i="1"/>
  <c r="G157" i="1"/>
  <c r="G156" i="1"/>
  <c r="G155" i="1"/>
  <c r="G154" i="1"/>
  <c r="G137" i="1"/>
  <c r="G136" i="1"/>
  <c r="G121" i="1"/>
  <c r="G118" i="1"/>
  <c r="G117" i="1"/>
  <c r="G92" i="1"/>
  <c r="G91" i="1"/>
  <c r="G89" i="1"/>
  <c r="G88" i="1"/>
  <c r="G87" i="1"/>
  <c r="G86" i="1"/>
  <c r="G85" i="1"/>
  <c r="G81" i="1"/>
  <c r="G80" i="1"/>
  <c r="G79" i="1"/>
  <c r="G78" i="1"/>
  <c r="G77" i="1"/>
  <c r="G48" i="1"/>
  <c r="G47" i="1"/>
  <c r="G46" i="1"/>
  <c r="G45" i="1"/>
  <c r="G44" i="1"/>
  <c r="G43" i="1"/>
  <c r="G42" i="1"/>
  <c r="G41" i="1"/>
  <c r="G40" i="1"/>
  <c r="G39" i="1"/>
  <c r="G38" i="1"/>
  <c r="G37" i="1"/>
  <c r="G24" i="1"/>
  <c r="G20" i="1"/>
  <c r="G19" i="1"/>
  <c r="G18" i="1"/>
  <c r="G17" i="1"/>
  <c r="G16" i="1"/>
  <c r="G15" i="1"/>
  <c r="G14" i="1"/>
  <c r="G13" i="1"/>
  <c r="G11" i="1"/>
  <c r="G21" i="1" l="1"/>
  <c r="G186" i="1" l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<sst xmlns="http://schemas.openxmlformats.org/spreadsheetml/2006/main" count="720" uniqueCount="239">
  <si>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</si>
  <si>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</si>
  <si>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</si>
  <si>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</si>
  <si>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</si>
  <si>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</si>
  <si>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</si>
  <si>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</si>
  <si>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</si>
  <si>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</si>
  <si>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</si>
  <si>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</si>
  <si>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</si>
  <si>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</si>
  <si>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</si>
  <si>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</si>
  <si>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</si>
  <si>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</si>
  <si>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</si>
  <si>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</si>
  <si>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</si>
  <si>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</si>
  <si>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</si>
  <si>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</si>
  <si>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</si>
  <si>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</si>
  <si>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</si>
  <si>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</si>
  <si>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</si>
  <si>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</si>
  <si>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</si>
  <si>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</si>
  <si>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</si>
  <si>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</si>
  <si>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</si>
  <si>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</si>
  <si>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</si>
  <si>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</si>
  <si>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</si>
  <si>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</si>
  <si>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</si>
  <si>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</si>
  <si>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</si>
  <si>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</si>
  <si>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</si>
  <si>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</si>
  <si>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</si>
  <si>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</si>
  <si>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</si>
  <si>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</si>
  <si>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</si>
  <si>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</si>
  <si>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</si>
  <si>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</si>
  <si>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</si>
  <si>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</si>
  <si>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</si>
  <si>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</si>
  <si>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</si>
  <si>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</si>
  <si>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</si>
  <si>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</si>
  <si>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</si>
  <si>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</si>
  <si>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</si>
  <si>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</si>
  <si>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</si>
  <si>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</si>
  <si>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</si>
  <si>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</si>
  <si>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</si>
  <si>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</si>
  <si>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</si>
  <si>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</si>
  <si>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</si>
  <si>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</si>
  <si>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</si>
  <si>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</si>
  <si>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</si>
  <si>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</si>
  <si>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</si>
  <si>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</si>
  <si>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</si>
  <si>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</si>
  <si>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</si>
  <si>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</si>
  <si>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</si>
  <si>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</si>
  <si>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</si>
  <si>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</si>
  <si>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</si>
  <si>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</si>
  <si>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</si>
  <si>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</si>
  <si>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</si>
  <si>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</si>
  <si>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</si>
  <si>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</si>
  <si>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</si>
  <si>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</si>
  <si>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</si>
  <si>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</si>
  <si>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</si>
  <si>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</si>
  <si>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</si>
  <si>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</si>
  <si>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</si>
  <si>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</si>
  <si>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</si>
  <si>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</si>
  <si>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</si>
  <si>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</si>
  <si>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</si>
  <si>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</si>
  <si>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</si>
  <si>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</si>
  <si>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</si>
  <si>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</si>
  <si>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</si>
  <si>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</si>
  <si>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</si>
  <si>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</si>
  <si>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</si>
  <si>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</si>
  <si>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</si>
  <si>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</si>
  <si>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</si>
  <si>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</si>
  <si>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</si>
  <si>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</si>
  <si>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</si>
  <si>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</si>
  <si>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</si>
  <si>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</si>
  <si>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</si>
  <si>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</si>
  <si>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</si>
  <si>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</si>
  <si>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</si>
  <si>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</si>
  <si>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</si>
  <si>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</si>
  <si>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</si>
  <si>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</si>
  <si>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</si>
  <si>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</si>
  <si>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</si>
  <si>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</si>
  <si>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</si>
  <si>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</si>
  <si>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</si>
  <si>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</si>
  <si>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</si>
  <si>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</si>
  <si>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</si>
  <si>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</si>
  <si>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</si>
  <si>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</si>
  <si>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</si>
  <si>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</si>
  <si>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</si>
  <si>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</si>
  <si>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</si>
  <si>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</si>
  <si>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</si>
  <si>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</si>
  <si>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</si>
  <si>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</si>
  <si>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</si>
  <si>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</si>
  <si>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</si>
  <si>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</si>
  <si>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</si>
  <si>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</si>
  <si>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</si>
  <si>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</si>
  <si>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</si>
  <si>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</si>
  <si>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</si>
  <si>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</si>
  <si>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</si>
  <si>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</si>
  <si>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</si>
  <si>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</si>
  <si>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</si>
  <si>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</si>
  <si>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</si>
  <si>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</si>
  <si>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</si>
  <si>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</si>
  <si>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БРАУНШВЕЙГСКАЯ с/к с/н мгс 1/100_Л10</t>
  </si>
  <si>
    <t>Заблокирован</t>
  </si>
  <si>
    <t>АРОМАТНАЯ с/к с/н в/у 1/100 10шт_Л10 (7613)</t>
  </si>
  <si>
    <t>ЭКСТРА Папа может с/к с/н в/у 1/100_Л10</t>
  </si>
  <si>
    <t xml:space="preserve">СЕРВЕЛАТ ШВЕЙЦАРСК.в/к с/н в/у 1/100_Л11 </t>
  </si>
  <si>
    <t>СЕРВЕЛАТ БАВАРСКИЙ в/к с/н в/у 1/100_Л11</t>
  </si>
  <si>
    <t>заблокирован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</si>
  <si>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</si>
  <si>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</si>
  <si>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</si>
  <si>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</si>
  <si>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</si>
  <si>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Закрытие кода</t>
  </si>
  <si>
    <t>ЛЮБИТЕЛЬСКАЯ ОСТАНКИНСКАЯ вар ц/о в/у</t>
  </si>
  <si>
    <t>ТЕЛЯЧЬЯ ГОСТ Останкино вар н/о в/у</t>
  </si>
  <si>
    <t>Закрытие кода, ротация на код 7490</t>
  </si>
  <si>
    <t>СОЧНЫЙ ГРИЛЬ сос ц/о мгс 0.41кг_Даблпак</t>
  </si>
  <si>
    <t>Ротация кода 6713</t>
  </si>
  <si>
    <t>Консервы мясные</t>
  </si>
  <si>
    <t>КОНСЕРВЫ МЯС.ГОВЯДИНА ТУШ. В/С 338г_ЧЗ</t>
  </si>
  <si>
    <t>КОНСЕРВЫ МЯС.СВИНИНА ТУШ. В/С 325г_ЧЗ</t>
  </si>
  <si>
    <t>Закрытие с 01.10.26</t>
  </si>
  <si>
    <t>Закрытие с 01.10, ротация на код 7700</t>
  </si>
  <si>
    <t>ЛИТОВСКАЯ с/к в/у</t>
  </si>
  <si>
    <t>Ротация кода 5708</t>
  </si>
  <si>
    <t>Закрытие с 28.09.26</t>
  </si>
  <si>
    <t>Закрытие с 01.10, ротация на код 7725</t>
  </si>
  <si>
    <t>ВЕТЧ.МРАМОРНАЯ в/у срез 0.3кг 6шт_62с</t>
  </si>
  <si>
    <t>Ротация кода 6495</t>
  </si>
  <si>
    <t>Закрытие с 01.10, ротация на код 7726</t>
  </si>
  <si>
    <t>ВЕТЧ.МРАМОРНАЯ в/у_62с</t>
  </si>
  <si>
    <t>Ротация кода 6470</t>
  </si>
  <si>
    <t>Закрытие с 01.10, ротация на код 7723</t>
  </si>
  <si>
    <t>ВЕТЧ.КЛАССИЧЕСКАЯ в/у 0.6кг 8шт_62с</t>
  </si>
  <si>
    <t>Ротация кода 6925</t>
  </si>
  <si>
    <t>Закрытие с 01.10, ротация на код 7730</t>
  </si>
  <si>
    <t>ХОЧУ ВЕТЧ.ИЗ СВ.ОТРУБА мгс 1/100_45с_Л11</t>
  </si>
  <si>
    <t>Ротация кода 7647</t>
  </si>
  <si>
    <t>Закрытие с 01.10, ротация на код 7731</t>
  </si>
  <si>
    <t xml:space="preserve">ХОЧУ ВЕТЧ. МРАМОР. с/н мгс 1/100_45с_Л11 </t>
  </si>
  <si>
    <t>Ротация кода 7651</t>
  </si>
  <si>
    <t>КАРБОНAД ДОМАШНИЙ ПМ к/в кр/к в/у</t>
  </si>
  <si>
    <t xml:space="preserve">СЕРВЕЛАТ КОПЧ.НА БУКЕ в/к в/у 0.35кг_50с </t>
  </si>
  <si>
    <t>КРАКОВСКАЯ ГОСТ п/к н/о мгс 0.3кг</t>
  </si>
  <si>
    <t>КРАКОВСКАЯ ГОСТ Останкино п/к н/о мгс</t>
  </si>
  <si>
    <t>НОВОМОСКОВСКАЯ в/к в/у срез 0.31кг</t>
  </si>
  <si>
    <t>ВОСКРЕСЕНСКАЯ ВЯЛЕНАЯ в/к в/у срез 1/260</t>
  </si>
  <si>
    <t>ООО "Логистический партнер" (Байдерман)</t>
  </si>
  <si>
    <t xml:space="preserve">г. Мелитополь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</si>
</sst>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4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indexed="63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88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8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8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8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2" fontId="21" fillId="9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center" vertical="center"/>
    </xf>
    <xf numFmtId="2" fontId="23" fillId="9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9" borderId="8" xfId="0" applyFont="1" applyFill="1" applyBorder="1" applyAlignment="1">
      <alignment horizontal="center" vertical="center"/>
    </xf>
    <xf numFmtId="1" fontId="30" fillId="9" borderId="8" xfId="0" applyNumberFormat="1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left" vertical="center"/>
    </xf>
    <xf numFmtId="0" fontId="30" fillId="9" borderId="8" xfId="0" applyFont="1" applyFill="1" applyBorder="1" applyAlignment="1">
      <alignment horizontal="center" vertical="center"/>
    </xf>
    <xf numFmtId="2" fontId="30" fillId="9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11" borderId="8" xfId="0" applyNumberFormat="1" applyFill="1" applyBorder="1" applyAlignment="1">
      <alignment horizontal="right"/>
    </xf>
    <xf numFmtId="0" fontId="8" fillId="11" borderId="0" xfId="0" applyFont="1" applyFill="1" applyAlignment="1">
      <alignment vertical="center"/>
    </xf>
    <xf numFmtId="0" fontId="11" fillId="11" borderId="7" xfId="0" applyFont="1" applyFill="1" applyBorder="1" applyAlignment="1">
      <alignment horizontal="center" vertical="center"/>
    </xf>
    <xf numFmtId="1" fontId="8" fillId="11" borderId="0" xfId="0" applyNumberFormat="1" applyFont="1" applyFill="1" applyAlignment="1">
      <alignment horizontal="center" vertical="center"/>
    </xf>
    <xf numFmtId="2" fontId="6" fillId="11" borderId="4" xfId="0" applyNumberFormat="1" applyFont="1" applyFill="1" applyBorder="1" applyAlignment="1">
      <alignment horizontal="right"/>
    </xf>
    <xf numFmtId="0" fontId="6" fillId="11" borderId="4" xfId="0" applyFont="1" applyFill="1" applyBorder="1" applyAlignment="1">
      <alignment horizontal="right"/>
    </xf>
    <xf numFmtId="1" fontId="8" fillId="11" borderId="0" xfId="0" applyNumberFormat="1" applyFont="1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vertical="center"/>
    </xf>
    <xf numFmtId="1" fontId="6" fillId="0" borderId="0" xfId="0" applyNumberFormat="1" applyFont="1" applyFill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2" fontId="6" fillId="0" borderId="4" xfId="0" applyNumberFormat="1" applyFont="1" applyFill="1" applyBorder="1" applyAlignment="1"/>
    <xf numFmtId="0" fontId="6" fillId="12" borderId="4" xfId="0" applyFont="1" applyFill="1" applyBorder="1" applyAlignment="1">
      <alignment horizontal="right"/>
    </xf>
    <xf numFmtId="0" fontId="32" fillId="11" borderId="0" xfId="0" applyFont="1" applyFill="1"/>
    <xf numFmtId="1" fontId="32" fillId="11" borderId="0" xfId="0" applyNumberFormat="1" applyFont="1" applyFill="1" applyAlignment="1">
      <alignment horizontal="center"/>
    </xf>
    <xf numFmtId="2" fontId="8" fillId="11" borderId="0" xfId="0" applyNumberFormat="1" applyFont="1" applyFill="1" applyBorder="1" applyAlignment="1">
      <alignment vertical="center" wrapText="1"/>
    </xf>
    <xf numFmtId="2" fontId="33" fillId="11" borderId="4" xfId="0" applyNumberFormat="1" applyFont="1" applyFill="1" applyBorder="1" applyAlignment="1">
      <alignment horizontal="right"/>
    </xf>
    <xf numFmtId="2" fontId="33" fillId="11" borderId="19" xfId="0" applyNumberFormat="1" applyFont="1" applyFill="1" applyBorder="1" applyAlignment="1">
      <alignment horizontal="right"/>
    </xf>
    <xf numFmtId="0" fontId="33" fillId="11" borderId="19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 vertical="center"/>
    </xf>
    <xf numFmtId="0" fontId="32" fillId="12" borderId="0" xfId="0" applyFont="1" applyFill="1"/>
    <xf numFmtId="1" fontId="32" fillId="0" borderId="0" xfId="0" applyNumberFormat="1" applyFont="1" applyAlignment="1">
      <alignment horizontal="center"/>
    </xf>
    <xf numFmtId="2" fontId="8" fillId="0" borderId="0" xfId="0" applyNumberFormat="1" applyFont="1" applyFill="1" applyBorder="1" applyAlignment="1">
      <alignment vertical="center" wrapText="1"/>
    </xf>
    <xf numFmtId="2" fontId="33" fillId="5" borderId="4" xfId="0" applyNumberFormat="1" applyFont="1" applyFill="1" applyBorder="1" applyAlignment="1">
      <alignment horizontal="right"/>
    </xf>
    <xf numFmtId="2" fontId="33" fillId="0" borderId="19" xfId="0" applyNumberFormat="1" applyFont="1" applyFill="1" applyBorder="1" applyAlignment="1">
      <alignment horizontal="right"/>
    </xf>
    <xf numFmtId="0" fontId="33" fillId="0" borderId="19" xfId="0" applyFont="1" applyFill="1" applyBorder="1" applyAlignment="1">
      <alignment horizontal="right"/>
    </xf>
    <xf numFmtId="0" fontId="33" fillId="12" borderId="16" xfId="0" applyFont="1" applyFill="1" applyBorder="1" applyAlignment="1">
      <alignment horizontal="right" vertical="center"/>
    </xf>
    <xf numFmtId="1" fontId="8" fillId="12" borderId="0" xfId="0" applyNumberFormat="1" applyFont="1" applyFill="1" applyAlignment="1">
      <alignment vertical="center"/>
    </xf>
    <xf numFmtId="2" fontId="6" fillId="5" borderId="4" xfId="0" applyNumberFormat="1" applyFont="1" applyFill="1" applyBorder="1" applyAlignment="1"/>
    <xf numFmtId="0" fontId="32" fillId="11" borderId="8" xfId="0" applyNumberFormat="1" applyFont="1" applyFill="1" applyBorder="1"/>
    <xf numFmtId="0" fontId="33" fillId="11" borderId="16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/>
    </xf>
    <xf numFmtId="0" fontId="32" fillId="0" borderId="8" xfId="0" applyNumberFormat="1" applyFont="1" applyBorder="1"/>
    <xf numFmtId="0" fontId="11" fillId="13" borderId="7" xfId="0" applyFont="1" applyFill="1" applyBorder="1" applyAlignment="1">
      <alignment horizontal="center" vertical="center"/>
    </xf>
    <xf numFmtId="2" fontId="33" fillId="0" borderId="4" xfId="0" applyNumberFormat="1" applyFont="1" applyFill="1" applyBorder="1" applyAlignment="1">
      <alignment horizontal="right"/>
    </xf>
    <xf numFmtId="0" fontId="33" fillId="0" borderId="16" xfId="0" applyFont="1" applyFill="1" applyBorder="1" applyAlignment="1">
      <alignment horizontal="right"/>
    </xf>
    <xf numFmtId="1" fontId="8" fillId="11" borderId="0" xfId="0" applyNumberFormat="1" applyFont="1" applyFill="1" applyAlignment="1">
      <alignment vertical="center"/>
    </xf>
    <xf numFmtId="0" fontId="32" fillId="11" borderId="8" xfId="0" applyNumberFormat="1" applyFont="1" applyFill="1" applyBorder="1" applyAlignment="1">
      <alignment horizontal="right"/>
    </xf>
    <xf numFmtId="0" fontId="32" fillId="11" borderId="7" xfId="0" applyFont="1" applyFill="1" applyBorder="1" applyAlignment="1">
      <alignment vertical="top"/>
    </xf>
    <xf numFmtId="2" fontId="6" fillId="11" borderId="4" xfId="0" applyNumberFormat="1" applyFont="1" applyFill="1" applyBorder="1" applyAlignment="1"/>
    <xf numFmtId="1" fontId="8" fillId="11" borderId="6" xfId="0" applyNumberFormat="1" applyFont="1" applyFill="1" applyBorder="1" applyAlignment="1">
      <alignment horizontal="center" vertical="center"/>
    </xf>
    <xf numFmtId="0" fontId="32" fillId="5" borderId="8" xfId="0" applyNumberFormat="1" applyFont="1" applyFill="1" applyBorder="1" applyAlignment="1">
      <alignment horizontal="right"/>
    </xf>
    <xf numFmtId="0" fontId="33" fillId="0" borderId="4" xfId="0" applyFont="1" applyFill="1" applyBorder="1" applyAlignment="1">
      <alignment horizontal="right"/>
    </xf>
    <xf numFmtId="2" fontId="33" fillId="5" borderId="19" xfId="0" applyNumberFormat="1" applyFont="1" applyFill="1" applyBorder="1" applyAlignment="1">
      <alignment horizontal="right"/>
    </xf>
    <xf numFmtId="49" fontId="8" fillId="12" borderId="0" xfId="0" applyNumberFormat="1" applyFont="1" applyFill="1" applyAlignment="1">
      <alignment horizontal="left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710"/>
  <sheetViews>
    <sheetView tabSelected="1" zoomScale="90" zoomScaleNormal="90" workbookViewId="0">
      <pane ySplit="9" topLeftCell="A131" activePane="bottomLeft" state="frozen"/>
      <selection pane="bottomLeft" activeCell="J193" sqref="J193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5.42578125" style="4" customWidth="1"/>
    <col min="7" max="7" width="11.5703125" style="4" customWidth="1"/>
    <col min="8" max="9" width="11.5703125" style="5" customWidth="1"/>
    <col min="10" max="10" width="35.5703125" style="6" customWidth="1"/>
    <col min="11" max="11" width="22.140625" style="27" customWidth="1"/>
    <col min="12" max="12" width="21.28515625" style="112" customWidth="1"/>
    <col min="13" max="14" width="8.85546875" style="112" customWidth="1"/>
    <col min="15" max="67" width="8.85546875" style="112"/>
  </cols>
  <sheetData>
    <row r="1" spans="1:67" ht="27" customHeight="1" thickTop="1" thickBot="1" x14ac:dyDescent="0.3">
      <c r="C1" s="1" t="s">
        <v>0</v>
      </c>
      <c r="D1" s="41">
        <v>130439107</v>
      </c>
      <c r="E1" s="184" t="s">
        <v>237</v>
      </c>
      <c r="F1" s="185"/>
      <c r="G1" s="185"/>
      <c r="H1" s="185"/>
      <c r="I1" s="185"/>
      <c r="J1" s="186"/>
      <c r="K1" s="116"/>
    </row>
    <row r="2" spans="1:67" ht="16.5" customHeight="1" thickTop="1" thickBot="1" x14ac:dyDescent="0.3">
      <c r="K2" s="116"/>
    </row>
    <row r="3" spans="1:67" ht="19.5" customHeight="1" thickTop="1" thickBot="1" x14ac:dyDescent="0.3">
      <c r="B3" s="32"/>
      <c r="C3" s="7" t="s">
        <v>1</v>
      </c>
      <c r="D3" s="54">
        <v>46328</v>
      </c>
      <c r="E3" s="7" t="s">
        <v>2</v>
      </c>
      <c r="F3" s="54">
        <f>D3+3</f>
        <v>46331</v>
      </c>
      <c r="G3" s="187" t="s">
        <v>238</v>
      </c>
      <c r="H3" s="185"/>
      <c r="I3" s="185"/>
      <c r="J3" s="186"/>
      <c r="K3" s="116"/>
    </row>
    <row r="4" spans="1:67" ht="15.75" customHeight="1" thickTop="1" x14ac:dyDescent="0.25">
      <c r="K4" s="137"/>
    </row>
    <row r="5" spans="1:67" x14ac:dyDescent="0.25">
      <c r="C5" s="7" t="s">
        <v>3</v>
      </c>
      <c r="D5" s="38"/>
      <c r="E5" s="8"/>
      <c r="F5" s="8"/>
      <c r="G5" s="8"/>
      <c r="H5" s="22"/>
      <c r="I5" s="22"/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M7" s="115"/>
    </row>
    <row r="8" spans="1:67" ht="16.5" customHeight="1" thickTop="1" thickBot="1" x14ac:dyDescent="0.3">
      <c r="M8" s="115"/>
    </row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7">
        <v>4561</v>
      </c>
      <c r="B11" s="53" t="s">
        <v>111</v>
      </c>
      <c r="C11" s="51" t="s">
        <v>22</v>
      </c>
      <c r="D11" s="52">
        <v>1001010014561</v>
      </c>
      <c r="E11" s="24">
        <v>0</v>
      </c>
      <c r="F11" s="23">
        <v>1.35</v>
      </c>
      <c r="G11" s="23">
        <f>E11</f>
        <v>0</v>
      </c>
      <c r="H11" s="14">
        <v>4.05</v>
      </c>
      <c r="I11" s="14">
        <v>60</v>
      </c>
      <c r="J11" s="60"/>
      <c r="K11" s="27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</row>
    <row r="12" spans="1:67" s="15" customFormat="1" ht="16.5" customHeight="1" thickTop="1" x14ac:dyDescent="0.25">
      <c r="A12" s="145">
        <v>7536</v>
      </c>
      <c r="B12" s="55" t="s">
        <v>107</v>
      </c>
      <c r="C12" s="51" t="s">
        <v>22</v>
      </c>
      <c r="D12" s="52">
        <v>1001010017536</v>
      </c>
      <c r="E12" s="24">
        <v>45</v>
      </c>
      <c r="F12" s="23">
        <v>1.35</v>
      </c>
      <c r="G12" s="23">
        <f>E12</f>
        <v>45</v>
      </c>
      <c r="H12" s="14">
        <v>4.05</v>
      </c>
      <c r="I12" s="14">
        <v>60</v>
      </c>
      <c r="J12" s="60"/>
      <c r="K12" s="27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</row>
    <row r="13" spans="1:67" s="15" customFormat="1" ht="16.5" customHeight="1" x14ac:dyDescent="0.25">
      <c r="A13" s="57">
        <v>5851</v>
      </c>
      <c r="B13" s="53" t="s">
        <v>110</v>
      </c>
      <c r="C13" s="51" t="s">
        <v>22</v>
      </c>
      <c r="D13" s="52">
        <v>1001012505851</v>
      </c>
      <c r="E13" s="24">
        <v>100</v>
      </c>
      <c r="F13" s="23">
        <v>1.35</v>
      </c>
      <c r="G13" s="23">
        <f t="shared" ref="G13:G20" si="0">E13</f>
        <v>100</v>
      </c>
      <c r="H13" s="14">
        <v>4.05</v>
      </c>
      <c r="I13" s="14">
        <v>60</v>
      </c>
      <c r="J13" s="29"/>
      <c r="K13" s="27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</row>
    <row r="14" spans="1:67" s="15" customFormat="1" ht="16.5" customHeight="1" x14ac:dyDescent="0.25">
      <c r="A14" s="57">
        <v>4813</v>
      </c>
      <c r="B14" s="53" t="s">
        <v>29</v>
      </c>
      <c r="C14" s="51" t="s">
        <v>22</v>
      </c>
      <c r="D14" s="52">
        <v>1001012564813</v>
      </c>
      <c r="E14" s="24">
        <v>150</v>
      </c>
      <c r="F14" s="23">
        <v>1.35</v>
      </c>
      <c r="G14" s="23">
        <f t="shared" si="0"/>
        <v>150</v>
      </c>
      <c r="H14" s="14">
        <v>4.05</v>
      </c>
      <c r="I14" s="14">
        <v>60</v>
      </c>
      <c r="J14" s="60"/>
      <c r="K14" s="27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  <c r="BM14" s="114"/>
      <c r="BN14" s="114"/>
      <c r="BO14" s="114"/>
    </row>
    <row r="15" spans="1:67" s="15" customFormat="1" ht="16.5" hidden="1" customHeight="1" x14ac:dyDescent="0.25">
      <c r="A15" s="57">
        <v>4574</v>
      </c>
      <c r="B15" s="53" t="s">
        <v>24</v>
      </c>
      <c r="C15" s="51" t="s">
        <v>22</v>
      </c>
      <c r="D15" s="52">
        <v>1001012634574</v>
      </c>
      <c r="E15" s="24">
        <v>0</v>
      </c>
      <c r="F15" s="23">
        <v>1.35</v>
      </c>
      <c r="G15" s="23">
        <f t="shared" si="0"/>
        <v>0</v>
      </c>
      <c r="H15" s="14">
        <v>4.05</v>
      </c>
      <c r="I15" s="14">
        <v>60</v>
      </c>
      <c r="J15" s="29"/>
      <c r="K15" s="27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BO15" s="114"/>
    </row>
    <row r="16" spans="1:67" ht="16.5" customHeight="1" x14ac:dyDescent="0.25">
      <c r="A16" s="57">
        <v>4063</v>
      </c>
      <c r="B16" s="53" t="s">
        <v>21</v>
      </c>
      <c r="C16" s="51" t="s">
        <v>22</v>
      </c>
      <c r="D16" s="52">
        <v>1001012484063</v>
      </c>
      <c r="E16" s="24">
        <v>70</v>
      </c>
      <c r="F16" s="23">
        <v>1.35</v>
      </c>
      <c r="G16" s="23">
        <f t="shared" si="0"/>
        <v>70</v>
      </c>
      <c r="H16" s="14">
        <v>4.05</v>
      </c>
      <c r="I16" s="14">
        <v>60</v>
      </c>
      <c r="J16" s="29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</row>
    <row r="17" spans="1:67" ht="16.5" hidden="1" customHeight="1" x14ac:dyDescent="0.25">
      <c r="A17" s="57">
        <v>6220</v>
      </c>
      <c r="B17" s="53" t="s">
        <v>35</v>
      </c>
      <c r="C17" s="51" t="s">
        <v>22</v>
      </c>
      <c r="D17" s="52">
        <v>1001012426220</v>
      </c>
      <c r="E17" s="24">
        <v>0</v>
      </c>
      <c r="F17" s="23">
        <v>1.35</v>
      </c>
      <c r="G17" s="23">
        <f t="shared" si="0"/>
        <v>0</v>
      </c>
      <c r="H17" s="14">
        <v>4.05</v>
      </c>
      <c r="I17" s="14">
        <v>60</v>
      </c>
      <c r="J17" s="29"/>
      <c r="L17" s="115"/>
    </row>
    <row r="18" spans="1:67" ht="16.5" customHeight="1" x14ac:dyDescent="0.25">
      <c r="A18" s="57">
        <v>6498</v>
      </c>
      <c r="B18" s="53" t="s">
        <v>34</v>
      </c>
      <c r="C18" s="51" t="s">
        <v>22</v>
      </c>
      <c r="D18" s="52">
        <v>1001012456498</v>
      </c>
      <c r="E18" s="24">
        <v>40</v>
      </c>
      <c r="F18" s="23">
        <v>1</v>
      </c>
      <c r="G18" s="23">
        <f t="shared" si="0"/>
        <v>40</v>
      </c>
      <c r="H18" s="14">
        <v>4</v>
      </c>
      <c r="I18" s="14">
        <v>60</v>
      </c>
      <c r="J18" s="29"/>
      <c r="L18" s="115"/>
    </row>
    <row r="19" spans="1:67" ht="16.5" hidden="1" customHeight="1" x14ac:dyDescent="0.25">
      <c r="A19" s="57">
        <v>6861</v>
      </c>
      <c r="B19" s="53" t="s">
        <v>25</v>
      </c>
      <c r="C19" s="51" t="s">
        <v>22</v>
      </c>
      <c r="D19" s="52">
        <v>1001015646861</v>
      </c>
      <c r="E19" s="24">
        <v>0</v>
      </c>
      <c r="F19" s="23">
        <v>1.95</v>
      </c>
      <c r="G19" s="23">
        <f t="shared" si="0"/>
        <v>0</v>
      </c>
      <c r="H19" s="14">
        <v>3.9</v>
      </c>
      <c r="I19" s="14">
        <v>60</v>
      </c>
      <c r="J19" s="29"/>
      <c r="L19" s="115"/>
    </row>
    <row r="20" spans="1:67" ht="16.5" hidden="1" customHeight="1" x14ac:dyDescent="0.25">
      <c r="A20" s="57">
        <v>6862</v>
      </c>
      <c r="B20" s="53" t="s">
        <v>28</v>
      </c>
      <c r="C20" s="51" t="s">
        <v>22</v>
      </c>
      <c r="D20" s="52">
        <v>1001015706862</v>
      </c>
      <c r="E20" s="24">
        <v>0</v>
      </c>
      <c r="F20" s="23">
        <v>1.95</v>
      </c>
      <c r="G20" s="23">
        <f t="shared" si="0"/>
        <v>0</v>
      </c>
      <c r="H20" s="14">
        <v>3.9</v>
      </c>
      <c r="I20" s="14">
        <v>60</v>
      </c>
      <c r="J20" s="29"/>
      <c r="L20" s="115"/>
    </row>
    <row r="21" spans="1:67" ht="16.5" hidden="1" customHeight="1" x14ac:dyDescent="0.25">
      <c r="A21" s="145">
        <v>7539</v>
      </c>
      <c r="B21" s="55" t="s">
        <v>106</v>
      </c>
      <c r="C21" s="51" t="s">
        <v>20</v>
      </c>
      <c r="D21" s="52">
        <v>1001010017539</v>
      </c>
      <c r="E21" s="24">
        <v>0</v>
      </c>
      <c r="F21" s="23">
        <v>0.35</v>
      </c>
      <c r="G21" s="23">
        <f>E21*F21</f>
        <v>0</v>
      </c>
      <c r="H21" s="14">
        <v>2.8</v>
      </c>
      <c r="I21" s="14">
        <v>60</v>
      </c>
      <c r="J21" s="60"/>
      <c r="L21" s="115"/>
    </row>
    <row r="22" spans="1:67" ht="16.5" hidden="1" customHeight="1" x14ac:dyDescent="0.25">
      <c r="A22" s="57">
        <v>7334</v>
      </c>
      <c r="B22" s="53" t="s">
        <v>108</v>
      </c>
      <c r="C22" s="51" t="s">
        <v>20</v>
      </c>
      <c r="D22" s="52">
        <v>1001012637334</v>
      </c>
      <c r="E22" s="24">
        <v>0</v>
      </c>
      <c r="F22" s="23">
        <v>0.4</v>
      </c>
      <c r="G22" s="23">
        <f t="shared" ref="G22:G23" si="1">E22*F22</f>
        <v>0</v>
      </c>
      <c r="H22" s="14">
        <v>3.2</v>
      </c>
      <c r="I22" s="14">
        <v>60</v>
      </c>
      <c r="J22" s="29"/>
      <c r="L22" s="115"/>
    </row>
    <row r="23" spans="1:67" ht="16.5" hidden="1" customHeight="1" x14ac:dyDescent="0.25">
      <c r="A23" s="57">
        <v>6325</v>
      </c>
      <c r="B23" s="53" t="s">
        <v>32</v>
      </c>
      <c r="C23" s="51" t="s">
        <v>20</v>
      </c>
      <c r="D23" s="52">
        <v>1001010106325</v>
      </c>
      <c r="E23" s="24">
        <v>0</v>
      </c>
      <c r="F23" s="23">
        <v>0.4</v>
      </c>
      <c r="G23" s="23">
        <f t="shared" si="1"/>
        <v>0</v>
      </c>
      <c r="H23" s="14">
        <v>3.2</v>
      </c>
      <c r="I23" s="14">
        <v>60</v>
      </c>
      <c r="J23" s="29"/>
      <c r="L23" s="115"/>
    </row>
    <row r="24" spans="1:67" s="61" customFormat="1" ht="16.5" hidden="1" customHeight="1" x14ac:dyDescent="0.25">
      <c r="A24" s="57">
        <v>8014</v>
      </c>
      <c r="B24" s="55" t="s">
        <v>113</v>
      </c>
      <c r="C24" s="56" t="s">
        <v>22</v>
      </c>
      <c r="D24" s="58">
        <v>1001010108014</v>
      </c>
      <c r="E24" s="24">
        <v>0</v>
      </c>
      <c r="F24" s="59">
        <v>1.35</v>
      </c>
      <c r="G24" s="23">
        <f t="shared" ref="G24" si="2">E24</f>
        <v>0</v>
      </c>
      <c r="H24" s="60">
        <v>5.4</v>
      </c>
      <c r="I24" s="60">
        <v>60</v>
      </c>
      <c r="J24" s="60"/>
      <c r="K24" s="27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</row>
    <row r="25" spans="1:67" s="61" customFormat="1" ht="16.5" customHeight="1" x14ac:dyDescent="0.25">
      <c r="A25" s="145">
        <v>7632</v>
      </c>
      <c r="B25" s="55" t="s">
        <v>184</v>
      </c>
      <c r="C25" s="56" t="s">
        <v>20</v>
      </c>
      <c r="D25" s="58">
        <v>1001012507632</v>
      </c>
      <c r="E25" s="24">
        <v>120</v>
      </c>
      <c r="F25" s="59">
        <v>0.4</v>
      </c>
      <c r="G25" s="23">
        <f t="shared" ref="G25:G35" si="3">E25*F25</f>
        <v>48</v>
      </c>
      <c r="H25" s="60">
        <v>3.2</v>
      </c>
      <c r="I25" s="60">
        <v>60</v>
      </c>
      <c r="J25" s="60"/>
      <c r="K25" s="27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</row>
    <row r="26" spans="1:67" s="61" customFormat="1" ht="16.5" hidden="1" customHeight="1" x14ac:dyDescent="0.25">
      <c r="A26" s="145">
        <v>7523</v>
      </c>
      <c r="B26" s="55" t="s">
        <v>105</v>
      </c>
      <c r="C26" s="56" t="s">
        <v>20</v>
      </c>
      <c r="D26" s="58">
        <v>1001012427523</v>
      </c>
      <c r="E26" s="24">
        <v>0</v>
      </c>
      <c r="F26" s="59">
        <v>0.4</v>
      </c>
      <c r="G26" s="23">
        <f t="shared" si="3"/>
        <v>0</v>
      </c>
      <c r="H26" s="60">
        <v>2.4</v>
      </c>
      <c r="I26" s="60">
        <v>60</v>
      </c>
      <c r="J26" s="60"/>
      <c r="K26" s="27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</row>
    <row r="27" spans="1:67" ht="16.5" hidden="1" customHeight="1" x14ac:dyDescent="0.25">
      <c r="A27" s="138">
        <v>6340</v>
      </c>
      <c r="B27" s="139" t="s">
        <v>26</v>
      </c>
      <c r="C27" s="140" t="s">
        <v>20</v>
      </c>
      <c r="D27" s="141">
        <v>1001012816340</v>
      </c>
      <c r="E27" s="24">
        <v>0</v>
      </c>
      <c r="F27" s="142">
        <v>0.5</v>
      </c>
      <c r="G27" s="142">
        <f t="shared" si="3"/>
        <v>0</v>
      </c>
      <c r="H27" s="143">
        <v>4</v>
      </c>
      <c r="I27" s="143">
        <v>60</v>
      </c>
      <c r="J27" s="143" t="s">
        <v>196</v>
      </c>
      <c r="L27" s="115"/>
    </row>
    <row r="28" spans="1:67" ht="16.5" hidden="1" customHeight="1" x14ac:dyDescent="0.25">
      <c r="A28" s="138">
        <v>6341</v>
      </c>
      <c r="B28" s="139" t="s">
        <v>27</v>
      </c>
      <c r="C28" s="140" t="s">
        <v>20</v>
      </c>
      <c r="D28" s="141">
        <v>1001012816341</v>
      </c>
      <c r="E28" s="24">
        <v>0</v>
      </c>
      <c r="F28" s="142">
        <v>0.5</v>
      </c>
      <c r="G28" s="142">
        <f t="shared" si="3"/>
        <v>0</v>
      </c>
      <c r="H28" s="143">
        <v>4</v>
      </c>
      <c r="I28" s="143">
        <v>60</v>
      </c>
      <c r="J28" s="143" t="s">
        <v>196</v>
      </c>
      <c r="L28" s="115"/>
    </row>
    <row r="29" spans="1:67" ht="16.5" customHeight="1" x14ac:dyDescent="0.25">
      <c r="A29" s="57">
        <v>6333</v>
      </c>
      <c r="B29" s="53" t="s">
        <v>23</v>
      </c>
      <c r="C29" s="51" t="s">
        <v>20</v>
      </c>
      <c r="D29" s="52">
        <v>1001012486333</v>
      </c>
      <c r="E29" s="24">
        <v>84</v>
      </c>
      <c r="F29" s="23">
        <v>0.4</v>
      </c>
      <c r="G29" s="23">
        <f t="shared" si="3"/>
        <v>33.6</v>
      </c>
      <c r="H29" s="14">
        <v>3.2</v>
      </c>
      <c r="I29" s="14">
        <v>60</v>
      </c>
      <c r="J29" s="60"/>
      <c r="L29" s="115"/>
    </row>
    <row r="30" spans="1:67" ht="16.5" customHeight="1" x14ac:dyDescent="0.25">
      <c r="A30" s="57">
        <v>6392</v>
      </c>
      <c r="B30" s="53" t="s">
        <v>109</v>
      </c>
      <c r="C30" s="51" t="s">
        <v>20</v>
      </c>
      <c r="D30" s="52">
        <v>1001012566392</v>
      </c>
      <c r="E30" s="24">
        <v>84</v>
      </c>
      <c r="F30" s="23">
        <v>0.4</v>
      </c>
      <c r="G30" s="23">
        <f t="shared" si="3"/>
        <v>33.6</v>
      </c>
      <c r="H30" s="14">
        <v>3.2</v>
      </c>
      <c r="I30" s="14">
        <v>60</v>
      </c>
      <c r="J30" s="60"/>
      <c r="L30" s="115"/>
    </row>
    <row r="31" spans="1:67" ht="16.5" hidden="1" customHeight="1" x14ac:dyDescent="0.25">
      <c r="A31" s="57">
        <v>7343</v>
      </c>
      <c r="B31" s="53" t="s">
        <v>31</v>
      </c>
      <c r="C31" s="51" t="s">
        <v>20</v>
      </c>
      <c r="D31" s="104">
        <v>1001016747343</v>
      </c>
      <c r="E31" s="24">
        <v>0</v>
      </c>
      <c r="F31" s="23">
        <v>0.4</v>
      </c>
      <c r="G31" s="23">
        <f t="shared" si="3"/>
        <v>0</v>
      </c>
      <c r="H31" s="14">
        <v>3.2</v>
      </c>
      <c r="I31" s="14">
        <v>60</v>
      </c>
      <c r="J31" s="29"/>
      <c r="L31" s="115"/>
    </row>
    <row r="32" spans="1:67" s="61" customFormat="1" ht="16.5" hidden="1" customHeight="1" x14ac:dyDescent="0.25">
      <c r="A32" s="57">
        <v>6797</v>
      </c>
      <c r="B32" s="55" t="s">
        <v>114</v>
      </c>
      <c r="C32" s="56" t="s">
        <v>20</v>
      </c>
      <c r="D32" s="70">
        <v>1001015026797</v>
      </c>
      <c r="E32" s="24">
        <v>0</v>
      </c>
      <c r="F32" s="59">
        <v>0.4</v>
      </c>
      <c r="G32" s="23">
        <f t="shared" si="3"/>
        <v>0</v>
      </c>
      <c r="H32" s="60">
        <v>3.2</v>
      </c>
      <c r="I32" s="60">
        <v>60</v>
      </c>
      <c r="J32" s="60"/>
      <c r="K32" s="27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</row>
    <row r="33" spans="1:67" s="61" customFormat="1" ht="16.5" hidden="1" customHeight="1" x14ac:dyDescent="0.25">
      <c r="A33" s="57">
        <v>7231</v>
      </c>
      <c r="B33" s="55" t="s">
        <v>33</v>
      </c>
      <c r="C33" s="56" t="s">
        <v>20</v>
      </c>
      <c r="D33" s="70">
        <v>1001013957231</v>
      </c>
      <c r="E33" s="24">
        <v>0</v>
      </c>
      <c r="F33" s="59">
        <v>0.3</v>
      </c>
      <c r="G33" s="23">
        <f t="shared" si="3"/>
        <v>0</v>
      </c>
      <c r="H33" s="60">
        <v>2.4</v>
      </c>
      <c r="I33" s="60">
        <v>60</v>
      </c>
      <c r="J33" s="60"/>
      <c r="K33" s="27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</row>
    <row r="34" spans="1:67" s="61" customFormat="1" ht="16.5" hidden="1" customHeight="1" x14ac:dyDescent="0.25">
      <c r="A34" s="148">
        <v>7514</v>
      </c>
      <c r="B34" s="149" t="s">
        <v>203</v>
      </c>
      <c r="C34" s="56" t="s">
        <v>20</v>
      </c>
      <c r="D34" s="70">
        <v>1001017557514</v>
      </c>
      <c r="E34" s="24">
        <v>0</v>
      </c>
      <c r="F34" s="150">
        <v>1.6</v>
      </c>
      <c r="G34" s="23">
        <f t="shared" si="3"/>
        <v>0</v>
      </c>
      <c r="H34" s="60">
        <v>6.4</v>
      </c>
      <c r="I34" s="60">
        <v>30</v>
      </c>
      <c r="J34" s="151" t="s">
        <v>186</v>
      </c>
      <c r="K34" s="27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</row>
    <row r="35" spans="1:67" s="61" customFormat="1" ht="16.5" hidden="1" customHeight="1" thickBot="1" x14ac:dyDescent="0.25">
      <c r="A35" s="148">
        <v>7518</v>
      </c>
      <c r="B35" s="149" t="s">
        <v>204</v>
      </c>
      <c r="C35" s="56" t="s">
        <v>20</v>
      </c>
      <c r="D35" s="70">
        <v>1001017567518</v>
      </c>
      <c r="E35" s="24">
        <v>0</v>
      </c>
      <c r="F35" s="150">
        <v>1.35</v>
      </c>
      <c r="G35" s="23">
        <f t="shared" si="3"/>
        <v>0</v>
      </c>
      <c r="H35" s="60">
        <v>2.7</v>
      </c>
      <c r="I35" s="60">
        <v>30</v>
      </c>
      <c r="J35" s="151" t="s">
        <v>186</v>
      </c>
      <c r="K35" s="27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</row>
    <row r="36" spans="1:67" ht="16.5" hidden="1" customHeight="1" thickTop="1" thickBot="1" x14ac:dyDescent="0.3">
      <c r="A36" s="48" t="s">
        <v>104</v>
      </c>
      <c r="B36" s="43" t="s">
        <v>36</v>
      </c>
      <c r="C36" s="43"/>
      <c r="D36" s="43"/>
      <c r="E36" s="43"/>
      <c r="F36" s="42"/>
      <c r="G36" s="43"/>
      <c r="H36" s="43"/>
      <c r="I36" s="43"/>
      <c r="J36" s="44"/>
      <c r="L36" s="115"/>
    </row>
    <row r="37" spans="1:67" s="61" customFormat="1" ht="16.5" hidden="1" customHeight="1" thickTop="1" x14ac:dyDescent="0.25">
      <c r="A37" s="57">
        <v>6767</v>
      </c>
      <c r="B37" s="55" t="s">
        <v>43</v>
      </c>
      <c r="C37" s="56" t="s">
        <v>22</v>
      </c>
      <c r="D37" s="70">
        <v>1001023696767</v>
      </c>
      <c r="E37" s="24">
        <v>0</v>
      </c>
      <c r="F37" s="59">
        <v>1.04</v>
      </c>
      <c r="G37" s="23">
        <f t="shared" ref="G37:G48" si="4">E37</f>
        <v>0</v>
      </c>
      <c r="H37" s="60">
        <v>4.16</v>
      </c>
      <c r="I37" s="60">
        <v>45</v>
      </c>
      <c r="J37" s="60"/>
      <c r="K37" s="27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</row>
    <row r="38" spans="1:67" s="61" customFormat="1" ht="16.5" hidden="1" customHeight="1" x14ac:dyDescent="0.25">
      <c r="A38" s="57">
        <v>6761</v>
      </c>
      <c r="B38" s="55" t="s">
        <v>52</v>
      </c>
      <c r="C38" s="56" t="s">
        <v>22</v>
      </c>
      <c r="D38" s="70">
        <v>1001020836761</v>
      </c>
      <c r="E38" s="24">
        <v>0</v>
      </c>
      <c r="F38" s="59">
        <v>1</v>
      </c>
      <c r="G38" s="23">
        <f t="shared" si="4"/>
        <v>0</v>
      </c>
      <c r="H38" s="60">
        <v>4</v>
      </c>
      <c r="I38" s="60">
        <v>30</v>
      </c>
      <c r="J38" s="60"/>
      <c r="K38" s="27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</row>
    <row r="39" spans="1:67" s="61" customFormat="1" ht="16.5" hidden="1" customHeight="1" x14ac:dyDescent="0.25">
      <c r="A39" s="57">
        <v>6764</v>
      </c>
      <c r="B39" s="55" t="s">
        <v>48</v>
      </c>
      <c r="C39" s="56" t="s">
        <v>22</v>
      </c>
      <c r="D39" s="70">
        <v>1001020846764</v>
      </c>
      <c r="E39" s="24">
        <v>0</v>
      </c>
      <c r="F39" s="59">
        <v>1</v>
      </c>
      <c r="G39" s="23">
        <f t="shared" si="4"/>
        <v>0</v>
      </c>
      <c r="H39" s="60">
        <v>4</v>
      </c>
      <c r="I39" s="60">
        <v>45</v>
      </c>
      <c r="J39" s="60"/>
      <c r="K39" s="27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</row>
    <row r="40" spans="1:67" s="61" customFormat="1" ht="16.5" hidden="1" customHeight="1" x14ac:dyDescent="0.25">
      <c r="A40" s="57">
        <v>6254</v>
      </c>
      <c r="B40" s="55" t="s">
        <v>162</v>
      </c>
      <c r="C40" s="56" t="s">
        <v>22</v>
      </c>
      <c r="D40" s="70">
        <v>1001022556254</v>
      </c>
      <c r="E40" s="24">
        <v>0</v>
      </c>
      <c r="F40" s="59">
        <v>1.5</v>
      </c>
      <c r="G40" s="23">
        <f t="shared" si="4"/>
        <v>0</v>
      </c>
      <c r="H40" s="60">
        <v>3</v>
      </c>
      <c r="I40" s="60">
        <v>45</v>
      </c>
      <c r="J40" s="60"/>
      <c r="K40" s="27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</row>
    <row r="41" spans="1:67" s="61" customFormat="1" ht="16.5" hidden="1" customHeight="1" x14ac:dyDescent="0.25">
      <c r="A41" s="57">
        <v>7075</v>
      </c>
      <c r="B41" s="55" t="s">
        <v>49</v>
      </c>
      <c r="C41" s="56" t="s">
        <v>22</v>
      </c>
      <c r="D41" s="70">
        <v>1001022657075</v>
      </c>
      <c r="E41" s="24">
        <v>0</v>
      </c>
      <c r="F41" s="59">
        <v>1.5</v>
      </c>
      <c r="G41" s="23">
        <f t="shared" si="4"/>
        <v>0</v>
      </c>
      <c r="H41" s="60">
        <v>6</v>
      </c>
      <c r="I41" s="60">
        <v>50</v>
      </c>
      <c r="J41" s="60"/>
      <c r="K41" s="27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</row>
    <row r="42" spans="1:67" s="61" customFormat="1" ht="16.5" customHeight="1" x14ac:dyDescent="0.25">
      <c r="A42" s="57">
        <v>7083</v>
      </c>
      <c r="B42" s="55" t="s">
        <v>160</v>
      </c>
      <c r="C42" s="56" t="s">
        <v>22</v>
      </c>
      <c r="D42" s="70">
        <v>1001022467083</v>
      </c>
      <c r="E42" s="24">
        <v>170</v>
      </c>
      <c r="F42" s="59">
        <v>1.5</v>
      </c>
      <c r="G42" s="23">
        <f t="shared" si="4"/>
        <v>170</v>
      </c>
      <c r="H42" s="60">
        <v>6</v>
      </c>
      <c r="I42" s="60">
        <v>50</v>
      </c>
      <c r="J42" s="60"/>
      <c r="K42" s="27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</row>
    <row r="43" spans="1:67" s="61" customFormat="1" ht="16.5" hidden="1" customHeight="1" x14ac:dyDescent="0.25">
      <c r="A43" s="57">
        <v>6829</v>
      </c>
      <c r="B43" s="55" t="s">
        <v>156</v>
      </c>
      <c r="C43" s="56" t="s">
        <v>22</v>
      </c>
      <c r="D43" s="70">
        <v>1001024976829</v>
      </c>
      <c r="E43" s="24">
        <v>0</v>
      </c>
      <c r="F43" s="59">
        <v>2.1</v>
      </c>
      <c r="G43" s="23">
        <f t="shared" si="4"/>
        <v>0</v>
      </c>
      <c r="H43" s="60">
        <v>8.4</v>
      </c>
      <c r="I43" s="60">
        <v>45</v>
      </c>
      <c r="J43" s="60"/>
      <c r="K43" s="27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</row>
    <row r="44" spans="1:67" s="61" customFormat="1" ht="16.5" customHeight="1" x14ac:dyDescent="0.25">
      <c r="A44" s="57">
        <v>7070</v>
      </c>
      <c r="B44" s="55" t="s">
        <v>44</v>
      </c>
      <c r="C44" s="56" t="s">
        <v>22</v>
      </c>
      <c r="D44" s="70">
        <v>1001022377070</v>
      </c>
      <c r="E44" s="24">
        <v>80</v>
      </c>
      <c r="F44" s="59">
        <v>1.5</v>
      </c>
      <c r="G44" s="23">
        <f t="shared" si="4"/>
        <v>80</v>
      </c>
      <c r="H44" s="60">
        <v>6</v>
      </c>
      <c r="I44" s="60">
        <v>50</v>
      </c>
      <c r="J44" s="60"/>
      <c r="K44" s="27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</row>
    <row r="45" spans="1:67" s="61" customFormat="1" ht="16.5" hidden="1" customHeight="1" x14ac:dyDescent="0.25">
      <c r="A45" s="57">
        <v>7076</v>
      </c>
      <c r="B45" s="55" t="s">
        <v>178</v>
      </c>
      <c r="C45" s="56" t="s">
        <v>22</v>
      </c>
      <c r="D45" s="70">
        <v>1001022657076</v>
      </c>
      <c r="E45" s="24">
        <v>0</v>
      </c>
      <c r="F45" s="59">
        <v>1.5</v>
      </c>
      <c r="G45" s="23">
        <f t="shared" si="4"/>
        <v>0</v>
      </c>
      <c r="H45" s="60">
        <v>6</v>
      </c>
      <c r="I45" s="60">
        <v>50</v>
      </c>
      <c r="J45" s="60"/>
      <c r="K45" s="27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</row>
    <row r="46" spans="1:67" s="61" customFormat="1" ht="16.5" customHeight="1" x14ac:dyDescent="0.25">
      <c r="A46" s="57">
        <v>7271</v>
      </c>
      <c r="B46" s="55" t="s">
        <v>159</v>
      </c>
      <c r="C46" s="56" t="s">
        <v>22</v>
      </c>
      <c r="D46" s="70">
        <v>1001025507271</v>
      </c>
      <c r="E46" s="24">
        <v>80</v>
      </c>
      <c r="F46" s="59">
        <v>1.5</v>
      </c>
      <c r="G46" s="23">
        <f t="shared" si="4"/>
        <v>80</v>
      </c>
      <c r="H46" s="60">
        <v>6</v>
      </c>
      <c r="I46" s="60">
        <v>50</v>
      </c>
      <c r="J46" s="60"/>
      <c r="K46" s="27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  <c r="BO46" s="115"/>
    </row>
    <row r="47" spans="1:67" s="61" customFormat="1" ht="16.5" customHeight="1" x14ac:dyDescent="0.25">
      <c r="A47" s="57">
        <v>6303</v>
      </c>
      <c r="B47" s="55" t="s">
        <v>158</v>
      </c>
      <c r="C47" s="56" t="s">
        <v>22</v>
      </c>
      <c r="D47" s="70">
        <v>1001022726303</v>
      </c>
      <c r="E47" s="24">
        <v>30</v>
      </c>
      <c r="F47" s="59">
        <v>1.5</v>
      </c>
      <c r="G47" s="23">
        <f t="shared" si="4"/>
        <v>30</v>
      </c>
      <c r="H47" s="60">
        <v>4.5</v>
      </c>
      <c r="I47" s="60">
        <v>45</v>
      </c>
      <c r="J47" s="60"/>
      <c r="K47" s="27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</row>
    <row r="48" spans="1:67" s="61" customFormat="1" ht="16.5" hidden="1" customHeight="1" x14ac:dyDescent="0.25">
      <c r="A48" s="57">
        <v>6661</v>
      </c>
      <c r="B48" s="55" t="s">
        <v>161</v>
      </c>
      <c r="C48" s="56" t="s">
        <v>22</v>
      </c>
      <c r="D48" s="70">
        <v>1001022246661</v>
      </c>
      <c r="E48" s="24">
        <v>0</v>
      </c>
      <c r="F48" s="59">
        <v>1.5</v>
      </c>
      <c r="G48" s="23">
        <f t="shared" si="4"/>
        <v>0</v>
      </c>
      <c r="H48" s="60">
        <v>6</v>
      </c>
      <c r="I48" s="60">
        <v>45</v>
      </c>
      <c r="J48" s="60"/>
      <c r="K48" s="27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</row>
    <row r="49" spans="1:67" s="61" customFormat="1" ht="16.5" hidden="1" customHeight="1" x14ac:dyDescent="0.25">
      <c r="A49" s="57">
        <v>6759</v>
      </c>
      <c r="B49" s="55" t="s">
        <v>41</v>
      </c>
      <c r="C49" s="56" t="s">
        <v>20</v>
      </c>
      <c r="D49" s="70">
        <v>1001020836759</v>
      </c>
      <c r="E49" s="24">
        <v>0</v>
      </c>
      <c r="F49" s="59">
        <v>0.4</v>
      </c>
      <c r="G49" s="23">
        <f t="shared" ref="G49:G75" si="5">E49*F49</f>
        <v>0</v>
      </c>
      <c r="H49" s="60">
        <v>2.8</v>
      </c>
      <c r="I49" s="60">
        <v>30</v>
      </c>
      <c r="J49" s="60"/>
      <c r="K49" s="27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115"/>
      <c r="BN49" s="115"/>
      <c r="BO49" s="115"/>
    </row>
    <row r="50" spans="1:67" s="61" customFormat="1" ht="16.5" hidden="1" customHeight="1" x14ac:dyDescent="0.25">
      <c r="A50" s="57">
        <v>6762</v>
      </c>
      <c r="B50" s="55" t="s">
        <v>39</v>
      </c>
      <c r="C50" s="56" t="s">
        <v>20</v>
      </c>
      <c r="D50" s="70">
        <v>1001020846762</v>
      </c>
      <c r="E50" s="24">
        <v>0</v>
      </c>
      <c r="F50" s="59">
        <v>0.41</v>
      </c>
      <c r="G50" s="23">
        <f t="shared" si="5"/>
        <v>0</v>
      </c>
      <c r="H50" s="60">
        <v>3.28</v>
      </c>
      <c r="I50" s="60">
        <v>45</v>
      </c>
      <c r="J50" s="60"/>
      <c r="K50" s="27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  <c r="BO50" s="115"/>
    </row>
    <row r="51" spans="1:67" s="61" customFormat="1" ht="16.5" hidden="1" customHeight="1" x14ac:dyDescent="0.25">
      <c r="A51" s="57">
        <v>6765</v>
      </c>
      <c r="B51" s="55" t="s">
        <v>40</v>
      </c>
      <c r="C51" s="56" t="s">
        <v>20</v>
      </c>
      <c r="D51" s="70">
        <v>1001023696765</v>
      </c>
      <c r="E51" s="24">
        <v>0</v>
      </c>
      <c r="F51" s="59">
        <v>0.36</v>
      </c>
      <c r="G51" s="23">
        <f t="shared" si="5"/>
        <v>0</v>
      </c>
      <c r="H51" s="60">
        <v>2.16</v>
      </c>
      <c r="I51" s="60">
        <v>45</v>
      </c>
      <c r="J51" s="60"/>
      <c r="K51" s="27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</row>
    <row r="52" spans="1:67" s="61" customFormat="1" ht="16.5" hidden="1" customHeight="1" x14ac:dyDescent="0.25">
      <c r="A52" s="57">
        <v>7074</v>
      </c>
      <c r="B52" s="55" t="s">
        <v>157</v>
      </c>
      <c r="C52" s="56" t="s">
        <v>20</v>
      </c>
      <c r="D52" s="70">
        <v>1001022657074</v>
      </c>
      <c r="E52" s="24">
        <v>0</v>
      </c>
      <c r="F52" s="59">
        <v>0.6</v>
      </c>
      <c r="G52" s="23">
        <f t="shared" si="5"/>
        <v>0</v>
      </c>
      <c r="H52" s="60">
        <v>4.8</v>
      </c>
      <c r="I52" s="60">
        <v>50</v>
      </c>
      <c r="J52" s="60"/>
      <c r="K52" s="27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</row>
    <row r="53" spans="1:67" s="61" customFormat="1" ht="16.5" hidden="1" customHeight="1" x14ac:dyDescent="0.25">
      <c r="A53" s="57">
        <v>7123</v>
      </c>
      <c r="B53" s="55" t="s">
        <v>179</v>
      </c>
      <c r="C53" s="56" t="s">
        <v>20</v>
      </c>
      <c r="D53" s="70">
        <v>1001020867123</v>
      </c>
      <c r="E53" s="24">
        <v>0</v>
      </c>
      <c r="F53" s="59">
        <v>0.3</v>
      </c>
      <c r="G53" s="23">
        <f t="shared" si="5"/>
        <v>0</v>
      </c>
      <c r="H53" s="60">
        <v>1.8</v>
      </c>
      <c r="I53" s="60">
        <v>45</v>
      </c>
      <c r="J53" s="60"/>
      <c r="K53" s="27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</row>
    <row r="54" spans="1:67" s="61" customFormat="1" ht="16.5" hidden="1" customHeight="1" x14ac:dyDescent="0.25">
      <c r="A54" s="57">
        <v>5819</v>
      </c>
      <c r="B54" s="55" t="s">
        <v>38</v>
      </c>
      <c r="C54" s="56" t="s">
        <v>20</v>
      </c>
      <c r="D54" s="70">
        <v>1001022725819</v>
      </c>
      <c r="E54" s="24">
        <v>0</v>
      </c>
      <c r="F54" s="59">
        <v>0.4</v>
      </c>
      <c r="G54" s="23">
        <f t="shared" si="5"/>
        <v>0</v>
      </c>
      <c r="H54" s="60">
        <v>3.2</v>
      </c>
      <c r="I54" s="60">
        <v>45</v>
      </c>
      <c r="J54" s="60"/>
      <c r="K54" s="27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</row>
    <row r="55" spans="1:67" s="61" customFormat="1" ht="16.5" hidden="1" customHeight="1" x14ac:dyDescent="0.25">
      <c r="A55" s="57">
        <v>6475</v>
      </c>
      <c r="B55" s="55" t="s">
        <v>45</v>
      </c>
      <c r="C55" s="56" t="s">
        <v>20</v>
      </c>
      <c r="D55" s="70">
        <v>1001025176475</v>
      </c>
      <c r="E55" s="24">
        <v>0</v>
      </c>
      <c r="F55" s="59">
        <v>0.4</v>
      </c>
      <c r="G55" s="23">
        <f t="shared" si="5"/>
        <v>0</v>
      </c>
      <c r="H55" s="60">
        <v>2.4</v>
      </c>
      <c r="I55" s="60">
        <v>45</v>
      </c>
      <c r="J55" s="60"/>
      <c r="K55" s="27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</row>
    <row r="56" spans="1:67" s="61" customFormat="1" ht="16.5" hidden="1" customHeight="1" x14ac:dyDescent="0.25">
      <c r="A56" s="138">
        <v>7284</v>
      </c>
      <c r="B56" s="139" t="s">
        <v>180</v>
      </c>
      <c r="C56" s="140" t="s">
        <v>20</v>
      </c>
      <c r="D56" s="144">
        <v>1001025767284</v>
      </c>
      <c r="E56" s="24">
        <v>0</v>
      </c>
      <c r="F56" s="142">
        <v>0.33</v>
      </c>
      <c r="G56" s="142">
        <f t="shared" si="5"/>
        <v>0</v>
      </c>
      <c r="H56" s="143">
        <v>1.98</v>
      </c>
      <c r="I56" s="143">
        <v>30</v>
      </c>
      <c r="J56" s="143" t="s">
        <v>196</v>
      </c>
      <c r="K56" s="27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</row>
    <row r="57" spans="1:67" s="61" customFormat="1" ht="16.5" customHeight="1" x14ac:dyDescent="0.25">
      <c r="A57" s="145">
        <v>7461</v>
      </c>
      <c r="B57" s="55" t="s">
        <v>182</v>
      </c>
      <c r="C57" s="56" t="s">
        <v>20</v>
      </c>
      <c r="D57" s="70">
        <v>1001025767461</v>
      </c>
      <c r="E57" s="24">
        <v>100</v>
      </c>
      <c r="F57" s="59">
        <v>0.33</v>
      </c>
      <c r="G57" s="23">
        <f>E57*F57</f>
        <v>33</v>
      </c>
      <c r="H57" s="60">
        <v>1.98</v>
      </c>
      <c r="I57" s="60">
        <v>30</v>
      </c>
      <c r="J57" s="60"/>
      <c r="K57" s="27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</row>
    <row r="58" spans="1:67" s="61" customFormat="1" ht="16.5" hidden="1" customHeight="1" x14ac:dyDescent="0.25">
      <c r="A58" s="57">
        <v>7601</v>
      </c>
      <c r="B58" s="55" t="s">
        <v>181</v>
      </c>
      <c r="C58" s="56" t="s">
        <v>20</v>
      </c>
      <c r="D58" s="70">
        <v>1001025767601</v>
      </c>
      <c r="E58" s="24">
        <v>0</v>
      </c>
      <c r="F58" s="59">
        <v>0.26400000000000001</v>
      </c>
      <c r="G58" s="23">
        <f t="shared" si="5"/>
        <v>0</v>
      </c>
      <c r="H58" s="60">
        <v>1.58</v>
      </c>
      <c r="I58" s="60">
        <v>30</v>
      </c>
      <c r="J58" s="60"/>
      <c r="K58" s="27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</row>
    <row r="59" spans="1:67" s="61" customFormat="1" ht="16.5" hidden="1" customHeight="1" x14ac:dyDescent="0.25">
      <c r="A59" s="138">
        <v>7371</v>
      </c>
      <c r="B59" s="139" t="s">
        <v>183</v>
      </c>
      <c r="C59" s="140" t="s">
        <v>20</v>
      </c>
      <c r="D59" s="144">
        <v>1001026947371</v>
      </c>
      <c r="E59" s="24">
        <v>0</v>
      </c>
      <c r="F59" s="142">
        <v>0.3</v>
      </c>
      <c r="G59" s="142">
        <f t="shared" si="5"/>
        <v>0</v>
      </c>
      <c r="H59" s="143">
        <v>2.4</v>
      </c>
      <c r="I59" s="143">
        <v>45</v>
      </c>
      <c r="J59" s="143" t="s">
        <v>196</v>
      </c>
      <c r="K59" s="27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</row>
    <row r="60" spans="1:67" s="61" customFormat="1" ht="16.5" customHeight="1" x14ac:dyDescent="0.25">
      <c r="A60" s="57">
        <v>6837</v>
      </c>
      <c r="B60" s="55" t="s">
        <v>47</v>
      </c>
      <c r="C60" s="56" t="s">
        <v>20</v>
      </c>
      <c r="D60" s="70">
        <v>1001022556837</v>
      </c>
      <c r="E60" s="24">
        <v>150</v>
      </c>
      <c r="F60" s="59">
        <v>0.4</v>
      </c>
      <c r="G60" s="23">
        <f t="shared" si="5"/>
        <v>60</v>
      </c>
      <c r="H60" s="60">
        <v>2.4</v>
      </c>
      <c r="I60" s="60">
        <v>45</v>
      </c>
      <c r="J60" s="60"/>
      <c r="K60" s="27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</row>
    <row r="61" spans="1:67" ht="16.5" customHeight="1" x14ac:dyDescent="0.25">
      <c r="A61" s="57">
        <v>7080</v>
      </c>
      <c r="B61" s="55" t="s">
        <v>53</v>
      </c>
      <c r="C61" s="56" t="s">
        <v>20</v>
      </c>
      <c r="D61" s="70">
        <v>1001022467080</v>
      </c>
      <c r="E61" s="24">
        <v>50</v>
      </c>
      <c r="F61" s="23">
        <v>0.41</v>
      </c>
      <c r="G61" s="23">
        <f t="shared" si="5"/>
        <v>20.5</v>
      </c>
      <c r="H61" s="14">
        <v>4.0999999999999996</v>
      </c>
      <c r="I61" s="14">
        <v>50</v>
      </c>
      <c r="J61" s="29"/>
      <c r="L61" s="115"/>
    </row>
    <row r="62" spans="1:67" ht="16.5" hidden="1" customHeight="1" x14ac:dyDescent="0.25">
      <c r="A62" s="57">
        <v>6724</v>
      </c>
      <c r="B62" s="55" t="s">
        <v>51</v>
      </c>
      <c r="C62" s="56" t="s">
        <v>20</v>
      </c>
      <c r="D62" s="70">
        <v>1001020836724</v>
      </c>
      <c r="E62" s="24">
        <v>0</v>
      </c>
      <c r="F62" s="23">
        <v>0.41</v>
      </c>
      <c r="G62" s="23">
        <f t="shared" si="5"/>
        <v>0</v>
      </c>
      <c r="H62" s="14">
        <v>4.0999999999999996</v>
      </c>
      <c r="I62" s="14">
        <v>45</v>
      </c>
      <c r="J62" s="29"/>
      <c r="L62" s="115"/>
    </row>
    <row r="63" spans="1:67" ht="16.5" customHeight="1" x14ac:dyDescent="0.25">
      <c r="A63" s="57">
        <v>7066</v>
      </c>
      <c r="B63" s="55" t="s">
        <v>55</v>
      </c>
      <c r="C63" s="56" t="s">
        <v>20</v>
      </c>
      <c r="D63" s="70">
        <v>1001022377066</v>
      </c>
      <c r="E63" s="24">
        <v>250</v>
      </c>
      <c r="F63" s="23">
        <v>0.41</v>
      </c>
      <c r="G63" s="23">
        <f t="shared" si="5"/>
        <v>102.5</v>
      </c>
      <c r="H63" s="14">
        <v>4.0999999999999996</v>
      </c>
      <c r="I63" s="14">
        <v>50</v>
      </c>
      <c r="J63" s="29"/>
      <c r="L63" s="115"/>
    </row>
    <row r="64" spans="1:67" ht="16.5" hidden="1" customHeight="1" x14ac:dyDescent="0.25">
      <c r="A64" s="138">
        <v>6713</v>
      </c>
      <c r="B64" s="152" t="s">
        <v>46</v>
      </c>
      <c r="C64" s="140" t="s">
        <v>20</v>
      </c>
      <c r="D64" s="153">
        <v>1001022246713</v>
      </c>
      <c r="E64" s="24">
        <v>0</v>
      </c>
      <c r="F64" s="154">
        <v>0.41</v>
      </c>
      <c r="G64" s="155">
        <f>E64*F64</f>
        <v>0</v>
      </c>
      <c r="H64" s="156">
        <v>3.28</v>
      </c>
      <c r="I64" s="157">
        <v>45</v>
      </c>
      <c r="J64" s="158" t="s">
        <v>205</v>
      </c>
      <c r="L64" s="115"/>
    </row>
    <row r="65" spans="1:12" ht="16.5" hidden="1" customHeight="1" x14ac:dyDescent="0.25">
      <c r="A65" s="57">
        <v>7490</v>
      </c>
      <c r="B65" s="159" t="s">
        <v>206</v>
      </c>
      <c r="C65" s="56" t="s">
        <v>20</v>
      </c>
      <c r="D65" s="160">
        <v>1001027417490</v>
      </c>
      <c r="E65" s="24">
        <v>0</v>
      </c>
      <c r="F65" s="161">
        <v>0.41</v>
      </c>
      <c r="G65" s="162">
        <f>E65*F65</f>
        <v>0</v>
      </c>
      <c r="H65" s="163">
        <v>3.28</v>
      </c>
      <c r="I65" s="164">
        <v>45</v>
      </c>
      <c r="J65" s="165" t="s">
        <v>207</v>
      </c>
      <c r="L65" s="115"/>
    </row>
    <row r="66" spans="1:12" ht="16.5" hidden="1" customHeight="1" x14ac:dyDescent="0.25">
      <c r="A66" s="57">
        <v>7255</v>
      </c>
      <c r="B66" s="55" t="s">
        <v>37</v>
      </c>
      <c r="C66" s="56" t="s">
        <v>20</v>
      </c>
      <c r="D66" s="70">
        <v>1001025507255</v>
      </c>
      <c r="E66" s="24">
        <v>0</v>
      </c>
      <c r="F66" s="23">
        <v>0.4</v>
      </c>
      <c r="G66" s="23">
        <f t="shared" si="5"/>
        <v>0</v>
      </c>
      <c r="H66" s="14">
        <v>2.4</v>
      </c>
      <c r="I66" s="14">
        <v>50</v>
      </c>
      <c r="J66" s="29"/>
      <c r="L66" s="115"/>
    </row>
    <row r="67" spans="1:12" ht="16.5" hidden="1" customHeight="1" x14ac:dyDescent="0.25">
      <c r="A67" s="57">
        <v>6602</v>
      </c>
      <c r="B67" s="55" t="s">
        <v>155</v>
      </c>
      <c r="C67" s="56" t="s">
        <v>20</v>
      </c>
      <c r="D67" s="70">
        <v>1001021966602</v>
      </c>
      <c r="E67" s="24">
        <v>0</v>
      </c>
      <c r="F67" s="23">
        <v>0.35</v>
      </c>
      <c r="G67" s="23">
        <f t="shared" si="5"/>
        <v>0</v>
      </c>
      <c r="H67" s="14">
        <v>2.8</v>
      </c>
      <c r="I67" s="14">
        <v>45</v>
      </c>
      <c r="J67" s="29"/>
      <c r="L67" s="115"/>
    </row>
    <row r="68" spans="1:12" ht="16.5" hidden="1" customHeight="1" x14ac:dyDescent="0.25">
      <c r="A68" s="145">
        <v>7040</v>
      </c>
      <c r="B68" s="55" t="s">
        <v>200</v>
      </c>
      <c r="C68" s="56" t="s">
        <v>20</v>
      </c>
      <c r="D68" s="70">
        <v>1001025027040</v>
      </c>
      <c r="E68" s="24">
        <v>0</v>
      </c>
      <c r="F68" s="23">
        <v>0.27</v>
      </c>
      <c r="G68" s="23">
        <f>E68*F68</f>
        <v>0</v>
      </c>
      <c r="H68" s="14">
        <v>2.16</v>
      </c>
      <c r="I68" s="14">
        <v>45</v>
      </c>
      <c r="J68" s="60"/>
      <c r="L68" s="115"/>
    </row>
    <row r="69" spans="1:12" ht="16.5" hidden="1" customHeight="1" x14ac:dyDescent="0.25">
      <c r="A69" s="138">
        <v>7521</v>
      </c>
      <c r="B69" s="139" t="s">
        <v>201</v>
      </c>
      <c r="C69" s="140" t="s">
        <v>20</v>
      </c>
      <c r="D69" s="144">
        <v>1001021007521</v>
      </c>
      <c r="E69" s="24">
        <v>0</v>
      </c>
      <c r="F69" s="142">
        <v>0.5</v>
      </c>
      <c r="G69" s="142">
        <f>E69*F69</f>
        <v>0</v>
      </c>
      <c r="H69" s="143">
        <v>5</v>
      </c>
      <c r="I69" s="143">
        <v>45</v>
      </c>
      <c r="J69" s="143" t="s">
        <v>202</v>
      </c>
      <c r="L69" s="115"/>
    </row>
    <row r="70" spans="1:12" ht="16.5" customHeight="1" x14ac:dyDescent="0.25">
      <c r="A70" s="57">
        <v>7073</v>
      </c>
      <c r="B70" s="55" t="s">
        <v>50</v>
      </c>
      <c r="C70" s="56" t="s">
        <v>20</v>
      </c>
      <c r="D70" s="70">
        <v>1001022657073</v>
      </c>
      <c r="E70" s="24">
        <v>30</v>
      </c>
      <c r="F70" s="23">
        <v>0.35</v>
      </c>
      <c r="G70" s="23">
        <f t="shared" si="5"/>
        <v>10.5</v>
      </c>
      <c r="H70" s="14">
        <v>2.8</v>
      </c>
      <c r="I70" s="14">
        <v>50</v>
      </c>
      <c r="J70" s="29"/>
      <c r="L70" s="115"/>
    </row>
    <row r="71" spans="1:12" ht="16.5" hidden="1" customHeight="1" x14ac:dyDescent="0.25">
      <c r="A71" s="57">
        <v>7276</v>
      </c>
      <c r="B71" s="55" t="s">
        <v>54</v>
      </c>
      <c r="C71" s="56" t="s">
        <v>20</v>
      </c>
      <c r="D71" s="70">
        <v>1001022467276</v>
      </c>
      <c r="E71" s="24">
        <v>0</v>
      </c>
      <c r="F71" s="23">
        <v>0.3</v>
      </c>
      <c r="G71" s="23">
        <f t="shared" si="5"/>
        <v>0</v>
      </c>
      <c r="H71" s="14">
        <v>2.1</v>
      </c>
      <c r="I71" s="14">
        <v>50</v>
      </c>
      <c r="J71" s="29"/>
      <c r="L71" s="115"/>
    </row>
    <row r="72" spans="1:12" ht="16.5" hidden="1" customHeight="1" x14ac:dyDescent="0.25">
      <c r="A72" s="57">
        <v>6616</v>
      </c>
      <c r="B72" s="55" t="s">
        <v>42</v>
      </c>
      <c r="C72" s="56" t="s">
        <v>20</v>
      </c>
      <c r="D72" s="70">
        <v>1001024976616</v>
      </c>
      <c r="E72" s="24">
        <v>0</v>
      </c>
      <c r="F72" s="23">
        <v>0.3</v>
      </c>
      <c r="G72" s="23">
        <f t="shared" si="5"/>
        <v>0</v>
      </c>
      <c r="H72" s="14">
        <v>2.4</v>
      </c>
      <c r="I72" s="14">
        <v>45</v>
      </c>
      <c r="J72" s="29"/>
      <c r="L72" s="115"/>
    </row>
    <row r="73" spans="1:12" ht="16.5" hidden="1" customHeight="1" x14ac:dyDescent="0.25">
      <c r="A73" s="57">
        <v>7044</v>
      </c>
      <c r="B73" s="55" t="s">
        <v>164</v>
      </c>
      <c r="C73" s="56" t="s">
        <v>20</v>
      </c>
      <c r="D73" s="70">
        <v>1001025167044</v>
      </c>
      <c r="E73" s="24">
        <v>0</v>
      </c>
      <c r="F73" s="23">
        <v>0.32</v>
      </c>
      <c r="G73" s="23">
        <f>E73*F73</f>
        <v>0</v>
      </c>
      <c r="H73" s="14">
        <v>2.56</v>
      </c>
      <c r="I73" s="14">
        <v>45</v>
      </c>
      <c r="J73" s="29"/>
      <c r="L73" s="115"/>
    </row>
    <row r="74" spans="1:12" ht="16.5" hidden="1" customHeight="1" x14ac:dyDescent="0.25">
      <c r="A74" s="138">
        <v>7385</v>
      </c>
      <c r="B74" s="139" t="s">
        <v>163</v>
      </c>
      <c r="C74" s="140" t="s">
        <v>20</v>
      </c>
      <c r="D74" s="144">
        <v>1001027067385</v>
      </c>
      <c r="E74" s="24">
        <v>0</v>
      </c>
      <c r="F74" s="142">
        <v>0.33</v>
      </c>
      <c r="G74" s="142">
        <f t="shared" si="5"/>
        <v>0</v>
      </c>
      <c r="H74" s="143">
        <v>2.64</v>
      </c>
      <c r="I74" s="143">
        <v>45</v>
      </c>
      <c r="J74" s="143" t="s">
        <v>196</v>
      </c>
      <c r="L74" s="115"/>
    </row>
    <row r="75" spans="1:12" ht="16.5" hidden="1" customHeight="1" thickBot="1" x14ac:dyDescent="0.25">
      <c r="A75" s="138">
        <v>7460</v>
      </c>
      <c r="B75" s="139" t="s">
        <v>165</v>
      </c>
      <c r="C75" s="140" t="s">
        <v>20</v>
      </c>
      <c r="D75" s="144">
        <v>1001027247460</v>
      </c>
      <c r="E75" s="24">
        <v>0</v>
      </c>
      <c r="F75" s="142">
        <v>0.33</v>
      </c>
      <c r="G75" s="142">
        <f t="shared" si="5"/>
        <v>0</v>
      </c>
      <c r="H75" s="143">
        <v>2.64</v>
      </c>
      <c r="I75" s="143">
        <v>45</v>
      </c>
      <c r="J75" s="143" t="s">
        <v>196</v>
      </c>
      <c r="L75" s="115"/>
    </row>
    <row r="76" spans="1:12" ht="16.5" hidden="1" customHeight="1" thickTop="1" thickBot="1" x14ac:dyDescent="0.3">
      <c r="A76" s="48" t="s">
        <v>104</v>
      </c>
      <c r="B76" s="43" t="s">
        <v>56</v>
      </c>
      <c r="C76" s="43"/>
      <c r="D76" s="43"/>
      <c r="E76" s="24">
        <v>0</v>
      </c>
      <c r="F76" s="42"/>
      <c r="G76" s="43"/>
      <c r="H76" s="43"/>
      <c r="I76" s="43"/>
      <c r="J76" s="44"/>
      <c r="L76" s="115"/>
    </row>
    <row r="77" spans="1:12" ht="16.5" hidden="1" customHeight="1" thickTop="1" x14ac:dyDescent="0.25">
      <c r="A77" s="57">
        <v>6527</v>
      </c>
      <c r="B77" s="110" t="s">
        <v>152</v>
      </c>
      <c r="C77" s="111" t="s">
        <v>22</v>
      </c>
      <c r="D77" s="58">
        <v>1001031076527</v>
      </c>
      <c r="E77" s="24">
        <v>0</v>
      </c>
      <c r="F77" s="59">
        <v>1</v>
      </c>
      <c r="G77" s="23">
        <f t="shared" ref="G77:G81" si="6">E77</f>
        <v>0</v>
      </c>
      <c r="H77" s="60">
        <v>3</v>
      </c>
      <c r="I77" s="60">
        <v>45</v>
      </c>
      <c r="J77" s="60"/>
      <c r="L77" s="115"/>
    </row>
    <row r="78" spans="1:12" ht="16.5" customHeight="1" x14ac:dyDescent="0.25">
      <c r="A78" s="57">
        <v>6550</v>
      </c>
      <c r="B78" s="110" t="s">
        <v>151</v>
      </c>
      <c r="C78" s="51" t="s">
        <v>22</v>
      </c>
      <c r="D78" s="52">
        <v>1001032736550</v>
      </c>
      <c r="E78" s="24">
        <v>80</v>
      </c>
      <c r="F78" s="23">
        <v>1</v>
      </c>
      <c r="G78" s="23">
        <f t="shared" si="6"/>
        <v>80</v>
      </c>
      <c r="H78" s="14">
        <v>3</v>
      </c>
      <c r="I78" s="14">
        <v>45</v>
      </c>
      <c r="J78" s="29"/>
      <c r="L78" s="115"/>
    </row>
    <row r="79" spans="1:12" ht="16.5" hidden="1" customHeight="1" x14ac:dyDescent="0.25">
      <c r="A79" s="57">
        <v>6549</v>
      </c>
      <c r="B79" s="110" t="s">
        <v>176</v>
      </c>
      <c r="C79" s="51" t="s">
        <v>22</v>
      </c>
      <c r="D79" s="52">
        <v>1001032736549</v>
      </c>
      <c r="E79" s="24">
        <v>0</v>
      </c>
      <c r="F79" s="23">
        <v>1</v>
      </c>
      <c r="G79" s="23">
        <f t="shared" si="6"/>
        <v>0</v>
      </c>
      <c r="H79" s="14">
        <v>3</v>
      </c>
      <c r="I79" s="14">
        <v>45</v>
      </c>
      <c r="J79" s="29"/>
      <c r="L79" s="115"/>
    </row>
    <row r="80" spans="1:12" ht="16.5" hidden="1" customHeight="1" x14ac:dyDescent="0.25">
      <c r="A80" s="57">
        <v>7001</v>
      </c>
      <c r="B80" s="110" t="s">
        <v>57</v>
      </c>
      <c r="C80" s="51" t="s">
        <v>22</v>
      </c>
      <c r="D80" s="52">
        <v>1001035937001</v>
      </c>
      <c r="E80" s="24">
        <v>0</v>
      </c>
      <c r="F80" s="23">
        <v>1</v>
      </c>
      <c r="G80" s="23">
        <f t="shared" si="6"/>
        <v>0</v>
      </c>
      <c r="H80" s="14">
        <v>3</v>
      </c>
      <c r="I80" s="14">
        <v>45</v>
      </c>
      <c r="J80" s="29"/>
      <c r="L80" s="115"/>
    </row>
    <row r="81" spans="1:12" ht="16.5" customHeight="1" x14ac:dyDescent="0.25">
      <c r="A81" s="57">
        <v>6608</v>
      </c>
      <c r="B81" s="105" t="s">
        <v>58</v>
      </c>
      <c r="C81" s="51" t="s">
        <v>22</v>
      </c>
      <c r="D81" s="52">
        <v>1001033856608</v>
      </c>
      <c r="E81" s="24">
        <v>40</v>
      </c>
      <c r="F81" s="23">
        <v>1</v>
      </c>
      <c r="G81" s="23">
        <f t="shared" si="6"/>
        <v>40</v>
      </c>
      <c r="H81" s="14">
        <v>3</v>
      </c>
      <c r="I81" s="14">
        <v>45</v>
      </c>
      <c r="J81" s="29"/>
      <c r="L81" s="115"/>
    </row>
    <row r="82" spans="1:12" ht="16.5" hidden="1" customHeight="1" x14ac:dyDescent="0.25">
      <c r="A82" s="57">
        <v>7059</v>
      </c>
      <c r="B82" s="105" t="s">
        <v>154</v>
      </c>
      <c r="C82" s="51" t="s">
        <v>20</v>
      </c>
      <c r="D82" s="52">
        <v>1001035277059</v>
      </c>
      <c r="E82" s="24">
        <v>0</v>
      </c>
      <c r="F82" s="23">
        <v>0.3</v>
      </c>
      <c r="G82" s="23">
        <f t="shared" ref="G82:G83" si="7">E82*F82</f>
        <v>0</v>
      </c>
      <c r="H82" s="14">
        <v>2.4</v>
      </c>
      <c r="I82" s="14">
        <v>60</v>
      </c>
      <c r="J82" s="29"/>
      <c r="L82" s="115"/>
    </row>
    <row r="83" spans="1:12" ht="16.5" hidden="1" customHeight="1" thickBot="1" x14ac:dyDescent="0.25">
      <c r="A83" s="57">
        <v>6609</v>
      </c>
      <c r="B83" s="105" t="s">
        <v>153</v>
      </c>
      <c r="C83" s="51" t="s">
        <v>20</v>
      </c>
      <c r="D83" s="52">
        <v>1001033856609</v>
      </c>
      <c r="E83" s="24">
        <v>0</v>
      </c>
      <c r="F83" s="23">
        <v>0.4</v>
      </c>
      <c r="G83" s="23">
        <f t="shared" si="7"/>
        <v>0</v>
      </c>
      <c r="H83" s="14">
        <v>2.4</v>
      </c>
      <c r="I83" s="14">
        <v>45</v>
      </c>
      <c r="J83" s="29"/>
      <c r="L83" s="115"/>
    </row>
    <row r="84" spans="1:12" ht="16.5" hidden="1" customHeight="1" thickTop="1" thickBot="1" x14ac:dyDescent="0.3">
      <c r="A84" s="48" t="s">
        <v>104</v>
      </c>
      <c r="B84" s="43" t="s">
        <v>59</v>
      </c>
      <c r="C84" s="43"/>
      <c r="D84" s="43"/>
      <c r="E84" s="24">
        <v>0</v>
      </c>
      <c r="F84" s="42"/>
      <c r="G84" s="43"/>
      <c r="H84" s="43"/>
      <c r="I84" s="43"/>
      <c r="J84" s="44"/>
      <c r="L84" s="115"/>
    </row>
    <row r="85" spans="1:12" ht="16.5" hidden="1" customHeight="1" thickTop="1" x14ac:dyDescent="0.25">
      <c r="A85" s="145">
        <v>7564</v>
      </c>
      <c r="B85" s="55" t="s">
        <v>121</v>
      </c>
      <c r="C85" s="51" t="s">
        <v>22</v>
      </c>
      <c r="D85" s="52">
        <v>1001303637564</v>
      </c>
      <c r="E85" s="24">
        <v>0</v>
      </c>
      <c r="F85" s="23">
        <v>0.84</v>
      </c>
      <c r="G85" s="23">
        <f t="shared" ref="G85:G89" si="8">E85</f>
        <v>0</v>
      </c>
      <c r="H85" s="14">
        <v>5.04</v>
      </c>
      <c r="I85" s="14">
        <v>45</v>
      </c>
      <c r="J85" s="60"/>
      <c r="L85" s="115"/>
    </row>
    <row r="86" spans="1:12" ht="16.5" hidden="1" customHeight="1" x14ac:dyDescent="0.25">
      <c r="A86" s="57">
        <v>7133</v>
      </c>
      <c r="B86" s="55" t="s">
        <v>73</v>
      </c>
      <c r="C86" s="56" t="s">
        <v>22</v>
      </c>
      <c r="D86" s="58">
        <v>1001300367133</v>
      </c>
      <c r="E86" s="24">
        <v>0</v>
      </c>
      <c r="F86" s="23">
        <v>0.84</v>
      </c>
      <c r="G86" s="23">
        <f t="shared" si="8"/>
        <v>0</v>
      </c>
      <c r="H86" s="14">
        <v>5.04</v>
      </c>
      <c r="I86" s="14">
        <v>45</v>
      </c>
      <c r="J86" s="60"/>
      <c r="L86" s="115"/>
    </row>
    <row r="87" spans="1:12" ht="16.5" hidden="1" customHeight="1" x14ac:dyDescent="0.25">
      <c r="A87" s="57">
        <v>6946</v>
      </c>
      <c r="B87" s="55" t="s">
        <v>171</v>
      </c>
      <c r="C87" s="56" t="s">
        <v>22</v>
      </c>
      <c r="D87" s="58">
        <v>1001300456946</v>
      </c>
      <c r="E87" s="24">
        <v>0</v>
      </c>
      <c r="F87" s="23">
        <v>0.84</v>
      </c>
      <c r="G87" s="23">
        <f t="shared" si="8"/>
        <v>0</v>
      </c>
      <c r="H87" s="14">
        <v>5.04</v>
      </c>
      <c r="I87" s="14">
        <v>45</v>
      </c>
      <c r="J87" s="29"/>
      <c r="L87" s="115"/>
    </row>
    <row r="88" spans="1:12" ht="16.5" hidden="1" customHeight="1" x14ac:dyDescent="0.25">
      <c r="A88" s="57">
        <v>7132</v>
      </c>
      <c r="B88" s="55" t="s">
        <v>172</v>
      </c>
      <c r="C88" s="56" t="s">
        <v>22</v>
      </c>
      <c r="D88" s="58">
        <v>1001300517132</v>
      </c>
      <c r="E88" s="24">
        <v>0</v>
      </c>
      <c r="F88" s="59">
        <v>0.84</v>
      </c>
      <c r="G88" s="23">
        <f t="shared" si="8"/>
        <v>0</v>
      </c>
      <c r="H88" s="60">
        <v>5.04</v>
      </c>
      <c r="I88" s="60">
        <v>45</v>
      </c>
      <c r="J88" s="60"/>
      <c r="L88" s="115"/>
    </row>
    <row r="89" spans="1:12" ht="16.5" customHeight="1" x14ac:dyDescent="0.25">
      <c r="A89" s="57">
        <v>5544</v>
      </c>
      <c r="B89" s="55" t="s">
        <v>72</v>
      </c>
      <c r="C89" s="56" t="s">
        <v>22</v>
      </c>
      <c r="D89" s="58">
        <v>1001051875544</v>
      </c>
      <c r="E89" s="24">
        <v>100</v>
      </c>
      <c r="F89" s="59">
        <v>0.81</v>
      </c>
      <c r="G89" s="23">
        <f t="shared" si="8"/>
        <v>100</v>
      </c>
      <c r="H89" s="60">
        <v>4.8600000000000003</v>
      </c>
      <c r="I89" s="60">
        <v>45</v>
      </c>
      <c r="J89" s="60"/>
      <c r="L89" s="115"/>
    </row>
    <row r="90" spans="1:12" ht="16.5" customHeight="1" x14ac:dyDescent="0.25">
      <c r="A90" s="57">
        <v>7149</v>
      </c>
      <c r="B90" s="55" t="s">
        <v>19</v>
      </c>
      <c r="C90" s="56" t="s">
        <v>20</v>
      </c>
      <c r="D90" s="58">
        <v>1001303637149</v>
      </c>
      <c r="E90" s="24">
        <v>100</v>
      </c>
      <c r="F90" s="59">
        <v>0.84</v>
      </c>
      <c r="G90" s="23">
        <f>E90*F90</f>
        <v>84</v>
      </c>
      <c r="H90" s="60">
        <v>5.04</v>
      </c>
      <c r="I90" s="60">
        <v>50</v>
      </c>
      <c r="J90" s="60"/>
      <c r="L90" s="115"/>
    </row>
    <row r="91" spans="1:12" ht="16.5" customHeight="1" x14ac:dyDescent="0.25">
      <c r="A91" s="57">
        <v>7157</v>
      </c>
      <c r="B91" s="55" t="s">
        <v>74</v>
      </c>
      <c r="C91" s="56" t="s">
        <v>22</v>
      </c>
      <c r="D91" s="58">
        <v>1001300387157</v>
      </c>
      <c r="E91" s="24">
        <v>250</v>
      </c>
      <c r="F91" s="59">
        <v>0.63</v>
      </c>
      <c r="G91" s="23">
        <f t="shared" ref="G91:G92" si="9">E91</f>
        <v>250</v>
      </c>
      <c r="H91" s="60">
        <v>5.04</v>
      </c>
      <c r="I91" s="60">
        <v>50</v>
      </c>
      <c r="J91" s="60"/>
      <c r="L91" s="115"/>
    </row>
    <row r="92" spans="1:12" ht="16.5" customHeight="1" x14ac:dyDescent="0.25">
      <c r="A92" s="57">
        <v>7166</v>
      </c>
      <c r="B92" s="55" t="s">
        <v>71</v>
      </c>
      <c r="C92" s="56" t="s">
        <v>22</v>
      </c>
      <c r="D92" s="58">
        <v>1001303987166</v>
      </c>
      <c r="E92" s="24">
        <v>100</v>
      </c>
      <c r="F92" s="59">
        <v>0.7</v>
      </c>
      <c r="G92" s="23">
        <f t="shared" si="9"/>
        <v>100</v>
      </c>
      <c r="H92" s="60">
        <v>5.6</v>
      </c>
      <c r="I92" s="60">
        <v>50</v>
      </c>
      <c r="J92" s="60"/>
      <c r="L92" s="115"/>
    </row>
    <row r="93" spans="1:12" ht="16.5" hidden="1" customHeight="1" x14ac:dyDescent="0.25">
      <c r="A93" s="145">
        <v>7603</v>
      </c>
      <c r="B93" s="55" t="s">
        <v>122</v>
      </c>
      <c r="C93" s="56" t="s">
        <v>20</v>
      </c>
      <c r="D93" s="58">
        <v>1001303637603</v>
      </c>
      <c r="E93" s="24">
        <v>0</v>
      </c>
      <c r="F93" s="23">
        <v>0.33</v>
      </c>
      <c r="G93" s="23">
        <f t="shared" ref="G93:G115" si="10">E93*F93</f>
        <v>0</v>
      </c>
      <c r="H93" s="14">
        <v>2.64</v>
      </c>
      <c r="I93" s="14">
        <v>45</v>
      </c>
      <c r="J93" s="60"/>
      <c r="L93" s="115"/>
    </row>
    <row r="94" spans="1:12" ht="16.5" hidden="1" customHeight="1" x14ac:dyDescent="0.25">
      <c r="A94" s="138">
        <v>7489</v>
      </c>
      <c r="B94" s="139" t="s">
        <v>199</v>
      </c>
      <c r="C94" s="140" t="s">
        <v>20</v>
      </c>
      <c r="D94" s="141">
        <v>1001307357489</v>
      </c>
      <c r="E94" s="24">
        <v>0</v>
      </c>
      <c r="F94" s="142">
        <v>0.28000000000000003</v>
      </c>
      <c r="G94" s="142">
        <f>E94*F94</f>
        <v>0</v>
      </c>
      <c r="H94" s="143">
        <v>2.2400000000000002</v>
      </c>
      <c r="I94" s="143">
        <v>45</v>
      </c>
      <c r="J94" s="143" t="s">
        <v>202</v>
      </c>
      <c r="L94" s="115"/>
    </row>
    <row r="95" spans="1:12" ht="16.5" hidden="1" customHeight="1" x14ac:dyDescent="0.25">
      <c r="A95" s="57">
        <v>6807</v>
      </c>
      <c r="B95" s="55" t="s">
        <v>75</v>
      </c>
      <c r="C95" s="56" t="s">
        <v>20</v>
      </c>
      <c r="D95" s="58">
        <v>1001300366807</v>
      </c>
      <c r="E95" s="24">
        <v>0</v>
      </c>
      <c r="F95" s="23">
        <v>0.33</v>
      </c>
      <c r="G95" s="23">
        <f t="shared" si="10"/>
        <v>0</v>
      </c>
      <c r="H95" s="14">
        <v>2.64</v>
      </c>
      <c r="I95" s="14">
        <v>45</v>
      </c>
      <c r="J95" s="29"/>
      <c r="L95" s="115"/>
    </row>
    <row r="96" spans="1:12" ht="16.5" hidden="1" customHeight="1" x14ac:dyDescent="0.25">
      <c r="A96" s="57">
        <v>6787</v>
      </c>
      <c r="B96" s="55" t="s">
        <v>65</v>
      </c>
      <c r="C96" s="56" t="s">
        <v>20</v>
      </c>
      <c r="D96" s="58">
        <v>1001300456787</v>
      </c>
      <c r="E96" s="24">
        <v>0</v>
      </c>
      <c r="F96" s="23">
        <v>0.33</v>
      </c>
      <c r="G96" s="23">
        <f t="shared" si="10"/>
        <v>0</v>
      </c>
      <c r="H96" s="14">
        <v>2.64</v>
      </c>
      <c r="I96" s="14">
        <v>45</v>
      </c>
      <c r="J96" s="29"/>
      <c r="L96" s="115"/>
    </row>
    <row r="97" spans="1:12" ht="16.5" customHeight="1" x14ac:dyDescent="0.25">
      <c r="A97" s="57">
        <v>6697</v>
      </c>
      <c r="B97" s="109" t="s">
        <v>66</v>
      </c>
      <c r="C97" s="56" t="s">
        <v>20</v>
      </c>
      <c r="D97" s="58">
        <v>1001301876697</v>
      </c>
      <c r="E97" s="24">
        <v>540</v>
      </c>
      <c r="F97" s="23">
        <v>0.35</v>
      </c>
      <c r="G97" s="23">
        <f t="shared" si="10"/>
        <v>189</v>
      </c>
      <c r="H97" s="14">
        <v>2.8</v>
      </c>
      <c r="I97" s="14">
        <v>45</v>
      </c>
      <c r="J97" s="29"/>
      <c r="L97" s="115"/>
    </row>
    <row r="98" spans="1:12" ht="16.5" customHeight="1" x14ac:dyDescent="0.25">
      <c r="A98" s="57">
        <v>7169</v>
      </c>
      <c r="B98" s="109" t="s">
        <v>70</v>
      </c>
      <c r="C98" s="56" t="s">
        <v>20</v>
      </c>
      <c r="D98" s="58">
        <v>1001303987169</v>
      </c>
      <c r="E98" s="24">
        <v>96</v>
      </c>
      <c r="F98" s="23">
        <v>0.35</v>
      </c>
      <c r="G98" s="23">
        <f t="shared" si="10"/>
        <v>33.599999999999994</v>
      </c>
      <c r="H98" s="14">
        <v>2.8</v>
      </c>
      <c r="I98" s="14">
        <v>50</v>
      </c>
      <c r="J98" s="29"/>
      <c r="L98" s="115"/>
    </row>
    <row r="99" spans="1:12" ht="15.75" hidden="1" customHeight="1" x14ac:dyDescent="0.25">
      <c r="A99" s="57">
        <v>7233</v>
      </c>
      <c r="B99" s="53" t="s">
        <v>173</v>
      </c>
      <c r="C99" s="51" t="s">
        <v>20</v>
      </c>
      <c r="D99" s="52">
        <v>1001303637233</v>
      </c>
      <c r="E99" s="24">
        <v>0</v>
      </c>
      <c r="F99" s="23">
        <v>0.31</v>
      </c>
      <c r="G99" s="23">
        <f t="shared" si="10"/>
        <v>0</v>
      </c>
      <c r="H99" s="14">
        <v>2.48</v>
      </c>
      <c r="I99" s="14">
        <v>45</v>
      </c>
      <c r="J99" s="29"/>
      <c r="L99" s="115"/>
    </row>
    <row r="100" spans="1:12" ht="15.75" customHeight="1" x14ac:dyDescent="0.25">
      <c r="A100" s="57">
        <v>7236</v>
      </c>
      <c r="B100" s="53" t="s">
        <v>68</v>
      </c>
      <c r="C100" s="51" t="s">
        <v>20</v>
      </c>
      <c r="D100" s="52">
        <v>1001304507236</v>
      </c>
      <c r="E100" s="24">
        <v>396</v>
      </c>
      <c r="F100" s="23">
        <v>0.28000000000000003</v>
      </c>
      <c r="G100" s="23">
        <f t="shared" si="10"/>
        <v>110.88000000000001</v>
      </c>
      <c r="H100" s="14">
        <v>2.2400000000000002</v>
      </c>
      <c r="I100" s="14">
        <v>45</v>
      </c>
      <c r="J100" s="50"/>
      <c r="L100" s="115"/>
    </row>
    <row r="101" spans="1:12" ht="15.75" hidden="1" customHeight="1" x14ac:dyDescent="0.25">
      <c r="A101" s="57">
        <v>7177</v>
      </c>
      <c r="B101" s="53" t="s">
        <v>124</v>
      </c>
      <c r="C101" s="51" t="s">
        <v>20</v>
      </c>
      <c r="D101" s="52">
        <v>1001302347177</v>
      </c>
      <c r="E101" s="24">
        <v>0</v>
      </c>
      <c r="F101" s="23">
        <v>0.35</v>
      </c>
      <c r="G101" s="23">
        <f t="shared" si="10"/>
        <v>0</v>
      </c>
      <c r="H101" s="14">
        <v>2.8</v>
      </c>
      <c r="I101" s="14">
        <v>50</v>
      </c>
      <c r="J101" s="50"/>
      <c r="L101" s="115"/>
    </row>
    <row r="102" spans="1:12" ht="15.75" customHeight="1" x14ac:dyDescent="0.25">
      <c r="A102" s="57">
        <v>7232</v>
      </c>
      <c r="B102" s="53" t="s">
        <v>61</v>
      </c>
      <c r="C102" s="51" t="s">
        <v>20</v>
      </c>
      <c r="D102" s="52">
        <v>1001302277232</v>
      </c>
      <c r="E102" s="24">
        <v>336</v>
      </c>
      <c r="F102" s="23">
        <v>0.28000000000000003</v>
      </c>
      <c r="G102" s="23">
        <f t="shared" si="10"/>
        <v>94.080000000000013</v>
      </c>
      <c r="H102" s="14">
        <v>2.2400000000000002</v>
      </c>
      <c r="I102" s="14">
        <v>50</v>
      </c>
      <c r="J102" s="50"/>
      <c r="L102" s="115"/>
    </row>
    <row r="103" spans="1:12" ht="15.75" hidden="1" customHeight="1" x14ac:dyDescent="0.25">
      <c r="A103" s="148">
        <v>7156</v>
      </c>
      <c r="B103" s="183" t="s">
        <v>232</v>
      </c>
      <c r="C103" s="56" t="s">
        <v>20</v>
      </c>
      <c r="D103" s="58">
        <v>1001304237156</v>
      </c>
      <c r="E103" s="24">
        <v>0</v>
      </c>
      <c r="F103" s="167">
        <v>0.35</v>
      </c>
      <c r="G103" s="23">
        <f>E103*F103</f>
        <v>0</v>
      </c>
      <c r="H103" s="14">
        <v>2.8</v>
      </c>
      <c r="I103" s="14">
        <v>50</v>
      </c>
      <c r="J103" s="151" t="s">
        <v>186</v>
      </c>
      <c r="L103" s="115"/>
    </row>
    <row r="104" spans="1:12" ht="15.75" hidden="1" customHeight="1" x14ac:dyDescent="0.25">
      <c r="A104" s="148">
        <v>7710</v>
      </c>
      <c r="B104" s="183" t="s">
        <v>233</v>
      </c>
      <c r="C104" s="56" t="s">
        <v>20</v>
      </c>
      <c r="D104" s="58">
        <v>1001307587710</v>
      </c>
      <c r="E104" s="24">
        <v>0</v>
      </c>
      <c r="F104" s="167">
        <v>0.3</v>
      </c>
      <c r="G104" s="23">
        <f>E104*F104</f>
        <v>0</v>
      </c>
      <c r="H104" s="14">
        <v>2.4</v>
      </c>
      <c r="I104" s="14">
        <v>45</v>
      </c>
      <c r="J104" s="151" t="s">
        <v>186</v>
      </c>
      <c r="L104" s="115"/>
    </row>
    <row r="105" spans="1:12" ht="15.75" hidden="1" customHeight="1" x14ac:dyDescent="0.25">
      <c r="A105" s="148">
        <v>7562</v>
      </c>
      <c r="B105" s="183" t="s">
        <v>234</v>
      </c>
      <c r="C105" s="56" t="s">
        <v>22</v>
      </c>
      <c r="D105" s="58">
        <v>1001307587562</v>
      </c>
      <c r="E105" s="24">
        <v>0</v>
      </c>
      <c r="F105" s="167">
        <v>0.35</v>
      </c>
      <c r="G105" s="23">
        <f>E105</f>
        <v>0</v>
      </c>
      <c r="H105" s="14">
        <v>2.8</v>
      </c>
      <c r="I105" s="14">
        <v>45</v>
      </c>
      <c r="J105" s="151" t="s">
        <v>186</v>
      </c>
      <c r="L105" s="115"/>
    </row>
    <row r="106" spans="1:12" ht="15.75" hidden="1" customHeight="1" x14ac:dyDescent="0.25">
      <c r="A106" s="148">
        <v>7516</v>
      </c>
      <c r="B106" s="183" t="s">
        <v>235</v>
      </c>
      <c r="C106" s="56" t="s">
        <v>20</v>
      </c>
      <c r="D106" s="58">
        <v>1001307107516</v>
      </c>
      <c r="E106" s="24">
        <v>0</v>
      </c>
      <c r="F106" s="167">
        <v>0.31</v>
      </c>
      <c r="G106" s="23">
        <f t="shared" ref="G106:G107" si="11">E106*F106</f>
        <v>0</v>
      </c>
      <c r="H106" s="14">
        <v>2.48</v>
      </c>
      <c r="I106" s="14">
        <v>45</v>
      </c>
      <c r="J106" s="151" t="s">
        <v>186</v>
      </c>
      <c r="L106" s="115"/>
    </row>
    <row r="107" spans="1:12" ht="15.75" hidden="1" customHeight="1" x14ac:dyDescent="0.25">
      <c r="A107" s="148">
        <v>7513</v>
      </c>
      <c r="B107" s="183" t="s">
        <v>236</v>
      </c>
      <c r="C107" s="56" t="s">
        <v>20</v>
      </c>
      <c r="D107" s="58">
        <v>1001307077513</v>
      </c>
      <c r="E107" s="24">
        <v>0</v>
      </c>
      <c r="F107" s="167">
        <v>0.26</v>
      </c>
      <c r="G107" s="23">
        <f t="shared" si="11"/>
        <v>0</v>
      </c>
      <c r="H107" s="14">
        <v>2.08</v>
      </c>
      <c r="I107" s="14">
        <v>45</v>
      </c>
      <c r="J107" s="151" t="s">
        <v>186</v>
      </c>
      <c r="L107" s="115"/>
    </row>
    <row r="108" spans="1:12" ht="15.75" customHeight="1" x14ac:dyDescent="0.25">
      <c r="A108" s="57">
        <v>7154</v>
      </c>
      <c r="B108" s="53" t="s">
        <v>64</v>
      </c>
      <c r="C108" s="51" t="s">
        <v>20</v>
      </c>
      <c r="D108" s="52">
        <v>1001300387154</v>
      </c>
      <c r="E108" s="24">
        <v>336</v>
      </c>
      <c r="F108" s="23">
        <v>0.35</v>
      </c>
      <c r="G108" s="23">
        <f t="shared" si="10"/>
        <v>117.6</v>
      </c>
      <c r="H108" s="14">
        <v>2.8</v>
      </c>
      <c r="I108" s="14">
        <v>50</v>
      </c>
      <c r="J108" s="50"/>
      <c r="L108" s="115"/>
    </row>
    <row r="109" spans="1:12" ht="15.75" hidden="1" customHeight="1" x14ac:dyDescent="0.25">
      <c r="A109" s="57">
        <v>7238</v>
      </c>
      <c r="B109" s="53" t="s">
        <v>123</v>
      </c>
      <c r="C109" s="51" t="s">
        <v>20</v>
      </c>
      <c r="D109" s="52">
        <v>1001305197238</v>
      </c>
      <c r="E109" s="24">
        <v>0</v>
      </c>
      <c r="F109" s="23">
        <v>0.31</v>
      </c>
      <c r="G109" s="23">
        <f t="shared" si="10"/>
        <v>0</v>
      </c>
      <c r="H109" s="14">
        <v>2.48</v>
      </c>
      <c r="I109" s="14">
        <v>45</v>
      </c>
      <c r="J109" s="50"/>
      <c r="L109" s="115"/>
    </row>
    <row r="110" spans="1:12" ht="15.75" hidden="1" customHeight="1" x14ac:dyDescent="0.25">
      <c r="A110" s="138">
        <v>7237</v>
      </c>
      <c r="B110" s="139" t="s">
        <v>67</v>
      </c>
      <c r="C110" s="140" t="s">
        <v>20</v>
      </c>
      <c r="D110" s="141">
        <v>1001304497237</v>
      </c>
      <c r="E110" s="24">
        <v>0</v>
      </c>
      <c r="F110" s="142">
        <v>0.28000000000000003</v>
      </c>
      <c r="G110" s="142">
        <f t="shared" si="10"/>
        <v>0</v>
      </c>
      <c r="H110" s="143">
        <v>2.2400000000000002</v>
      </c>
      <c r="I110" s="143">
        <v>45</v>
      </c>
      <c r="J110" s="143" t="s">
        <v>196</v>
      </c>
      <c r="L110" s="115"/>
    </row>
    <row r="111" spans="1:12" ht="15.75" customHeight="1" x14ac:dyDescent="0.25">
      <c r="A111" s="57">
        <v>7241</v>
      </c>
      <c r="B111" s="53" t="s">
        <v>63</v>
      </c>
      <c r="C111" s="51" t="s">
        <v>20</v>
      </c>
      <c r="D111" s="52">
        <v>1001303107241</v>
      </c>
      <c r="E111" s="24">
        <v>336</v>
      </c>
      <c r="F111" s="23">
        <v>0.28000000000000003</v>
      </c>
      <c r="G111" s="23">
        <f t="shared" si="10"/>
        <v>94.080000000000013</v>
      </c>
      <c r="H111" s="14">
        <v>2.2400000000000002</v>
      </c>
      <c r="I111" s="14">
        <v>45</v>
      </c>
      <c r="J111" s="50"/>
      <c r="L111" s="115"/>
    </row>
    <row r="112" spans="1:12" ht="15.75" hidden="1" customHeight="1" x14ac:dyDescent="0.25">
      <c r="A112" s="138">
        <v>7332</v>
      </c>
      <c r="B112" s="139" t="s">
        <v>62</v>
      </c>
      <c r="C112" s="140" t="s">
        <v>20</v>
      </c>
      <c r="D112" s="141">
        <v>1001301777332</v>
      </c>
      <c r="E112" s="24">
        <v>0</v>
      </c>
      <c r="F112" s="142">
        <v>0.28000000000000003</v>
      </c>
      <c r="G112" s="142">
        <f t="shared" si="10"/>
        <v>0</v>
      </c>
      <c r="H112" s="143">
        <v>2.2400000000000002</v>
      </c>
      <c r="I112" s="143">
        <v>50</v>
      </c>
      <c r="J112" s="158" t="s">
        <v>211</v>
      </c>
      <c r="L112" s="115"/>
    </row>
    <row r="113" spans="1:67" ht="15.75" hidden="1" customHeight="1" x14ac:dyDescent="0.25">
      <c r="A113" s="138">
        <v>7333</v>
      </c>
      <c r="B113" s="139" t="s">
        <v>69</v>
      </c>
      <c r="C113" s="140" t="s">
        <v>20</v>
      </c>
      <c r="D113" s="141">
        <v>1001303987333</v>
      </c>
      <c r="E113" s="24">
        <v>0</v>
      </c>
      <c r="F113" s="142">
        <v>0.28000000000000003</v>
      </c>
      <c r="G113" s="142">
        <f t="shared" si="10"/>
        <v>0</v>
      </c>
      <c r="H113" s="143">
        <v>2.2400000000000002</v>
      </c>
      <c r="I113" s="143">
        <v>50</v>
      </c>
      <c r="J113" s="158" t="s">
        <v>211</v>
      </c>
      <c r="L113" s="115"/>
    </row>
    <row r="114" spans="1:67" ht="15.75" hidden="1" customHeight="1" x14ac:dyDescent="0.25">
      <c r="A114" s="145">
        <v>7608</v>
      </c>
      <c r="B114" s="55" t="s">
        <v>194</v>
      </c>
      <c r="C114" s="51" t="s">
        <v>20</v>
      </c>
      <c r="D114" s="52">
        <v>1001304197608</v>
      </c>
      <c r="E114" s="24">
        <v>0</v>
      </c>
      <c r="F114" s="23">
        <v>0.1</v>
      </c>
      <c r="G114" s="23">
        <f t="shared" si="10"/>
        <v>0</v>
      </c>
      <c r="H114" s="14">
        <v>1</v>
      </c>
      <c r="I114" s="14">
        <v>45</v>
      </c>
      <c r="J114" s="60"/>
      <c r="L114" s="115"/>
    </row>
    <row r="115" spans="1:67" ht="15.75" hidden="1" customHeight="1" thickBot="1" x14ac:dyDescent="0.25">
      <c r="A115" s="138">
        <v>7610</v>
      </c>
      <c r="B115" s="139" t="s">
        <v>195</v>
      </c>
      <c r="C115" s="140" t="s">
        <v>20</v>
      </c>
      <c r="D115" s="141">
        <v>1001306717610</v>
      </c>
      <c r="E115" s="24">
        <v>0</v>
      </c>
      <c r="F115" s="142">
        <v>0.1</v>
      </c>
      <c r="G115" s="142">
        <f t="shared" si="10"/>
        <v>0</v>
      </c>
      <c r="H115" s="143">
        <v>1</v>
      </c>
      <c r="I115" s="143">
        <v>45</v>
      </c>
      <c r="J115" s="158" t="s">
        <v>215</v>
      </c>
      <c r="L115" s="115"/>
    </row>
    <row r="116" spans="1:67" s="61" customFormat="1" ht="16.5" hidden="1" customHeight="1" thickTop="1" thickBot="1" x14ac:dyDescent="0.3">
      <c r="A116" s="48" t="s">
        <v>104</v>
      </c>
      <c r="B116" s="43" t="s">
        <v>76</v>
      </c>
      <c r="C116" s="43"/>
      <c r="D116" s="43"/>
      <c r="E116" s="24">
        <v>0</v>
      </c>
      <c r="F116" s="42"/>
      <c r="G116" s="43"/>
      <c r="H116" s="43"/>
      <c r="I116" s="43"/>
      <c r="J116" s="44"/>
      <c r="K116" s="27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115"/>
      <c r="AT116" s="115"/>
      <c r="AU116" s="115"/>
      <c r="AV116" s="115"/>
      <c r="AW116" s="115"/>
      <c r="AX116" s="115"/>
      <c r="AY116" s="115"/>
      <c r="AZ116" s="115"/>
      <c r="BA116" s="115"/>
      <c r="BB116" s="115"/>
      <c r="BC116" s="115"/>
      <c r="BD116" s="115"/>
      <c r="BE116" s="115"/>
      <c r="BF116" s="115"/>
      <c r="BG116" s="115"/>
      <c r="BH116" s="115"/>
      <c r="BI116" s="115"/>
      <c r="BJ116" s="115"/>
      <c r="BK116" s="115"/>
      <c r="BL116" s="115"/>
      <c r="BM116" s="115"/>
      <c r="BN116" s="115"/>
      <c r="BO116" s="115"/>
    </row>
    <row r="117" spans="1:67" s="61" customFormat="1" ht="16.5" hidden="1" customHeight="1" thickTop="1" x14ac:dyDescent="0.25">
      <c r="A117" s="57">
        <v>614</v>
      </c>
      <c r="B117" s="55" t="s">
        <v>140</v>
      </c>
      <c r="C117" s="56" t="s">
        <v>22</v>
      </c>
      <c r="D117" s="58">
        <v>1001060720614</v>
      </c>
      <c r="E117" s="24">
        <v>0</v>
      </c>
      <c r="F117" s="59">
        <v>0.52</v>
      </c>
      <c r="G117" s="23">
        <f t="shared" ref="G117:G121" si="12">E117</f>
        <v>0</v>
      </c>
      <c r="H117" s="107">
        <v>3.64</v>
      </c>
      <c r="I117" s="106">
        <v>120</v>
      </c>
      <c r="J117" s="60"/>
      <c r="K117" s="27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115"/>
      <c r="AT117" s="115"/>
      <c r="AU117" s="115"/>
      <c r="AV117" s="115"/>
      <c r="AW117" s="115"/>
      <c r="AX117" s="115"/>
      <c r="AY117" s="115"/>
      <c r="AZ117" s="115"/>
      <c r="BA117" s="115"/>
      <c r="BB117" s="115"/>
      <c r="BC117" s="115"/>
      <c r="BD117" s="115"/>
      <c r="BE117" s="115"/>
      <c r="BF117" s="115"/>
      <c r="BG117" s="115"/>
      <c r="BH117" s="115"/>
      <c r="BI117" s="115"/>
      <c r="BJ117" s="115"/>
      <c r="BK117" s="115"/>
      <c r="BL117" s="115"/>
      <c r="BM117" s="115"/>
      <c r="BN117" s="115"/>
      <c r="BO117" s="115"/>
    </row>
    <row r="118" spans="1:67" s="61" customFormat="1" ht="16.5" hidden="1" customHeight="1" x14ac:dyDescent="0.25">
      <c r="A118" s="57">
        <v>3287</v>
      </c>
      <c r="B118" s="55" t="s">
        <v>90</v>
      </c>
      <c r="C118" s="56" t="s">
        <v>22</v>
      </c>
      <c r="D118" s="58">
        <v>1001060763287</v>
      </c>
      <c r="E118" s="24">
        <v>0</v>
      </c>
      <c r="F118" s="59">
        <v>0.48799999999999999</v>
      </c>
      <c r="G118" s="23">
        <f t="shared" si="12"/>
        <v>0</v>
      </c>
      <c r="H118" s="107">
        <v>3.9</v>
      </c>
      <c r="I118" s="106">
        <v>120</v>
      </c>
      <c r="J118" s="60"/>
      <c r="K118" s="27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115"/>
      <c r="AM118" s="115"/>
      <c r="AN118" s="115"/>
      <c r="AO118" s="115"/>
      <c r="AP118" s="115"/>
      <c r="AQ118" s="115"/>
      <c r="AR118" s="115"/>
      <c r="AS118" s="115"/>
      <c r="AT118" s="115"/>
      <c r="AU118" s="115"/>
      <c r="AV118" s="115"/>
      <c r="AW118" s="115"/>
      <c r="AX118" s="115"/>
      <c r="AY118" s="115"/>
      <c r="AZ118" s="115"/>
      <c r="BA118" s="115"/>
      <c r="BB118" s="115"/>
      <c r="BC118" s="115"/>
      <c r="BD118" s="115"/>
      <c r="BE118" s="115"/>
      <c r="BF118" s="115"/>
      <c r="BG118" s="115"/>
      <c r="BH118" s="115"/>
      <c r="BI118" s="115"/>
      <c r="BJ118" s="115"/>
      <c r="BK118" s="115"/>
      <c r="BL118" s="115"/>
      <c r="BM118" s="115"/>
      <c r="BN118" s="115"/>
      <c r="BO118" s="115"/>
    </row>
    <row r="119" spans="1:67" ht="16.5" hidden="1" customHeight="1" x14ac:dyDescent="0.25">
      <c r="A119" s="168">
        <v>5708</v>
      </c>
      <c r="B119" s="152" t="s">
        <v>80</v>
      </c>
      <c r="C119" s="140" t="s">
        <v>22</v>
      </c>
      <c r="D119" s="153">
        <v>1001063145708</v>
      </c>
      <c r="E119" s="24">
        <v>0</v>
      </c>
      <c r="F119" s="154">
        <v>0.5</v>
      </c>
      <c r="G119" s="155">
        <f>E119</f>
        <v>0</v>
      </c>
      <c r="H119" s="155">
        <v>4</v>
      </c>
      <c r="I119" s="170">
        <v>120</v>
      </c>
      <c r="J119" s="158" t="s">
        <v>212</v>
      </c>
      <c r="L119" s="115"/>
    </row>
    <row r="120" spans="1:67" ht="16.5" hidden="1" customHeight="1" x14ac:dyDescent="0.25">
      <c r="A120" s="171">
        <v>7700</v>
      </c>
      <c r="B120" s="159" t="s">
        <v>213</v>
      </c>
      <c r="C120" s="172" t="s">
        <v>22</v>
      </c>
      <c r="D120" s="160">
        <v>1001067977700</v>
      </c>
      <c r="E120" s="24">
        <v>0</v>
      </c>
      <c r="F120" s="161">
        <v>0.44</v>
      </c>
      <c r="G120" s="162">
        <f>E120</f>
        <v>0</v>
      </c>
      <c r="H120" s="173">
        <v>3.52</v>
      </c>
      <c r="I120" s="174">
        <v>120</v>
      </c>
      <c r="J120" s="165" t="s">
        <v>214</v>
      </c>
      <c r="L120" s="115"/>
    </row>
    <row r="121" spans="1:67" ht="16.5" customHeight="1" x14ac:dyDescent="0.25">
      <c r="A121" s="57">
        <v>4117</v>
      </c>
      <c r="B121" s="53" t="s">
        <v>87</v>
      </c>
      <c r="C121" s="51" t="s">
        <v>22</v>
      </c>
      <c r="D121" s="52">
        <v>1001062504117</v>
      </c>
      <c r="E121" s="24">
        <v>5</v>
      </c>
      <c r="F121" s="23">
        <v>0.49399999999999999</v>
      </c>
      <c r="G121" s="23">
        <f t="shared" si="12"/>
        <v>5</v>
      </c>
      <c r="H121" s="14">
        <v>3.95</v>
      </c>
      <c r="I121" s="14">
        <v>120</v>
      </c>
      <c r="J121" s="29"/>
      <c r="L121" s="115"/>
    </row>
    <row r="122" spans="1:67" ht="16.5" hidden="1" customHeight="1" x14ac:dyDescent="0.25">
      <c r="A122" s="57">
        <v>7316</v>
      </c>
      <c r="B122" s="53" t="s">
        <v>148</v>
      </c>
      <c r="C122" s="51" t="s">
        <v>20</v>
      </c>
      <c r="D122" s="52">
        <v>1001060727316</v>
      </c>
      <c r="E122" s="24">
        <v>0</v>
      </c>
      <c r="F122" s="23">
        <v>0.54</v>
      </c>
      <c r="G122" s="23">
        <f t="shared" ref="G122:G135" si="13">E122*F122</f>
        <v>0</v>
      </c>
      <c r="H122" s="14">
        <v>3.78</v>
      </c>
      <c r="I122" s="14">
        <v>120</v>
      </c>
      <c r="J122" s="29"/>
      <c r="L122" s="115"/>
    </row>
    <row r="123" spans="1:67" ht="16.5" hidden="1" customHeight="1" x14ac:dyDescent="0.25">
      <c r="A123" s="57">
        <v>7317</v>
      </c>
      <c r="B123" s="53" t="s">
        <v>146</v>
      </c>
      <c r="C123" s="51" t="s">
        <v>20</v>
      </c>
      <c r="D123" s="52">
        <v>1001066567317</v>
      </c>
      <c r="E123" s="24">
        <v>0</v>
      </c>
      <c r="F123" s="23">
        <v>0.54</v>
      </c>
      <c r="G123" s="23">
        <f t="shared" si="13"/>
        <v>0</v>
      </c>
      <c r="H123" s="14">
        <v>3.78</v>
      </c>
      <c r="I123" s="14">
        <v>120</v>
      </c>
      <c r="J123" s="29"/>
      <c r="L123" s="115"/>
    </row>
    <row r="124" spans="1:67" ht="16.5" hidden="1" customHeight="1" x14ac:dyDescent="0.25">
      <c r="A124" s="57">
        <v>7143</v>
      </c>
      <c r="B124" s="53" t="s">
        <v>142</v>
      </c>
      <c r="C124" s="51" t="s">
        <v>20</v>
      </c>
      <c r="D124" s="52">
        <v>1001060717143</v>
      </c>
      <c r="E124" s="24">
        <v>0</v>
      </c>
      <c r="F124" s="23">
        <v>0.22</v>
      </c>
      <c r="G124" s="23">
        <f t="shared" si="13"/>
        <v>0</v>
      </c>
      <c r="H124" s="14">
        <v>1.76</v>
      </c>
      <c r="I124" s="14">
        <v>120</v>
      </c>
      <c r="J124" s="29"/>
      <c r="L124" s="115"/>
    </row>
    <row r="125" spans="1:67" ht="16.5" hidden="1" customHeight="1" x14ac:dyDescent="0.25">
      <c r="A125" s="168">
        <v>7147</v>
      </c>
      <c r="B125" s="152" t="s">
        <v>85</v>
      </c>
      <c r="C125" s="140" t="s">
        <v>20</v>
      </c>
      <c r="D125" s="153">
        <v>1001063237147</v>
      </c>
      <c r="E125" s="24">
        <v>0</v>
      </c>
      <c r="F125" s="154">
        <v>0.22</v>
      </c>
      <c r="G125" s="155">
        <f>E125*F125</f>
        <v>0</v>
      </c>
      <c r="H125" s="155">
        <v>1.76</v>
      </c>
      <c r="I125" s="169">
        <v>120</v>
      </c>
      <c r="J125" s="158" t="s">
        <v>211</v>
      </c>
      <c r="L125" s="115"/>
    </row>
    <row r="126" spans="1:67" ht="16.5" hidden="1" customHeight="1" x14ac:dyDescent="0.25">
      <c r="A126" s="57">
        <v>7456</v>
      </c>
      <c r="B126" s="53" t="s">
        <v>143</v>
      </c>
      <c r="C126" s="51" t="s">
        <v>20</v>
      </c>
      <c r="D126" s="52">
        <v>1001063097456</v>
      </c>
      <c r="E126" s="24">
        <v>0</v>
      </c>
      <c r="F126" s="23">
        <v>0.15</v>
      </c>
      <c r="G126" s="23">
        <f t="shared" si="13"/>
        <v>0</v>
      </c>
      <c r="H126" s="14">
        <v>1.8</v>
      </c>
      <c r="I126" s="14">
        <v>90</v>
      </c>
      <c r="J126" s="29"/>
      <c r="L126" s="115"/>
    </row>
    <row r="127" spans="1:67" ht="16.5" hidden="1" customHeight="1" x14ac:dyDescent="0.25">
      <c r="A127" s="57">
        <v>7318</v>
      </c>
      <c r="B127" s="53" t="s">
        <v>147</v>
      </c>
      <c r="C127" s="51" t="s">
        <v>20</v>
      </c>
      <c r="D127" s="52">
        <v>1001060727318</v>
      </c>
      <c r="E127" s="24">
        <v>0</v>
      </c>
      <c r="F127" s="23">
        <v>0.27</v>
      </c>
      <c r="G127" s="23">
        <f t="shared" si="13"/>
        <v>0</v>
      </c>
      <c r="H127" s="14">
        <v>2.16</v>
      </c>
      <c r="I127" s="14">
        <v>120</v>
      </c>
      <c r="J127" s="29"/>
      <c r="L127" s="115"/>
    </row>
    <row r="128" spans="1:67" ht="16.5" customHeight="1" x14ac:dyDescent="0.25">
      <c r="A128" s="57">
        <v>3986</v>
      </c>
      <c r="B128" s="53" t="s">
        <v>79</v>
      </c>
      <c r="C128" s="51" t="s">
        <v>20</v>
      </c>
      <c r="D128" s="52">
        <v>1001061973986</v>
      </c>
      <c r="E128" s="24">
        <v>260</v>
      </c>
      <c r="F128" s="23">
        <v>0.25</v>
      </c>
      <c r="G128" s="23">
        <f t="shared" si="13"/>
        <v>65</v>
      </c>
      <c r="H128" s="14">
        <v>2</v>
      </c>
      <c r="I128" s="14">
        <v>120</v>
      </c>
      <c r="J128" s="29"/>
      <c r="L128" s="115"/>
    </row>
    <row r="129" spans="1:12" ht="16.5" hidden="1" customHeight="1" x14ac:dyDescent="0.25">
      <c r="A129" s="57">
        <v>7364</v>
      </c>
      <c r="B129" s="53" t="s">
        <v>144</v>
      </c>
      <c r="C129" s="51" t="s">
        <v>20</v>
      </c>
      <c r="D129" s="52">
        <v>1001063217364</v>
      </c>
      <c r="E129" s="24">
        <v>0</v>
      </c>
      <c r="F129" s="23">
        <v>0.22</v>
      </c>
      <c r="G129" s="23">
        <f t="shared" si="13"/>
        <v>0</v>
      </c>
      <c r="H129" s="14">
        <v>1.76</v>
      </c>
      <c r="I129" s="14">
        <v>90</v>
      </c>
      <c r="J129" s="29"/>
      <c r="L129" s="115"/>
    </row>
    <row r="130" spans="1:12" ht="16.5" hidden="1" customHeight="1" x14ac:dyDescent="0.25">
      <c r="A130" s="57">
        <v>7383</v>
      </c>
      <c r="B130" s="53" t="s">
        <v>145</v>
      </c>
      <c r="C130" s="51" t="s">
        <v>20</v>
      </c>
      <c r="D130" s="52">
        <v>1001065467383</v>
      </c>
      <c r="E130" s="24">
        <v>0</v>
      </c>
      <c r="F130" s="23">
        <v>0.22</v>
      </c>
      <c r="G130" s="23">
        <f t="shared" si="13"/>
        <v>0</v>
      </c>
      <c r="H130" s="14">
        <v>1.76</v>
      </c>
      <c r="I130" s="14">
        <v>90</v>
      </c>
      <c r="J130" s="29"/>
      <c r="L130" s="115"/>
    </row>
    <row r="131" spans="1:12" ht="16.5" customHeight="1" x14ac:dyDescent="0.25">
      <c r="A131" s="57">
        <v>6967</v>
      </c>
      <c r="B131" s="53" t="s">
        <v>83</v>
      </c>
      <c r="C131" s="51" t="s">
        <v>20</v>
      </c>
      <c r="D131" s="52">
        <v>1001063656967</v>
      </c>
      <c r="E131" s="24">
        <v>200</v>
      </c>
      <c r="F131" s="23">
        <v>0.25</v>
      </c>
      <c r="G131" s="23">
        <f t="shared" si="13"/>
        <v>50</v>
      </c>
      <c r="H131" s="14">
        <v>2</v>
      </c>
      <c r="I131" s="14">
        <v>120</v>
      </c>
      <c r="J131" s="29"/>
      <c r="L131" s="115"/>
    </row>
    <row r="132" spans="1:12" ht="16.5" customHeight="1" x14ac:dyDescent="0.25">
      <c r="A132" s="57">
        <v>4993</v>
      </c>
      <c r="B132" s="53" t="s">
        <v>139</v>
      </c>
      <c r="C132" s="51" t="s">
        <v>20</v>
      </c>
      <c r="D132" s="52">
        <v>1001060764993</v>
      </c>
      <c r="E132" s="24">
        <v>200</v>
      </c>
      <c r="F132" s="23">
        <v>0.25</v>
      </c>
      <c r="G132" s="23">
        <f t="shared" si="13"/>
        <v>50</v>
      </c>
      <c r="H132" s="14">
        <v>2</v>
      </c>
      <c r="I132" s="14">
        <v>120</v>
      </c>
      <c r="J132" s="29"/>
      <c r="L132" s="115"/>
    </row>
    <row r="133" spans="1:12" ht="16.5" hidden="1" customHeight="1" x14ac:dyDescent="0.25">
      <c r="A133" s="57">
        <v>6937</v>
      </c>
      <c r="B133" s="53" t="s">
        <v>141</v>
      </c>
      <c r="C133" s="51" t="s">
        <v>20</v>
      </c>
      <c r="D133" s="52">
        <v>1001063106937</v>
      </c>
      <c r="E133" s="24">
        <v>0</v>
      </c>
      <c r="F133" s="23">
        <v>0.25</v>
      </c>
      <c r="G133" s="23">
        <f t="shared" si="13"/>
        <v>0</v>
      </c>
      <c r="H133" s="14">
        <v>2</v>
      </c>
      <c r="I133" s="14">
        <v>120</v>
      </c>
      <c r="J133" s="29"/>
      <c r="L133" s="115"/>
    </row>
    <row r="134" spans="1:12" ht="16.5" customHeight="1" x14ac:dyDescent="0.25">
      <c r="A134" s="57">
        <v>5483</v>
      </c>
      <c r="B134" s="53" t="s">
        <v>88</v>
      </c>
      <c r="C134" s="51" t="s">
        <v>20</v>
      </c>
      <c r="D134" s="52">
        <v>1001062505483</v>
      </c>
      <c r="E134" s="24">
        <v>184</v>
      </c>
      <c r="F134" s="23">
        <v>0.25</v>
      </c>
      <c r="G134" s="23">
        <f t="shared" si="13"/>
        <v>46</v>
      </c>
      <c r="H134" s="14">
        <v>2</v>
      </c>
      <c r="I134" s="14">
        <v>120</v>
      </c>
      <c r="J134" s="29"/>
      <c r="L134" s="115"/>
    </row>
    <row r="135" spans="1:12" ht="16.5" customHeight="1" x14ac:dyDescent="0.25">
      <c r="A135" s="57">
        <v>5931</v>
      </c>
      <c r="B135" s="53" t="s">
        <v>77</v>
      </c>
      <c r="C135" s="51" t="s">
        <v>20</v>
      </c>
      <c r="D135" s="52">
        <v>1001060755931</v>
      </c>
      <c r="E135" s="24">
        <v>184</v>
      </c>
      <c r="F135" s="23">
        <v>0.22</v>
      </c>
      <c r="G135" s="23">
        <f t="shared" si="13"/>
        <v>40.479999999999997</v>
      </c>
      <c r="H135" s="14">
        <v>1.76</v>
      </c>
      <c r="I135" s="14">
        <v>120</v>
      </c>
      <c r="J135" s="29"/>
      <c r="L135" s="115"/>
    </row>
    <row r="136" spans="1:12" ht="16.5" hidden="1" customHeight="1" x14ac:dyDescent="0.25">
      <c r="A136" s="57">
        <v>6832</v>
      </c>
      <c r="B136" s="53" t="s">
        <v>81</v>
      </c>
      <c r="C136" s="51" t="s">
        <v>22</v>
      </c>
      <c r="D136" s="52">
        <v>1001065616832</v>
      </c>
      <c r="E136" s="24">
        <v>0</v>
      </c>
      <c r="F136" s="23">
        <v>0.215</v>
      </c>
      <c r="G136" s="23">
        <f t="shared" ref="G136:G137" si="14">E136</f>
        <v>0</v>
      </c>
      <c r="H136" s="14">
        <v>2.15</v>
      </c>
      <c r="I136" s="14">
        <v>30</v>
      </c>
      <c r="J136" s="29"/>
      <c r="L136" s="115"/>
    </row>
    <row r="137" spans="1:12" ht="16.5" hidden="1" customHeight="1" x14ac:dyDescent="0.25">
      <c r="A137" s="57">
        <v>7299</v>
      </c>
      <c r="B137" s="53" t="s">
        <v>82</v>
      </c>
      <c r="C137" s="51" t="s">
        <v>22</v>
      </c>
      <c r="D137" s="52">
        <v>1001060677299</v>
      </c>
      <c r="E137" s="24">
        <v>0</v>
      </c>
      <c r="F137" s="23">
        <v>0.215</v>
      </c>
      <c r="G137" s="23">
        <f t="shared" si="14"/>
        <v>0</v>
      </c>
      <c r="H137" s="14">
        <v>2.15</v>
      </c>
      <c r="I137" s="14">
        <v>30</v>
      </c>
      <c r="J137" s="29"/>
      <c r="L137" s="115"/>
    </row>
    <row r="138" spans="1:12" ht="16.5" hidden="1" customHeight="1" x14ac:dyDescent="0.25">
      <c r="A138" s="57">
        <v>7386</v>
      </c>
      <c r="B138" s="53" t="s">
        <v>150</v>
      </c>
      <c r="C138" s="51" t="s">
        <v>20</v>
      </c>
      <c r="D138" s="52">
        <v>1001067017386</v>
      </c>
      <c r="E138" s="24">
        <v>0</v>
      </c>
      <c r="F138" s="23">
        <v>0.15</v>
      </c>
      <c r="G138" s="23">
        <f t="shared" ref="G138:G148" si="15">E138*F138</f>
        <v>0</v>
      </c>
      <c r="H138" s="14">
        <v>1.35</v>
      </c>
      <c r="I138" s="14">
        <v>90</v>
      </c>
      <c r="J138" s="29"/>
      <c r="L138" s="115"/>
    </row>
    <row r="139" spans="1:12" ht="16.5" hidden="1" customHeight="1" x14ac:dyDescent="0.25">
      <c r="A139" s="57">
        <v>5679</v>
      </c>
      <c r="B139" s="53" t="s">
        <v>136</v>
      </c>
      <c r="C139" s="51" t="s">
        <v>20</v>
      </c>
      <c r="D139" s="52">
        <v>1001190765679</v>
      </c>
      <c r="E139" s="24">
        <v>0</v>
      </c>
      <c r="F139" s="23">
        <v>0.15</v>
      </c>
      <c r="G139" s="23">
        <f t="shared" si="15"/>
        <v>0</v>
      </c>
      <c r="H139" s="14">
        <v>1.2</v>
      </c>
      <c r="I139" s="14">
        <v>60</v>
      </c>
      <c r="J139" s="29"/>
      <c r="L139" s="115"/>
    </row>
    <row r="140" spans="1:12" ht="16.5" customHeight="1" x14ac:dyDescent="0.25">
      <c r="A140" s="57">
        <v>7382</v>
      </c>
      <c r="B140" s="53" t="s">
        <v>84</v>
      </c>
      <c r="C140" s="51" t="s">
        <v>20</v>
      </c>
      <c r="D140" s="52">
        <v>1001203117382</v>
      </c>
      <c r="E140" s="24">
        <v>80</v>
      </c>
      <c r="F140" s="23">
        <v>0.12</v>
      </c>
      <c r="G140" s="23">
        <f t="shared" si="15"/>
        <v>9.6</v>
      </c>
      <c r="H140" s="14">
        <v>0.96</v>
      </c>
      <c r="I140" s="14">
        <v>60</v>
      </c>
      <c r="J140" s="29"/>
      <c r="L140" s="115"/>
    </row>
    <row r="141" spans="1:12" ht="16.5" customHeight="1" x14ac:dyDescent="0.25">
      <c r="A141" s="145">
        <v>7613</v>
      </c>
      <c r="B141" s="55" t="s">
        <v>192</v>
      </c>
      <c r="C141" s="51" t="s">
        <v>20</v>
      </c>
      <c r="D141" s="52">
        <v>1001061977613</v>
      </c>
      <c r="E141" s="24">
        <v>60</v>
      </c>
      <c r="F141" s="23">
        <v>0.1</v>
      </c>
      <c r="G141" s="23">
        <f t="shared" si="15"/>
        <v>6</v>
      </c>
      <c r="H141" s="14">
        <v>1</v>
      </c>
      <c r="I141" s="14">
        <v>60</v>
      </c>
      <c r="J141" s="60"/>
      <c r="L141" s="115"/>
    </row>
    <row r="142" spans="1:12" ht="16.5" hidden="1" customHeight="1" x14ac:dyDescent="0.25">
      <c r="A142" s="145">
        <v>7616</v>
      </c>
      <c r="B142" s="55" t="s">
        <v>193</v>
      </c>
      <c r="C142" s="51" t="s">
        <v>20</v>
      </c>
      <c r="D142" s="52">
        <v>1001062507616</v>
      </c>
      <c r="E142" s="24">
        <v>0</v>
      </c>
      <c r="F142" s="23">
        <v>0.1</v>
      </c>
      <c r="G142" s="23">
        <f t="shared" si="15"/>
        <v>0</v>
      </c>
      <c r="H142" s="14">
        <v>1.4</v>
      </c>
      <c r="I142" s="14">
        <v>60</v>
      </c>
      <c r="J142" s="60"/>
      <c r="L142" s="115"/>
    </row>
    <row r="143" spans="1:12" ht="16.5" hidden="1" customHeight="1" x14ac:dyDescent="0.25">
      <c r="A143" s="57">
        <v>6221</v>
      </c>
      <c r="B143" s="53" t="s">
        <v>86</v>
      </c>
      <c r="C143" s="51" t="s">
        <v>20</v>
      </c>
      <c r="D143" s="52">
        <v>1001205376221</v>
      </c>
      <c r="E143" s="24">
        <v>0</v>
      </c>
      <c r="F143" s="23">
        <v>0.09</v>
      </c>
      <c r="G143" s="23">
        <f t="shared" si="15"/>
        <v>0</v>
      </c>
      <c r="H143" s="14">
        <v>0.9</v>
      </c>
      <c r="I143" s="14">
        <v>60</v>
      </c>
      <c r="J143" s="29"/>
      <c r="L143" s="115"/>
    </row>
    <row r="144" spans="1:12" ht="16.5" hidden="1" customHeight="1" x14ac:dyDescent="0.25">
      <c r="A144" s="57">
        <v>6222</v>
      </c>
      <c r="B144" s="53" t="s">
        <v>133</v>
      </c>
      <c r="C144" s="51" t="s">
        <v>20</v>
      </c>
      <c r="D144" s="52">
        <v>1001205386222</v>
      </c>
      <c r="E144" s="24">
        <v>0</v>
      </c>
      <c r="F144" s="23">
        <v>0.09</v>
      </c>
      <c r="G144" s="23">
        <f t="shared" si="15"/>
        <v>0</v>
      </c>
      <c r="H144" s="14">
        <v>0.9</v>
      </c>
      <c r="I144" s="14">
        <v>60</v>
      </c>
      <c r="J144" s="29"/>
      <c r="L144" s="115"/>
    </row>
    <row r="145" spans="1:67" ht="16.5" hidden="1" customHeight="1" x14ac:dyDescent="0.25">
      <c r="A145" s="138">
        <v>6834</v>
      </c>
      <c r="B145" s="139" t="s">
        <v>132</v>
      </c>
      <c r="C145" s="140" t="s">
        <v>20</v>
      </c>
      <c r="D145" s="141">
        <v>1001203146834</v>
      </c>
      <c r="E145" s="24">
        <v>0</v>
      </c>
      <c r="F145" s="142">
        <v>0.1</v>
      </c>
      <c r="G145" s="142">
        <f t="shared" si="15"/>
        <v>0</v>
      </c>
      <c r="H145" s="143">
        <v>1</v>
      </c>
      <c r="I145" s="143">
        <v>60</v>
      </c>
      <c r="J145" s="143" t="s">
        <v>191</v>
      </c>
      <c r="L145" s="115"/>
    </row>
    <row r="146" spans="1:67" ht="16.5" hidden="1" customHeight="1" x14ac:dyDescent="0.25">
      <c r="A146" s="138">
        <v>6965</v>
      </c>
      <c r="B146" s="139" t="s">
        <v>134</v>
      </c>
      <c r="C146" s="140" t="s">
        <v>20</v>
      </c>
      <c r="D146" s="141">
        <v>1001206356965</v>
      </c>
      <c r="E146" s="24">
        <v>0</v>
      </c>
      <c r="F146" s="142">
        <v>7.0000000000000007E-2</v>
      </c>
      <c r="G146" s="142">
        <f t="shared" si="15"/>
        <v>0</v>
      </c>
      <c r="H146" s="143">
        <v>0.98</v>
      </c>
      <c r="I146" s="143">
        <v>60</v>
      </c>
      <c r="J146" s="143" t="s">
        <v>191</v>
      </c>
      <c r="L146" s="115"/>
    </row>
    <row r="147" spans="1:67" ht="16.5" hidden="1" customHeight="1" x14ac:dyDescent="0.25">
      <c r="A147" s="138">
        <v>6557</v>
      </c>
      <c r="B147" s="139" t="s">
        <v>135</v>
      </c>
      <c r="C147" s="140" t="s">
        <v>20</v>
      </c>
      <c r="D147" s="141">
        <v>1001200756557</v>
      </c>
      <c r="E147" s="24">
        <v>0</v>
      </c>
      <c r="F147" s="142">
        <v>0.1</v>
      </c>
      <c r="G147" s="142">
        <f t="shared" si="15"/>
        <v>0</v>
      </c>
      <c r="H147" s="143">
        <v>1</v>
      </c>
      <c r="I147" s="143">
        <v>60</v>
      </c>
      <c r="J147" s="143" t="s">
        <v>191</v>
      </c>
      <c r="L147" s="115"/>
    </row>
    <row r="148" spans="1:67" ht="16.5" hidden="1" customHeight="1" thickBot="1" x14ac:dyDescent="0.25">
      <c r="A148" s="145">
        <v>7626</v>
      </c>
      <c r="B148" s="55" t="s">
        <v>190</v>
      </c>
      <c r="C148" s="51" t="s">
        <v>20</v>
      </c>
      <c r="D148" s="52">
        <v>1001066607626</v>
      </c>
      <c r="E148" s="24">
        <v>0</v>
      </c>
      <c r="F148" s="23">
        <v>0.1</v>
      </c>
      <c r="G148" s="23">
        <f t="shared" si="15"/>
        <v>0</v>
      </c>
      <c r="H148" s="14">
        <v>1</v>
      </c>
      <c r="I148" s="14">
        <v>60</v>
      </c>
      <c r="J148" s="60"/>
      <c r="L148" s="115"/>
    </row>
    <row r="149" spans="1:67" ht="16.5" hidden="1" customHeight="1" thickTop="1" thickBot="1" x14ac:dyDescent="0.3">
      <c r="A149" s="48" t="s">
        <v>104</v>
      </c>
      <c r="B149" s="43" t="s">
        <v>91</v>
      </c>
      <c r="C149" s="43"/>
      <c r="D149" s="43"/>
      <c r="E149" s="43"/>
      <c r="F149" s="42"/>
      <c r="G149" s="43"/>
      <c r="H149" s="43"/>
      <c r="I149" s="43"/>
      <c r="J149" s="44"/>
      <c r="L149" s="115"/>
    </row>
    <row r="150" spans="1:67" ht="16.149999999999999" hidden="1" customHeight="1" thickTop="1" x14ac:dyDescent="0.25">
      <c r="A150" s="168">
        <v>6470</v>
      </c>
      <c r="B150" s="152" t="s">
        <v>116</v>
      </c>
      <c r="C150" s="140" t="s">
        <v>22</v>
      </c>
      <c r="D150" s="153">
        <v>1001092436470</v>
      </c>
      <c r="E150" s="24">
        <v>0</v>
      </c>
      <c r="F150" s="154">
        <v>1.2</v>
      </c>
      <c r="G150" s="155">
        <f>E150</f>
        <v>0</v>
      </c>
      <c r="H150" s="156">
        <v>4.8</v>
      </c>
      <c r="I150" s="157">
        <v>45</v>
      </c>
      <c r="J150" s="158" t="s">
        <v>219</v>
      </c>
      <c r="L150" s="115"/>
    </row>
    <row r="151" spans="1:67" ht="16.149999999999999" hidden="1" customHeight="1" x14ac:dyDescent="0.25">
      <c r="A151" s="171">
        <v>7726</v>
      </c>
      <c r="B151" s="159" t="s">
        <v>220</v>
      </c>
      <c r="C151" s="172" t="s">
        <v>22</v>
      </c>
      <c r="D151" s="160">
        <v>1001092437726</v>
      </c>
      <c r="E151" s="24">
        <v>0</v>
      </c>
      <c r="F151" s="161">
        <v>1.2</v>
      </c>
      <c r="G151" s="162">
        <f>E151</f>
        <v>0</v>
      </c>
      <c r="H151" s="163">
        <v>4.8</v>
      </c>
      <c r="I151" s="164">
        <v>62</v>
      </c>
      <c r="J151" s="165" t="s">
        <v>221</v>
      </c>
      <c r="L151" s="115"/>
    </row>
    <row r="152" spans="1:67" s="61" customFormat="1" ht="16.149999999999999" hidden="1" customHeight="1" x14ac:dyDescent="0.25">
      <c r="A152" s="176">
        <v>6495</v>
      </c>
      <c r="B152" s="177" t="s">
        <v>95</v>
      </c>
      <c r="C152" s="140" t="s">
        <v>20</v>
      </c>
      <c r="D152" s="144">
        <v>1001092436495</v>
      </c>
      <c r="E152" s="24">
        <v>0</v>
      </c>
      <c r="F152" s="178">
        <v>0.3</v>
      </c>
      <c r="G152" s="142">
        <f>E152*F152</f>
        <v>0</v>
      </c>
      <c r="H152" s="143">
        <v>1.8</v>
      </c>
      <c r="I152" s="143">
        <v>45</v>
      </c>
      <c r="J152" s="158" t="s">
        <v>216</v>
      </c>
      <c r="K152" s="27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15"/>
      <c r="AT152" s="115"/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115"/>
      <c r="BF152" s="115"/>
      <c r="BG152" s="115"/>
      <c r="BH152" s="115"/>
      <c r="BI152" s="115"/>
      <c r="BJ152" s="115"/>
      <c r="BK152" s="115"/>
      <c r="BL152" s="115"/>
      <c r="BM152" s="115"/>
      <c r="BN152" s="115"/>
      <c r="BO152" s="115"/>
    </row>
    <row r="153" spans="1:67" s="61" customFormat="1" ht="16.149999999999999" hidden="1" customHeight="1" x14ac:dyDescent="0.25">
      <c r="A153" s="171">
        <v>7725</v>
      </c>
      <c r="B153" s="159" t="s">
        <v>217</v>
      </c>
      <c r="C153" s="172" t="s">
        <v>20</v>
      </c>
      <c r="D153" s="160">
        <v>1001092437725</v>
      </c>
      <c r="E153" s="24">
        <v>0</v>
      </c>
      <c r="F153" s="161">
        <v>0.3</v>
      </c>
      <c r="G153" s="23">
        <f>E153*F153</f>
        <v>0</v>
      </c>
      <c r="H153" s="163">
        <v>4.8</v>
      </c>
      <c r="I153" s="164">
        <v>62</v>
      </c>
      <c r="J153" s="165" t="s">
        <v>218</v>
      </c>
      <c r="K153" s="27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5"/>
      <c r="AN153" s="115"/>
      <c r="AO153" s="115"/>
      <c r="AP153" s="115"/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15"/>
      <c r="BI153" s="115"/>
      <c r="BJ153" s="115"/>
      <c r="BK153" s="115"/>
      <c r="BL153" s="115"/>
      <c r="BM153" s="115"/>
      <c r="BN153" s="115"/>
      <c r="BO153" s="115"/>
    </row>
    <row r="154" spans="1:67" s="61" customFormat="1" ht="16.149999999999999" customHeight="1" x14ac:dyDescent="0.25">
      <c r="A154" s="57">
        <v>5452</v>
      </c>
      <c r="B154" s="55" t="s">
        <v>93</v>
      </c>
      <c r="C154" s="56" t="s">
        <v>22</v>
      </c>
      <c r="D154" s="70">
        <v>1001092485452</v>
      </c>
      <c r="E154" s="24">
        <v>30</v>
      </c>
      <c r="F154" s="59">
        <v>1.35</v>
      </c>
      <c r="G154" s="23">
        <f t="shared" ref="G154:G157" si="16">E154</f>
        <v>30</v>
      </c>
      <c r="H154" s="60">
        <v>4.05</v>
      </c>
      <c r="I154" s="60">
        <v>60</v>
      </c>
      <c r="J154" s="60"/>
      <c r="K154" s="27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 s="115"/>
      <c r="BH154" s="115"/>
      <c r="BI154" s="115"/>
      <c r="BJ154" s="115"/>
      <c r="BK154" s="115"/>
      <c r="BL154" s="115"/>
      <c r="BM154" s="115"/>
      <c r="BN154" s="115"/>
      <c r="BO154" s="115"/>
    </row>
    <row r="155" spans="1:67" s="61" customFormat="1" ht="16.149999999999999" customHeight="1" x14ac:dyDescent="0.25">
      <c r="A155" s="57">
        <v>6866</v>
      </c>
      <c r="B155" s="55" t="s">
        <v>92</v>
      </c>
      <c r="C155" s="56" t="s">
        <v>22</v>
      </c>
      <c r="D155" s="70">
        <v>1001095716866</v>
      </c>
      <c r="E155" s="24">
        <v>30</v>
      </c>
      <c r="F155" s="59">
        <v>1.5</v>
      </c>
      <c r="G155" s="23">
        <f t="shared" si="16"/>
        <v>30</v>
      </c>
      <c r="H155" s="60">
        <v>6</v>
      </c>
      <c r="I155" s="60">
        <v>60</v>
      </c>
      <c r="J155" s="60"/>
      <c r="K155" s="27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15"/>
      <c r="AT155" s="115"/>
      <c r="AU155" s="115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115"/>
      <c r="BF155" s="115"/>
      <c r="BG155" s="115"/>
      <c r="BH155" s="115"/>
      <c r="BI155" s="115"/>
      <c r="BJ155" s="115"/>
      <c r="BK155" s="115"/>
      <c r="BL155" s="115"/>
      <c r="BM155" s="115"/>
      <c r="BN155" s="115"/>
      <c r="BO155" s="115"/>
    </row>
    <row r="156" spans="1:67" s="61" customFormat="1" ht="16.149999999999999" hidden="1" customHeight="1" x14ac:dyDescent="0.25">
      <c r="A156" s="57">
        <v>6025</v>
      </c>
      <c r="B156" s="55" t="s">
        <v>118</v>
      </c>
      <c r="C156" s="56" t="s">
        <v>22</v>
      </c>
      <c r="D156" s="70">
        <v>1001094966025</v>
      </c>
      <c r="E156" s="24">
        <v>0</v>
      </c>
      <c r="F156" s="59">
        <v>3</v>
      </c>
      <c r="G156" s="23">
        <f t="shared" si="16"/>
        <v>0</v>
      </c>
      <c r="H156" s="60">
        <v>6</v>
      </c>
      <c r="I156" s="60">
        <v>60</v>
      </c>
      <c r="J156" s="60"/>
      <c r="K156" s="27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115"/>
      <c r="AQ156" s="115"/>
      <c r="AR156" s="115"/>
      <c r="AS156" s="115"/>
      <c r="AT156" s="115"/>
      <c r="AU156" s="115"/>
      <c r="AV156" s="115"/>
      <c r="AW156" s="115"/>
      <c r="AX156" s="115"/>
      <c r="AY156" s="115"/>
      <c r="AZ156" s="115"/>
      <c r="BA156" s="115"/>
      <c r="BB156" s="115"/>
      <c r="BC156" s="115"/>
      <c r="BD156" s="115"/>
      <c r="BE156" s="115"/>
      <c r="BF156" s="115"/>
      <c r="BG156" s="115"/>
      <c r="BH156" s="115"/>
      <c r="BI156" s="115"/>
      <c r="BJ156" s="115"/>
      <c r="BK156" s="115"/>
      <c r="BL156" s="115"/>
      <c r="BM156" s="115"/>
      <c r="BN156" s="115"/>
      <c r="BO156" s="115"/>
    </row>
    <row r="157" spans="1:67" s="61" customFormat="1" ht="16.149999999999999" hidden="1" customHeight="1" x14ac:dyDescent="0.25">
      <c r="A157" s="57">
        <v>4584</v>
      </c>
      <c r="B157" s="55" t="s">
        <v>167</v>
      </c>
      <c r="C157" s="56" t="s">
        <v>22</v>
      </c>
      <c r="D157" s="70">
        <v>1001092674584</v>
      </c>
      <c r="E157" s="24">
        <v>0</v>
      </c>
      <c r="F157" s="59">
        <v>2.5</v>
      </c>
      <c r="G157" s="23">
        <f t="shared" si="16"/>
        <v>0</v>
      </c>
      <c r="H157" s="60">
        <v>7.5</v>
      </c>
      <c r="I157" s="60">
        <v>60</v>
      </c>
      <c r="J157" s="60"/>
      <c r="K157" s="27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15"/>
      <c r="AU157" s="115"/>
      <c r="AV157" s="115"/>
      <c r="AW157" s="115"/>
      <c r="AX157" s="115"/>
      <c r="AY157" s="115"/>
      <c r="AZ157" s="115"/>
      <c r="BA157" s="115"/>
      <c r="BB157" s="115"/>
      <c r="BC157" s="115"/>
      <c r="BD157" s="115"/>
      <c r="BE157" s="115"/>
      <c r="BF157" s="115"/>
      <c r="BG157" s="115"/>
      <c r="BH157" s="115"/>
      <c r="BI157" s="115"/>
      <c r="BJ157" s="115"/>
      <c r="BK157" s="115"/>
      <c r="BL157" s="115"/>
      <c r="BM157" s="115"/>
      <c r="BN157" s="115"/>
      <c r="BO157" s="115"/>
    </row>
    <row r="158" spans="1:67" s="61" customFormat="1" ht="16.5" customHeight="1" thickBot="1" x14ac:dyDescent="0.3">
      <c r="A158" s="57">
        <v>3215</v>
      </c>
      <c r="B158" s="55" t="s">
        <v>168</v>
      </c>
      <c r="C158" s="56" t="s">
        <v>20</v>
      </c>
      <c r="D158" s="108">
        <v>1001094053215</v>
      </c>
      <c r="E158" s="24">
        <v>36</v>
      </c>
      <c r="F158" s="59">
        <v>0.4</v>
      </c>
      <c r="G158" s="23">
        <f t="shared" ref="G158:G166" si="17">E158*F158</f>
        <v>14.4</v>
      </c>
      <c r="H158" s="60">
        <v>3.2</v>
      </c>
      <c r="I158" s="60">
        <v>60</v>
      </c>
      <c r="J158" s="60"/>
      <c r="K158" s="27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115"/>
      <c r="BF158" s="115"/>
      <c r="BG158" s="115"/>
      <c r="BH158" s="115"/>
      <c r="BI158" s="115"/>
      <c r="BJ158" s="115"/>
      <c r="BK158" s="115"/>
      <c r="BL158" s="115"/>
      <c r="BM158" s="115"/>
      <c r="BN158" s="115"/>
      <c r="BO158" s="115"/>
    </row>
    <row r="159" spans="1:67" s="61" customFormat="1" ht="16.5" hidden="1" customHeight="1" x14ac:dyDescent="0.3">
      <c r="A159" s="57">
        <v>5495</v>
      </c>
      <c r="B159" s="55" t="s">
        <v>94</v>
      </c>
      <c r="C159" s="56" t="s">
        <v>20</v>
      </c>
      <c r="D159" s="108">
        <v>1001093345495</v>
      </c>
      <c r="E159" s="24">
        <v>0</v>
      </c>
      <c r="F159" s="59">
        <v>0.4</v>
      </c>
      <c r="G159" s="23">
        <f t="shared" si="17"/>
        <v>0</v>
      </c>
      <c r="H159" s="60">
        <v>2.4</v>
      </c>
      <c r="I159" s="60">
        <v>60</v>
      </c>
      <c r="J159" s="60"/>
      <c r="K159" s="27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5"/>
      <c r="AV159" s="115"/>
      <c r="AW159" s="115"/>
      <c r="AX159" s="115"/>
      <c r="AY159" s="115"/>
      <c r="AZ159" s="115"/>
      <c r="BA159" s="115"/>
      <c r="BB159" s="115"/>
      <c r="BC159" s="115"/>
      <c r="BD159" s="115"/>
      <c r="BE159" s="115"/>
      <c r="BF159" s="115"/>
      <c r="BG159" s="115"/>
      <c r="BH159" s="115"/>
      <c r="BI159" s="115"/>
      <c r="BJ159" s="115"/>
      <c r="BK159" s="115"/>
      <c r="BL159" s="115"/>
      <c r="BM159" s="115"/>
      <c r="BN159" s="115"/>
      <c r="BO159" s="115"/>
    </row>
    <row r="160" spans="1:67" s="61" customFormat="1" ht="16.5" hidden="1" customHeight="1" x14ac:dyDescent="0.3">
      <c r="A160" s="57">
        <v>7377</v>
      </c>
      <c r="B160" s="55" t="s">
        <v>117</v>
      </c>
      <c r="C160" s="56" t="s">
        <v>20</v>
      </c>
      <c r="D160" s="108">
        <v>1001095027377</v>
      </c>
      <c r="E160" s="24">
        <v>0</v>
      </c>
      <c r="F160" s="59">
        <v>0.3</v>
      </c>
      <c r="G160" s="23">
        <f t="shared" si="17"/>
        <v>0</v>
      </c>
      <c r="H160" s="60">
        <v>1.8</v>
      </c>
      <c r="I160" s="60">
        <v>45</v>
      </c>
      <c r="J160" s="60"/>
      <c r="K160" s="27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15"/>
      <c r="AU160" s="115"/>
      <c r="AV160" s="115"/>
      <c r="AW160" s="115"/>
      <c r="AX160" s="115"/>
      <c r="AY160" s="115"/>
      <c r="AZ160" s="115"/>
      <c r="BA160" s="115"/>
      <c r="BB160" s="115"/>
      <c r="BC160" s="115"/>
      <c r="BD160" s="115"/>
      <c r="BE160" s="115"/>
      <c r="BF160" s="115"/>
      <c r="BG160" s="115"/>
      <c r="BH160" s="115"/>
      <c r="BI160" s="115"/>
      <c r="BJ160" s="115"/>
      <c r="BK160" s="115"/>
      <c r="BL160" s="115"/>
      <c r="BM160" s="115"/>
      <c r="BN160" s="115"/>
      <c r="BO160" s="115"/>
    </row>
    <row r="161" spans="1:67" s="61" customFormat="1" ht="15.75" hidden="1" customHeight="1" x14ac:dyDescent="0.3">
      <c r="A161" s="176">
        <v>6925</v>
      </c>
      <c r="B161" s="139" t="s">
        <v>103</v>
      </c>
      <c r="C161" s="140" t="s">
        <v>20</v>
      </c>
      <c r="D161" s="179">
        <v>1001095226925</v>
      </c>
      <c r="E161" s="24">
        <v>0</v>
      </c>
      <c r="F161" s="178">
        <v>0.6</v>
      </c>
      <c r="G161" s="142">
        <f t="shared" si="17"/>
        <v>0</v>
      </c>
      <c r="H161" s="143">
        <v>4.8</v>
      </c>
      <c r="I161" s="143">
        <v>45</v>
      </c>
      <c r="J161" s="158" t="s">
        <v>222</v>
      </c>
      <c r="K161" s="27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15"/>
      <c r="AT161" s="115"/>
      <c r="AU161" s="115"/>
      <c r="AV161" s="115"/>
      <c r="AW161" s="115"/>
      <c r="AX161" s="115"/>
      <c r="AY161" s="115"/>
      <c r="AZ161" s="115"/>
      <c r="BA161" s="115"/>
      <c r="BB161" s="115"/>
      <c r="BC161" s="115"/>
      <c r="BD161" s="115"/>
      <c r="BE161" s="115"/>
      <c r="BF161" s="115"/>
      <c r="BG161" s="115"/>
      <c r="BH161" s="115"/>
      <c r="BI161" s="115"/>
      <c r="BJ161" s="115"/>
      <c r="BK161" s="115"/>
      <c r="BL161" s="115"/>
      <c r="BM161" s="115"/>
      <c r="BN161" s="115"/>
      <c r="BO161" s="115"/>
    </row>
    <row r="162" spans="1:67" s="61" customFormat="1" ht="15.75" hidden="1" customHeight="1" x14ac:dyDescent="0.3">
      <c r="A162" s="180">
        <v>7723</v>
      </c>
      <c r="B162" s="149" t="s">
        <v>223</v>
      </c>
      <c r="C162" s="56" t="s">
        <v>20</v>
      </c>
      <c r="D162" s="108">
        <v>1001095227723</v>
      </c>
      <c r="E162" s="24">
        <v>0</v>
      </c>
      <c r="F162" s="150">
        <v>0.6</v>
      </c>
      <c r="G162" s="59">
        <f t="shared" si="17"/>
        <v>0</v>
      </c>
      <c r="H162" s="60">
        <v>4.8</v>
      </c>
      <c r="I162" s="60">
        <v>62</v>
      </c>
      <c r="J162" s="165" t="s">
        <v>224</v>
      </c>
      <c r="K162" s="27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115"/>
      <c r="AN162" s="115"/>
      <c r="AO162" s="115"/>
      <c r="AP162" s="115"/>
      <c r="AQ162" s="115"/>
      <c r="AR162" s="115"/>
      <c r="AS162" s="115"/>
      <c r="AT162" s="115"/>
      <c r="AU162" s="115"/>
      <c r="AV162" s="115"/>
      <c r="AW162" s="115"/>
      <c r="AX162" s="115"/>
      <c r="AY162" s="115"/>
      <c r="AZ162" s="115"/>
      <c r="BA162" s="115"/>
      <c r="BB162" s="115"/>
      <c r="BC162" s="115"/>
      <c r="BD162" s="115"/>
      <c r="BE162" s="115"/>
      <c r="BF162" s="115"/>
      <c r="BG162" s="115"/>
      <c r="BH162" s="115"/>
      <c r="BI162" s="115"/>
      <c r="BJ162" s="115"/>
      <c r="BK162" s="115"/>
      <c r="BL162" s="115"/>
      <c r="BM162" s="115"/>
      <c r="BN162" s="115"/>
      <c r="BO162" s="115"/>
    </row>
    <row r="163" spans="1:67" s="61" customFormat="1" ht="15.75" hidden="1" customHeight="1" x14ac:dyDescent="0.3">
      <c r="A163" s="168">
        <v>7647</v>
      </c>
      <c r="B163" s="152" t="s">
        <v>185</v>
      </c>
      <c r="C163" s="140" t="s">
        <v>20</v>
      </c>
      <c r="D163" s="153">
        <v>1001097747647</v>
      </c>
      <c r="E163" s="24">
        <v>0</v>
      </c>
      <c r="F163" s="154">
        <v>0.1</v>
      </c>
      <c r="G163" s="155">
        <f t="shared" si="17"/>
        <v>0</v>
      </c>
      <c r="H163" s="155">
        <v>0.8</v>
      </c>
      <c r="I163" s="170">
        <v>30</v>
      </c>
      <c r="J163" s="158" t="s">
        <v>225</v>
      </c>
      <c r="K163" s="27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115"/>
      <c r="BA163" s="115"/>
      <c r="BB163" s="115"/>
      <c r="BC163" s="115"/>
      <c r="BD163" s="115"/>
      <c r="BE163" s="115"/>
      <c r="BF163" s="115"/>
      <c r="BG163" s="115"/>
      <c r="BH163" s="115"/>
      <c r="BI163" s="115"/>
      <c r="BJ163" s="115"/>
      <c r="BK163" s="115"/>
      <c r="BL163" s="115"/>
      <c r="BM163" s="115"/>
      <c r="BN163" s="115"/>
      <c r="BO163" s="115"/>
    </row>
    <row r="164" spans="1:67" s="61" customFormat="1" ht="15.75" hidden="1" customHeight="1" x14ac:dyDescent="0.3">
      <c r="A164" s="171">
        <v>7730</v>
      </c>
      <c r="B164" s="159" t="s">
        <v>226</v>
      </c>
      <c r="C164" s="172" t="s">
        <v>20</v>
      </c>
      <c r="D164" s="160">
        <v>1001097747730</v>
      </c>
      <c r="E164" s="24">
        <v>0</v>
      </c>
      <c r="F164" s="161">
        <v>0.1</v>
      </c>
      <c r="G164" s="162">
        <f t="shared" si="17"/>
        <v>0</v>
      </c>
      <c r="H164" s="173">
        <v>0.8</v>
      </c>
      <c r="I164" s="181">
        <v>62</v>
      </c>
      <c r="J164" s="165" t="s">
        <v>227</v>
      </c>
      <c r="K164" s="27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115"/>
      <c r="BA164" s="115"/>
      <c r="BB164" s="115"/>
      <c r="BC164" s="115"/>
      <c r="BD164" s="115"/>
      <c r="BE164" s="115"/>
      <c r="BF164" s="115"/>
      <c r="BG164" s="115"/>
      <c r="BH164" s="115"/>
      <c r="BI164" s="115"/>
      <c r="BJ164" s="115"/>
      <c r="BK164" s="115"/>
      <c r="BL164" s="115"/>
      <c r="BM164" s="115"/>
      <c r="BN164" s="115"/>
      <c r="BO164" s="115"/>
    </row>
    <row r="165" spans="1:67" s="61" customFormat="1" ht="15.75" hidden="1" customHeight="1" x14ac:dyDescent="0.3">
      <c r="A165" s="168">
        <v>7651</v>
      </c>
      <c r="B165" s="152" t="s">
        <v>187</v>
      </c>
      <c r="C165" s="140" t="s">
        <v>20</v>
      </c>
      <c r="D165" s="153">
        <v>1001097767651</v>
      </c>
      <c r="E165" s="24">
        <v>0</v>
      </c>
      <c r="F165" s="154">
        <v>0.1</v>
      </c>
      <c r="G165" s="155">
        <f t="shared" si="17"/>
        <v>0</v>
      </c>
      <c r="H165" s="155">
        <v>0.8</v>
      </c>
      <c r="I165" s="170">
        <v>30</v>
      </c>
      <c r="J165" s="158" t="s">
        <v>228</v>
      </c>
      <c r="K165" s="27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15"/>
      <c r="AS165" s="115"/>
      <c r="AT165" s="115"/>
      <c r="AU165" s="115"/>
      <c r="AV165" s="115"/>
      <c r="AW165" s="115"/>
      <c r="AX165" s="115"/>
      <c r="AY165" s="115"/>
      <c r="AZ165" s="115"/>
      <c r="BA165" s="115"/>
      <c r="BB165" s="115"/>
      <c r="BC165" s="115"/>
      <c r="BD165" s="115"/>
      <c r="BE165" s="115"/>
      <c r="BF165" s="115"/>
      <c r="BG165" s="115"/>
      <c r="BH165" s="115"/>
      <c r="BI165" s="115"/>
      <c r="BJ165" s="115"/>
      <c r="BK165" s="115"/>
      <c r="BL165" s="115"/>
      <c r="BM165" s="115"/>
      <c r="BN165" s="115"/>
      <c r="BO165" s="115"/>
    </row>
    <row r="166" spans="1:67" s="61" customFormat="1" ht="15.75" hidden="1" customHeight="1" thickBot="1" x14ac:dyDescent="0.3">
      <c r="A166" s="171">
        <v>7731</v>
      </c>
      <c r="B166" s="159" t="s">
        <v>229</v>
      </c>
      <c r="C166" s="172" t="s">
        <v>20</v>
      </c>
      <c r="D166" s="160">
        <v>1001097767731</v>
      </c>
      <c r="E166" s="24">
        <v>0</v>
      </c>
      <c r="F166" s="161">
        <v>0.1</v>
      </c>
      <c r="G166" s="182">
        <f t="shared" si="17"/>
        <v>0</v>
      </c>
      <c r="H166" s="163">
        <v>0.8</v>
      </c>
      <c r="I166" s="164">
        <v>62</v>
      </c>
      <c r="J166" s="165" t="s">
        <v>230</v>
      </c>
      <c r="K166" s="27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5"/>
      <c r="AP166" s="115"/>
      <c r="AQ166" s="115"/>
      <c r="AR166" s="115"/>
      <c r="AS166" s="115"/>
      <c r="AT166" s="115"/>
      <c r="AU166" s="115"/>
      <c r="AV166" s="115"/>
      <c r="AW166" s="115"/>
      <c r="AX166" s="115"/>
      <c r="AY166" s="115"/>
      <c r="AZ166" s="115"/>
      <c r="BA166" s="115"/>
      <c r="BB166" s="115"/>
      <c r="BC166" s="115"/>
      <c r="BD166" s="115"/>
      <c r="BE166" s="115"/>
      <c r="BF166" s="115"/>
      <c r="BG166" s="115"/>
      <c r="BH166" s="115"/>
      <c r="BI166" s="115"/>
      <c r="BJ166" s="115"/>
      <c r="BK166" s="115"/>
      <c r="BL166" s="115"/>
      <c r="BM166" s="115"/>
      <c r="BN166" s="115"/>
      <c r="BO166" s="115"/>
    </row>
    <row r="167" spans="1:67" s="61" customFormat="1" ht="15.75" hidden="1" customHeight="1" thickTop="1" thickBot="1" x14ac:dyDescent="0.3">
      <c r="A167" s="48" t="s">
        <v>104</v>
      </c>
      <c r="B167" s="43" t="s">
        <v>197</v>
      </c>
      <c r="C167" s="43"/>
      <c r="D167" s="43"/>
      <c r="E167" s="24">
        <v>0</v>
      </c>
      <c r="F167" s="42"/>
      <c r="G167" s="43"/>
      <c r="H167" s="43"/>
      <c r="I167" s="43"/>
      <c r="J167" s="44"/>
      <c r="K167" s="27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5"/>
      <c r="AP167" s="115"/>
      <c r="AQ167" s="115"/>
      <c r="AR167" s="115"/>
      <c r="AS167" s="115"/>
      <c r="AT167" s="115"/>
      <c r="AU167" s="115"/>
      <c r="AV167" s="115"/>
      <c r="AW167" s="115"/>
      <c r="AX167" s="115"/>
      <c r="AY167" s="115"/>
      <c r="AZ167" s="115"/>
      <c r="BA167" s="115"/>
      <c r="BB167" s="115"/>
      <c r="BC167" s="115"/>
      <c r="BD167" s="115"/>
      <c r="BE167" s="115"/>
      <c r="BF167" s="115"/>
      <c r="BG167" s="115"/>
      <c r="BH167" s="115"/>
      <c r="BI167" s="115"/>
      <c r="BJ167" s="115"/>
      <c r="BK167" s="115"/>
      <c r="BL167" s="115"/>
      <c r="BM167" s="115"/>
      <c r="BN167" s="115"/>
      <c r="BO167" s="115"/>
    </row>
    <row r="168" spans="1:67" s="61" customFormat="1" ht="15.75" hidden="1" customHeight="1" thickTop="1" thickBot="1" x14ac:dyDescent="0.3">
      <c r="A168" s="145">
        <v>7485</v>
      </c>
      <c r="B168" s="35" t="s">
        <v>198</v>
      </c>
      <c r="C168" s="51" t="s">
        <v>20</v>
      </c>
      <c r="D168" s="52">
        <v>1001107397485</v>
      </c>
      <c r="E168" s="24">
        <v>0</v>
      </c>
      <c r="F168" s="23">
        <v>0.15</v>
      </c>
      <c r="G168" s="23">
        <f>E168*F168</f>
        <v>0</v>
      </c>
      <c r="H168" s="14">
        <v>2.25</v>
      </c>
      <c r="I168" s="14">
        <v>60</v>
      </c>
      <c r="J168" s="60"/>
      <c r="K168" s="27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s="115"/>
      <c r="AV168" s="115"/>
      <c r="AW168" s="115"/>
      <c r="AX168" s="115"/>
      <c r="AY168" s="115"/>
      <c r="AZ168" s="115"/>
      <c r="BA168" s="115"/>
      <c r="BB168" s="115"/>
      <c r="BC168" s="115"/>
      <c r="BD168" s="115"/>
      <c r="BE168" s="115"/>
      <c r="BF168" s="115"/>
      <c r="BG168" s="115"/>
      <c r="BH168" s="115"/>
      <c r="BI168" s="115"/>
      <c r="BJ168" s="115"/>
      <c r="BK168" s="115"/>
      <c r="BL168" s="115"/>
      <c r="BM168" s="115"/>
      <c r="BN168" s="115"/>
      <c r="BO168" s="115"/>
    </row>
    <row r="169" spans="1:67" ht="16.5" hidden="1" customHeight="1" thickTop="1" thickBot="1" x14ac:dyDescent="0.3">
      <c r="A169" s="48" t="s">
        <v>104</v>
      </c>
      <c r="B169" s="43" t="s">
        <v>96</v>
      </c>
      <c r="C169" s="43"/>
      <c r="D169" s="43"/>
      <c r="E169" s="24">
        <v>0</v>
      </c>
      <c r="F169" s="42"/>
      <c r="G169" s="43"/>
      <c r="H169" s="43"/>
      <c r="I169" s="43"/>
      <c r="J169" s="44"/>
      <c r="L169" s="115"/>
    </row>
    <row r="170" spans="1:67" ht="16.5" hidden="1" customHeight="1" thickTop="1" x14ac:dyDescent="0.3">
      <c r="A170" s="57">
        <v>6620</v>
      </c>
      <c r="B170" s="35" t="s">
        <v>97</v>
      </c>
      <c r="C170" s="51" t="s">
        <v>22</v>
      </c>
      <c r="D170" s="52">
        <v>1001081596620</v>
      </c>
      <c r="E170" s="24">
        <v>0</v>
      </c>
      <c r="F170" s="23">
        <v>1.05</v>
      </c>
      <c r="G170" s="23">
        <f>E170</f>
        <v>0</v>
      </c>
      <c r="H170" s="14">
        <v>3.15</v>
      </c>
      <c r="I170" s="14">
        <v>30</v>
      </c>
      <c r="J170" s="29"/>
      <c r="L170" s="115"/>
    </row>
    <row r="171" spans="1:67" ht="16.5" hidden="1" customHeight="1" x14ac:dyDescent="0.3">
      <c r="A171" s="57">
        <v>7187</v>
      </c>
      <c r="B171" s="35" t="s">
        <v>101</v>
      </c>
      <c r="C171" s="51" t="s">
        <v>20</v>
      </c>
      <c r="D171" s="52">
        <v>1001085637187</v>
      </c>
      <c r="E171" s="24">
        <v>0</v>
      </c>
      <c r="F171" s="23">
        <v>0.3</v>
      </c>
      <c r="G171" s="23">
        <f t="shared" ref="G171:G182" si="18">E171*F171</f>
        <v>0</v>
      </c>
      <c r="H171" s="14">
        <v>1.8</v>
      </c>
      <c r="I171" s="14">
        <v>50</v>
      </c>
      <c r="J171" s="29"/>
      <c r="L171" s="115"/>
    </row>
    <row r="172" spans="1:67" ht="16.5" hidden="1" customHeight="1" x14ac:dyDescent="0.3">
      <c r="A172" s="145">
        <v>6008</v>
      </c>
      <c r="B172" s="35" t="s">
        <v>188</v>
      </c>
      <c r="C172" s="51" t="s">
        <v>22</v>
      </c>
      <c r="D172" s="52">
        <v>1001084856008</v>
      </c>
      <c r="E172" s="24">
        <v>0</v>
      </c>
      <c r="F172" s="23">
        <v>0.3</v>
      </c>
      <c r="G172" s="23">
        <f t="shared" si="18"/>
        <v>0</v>
      </c>
      <c r="H172" s="14">
        <v>1.8</v>
      </c>
      <c r="I172" s="14">
        <v>40</v>
      </c>
      <c r="J172" s="60"/>
      <c r="L172" s="115"/>
    </row>
    <row r="173" spans="1:67" ht="16.5" hidden="1" customHeight="1" x14ac:dyDescent="0.3">
      <c r="A173" s="57">
        <v>7090</v>
      </c>
      <c r="B173" s="35" t="s">
        <v>100</v>
      </c>
      <c r="C173" s="51" t="s">
        <v>20</v>
      </c>
      <c r="D173" s="52">
        <v>1001084217090</v>
      </c>
      <c r="E173" s="24">
        <v>0</v>
      </c>
      <c r="F173" s="23">
        <v>0.3</v>
      </c>
      <c r="G173" s="23">
        <f t="shared" si="18"/>
        <v>0</v>
      </c>
      <c r="H173" s="14">
        <v>1.8</v>
      </c>
      <c r="I173" s="14">
        <v>50</v>
      </c>
      <c r="J173" s="29"/>
      <c r="L173" s="115"/>
    </row>
    <row r="174" spans="1:67" ht="16.5" hidden="1" customHeight="1" x14ac:dyDescent="0.3">
      <c r="A174" s="57">
        <v>7103</v>
      </c>
      <c r="B174" s="35" t="s">
        <v>169</v>
      </c>
      <c r="C174" s="51" t="s">
        <v>20</v>
      </c>
      <c r="D174" s="52">
        <v>1001223297103</v>
      </c>
      <c r="E174" s="24">
        <v>0</v>
      </c>
      <c r="F174" s="23">
        <v>0.18</v>
      </c>
      <c r="G174" s="23">
        <f t="shared" si="18"/>
        <v>0</v>
      </c>
      <c r="H174" s="14">
        <v>1.8</v>
      </c>
      <c r="I174" s="14">
        <v>50</v>
      </c>
      <c r="J174" s="29"/>
      <c r="L174" s="115"/>
    </row>
    <row r="175" spans="1:67" ht="16.5" hidden="1" customHeight="1" x14ac:dyDescent="0.3">
      <c r="A175" s="57">
        <v>6279</v>
      </c>
      <c r="B175" s="35" t="s">
        <v>98</v>
      </c>
      <c r="C175" s="51" t="s">
        <v>20</v>
      </c>
      <c r="D175" s="52">
        <v>1001220286279</v>
      </c>
      <c r="E175" s="24">
        <v>0</v>
      </c>
      <c r="F175" s="23">
        <v>0.15</v>
      </c>
      <c r="G175" s="23">
        <f t="shared" si="18"/>
        <v>0</v>
      </c>
      <c r="H175" s="14">
        <v>1.2</v>
      </c>
      <c r="I175" s="14">
        <v>45</v>
      </c>
      <c r="J175" s="29"/>
      <c r="L175" s="115"/>
    </row>
    <row r="176" spans="1:67" ht="16.5" hidden="1" customHeight="1" x14ac:dyDescent="0.3">
      <c r="A176" s="148">
        <v>6929</v>
      </c>
      <c r="B176" s="166" t="s">
        <v>231</v>
      </c>
      <c r="C176" s="51" t="s">
        <v>22</v>
      </c>
      <c r="D176" s="52">
        <v>1001085476929</v>
      </c>
      <c r="E176" s="24">
        <v>0</v>
      </c>
      <c r="F176" s="167">
        <v>1.375</v>
      </c>
      <c r="G176" s="162">
        <f>E176</f>
        <v>0</v>
      </c>
      <c r="H176" s="14">
        <v>5.5</v>
      </c>
      <c r="I176" s="14">
        <v>45</v>
      </c>
      <c r="J176" s="151" t="s">
        <v>186</v>
      </c>
      <c r="L176" s="115"/>
    </row>
    <row r="177" spans="1:12" ht="16.5" hidden="1" customHeight="1" x14ac:dyDescent="0.3">
      <c r="A177" s="57">
        <v>7092</v>
      </c>
      <c r="B177" s="35" t="s">
        <v>78</v>
      </c>
      <c r="C177" s="51" t="s">
        <v>20</v>
      </c>
      <c r="D177" s="52">
        <v>1001223297092</v>
      </c>
      <c r="E177" s="24">
        <v>0</v>
      </c>
      <c r="F177" s="23">
        <v>0.14000000000000001</v>
      </c>
      <c r="G177" s="23">
        <f t="shared" si="18"/>
        <v>0</v>
      </c>
      <c r="H177" s="14">
        <v>1.4</v>
      </c>
      <c r="I177" s="14">
        <v>50</v>
      </c>
      <c r="J177" s="29"/>
      <c r="L177" s="115"/>
    </row>
    <row r="178" spans="1:12" ht="16.5" hidden="1" customHeight="1" x14ac:dyDescent="0.3">
      <c r="A178" s="138">
        <v>6448</v>
      </c>
      <c r="B178" s="175" t="s">
        <v>128</v>
      </c>
      <c r="C178" s="140" t="s">
        <v>20</v>
      </c>
      <c r="D178" s="141">
        <v>1001234146448</v>
      </c>
      <c r="E178" s="24">
        <v>0</v>
      </c>
      <c r="F178" s="142">
        <v>0.1</v>
      </c>
      <c r="G178" s="142">
        <f t="shared" si="18"/>
        <v>0</v>
      </c>
      <c r="H178" s="143">
        <v>1</v>
      </c>
      <c r="I178" s="143">
        <v>45</v>
      </c>
      <c r="J178" s="158" t="s">
        <v>211</v>
      </c>
      <c r="L178" s="115"/>
    </row>
    <row r="179" spans="1:12" ht="16.5" hidden="1" customHeight="1" x14ac:dyDescent="0.3">
      <c r="A179" s="57">
        <v>6754</v>
      </c>
      <c r="B179" s="35" t="s">
        <v>170</v>
      </c>
      <c r="C179" s="51" t="s">
        <v>20</v>
      </c>
      <c r="D179" s="52">
        <v>1001225406754</v>
      </c>
      <c r="E179" s="24">
        <v>0</v>
      </c>
      <c r="F179" s="23">
        <v>0.09</v>
      </c>
      <c r="G179" s="23">
        <f t="shared" si="18"/>
        <v>0</v>
      </c>
      <c r="H179" s="14">
        <v>0.72</v>
      </c>
      <c r="I179" s="14">
        <v>60</v>
      </c>
      <c r="J179" s="29"/>
      <c r="L179" s="115"/>
    </row>
    <row r="180" spans="1:12" ht="16.5" hidden="1" customHeight="1" x14ac:dyDescent="0.3">
      <c r="A180" s="57">
        <v>6208</v>
      </c>
      <c r="B180" s="35" t="s">
        <v>99</v>
      </c>
      <c r="C180" s="51" t="s">
        <v>20</v>
      </c>
      <c r="D180" s="52">
        <v>1001220226208</v>
      </c>
      <c r="E180" s="24">
        <v>0</v>
      </c>
      <c r="F180" s="23">
        <v>0.15</v>
      </c>
      <c r="G180" s="23">
        <f t="shared" si="18"/>
        <v>0</v>
      </c>
      <c r="H180" s="14">
        <v>1.5</v>
      </c>
      <c r="I180" s="14">
        <v>45</v>
      </c>
      <c r="J180" s="29"/>
      <c r="L180" s="115"/>
    </row>
    <row r="181" spans="1:12" ht="16.5" hidden="1" customHeight="1" x14ac:dyDescent="0.3">
      <c r="A181" s="57">
        <v>6228</v>
      </c>
      <c r="B181" s="35" t="s">
        <v>89</v>
      </c>
      <c r="C181" s="51" t="s">
        <v>20</v>
      </c>
      <c r="D181" s="52">
        <v>1001225416228</v>
      </c>
      <c r="E181" s="24">
        <v>0</v>
      </c>
      <c r="F181" s="23">
        <v>0.09</v>
      </c>
      <c r="G181" s="23">
        <f t="shared" si="18"/>
        <v>0</v>
      </c>
      <c r="H181" s="14">
        <v>0.9</v>
      </c>
      <c r="I181" s="14">
        <v>45</v>
      </c>
      <c r="J181" s="29"/>
      <c r="L181" s="115"/>
    </row>
    <row r="182" spans="1:12" ht="16.5" hidden="1" customHeight="1" thickBot="1" x14ac:dyDescent="0.3">
      <c r="A182" s="145">
        <v>7612</v>
      </c>
      <c r="B182" s="146" t="s">
        <v>189</v>
      </c>
      <c r="C182" s="51" t="s">
        <v>20</v>
      </c>
      <c r="D182" s="52">
        <v>1001453907612</v>
      </c>
      <c r="E182" s="24">
        <v>0</v>
      </c>
      <c r="F182" s="23">
        <v>0.1</v>
      </c>
      <c r="G182" s="23">
        <f t="shared" si="18"/>
        <v>0</v>
      </c>
      <c r="H182" s="14">
        <v>1</v>
      </c>
      <c r="I182" s="14">
        <v>60</v>
      </c>
      <c r="J182" s="60"/>
      <c r="L182" s="115"/>
    </row>
    <row r="183" spans="1:12" ht="16.5" hidden="1" customHeight="1" thickTop="1" thickBot="1" x14ac:dyDescent="0.3">
      <c r="A183" s="48" t="s">
        <v>104</v>
      </c>
      <c r="B183" s="43" t="s">
        <v>208</v>
      </c>
      <c r="C183" s="43"/>
      <c r="D183" s="43"/>
      <c r="E183" s="24">
        <v>0</v>
      </c>
      <c r="F183" s="43"/>
      <c r="G183" s="43"/>
      <c r="H183" s="43"/>
      <c r="I183" s="43"/>
      <c r="J183" s="44"/>
      <c r="L183" s="115"/>
    </row>
    <row r="184" spans="1:12" ht="16.5" hidden="1" customHeight="1" thickTop="1" x14ac:dyDescent="0.3">
      <c r="A184" s="148">
        <v>7344</v>
      </c>
      <c r="B184" s="166" t="s">
        <v>209</v>
      </c>
      <c r="C184" s="51" t="s">
        <v>20</v>
      </c>
      <c r="D184" s="52">
        <v>1001122287344</v>
      </c>
      <c r="E184" s="24">
        <v>0</v>
      </c>
      <c r="F184" s="167">
        <v>0.33800000000000002</v>
      </c>
      <c r="G184" s="23">
        <f>E184*F184</f>
        <v>0</v>
      </c>
      <c r="H184" s="14"/>
      <c r="I184" s="14"/>
      <c r="J184" s="151" t="s">
        <v>186</v>
      </c>
      <c r="L184" s="115"/>
    </row>
    <row r="185" spans="1:12" ht="16.5" hidden="1" customHeight="1" thickBot="1" x14ac:dyDescent="0.3">
      <c r="A185" s="148">
        <v>7345</v>
      </c>
      <c r="B185" s="166" t="s">
        <v>210</v>
      </c>
      <c r="C185" s="51" t="s">
        <v>20</v>
      </c>
      <c r="D185" s="52">
        <v>1001123677345</v>
      </c>
      <c r="E185" s="24">
        <v>0</v>
      </c>
      <c r="F185" s="167">
        <v>0.32500000000000001</v>
      </c>
      <c r="G185" s="23">
        <f>E185*F185</f>
        <v>0</v>
      </c>
      <c r="H185" s="14"/>
      <c r="I185" s="14"/>
      <c r="J185" s="151" t="s">
        <v>186</v>
      </c>
      <c r="L185" s="115"/>
    </row>
    <row r="186" spans="1:12" ht="16.5" customHeight="1" thickTop="1" thickBot="1" x14ac:dyDescent="0.3">
      <c r="A186" s="49"/>
      <c r="B186" s="46" t="s">
        <v>102</v>
      </c>
      <c r="C186" s="16"/>
      <c r="D186" s="36"/>
      <c r="E186" s="17">
        <f>SUM(E11:E185)</f>
        <v>5612</v>
      </c>
      <c r="F186" s="17"/>
      <c r="G186" s="17">
        <f>SUM(G11:G185)</f>
        <v>2746.4199999999996</v>
      </c>
      <c r="H186" s="17"/>
      <c r="I186" s="17"/>
      <c r="J186" s="17"/>
    </row>
    <row r="187" spans="1:12" ht="15.75" customHeight="1" thickTop="1" x14ac:dyDescent="0.25">
      <c r="B187" s="37"/>
      <c r="C187" s="18"/>
      <c r="D187" s="40"/>
      <c r="F187" s="19"/>
      <c r="G187" s="19"/>
      <c r="H187" s="20"/>
      <c r="I187" s="20"/>
      <c r="J187" s="147"/>
    </row>
    <row r="188" spans="1:12" x14ac:dyDescent="0.25">
      <c r="B188" s="37"/>
      <c r="C188" s="18"/>
      <c r="D188" s="40"/>
      <c r="F188" s="19"/>
      <c r="G188" s="19"/>
      <c r="H188" s="20"/>
      <c r="I188" s="20"/>
      <c r="J188" s="21"/>
    </row>
    <row r="189" spans="1:12" x14ac:dyDescent="0.25">
      <c r="B189" s="37"/>
      <c r="C189" s="18"/>
      <c r="D189" s="40"/>
      <c r="F189" s="19"/>
      <c r="G189" s="19"/>
      <c r="H189" s="20"/>
      <c r="I189" s="20"/>
      <c r="J189" s="21"/>
    </row>
    <row r="190" spans="1:12" x14ac:dyDescent="0.25">
      <c r="B190" s="37"/>
      <c r="C190" s="18"/>
      <c r="D190" s="40"/>
      <c r="F190" s="19"/>
      <c r="G190" s="19"/>
      <c r="H190" s="20"/>
      <c r="I190" s="20"/>
      <c r="J190" s="21"/>
    </row>
    <row r="191" spans="1:12" x14ac:dyDescent="0.25">
      <c r="B191" s="37"/>
      <c r="C191" s="18"/>
      <c r="D191" s="40"/>
      <c r="F191" s="19"/>
      <c r="G191" s="19"/>
      <c r="H191" s="20"/>
      <c r="I191" s="20"/>
      <c r="J191" s="21"/>
    </row>
    <row r="192" spans="1:12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62"/>
      <c r="D193" s="63"/>
      <c r="E193" s="64"/>
      <c r="F193" s="65"/>
      <c r="G193" s="65"/>
      <c r="H193" s="66"/>
      <c r="I193" s="66"/>
      <c r="J193" s="21"/>
    </row>
    <row r="194" spans="2:10" x14ac:dyDescent="0.25">
      <c r="B194" s="37"/>
      <c r="C194" s="62"/>
      <c r="D194" s="63"/>
      <c r="E194" s="64"/>
      <c r="F194" s="65"/>
      <c r="G194" s="65"/>
      <c r="H194" s="66"/>
      <c r="I194" s="66"/>
      <c r="J194" s="21"/>
    </row>
    <row r="195" spans="2:10" x14ac:dyDescent="0.25">
      <c r="B195" s="37"/>
      <c r="C195" s="62"/>
      <c r="D195" s="67"/>
      <c r="E195" s="68"/>
      <c r="F195" s="67"/>
      <c r="G195" s="69"/>
      <c r="H195" s="70"/>
      <c r="I195" s="71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  <row r="1693" spans="2:10" x14ac:dyDescent="0.25">
      <c r="B1693" s="37"/>
      <c r="C1693" s="18"/>
      <c r="D1693" s="40"/>
      <c r="F1693" s="19"/>
      <c r="G1693" s="19"/>
      <c r="H1693" s="20"/>
      <c r="I1693" s="20"/>
      <c r="J1693" s="21"/>
    </row>
    <row r="1694" spans="2:10" x14ac:dyDescent="0.25">
      <c r="B1694" s="37"/>
      <c r="C1694" s="18"/>
      <c r="D1694" s="40"/>
      <c r="F1694" s="19"/>
      <c r="G1694" s="19"/>
      <c r="H1694" s="20"/>
      <c r="I1694" s="20"/>
      <c r="J1694" s="21"/>
    </row>
    <row r="1695" spans="2:10" x14ac:dyDescent="0.25">
      <c r="B1695" s="37"/>
      <c r="C1695" s="18"/>
      <c r="D1695" s="40"/>
      <c r="F1695" s="19"/>
      <c r="G1695" s="19"/>
      <c r="H1695" s="20"/>
      <c r="I1695" s="20"/>
      <c r="J1695" s="21"/>
    </row>
    <row r="1696" spans="2:10" x14ac:dyDescent="0.25">
      <c r="B1696" s="37"/>
      <c r="C1696" s="18"/>
      <c r="D1696" s="40"/>
      <c r="F1696" s="19"/>
      <c r="G1696" s="19"/>
      <c r="H1696" s="20"/>
      <c r="I1696" s="20"/>
      <c r="J1696" s="21"/>
    </row>
    <row r="1697" spans="2:10" x14ac:dyDescent="0.25">
      <c r="B1697" s="37"/>
      <c r="C1697" s="18"/>
      <c r="D1697" s="40"/>
      <c r="F1697" s="19"/>
      <c r="G1697" s="19"/>
      <c r="H1697" s="20"/>
      <c r="I1697" s="20"/>
      <c r="J1697" s="21"/>
    </row>
    <row r="1698" spans="2:10" x14ac:dyDescent="0.25">
      <c r="B1698" s="37"/>
      <c r="C1698" s="18"/>
      <c r="D1698" s="40"/>
      <c r="F1698" s="19"/>
      <c r="G1698" s="19"/>
      <c r="H1698" s="20"/>
      <c r="I1698" s="20"/>
      <c r="J1698" s="21"/>
    </row>
    <row r="1699" spans="2:10" x14ac:dyDescent="0.25">
      <c r="B1699" s="37"/>
      <c r="C1699" s="18"/>
      <c r="D1699" s="40"/>
      <c r="F1699" s="19"/>
      <c r="G1699" s="19"/>
      <c r="H1699" s="20"/>
      <c r="I1699" s="20"/>
      <c r="J1699" s="21"/>
    </row>
    <row r="1700" spans="2:10" x14ac:dyDescent="0.25">
      <c r="B1700" s="37"/>
      <c r="C1700" s="18"/>
      <c r="D1700" s="40"/>
      <c r="F1700" s="19"/>
      <c r="G1700" s="19"/>
      <c r="H1700" s="20"/>
      <c r="I1700" s="20"/>
      <c r="J1700" s="21"/>
    </row>
    <row r="1701" spans="2:10" x14ac:dyDescent="0.25">
      <c r="B1701" s="37"/>
      <c r="C1701" s="18"/>
      <c r="D1701" s="40"/>
      <c r="F1701" s="19"/>
      <c r="G1701" s="19"/>
      <c r="H1701" s="20"/>
      <c r="I1701" s="20"/>
      <c r="J1701" s="21"/>
    </row>
    <row r="1702" spans="2:10" x14ac:dyDescent="0.25">
      <c r="B1702" s="37"/>
      <c r="C1702" s="18"/>
      <c r="D1702" s="40"/>
      <c r="F1702" s="19"/>
      <c r="G1702" s="19"/>
      <c r="H1702" s="20"/>
      <c r="I1702" s="20"/>
      <c r="J1702" s="21"/>
    </row>
    <row r="1703" spans="2:10" x14ac:dyDescent="0.25">
      <c r="B1703" s="37"/>
      <c r="C1703" s="18"/>
      <c r="D1703" s="40"/>
      <c r="F1703" s="19"/>
      <c r="G1703" s="19"/>
      <c r="H1703" s="20"/>
      <c r="I1703" s="20"/>
      <c r="J1703" s="21"/>
    </row>
    <row r="1704" spans="2:10" x14ac:dyDescent="0.25">
      <c r="B1704" s="37"/>
      <c r="C1704" s="18"/>
      <c r="D1704" s="40"/>
      <c r="F1704" s="19"/>
      <c r="G1704" s="19"/>
      <c r="H1704" s="20"/>
      <c r="I1704" s="20"/>
      <c r="J1704" s="21"/>
    </row>
    <row r="1705" spans="2:10" x14ac:dyDescent="0.25">
      <c r="B1705" s="37"/>
      <c r="C1705" s="18"/>
      <c r="D1705" s="40"/>
      <c r="F1705" s="19"/>
      <c r="G1705" s="19"/>
      <c r="H1705" s="20"/>
      <c r="I1705" s="20"/>
      <c r="J1705" s="21"/>
    </row>
    <row r="1706" spans="2:10" x14ac:dyDescent="0.25">
      <c r="B1706" s="37"/>
      <c r="C1706" s="18"/>
      <c r="D1706" s="40"/>
      <c r="F1706" s="19"/>
      <c r="G1706" s="19"/>
      <c r="H1706" s="20"/>
      <c r="I1706" s="20"/>
      <c r="J1706" s="21"/>
    </row>
    <row r="1707" spans="2:10" x14ac:dyDescent="0.25">
      <c r="B1707" s="37"/>
      <c r="C1707" s="18"/>
      <c r="D1707" s="40"/>
      <c r="F1707" s="19"/>
      <c r="G1707" s="19"/>
      <c r="H1707" s="20"/>
      <c r="I1707" s="20"/>
      <c r="J1707" s="21"/>
    </row>
    <row r="1708" spans="2:10" x14ac:dyDescent="0.25">
      <c r="B1708" s="37"/>
      <c r="C1708" s="18"/>
      <c r="D1708" s="40"/>
      <c r="F1708" s="19"/>
      <c r="G1708" s="19"/>
      <c r="H1708" s="20"/>
      <c r="I1708" s="20"/>
      <c r="J1708" s="21"/>
    </row>
    <row r="1709" spans="2:10" x14ac:dyDescent="0.25">
      <c r="B1709" s="37"/>
      <c r="C1709" s="18"/>
      <c r="D1709" s="40"/>
      <c r="F1709" s="19"/>
      <c r="G1709" s="19"/>
      <c r="H1709" s="20"/>
      <c r="I1709" s="20"/>
      <c r="J1709" s="21"/>
    </row>
    <row r="1710" spans="2:10" x14ac:dyDescent="0.25">
      <c r="B1710" s="37"/>
      <c r="C1710" s="18"/>
      <c r="D1710" s="40"/>
      <c r="F1710" s="19"/>
      <c r="G1710" s="19"/>
      <c r="H1710" s="20"/>
      <c r="I1710" s="20"/>
      <c r="J1710" s="21"/>
    </row>
  </sheetData>
  <autoFilter ref="A9:J186" xr:uid="{00000000-0009-0000-0000-000000000000}">
    <filterColumn colId="4">
      <filters>
        <filter val="100"/>
        <filter val="120"/>
        <filter val="150"/>
        <filter val="170"/>
        <filter val="184"/>
        <filter val="200"/>
        <filter val="250"/>
        <filter val="260"/>
        <filter val="30"/>
        <filter val="336"/>
        <filter val="36"/>
        <filter val="396"/>
        <filter val="40"/>
        <filter val="45"/>
        <filter val="5"/>
        <filter val="5 612,00"/>
        <filter val="50"/>
        <filter val="540"/>
        <filter val="60"/>
        <filter val="70"/>
        <filter val="80"/>
        <filter val="84"/>
        <filter val="96"/>
      </filters>
    </filterColumn>
  </autoFilter>
  <mergeCells count="2">
    <mergeCell ref="E1:J1"/>
    <mergeCell ref="G3:J3"/>
  </mergeCells>
  <conditionalFormatting sqref="D195">
    <cfRule type="duplicateValues" dxfId="384" priority="1021"/>
    <cfRule type="duplicateValues" dxfId="383" priority="1022"/>
    <cfRule type="duplicateValues" dxfId="382" priority="1023"/>
    <cfRule type="duplicateValues" dxfId="381" priority="1024"/>
    <cfRule type="duplicateValues" dxfId="380" priority="1025"/>
    <cfRule type="duplicateValues" dxfId="379" priority="1026"/>
    <cfRule type="duplicateValues" dxfId="378" priority="1027"/>
    <cfRule type="duplicateValues" dxfId="377" priority="1028"/>
    <cfRule type="duplicateValues" dxfId="376" priority="1029"/>
    <cfRule type="duplicateValues" dxfId="375" priority="1030"/>
  </conditionalFormatting>
  <conditionalFormatting sqref="D195">
    <cfRule type="duplicateValues" dxfId="374" priority="1031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2">
        <v>4561</v>
      </c>
      <c r="C2" s="78">
        <v>1001010014561</v>
      </c>
      <c r="D2" s="76" t="s">
        <v>111</v>
      </c>
      <c r="E2" s="80"/>
      <c r="F2" s="83" t="s">
        <v>22</v>
      </c>
      <c r="G2" s="84">
        <v>1</v>
      </c>
    </row>
    <row r="3" spans="2:7" ht="21" x14ac:dyDescent="0.25">
      <c r="B3" s="72">
        <v>7536</v>
      </c>
      <c r="C3" s="79">
        <v>1001010017536</v>
      </c>
      <c r="D3" s="81" t="s">
        <v>107</v>
      </c>
      <c r="E3" s="85" t="s">
        <v>115</v>
      </c>
      <c r="F3" s="86" t="s">
        <v>22</v>
      </c>
      <c r="G3" s="87">
        <v>1</v>
      </c>
    </row>
    <row r="4" spans="2:7" ht="21" x14ac:dyDescent="0.25">
      <c r="B4" s="92">
        <v>5851</v>
      </c>
      <c r="C4" s="79">
        <v>1001012505851</v>
      </c>
      <c r="D4" s="80" t="s">
        <v>110</v>
      </c>
      <c r="E4" s="80"/>
      <c r="F4" s="83" t="s">
        <v>22</v>
      </c>
      <c r="G4" s="84">
        <v>1</v>
      </c>
    </row>
    <row r="5" spans="2:7" ht="21" x14ac:dyDescent="0.25">
      <c r="B5" s="92">
        <v>4813</v>
      </c>
      <c r="C5" s="79">
        <v>1001012564813</v>
      </c>
      <c r="D5" s="80" t="s">
        <v>29</v>
      </c>
      <c r="E5" s="80"/>
      <c r="F5" s="83" t="s">
        <v>22</v>
      </c>
      <c r="G5" s="84">
        <v>1</v>
      </c>
    </row>
    <row r="6" spans="2:7" ht="21" x14ac:dyDescent="0.25">
      <c r="B6" s="92">
        <v>4574</v>
      </c>
      <c r="C6" s="79">
        <v>1001012634574</v>
      </c>
      <c r="D6" s="80" t="s">
        <v>24</v>
      </c>
      <c r="E6" s="80"/>
      <c r="F6" s="83" t="s">
        <v>22</v>
      </c>
      <c r="G6" s="84">
        <v>1</v>
      </c>
    </row>
    <row r="7" spans="2:7" ht="21" x14ac:dyDescent="0.25">
      <c r="B7" s="92">
        <v>4063</v>
      </c>
      <c r="C7" s="79">
        <v>1001012484063</v>
      </c>
      <c r="D7" s="80" t="s">
        <v>21</v>
      </c>
      <c r="E7" s="80"/>
      <c r="F7" s="83" t="s">
        <v>22</v>
      </c>
      <c r="G7" s="84">
        <v>1</v>
      </c>
    </row>
    <row r="8" spans="2:7" ht="21" x14ac:dyDescent="0.25">
      <c r="B8" s="92">
        <v>6220</v>
      </c>
      <c r="C8" s="75">
        <v>1001012426220</v>
      </c>
      <c r="D8" s="76" t="s">
        <v>35</v>
      </c>
      <c r="E8" s="80"/>
      <c r="F8" s="83" t="s">
        <v>22</v>
      </c>
      <c r="G8" s="84">
        <v>1</v>
      </c>
    </row>
    <row r="9" spans="2:7" ht="21" x14ac:dyDescent="0.25">
      <c r="B9" s="92">
        <v>6498</v>
      </c>
      <c r="C9" s="78">
        <v>1001012456498</v>
      </c>
      <c r="D9" s="76" t="s">
        <v>34</v>
      </c>
      <c r="E9" s="80"/>
      <c r="F9" s="83" t="s">
        <v>22</v>
      </c>
      <c r="G9" s="84">
        <v>1</v>
      </c>
    </row>
    <row r="10" spans="2:7" ht="21" x14ac:dyDescent="0.25">
      <c r="B10" s="92">
        <v>6861</v>
      </c>
      <c r="C10" s="79">
        <v>1001015646861</v>
      </c>
      <c r="D10" s="80" t="s">
        <v>25</v>
      </c>
      <c r="E10" s="95"/>
      <c r="F10" s="83" t="s">
        <v>22</v>
      </c>
      <c r="G10" s="84">
        <v>1</v>
      </c>
    </row>
    <row r="11" spans="2:7" ht="21" x14ac:dyDescent="0.25">
      <c r="B11" s="92">
        <v>6862</v>
      </c>
      <c r="C11" s="79">
        <v>1001015706862</v>
      </c>
      <c r="D11" s="80" t="s">
        <v>28</v>
      </c>
      <c r="E11" s="80"/>
      <c r="F11" s="83" t="s">
        <v>22</v>
      </c>
      <c r="G11" s="84">
        <v>1</v>
      </c>
    </row>
    <row r="12" spans="2:7" ht="21" x14ac:dyDescent="0.25">
      <c r="B12" s="77">
        <v>7539</v>
      </c>
      <c r="C12" s="78">
        <v>1001010017539</v>
      </c>
      <c r="D12" s="74" t="s">
        <v>106</v>
      </c>
      <c r="E12" s="85" t="s">
        <v>115</v>
      </c>
      <c r="F12" s="86" t="s">
        <v>20</v>
      </c>
      <c r="G12" s="87">
        <v>0.35</v>
      </c>
    </row>
    <row r="13" spans="2:7" ht="21" x14ac:dyDescent="0.25">
      <c r="B13" s="72">
        <v>7334</v>
      </c>
      <c r="C13" s="78">
        <v>1001012637334</v>
      </c>
      <c r="D13" s="76" t="s">
        <v>108</v>
      </c>
      <c r="E13" s="73"/>
      <c r="F13" s="86" t="s">
        <v>20</v>
      </c>
      <c r="G13" s="87">
        <v>0.4</v>
      </c>
    </row>
    <row r="14" spans="2:7" ht="21" x14ac:dyDescent="0.25">
      <c r="B14" s="72">
        <v>6325</v>
      </c>
      <c r="C14" s="117">
        <v>1001010106325</v>
      </c>
      <c r="D14" s="76" t="s">
        <v>32</v>
      </c>
      <c r="E14" s="73"/>
      <c r="F14" s="86" t="s">
        <v>20</v>
      </c>
      <c r="G14" s="87">
        <v>0.4</v>
      </c>
    </row>
    <row r="15" spans="2:7" ht="21" x14ac:dyDescent="0.25">
      <c r="B15" s="77">
        <v>7303</v>
      </c>
      <c r="C15" s="78">
        <v>1001010857303</v>
      </c>
      <c r="D15" s="76" t="s">
        <v>112</v>
      </c>
      <c r="E15" s="76"/>
      <c r="F15" s="86" t="s">
        <v>22</v>
      </c>
      <c r="G15" s="87">
        <v>1</v>
      </c>
    </row>
    <row r="16" spans="2:7" ht="21" x14ac:dyDescent="0.25">
      <c r="B16" s="77">
        <v>8014</v>
      </c>
      <c r="C16" s="78">
        <v>1001010108014</v>
      </c>
      <c r="D16" s="76" t="s">
        <v>113</v>
      </c>
      <c r="E16" s="76"/>
      <c r="F16" s="86" t="s">
        <v>22</v>
      </c>
      <c r="G16" s="87">
        <v>1</v>
      </c>
    </row>
    <row r="17" spans="2:7" ht="21" x14ac:dyDescent="0.25">
      <c r="B17" s="72">
        <v>6353</v>
      </c>
      <c r="C17" s="117">
        <v>1001012506353</v>
      </c>
      <c r="D17" s="76" t="s">
        <v>30</v>
      </c>
      <c r="E17" s="73"/>
      <c r="F17" s="86" t="s">
        <v>20</v>
      </c>
      <c r="G17" s="87">
        <v>0.4</v>
      </c>
    </row>
    <row r="18" spans="2:7" ht="21" x14ac:dyDescent="0.25">
      <c r="B18" s="72">
        <v>7523</v>
      </c>
      <c r="C18" s="75">
        <v>1001012427523</v>
      </c>
      <c r="D18" s="74" t="s">
        <v>105</v>
      </c>
      <c r="E18" s="85" t="s">
        <v>115</v>
      </c>
      <c r="F18" s="83" t="s">
        <v>20</v>
      </c>
      <c r="G18" s="84">
        <v>0.4</v>
      </c>
    </row>
    <row r="19" spans="2:7" ht="21" x14ac:dyDescent="0.25">
      <c r="B19" s="92">
        <v>6340</v>
      </c>
      <c r="C19" s="78">
        <v>1001012816340</v>
      </c>
      <c r="D19" s="76" t="s">
        <v>26</v>
      </c>
      <c r="E19" s="80"/>
      <c r="F19" s="83" t="s">
        <v>20</v>
      </c>
      <c r="G19" s="84">
        <v>0.5</v>
      </c>
    </row>
    <row r="20" spans="2:7" ht="21" x14ac:dyDescent="0.25">
      <c r="B20" s="92">
        <v>6341</v>
      </c>
      <c r="C20" s="78">
        <v>1001012816341</v>
      </c>
      <c r="D20" s="76" t="s">
        <v>27</v>
      </c>
      <c r="E20" s="80"/>
      <c r="F20" s="83" t="s">
        <v>20</v>
      </c>
      <c r="G20" s="84">
        <v>0.5</v>
      </c>
    </row>
    <row r="21" spans="2:7" ht="21" x14ac:dyDescent="0.25">
      <c r="B21" s="72">
        <v>6333</v>
      </c>
      <c r="C21" s="117">
        <v>1001012486333</v>
      </c>
      <c r="D21" s="76" t="s">
        <v>23</v>
      </c>
      <c r="E21" s="73"/>
      <c r="F21" s="86" t="s">
        <v>20</v>
      </c>
      <c r="G21" s="87">
        <v>0.4</v>
      </c>
    </row>
    <row r="22" spans="2:7" ht="21" x14ac:dyDescent="0.25">
      <c r="B22" s="72">
        <v>6392</v>
      </c>
      <c r="C22" s="117">
        <v>1001012566392</v>
      </c>
      <c r="D22" s="76" t="s">
        <v>109</v>
      </c>
      <c r="E22" s="73"/>
      <c r="F22" s="86" t="s">
        <v>20</v>
      </c>
      <c r="G22" s="87">
        <v>0.4</v>
      </c>
    </row>
    <row r="23" spans="2:7" ht="21" x14ac:dyDescent="0.25">
      <c r="B23" s="72">
        <v>7343</v>
      </c>
      <c r="C23" s="78">
        <v>1001016747343</v>
      </c>
      <c r="D23" s="76" t="s">
        <v>31</v>
      </c>
      <c r="E23" s="80"/>
      <c r="F23" s="83" t="s">
        <v>20</v>
      </c>
      <c r="G23" s="84">
        <v>0.4</v>
      </c>
    </row>
    <row r="24" spans="2:7" ht="21" x14ac:dyDescent="0.25">
      <c r="B24" s="72">
        <v>6797</v>
      </c>
      <c r="C24" s="78">
        <v>1001015026797</v>
      </c>
      <c r="D24" s="118" t="s">
        <v>114</v>
      </c>
      <c r="E24" s="118" t="s">
        <v>166</v>
      </c>
      <c r="F24" s="86" t="s">
        <v>20</v>
      </c>
      <c r="G24" s="87">
        <v>0.4</v>
      </c>
    </row>
    <row r="25" spans="2:7" ht="21" x14ac:dyDescent="0.25">
      <c r="B25" s="72">
        <v>7231</v>
      </c>
      <c r="C25" s="78">
        <v>1001013957231</v>
      </c>
      <c r="D25" s="76" t="s">
        <v>33</v>
      </c>
      <c r="E25" s="80"/>
      <c r="F25" s="83" t="s">
        <v>20</v>
      </c>
      <c r="G25" s="84">
        <v>0.3</v>
      </c>
    </row>
    <row r="26" spans="2:7" ht="23.25" x14ac:dyDescent="0.25">
      <c r="B26" s="90"/>
      <c r="C26" s="119"/>
      <c r="D26" s="120" t="s">
        <v>91</v>
      </c>
      <c r="E26" s="121"/>
      <c r="F26" s="122"/>
      <c r="G26" s="123"/>
    </row>
    <row r="27" spans="2:7" ht="21" x14ac:dyDescent="0.25">
      <c r="B27" s="92">
        <v>6470</v>
      </c>
      <c r="C27" s="79">
        <v>1001092436470</v>
      </c>
      <c r="D27" s="80" t="s">
        <v>116</v>
      </c>
      <c r="E27" s="80"/>
      <c r="F27" s="83" t="s">
        <v>22</v>
      </c>
      <c r="G27" s="84">
        <v>1</v>
      </c>
    </row>
    <row r="28" spans="2:7" ht="21" x14ac:dyDescent="0.25">
      <c r="B28" s="72">
        <v>6495</v>
      </c>
      <c r="C28" s="78">
        <v>1001092436495</v>
      </c>
      <c r="D28" s="93" t="s">
        <v>95</v>
      </c>
      <c r="E28" s="80"/>
      <c r="F28" s="83" t="s">
        <v>20</v>
      </c>
      <c r="G28" s="84">
        <v>0.3</v>
      </c>
    </row>
    <row r="29" spans="2:7" ht="21" x14ac:dyDescent="0.25">
      <c r="B29" s="72">
        <v>5452</v>
      </c>
      <c r="C29" s="78">
        <v>1001092485452</v>
      </c>
      <c r="D29" s="93" t="s">
        <v>93</v>
      </c>
      <c r="E29" s="80"/>
      <c r="F29" s="83" t="s">
        <v>22</v>
      </c>
      <c r="G29" s="84">
        <v>1</v>
      </c>
    </row>
    <row r="30" spans="2:7" ht="21" x14ac:dyDescent="0.25">
      <c r="B30" s="92">
        <v>6866</v>
      </c>
      <c r="C30" s="79">
        <v>1001095716866</v>
      </c>
      <c r="D30" s="80" t="s">
        <v>92</v>
      </c>
      <c r="E30" s="95"/>
      <c r="F30" s="83" t="s">
        <v>22</v>
      </c>
      <c r="G30" s="84">
        <v>1</v>
      </c>
    </row>
    <row r="31" spans="2:7" ht="21" x14ac:dyDescent="0.25">
      <c r="B31" s="92">
        <v>6025</v>
      </c>
      <c r="C31" s="79">
        <v>1001094966025</v>
      </c>
      <c r="D31" s="80" t="s">
        <v>118</v>
      </c>
      <c r="E31" s="80"/>
      <c r="F31" s="83" t="s">
        <v>22</v>
      </c>
      <c r="G31" s="84">
        <v>1</v>
      </c>
    </row>
    <row r="32" spans="2:7" ht="21" x14ac:dyDescent="0.25">
      <c r="B32" s="92">
        <v>4584</v>
      </c>
      <c r="C32" s="79">
        <v>1001092674584</v>
      </c>
      <c r="D32" s="80" t="s">
        <v>167</v>
      </c>
      <c r="E32" s="80"/>
      <c r="F32" s="83" t="s">
        <v>22</v>
      </c>
      <c r="G32" s="84">
        <v>1</v>
      </c>
    </row>
    <row r="33" spans="2:7" ht="21" x14ac:dyDescent="0.25">
      <c r="B33" s="72">
        <v>3215</v>
      </c>
      <c r="C33" s="117">
        <v>1001094053215</v>
      </c>
      <c r="D33" s="76" t="s">
        <v>168</v>
      </c>
      <c r="E33" s="73"/>
      <c r="F33" s="86" t="s">
        <v>20</v>
      </c>
      <c r="G33" s="87">
        <v>0.4</v>
      </c>
    </row>
    <row r="34" spans="2:7" ht="21" x14ac:dyDescent="0.25">
      <c r="B34" s="72">
        <v>5495</v>
      </c>
      <c r="C34" s="78">
        <v>1001093345495</v>
      </c>
      <c r="D34" s="93" t="s">
        <v>94</v>
      </c>
      <c r="E34" s="80"/>
      <c r="F34" s="83" t="s">
        <v>20</v>
      </c>
      <c r="G34" s="84">
        <v>0.4</v>
      </c>
    </row>
    <row r="35" spans="2:7" ht="21" x14ac:dyDescent="0.25">
      <c r="B35" s="72">
        <v>7377</v>
      </c>
      <c r="C35" s="82">
        <v>1001095027377</v>
      </c>
      <c r="D35" s="93" t="s">
        <v>117</v>
      </c>
      <c r="E35" s="124"/>
      <c r="F35" s="83" t="s">
        <v>20</v>
      </c>
      <c r="G35" s="84">
        <v>0.3</v>
      </c>
    </row>
    <row r="36" spans="2:7" ht="21" x14ac:dyDescent="0.25">
      <c r="B36" s="77">
        <v>6925</v>
      </c>
      <c r="C36" s="78">
        <v>1001095226925</v>
      </c>
      <c r="D36" s="76" t="s">
        <v>103</v>
      </c>
      <c r="E36" s="94"/>
      <c r="F36" s="86" t="s">
        <v>20</v>
      </c>
      <c r="G36" s="87">
        <v>0.6</v>
      </c>
    </row>
    <row r="37" spans="2:7" ht="23.25" x14ac:dyDescent="0.25">
      <c r="B37" s="125"/>
      <c r="C37" s="126"/>
      <c r="D37" s="127" t="s">
        <v>119</v>
      </c>
      <c r="E37" s="128"/>
      <c r="F37" s="129"/>
      <c r="G37" s="130"/>
    </row>
    <row r="38" spans="2:7" ht="21" x14ac:dyDescent="0.25">
      <c r="B38" s="92">
        <v>6620</v>
      </c>
      <c r="C38" s="79">
        <v>1001081596620</v>
      </c>
      <c r="D38" s="80" t="s">
        <v>97</v>
      </c>
      <c r="E38" s="95"/>
      <c r="F38" s="83" t="s">
        <v>22</v>
      </c>
      <c r="G38" s="84">
        <v>1</v>
      </c>
    </row>
    <row r="39" spans="2:7" ht="21" x14ac:dyDescent="0.25">
      <c r="B39" s="72">
        <v>7187</v>
      </c>
      <c r="C39" s="75">
        <v>1001085637187</v>
      </c>
      <c r="D39" s="76" t="s">
        <v>101</v>
      </c>
      <c r="E39" s="76"/>
      <c r="F39" s="83" t="s">
        <v>20</v>
      </c>
      <c r="G39" s="84">
        <v>0.3</v>
      </c>
    </row>
    <row r="40" spans="2:7" ht="21" x14ac:dyDescent="0.25">
      <c r="B40" s="92">
        <v>7090</v>
      </c>
      <c r="C40" s="79">
        <v>1001084217090</v>
      </c>
      <c r="D40" s="80" t="s">
        <v>100</v>
      </c>
      <c r="E40" s="95"/>
      <c r="F40" s="83" t="s">
        <v>20</v>
      </c>
      <c r="G40" s="84">
        <v>0.3</v>
      </c>
    </row>
    <row r="41" spans="2:7" ht="23.25" x14ac:dyDescent="0.25">
      <c r="B41" s="90"/>
      <c r="C41" s="119"/>
      <c r="D41" s="120" t="s">
        <v>127</v>
      </c>
      <c r="E41" s="121"/>
      <c r="F41" s="122"/>
      <c r="G41" s="123"/>
    </row>
    <row r="42" spans="2:7" ht="23.25" x14ac:dyDescent="0.25">
      <c r="B42" s="72">
        <v>7103</v>
      </c>
      <c r="C42" s="117">
        <v>1001223297103</v>
      </c>
      <c r="D42" s="76" t="s">
        <v>169</v>
      </c>
      <c r="E42" s="131"/>
      <c r="F42" s="72" t="s">
        <v>20</v>
      </c>
      <c r="G42" s="84">
        <v>0.18</v>
      </c>
    </row>
    <row r="43" spans="2:7" ht="21" x14ac:dyDescent="0.25">
      <c r="B43" s="92">
        <v>6279</v>
      </c>
      <c r="C43" s="79">
        <v>1001220286279</v>
      </c>
      <c r="D43" s="80" t="s">
        <v>98</v>
      </c>
      <c r="E43" s="95"/>
      <c r="F43" s="83" t="s">
        <v>20</v>
      </c>
      <c r="G43" s="84">
        <v>0.15</v>
      </c>
    </row>
    <row r="44" spans="2:7" ht="21" x14ac:dyDescent="0.25">
      <c r="B44" s="72">
        <v>7092</v>
      </c>
      <c r="C44" s="78">
        <v>1001223297092</v>
      </c>
      <c r="D44" s="76" t="s">
        <v>78</v>
      </c>
      <c r="E44" s="76"/>
      <c r="F44" s="86" t="s">
        <v>20</v>
      </c>
      <c r="G44" s="87">
        <v>0.14000000000000001</v>
      </c>
    </row>
    <row r="45" spans="2:7" ht="21" x14ac:dyDescent="0.25">
      <c r="B45" s="92">
        <v>6448</v>
      </c>
      <c r="C45" s="79">
        <v>1001234146448</v>
      </c>
      <c r="D45" s="80" t="s">
        <v>128</v>
      </c>
      <c r="E45" s="95"/>
      <c r="F45" s="83" t="s">
        <v>20</v>
      </c>
      <c r="G45" s="84">
        <v>0.1</v>
      </c>
    </row>
    <row r="46" spans="2:7" ht="21" x14ac:dyDescent="0.25">
      <c r="B46" s="72">
        <v>6754</v>
      </c>
      <c r="C46" s="117">
        <v>1001225406754</v>
      </c>
      <c r="D46" s="76" t="s">
        <v>170</v>
      </c>
      <c r="E46" s="73"/>
      <c r="F46" s="86" t="s">
        <v>20</v>
      </c>
      <c r="G46" s="87">
        <v>0.09</v>
      </c>
    </row>
    <row r="47" spans="2:7" ht="23.25" x14ac:dyDescent="0.25">
      <c r="B47" s="72">
        <v>6208</v>
      </c>
      <c r="C47" s="117">
        <v>1001220226208</v>
      </c>
      <c r="D47" s="76" t="s">
        <v>99</v>
      </c>
      <c r="E47" s="131"/>
      <c r="F47" s="72" t="s">
        <v>20</v>
      </c>
      <c r="G47" s="84">
        <v>0.15</v>
      </c>
    </row>
    <row r="48" spans="2:7" ht="23.25" x14ac:dyDescent="0.25">
      <c r="B48" s="72">
        <v>6228</v>
      </c>
      <c r="C48" s="117">
        <v>1001225416228</v>
      </c>
      <c r="D48" s="76" t="s">
        <v>89</v>
      </c>
      <c r="E48" s="131"/>
      <c r="F48" s="72" t="s">
        <v>20</v>
      </c>
      <c r="G48" s="84">
        <v>0.09</v>
      </c>
    </row>
    <row r="49" spans="2:7" ht="21" x14ac:dyDescent="0.25">
      <c r="B49" s="77">
        <v>7288</v>
      </c>
      <c r="C49" s="78">
        <v>1001223907288</v>
      </c>
      <c r="D49" s="76" t="s">
        <v>129</v>
      </c>
      <c r="E49" s="124"/>
      <c r="F49" s="86" t="s">
        <v>20</v>
      </c>
      <c r="G49" s="87">
        <v>0.1</v>
      </c>
    </row>
    <row r="50" spans="2:7" ht="23.25" x14ac:dyDescent="0.25">
      <c r="B50" s="90"/>
      <c r="C50" s="119"/>
      <c r="D50" s="120" t="s">
        <v>120</v>
      </c>
      <c r="E50" s="121"/>
      <c r="F50" s="122"/>
      <c r="G50" s="123"/>
    </row>
    <row r="51" spans="2:7" ht="21" x14ac:dyDescent="0.25">
      <c r="B51" s="72">
        <v>7564</v>
      </c>
      <c r="C51" s="78">
        <v>1001303637564</v>
      </c>
      <c r="D51" s="74" t="s">
        <v>121</v>
      </c>
      <c r="E51" s="74" t="s">
        <v>115</v>
      </c>
      <c r="F51" s="86" t="s">
        <v>22</v>
      </c>
      <c r="G51" s="87">
        <v>1</v>
      </c>
    </row>
    <row r="52" spans="2:7" ht="21" x14ac:dyDescent="0.25">
      <c r="B52" s="72">
        <v>7133</v>
      </c>
      <c r="C52" s="78">
        <v>1001300367133</v>
      </c>
      <c r="D52" s="76" t="s">
        <v>73</v>
      </c>
      <c r="E52" s="80"/>
      <c r="F52" s="83" t="s">
        <v>22</v>
      </c>
      <c r="G52" s="84">
        <v>1</v>
      </c>
    </row>
    <row r="53" spans="2:7" ht="21" x14ac:dyDescent="0.25">
      <c r="B53" s="92">
        <v>6946</v>
      </c>
      <c r="C53" s="79">
        <v>1001300456946</v>
      </c>
      <c r="D53" s="80" t="s">
        <v>171</v>
      </c>
      <c r="E53" s="80"/>
      <c r="F53" s="83" t="s">
        <v>22</v>
      </c>
      <c r="G53" s="84">
        <v>1</v>
      </c>
    </row>
    <row r="54" spans="2:7" ht="21" x14ac:dyDescent="0.25">
      <c r="B54" s="92">
        <v>7132</v>
      </c>
      <c r="C54" s="79">
        <v>1001300517132</v>
      </c>
      <c r="D54" s="80" t="s">
        <v>172</v>
      </c>
      <c r="E54" s="80"/>
      <c r="F54" s="83" t="s">
        <v>22</v>
      </c>
      <c r="G54" s="84">
        <v>1</v>
      </c>
    </row>
    <row r="55" spans="2:7" ht="21" x14ac:dyDescent="0.25">
      <c r="B55" s="92">
        <v>5544</v>
      </c>
      <c r="C55" s="79">
        <v>1001051875544</v>
      </c>
      <c r="D55" s="80" t="s">
        <v>72</v>
      </c>
      <c r="E55" s="80"/>
      <c r="F55" s="83" t="s">
        <v>22</v>
      </c>
      <c r="G55" s="84">
        <v>1</v>
      </c>
    </row>
    <row r="56" spans="2:7" ht="21" x14ac:dyDescent="0.25">
      <c r="B56" s="72">
        <v>7149</v>
      </c>
      <c r="C56" s="75">
        <v>1001303637149</v>
      </c>
      <c r="D56" s="76" t="s">
        <v>19</v>
      </c>
      <c r="E56" s="80"/>
      <c r="F56" s="83" t="s">
        <v>20</v>
      </c>
      <c r="G56" s="84">
        <v>0.84</v>
      </c>
    </row>
    <row r="57" spans="2:7" ht="21" x14ac:dyDescent="0.25">
      <c r="B57" s="72">
        <v>7157</v>
      </c>
      <c r="C57" s="78">
        <v>1001300387157</v>
      </c>
      <c r="D57" s="76" t="s">
        <v>74</v>
      </c>
      <c r="E57" s="80"/>
      <c r="F57" s="83" t="s">
        <v>22</v>
      </c>
      <c r="G57" s="84">
        <v>1</v>
      </c>
    </row>
    <row r="58" spans="2:7" ht="21" x14ac:dyDescent="0.25">
      <c r="B58" s="92">
        <v>7166</v>
      </c>
      <c r="C58" s="79">
        <v>1001303987166</v>
      </c>
      <c r="D58" s="80" t="s">
        <v>71</v>
      </c>
      <c r="E58" s="80"/>
      <c r="F58" s="83" t="s">
        <v>22</v>
      </c>
      <c r="G58" s="84">
        <v>1</v>
      </c>
    </row>
    <row r="59" spans="2:7" ht="21" x14ac:dyDescent="0.25">
      <c r="B59" s="72">
        <v>7603</v>
      </c>
      <c r="C59" s="78">
        <v>1001303637603</v>
      </c>
      <c r="D59" s="74" t="s">
        <v>122</v>
      </c>
      <c r="E59" s="74" t="s">
        <v>115</v>
      </c>
      <c r="F59" s="86" t="s">
        <v>20</v>
      </c>
      <c r="G59" s="87">
        <v>0.33</v>
      </c>
    </row>
    <row r="60" spans="2:7" ht="21" x14ac:dyDescent="0.25">
      <c r="B60" s="92">
        <v>6807</v>
      </c>
      <c r="C60" s="79">
        <v>1001300366807</v>
      </c>
      <c r="D60" s="80" t="s">
        <v>75</v>
      </c>
      <c r="E60" s="80"/>
      <c r="F60" s="83" t="s">
        <v>20</v>
      </c>
      <c r="G60" s="84">
        <v>0.33</v>
      </c>
    </row>
    <row r="61" spans="2:7" ht="21" x14ac:dyDescent="0.25">
      <c r="B61" s="92">
        <v>6787</v>
      </c>
      <c r="C61" s="79">
        <v>1001300456787</v>
      </c>
      <c r="D61" s="80" t="s">
        <v>65</v>
      </c>
      <c r="E61" s="80"/>
      <c r="F61" s="83" t="s">
        <v>20</v>
      </c>
      <c r="G61" s="84">
        <v>0.33</v>
      </c>
    </row>
    <row r="62" spans="2:7" ht="21" x14ac:dyDescent="0.25">
      <c r="B62" s="92">
        <v>6697</v>
      </c>
      <c r="C62" s="79">
        <v>1001301876697</v>
      </c>
      <c r="D62" s="80" t="s">
        <v>66</v>
      </c>
      <c r="E62" s="80"/>
      <c r="F62" s="83" t="s">
        <v>20</v>
      </c>
      <c r="G62" s="84">
        <v>0.35</v>
      </c>
    </row>
    <row r="63" spans="2:7" ht="21" x14ac:dyDescent="0.25">
      <c r="B63" s="92">
        <v>7169</v>
      </c>
      <c r="C63" s="79">
        <v>1001303987169</v>
      </c>
      <c r="D63" s="80" t="s">
        <v>70</v>
      </c>
      <c r="E63" s="80"/>
      <c r="F63" s="83" t="s">
        <v>20</v>
      </c>
      <c r="G63" s="84">
        <v>0.35</v>
      </c>
    </row>
    <row r="64" spans="2:7" ht="21" x14ac:dyDescent="0.25">
      <c r="B64" s="72">
        <v>7233</v>
      </c>
      <c r="C64" s="75">
        <v>1001303637233</v>
      </c>
      <c r="D64" s="76" t="s">
        <v>173</v>
      </c>
      <c r="E64" s="76"/>
      <c r="F64" s="83" t="s">
        <v>20</v>
      </c>
      <c r="G64" s="84">
        <v>0.31</v>
      </c>
    </row>
    <row r="65" spans="2:7" ht="21" x14ac:dyDescent="0.25">
      <c r="B65" s="92">
        <v>7236</v>
      </c>
      <c r="C65" s="79">
        <v>1001304507236</v>
      </c>
      <c r="D65" s="80" t="s">
        <v>68</v>
      </c>
      <c r="E65" s="80"/>
      <c r="F65" s="83" t="s">
        <v>20</v>
      </c>
      <c r="G65" s="84">
        <v>0.28000000000000003</v>
      </c>
    </row>
    <row r="66" spans="2:7" ht="21" x14ac:dyDescent="0.25">
      <c r="B66" s="72">
        <v>7177</v>
      </c>
      <c r="C66" s="75">
        <v>1001302347177</v>
      </c>
      <c r="D66" s="76" t="s">
        <v>124</v>
      </c>
      <c r="E66" s="76"/>
      <c r="F66" s="83" t="s">
        <v>20</v>
      </c>
      <c r="G66" s="84">
        <v>0.35</v>
      </c>
    </row>
    <row r="67" spans="2:7" ht="21" x14ac:dyDescent="0.25">
      <c r="B67" s="92">
        <v>7232</v>
      </c>
      <c r="C67" s="79">
        <v>1001302277232</v>
      </c>
      <c r="D67" s="80" t="s">
        <v>61</v>
      </c>
      <c r="E67" s="80"/>
      <c r="F67" s="83" t="s">
        <v>20</v>
      </c>
      <c r="G67" s="84">
        <v>0.28000000000000003</v>
      </c>
    </row>
    <row r="68" spans="2:7" ht="21" x14ac:dyDescent="0.25">
      <c r="B68" s="72">
        <v>7154</v>
      </c>
      <c r="C68" s="75">
        <v>1001300387154</v>
      </c>
      <c r="D68" s="76" t="s">
        <v>64</v>
      </c>
      <c r="E68" s="76"/>
      <c r="F68" s="83" t="s">
        <v>20</v>
      </c>
      <c r="G68" s="84">
        <v>0.35</v>
      </c>
    </row>
    <row r="69" spans="2:7" ht="21" x14ac:dyDescent="0.25">
      <c r="B69" s="72">
        <v>7238</v>
      </c>
      <c r="C69" s="78">
        <v>1001305197238</v>
      </c>
      <c r="D69" s="76" t="s">
        <v>123</v>
      </c>
      <c r="E69" s="80"/>
      <c r="F69" s="83" t="s">
        <v>20</v>
      </c>
      <c r="G69" s="84">
        <v>0.31</v>
      </c>
    </row>
    <row r="70" spans="2:7" ht="21" x14ac:dyDescent="0.25">
      <c r="B70" s="72">
        <v>7237</v>
      </c>
      <c r="C70" s="78">
        <v>1001304497237</v>
      </c>
      <c r="D70" s="76" t="s">
        <v>67</v>
      </c>
      <c r="E70" s="80"/>
      <c r="F70" s="83" t="s">
        <v>20</v>
      </c>
      <c r="G70" s="84">
        <v>0.28000000000000003</v>
      </c>
    </row>
    <row r="71" spans="2:7" ht="21" x14ac:dyDescent="0.25">
      <c r="B71" s="92">
        <v>7241</v>
      </c>
      <c r="C71" s="79">
        <v>1001303107241</v>
      </c>
      <c r="D71" s="80" t="s">
        <v>63</v>
      </c>
      <c r="E71" s="80"/>
      <c r="F71" s="83" t="s">
        <v>20</v>
      </c>
      <c r="G71" s="84">
        <v>0.28000000000000003</v>
      </c>
    </row>
    <row r="72" spans="2:7" ht="21" x14ac:dyDescent="0.25">
      <c r="B72" s="92">
        <v>7332</v>
      </c>
      <c r="C72" s="79">
        <v>1001301777332</v>
      </c>
      <c r="D72" s="80" t="s">
        <v>62</v>
      </c>
      <c r="E72" s="80"/>
      <c r="F72" s="83" t="s">
        <v>20</v>
      </c>
      <c r="G72" s="84">
        <v>0.28000000000000003</v>
      </c>
    </row>
    <row r="73" spans="2:7" ht="21" x14ac:dyDescent="0.25">
      <c r="B73" s="92">
        <v>7333</v>
      </c>
      <c r="C73" s="79">
        <v>1001303987333</v>
      </c>
      <c r="D73" s="80" t="s">
        <v>69</v>
      </c>
      <c r="E73" s="80"/>
      <c r="F73" s="83" t="s">
        <v>20</v>
      </c>
      <c r="G73" s="84">
        <v>0.28000000000000003</v>
      </c>
    </row>
    <row r="74" spans="2:7" ht="23.25" x14ac:dyDescent="0.25">
      <c r="B74" s="96"/>
      <c r="C74" s="88"/>
      <c r="D74" s="89" t="s">
        <v>125</v>
      </c>
      <c r="E74" s="89"/>
      <c r="F74" s="90"/>
      <c r="G74" s="91"/>
    </row>
    <row r="75" spans="2:7" ht="21" x14ac:dyDescent="0.25">
      <c r="B75" s="72">
        <v>6459</v>
      </c>
      <c r="C75" s="78">
        <v>1001214196459</v>
      </c>
      <c r="D75" s="76" t="s">
        <v>60</v>
      </c>
      <c r="E75" s="73"/>
      <c r="F75" s="86" t="s">
        <v>20</v>
      </c>
      <c r="G75" s="87">
        <v>0.1</v>
      </c>
    </row>
    <row r="76" spans="2:7" ht="21" x14ac:dyDescent="0.25">
      <c r="B76" s="72">
        <v>7474</v>
      </c>
      <c r="C76" s="82">
        <v>1001216717474</v>
      </c>
      <c r="D76" s="76" t="s">
        <v>126</v>
      </c>
      <c r="E76" s="97"/>
      <c r="F76" s="86" t="s">
        <v>20</v>
      </c>
      <c r="G76" s="87">
        <v>0.1</v>
      </c>
    </row>
    <row r="77" spans="2:7" ht="23.25" x14ac:dyDescent="0.25">
      <c r="B77" s="90"/>
      <c r="C77" s="119"/>
      <c r="D77" s="120" t="s">
        <v>130</v>
      </c>
      <c r="E77" s="121"/>
      <c r="F77" s="122"/>
      <c r="G77" s="123"/>
    </row>
    <row r="78" spans="2:7" ht="21" x14ac:dyDescent="0.25">
      <c r="B78" s="72">
        <v>5679</v>
      </c>
      <c r="C78" s="78">
        <v>1001190765679</v>
      </c>
      <c r="D78" s="76" t="s">
        <v>136</v>
      </c>
      <c r="E78" s="76"/>
      <c r="F78" s="86" t="s">
        <v>20</v>
      </c>
      <c r="G78" s="87">
        <v>0.15</v>
      </c>
    </row>
    <row r="79" spans="2:7" ht="21" x14ac:dyDescent="0.25">
      <c r="B79" s="72">
        <v>7382</v>
      </c>
      <c r="C79" s="78">
        <v>1001203117382</v>
      </c>
      <c r="D79" s="76" t="s">
        <v>84</v>
      </c>
      <c r="E79" s="76"/>
      <c r="F79" s="83" t="s">
        <v>20</v>
      </c>
      <c r="G79" s="84">
        <v>0.12</v>
      </c>
    </row>
    <row r="80" spans="2:7" ht="21" x14ac:dyDescent="0.25">
      <c r="B80" s="92">
        <v>6454</v>
      </c>
      <c r="C80" s="79">
        <v>1001201976454</v>
      </c>
      <c r="D80" s="80" t="s">
        <v>131</v>
      </c>
      <c r="E80" s="95"/>
      <c r="F80" s="83" t="s">
        <v>20</v>
      </c>
      <c r="G80" s="84">
        <v>0.1</v>
      </c>
    </row>
    <row r="81" spans="2:7" ht="21" x14ac:dyDescent="0.25">
      <c r="B81" s="92">
        <v>6453</v>
      </c>
      <c r="C81" s="79">
        <v>1001202506453</v>
      </c>
      <c r="D81" s="80" t="s">
        <v>174</v>
      </c>
      <c r="E81" s="95"/>
      <c r="F81" s="83" t="s">
        <v>20</v>
      </c>
      <c r="G81" s="84">
        <v>0.1</v>
      </c>
    </row>
    <row r="82" spans="2:7" ht="21" x14ac:dyDescent="0.25">
      <c r="B82" s="72">
        <v>6221</v>
      </c>
      <c r="C82" s="75">
        <v>1001205376221</v>
      </c>
      <c r="D82" s="76" t="s">
        <v>86</v>
      </c>
      <c r="E82" s="73"/>
      <c r="F82" s="83" t="s">
        <v>20</v>
      </c>
      <c r="G82" s="84">
        <v>0.09</v>
      </c>
    </row>
    <row r="83" spans="2:7" ht="21" x14ac:dyDescent="0.25">
      <c r="B83" s="72">
        <v>6222</v>
      </c>
      <c r="C83" s="75">
        <v>1001205386222</v>
      </c>
      <c r="D83" s="76" t="s">
        <v>133</v>
      </c>
      <c r="E83" s="73"/>
      <c r="F83" s="83" t="s">
        <v>20</v>
      </c>
      <c r="G83" s="84">
        <v>0.09</v>
      </c>
    </row>
    <row r="84" spans="2:7" ht="21" x14ac:dyDescent="0.25">
      <c r="B84" s="72">
        <v>6834</v>
      </c>
      <c r="C84" s="78">
        <v>1001203146834</v>
      </c>
      <c r="D84" s="76" t="s">
        <v>132</v>
      </c>
      <c r="E84" s="76"/>
      <c r="F84" s="86" t="s">
        <v>20</v>
      </c>
      <c r="G84" s="87">
        <v>0.1</v>
      </c>
    </row>
    <row r="85" spans="2:7" ht="21" x14ac:dyDescent="0.25">
      <c r="B85" s="92">
        <v>6965</v>
      </c>
      <c r="C85" s="79">
        <v>1001206356965</v>
      </c>
      <c r="D85" s="80" t="s">
        <v>134</v>
      </c>
      <c r="E85" s="95"/>
      <c r="F85" s="83" t="s">
        <v>20</v>
      </c>
      <c r="G85" s="84">
        <v>7.0000000000000007E-2</v>
      </c>
    </row>
    <row r="86" spans="2:7" ht="21" x14ac:dyDescent="0.25">
      <c r="B86" s="72">
        <v>6557</v>
      </c>
      <c r="C86" s="78">
        <v>1001200756557</v>
      </c>
      <c r="D86" s="76" t="s">
        <v>135</v>
      </c>
      <c r="E86" s="73"/>
      <c r="F86" s="86" t="s">
        <v>20</v>
      </c>
      <c r="G86" s="87">
        <v>0.1</v>
      </c>
    </row>
    <row r="87" spans="2:7" ht="21" x14ac:dyDescent="0.25">
      <c r="B87" s="72">
        <v>5677</v>
      </c>
      <c r="C87" s="78">
        <v>1001190715677</v>
      </c>
      <c r="D87" s="76" t="s">
        <v>137</v>
      </c>
      <c r="E87" s="124"/>
      <c r="F87" s="86" t="s">
        <v>20</v>
      </c>
      <c r="G87" s="87">
        <v>0.1</v>
      </c>
    </row>
    <row r="88" spans="2:7" ht="21" x14ac:dyDescent="0.25">
      <c r="B88" s="72">
        <v>7414</v>
      </c>
      <c r="C88" s="78">
        <v>1001204447414</v>
      </c>
      <c r="D88" s="76" t="s">
        <v>138</v>
      </c>
      <c r="E88" s="124"/>
      <c r="F88" s="86" t="s">
        <v>22</v>
      </c>
      <c r="G88" s="87">
        <v>1</v>
      </c>
    </row>
    <row r="89" spans="2:7" ht="23.25" x14ac:dyDescent="0.25">
      <c r="B89" s="90"/>
      <c r="C89" s="119"/>
      <c r="D89" s="120" t="s">
        <v>76</v>
      </c>
      <c r="E89" s="121"/>
      <c r="F89" s="122"/>
      <c r="G89" s="123"/>
    </row>
    <row r="90" spans="2:7" ht="21" x14ac:dyDescent="0.25">
      <c r="B90" s="72">
        <v>614</v>
      </c>
      <c r="C90" s="78">
        <v>1001060720614</v>
      </c>
      <c r="D90" s="76" t="s">
        <v>140</v>
      </c>
      <c r="E90" s="73"/>
      <c r="F90" s="86" t="s">
        <v>22</v>
      </c>
      <c r="G90" s="87">
        <v>1</v>
      </c>
    </row>
    <row r="91" spans="2:7" ht="21" x14ac:dyDescent="0.25">
      <c r="B91" s="72">
        <v>3287</v>
      </c>
      <c r="C91" s="78">
        <v>1001060763287</v>
      </c>
      <c r="D91" s="76" t="s">
        <v>90</v>
      </c>
      <c r="E91" s="73"/>
      <c r="F91" s="86" t="s">
        <v>22</v>
      </c>
      <c r="G91" s="87">
        <v>1</v>
      </c>
    </row>
    <row r="92" spans="2:7" ht="21" x14ac:dyDescent="0.25">
      <c r="B92" s="92">
        <v>5708</v>
      </c>
      <c r="C92" s="79">
        <v>1001063145708</v>
      </c>
      <c r="D92" s="80" t="s">
        <v>80</v>
      </c>
      <c r="E92" s="95"/>
      <c r="F92" s="83" t="s">
        <v>22</v>
      </c>
      <c r="G92" s="84">
        <v>1</v>
      </c>
    </row>
    <row r="93" spans="2:7" ht="21" x14ac:dyDescent="0.25">
      <c r="B93" s="92">
        <v>4117</v>
      </c>
      <c r="C93" s="79">
        <v>1001062504117</v>
      </c>
      <c r="D93" s="80" t="s">
        <v>87</v>
      </c>
      <c r="E93" s="95"/>
      <c r="F93" s="83" t="s">
        <v>22</v>
      </c>
      <c r="G93" s="84">
        <v>1</v>
      </c>
    </row>
    <row r="94" spans="2:7" ht="21" x14ac:dyDescent="0.25">
      <c r="B94" s="72">
        <v>7316</v>
      </c>
      <c r="C94" s="78">
        <v>1001060727316</v>
      </c>
      <c r="D94" s="76" t="s">
        <v>148</v>
      </c>
      <c r="E94" s="76"/>
      <c r="F94" s="86" t="s">
        <v>20</v>
      </c>
      <c r="G94" s="87">
        <v>0.54</v>
      </c>
    </row>
    <row r="95" spans="2:7" ht="21" x14ac:dyDescent="0.25">
      <c r="B95" s="72">
        <v>7317</v>
      </c>
      <c r="C95" s="78">
        <v>1001066567317</v>
      </c>
      <c r="D95" s="76" t="s">
        <v>146</v>
      </c>
      <c r="E95" s="76"/>
      <c r="F95" s="86" t="s">
        <v>20</v>
      </c>
      <c r="G95" s="87">
        <v>0.54</v>
      </c>
    </row>
    <row r="96" spans="2:7" ht="21" x14ac:dyDescent="0.25">
      <c r="B96" s="72">
        <v>7143</v>
      </c>
      <c r="C96" s="78">
        <v>1001060717143</v>
      </c>
      <c r="D96" s="76" t="s">
        <v>142</v>
      </c>
      <c r="E96" s="76"/>
      <c r="F96" s="86" t="s">
        <v>20</v>
      </c>
      <c r="G96" s="87">
        <v>0.22</v>
      </c>
    </row>
    <row r="97" spans="2:7" ht="21" x14ac:dyDescent="0.25">
      <c r="B97" s="72">
        <v>7147</v>
      </c>
      <c r="C97" s="78">
        <v>1001063237147</v>
      </c>
      <c r="D97" s="76" t="s">
        <v>85</v>
      </c>
      <c r="E97" s="76"/>
      <c r="F97" s="86" t="s">
        <v>20</v>
      </c>
      <c r="G97" s="87">
        <v>0.22</v>
      </c>
    </row>
    <row r="98" spans="2:7" ht="21" x14ac:dyDescent="0.25">
      <c r="B98" s="72">
        <v>7456</v>
      </c>
      <c r="C98" s="78">
        <v>1001063097456</v>
      </c>
      <c r="D98" s="76" t="s">
        <v>143</v>
      </c>
      <c r="E98" s="76"/>
      <c r="F98" s="86" t="s">
        <v>20</v>
      </c>
      <c r="G98" s="87">
        <v>0.15</v>
      </c>
    </row>
    <row r="99" spans="2:7" ht="21" x14ac:dyDescent="0.25">
      <c r="B99" s="72">
        <v>7318</v>
      </c>
      <c r="C99" s="78">
        <v>1001060727318</v>
      </c>
      <c r="D99" s="76" t="s">
        <v>147</v>
      </c>
      <c r="E99" s="76"/>
      <c r="F99" s="86" t="s">
        <v>20</v>
      </c>
      <c r="G99" s="87">
        <v>0.27</v>
      </c>
    </row>
    <row r="100" spans="2:7" ht="21" x14ac:dyDescent="0.25">
      <c r="B100" s="92">
        <v>3986</v>
      </c>
      <c r="C100" s="79">
        <v>1001061973986</v>
      </c>
      <c r="D100" s="80" t="s">
        <v>79</v>
      </c>
      <c r="E100" s="80"/>
      <c r="F100" s="83" t="s">
        <v>20</v>
      </c>
      <c r="G100" s="84">
        <v>0.25</v>
      </c>
    </row>
    <row r="101" spans="2:7" ht="21" x14ac:dyDescent="0.25">
      <c r="B101" s="72">
        <v>7364</v>
      </c>
      <c r="C101" s="78">
        <v>1001063217364</v>
      </c>
      <c r="D101" s="76" t="s">
        <v>144</v>
      </c>
      <c r="E101" s="76"/>
      <c r="F101" s="86" t="s">
        <v>20</v>
      </c>
      <c r="G101" s="87">
        <v>0.22</v>
      </c>
    </row>
    <row r="102" spans="2:7" ht="21" x14ac:dyDescent="0.25">
      <c r="B102" s="77">
        <v>7383</v>
      </c>
      <c r="C102" s="78">
        <v>1001065467383</v>
      </c>
      <c r="D102" s="76" t="s">
        <v>145</v>
      </c>
      <c r="E102" s="76"/>
      <c r="F102" s="86" t="s">
        <v>20</v>
      </c>
      <c r="G102" s="87">
        <v>0.22</v>
      </c>
    </row>
    <row r="103" spans="2:7" ht="21" x14ac:dyDescent="0.25">
      <c r="B103" s="132">
        <v>6967</v>
      </c>
      <c r="C103" s="75">
        <v>1001063656967</v>
      </c>
      <c r="D103" s="80" t="s">
        <v>83</v>
      </c>
      <c r="E103" s="80"/>
      <c r="F103" s="83" t="s">
        <v>20</v>
      </c>
      <c r="G103" s="84">
        <v>0.25</v>
      </c>
    </row>
    <row r="104" spans="2:7" ht="21" x14ac:dyDescent="0.25">
      <c r="B104" s="72">
        <v>4993</v>
      </c>
      <c r="C104" s="78">
        <v>1001060764993</v>
      </c>
      <c r="D104" s="76" t="s">
        <v>139</v>
      </c>
      <c r="E104" s="76"/>
      <c r="F104" s="86" t="s">
        <v>20</v>
      </c>
      <c r="G104" s="87">
        <v>0.25</v>
      </c>
    </row>
    <row r="105" spans="2:7" ht="21" x14ac:dyDescent="0.25">
      <c r="B105" s="72">
        <v>6937</v>
      </c>
      <c r="C105" s="78">
        <v>1001063106937</v>
      </c>
      <c r="D105" s="76" t="s">
        <v>141</v>
      </c>
      <c r="E105" s="76"/>
      <c r="F105" s="86" t="s">
        <v>20</v>
      </c>
      <c r="G105" s="87">
        <v>0.25</v>
      </c>
    </row>
    <row r="106" spans="2:7" ht="21" x14ac:dyDescent="0.25">
      <c r="B106" s="72">
        <v>5483</v>
      </c>
      <c r="C106" s="78">
        <v>1001062505483</v>
      </c>
      <c r="D106" s="76" t="s">
        <v>88</v>
      </c>
      <c r="E106" s="76"/>
      <c r="F106" s="86" t="s">
        <v>20</v>
      </c>
      <c r="G106" s="87">
        <v>0.25</v>
      </c>
    </row>
    <row r="107" spans="2:7" ht="21" x14ac:dyDescent="0.25">
      <c r="B107" s="72">
        <v>5931</v>
      </c>
      <c r="C107" s="78">
        <v>1001060755931</v>
      </c>
      <c r="D107" s="76" t="s">
        <v>77</v>
      </c>
      <c r="E107" s="76"/>
      <c r="F107" s="86" t="s">
        <v>20</v>
      </c>
      <c r="G107" s="87">
        <v>0.22</v>
      </c>
    </row>
    <row r="108" spans="2:7" ht="21" x14ac:dyDescent="0.25">
      <c r="B108" s="72">
        <v>7417</v>
      </c>
      <c r="C108" s="78">
        <v>1001307147417</v>
      </c>
      <c r="D108" s="76" t="s">
        <v>149</v>
      </c>
      <c r="E108" s="76"/>
      <c r="F108" s="87" t="s">
        <v>20</v>
      </c>
      <c r="G108" s="87">
        <v>0.44</v>
      </c>
    </row>
    <row r="109" spans="2:7" ht="21" x14ac:dyDescent="0.25">
      <c r="B109" s="72">
        <v>6832</v>
      </c>
      <c r="C109" s="78">
        <v>1001065616832</v>
      </c>
      <c r="D109" s="76" t="s">
        <v>81</v>
      </c>
      <c r="E109" s="76"/>
      <c r="F109" s="86" t="s">
        <v>22</v>
      </c>
      <c r="G109" s="87">
        <v>1</v>
      </c>
    </row>
    <row r="110" spans="2:7" ht="21" x14ac:dyDescent="0.25">
      <c r="B110" s="72">
        <v>7299</v>
      </c>
      <c r="C110" s="78">
        <v>1001060677299</v>
      </c>
      <c r="D110" s="76" t="s">
        <v>82</v>
      </c>
      <c r="E110" s="76"/>
      <c r="F110" s="86" t="s">
        <v>22</v>
      </c>
      <c r="G110" s="87">
        <v>1</v>
      </c>
    </row>
    <row r="111" spans="2:7" ht="21" x14ac:dyDescent="0.25">
      <c r="B111" s="72">
        <v>7386</v>
      </c>
      <c r="C111" s="78">
        <v>1001067017386</v>
      </c>
      <c r="D111" s="76" t="s">
        <v>150</v>
      </c>
      <c r="E111" s="97"/>
      <c r="F111" s="86" t="s">
        <v>20</v>
      </c>
      <c r="G111" s="87">
        <v>0.15</v>
      </c>
    </row>
    <row r="112" spans="2:7" ht="23.25" x14ac:dyDescent="0.25">
      <c r="B112" s="125"/>
      <c r="C112" s="126"/>
      <c r="D112" s="127" t="s">
        <v>175</v>
      </c>
      <c r="E112" s="128"/>
      <c r="F112" s="129"/>
      <c r="G112" s="130"/>
    </row>
    <row r="113" spans="2:7" ht="21" x14ac:dyDescent="0.25">
      <c r="B113" s="132">
        <v>6527</v>
      </c>
      <c r="C113" s="75">
        <v>1001031076527</v>
      </c>
      <c r="D113" s="80" t="s">
        <v>152</v>
      </c>
      <c r="E113" s="95"/>
      <c r="F113" s="83" t="s">
        <v>22</v>
      </c>
      <c r="G113" s="84">
        <v>1</v>
      </c>
    </row>
    <row r="114" spans="2:7" ht="21" x14ac:dyDescent="0.25">
      <c r="B114" s="92">
        <v>6550</v>
      </c>
      <c r="C114" s="79">
        <v>1001032736550</v>
      </c>
      <c r="D114" s="80" t="s">
        <v>151</v>
      </c>
      <c r="E114" s="95"/>
      <c r="F114" s="83" t="s">
        <v>22</v>
      </c>
      <c r="G114" s="84">
        <v>1</v>
      </c>
    </row>
    <row r="115" spans="2:7" ht="21" x14ac:dyDescent="0.25">
      <c r="B115" s="92">
        <v>6549</v>
      </c>
      <c r="C115" s="79">
        <v>1001032736549</v>
      </c>
      <c r="D115" s="80" t="s">
        <v>176</v>
      </c>
      <c r="E115" s="97"/>
      <c r="F115" s="83" t="s">
        <v>22</v>
      </c>
      <c r="G115" s="84">
        <v>1</v>
      </c>
    </row>
    <row r="116" spans="2:7" ht="21" x14ac:dyDescent="0.25">
      <c r="B116" s="132">
        <v>7001</v>
      </c>
      <c r="C116" s="75">
        <v>1001035937001</v>
      </c>
      <c r="D116" s="80" t="s">
        <v>57</v>
      </c>
      <c r="E116" s="80"/>
      <c r="F116" s="83" t="s">
        <v>22</v>
      </c>
      <c r="G116" s="84">
        <v>1</v>
      </c>
    </row>
    <row r="117" spans="2:7" ht="21" x14ac:dyDescent="0.25">
      <c r="B117" s="92">
        <v>6608</v>
      </c>
      <c r="C117" s="79">
        <v>1001033856608</v>
      </c>
      <c r="D117" s="80" t="s">
        <v>58</v>
      </c>
      <c r="E117" s="80"/>
      <c r="F117" s="83" t="s">
        <v>22</v>
      </c>
      <c r="G117" s="84">
        <v>1</v>
      </c>
    </row>
    <row r="118" spans="2:7" ht="21" x14ac:dyDescent="0.25">
      <c r="B118" s="72">
        <v>7059</v>
      </c>
      <c r="C118" s="99">
        <v>1001035277059</v>
      </c>
      <c r="D118" s="76" t="s">
        <v>154</v>
      </c>
      <c r="E118" s="97"/>
      <c r="F118" s="86" t="s">
        <v>20</v>
      </c>
      <c r="G118" s="87">
        <v>0.3</v>
      </c>
    </row>
    <row r="119" spans="2:7" ht="21" x14ac:dyDescent="0.25">
      <c r="B119" s="72">
        <v>6609</v>
      </c>
      <c r="C119" s="78">
        <v>1001033856609</v>
      </c>
      <c r="D119" s="76" t="s">
        <v>153</v>
      </c>
      <c r="E119" s="76"/>
      <c r="F119" s="86" t="s">
        <v>20</v>
      </c>
      <c r="G119" s="87">
        <v>0.4</v>
      </c>
    </row>
    <row r="120" spans="2:7" ht="23.25" x14ac:dyDescent="0.25">
      <c r="B120" s="90"/>
      <c r="C120" s="119"/>
      <c r="D120" s="120" t="s">
        <v>177</v>
      </c>
      <c r="E120" s="121"/>
      <c r="F120" s="122"/>
      <c r="G120" s="123"/>
    </row>
    <row r="121" spans="2:7" ht="21" x14ac:dyDescent="0.25">
      <c r="B121" s="92">
        <v>6767</v>
      </c>
      <c r="C121" s="79">
        <v>1001023696767</v>
      </c>
      <c r="D121" s="80" t="s">
        <v>43</v>
      </c>
      <c r="E121" s="95"/>
      <c r="F121" s="83" t="s">
        <v>22</v>
      </c>
      <c r="G121" s="84">
        <v>1</v>
      </c>
    </row>
    <row r="122" spans="2:7" ht="21" x14ac:dyDescent="0.25">
      <c r="B122" s="72">
        <v>6761</v>
      </c>
      <c r="C122" s="78">
        <v>1001020836761</v>
      </c>
      <c r="D122" s="76" t="s">
        <v>52</v>
      </c>
      <c r="E122" s="76"/>
      <c r="F122" s="86" t="s">
        <v>22</v>
      </c>
      <c r="G122" s="87">
        <v>1</v>
      </c>
    </row>
    <row r="123" spans="2:7" ht="21" x14ac:dyDescent="0.25">
      <c r="B123" s="72">
        <v>6764</v>
      </c>
      <c r="C123" s="78">
        <v>1001020846764</v>
      </c>
      <c r="D123" s="76" t="s">
        <v>48</v>
      </c>
      <c r="E123" s="73"/>
      <c r="F123" s="86" t="s">
        <v>22</v>
      </c>
      <c r="G123" s="87">
        <v>1</v>
      </c>
    </row>
    <row r="124" spans="2:7" ht="21" x14ac:dyDescent="0.25">
      <c r="B124" s="92">
        <v>6254</v>
      </c>
      <c r="C124" s="79">
        <v>1001022556254</v>
      </c>
      <c r="D124" s="80" t="s">
        <v>162</v>
      </c>
      <c r="E124" s="80"/>
      <c r="F124" s="83" t="s">
        <v>22</v>
      </c>
      <c r="G124" s="84">
        <v>1</v>
      </c>
    </row>
    <row r="125" spans="2:7" ht="21" x14ac:dyDescent="0.25">
      <c r="B125" s="72">
        <v>7075</v>
      </c>
      <c r="C125" s="78">
        <v>1001022657075</v>
      </c>
      <c r="D125" s="76" t="s">
        <v>49</v>
      </c>
      <c r="E125" s="76"/>
      <c r="F125" s="86" t="s">
        <v>22</v>
      </c>
      <c r="G125" s="87">
        <v>1</v>
      </c>
    </row>
    <row r="126" spans="2:7" ht="21" x14ac:dyDescent="0.25">
      <c r="B126" s="132">
        <v>7083</v>
      </c>
      <c r="C126" s="78">
        <v>1001022467083</v>
      </c>
      <c r="D126" s="76" t="s">
        <v>160</v>
      </c>
      <c r="E126" s="95"/>
      <c r="F126" s="86" t="s">
        <v>22</v>
      </c>
      <c r="G126" s="87">
        <v>1</v>
      </c>
    </row>
    <row r="127" spans="2:7" ht="21" x14ac:dyDescent="0.25">
      <c r="B127" s="92">
        <v>6829</v>
      </c>
      <c r="C127" s="79">
        <v>1001024976829</v>
      </c>
      <c r="D127" s="80" t="s">
        <v>156</v>
      </c>
      <c r="E127" s="95"/>
      <c r="F127" s="83" t="s">
        <v>22</v>
      </c>
      <c r="G127" s="84">
        <v>1</v>
      </c>
    </row>
    <row r="128" spans="2:7" ht="21" x14ac:dyDescent="0.25">
      <c r="B128" s="132">
        <v>7070</v>
      </c>
      <c r="C128" s="79">
        <v>1001022377070</v>
      </c>
      <c r="D128" s="80" t="s">
        <v>44</v>
      </c>
      <c r="E128" s="80"/>
      <c r="F128" s="83" t="s">
        <v>22</v>
      </c>
      <c r="G128" s="84">
        <v>1</v>
      </c>
    </row>
    <row r="129" spans="2:7" ht="21" x14ac:dyDescent="0.25">
      <c r="B129" s="92">
        <v>7076</v>
      </c>
      <c r="C129" s="79">
        <v>1001022657076</v>
      </c>
      <c r="D129" s="80" t="s">
        <v>178</v>
      </c>
      <c r="E129" s="95"/>
      <c r="F129" s="83" t="s">
        <v>22</v>
      </c>
      <c r="G129" s="84">
        <v>1</v>
      </c>
    </row>
    <row r="130" spans="2:7" ht="21" x14ac:dyDescent="0.25">
      <c r="B130" s="72">
        <v>7271</v>
      </c>
      <c r="C130" s="78">
        <v>1001025507271</v>
      </c>
      <c r="D130" s="76" t="s">
        <v>159</v>
      </c>
      <c r="E130" s="76"/>
      <c r="F130" s="86" t="s">
        <v>22</v>
      </c>
      <c r="G130" s="87">
        <v>1</v>
      </c>
    </row>
    <row r="131" spans="2:7" ht="21" x14ac:dyDescent="0.25">
      <c r="B131" s="92">
        <v>6303</v>
      </c>
      <c r="C131" s="79">
        <v>1001022726303</v>
      </c>
      <c r="D131" s="80" t="s">
        <v>158</v>
      </c>
      <c r="E131" s="95"/>
      <c r="F131" s="83" t="s">
        <v>22</v>
      </c>
      <c r="G131" s="84">
        <v>1</v>
      </c>
    </row>
    <row r="132" spans="2:7" ht="21" x14ac:dyDescent="0.25">
      <c r="B132" s="92">
        <v>6661</v>
      </c>
      <c r="C132" s="79">
        <v>1001022246661</v>
      </c>
      <c r="D132" s="80" t="s">
        <v>161</v>
      </c>
      <c r="E132" s="80"/>
      <c r="F132" s="83" t="s">
        <v>22</v>
      </c>
      <c r="G132" s="84">
        <v>1</v>
      </c>
    </row>
    <row r="133" spans="2:7" ht="21" x14ac:dyDescent="0.25">
      <c r="B133" s="72">
        <v>6759</v>
      </c>
      <c r="C133" s="78">
        <v>1001020836759</v>
      </c>
      <c r="D133" s="76" t="s">
        <v>41</v>
      </c>
      <c r="E133" s="73"/>
      <c r="F133" s="86" t="s">
        <v>20</v>
      </c>
      <c r="G133" s="87">
        <v>0.4</v>
      </c>
    </row>
    <row r="134" spans="2:7" ht="21" x14ac:dyDescent="0.25">
      <c r="B134" s="72">
        <v>6762</v>
      </c>
      <c r="C134" s="78">
        <v>1001020846762</v>
      </c>
      <c r="D134" s="76" t="s">
        <v>39</v>
      </c>
      <c r="E134" s="73"/>
      <c r="F134" s="86" t="s">
        <v>20</v>
      </c>
      <c r="G134" s="87">
        <v>0.41</v>
      </c>
    </row>
    <row r="135" spans="2:7" ht="21" x14ac:dyDescent="0.25">
      <c r="B135" s="92">
        <v>6765</v>
      </c>
      <c r="C135" s="79">
        <v>1001023696765</v>
      </c>
      <c r="D135" s="80" t="s">
        <v>40</v>
      </c>
      <c r="E135" s="95"/>
      <c r="F135" s="83" t="s">
        <v>20</v>
      </c>
      <c r="G135" s="84">
        <v>0.36</v>
      </c>
    </row>
    <row r="136" spans="2:7" ht="21" x14ac:dyDescent="0.25">
      <c r="B136" s="72">
        <v>7074</v>
      </c>
      <c r="C136" s="75">
        <v>1001022657074</v>
      </c>
      <c r="D136" s="76" t="s">
        <v>157</v>
      </c>
      <c r="E136" s="73"/>
      <c r="F136" s="86" t="s">
        <v>20</v>
      </c>
      <c r="G136" s="87">
        <v>0.6</v>
      </c>
    </row>
    <row r="137" spans="2:7" ht="21" x14ac:dyDescent="0.25">
      <c r="B137" s="72">
        <v>7123</v>
      </c>
      <c r="C137" s="78">
        <v>1001020867123</v>
      </c>
      <c r="D137" s="76" t="s">
        <v>179</v>
      </c>
      <c r="E137" s="80"/>
      <c r="F137" s="83" t="s">
        <v>20</v>
      </c>
      <c r="G137" s="84">
        <v>0.3</v>
      </c>
    </row>
    <row r="138" spans="2:7" ht="21" x14ac:dyDescent="0.25">
      <c r="B138" s="92">
        <v>5819</v>
      </c>
      <c r="C138" s="79">
        <v>1001022725819</v>
      </c>
      <c r="D138" s="80" t="s">
        <v>38</v>
      </c>
      <c r="E138" s="95"/>
      <c r="F138" s="83" t="s">
        <v>20</v>
      </c>
      <c r="G138" s="84">
        <v>0.4</v>
      </c>
    </row>
    <row r="139" spans="2:7" ht="21" x14ac:dyDescent="0.25">
      <c r="B139" s="72">
        <v>6475</v>
      </c>
      <c r="C139" s="75">
        <v>1001025176475</v>
      </c>
      <c r="D139" s="76" t="s">
        <v>45</v>
      </c>
      <c r="E139" s="76"/>
      <c r="F139" s="83" t="s">
        <v>20</v>
      </c>
      <c r="G139" s="84">
        <v>0.4</v>
      </c>
    </row>
    <row r="140" spans="2:7" ht="21" x14ac:dyDescent="0.25">
      <c r="B140" s="133">
        <v>7284</v>
      </c>
      <c r="C140" s="99">
        <v>1001025767284</v>
      </c>
      <c r="D140" s="124" t="s">
        <v>180</v>
      </c>
      <c r="E140" s="98"/>
      <c r="F140" s="134" t="s">
        <v>20</v>
      </c>
      <c r="G140" s="135">
        <v>0.33</v>
      </c>
    </row>
    <row r="141" spans="2:7" ht="21" x14ac:dyDescent="0.25">
      <c r="B141" s="72">
        <v>7601</v>
      </c>
      <c r="C141" s="78">
        <v>1001025767601</v>
      </c>
      <c r="D141" s="76" t="s">
        <v>181</v>
      </c>
      <c r="E141" s="97"/>
      <c r="F141" s="86" t="s">
        <v>20</v>
      </c>
      <c r="G141" s="87">
        <v>0.26</v>
      </c>
    </row>
    <row r="142" spans="2:7" ht="21" x14ac:dyDescent="0.25">
      <c r="B142" s="133">
        <v>7461</v>
      </c>
      <c r="C142" s="101">
        <v>1001025767461</v>
      </c>
      <c r="D142" s="124" t="s">
        <v>182</v>
      </c>
      <c r="E142" s="97"/>
      <c r="F142" s="136" t="s">
        <v>20</v>
      </c>
      <c r="G142" s="103">
        <v>0.33</v>
      </c>
    </row>
    <row r="143" spans="2:7" ht="21" x14ac:dyDescent="0.25">
      <c r="B143" s="77">
        <v>7371</v>
      </c>
      <c r="C143" s="82">
        <v>1001026947371</v>
      </c>
      <c r="D143" s="76" t="s">
        <v>183</v>
      </c>
      <c r="E143" s="94"/>
      <c r="F143" s="86" t="s">
        <v>20</v>
      </c>
      <c r="G143" s="87">
        <v>0.3</v>
      </c>
    </row>
    <row r="144" spans="2:7" ht="21" x14ac:dyDescent="0.25">
      <c r="B144" s="133">
        <v>6837</v>
      </c>
      <c r="C144" s="101">
        <v>1001022556837</v>
      </c>
      <c r="D144" s="124" t="s">
        <v>47</v>
      </c>
      <c r="E144" s="124"/>
      <c r="F144" s="134" t="s">
        <v>20</v>
      </c>
      <c r="G144" s="135">
        <v>0.4</v>
      </c>
    </row>
    <row r="145" spans="2:7" ht="21" x14ac:dyDescent="0.25">
      <c r="B145" s="133">
        <v>7080</v>
      </c>
      <c r="C145" s="101">
        <v>1001022467080</v>
      </c>
      <c r="D145" s="102" t="s">
        <v>53</v>
      </c>
      <c r="E145" s="102"/>
      <c r="F145" s="136" t="s">
        <v>20</v>
      </c>
      <c r="G145" s="103">
        <v>0.41</v>
      </c>
    </row>
    <row r="146" spans="2:7" ht="21" x14ac:dyDescent="0.25">
      <c r="B146" s="72">
        <v>6724</v>
      </c>
      <c r="C146" s="78">
        <v>1001020836724</v>
      </c>
      <c r="D146" s="76" t="s">
        <v>51</v>
      </c>
      <c r="E146" s="76"/>
      <c r="F146" s="86" t="s">
        <v>20</v>
      </c>
      <c r="G146" s="87">
        <v>0.41</v>
      </c>
    </row>
    <row r="147" spans="2:7" ht="21" x14ac:dyDescent="0.25">
      <c r="B147" s="72">
        <v>7066</v>
      </c>
      <c r="C147" s="78">
        <v>1001022377066</v>
      </c>
      <c r="D147" s="76" t="s">
        <v>55</v>
      </c>
      <c r="E147" s="76"/>
      <c r="F147" s="86" t="s">
        <v>20</v>
      </c>
      <c r="G147" s="87">
        <v>0.41</v>
      </c>
    </row>
    <row r="148" spans="2:7" ht="21" x14ac:dyDescent="0.25">
      <c r="B148" s="92">
        <v>6713</v>
      </c>
      <c r="C148" s="75">
        <v>1001022246713</v>
      </c>
      <c r="D148" s="76" t="s">
        <v>46</v>
      </c>
      <c r="E148" s="76"/>
      <c r="F148" s="83" t="s">
        <v>20</v>
      </c>
      <c r="G148" s="84">
        <v>0.41</v>
      </c>
    </row>
    <row r="149" spans="2:7" ht="21" x14ac:dyDescent="0.25">
      <c r="B149" s="72">
        <v>7255</v>
      </c>
      <c r="C149" s="78">
        <v>1001025507255</v>
      </c>
      <c r="D149" s="76" t="s">
        <v>37</v>
      </c>
      <c r="E149" s="80"/>
      <c r="F149" s="86" t="s">
        <v>20</v>
      </c>
      <c r="G149" s="87">
        <v>0.4</v>
      </c>
    </row>
    <row r="150" spans="2:7" ht="21" x14ac:dyDescent="0.25">
      <c r="B150" s="72">
        <v>6602</v>
      </c>
      <c r="C150" s="78">
        <v>1001021966602</v>
      </c>
      <c r="D150" s="76" t="s">
        <v>155</v>
      </c>
      <c r="E150" s="73"/>
      <c r="F150" s="86" t="s">
        <v>20</v>
      </c>
      <c r="G150" s="87">
        <v>0.35</v>
      </c>
    </row>
    <row r="151" spans="2:7" ht="21" x14ac:dyDescent="0.25">
      <c r="B151" s="72">
        <v>7073</v>
      </c>
      <c r="C151" s="78">
        <v>1001022657073</v>
      </c>
      <c r="D151" s="76" t="s">
        <v>50</v>
      </c>
      <c r="E151" s="76"/>
      <c r="F151" s="86" t="s">
        <v>20</v>
      </c>
      <c r="G151" s="87">
        <v>0.35</v>
      </c>
    </row>
    <row r="152" spans="2:7" ht="21" x14ac:dyDescent="0.25">
      <c r="B152" s="133">
        <v>7276</v>
      </c>
      <c r="C152" s="101">
        <v>1001022467276</v>
      </c>
      <c r="D152" s="102" t="s">
        <v>54</v>
      </c>
      <c r="E152" s="102"/>
      <c r="F152" s="136" t="s">
        <v>20</v>
      </c>
      <c r="G152" s="103">
        <v>0.3</v>
      </c>
    </row>
    <row r="153" spans="2:7" ht="21" x14ac:dyDescent="0.25">
      <c r="B153" s="72">
        <v>6616</v>
      </c>
      <c r="C153" s="75">
        <v>1001024976616</v>
      </c>
      <c r="D153" s="76" t="s">
        <v>42</v>
      </c>
      <c r="E153" s="73"/>
      <c r="F153" s="86" t="s">
        <v>20</v>
      </c>
      <c r="G153" s="87">
        <v>0.3</v>
      </c>
    </row>
    <row r="154" spans="2:7" ht="21" x14ac:dyDescent="0.25">
      <c r="B154" s="77">
        <v>7385</v>
      </c>
      <c r="C154" s="78">
        <v>1001027067385</v>
      </c>
      <c r="D154" s="94" t="s">
        <v>163</v>
      </c>
      <c r="E154" s="76"/>
      <c r="F154" s="86" t="s">
        <v>20</v>
      </c>
      <c r="G154" s="87">
        <v>0.33</v>
      </c>
    </row>
    <row r="155" spans="2:7" ht="21" x14ac:dyDescent="0.25">
      <c r="B155" s="100">
        <v>7044</v>
      </c>
      <c r="C155" s="101">
        <v>1001025167044</v>
      </c>
      <c r="D155" s="102" t="s">
        <v>164</v>
      </c>
      <c r="E155" s="97"/>
      <c r="F155" s="86" t="s">
        <v>20</v>
      </c>
      <c r="G155" s="103">
        <v>0.32</v>
      </c>
    </row>
    <row r="156" spans="2:7" ht="21" x14ac:dyDescent="0.25">
      <c r="B156" s="100">
        <v>7460</v>
      </c>
      <c r="C156" s="101">
        <v>1001027247460</v>
      </c>
      <c r="D156" s="102" t="s">
        <v>165</v>
      </c>
      <c r="E156" s="97"/>
      <c r="F156" s="86" t="s">
        <v>20</v>
      </c>
      <c r="G156" s="103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2026-10-28T09:29:51Z</dcterms:modified>
</cp:coreProperties>
</file>