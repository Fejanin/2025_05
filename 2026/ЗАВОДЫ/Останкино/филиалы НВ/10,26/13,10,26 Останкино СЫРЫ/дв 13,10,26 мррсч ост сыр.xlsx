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31402AF-9169-41CB-A37C-86AA2B5795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Sheet!$A$3:$AA$54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  <c r="T9" i="1"/>
  <c r="T5" i="1" s="1"/>
  <c r="T10" i="1"/>
  <c r="T11" i="1"/>
  <c r="T12" i="1"/>
  <c r="T14" i="1"/>
  <c r="T15" i="1"/>
  <c r="T16" i="1"/>
  <c r="T17" i="1"/>
  <c r="T32" i="1"/>
  <c r="T34" i="1"/>
  <c r="T35" i="1"/>
  <c r="T36" i="1"/>
  <c r="T37" i="1"/>
  <c r="T38" i="1"/>
  <c r="T39" i="1"/>
  <c r="S7" i="1" l="1"/>
  <c r="S8" i="1"/>
  <c r="AA8" i="1" s="1"/>
  <c r="S10" i="1"/>
  <c r="AA10" i="1" s="1"/>
  <c r="S11" i="1"/>
  <c r="S13" i="1"/>
  <c r="S18" i="1"/>
  <c r="AA18" i="1" s="1"/>
  <c r="S19" i="1"/>
  <c r="AA19" i="1" s="1"/>
  <c r="S20" i="1"/>
  <c r="AA20" i="1" s="1"/>
  <c r="S21" i="1"/>
  <c r="S22" i="1"/>
  <c r="AA22" i="1" s="1"/>
  <c r="S23" i="1"/>
  <c r="AA23" i="1" s="1"/>
  <c r="S24" i="1"/>
  <c r="AA24" i="1" s="1"/>
  <c r="S25" i="1"/>
  <c r="S26" i="1"/>
  <c r="AA26" i="1" s="1"/>
  <c r="S27" i="1"/>
  <c r="AA27" i="1" s="1"/>
  <c r="S28" i="1"/>
  <c r="AA28" i="1" s="1"/>
  <c r="S29" i="1"/>
  <c r="S30" i="1"/>
  <c r="AA30" i="1" s="1"/>
  <c r="S31" i="1"/>
  <c r="AA31" i="1" s="1"/>
  <c r="S33" i="1"/>
  <c r="AA33" i="1" s="1"/>
  <c r="S40" i="1"/>
  <c r="AA40" i="1" s="1"/>
  <c r="S41" i="1"/>
  <c r="AA41" i="1" s="1"/>
  <c r="S42" i="1"/>
  <c r="AA42" i="1" s="1"/>
  <c r="S43" i="1"/>
  <c r="S44" i="1"/>
  <c r="AA44" i="1" s="1"/>
  <c r="S45" i="1"/>
  <c r="AA45" i="1" s="1"/>
  <c r="S46" i="1"/>
  <c r="AA46" i="1" s="1"/>
  <c r="S47" i="1"/>
  <c r="S48" i="1"/>
  <c r="AA48" i="1" s="1"/>
  <c r="S49" i="1"/>
  <c r="AA49" i="1" s="1"/>
  <c r="S50" i="1"/>
  <c r="AA50" i="1" s="1"/>
  <c r="S51" i="1"/>
  <c r="S52" i="1"/>
  <c r="AA52" i="1" s="1"/>
  <c r="S53" i="1"/>
  <c r="AA53" i="1" s="1"/>
  <c r="S54" i="1"/>
  <c r="AA54" i="1" s="1"/>
  <c r="S6" i="1"/>
  <c r="AA6" i="1" s="1"/>
  <c r="AA7" i="1"/>
  <c r="AA11" i="1"/>
  <c r="AA13" i="1"/>
  <c r="AA21" i="1"/>
  <c r="AA25" i="1"/>
  <c r="AA29" i="1"/>
  <c r="AA43" i="1"/>
  <c r="AA47" i="1"/>
  <c r="AA51" i="1"/>
  <c r="U9" i="1"/>
  <c r="S9" i="1" s="1"/>
  <c r="AA9" i="1" s="1"/>
  <c r="U12" i="1"/>
  <c r="S12" i="1" s="1"/>
  <c r="AA12" i="1" s="1"/>
  <c r="U14" i="1"/>
  <c r="S14" i="1" s="1"/>
  <c r="AA14" i="1" s="1"/>
  <c r="U15" i="1"/>
  <c r="S15" i="1" s="1"/>
  <c r="AA15" i="1" s="1"/>
  <c r="U16" i="1"/>
  <c r="S16" i="1" s="1"/>
  <c r="AA16" i="1" s="1"/>
  <c r="U17" i="1"/>
  <c r="S17" i="1" s="1"/>
  <c r="AA17" i="1" s="1"/>
  <c r="U34" i="1"/>
  <c r="S34" i="1" s="1"/>
  <c r="AA34" i="1" s="1"/>
  <c r="U35" i="1"/>
  <c r="S35" i="1" s="1"/>
  <c r="U36" i="1"/>
  <c r="S36" i="1" s="1"/>
  <c r="AA36" i="1" s="1"/>
  <c r="U37" i="1"/>
  <c r="S37" i="1" s="1"/>
  <c r="AA37" i="1" s="1"/>
  <c r="U38" i="1"/>
  <c r="S38" i="1" s="1"/>
  <c r="AA38" i="1" s="1"/>
  <c r="U39" i="1"/>
  <c r="S39" i="1" s="1"/>
  <c r="AA39" i="1" s="1"/>
  <c r="U5" i="1" l="1"/>
  <c r="Q54" i="1" l="1"/>
  <c r="V54" i="1" s="1"/>
  <c r="L54" i="1"/>
  <c r="Q53" i="1"/>
  <c r="L53" i="1"/>
  <c r="Q52" i="1"/>
  <c r="V52" i="1" s="1"/>
  <c r="L52" i="1"/>
  <c r="Q51" i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V37" i="1" s="1"/>
  <c r="L37" i="1"/>
  <c r="Q36" i="1"/>
  <c r="L36" i="1"/>
  <c r="Q35" i="1"/>
  <c r="L35" i="1"/>
  <c r="Q34" i="1"/>
  <c r="L34" i="1"/>
  <c r="Q33" i="1"/>
  <c r="V33" i="1" s="1"/>
  <c r="L33" i="1"/>
  <c r="Q32" i="1"/>
  <c r="W32" i="1" s="1"/>
  <c r="L32" i="1"/>
  <c r="Q31" i="1"/>
  <c r="V31" i="1" s="1"/>
  <c r="L31" i="1"/>
  <c r="Q30" i="1"/>
  <c r="L30" i="1"/>
  <c r="Q29" i="1"/>
  <c r="V29" i="1" s="1"/>
  <c r="L29" i="1"/>
  <c r="Q28" i="1"/>
  <c r="L28" i="1"/>
  <c r="Q27" i="1"/>
  <c r="V27" i="1" s="1"/>
  <c r="L27" i="1"/>
  <c r="Q26" i="1"/>
  <c r="L26" i="1"/>
  <c r="Q25" i="1"/>
  <c r="V25" i="1" s="1"/>
  <c r="L25" i="1"/>
  <c r="Q24" i="1"/>
  <c r="L24" i="1"/>
  <c r="Q23" i="1"/>
  <c r="V23" i="1" s="1"/>
  <c r="L23" i="1"/>
  <c r="Q22" i="1"/>
  <c r="L22" i="1"/>
  <c r="Q21" i="1"/>
  <c r="V21" i="1" s="1"/>
  <c r="L21" i="1"/>
  <c r="Q20" i="1"/>
  <c r="L20" i="1"/>
  <c r="Q19" i="1"/>
  <c r="V19" i="1" s="1"/>
  <c r="L19" i="1"/>
  <c r="Q18" i="1"/>
  <c r="L18" i="1"/>
  <c r="Q17" i="1"/>
  <c r="V17" i="1" s="1"/>
  <c r="L17" i="1"/>
  <c r="Q16" i="1"/>
  <c r="V16" i="1" s="1"/>
  <c r="L16" i="1"/>
  <c r="Q15" i="1"/>
  <c r="V15" i="1" s="1"/>
  <c r="L15" i="1"/>
  <c r="Q14" i="1"/>
  <c r="V14" i="1" s="1"/>
  <c r="L14" i="1"/>
  <c r="Q13" i="1"/>
  <c r="V13" i="1" s="1"/>
  <c r="L13" i="1"/>
  <c r="Q12" i="1"/>
  <c r="V12" i="1" s="1"/>
  <c r="L12" i="1"/>
  <c r="Q11" i="1"/>
  <c r="V11" i="1" s="1"/>
  <c r="L11" i="1"/>
  <c r="Q10" i="1"/>
  <c r="V10" i="1" s="1"/>
  <c r="L10" i="1"/>
  <c r="E9" i="1"/>
  <c r="L9" i="1" s="1"/>
  <c r="Q8" i="1"/>
  <c r="V8" i="1" s="1"/>
  <c r="L8" i="1"/>
  <c r="Q7" i="1"/>
  <c r="V7" i="1" s="1"/>
  <c r="L7" i="1"/>
  <c r="Q6" i="1"/>
  <c r="V6" i="1" s="1"/>
  <c r="L6" i="1"/>
  <c r="Y5" i="1"/>
  <c r="X5" i="1"/>
  <c r="P5" i="1"/>
  <c r="O5" i="1"/>
  <c r="N5" i="1"/>
  <c r="M5" i="1"/>
  <c r="K5" i="1"/>
  <c r="F5" i="1"/>
  <c r="W18" i="1" l="1"/>
  <c r="V18" i="1"/>
  <c r="W20" i="1"/>
  <c r="V20" i="1"/>
  <c r="W22" i="1"/>
  <c r="V22" i="1"/>
  <c r="W24" i="1"/>
  <c r="V24" i="1"/>
  <c r="W26" i="1"/>
  <c r="V26" i="1"/>
  <c r="W28" i="1"/>
  <c r="V28" i="1"/>
  <c r="W30" i="1"/>
  <c r="V30" i="1"/>
  <c r="W34" i="1"/>
  <c r="V34" i="1"/>
  <c r="W36" i="1"/>
  <c r="V36" i="1"/>
  <c r="W38" i="1"/>
  <c r="V38" i="1"/>
  <c r="W40" i="1"/>
  <c r="V40" i="1"/>
  <c r="W42" i="1"/>
  <c r="V42" i="1"/>
  <c r="W44" i="1"/>
  <c r="V44" i="1"/>
  <c r="W47" i="1"/>
  <c r="V47" i="1"/>
  <c r="W49" i="1"/>
  <c r="V49" i="1"/>
  <c r="W51" i="1"/>
  <c r="V51" i="1"/>
  <c r="W53" i="1"/>
  <c r="V53" i="1"/>
  <c r="W10" i="1"/>
  <c r="W14" i="1"/>
  <c r="W7" i="1"/>
  <c r="W12" i="1"/>
  <c r="W16" i="1"/>
  <c r="R32" i="1"/>
  <c r="S32" i="1" s="1"/>
  <c r="R35" i="1"/>
  <c r="E5" i="1"/>
  <c r="L5" i="1"/>
  <c r="W6" i="1"/>
  <c r="W8" i="1"/>
  <c r="Q9" i="1"/>
  <c r="V9" i="1" s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5" i="1"/>
  <c r="W46" i="1"/>
  <c r="W48" i="1"/>
  <c r="W50" i="1"/>
  <c r="W52" i="1"/>
  <c r="W54" i="1"/>
  <c r="AA35" i="1" l="1"/>
  <c r="V35" i="1"/>
  <c r="AA32" i="1"/>
  <c r="S5" i="1"/>
  <c r="V32" i="1"/>
  <c r="R5" i="1"/>
  <c r="W9" i="1"/>
  <c r="Q5" i="1"/>
  <c r="AA5" i="1" l="1"/>
</calcChain>
</file>

<file path=xl/sharedStrings.xml><?xml version="1.0" encoding="utf-8"?>
<sst xmlns="http://schemas.openxmlformats.org/spreadsheetml/2006/main" count="191" uniqueCount="91">
  <si>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</si>
  <si>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</si>
  <si>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</si>
  <si>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</si>
  <si>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</si>
  <si>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</si>
  <si>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</si>
  <si>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</si>
  <si>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</si>
  <si>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</si>
  <si>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</si>
  <si>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</si>
  <si>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</si>
  <si>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</si>
  <si>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</si>
  <si>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</si>
  <si>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</si>
  <si>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</si>
  <si>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</si>
  <si>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</si>
  <si>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</si>
  <si>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</si>
  <si>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</si>
  <si>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</si>
  <si>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</si>
  <si>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</si>
  <si>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</si>
  <si>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1103201 Сыр копченый "Косичка" мини ПАПА МОЖЕТ 55г лоток  ОСТАНКИНО</t>
  </si>
  <si>
    <t>шт</t>
  </si>
  <si>
    <t>07,10,26 24шт оприходовано и 10,10,26 они же списаны?!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</si>
  <si>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</si>
  <si>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</si>
  <si>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</si>
  <si>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</si>
  <si>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</si>
  <si>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</si>
  <si>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</si>
  <si>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</si>
  <si>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</si>
  <si>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</si>
  <si>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</si>
  <si>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</si>
  <si>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</si>
  <si>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</si>
  <si>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</si>
  <si>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</si>
  <si>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</si>
  <si>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</si>
  <si>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</si>
  <si>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</si>
  <si>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</si>
  <si>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</si>
  <si>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</si>
  <si>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</si>
  <si>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</si>
  <si>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</si>
  <si>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</si>
  <si>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</si>
  <si>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</si>
  <si>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</si>
  <si>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</si>
  <si>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</si>
  <si>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</si>
  <si>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</si>
  <si>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</si>
  <si>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</si>
  <si>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</si>
  <si>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</si>
  <si>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</si>
  <si>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</si>
  <si>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</si>
  <si>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</si>
  <si>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</si>
  <si>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</si>
  <si>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</si>
  <si>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</si>
  <si>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</si>
  <si>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</si>
  <si>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</si>
  <si>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</si>
  <si>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</si>
  <si>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</si>
  <si>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</si>
  <si>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10,10,26 48шт поставлено на приход!?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</si>
  <si>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10,10,26 96шт поставлено на приход!?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</si>
  <si>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16кг поставлено на приход!?</t>
    </r>
  </si>
  <si>
    <t>итого</t>
  </si>
  <si>
    <t>ТК</t>
  </si>
  <si>
    <t>Титенок</t>
  </si>
  <si>
    <t>заказ</t>
  </si>
  <si>
    <t>21,10,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</si>
</sst>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13,10,26%20&#1084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05,10,</v>
          </cell>
          <cell r="P4" t="str">
            <v>12,10,</v>
          </cell>
          <cell r="Q4" t="str">
            <v>13,10,</v>
          </cell>
        </row>
        <row r="5">
          <cell r="E5">
            <v>770.86400000000003</v>
          </cell>
          <cell r="F5">
            <v>2477.0930000000003</v>
          </cell>
          <cell r="K5">
            <v>1044.5</v>
          </cell>
          <cell r="L5">
            <v>-273.63599999999997</v>
          </cell>
          <cell r="M5">
            <v>0</v>
          </cell>
          <cell r="N5">
            <v>0</v>
          </cell>
          <cell r="O5">
            <v>1989</v>
          </cell>
          <cell r="P5">
            <v>1836</v>
          </cell>
          <cell r="Q5">
            <v>154.17280000000002</v>
          </cell>
          <cell r="R5">
            <v>263.39999999999998</v>
          </cell>
          <cell r="S5">
            <v>850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D6">
            <v>24</v>
          </cell>
          <cell r="G6">
            <v>5.5E-2</v>
          </cell>
          <cell r="H6">
            <v>120</v>
          </cell>
          <cell r="K6">
            <v>2</v>
          </cell>
          <cell r="L6">
            <v>-2</v>
          </cell>
          <cell r="O6">
            <v>48</v>
          </cell>
          <cell r="P6">
            <v>48</v>
          </cell>
          <cell r="Q6">
            <v>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D7">
            <v>72</v>
          </cell>
          <cell r="F7">
            <v>72</v>
          </cell>
          <cell r="G7">
            <v>0.1</v>
          </cell>
          <cell r="H7">
            <v>120</v>
          </cell>
          <cell r="L7">
            <v>0</v>
          </cell>
          <cell r="O7">
            <v>24</v>
          </cell>
          <cell r="Q7">
            <v>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D8">
            <v>24</v>
          </cell>
          <cell r="G8">
            <v>0.1</v>
          </cell>
          <cell r="H8">
            <v>120</v>
          </cell>
          <cell r="L8">
            <v>0</v>
          </cell>
          <cell r="O8">
            <v>24</v>
          </cell>
          <cell r="Q8">
            <v>0</v>
          </cell>
          <cell r="R8">
            <v>24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D9">
            <v>94.947999999999993</v>
          </cell>
          <cell r="E9">
            <v>20.494</v>
          </cell>
          <cell r="F9">
            <v>74.682000000000002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16.3</v>
          </cell>
          <cell r="L9">
            <v>4.1939999999999991</v>
          </cell>
          <cell r="O9">
            <v>40</v>
          </cell>
          <cell r="P9">
            <v>40</v>
          </cell>
          <cell r="Q9">
            <v>4.0987999999999998</v>
          </cell>
          <cell r="S9">
            <v>50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I10" t="str">
            <v>ТЗ 14дн+1нд доставка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I11" t="str">
            <v>ТЗ 14дн+1нд доставка</v>
          </cell>
          <cell r="L11">
            <v>0</v>
          </cell>
          <cell r="O11">
            <v>0</v>
          </cell>
          <cell r="P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D12">
            <v>29.931999999999999</v>
          </cell>
          <cell r="F12">
            <v>29.931999999999999</v>
          </cell>
          <cell r="G12">
            <v>1</v>
          </cell>
          <cell r="H12">
            <v>180</v>
          </cell>
          <cell r="I12" t="str">
            <v>ТЗ 14дн+1нд доставка</v>
          </cell>
          <cell r="L12">
            <v>0</v>
          </cell>
          <cell r="O12">
            <v>33</v>
          </cell>
          <cell r="P12">
            <v>16</v>
          </cell>
          <cell r="Q12">
            <v>0</v>
          </cell>
          <cell r="S12">
            <v>70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49</v>
          </cell>
          <cell r="D13">
            <v>120</v>
          </cell>
          <cell r="E13">
            <v>5</v>
          </cell>
          <cell r="F13">
            <v>140</v>
          </cell>
          <cell r="G13">
            <v>0.82450000000000001</v>
          </cell>
          <cell r="H13">
            <v>180</v>
          </cell>
          <cell r="I13" t="str">
            <v>ТЗ 14дн+1нд доставка</v>
          </cell>
          <cell r="K13">
            <v>5</v>
          </cell>
          <cell r="L13">
            <v>0</v>
          </cell>
          <cell r="Q13">
            <v>1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6</v>
          </cell>
          <cell r="D14">
            <v>108</v>
          </cell>
          <cell r="E14">
            <v>14</v>
          </cell>
          <cell r="F14">
            <v>76</v>
          </cell>
          <cell r="G14">
            <v>0.372</v>
          </cell>
          <cell r="H14">
            <v>180</v>
          </cell>
          <cell r="I14" t="str">
            <v>ТЗ 14дн+1нд доставка</v>
          </cell>
          <cell r="K14">
            <v>34</v>
          </cell>
          <cell r="L14">
            <v>-20</v>
          </cell>
          <cell r="O14">
            <v>48</v>
          </cell>
          <cell r="P14">
            <v>48</v>
          </cell>
          <cell r="Q14">
            <v>2.8</v>
          </cell>
          <cell r="S14">
            <v>70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-2</v>
          </cell>
          <cell r="D15">
            <v>98</v>
          </cell>
          <cell r="E15">
            <v>30</v>
          </cell>
          <cell r="F15">
            <v>60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38</v>
          </cell>
          <cell r="L15">
            <v>-8</v>
          </cell>
          <cell r="O15">
            <v>48</v>
          </cell>
          <cell r="P15">
            <v>48</v>
          </cell>
          <cell r="Q15">
            <v>6</v>
          </cell>
          <cell r="S15">
            <v>70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-2</v>
          </cell>
          <cell r="D16">
            <v>182</v>
          </cell>
          <cell r="E16">
            <v>28</v>
          </cell>
          <cell r="F16">
            <v>132</v>
          </cell>
          <cell r="G16">
            <v>0.372</v>
          </cell>
          <cell r="H16">
            <v>180</v>
          </cell>
          <cell r="I16" t="str">
            <v>ТЗ 14дн+1нд доставка</v>
          </cell>
          <cell r="K16">
            <v>44</v>
          </cell>
          <cell r="L16">
            <v>-16</v>
          </cell>
          <cell r="O16">
            <v>24</v>
          </cell>
          <cell r="P16">
            <v>48</v>
          </cell>
          <cell r="Q16">
            <v>5.6</v>
          </cell>
          <cell r="S16">
            <v>70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D17">
            <v>147</v>
          </cell>
          <cell r="E17">
            <v>39</v>
          </cell>
          <cell r="F17">
            <v>85</v>
          </cell>
          <cell r="G17">
            <v>0.74399999999999999</v>
          </cell>
          <cell r="H17">
            <v>180</v>
          </cell>
          <cell r="I17" t="str">
            <v>ТЗ 14дн+1нд доставка</v>
          </cell>
          <cell r="K17">
            <v>61</v>
          </cell>
          <cell r="L17">
            <v>-22</v>
          </cell>
          <cell r="P17">
            <v>48</v>
          </cell>
          <cell r="Q17">
            <v>7.8</v>
          </cell>
          <cell r="S17">
            <v>70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D18">
            <v>16</v>
          </cell>
          <cell r="E18">
            <v>2</v>
          </cell>
          <cell r="F18">
            <v>14</v>
          </cell>
          <cell r="G18">
            <v>0.14000000000000001</v>
          </cell>
          <cell r="H18">
            <v>180</v>
          </cell>
          <cell r="K18">
            <v>2</v>
          </cell>
          <cell r="L18">
            <v>0</v>
          </cell>
          <cell r="O18">
            <v>16</v>
          </cell>
          <cell r="P18">
            <v>32</v>
          </cell>
          <cell r="Q18">
            <v>0.4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D19">
            <v>17</v>
          </cell>
          <cell r="E19">
            <v>6</v>
          </cell>
          <cell r="F19">
            <v>10</v>
          </cell>
          <cell r="G19">
            <v>0.18</v>
          </cell>
          <cell r="H19">
            <v>270</v>
          </cell>
          <cell r="I19" t="str">
            <v>ТЗ 14дн+1нд доставка</v>
          </cell>
          <cell r="K19">
            <v>10</v>
          </cell>
          <cell r="L19">
            <v>-4</v>
          </cell>
          <cell r="O19">
            <v>16</v>
          </cell>
          <cell r="P19">
            <v>32</v>
          </cell>
          <cell r="Q19">
            <v>1.2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D20">
            <v>17</v>
          </cell>
          <cell r="E20">
            <v>6</v>
          </cell>
          <cell r="F20">
            <v>10</v>
          </cell>
          <cell r="G20">
            <v>0.18</v>
          </cell>
          <cell r="H20">
            <v>270</v>
          </cell>
          <cell r="I20" t="str">
            <v>ТЗ 14дн+1нд доставка</v>
          </cell>
          <cell r="K20">
            <v>12</v>
          </cell>
          <cell r="L20">
            <v>-6</v>
          </cell>
          <cell r="O20">
            <v>16</v>
          </cell>
          <cell r="P20">
            <v>32</v>
          </cell>
          <cell r="Q20">
            <v>1.2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G21">
            <v>0.1</v>
          </cell>
          <cell r="H21">
            <v>60</v>
          </cell>
          <cell r="K21">
            <v>5</v>
          </cell>
          <cell r="L21">
            <v>-5</v>
          </cell>
          <cell r="O21">
            <v>80</v>
          </cell>
          <cell r="Q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D22">
            <v>515</v>
          </cell>
          <cell r="E22">
            <v>56</v>
          </cell>
          <cell r="F22">
            <v>446</v>
          </cell>
          <cell r="G22">
            <v>0.18</v>
          </cell>
          <cell r="H22">
            <v>180</v>
          </cell>
          <cell r="I22" t="str">
            <v>ТЗ 14дн+1нд доставка</v>
          </cell>
          <cell r="K22">
            <v>73</v>
          </cell>
          <cell r="L22">
            <v>-17</v>
          </cell>
          <cell r="O22">
            <v>300</v>
          </cell>
          <cell r="P22">
            <v>200</v>
          </cell>
          <cell r="Q22">
            <v>11.2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D23">
            <v>163</v>
          </cell>
          <cell r="E23">
            <v>48</v>
          </cell>
          <cell r="F23">
            <v>102</v>
          </cell>
          <cell r="G23">
            <v>0.18</v>
          </cell>
          <cell r="H23">
            <v>180</v>
          </cell>
          <cell r="I23" t="str">
            <v>ТЗ 14дн+1нд доставка</v>
          </cell>
          <cell r="K23">
            <v>63</v>
          </cell>
          <cell r="L23">
            <v>-15</v>
          </cell>
          <cell r="O23">
            <v>300</v>
          </cell>
          <cell r="P23">
            <v>200</v>
          </cell>
          <cell r="Q23">
            <v>9.6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16</v>
          </cell>
          <cell r="D24">
            <v>14</v>
          </cell>
          <cell r="E24">
            <v>2</v>
          </cell>
          <cell r="F24">
            <v>22</v>
          </cell>
          <cell r="G24">
            <v>0.4</v>
          </cell>
          <cell r="H24">
            <v>270</v>
          </cell>
          <cell r="I24" t="str">
            <v>ТЗ 14дн+1нд доставка</v>
          </cell>
          <cell r="K24">
            <v>2</v>
          </cell>
          <cell r="L24">
            <v>0</v>
          </cell>
          <cell r="O24">
            <v>8</v>
          </cell>
          <cell r="Q24">
            <v>0.4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D25">
            <v>28</v>
          </cell>
          <cell r="F25">
            <v>28</v>
          </cell>
          <cell r="G25">
            <v>0.4</v>
          </cell>
          <cell r="H25">
            <v>270</v>
          </cell>
          <cell r="I25" t="str">
            <v>ТЗ 14дн+1нд доставка</v>
          </cell>
          <cell r="L25">
            <v>0</v>
          </cell>
          <cell r="P25">
            <v>28</v>
          </cell>
          <cell r="Q25">
            <v>0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32</v>
          </cell>
          <cell r="F26">
            <v>32</v>
          </cell>
          <cell r="G26">
            <v>0.18</v>
          </cell>
          <cell r="H26">
            <v>270</v>
          </cell>
          <cell r="I26" t="str">
            <v>ТЗ 14дн+1нд доставка</v>
          </cell>
          <cell r="L26">
            <v>0</v>
          </cell>
          <cell r="Q26">
            <v>0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D27">
            <v>24</v>
          </cell>
          <cell r="F27">
            <v>24</v>
          </cell>
          <cell r="G27">
            <v>0.2</v>
          </cell>
          <cell r="H27">
            <v>120</v>
          </cell>
          <cell r="L27">
            <v>0</v>
          </cell>
          <cell r="O27">
            <v>48</v>
          </cell>
          <cell r="P27">
            <v>48</v>
          </cell>
          <cell r="Q27">
            <v>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1</v>
          </cell>
          <cell r="H28">
            <v>180</v>
          </cell>
          <cell r="I28" t="str">
            <v>ТЗ 14дн+1нд доставка</v>
          </cell>
          <cell r="L28">
            <v>0</v>
          </cell>
          <cell r="O28">
            <v>40</v>
          </cell>
          <cell r="P28">
            <v>20</v>
          </cell>
          <cell r="Q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D29">
            <v>19.184999999999999</v>
          </cell>
          <cell r="F29">
            <v>19.184999999999999</v>
          </cell>
          <cell r="G29">
            <v>1</v>
          </cell>
          <cell r="H29">
            <v>180</v>
          </cell>
          <cell r="I29" t="str">
            <v>ТЗ 14дн+1нд доставка</v>
          </cell>
          <cell r="L29">
            <v>0</v>
          </cell>
          <cell r="O29">
            <v>20</v>
          </cell>
          <cell r="P29">
            <v>20</v>
          </cell>
          <cell r="Q29">
            <v>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D30">
            <v>108</v>
          </cell>
          <cell r="E30">
            <v>26</v>
          </cell>
          <cell r="F30">
            <v>76</v>
          </cell>
          <cell r="G30">
            <v>0.18</v>
          </cell>
          <cell r="H30">
            <v>150</v>
          </cell>
          <cell r="I30" t="str">
            <v>ТЗ 14дн+1нд доставка</v>
          </cell>
          <cell r="K30">
            <v>26</v>
          </cell>
          <cell r="L30">
            <v>0</v>
          </cell>
          <cell r="P30">
            <v>48</v>
          </cell>
          <cell r="Q30">
            <v>5.2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38</v>
          </cell>
          <cell r="D31">
            <v>16</v>
          </cell>
          <cell r="E31">
            <v>41</v>
          </cell>
          <cell r="F31">
            <v>5</v>
          </cell>
          <cell r="G31">
            <v>0.1</v>
          </cell>
          <cell r="H31">
            <v>90</v>
          </cell>
          <cell r="K31">
            <v>51</v>
          </cell>
          <cell r="L31">
            <v>-10</v>
          </cell>
          <cell r="O31">
            <v>48</v>
          </cell>
          <cell r="P31">
            <v>200</v>
          </cell>
          <cell r="Q31">
            <v>8.1999999999999993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D32">
            <v>144</v>
          </cell>
          <cell r="E32">
            <v>51</v>
          </cell>
          <cell r="F32">
            <v>71</v>
          </cell>
          <cell r="G32">
            <v>0.1</v>
          </cell>
          <cell r="H32">
            <v>60</v>
          </cell>
          <cell r="K32">
            <v>70</v>
          </cell>
          <cell r="L32">
            <v>-19</v>
          </cell>
          <cell r="O32">
            <v>16</v>
          </cell>
          <cell r="Q32">
            <v>10.199999999999999</v>
          </cell>
          <cell r="R32">
            <v>86.399999999999977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D33">
            <v>135</v>
          </cell>
          <cell r="E33">
            <v>18</v>
          </cell>
          <cell r="F33">
            <v>103</v>
          </cell>
          <cell r="G33">
            <v>0.1</v>
          </cell>
          <cell r="H33">
            <v>90</v>
          </cell>
          <cell r="K33">
            <v>29</v>
          </cell>
          <cell r="L33">
            <v>-11</v>
          </cell>
          <cell r="O33">
            <v>16</v>
          </cell>
          <cell r="Q33">
            <v>3.6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D34">
            <v>80</v>
          </cell>
          <cell r="E34">
            <v>21</v>
          </cell>
          <cell r="F34">
            <v>57</v>
          </cell>
          <cell r="G34">
            <v>0.18</v>
          </cell>
          <cell r="H34">
            <v>150</v>
          </cell>
          <cell r="I34" t="str">
            <v>ТЗ 14дн+1нд доставка</v>
          </cell>
          <cell r="K34">
            <v>23</v>
          </cell>
          <cell r="L34">
            <v>-2</v>
          </cell>
          <cell r="O34">
            <v>20</v>
          </cell>
          <cell r="P34">
            <v>40</v>
          </cell>
          <cell r="Q34">
            <v>4.2</v>
          </cell>
          <cell r="S34">
            <v>50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D35">
            <v>160</v>
          </cell>
          <cell r="E35">
            <v>75</v>
          </cell>
          <cell r="F35">
            <v>64</v>
          </cell>
          <cell r="G35">
            <v>0.18</v>
          </cell>
          <cell r="H35">
            <v>150</v>
          </cell>
          <cell r="I35" t="str">
            <v>ТЗ 14дн+1нд доставка</v>
          </cell>
          <cell r="K35">
            <v>99</v>
          </cell>
          <cell r="L35">
            <v>-24</v>
          </cell>
          <cell r="O35">
            <v>30</v>
          </cell>
          <cell r="P35">
            <v>40</v>
          </cell>
          <cell r="Q35">
            <v>15</v>
          </cell>
          <cell r="R35">
            <v>121</v>
          </cell>
          <cell r="S35">
            <v>200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D36">
            <v>30</v>
          </cell>
          <cell r="E36">
            <v>12</v>
          </cell>
          <cell r="F36">
            <v>18</v>
          </cell>
          <cell r="G36">
            <v>0.18</v>
          </cell>
          <cell r="H36">
            <v>150</v>
          </cell>
          <cell r="I36" t="str">
            <v>ТЗ 14дн+1нд доставка</v>
          </cell>
          <cell r="K36">
            <v>12</v>
          </cell>
          <cell r="L36">
            <v>0</v>
          </cell>
          <cell r="O36">
            <v>10</v>
          </cell>
          <cell r="P36">
            <v>40</v>
          </cell>
          <cell r="Q36">
            <v>2.4</v>
          </cell>
          <cell r="S36">
            <v>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D37">
            <v>12</v>
          </cell>
          <cell r="E37">
            <v>9</v>
          </cell>
          <cell r="G37">
            <v>0.18</v>
          </cell>
          <cell r="H37">
            <v>150</v>
          </cell>
          <cell r="I37" t="str">
            <v>ТЗ 14дн+1нд доставка</v>
          </cell>
          <cell r="K37">
            <v>17</v>
          </cell>
          <cell r="L37">
            <v>-8</v>
          </cell>
          <cell r="O37">
            <v>30</v>
          </cell>
          <cell r="P37">
            <v>40</v>
          </cell>
          <cell r="Q37">
            <v>1.8</v>
          </cell>
          <cell r="S37">
            <v>50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1</v>
          </cell>
          <cell r="D38">
            <v>171</v>
          </cell>
          <cell r="E38">
            <v>51</v>
          </cell>
          <cell r="F38">
            <v>88</v>
          </cell>
          <cell r="G38">
            <v>0.18</v>
          </cell>
          <cell r="H38">
            <v>150</v>
          </cell>
          <cell r="I38" t="str">
            <v>ТЗ 14дн+1нд доставка</v>
          </cell>
          <cell r="K38">
            <v>56</v>
          </cell>
          <cell r="L38">
            <v>-5</v>
          </cell>
          <cell r="O38">
            <v>80</v>
          </cell>
          <cell r="P38">
            <v>40</v>
          </cell>
          <cell r="Q38">
            <v>10.199999999999999</v>
          </cell>
          <cell r="S38">
            <v>50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D39">
            <v>51</v>
          </cell>
          <cell r="E39">
            <v>21</v>
          </cell>
          <cell r="F39">
            <v>28</v>
          </cell>
          <cell r="G39">
            <v>0.18</v>
          </cell>
          <cell r="H39">
            <v>150</v>
          </cell>
          <cell r="I39" t="str">
            <v>ТЗ 14дн+1нд доставка</v>
          </cell>
          <cell r="K39">
            <v>43</v>
          </cell>
          <cell r="L39">
            <v>-22</v>
          </cell>
          <cell r="P39">
            <v>40</v>
          </cell>
          <cell r="Q39">
            <v>4.2</v>
          </cell>
          <cell r="R39">
            <v>8</v>
          </cell>
          <cell r="S39">
            <v>50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D40">
            <v>8</v>
          </cell>
          <cell r="E40">
            <v>4</v>
          </cell>
          <cell r="F40">
            <v>3</v>
          </cell>
          <cell r="G40">
            <v>0.1</v>
          </cell>
          <cell r="H40">
            <v>60</v>
          </cell>
          <cell r="K40">
            <v>7</v>
          </cell>
          <cell r="L40">
            <v>-3</v>
          </cell>
          <cell r="P40">
            <v>48</v>
          </cell>
          <cell r="Q40">
            <v>0.8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D41">
            <v>32</v>
          </cell>
          <cell r="E41">
            <v>4</v>
          </cell>
          <cell r="F41">
            <v>28</v>
          </cell>
          <cell r="G41">
            <v>0.14000000000000001</v>
          </cell>
          <cell r="H41">
            <v>180</v>
          </cell>
          <cell r="K41">
            <v>4</v>
          </cell>
          <cell r="L41">
            <v>0</v>
          </cell>
          <cell r="Q41">
            <v>0.8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D42">
            <v>49</v>
          </cell>
          <cell r="E42">
            <v>8</v>
          </cell>
          <cell r="F42">
            <v>40</v>
          </cell>
          <cell r="G42">
            <v>0.18</v>
          </cell>
          <cell r="H42">
            <v>270</v>
          </cell>
          <cell r="I42" t="str">
            <v>ТЗ 14дн+1нд доставка</v>
          </cell>
          <cell r="K42">
            <v>10</v>
          </cell>
          <cell r="L42">
            <v>-2</v>
          </cell>
          <cell r="O42">
            <v>80</v>
          </cell>
          <cell r="P42">
            <v>48</v>
          </cell>
          <cell r="Q42">
            <v>1.6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31.271999999999998</v>
          </cell>
          <cell r="D43">
            <v>15.875999999999999</v>
          </cell>
          <cell r="E43">
            <v>3.4279999999999999</v>
          </cell>
          <cell r="F43">
            <v>43.72</v>
          </cell>
          <cell r="G43">
            <v>1</v>
          </cell>
          <cell r="H43">
            <v>180</v>
          </cell>
          <cell r="I43" t="str">
            <v>ТЗ 14дн+1нд доставка</v>
          </cell>
          <cell r="K43">
            <v>6</v>
          </cell>
          <cell r="L43">
            <v>-2.5720000000000001</v>
          </cell>
          <cell r="O43">
            <v>16</v>
          </cell>
          <cell r="Q43">
            <v>0.68559999999999999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D44">
            <v>25.442</v>
          </cell>
          <cell r="E44">
            <v>3.2440000000000002</v>
          </cell>
          <cell r="F44">
            <v>15.694000000000001</v>
          </cell>
          <cell r="G44">
            <v>1</v>
          </cell>
          <cell r="H44">
            <v>180</v>
          </cell>
          <cell r="I44" t="str">
            <v>ТЗ 14дн+1нд доставка</v>
          </cell>
          <cell r="K44">
            <v>9</v>
          </cell>
          <cell r="L44">
            <v>-5.7560000000000002</v>
          </cell>
          <cell r="O44">
            <v>33</v>
          </cell>
          <cell r="P44">
            <v>33</v>
          </cell>
          <cell r="Q44">
            <v>0.64880000000000004</v>
          </cell>
        </row>
        <row r="45">
          <cell r="A45" t="str">
            <v>Сыр полутвердый "Российский" с массовой долей жира 50%  Останкино</v>
          </cell>
          <cell r="B45" t="str">
            <v>кг</v>
          </cell>
          <cell r="D45">
            <v>3.92</v>
          </cell>
          <cell r="E45">
            <v>3.92</v>
          </cell>
          <cell r="G45">
            <v>0</v>
          </cell>
          <cell r="I45" t="str">
            <v>дубль</v>
          </cell>
          <cell r="J45" t="str">
            <v>3323 Сыр Российский цилиндр 1/4 пленка ЮКМП м.д.ж. 50%  ОСТАНКИНО</v>
          </cell>
          <cell r="K45">
            <v>7.2</v>
          </cell>
          <cell r="L45">
            <v>-3.2800000000000002</v>
          </cell>
          <cell r="Q45">
            <v>0.78400000000000003</v>
          </cell>
        </row>
        <row r="46">
          <cell r="A46" t="str">
            <v>Сыр полутвердый "Сметанковый", с масс долей жира в пересчете на сухое вещес50%, брус  Останкино</v>
          </cell>
          <cell r="B46" t="str">
            <v>кг</v>
          </cell>
          <cell r="D46">
            <v>101.702</v>
          </cell>
          <cell r="E46">
            <v>6.0419999999999998</v>
          </cell>
          <cell r="F46">
            <v>95.658000000000001</v>
          </cell>
          <cell r="G46">
            <v>1</v>
          </cell>
          <cell r="H46">
            <v>180</v>
          </cell>
          <cell r="I46" t="str">
            <v>ТЗ 14дн+1нд доставка</v>
          </cell>
          <cell r="K46">
            <v>6</v>
          </cell>
          <cell r="L46">
            <v>4.1999999999999815E-2</v>
          </cell>
          <cell r="O46">
            <v>16</v>
          </cell>
          <cell r="Q46">
            <v>1.2083999999999999</v>
          </cell>
        </row>
        <row r="47">
          <cell r="A47" t="str">
            <v>Сыр полутвердый "Тильзитер" с массовой долей жира в пересчете на сухое вещество 45%. 1/5  Останкино</v>
          </cell>
          <cell r="B47" t="str">
            <v>кг</v>
          </cell>
          <cell r="D47">
            <v>16.318000000000001</v>
          </cell>
          <cell r="F47">
            <v>16.318000000000001</v>
          </cell>
          <cell r="G47">
            <v>1</v>
          </cell>
          <cell r="H47">
            <v>180</v>
          </cell>
          <cell r="I47" t="str">
            <v>ТЗ 14дн+1нд доставка</v>
          </cell>
          <cell r="L47">
            <v>0</v>
          </cell>
          <cell r="O47">
            <v>33</v>
          </cell>
          <cell r="P47">
            <v>33</v>
          </cell>
          <cell r="Q47">
            <v>0</v>
          </cell>
        </row>
        <row r="48">
          <cell r="A48" t="str">
            <v>Сыр рассольный жирный Чечил 45% 100 гр  ОСТАНКИНО</v>
          </cell>
          <cell r="B48" t="str">
            <v>шт</v>
          </cell>
          <cell r="C48">
            <v>18</v>
          </cell>
          <cell r="D48">
            <v>306</v>
          </cell>
          <cell r="E48">
            <v>63</v>
          </cell>
          <cell r="F48">
            <v>237</v>
          </cell>
          <cell r="G48">
            <v>0.1</v>
          </cell>
          <cell r="H48">
            <v>60</v>
          </cell>
          <cell r="K48">
            <v>79</v>
          </cell>
          <cell r="L48">
            <v>-16</v>
          </cell>
          <cell r="O48">
            <v>30</v>
          </cell>
          <cell r="P48">
            <v>78</v>
          </cell>
          <cell r="Q48">
            <v>12.6</v>
          </cell>
        </row>
        <row r="49">
          <cell r="A49" t="str">
            <v>Сыр рассольный жирный Чечил копченый 43% 100 гр  Останкино</v>
          </cell>
          <cell r="B49" t="str">
            <v>шт</v>
          </cell>
          <cell r="C49">
            <v>1</v>
          </cell>
          <cell r="D49">
            <v>197</v>
          </cell>
          <cell r="E49">
            <v>74</v>
          </cell>
          <cell r="F49">
            <v>76</v>
          </cell>
          <cell r="G49">
            <v>0.1</v>
          </cell>
          <cell r="H49">
            <v>90</v>
          </cell>
          <cell r="K49">
            <v>99</v>
          </cell>
          <cell r="L49">
            <v>-25</v>
          </cell>
          <cell r="O49">
            <v>120</v>
          </cell>
          <cell r="P49">
            <v>90</v>
          </cell>
          <cell r="Q49">
            <v>14.8</v>
          </cell>
        </row>
        <row r="50">
          <cell r="A50" t="str">
            <v>Сыр творожный Сливочный 140 гр.  Останкино</v>
          </cell>
          <cell r="B50" t="str">
            <v>шт</v>
          </cell>
          <cell r="D50">
            <v>16</v>
          </cell>
          <cell r="E50">
            <v>5</v>
          </cell>
          <cell r="F50">
            <v>11</v>
          </cell>
          <cell r="G50">
            <v>0.14000000000000001</v>
          </cell>
          <cell r="H50">
            <v>180</v>
          </cell>
          <cell r="K50">
            <v>12</v>
          </cell>
          <cell r="L50">
            <v>-7</v>
          </cell>
          <cell r="O50">
            <v>48</v>
          </cell>
          <cell r="Q50">
            <v>1</v>
          </cell>
        </row>
        <row r="51">
          <cell r="A51" t="str">
            <v>Сыч/Прод Коровино Российский 50% 200г НОВАЯ СЗМЖ  ОСТАНКИНО</v>
          </cell>
          <cell r="B51" t="str">
            <v>шт</v>
          </cell>
          <cell r="D51">
            <v>10</v>
          </cell>
          <cell r="G51">
            <v>0.2</v>
          </cell>
          <cell r="H51">
            <v>120</v>
          </cell>
          <cell r="L51">
            <v>0</v>
          </cell>
          <cell r="O51">
            <v>70</v>
          </cell>
          <cell r="P51">
            <v>40</v>
          </cell>
          <cell r="Q51">
            <v>0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D52">
            <v>16.268000000000001</v>
          </cell>
          <cell r="E52">
            <v>3.2679999999999998</v>
          </cell>
          <cell r="G52">
            <v>1</v>
          </cell>
          <cell r="H52">
            <v>120</v>
          </cell>
          <cell r="I52" t="str">
            <v>ТЗ 14дн+1нд доставка</v>
          </cell>
          <cell r="K52">
            <v>3</v>
          </cell>
          <cell r="L52">
            <v>0.26799999999999979</v>
          </cell>
          <cell r="O52">
            <v>45</v>
          </cell>
          <cell r="P52">
            <v>15</v>
          </cell>
          <cell r="Q52">
            <v>0.65359999999999996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D53">
            <v>20</v>
          </cell>
          <cell r="F53">
            <v>20</v>
          </cell>
          <cell r="G53">
            <v>0.2</v>
          </cell>
          <cell r="H53">
            <v>120</v>
          </cell>
          <cell r="L53">
            <v>0</v>
          </cell>
          <cell r="O53">
            <v>70</v>
          </cell>
          <cell r="P53">
            <v>40</v>
          </cell>
          <cell r="Q53">
            <v>0</v>
          </cell>
        </row>
        <row r="54">
          <cell r="A54" t="str">
            <v>Сыч/Прод Коровино Тильзитер Оригин 50% ВЕС НОВАЯ (5 кг брус) СЗМЖ  ОСТАНКИНО</v>
          </cell>
          <cell r="B54" t="str">
            <v>кг</v>
          </cell>
          <cell r="D54">
            <v>15.372</v>
          </cell>
          <cell r="E54">
            <v>11.468</v>
          </cell>
          <cell r="F54">
            <v>3.9039999999999999</v>
          </cell>
          <cell r="G54">
            <v>1</v>
          </cell>
          <cell r="H54">
            <v>120</v>
          </cell>
          <cell r="I54" t="str">
            <v>ТЗ 14дн+1нд доставка</v>
          </cell>
          <cell r="K54">
            <v>9</v>
          </cell>
          <cell r="L54">
            <v>2.468</v>
          </cell>
          <cell r="O54">
            <v>45</v>
          </cell>
          <cell r="P54">
            <v>15</v>
          </cell>
          <cell r="Q54">
            <v>2.2936000000000001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9" sqref="Z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17" customWidth="1"/>
    <col min="22" max="23" width="5" customWidth="1"/>
    <col min="24" max="25" width="6" customWidth="1"/>
    <col min="26" max="26" width="64.28515625" customWidth="1"/>
    <col min="27" max="27" width="7" customWidth="1"/>
    <col min="28" max="52" width="3" customWidth="1"/>
  </cols>
  <sheetData>
    <row r="1" spans="1:52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86</v>
      </c>
      <c r="T3" s="2" t="s">
        <v>89</v>
      </c>
      <c r="U3" s="2" t="s">
        <v>87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20</v>
      </c>
      <c r="AA3" s="1" t="s">
        <v>21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/>
      <c r="S4" s="8"/>
      <c r="T4" s="8" t="s">
        <v>90</v>
      </c>
      <c r="U4" s="8" t="s">
        <v>88</v>
      </c>
      <c r="V4" s="8"/>
      <c r="W4" s="8"/>
      <c r="X4" s="8" t="s">
        <v>25</v>
      </c>
      <c r="Y4" s="8" t="s">
        <v>26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8"/>
      <c r="B5" s="8"/>
      <c r="C5" s="8"/>
      <c r="D5" s="8"/>
      <c r="E5" s="3">
        <f>SUM(E6:E500)</f>
        <v>770.86400000000003</v>
      </c>
      <c r="F5" s="3">
        <f>SUM(F6:F500)</f>
        <v>2477.0930000000003</v>
      </c>
      <c r="G5" s="6"/>
      <c r="H5" s="8"/>
      <c r="I5" s="8"/>
      <c r="J5" s="8"/>
      <c r="K5" s="3">
        <f t="shared" ref="K5:U5" si="0">SUM(K6:K500)</f>
        <v>1044.5</v>
      </c>
      <c r="L5" s="3">
        <f t="shared" si="0"/>
        <v>-273.63599999999997</v>
      </c>
      <c r="M5" s="3">
        <f t="shared" si="0"/>
        <v>0</v>
      </c>
      <c r="N5" s="3">
        <f t="shared" si="0"/>
        <v>0</v>
      </c>
      <c r="O5" s="3">
        <f t="shared" si="0"/>
        <v>1989</v>
      </c>
      <c r="P5" s="3">
        <f t="shared" si="0"/>
        <v>1836</v>
      </c>
      <c r="Q5" s="3">
        <f t="shared" si="0"/>
        <v>154.17280000000002</v>
      </c>
      <c r="R5" s="3">
        <f t="shared" si="0"/>
        <v>263.39999999999998</v>
      </c>
      <c r="S5" s="3">
        <f t="shared" si="0"/>
        <v>984.4</v>
      </c>
      <c r="T5" s="3">
        <f t="shared" si="0"/>
        <v>990</v>
      </c>
      <c r="U5" s="3">
        <f t="shared" si="0"/>
        <v>850</v>
      </c>
      <c r="V5" s="8"/>
      <c r="W5" s="8"/>
      <c r="X5" s="3">
        <f>SUM(X6:X500)</f>
        <v>63.6</v>
      </c>
      <c r="Y5" s="3">
        <f>SUM(Y6:Y500)</f>
        <v>40.945999999999998</v>
      </c>
      <c r="Z5" s="8"/>
      <c r="AA5" s="3">
        <f>SUM(AA6:AA500)</f>
        <v>372.59999999999997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x14ac:dyDescent="0.25">
      <c r="A6" s="8" t="s">
        <v>27</v>
      </c>
      <c r="B6" s="8" t="s">
        <v>28</v>
      </c>
      <c r="C6" s="8"/>
      <c r="D6" s="8">
        <v>24</v>
      </c>
      <c r="E6" s="8"/>
      <c r="F6" s="8"/>
      <c r="G6" s="6">
        <v>5.5E-2</v>
      </c>
      <c r="H6" s="8">
        <v>120</v>
      </c>
      <c r="I6" s="8"/>
      <c r="J6" s="8"/>
      <c r="K6" s="8">
        <v>2</v>
      </c>
      <c r="L6" s="8">
        <f t="shared" ref="L6:L37" si="1">E6-K6</f>
        <v>-2</v>
      </c>
      <c r="M6" s="8"/>
      <c r="N6" s="8"/>
      <c r="O6" s="8">
        <v>48</v>
      </c>
      <c r="P6" s="8">
        <v>48</v>
      </c>
      <c r="Q6" s="8">
        <f t="shared" ref="Q6:Q37" si="2">E6/5</f>
        <v>0</v>
      </c>
      <c r="R6" s="4"/>
      <c r="S6" s="4">
        <f>R6</f>
        <v>0</v>
      </c>
      <c r="T6" s="4"/>
      <c r="U6" s="16"/>
      <c r="V6" s="8" t="e">
        <f>(F6+O6+P6+S6)/Q6</f>
        <v>#DIV/0!</v>
      </c>
      <c r="W6" s="8" t="e">
        <f t="shared" ref="W6:W37" si="3">(F6+O6+P6)/Q6</f>
        <v>#DIV/0!</v>
      </c>
      <c r="X6" s="8">
        <v>0</v>
      </c>
      <c r="Y6" s="8">
        <v>0</v>
      </c>
      <c r="Z6" s="8" t="s">
        <v>29</v>
      </c>
      <c r="AA6" s="8">
        <f>G6*S6</f>
        <v>0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x14ac:dyDescent="0.25">
      <c r="A7" s="8" t="s">
        <v>30</v>
      </c>
      <c r="B7" s="8" t="s">
        <v>28</v>
      </c>
      <c r="C7" s="8"/>
      <c r="D7" s="8">
        <v>72</v>
      </c>
      <c r="E7" s="8"/>
      <c r="F7" s="8">
        <v>72</v>
      </c>
      <c r="G7" s="6">
        <v>0.1</v>
      </c>
      <c r="H7" s="8">
        <v>120</v>
      </c>
      <c r="I7" s="8"/>
      <c r="J7" s="8"/>
      <c r="K7" s="8"/>
      <c r="L7" s="8">
        <f t="shared" si="1"/>
        <v>0</v>
      </c>
      <c r="M7" s="8"/>
      <c r="N7" s="8"/>
      <c r="O7" s="8">
        <v>24</v>
      </c>
      <c r="P7" s="8"/>
      <c r="Q7" s="8">
        <f t="shared" si="2"/>
        <v>0</v>
      </c>
      <c r="R7" s="4"/>
      <c r="S7" s="4">
        <f t="shared" ref="S7:S54" si="4">R7</f>
        <v>0</v>
      </c>
      <c r="T7" s="4"/>
      <c r="U7" s="16"/>
      <c r="V7" s="8" t="e">
        <f t="shared" ref="V7:V54" si="5">(F7+O7+P7+S7)/Q7</f>
        <v>#DIV/0!</v>
      </c>
      <c r="W7" s="8" t="e">
        <f t="shared" si="3"/>
        <v>#DIV/0!</v>
      </c>
      <c r="X7" s="8">
        <v>0</v>
      </c>
      <c r="Y7" s="8">
        <v>0</v>
      </c>
      <c r="Z7" s="13" t="s">
        <v>83</v>
      </c>
      <c r="AA7" s="8">
        <f t="shared" ref="AA7:AA54" si="6">G7*S7</f>
        <v>0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8" t="s">
        <v>31</v>
      </c>
      <c r="B8" s="8" t="s">
        <v>28</v>
      </c>
      <c r="C8" s="8"/>
      <c r="D8" s="8">
        <v>24</v>
      </c>
      <c r="E8" s="8"/>
      <c r="F8" s="8"/>
      <c r="G8" s="6">
        <v>0.1</v>
      </c>
      <c r="H8" s="8">
        <v>120</v>
      </c>
      <c r="I8" s="8"/>
      <c r="J8" s="8"/>
      <c r="K8" s="8"/>
      <c r="L8" s="8">
        <f t="shared" si="1"/>
        <v>0</v>
      </c>
      <c r="M8" s="8"/>
      <c r="N8" s="8"/>
      <c r="O8" s="8">
        <v>24</v>
      </c>
      <c r="P8" s="8"/>
      <c r="Q8" s="8">
        <f t="shared" si="2"/>
        <v>0</v>
      </c>
      <c r="R8" s="4">
        <v>24</v>
      </c>
      <c r="S8" s="4">
        <f t="shared" si="4"/>
        <v>24</v>
      </c>
      <c r="T8" s="4">
        <f>VLOOKUP(A8,заказ!A:B,2,0)</f>
        <v>24</v>
      </c>
      <c r="U8" s="16"/>
      <c r="V8" s="8" t="e">
        <f t="shared" si="5"/>
        <v>#DIV/0!</v>
      </c>
      <c r="W8" s="8" t="e">
        <f t="shared" si="3"/>
        <v>#DIV/0!</v>
      </c>
      <c r="X8" s="8">
        <v>0</v>
      </c>
      <c r="Y8" s="8">
        <v>0</v>
      </c>
      <c r="Z8" s="8" t="s">
        <v>29</v>
      </c>
      <c r="AA8" s="8">
        <f t="shared" si="6"/>
        <v>2.4000000000000004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x14ac:dyDescent="0.25">
      <c r="A9" s="8" t="s">
        <v>32</v>
      </c>
      <c r="B9" s="8" t="s">
        <v>33</v>
      </c>
      <c r="C9" s="8"/>
      <c r="D9" s="8">
        <v>94.947999999999993</v>
      </c>
      <c r="E9" s="12">
        <f>16.574+E45</f>
        <v>20.494</v>
      </c>
      <c r="F9" s="8">
        <v>74.682000000000002</v>
      </c>
      <c r="G9" s="6">
        <v>1</v>
      </c>
      <c r="H9" s="8">
        <v>120</v>
      </c>
      <c r="I9" s="8" t="s">
        <v>34</v>
      </c>
      <c r="J9" s="8"/>
      <c r="K9" s="8">
        <v>16.3</v>
      </c>
      <c r="L9" s="8">
        <f t="shared" si="1"/>
        <v>4.1939999999999991</v>
      </c>
      <c r="M9" s="8"/>
      <c r="N9" s="8"/>
      <c r="O9" s="8">
        <v>40</v>
      </c>
      <c r="P9" s="8">
        <v>40</v>
      </c>
      <c r="Q9" s="8">
        <f t="shared" si="2"/>
        <v>4.0987999999999998</v>
      </c>
      <c r="R9" s="4"/>
      <c r="S9" s="4">
        <f>U9</f>
        <v>50</v>
      </c>
      <c r="T9" s="4">
        <f>VLOOKUP(A9,заказ!A:B,2,0)</f>
        <v>50</v>
      </c>
      <c r="U9" s="16">
        <f>VLOOKUP(A9,[1]Sheet!$A:$S,19,0)</f>
        <v>50</v>
      </c>
      <c r="V9" s="8">
        <f t="shared" si="5"/>
        <v>49.937054747731047</v>
      </c>
      <c r="W9" s="8">
        <f t="shared" si="3"/>
        <v>37.738362447545626</v>
      </c>
      <c r="X9" s="8">
        <v>0</v>
      </c>
      <c r="Y9" s="8">
        <v>0</v>
      </c>
      <c r="Z9" s="8"/>
      <c r="AA9" s="8">
        <f t="shared" si="6"/>
        <v>50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x14ac:dyDescent="0.25">
      <c r="A10" s="8" t="s">
        <v>35</v>
      </c>
      <c r="B10" s="8" t="s">
        <v>28</v>
      </c>
      <c r="C10" s="8"/>
      <c r="D10" s="8"/>
      <c r="E10" s="8"/>
      <c r="F10" s="8"/>
      <c r="G10" s="6">
        <v>0.18</v>
      </c>
      <c r="H10" s="8">
        <v>180</v>
      </c>
      <c r="I10" s="8" t="s">
        <v>34</v>
      </c>
      <c r="J10" s="8"/>
      <c r="K10" s="8"/>
      <c r="L10" s="8">
        <f t="shared" si="1"/>
        <v>0</v>
      </c>
      <c r="M10" s="8"/>
      <c r="N10" s="8"/>
      <c r="O10" s="8">
        <v>0</v>
      </c>
      <c r="P10" s="8">
        <v>0</v>
      </c>
      <c r="Q10" s="8">
        <f t="shared" si="2"/>
        <v>0</v>
      </c>
      <c r="R10" s="4">
        <v>12</v>
      </c>
      <c r="S10" s="4">
        <f t="shared" si="4"/>
        <v>12</v>
      </c>
      <c r="T10" s="4">
        <f>VLOOKUP(A10,заказ!A:B,2,0)</f>
        <v>12</v>
      </c>
      <c r="U10" s="16"/>
      <c r="V10" s="8" t="e">
        <f t="shared" si="5"/>
        <v>#DIV/0!</v>
      </c>
      <c r="W10" s="8" t="e">
        <f t="shared" si="3"/>
        <v>#DIV/0!</v>
      </c>
      <c r="X10" s="8">
        <v>0</v>
      </c>
      <c r="Y10" s="8">
        <v>0</v>
      </c>
      <c r="Z10" s="8" t="s">
        <v>36</v>
      </c>
      <c r="AA10" s="8">
        <f t="shared" si="6"/>
        <v>2.16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8" t="s">
        <v>37</v>
      </c>
      <c r="B11" s="8" t="s">
        <v>28</v>
      </c>
      <c r="C11" s="8"/>
      <c r="D11" s="8"/>
      <c r="E11" s="8"/>
      <c r="F11" s="8"/>
      <c r="G11" s="6">
        <v>0.18</v>
      </c>
      <c r="H11" s="8">
        <v>180</v>
      </c>
      <c r="I11" s="8" t="s">
        <v>34</v>
      </c>
      <c r="J11" s="8"/>
      <c r="K11" s="8"/>
      <c r="L11" s="8">
        <f t="shared" si="1"/>
        <v>0</v>
      </c>
      <c r="M11" s="8"/>
      <c r="N11" s="8"/>
      <c r="O11" s="8">
        <v>0</v>
      </c>
      <c r="P11" s="8">
        <v>0</v>
      </c>
      <c r="Q11" s="8">
        <f t="shared" si="2"/>
        <v>0</v>
      </c>
      <c r="R11" s="4">
        <v>12</v>
      </c>
      <c r="S11" s="4">
        <f t="shared" si="4"/>
        <v>12</v>
      </c>
      <c r="T11" s="4">
        <f>VLOOKUP(A11,заказ!A:B,2,0)</f>
        <v>12</v>
      </c>
      <c r="U11" s="16"/>
      <c r="V11" s="8" t="e">
        <f t="shared" si="5"/>
        <v>#DIV/0!</v>
      </c>
      <c r="W11" s="8" t="e">
        <f t="shared" si="3"/>
        <v>#DIV/0!</v>
      </c>
      <c r="X11" s="8">
        <v>0</v>
      </c>
      <c r="Y11" s="8">
        <v>0</v>
      </c>
      <c r="Z11" s="8" t="s">
        <v>36</v>
      </c>
      <c r="AA11" s="8">
        <f t="shared" si="6"/>
        <v>2.16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A12" s="8" t="s">
        <v>38</v>
      </c>
      <c r="B12" s="8" t="s">
        <v>33</v>
      </c>
      <c r="C12" s="8"/>
      <c r="D12" s="8">
        <v>29.931999999999999</v>
      </c>
      <c r="E12" s="8"/>
      <c r="F12" s="8">
        <v>29.931999999999999</v>
      </c>
      <c r="G12" s="6">
        <v>1</v>
      </c>
      <c r="H12" s="8">
        <v>180</v>
      </c>
      <c r="I12" s="8" t="s">
        <v>34</v>
      </c>
      <c r="J12" s="8"/>
      <c r="K12" s="8"/>
      <c r="L12" s="8">
        <f t="shared" si="1"/>
        <v>0</v>
      </c>
      <c r="M12" s="8"/>
      <c r="N12" s="8"/>
      <c r="O12" s="8">
        <v>33</v>
      </c>
      <c r="P12" s="8">
        <v>16</v>
      </c>
      <c r="Q12" s="8">
        <f t="shared" si="2"/>
        <v>0</v>
      </c>
      <c r="R12" s="4"/>
      <c r="S12" s="4">
        <f>U12</f>
        <v>70</v>
      </c>
      <c r="T12" s="4">
        <f>VLOOKUP(A12,заказ!A:B,2,0)</f>
        <v>66</v>
      </c>
      <c r="U12" s="16">
        <f>VLOOKUP(A12,[1]Sheet!$A:$S,19,0)</f>
        <v>70</v>
      </c>
      <c r="V12" s="8" t="e">
        <f t="shared" si="5"/>
        <v>#DIV/0!</v>
      </c>
      <c r="W12" s="8" t="e">
        <f t="shared" si="3"/>
        <v>#DIV/0!</v>
      </c>
      <c r="X12" s="8">
        <v>0</v>
      </c>
      <c r="Y12" s="8">
        <v>0</v>
      </c>
      <c r="Z12" s="8"/>
      <c r="AA12" s="8">
        <f t="shared" si="6"/>
        <v>70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A13" s="8" t="s">
        <v>39</v>
      </c>
      <c r="B13" s="8" t="s">
        <v>28</v>
      </c>
      <c r="C13" s="8">
        <v>49</v>
      </c>
      <c r="D13" s="8">
        <v>120</v>
      </c>
      <c r="E13" s="8">
        <v>5</v>
      </c>
      <c r="F13" s="8">
        <v>140</v>
      </c>
      <c r="G13" s="6">
        <v>0.82450000000000001</v>
      </c>
      <c r="H13" s="8">
        <v>180</v>
      </c>
      <c r="I13" s="8" t="s">
        <v>34</v>
      </c>
      <c r="J13" s="8"/>
      <c r="K13" s="8">
        <v>5</v>
      </c>
      <c r="L13" s="8">
        <f t="shared" si="1"/>
        <v>0</v>
      </c>
      <c r="M13" s="8"/>
      <c r="N13" s="8"/>
      <c r="O13" s="8"/>
      <c r="P13" s="8"/>
      <c r="Q13" s="8">
        <f t="shared" si="2"/>
        <v>1</v>
      </c>
      <c r="R13" s="4"/>
      <c r="S13" s="4">
        <f t="shared" si="4"/>
        <v>0</v>
      </c>
      <c r="T13" s="4"/>
      <c r="U13" s="16"/>
      <c r="V13" s="8">
        <f t="shared" si="5"/>
        <v>140</v>
      </c>
      <c r="W13" s="8">
        <f t="shared" si="3"/>
        <v>140</v>
      </c>
      <c r="X13" s="8">
        <v>1</v>
      </c>
      <c r="Y13" s="8">
        <v>0.4</v>
      </c>
      <c r="Z13" s="14" t="s">
        <v>84</v>
      </c>
      <c r="AA13" s="8">
        <f t="shared" si="6"/>
        <v>0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A14" s="8" t="s">
        <v>40</v>
      </c>
      <c r="B14" s="8" t="s">
        <v>28</v>
      </c>
      <c r="C14" s="8">
        <v>6</v>
      </c>
      <c r="D14" s="8">
        <v>108</v>
      </c>
      <c r="E14" s="8">
        <v>14</v>
      </c>
      <c r="F14" s="8">
        <v>76</v>
      </c>
      <c r="G14" s="6">
        <v>0.372</v>
      </c>
      <c r="H14" s="8">
        <v>180</v>
      </c>
      <c r="I14" s="8" t="s">
        <v>34</v>
      </c>
      <c r="J14" s="8"/>
      <c r="K14" s="8">
        <v>34</v>
      </c>
      <c r="L14" s="8">
        <f t="shared" si="1"/>
        <v>-20</v>
      </c>
      <c r="M14" s="8"/>
      <c r="N14" s="8"/>
      <c r="O14" s="8">
        <v>48</v>
      </c>
      <c r="P14" s="8">
        <v>48</v>
      </c>
      <c r="Q14" s="8">
        <f t="shared" si="2"/>
        <v>2.8</v>
      </c>
      <c r="R14" s="4"/>
      <c r="S14" s="4">
        <f t="shared" ref="S14:S17" si="7">U14</f>
        <v>70</v>
      </c>
      <c r="T14" s="4">
        <f>VLOOKUP(A14,заказ!A:B,2,0)</f>
        <v>72</v>
      </c>
      <c r="U14" s="16">
        <f>VLOOKUP(A14,[1]Sheet!$A:$S,19,0)</f>
        <v>70</v>
      </c>
      <c r="V14" s="8">
        <f t="shared" si="5"/>
        <v>86.428571428571431</v>
      </c>
      <c r="W14" s="8">
        <f t="shared" si="3"/>
        <v>61.428571428571431</v>
      </c>
      <c r="X14" s="8">
        <v>4.5999999999999996</v>
      </c>
      <c r="Y14" s="8">
        <v>6</v>
      </c>
      <c r="Z14" s="8"/>
      <c r="AA14" s="8">
        <f t="shared" si="6"/>
        <v>26.04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A15" s="8" t="s">
        <v>41</v>
      </c>
      <c r="B15" s="8" t="s">
        <v>28</v>
      </c>
      <c r="C15" s="8">
        <v>-2</v>
      </c>
      <c r="D15" s="8">
        <v>98</v>
      </c>
      <c r="E15" s="8">
        <v>30</v>
      </c>
      <c r="F15" s="8">
        <v>60</v>
      </c>
      <c r="G15" s="6">
        <v>0.74399999999999999</v>
      </c>
      <c r="H15" s="8">
        <v>180</v>
      </c>
      <c r="I15" s="8" t="s">
        <v>34</v>
      </c>
      <c r="J15" s="8"/>
      <c r="K15" s="8">
        <v>38</v>
      </c>
      <c r="L15" s="8">
        <f t="shared" si="1"/>
        <v>-8</v>
      </c>
      <c r="M15" s="8"/>
      <c r="N15" s="8"/>
      <c r="O15" s="8">
        <v>48</v>
      </c>
      <c r="P15" s="8">
        <v>48</v>
      </c>
      <c r="Q15" s="8">
        <f t="shared" si="2"/>
        <v>6</v>
      </c>
      <c r="R15" s="4"/>
      <c r="S15" s="4">
        <f t="shared" si="7"/>
        <v>70</v>
      </c>
      <c r="T15" s="4">
        <f>VLOOKUP(A15,заказ!A:B,2,0)</f>
        <v>72</v>
      </c>
      <c r="U15" s="16">
        <f>VLOOKUP(A15,[1]Sheet!$A:$S,19,0)</f>
        <v>70</v>
      </c>
      <c r="V15" s="8">
        <f t="shared" si="5"/>
        <v>37.666666666666664</v>
      </c>
      <c r="W15" s="8">
        <f t="shared" si="3"/>
        <v>26</v>
      </c>
      <c r="X15" s="8">
        <v>1</v>
      </c>
      <c r="Y15" s="8">
        <v>3.6</v>
      </c>
      <c r="Z15" s="8"/>
      <c r="AA15" s="8">
        <f t="shared" si="6"/>
        <v>52.08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A16" s="8" t="s">
        <v>42</v>
      </c>
      <c r="B16" s="8" t="s">
        <v>28</v>
      </c>
      <c r="C16" s="8">
        <v>-2</v>
      </c>
      <c r="D16" s="8">
        <v>182</v>
      </c>
      <c r="E16" s="8">
        <v>28</v>
      </c>
      <c r="F16" s="8">
        <v>132</v>
      </c>
      <c r="G16" s="6">
        <v>0.372</v>
      </c>
      <c r="H16" s="8">
        <v>180</v>
      </c>
      <c r="I16" s="8" t="s">
        <v>34</v>
      </c>
      <c r="J16" s="8"/>
      <c r="K16" s="8">
        <v>44</v>
      </c>
      <c r="L16" s="8">
        <f t="shared" si="1"/>
        <v>-16</v>
      </c>
      <c r="M16" s="8"/>
      <c r="N16" s="8"/>
      <c r="O16" s="8">
        <v>24</v>
      </c>
      <c r="P16" s="8">
        <v>48</v>
      </c>
      <c r="Q16" s="8">
        <f t="shared" si="2"/>
        <v>5.6</v>
      </c>
      <c r="R16" s="4"/>
      <c r="S16" s="4">
        <f t="shared" si="7"/>
        <v>70</v>
      </c>
      <c r="T16" s="4">
        <f>VLOOKUP(A16,заказ!A:B,2,0)</f>
        <v>72</v>
      </c>
      <c r="U16" s="16">
        <f>VLOOKUP(A16,[1]Sheet!$A:$S,19,0)</f>
        <v>70</v>
      </c>
      <c r="V16" s="8">
        <f t="shared" si="5"/>
        <v>48.928571428571431</v>
      </c>
      <c r="W16" s="8">
        <f t="shared" si="3"/>
        <v>36.428571428571431</v>
      </c>
      <c r="X16" s="8">
        <v>0.8</v>
      </c>
      <c r="Y16" s="8">
        <v>2</v>
      </c>
      <c r="Z16" s="8"/>
      <c r="AA16" s="8">
        <f t="shared" si="6"/>
        <v>26.04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x14ac:dyDescent="0.25">
      <c r="A17" s="8" t="s">
        <v>43</v>
      </c>
      <c r="B17" s="8" t="s">
        <v>28</v>
      </c>
      <c r="C17" s="8"/>
      <c r="D17" s="8">
        <v>147</v>
      </c>
      <c r="E17" s="8">
        <v>39</v>
      </c>
      <c r="F17" s="8">
        <v>85</v>
      </c>
      <c r="G17" s="6">
        <v>0.74399999999999999</v>
      </c>
      <c r="H17" s="8">
        <v>180</v>
      </c>
      <c r="I17" s="8" t="s">
        <v>34</v>
      </c>
      <c r="J17" s="8"/>
      <c r="K17" s="8">
        <v>61</v>
      </c>
      <c r="L17" s="8">
        <f t="shared" si="1"/>
        <v>-22</v>
      </c>
      <c r="M17" s="8"/>
      <c r="N17" s="8"/>
      <c r="O17" s="8"/>
      <c r="P17" s="8">
        <v>48</v>
      </c>
      <c r="Q17" s="8">
        <f t="shared" si="2"/>
        <v>7.8</v>
      </c>
      <c r="R17" s="4"/>
      <c r="S17" s="4">
        <f t="shared" si="7"/>
        <v>70</v>
      </c>
      <c r="T17" s="4">
        <f>VLOOKUP(A17,заказ!A:B,2,0)</f>
        <v>72</v>
      </c>
      <c r="U17" s="16">
        <f>VLOOKUP(A17,[1]Sheet!$A:$S,19,0)</f>
        <v>70</v>
      </c>
      <c r="V17" s="8">
        <f t="shared" si="5"/>
        <v>26.025641025641026</v>
      </c>
      <c r="W17" s="8">
        <f t="shared" si="3"/>
        <v>17.051282051282051</v>
      </c>
      <c r="X17" s="8">
        <v>0</v>
      </c>
      <c r="Y17" s="8">
        <v>0</v>
      </c>
      <c r="Z17" s="8"/>
      <c r="AA17" s="8">
        <f t="shared" si="6"/>
        <v>52.08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x14ac:dyDescent="0.25">
      <c r="A18" s="8" t="s">
        <v>44</v>
      </c>
      <c r="B18" s="8" t="s">
        <v>28</v>
      </c>
      <c r="C18" s="8"/>
      <c r="D18" s="8">
        <v>16</v>
      </c>
      <c r="E18" s="8">
        <v>2</v>
      </c>
      <c r="F18" s="8">
        <v>14</v>
      </c>
      <c r="G18" s="6">
        <v>0.14000000000000001</v>
      </c>
      <c r="H18" s="8">
        <v>180</v>
      </c>
      <c r="I18" s="8"/>
      <c r="J18" s="8"/>
      <c r="K18" s="8">
        <v>2</v>
      </c>
      <c r="L18" s="8">
        <f t="shared" si="1"/>
        <v>0</v>
      </c>
      <c r="M18" s="8"/>
      <c r="N18" s="8"/>
      <c r="O18" s="8">
        <v>16</v>
      </c>
      <c r="P18" s="8">
        <v>32</v>
      </c>
      <c r="Q18" s="8">
        <f t="shared" si="2"/>
        <v>0.4</v>
      </c>
      <c r="R18" s="4"/>
      <c r="S18" s="4">
        <f t="shared" si="4"/>
        <v>0</v>
      </c>
      <c r="T18" s="4"/>
      <c r="U18" s="16"/>
      <c r="V18" s="8">
        <f t="shared" si="5"/>
        <v>155</v>
      </c>
      <c r="W18" s="8">
        <f t="shared" si="3"/>
        <v>155</v>
      </c>
      <c r="X18" s="8">
        <v>0</v>
      </c>
      <c r="Y18" s="8">
        <v>0</v>
      </c>
      <c r="Z18" s="8"/>
      <c r="AA18" s="8">
        <f t="shared" si="6"/>
        <v>0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x14ac:dyDescent="0.25">
      <c r="A19" s="8" t="s">
        <v>45</v>
      </c>
      <c r="B19" s="8" t="s">
        <v>28</v>
      </c>
      <c r="C19" s="8"/>
      <c r="D19" s="8">
        <v>17</v>
      </c>
      <c r="E19" s="8">
        <v>6</v>
      </c>
      <c r="F19" s="8">
        <v>10</v>
      </c>
      <c r="G19" s="6">
        <v>0.18</v>
      </c>
      <c r="H19" s="8">
        <v>270</v>
      </c>
      <c r="I19" s="8" t="s">
        <v>34</v>
      </c>
      <c r="J19" s="8"/>
      <c r="K19" s="8">
        <v>10</v>
      </c>
      <c r="L19" s="8">
        <f t="shared" si="1"/>
        <v>-4</v>
      </c>
      <c r="M19" s="8"/>
      <c r="N19" s="8"/>
      <c r="O19" s="8">
        <v>16</v>
      </c>
      <c r="P19" s="8">
        <v>32</v>
      </c>
      <c r="Q19" s="8">
        <f t="shared" si="2"/>
        <v>1.2</v>
      </c>
      <c r="R19" s="4"/>
      <c r="S19" s="4">
        <f t="shared" si="4"/>
        <v>0</v>
      </c>
      <c r="T19" s="4"/>
      <c r="U19" s="16"/>
      <c r="V19" s="8">
        <f t="shared" si="5"/>
        <v>48.333333333333336</v>
      </c>
      <c r="W19" s="8">
        <f t="shared" si="3"/>
        <v>48.333333333333336</v>
      </c>
      <c r="X19" s="8">
        <v>0</v>
      </c>
      <c r="Y19" s="8">
        <v>0</v>
      </c>
      <c r="Z19" s="8"/>
      <c r="AA19" s="8">
        <f t="shared" si="6"/>
        <v>0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x14ac:dyDescent="0.25">
      <c r="A20" s="8" t="s">
        <v>46</v>
      </c>
      <c r="B20" s="8" t="s">
        <v>28</v>
      </c>
      <c r="C20" s="8"/>
      <c r="D20" s="8">
        <v>17</v>
      </c>
      <c r="E20" s="8">
        <v>6</v>
      </c>
      <c r="F20" s="8">
        <v>10</v>
      </c>
      <c r="G20" s="6">
        <v>0.18</v>
      </c>
      <c r="H20" s="8">
        <v>270</v>
      </c>
      <c r="I20" s="8" t="s">
        <v>34</v>
      </c>
      <c r="J20" s="8"/>
      <c r="K20" s="8">
        <v>12</v>
      </c>
      <c r="L20" s="8">
        <f t="shared" si="1"/>
        <v>-6</v>
      </c>
      <c r="M20" s="8"/>
      <c r="N20" s="8"/>
      <c r="O20" s="8">
        <v>16</v>
      </c>
      <c r="P20" s="8">
        <v>32</v>
      </c>
      <c r="Q20" s="8">
        <f t="shared" si="2"/>
        <v>1.2</v>
      </c>
      <c r="R20" s="4"/>
      <c r="S20" s="4">
        <f t="shared" si="4"/>
        <v>0</v>
      </c>
      <c r="T20" s="4"/>
      <c r="U20" s="16"/>
      <c r="V20" s="8">
        <f t="shared" si="5"/>
        <v>48.333333333333336</v>
      </c>
      <c r="W20" s="8">
        <f t="shared" si="3"/>
        <v>48.333333333333336</v>
      </c>
      <c r="X20" s="8">
        <v>0</v>
      </c>
      <c r="Y20" s="8">
        <v>0</v>
      </c>
      <c r="Z20" s="8"/>
      <c r="AA20" s="8">
        <f t="shared" si="6"/>
        <v>0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x14ac:dyDescent="0.25">
      <c r="A21" s="8" t="s">
        <v>47</v>
      </c>
      <c r="B21" s="8" t="s">
        <v>28</v>
      </c>
      <c r="C21" s="8"/>
      <c r="D21" s="8"/>
      <c r="E21" s="8"/>
      <c r="F21" s="8"/>
      <c r="G21" s="6">
        <v>0.1</v>
      </c>
      <c r="H21" s="8">
        <v>60</v>
      </c>
      <c r="I21" s="8"/>
      <c r="J21" s="8"/>
      <c r="K21" s="8">
        <v>5</v>
      </c>
      <c r="L21" s="8">
        <f t="shared" si="1"/>
        <v>-5</v>
      </c>
      <c r="M21" s="8"/>
      <c r="N21" s="8"/>
      <c r="O21" s="8">
        <v>80</v>
      </c>
      <c r="P21" s="8"/>
      <c r="Q21" s="8">
        <f t="shared" si="2"/>
        <v>0</v>
      </c>
      <c r="R21" s="4"/>
      <c r="S21" s="4">
        <f t="shared" si="4"/>
        <v>0</v>
      </c>
      <c r="T21" s="4"/>
      <c r="U21" s="16"/>
      <c r="V21" s="8" t="e">
        <f t="shared" si="5"/>
        <v>#DIV/0!</v>
      </c>
      <c r="W21" s="8" t="e">
        <f t="shared" si="3"/>
        <v>#DIV/0!</v>
      </c>
      <c r="X21" s="8">
        <v>0</v>
      </c>
      <c r="Y21" s="8">
        <v>0</v>
      </c>
      <c r="Z21" s="8"/>
      <c r="AA21" s="8">
        <f t="shared" si="6"/>
        <v>0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x14ac:dyDescent="0.25">
      <c r="A22" s="8" t="s">
        <v>48</v>
      </c>
      <c r="B22" s="8" t="s">
        <v>28</v>
      </c>
      <c r="C22" s="8"/>
      <c r="D22" s="8">
        <v>515</v>
      </c>
      <c r="E22" s="8">
        <v>56</v>
      </c>
      <c r="F22" s="8">
        <v>446</v>
      </c>
      <c r="G22" s="6">
        <v>0.18</v>
      </c>
      <c r="H22" s="8">
        <v>180</v>
      </c>
      <c r="I22" s="8" t="s">
        <v>34</v>
      </c>
      <c r="J22" s="8"/>
      <c r="K22" s="8">
        <v>73</v>
      </c>
      <c r="L22" s="8">
        <f t="shared" si="1"/>
        <v>-17</v>
      </c>
      <c r="M22" s="8"/>
      <c r="N22" s="8"/>
      <c r="O22" s="8">
        <v>300</v>
      </c>
      <c r="P22" s="8">
        <v>200</v>
      </c>
      <c r="Q22" s="8">
        <f t="shared" si="2"/>
        <v>11.2</v>
      </c>
      <c r="R22" s="4"/>
      <c r="S22" s="4">
        <f t="shared" si="4"/>
        <v>0</v>
      </c>
      <c r="T22" s="4"/>
      <c r="U22" s="16"/>
      <c r="V22" s="8">
        <f t="shared" si="5"/>
        <v>84.464285714285722</v>
      </c>
      <c r="W22" s="8">
        <f t="shared" si="3"/>
        <v>84.464285714285722</v>
      </c>
      <c r="X22" s="8">
        <v>0</v>
      </c>
      <c r="Y22" s="8">
        <v>0</v>
      </c>
      <c r="Z22" s="8"/>
      <c r="AA22" s="8">
        <f t="shared" si="6"/>
        <v>0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x14ac:dyDescent="0.25">
      <c r="A23" s="8" t="s">
        <v>49</v>
      </c>
      <c r="B23" s="8" t="s">
        <v>28</v>
      </c>
      <c r="C23" s="8"/>
      <c r="D23" s="8">
        <v>163</v>
      </c>
      <c r="E23" s="8">
        <v>48</v>
      </c>
      <c r="F23" s="8">
        <v>102</v>
      </c>
      <c r="G23" s="6">
        <v>0.18</v>
      </c>
      <c r="H23" s="8">
        <v>180</v>
      </c>
      <c r="I23" s="8" t="s">
        <v>34</v>
      </c>
      <c r="J23" s="8"/>
      <c r="K23" s="8">
        <v>63</v>
      </c>
      <c r="L23" s="8">
        <f t="shared" si="1"/>
        <v>-15</v>
      </c>
      <c r="M23" s="8"/>
      <c r="N23" s="8"/>
      <c r="O23" s="8">
        <v>300</v>
      </c>
      <c r="P23" s="8">
        <v>200</v>
      </c>
      <c r="Q23" s="8">
        <f t="shared" si="2"/>
        <v>9.6</v>
      </c>
      <c r="R23" s="4"/>
      <c r="S23" s="4">
        <f t="shared" si="4"/>
        <v>0</v>
      </c>
      <c r="T23" s="4"/>
      <c r="U23" s="16"/>
      <c r="V23" s="8">
        <f t="shared" si="5"/>
        <v>62.708333333333336</v>
      </c>
      <c r="W23" s="8">
        <f t="shared" si="3"/>
        <v>62.708333333333336</v>
      </c>
      <c r="X23" s="8">
        <v>0</v>
      </c>
      <c r="Y23" s="8">
        <v>0</v>
      </c>
      <c r="Z23" s="8"/>
      <c r="AA23" s="8">
        <f t="shared" si="6"/>
        <v>0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x14ac:dyDescent="0.25">
      <c r="A24" s="8" t="s">
        <v>50</v>
      </c>
      <c r="B24" s="8" t="s">
        <v>28</v>
      </c>
      <c r="C24" s="8">
        <v>16</v>
      </c>
      <c r="D24" s="8">
        <v>14</v>
      </c>
      <c r="E24" s="8">
        <v>2</v>
      </c>
      <c r="F24" s="8">
        <v>22</v>
      </c>
      <c r="G24" s="6">
        <v>0.4</v>
      </c>
      <c r="H24" s="8">
        <v>270</v>
      </c>
      <c r="I24" s="8" t="s">
        <v>34</v>
      </c>
      <c r="J24" s="8"/>
      <c r="K24" s="8">
        <v>2</v>
      </c>
      <c r="L24" s="8">
        <f t="shared" si="1"/>
        <v>0</v>
      </c>
      <c r="M24" s="8"/>
      <c r="N24" s="8"/>
      <c r="O24" s="8">
        <v>8</v>
      </c>
      <c r="P24" s="8"/>
      <c r="Q24" s="8">
        <f t="shared" si="2"/>
        <v>0.4</v>
      </c>
      <c r="R24" s="4"/>
      <c r="S24" s="4">
        <f t="shared" si="4"/>
        <v>0</v>
      </c>
      <c r="T24" s="4"/>
      <c r="U24" s="16"/>
      <c r="V24" s="8">
        <f t="shared" si="5"/>
        <v>75</v>
      </c>
      <c r="W24" s="8">
        <f t="shared" si="3"/>
        <v>75</v>
      </c>
      <c r="X24" s="8">
        <v>0</v>
      </c>
      <c r="Y24" s="8">
        <v>0</v>
      </c>
      <c r="Z24" s="15" t="s">
        <v>51</v>
      </c>
      <c r="AA24" s="8">
        <f t="shared" si="6"/>
        <v>0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x14ac:dyDescent="0.25">
      <c r="A25" s="8" t="s">
        <v>52</v>
      </c>
      <c r="B25" s="8" t="s">
        <v>28</v>
      </c>
      <c r="C25" s="8"/>
      <c r="D25" s="8">
        <v>28</v>
      </c>
      <c r="E25" s="8"/>
      <c r="F25" s="8">
        <v>28</v>
      </c>
      <c r="G25" s="6">
        <v>0.4</v>
      </c>
      <c r="H25" s="8">
        <v>270</v>
      </c>
      <c r="I25" s="8" t="s">
        <v>34</v>
      </c>
      <c r="J25" s="8"/>
      <c r="K25" s="8"/>
      <c r="L25" s="8">
        <f t="shared" si="1"/>
        <v>0</v>
      </c>
      <c r="M25" s="8"/>
      <c r="N25" s="8"/>
      <c r="O25" s="8"/>
      <c r="P25" s="8">
        <v>28</v>
      </c>
      <c r="Q25" s="8">
        <f t="shared" si="2"/>
        <v>0</v>
      </c>
      <c r="R25" s="4"/>
      <c r="S25" s="4">
        <f t="shared" si="4"/>
        <v>0</v>
      </c>
      <c r="T25" s="4"/>
      <c r="U25" s="16"/>
      <c r="V25" s="8" t="e">
        <f t="shared" si="5"/>
        <v>#DIV/0!</v>
      </c>
      <c r="W25" s="8" t="e">
        <f t="shared" si="3"/>
        <v>#DIV/0!</v>
      </c>
      <c r="X25" s="8">
        <v>0</v>
      </c>
      <c r="Y25" s="8">
        <v>0</v>
      </c>
      <c r="Z25" s="8"/>
      <c r="AA25" s="8">
        <f t="shared" si="6"/>
        <v>0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x14ac:dyDescent="0.25">
      <c r="A26" s="8" t="s">
        <v>53</v>
      </c>
      <c r="B26" s="8" t="s">
        <v>28</v>
      </c>
      <c r="C26" s="8">
        <v>32</v>
      </c>
      <c r="D26" s="8"/>
      <c r="E26" s="8"/>
      <c r="F26" s="8">
        <v>32</v>
      </c>
      <c r="G26" s="6">
        <v>0.18</v>
      </c>
      <c r="H26" s="8">
        <v>270</v>
      </c>
      <c r="I26" s="8" t="s">
        <v>34</v>
      </c>
      <c r="J26" s="8"/>
      <c r="K26" s="8"/>
      <c r="L26" s="8">
        <f t="shared" si="1"/>
        <v>0</v>
      </c>
      <c r="M26" s="8"/>
      <c r="N26" s="8"/>
      <c r="O26" s="8"/>
      <c r="P26" s="8"/>
      <c r="Q26" s="8">
        <f t="shared" si="2"/>
        <v>0</v>
      </c>
      <c r="R26" s="4"/>
      <c r="S26" s="4">
        <f t="shared" si="4"/>
        <v>0</v>
      </c>
      <c r="T26" s="4"/>
      <c r="U26" s="16"/>
      <c r="V26" s="8" t="e">
        <f t="shared" si="5"/>
        <v>#DIV/0!</v>
      </c>
      <c r="W26" s="8" t="e">
        <f t="shared" si="3"/>
        <v>#DIV/0!</v>
      </c>
      <c r="X26" s="8">
        <v>0</v>
      </c>
      <c r="Y26" s="8">
        <v>0</v>
      </c>
      <c r="Z26" s="15" t="s">
        <v>51</v>
      </c>
      <c r="AA26" s="8">
        <f t="shared" si="6"/>
        <v>0</v>
      </c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x14ac:dyDescent="0.25">
      <c r="A27" s="8" t="s">
        <v>54</v>
      </c>
      <c r="B27" s="8" t="s">
        <v>28</v>
      </c>
      <c r="C27" s="8"/>
      <c r="D27" s="8">
        <v>24</v>
      </c>
      <c r="E27" s="8"/>
      <c r="F27" s="8">
        <v>24</v>
      </c>
      <c r="G27" s="6">
        <v>0.2</v>
      </c>
      <c r="H27" s="8">
        <v>120</v>
      </c>
      <c r="I27" s="8"/>
      <c r="J27" s="8"/>
      <c r="K27" s="8"/>
      <c r="L27" s="8">
        <f t="shared" si="1"/>
        <v>0</v>
      </c>
      <c r="M27" s="8"/>
      <c r="N27" s="8"/>
      <c r="O27" s="8">
        <v>48</v>
      </c>
      <c r="P27" s="8">
        <v>48</v>
      </c>
      <c r="Q27" s="8">
        <f t="shared" si="2"/>
        <v>0</v>
      </c>
      <c r="R27" s="4"/>
      <c r="S27" s="4">
        <f t="shared" si="4"/>
        <v>0</v>
      </c>
      <c r="T27" s="4"/>
      <c r="U27" s="16"/>
      <c r="V27" s="8" t="e">
        <f t="shared" si="5"/>
        <v>#DIV/0!</v>
      </c>
      <c r="W27" s="8" t="e">
        <f t="shared" si="3"/>
        <v>#DIV/0!</v>
      </c>
      <c r="X27" s="8">
        <v>0</v>
      </c>
      <c r="Y27" s="8">
        <v>0</v>
      </c>
      <c r="Z27" s="8"/>
      <c r="AA27" s="8">
        <f t="shared" si="6"/>
        <v>0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8" t="s">
        <v>55</v>
      </c>
      <c r="B28" s="8" t="s">
        <v>33</v>
      </c>
      <c r="C28" s="8"/>
      <c r="D28" s="8"/>
      <c r="E28" s="8"/>
      <c r="F28" s="8"/>
      <c r="G28" s="6">
        <v>1</v>
      </c>
      <c r="H28" s="8">
        <v>180</v>
      </c>
      <c r="I28" s="8" t="s">
        <v>34</v>
      </c>
      <c r="J28" s="8"/>
      <c r="K28" s="8"/>
      <c r="L28" s="8">
        <f t="shared" si="1"/>
        <v>0</v>
      </c>
      <c r="M28" s="8"/>
      <c r="N28" s="8"/>
      <c r="O28" s="8">
        <v>40</v>
      </c>
      <c r="P28" s="8">
        <v>20</v>
      </c>
      <c r="Q28" s="8">
        <f t="shared" si="2"/>
        <v>0</v>
      </c>
      <c r="R28" s="4"/>
      <c r="S28" s="4">
        <f t="shared" si="4"/>
        <v>0</v>
      </c>
      <c r="T28" s="4"/>
      <c r="U28" s="16"/>
      <c r="V28" s="8" t="e">
        <f t="shared" si="5"/>
        <v>#DIV/0!</v>
      </c>
      <c r="W28" s="8" t="e">
        <f t="shared" si="3"/>
        <v>#DIV/0!</v>
      </c>
      <c r="X28" s="8">
        <v>0</v>
      </c>
      <c r="Y28" s="8">
        <v>0</v>
      </c>
      <c r="Z28" s="8"/>
      <c r="AA28" s="8">
        <f t="shared" si="6"/>
        <v>0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x14ac:dyDescent="0.25">
      <c r="A29" s="8" t="s">
        <v>56</v>
      </c>
      <c r="B29" s="8" t="s">
        <v>33</v>
      </c>
      <c r="C29" s="8"/>
      <c r="D29" s="8">
        <v>19.184999999999999</v>
      </c>
      <c r="E29" s="8"/>
      <c r="F29" s="8">
        <v>19.184999999999999</v>
      </c>
      <c r="G29" s="6">
        <v>1</v>
      </c>
      <c r="H29" s="8">
        <v>180</v>
      </c>
      <c r="I29" s="8" t="s">
        <v>34</v>
      </c>
      <c r="J29" s="8"/>
      <c r="K29" s="8"/>
      <c r="L29" s="8">
        <f t="shared" si="1"/>
        <v>0</v>
      </c>
      <c r="M29" s="8"/>
      <c r="N29" s="8"/>
      <c r="O29" s="8">
        <v>20</v>
      </c>
      <c r="P29" s="8">
        <v>20</v>
      </c>
      <c r="Q29" s="8">
        <f t="shared" si="2"/>
        <v>0</v>
      </c>
      <c r="R29" s="4"/>
      <c r="S29" s="4">
        <f t="shared" si="4"/>
        <v>0</v>
      </c>
      <c r="T29" s="4"/>
      <c r="U29" s="16"/>
      <c r="V29" s="8" t="e">
        <f t="shared" si="5"/>
        <v>#DIV/0!</v>
      </c>
      <c r="W29" s="8" t="e">
        <f t="shared" si="3"/>
        <v>#DIV/0!</v>
      </c>
      <c r="X29" s="8">
        <v>0</v>
      </c>
      <c r="Y29" s="8">
        <v>0</v>
      </c>
      <c r="Z29" s="8"/>
      <c r="AA29" s="8">
        <f t="shared" si="6"/>
        <v>0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8" t="s">
        <v>57</v>
      </c>
      <c r="B30" s="8" t="s">
        <v>28</v>
      </c>
      <c r="C30" s="8"/>
      <c r="D30" s="8">
        <v>108</v>
      </c>
      <c r="E30" s="8">
        <v>26</v>
      </c>
      <c r="F30" s="8">
        <v>76</v>
      </c>
      <c r="G30" s="6">
        <v>0.18</v>
      </c>
      <c r="H30" s="8">
        <v>150</v>
      </c>
      <c r="I30" s="8" t="s">
        <v>34</v>
      </c>
      <c r="J30" s="8"/>
      <c r="K30" s="8">
        <v>26</v>
      </c>
      <c r="L30" s="8">
        <f t="shared" si="1"/>
        <v>0</v>
      </c>
      <c r="M30" s="8"/>
      <c r="N30" s="8"/>
      <c r="O30" s="8"/>
      <c r="P30" s="8">
        <v>48</v>
      </c>
      <c r="Q30" s="8">
        <f t="shared" si="2"/>
        <v>5.2</v>
      </c>
      <c r="R30" s="4"/>
      <c r="S30" s="4">
        <f t="shared" si="4"/>
        <v>0</v>
      </c>
      <c r="T30" s="4"/>
      <c r="U30" s="16"/>
      <c r="V30" s="8">
        <f t="shared" si="5"/>
        <v>23.846153846153847</v>
      </c>
      <c r="W30" s="8">
        <f t="shared" si="3"/>
        <v>23.846153846153847</v>
      </c>
      <c r="X30" s="8">
        <v>0</v>
      </c>
      <c r="Y30" s="8">
        <v>0</v>
      </c>
      <c r="Z30" s="8"/>
      <c r="AA30" s="8">
        <f t="shared" si="6"/>
        <v>0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8" t="s">
        <v>58</v>
      </c>
      <c r="B31" s="8" t="s">
        <v>28</v>
      </c>
      <c r="C31" s="8">
        <v>38</v>
      </c>
      <c r="D31" s="8">
        <v>16</v>
      </c>
      <c r="E31" s="8">
        <v>41</v>
      </c>
      <c r="F31" s="8">
        <v>5</v>
      </c>
      <c r="G31" s="6">
        <v>0.1</v>
      </c>
      <c r="H31" s="8">
        <v>90</v>
      </c>
      <c r="I31" s="8"/>
      <c r="J31" s="8"/>
      <c r="K31" s="8">
        <v>51</v>
      </c>
      <c r="L31" s="8">
        <f t="shared" si="1"/>
        <v>-10</v>
      </c>
      <c r="M31" s="8"/>
      <c r="N31" s="8"/>
      <c r="O31" s="8">
        <v>48</v>
      </c>
      <c r="P31" s="8">
        <v>200</v>
      </c>
      <c r="Q31" s="8">
        <f t="shared" si="2"/>
        <v>8.1999999999999993</v>
      </c>
      <c r="R31" s="4"/>
      <c r="S31" s="4">
        <f t="shared" si="4"/>
        <v>0</v>
      </c>
      <c r="T31" s="4"/>
      <c r="U31" s="16"/>
      <c r="V31" s="8">
        <f t="shared" si="5"/>
        <v>30.853658536585368</v>
      </c>
      <c r="W31" s="8">
        <f t="shared" si="3"/>
        <v>30.853658536585368</v>
      </c>
      <c r="X31" s="8">
        <v>12.8</v>
      </c>
      <c r="Y31" s="8">
        <v>3.6</v>
      </c>
      <c r="Z31" s="8"/>
      <c r="AA31" s="8">
        <f t="shared" si="6"/>
        <v>0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8" t="s">
        <v>59</v>
      </c>
      <c r="B32" s="8" t="s">
        <v>28</v>
      </c>
      <c r="C32" s="8"/>
      <c r="D32" s="8">
        <v>144</v>
      </c>
      <c r="E32" s="8">
        <v>51</v>
      </c>
      <c r="F32" s="8">
        <v>71</v>
      </c>
      <c r="G32" s="6">
        <v>0.1</v>
      </c>
      <c r="H32" s="8">
        <v>60</v>
      </c>
      <c r="I32" s="8"/>
      <c r="J32" s="8"/>
      <c r="K32" s="8">
        <v>70</v>
      </c>
      <c r="L32" s="8">
        <f t="shared" si="1"/>
        <v>-19</v>
      </c>
      <c r="M32" s="8"/>
      <c r="N32" s="8"/>
      <c r="O32" s="8">
        <v>16</v>
      </c>
      <c r="P32" s="8"/>
      <c r="Q32" s="8">
        <f t="shared" si="2"/>
        <v>10.199999999999999</v>
      </c>
      <c r="R32" s="4">
        <f t="shared" ref="R32:R35" si="8">17*Q32-P32-O32-F32</f>
        <v>86.399999999999977</v>
      </c>
      <c r="S32" s="4">
        <f t="shared" si="4"/>
        <v>86.399999999999977</v>
      </c>
      <c r="T32" s="4">
        <f>VLOOKUP(A32,заказ!A:B,2,0)</f>
        <v>88</v>
      </c>
      <c r="U32" s="16"/>
      <c r="V32" s="8">
        <f t="shared" si="5"/>
        <v>17</v>
      </c>
      <c r="W32" s="8">
        <f t="shared" si="3"/>
        <v>8.5294117647058822</v>
      </c>
      <c r="X32" s="8">
        <v>0</v>
      </c>
      <c r="Y32" s="8">
        <v>0</v>
      </c>
      <c r="Z32" s="8"/>
      <c r="AA32" s="8">
        <f t="shared" si="6"/>
        <v>8.6399999999999988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x14ac:dyDescent="0.25">
      <c r="A33" s="8" t="s">
        <v>60</v>
      </c>
      <c r="B33" s="8" t="s">
        <v>28</v>
      </c>
      <c r="C33" s="8"/>
      <c r="D33" s="8">
        <v>135</v>
      </c>
      <c r="E33" s="8">
        <v>18</v>
      </c>
      <c r="F33" s="8">
        <v>103</v>
      </c>
      <c r="G33" s="6">
        <v>0.1</v>
      </c>
      <c r="H33" s="8">
        <v>90</v>
      </c>
      <c r="I33" s="8"/>
      <c r="J33" s="8"/>
      <c r="K33" s="8">
        <v>29</v>
      </c>
      <c r="L33" s="8">
        <f t="shared" si="1"/>
        <v>-11</v>
      </c>
      <c r="M33" s="8"/>
      <c r="N33" s="8"/>
      <c r="O33" s="8">
        <v>16</v>
      </c>
      <c r="P33" s="8"/>
      <c r="Q33" s="8">
        <f t="shared" si="2"/>
        <v>3.6</v>
      </c>
      <c r="R33" s="4"/>
      <c r="S33" s="4">
        <f t="shared" si="4"/>
        <v>0</v>
      </c>
      <c r="T33" s="4"/>
      <c r="U33" s="16"/>
      <c r="V33" s="8">
        <f t="shared" si="5"/>
        <v>33.055555555555557</v>
      </c>
      <c r="W33" s="8">
        <f t="shared" si="3"/>
        <v>33.055555555555557</v>
      </c>
      <c r="X33" s="8">
        <v>0</v>
      </c>
      <c r="Y33" s="8">
        <v>0</v>
      </c>
      <c r="Z33" s="8"/>
      <c r="AA33" s="8">
        <f t="shared" si="6"/>
        <v>0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8" t="s">
        <v>61</v>
      </c>
      <c r="B34" s="8" t="s">
        <v>28</v>
      </c>
      <c r="C34" s="8"/>
      <c r="D34" s="8">
        <v>80</v>
      </c>
      <c r="E34" s="8">
        <v>21</v>
      </c>
      <c r="F34" s="8">
        <v>57</v>
      </c>
      <c r="G34" s="6">
        <v>0.18</v>
      </c>
      <c r="H34" s="8">
        <v>150</v>
      </c>
      <c r="I34" s="8" t="s">
        <v>34</v>
      </c>
      <c r="J34" s="8"/>
      <c r="K34" s="8">
        <v>23</v>
      </c>
      <c r="L34" s="8">
        <f t="shared" si="1"/>
        <v>-2</v>
      </c>
      <c r="M34" s="8"/>
      <c r="N34" s="8"/>
      <c r="O34" s="8">
        <v>20</v>
      </c>
      <c r="P34" s="8">
        <v>40</v>
      </c>
      <c r="Q34" s="8">
        <f t="shared" si="2"/>
        <v>4.2</v>
      </c>
      <c r="R34" s="4"/>
      <c r="S34" s="4">
        <f t="shared" ref="S34:S39" si="9">U34</f>
        <v>50</v>
      </c>
      <c r="T34" s="4">
        <f>VLOOKUP(A34,заказ!A:B,2,0)</f>
        <v>50</v>
      </c>
      <c r="U34" s="16">
        <f>VLOOKUP(A34,[1]Sheet!$A:$S,19,0)</f>
        <v>50</v>
      </c>
      <c r="V34" s="8">
        <f t="shared" si="5"/>
        <v>39.761904761904759</v>
      </c>
      <c r="W34" s="8">
        <f t="shared" si="3"/>
        <v>27.857142857142858</v>
      </c>
      <c r="X34" s="8">
        <v>0</v>
      </c>
      <c r="Y34" s="8">
        <v>0</v>
      </c>
      <c r="Z34" s="8"/>
      <c r="AA34" s="8">
        <f t="shared" si="6"/>
        <v>9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x14ac:dyDescent="0.25">
      <c r="A35" s="8" t="s">
        <v>62</v>
      </c>
      <c r="B35" s="8" t="s">
        <v>28</v>
      </c>
      <c r="C35" s="8"/>
      <c r="D35" s="8">
        <v>160</v>
      </c>
      <c r="E35" s="8">
        <v>75</v>
      </c>
      <c r="F35" s="8">
        <v>64</v>
      </c>
      <c r="G35" s="6">
        <v>0.18</v>
      </c>
      <c r="H35" s="8">
        <v>150</v>
      </c>
      <c r="I35" s="8" t="s">
        <v>34</v>
      </c>
      <c r="J35" s="8"/>
      <c r="K35" s="8">
        <v>99</v>
      </c>
      <c r="L35" s="8">
        <f t="shared" si="1"/>
        <v>-24</v>
      </c>
      <c r="M35" s="8"/>
      <c r="N35" s="8"/>
      <c r="O35" s="8">
        <v>30</v>
      </c>
      <c r="P35" s="8">
        <v>40</v>
      </c>
      <c r="Q35" s="8">
        <f t="shared" si="2"/>
        <v>15</v>
      </c>
      <c r="R35" s="4">
        <f t="shared" si="8"/>
        <v>121</v>
      </c>
      <c r="S35" s="4">
        <f t="shared" si="9"/>
        <v>200</v>
      </c>
      <c r="T35" s="4">
        <f>VLOOKUP(A35,заказ!A:B,2,0)</f>
        <v>200</v>
      </c>
      <c r="U35" s="16">
        <f>VLOOKUP(A35,[1]Sheet!$A:$S,19,0)</f>
        <v>200</v>
      </c>
      <c r="V35" s="8">
        <f t="shared" si="5"/>
        <v>22.266666666666666</v>
      </c>
      <c r="W35" s="8">
        <f t="shared" si="3"/>
        <v>8.9333333333333336</v>
      </c>
      <c r="X35" s="8">
        <v>0</v>
      </c>
      <c r="Y35" s="8">
        <v>0</v>
      </c>
      <c r="Z35" s="8"/>
      <c r="AA35" s="8">
        <f t="shared" si="6"/>
        <v>36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x14ac:dyDescent="0.25">
      <c r="A36" s="8" t="s">
        <v>63</v>
      </c>
      <c r="B36" s="8" t="s">
        <v>28</v>
      </c>
      <c r="C36" s="8"/>
      <c r="D36" s="8">
        <v>30</v>
      </c>
      <c r="E36" s="8">
        <v>12</v>
      </c>
      <c r="F36" s="8">
        <v>18</v>
      </c>
      <c r="G36" s="6">
        <v>0.18</v>
      </c>
      <c r="H36" s="8">
        <v>150</v>
      </c>
      <c r="I36" s="8" t="s">
        <v>34</v>
      </c>
      <c r="J36" s="8"/>
      <c r="K36" s="8">
        <v>12</v>
      </c>
      <c r="L36" s="8">
        <f t="shared" si="1"/>
        <v>0</v>
      </c>
      <c r="M36" s="8"/>
      <c r="N36" s="8"/>
      <c r="O36" s="8">
        <v>10</v>
      </c>
      <c r="P36" s="8">
        <v>40</v>
      </c>
      <c r="Q36" s="8">
        <f t="shared" si="2"/>
        <v>2.4</v>
      </c>
      <c r="R36" s="4"/>
      <c r="S36" s="4">
        <f t="shared" si="9"/>
        <v>50</v>
      </c>
      <c r="T36" s="4">
        <f>VLOOKUP(A36,заказ!A:B,2,0)</f>
        <v>50</v>
      </c>
      <c r="U36" s="16">
        <f>VLOOKUP(A36,[1]Sheet!$A:$S,19,0)</f>
        <v>50</v>
      </c>
      <c r="V36" s="8">
        <f t="shared" si="5"/>
        <v>49.166666666666671</v>
      </c>
      <c r="W36" s="8">
        <f t="shared" si="3"/>
        <v>28.333333333333336</v>
      </c>
      <c r="X36" s="8">
        <v>0</v>
      </c>
      <c r="Y36" s="8">
        <v>0</v>
      </c>
      <c r="Z36" s="8"/>
      <c r="AA36" s="8">
        <f t="shared" si="6"/>
        <v>9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 x14ac:dyDescent="0.25">
      <c r="A37" s="8" t="s">
        <v>64</v>
      </c>
      <c r="B37" s="8" t="s">
        <v>28</v>
      </c>
      <c r="C37" s="8"/>
      <c r="D37" s="8">
        <v>12</v>
      </c>
      <c r="E37" s="8">
        <v>9</v>
      </c>
      <c r="F37" s="8"/>
      <c r="G37" s="6">
        <v>0.18</v>
      </c>
      <c r="H37" s="8">
        <v>150</v>
      </c>
      <c r="I37" s="8" t="s">
        <v>34</v>
      </c>
      <c r="J37" s="8"/>
      <c r="K37" s="8">
        <v>17</v>
      </c>
      <c r="L37" s="8">
        <f t="shared" si="1"/>
        <v>-8</v>
      </c>
      <c r="M37" s="8"/>
      <c r="N37" s="8"/>
      <c r="O37" s="8">
        <v>30</v>
      </c>
      <c r="P37" s="8">
        <v>40</v>
      </c>
      <c r="Q37" s="8">
        <f t="shared" si="2"/>
        <v>1.8</v>
      </c>
      <c r="R37" s="4"/>
      <c r="S37" s="4">
        <f t="shared" si="9"/>
        <v>50</v>
      </c>
      <c r="T37" s="4">
        <f>VLOOKUP(A37,заказ!A:B,2,0)</f>
        <v>50</v>
      </c>
      <c r="U37" s="16">
        <f>VLOOKUP(A37,[1]Sheet!$A:$S,19,0)</f>
        <v>50</v>
      </c>
      <c r="V37" s="8">
        <f t="shared" si="5"/>
        <v>66.666666666666671</v>
      </c>
      <c r="W37" s="8">
        <f t="shared" si="3"/>
        <v>38.888888888888886</v>
      </c>
      <c r="X37" s="8">
        <v>0</v>
      </c>
      <c r="Y37" s="8">
        <v>0</v>
      </c>
      <c r="Z37" s="8"/>
      <c r="AA37" s="8">
        <f t="shared" si="6"/>
        <v>9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 x14ac:dyDescent="0.25">
      <c r="A38" s="8" t="s">
        <v>65</v>
      </c>
      <c r="B38" s="8" t="s">
        <v>28</v>
      </c>
      <c r="C38" s="8">
        <v>1</v>
      </c>
      <c r="D38" s="8">
        <v>171</v>
      </c>
      <c r="E38" s="8">
        <v>51</v>
      </c>
      <c r="F38" s="8">
        <v>88</v>
      </c>
      <c r="G38" s="6">
        <v>0.18</v>
      </c>
      <c r="H38" s="8">
        <v>150</v>
      </c>
      <c r="I38" s="8" t="s">
        <v>34</v>
      </c>
      <c r="J38" s="8"/>
      <c r="K38" s="8">
        <v>56</v>
      </c>
      <c r="L38" s="8">
        <f t="shared" ref="L38:L54" si="10">E38-K38</f>
        <v>-5</v>
      </c>
      <c r="M38" s="8"/>
      <c r="N38" s="8"/>
      <c r="O38" s="8">
        <v>80</v>
      </c>
      <c r="P38" s="8">
        <v>40</v>
      </c>
      <c r="Q38" s="8">
        <f t="shared" ref="Q38:Q54" si="11">E38/5</f>
        <v>10.199999999999999</v>
      </c>
      <c r="R38" s="4"/>
      <c r="S38" s="4">
        <f t="shared" si="9"/>
        <v>50</v>
      </c>
      <c r="T38" s="4">
        <f>VLOOKUP(A38,заказ!A:B,2,0)</f>
        <v>50</v>
      </c>
      <c r="U38" s="16">
        <f>VLOOKUP(A38,[1]Sheet!$A:$S,19,0)</f>
        <v>50</v>
      </c>
      <c r="V38" s="8">
        <f t="shared" si="5"/>
        <v>25.294117647058826</v>
      </c>
      <c r="W38" s="8">
        <f t="shared" ref="W38:W54" si="12">(F38+O38+P38)/Q38</f>
        <v>20.3921568627451</v>
      </c>
      <c r="X38" s="8">
        <v>3.6</v>
      </c>
      <c r="Y38" s="8">
        <v>4.8</v>
      </c>
      <c r="Z38" s="8"/>
      <c r="AA38" s="8">
        <f t="shared" si="6"/>
        <v>9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 x14ac:dyDescent="0.25">
      <c r="A39" s="8" t="s">
        <v>66</v>
      </c>
      <c r="B39" s="8" t="s">
        <v>28</v>
      </c>
      <c r="C39" s="8"/>
      <c r="D39" s="8">
        <v>51</v>
      </c>
      <c r="E39" s="8">
        <v>21</v>
      </c>
      <c r="F39" s="8">
        <v>28</v>
      </c>
      <c r="G39" s="6">
        <v>0.18</v>
      </c>
      <c r="H39" s="8">
        <v>150</v>
      </c>
      <c r="I39" s="8" t="s">
        <v>34</v>
      </c>
      <c r="J39" s="8"/>
      <c r="K39" s="8">
        <v>43</v>
      </c>
      <c r="L39" s="8">
        <f t="shared" si="10"/>
        <v>-22</v>
      </c>
      <c r="M39" s="8"/>
      <c r="N39" s="8"/>
      <c r="O39" s="8"/>
      <c r="P39" s="8">
        <v>40</v>
      </c>
      <c r="Q39" s="8">
        <f t="shared" si="11"/>
        <v>4.2</v>
      </c>
      <c r="R39" s="4">
        <v>8</v>
      </c>
      <c r="S39" s="4">
        <f t="shared" si="9"/>
        <v>50</v>
      </c>
      <c r="T39" s="4">
        <f>VLOOKUP(A39,заказ!A:B,2,0)</f>
        <v>50</v>
      </c>
      <c r="U39" s="16">
        <f>VLOOKUP(A39,[1]Sheet!$A:$S,19,0)</f>
        <v>50</v>
      </c>
      <c r="V39" s="8">
        <f t="shared" si="5"/>
        <v>28.095238095238095</v>
      </c>
      <c r="W39" s="8">
        <f t="shared" si="12"/>
        <v>16.19047619047619</v>
      </c>
      <c r="X39" s="8">
        <v>0</v>
      </c>
      <c r="Y39" s="8">
        <v>0</v>
      </c>
      <c r="Z39" s="8"/>
      <c r="AA39" s="8">
        <f t="shared" si="6"/>
        <v>9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8" t="s">
        <v>67</v>
      </c>
      <c r="B40" s="8" t="s">
        <v>28</v>
      </c>
      <c r="C40" s="8"/>
      <c r="D40" s="8">
        <v>8</v>
      </c>
      <c r="E40" s="8">
        <v>4</v>
      </c>
      <c r="F40" s="8">
        <v>3</v>
      </c>
      <c r="G40" s="6">
        <v>0.1</v>
      </c>
      <c r="H40" s="8">
        <v>60</v>
      </c>
      <c r="I40" s="8"/>
      <c r="J40" s="8"/>
      <c r="K40" s="8">
        <v>7</v>
      </c>
      <c r="L40" s="8">
        <f t="shared" si="10"/>
        <v>-3</v>
      </c>
      <c r="M40" s="8"/>
      <c r="N40" s="8"/>
      <c r="O40" s="8"/>
      <c r="P40" s="8">
        <v>48</v>
      </c>
      <c r="Q40" s="8">
        <f t="shared" si="11"/>
        <v>0.8</v>
      </c>
      <c r="R40" s="4"/>
      <c r="S40" s="4">
        <f t="shared" si="4"/>
        <v>0</v>
      </c>
      <c r="T40" s="4"/>
      <c r="U40" s="16"/>
      <c r="V40" s="8">
        <f t="shared" si="5"/>
        <v>63.75</v>
      </c>
      <c r="W40" s="8">
        <f t="shared" si="12"/>
        <v>63.75</v>
      </c>
      <c r="X40" s="8">
        <v>0</v>
      </c>
      <c r="Y40" s="8">
        <v>0</v>
      </c>
      <c r="Z40" s="8"/>
      <c r="AA40" s="8">
        <f t="shared" si="6"/>
        <v>0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 x14ac:dyDescent="0.25">
      <c r="A41" s="8" t="s">
        <v>68</v>
      </c>
      <c r="B41" s="8" t="s">
        <v>28</v>
      </c>
      <c r="C41" s="8"/>
      <c r="D41" s="8">
        <v>32</v>
      </c>
      <c r="E41" s="8">
        <v>4</v>
      </c>
      <c r="F41" s="8">
        <v>28</v>
      </c>
      <c r="G41" s="6">
        <v>0.14000000000000001</v>
      </c>
      <c r="H41" s="8">
        <v>180</v>
      </c>
      <c r="I41" s="8"/>
      <c r="J41" s="8"/>
      <c r="K41" s="8">
        <v>4</v>
      </c>
      <c r="L41" s="8">
        <f t="shared" si="10"/>
        <v>0</v>
      </c>
      <c r="M41" s="8"/>
      <c r="N41" s="8"/>
      <c r="O41" s="8"/>
      <c r="P41" s="8"/>
      <c r="Q41" s="8">
        <f t="shared" si="11"/>
        <v>0.8</v>
      </c>
      <c r="R41" s="4"/>
      <c r="S41" s="4">
        <f t="shared" si="4"/>
        <v>0</v>
      </c>
      <c r="T41" s="4"/>
      <c r="U41" s="16"/>
      <c r="V41" s="8">
        <f t="shared" si="5"/>
        <v>35</v>
      </c>
      <c r="W41" s="8">
        <f t="shared" si="12"/>
        <v>35</v>
      </c>
      <c r="X41" s="8">
        <v>0</v>
      </c>
      <c r="Y41" s="8">
        <v>0</v>
      </c>
      <c r="Z41" s="8"/>
      <c r="AA41" s="8">
        <f t="shared" si="6"/>
        <v>0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8" t="s">
        <v>69</v>
      </c>
      <c r="B42" s="8" t="s">
        <v>28</v>
      </c>
      <c r="C42" s="8"/>
      <c r="D42" s="8">
        <v>49</v>
      </c>
      <c r="E42" s="8">
        <v>8</v>
      </c>
      <c r="F42" s="8">
        <v>40</v>
      </c>
      <c r="G42" s="6">
        <v>0.18</v>
      </c>
      <c r="H42" s="8">
        <v>270</v>
      </c>
      <c r="I42" s="8" t="s">
        <v>34</v>
      </c>
      <c r="J42" s="8"/>
      <c r="K42" s="8">
        <v>10</v>
      </c>
      <c r="L42" s="8">
        <f t="shared" si="10"/>
        <v>-2</v>
      </c>
      <c r="M42" s="8"/>
      <c r="N42" s="8"/>
      <c r="O42" s="8">
        <v>80</v>
      </c>
      <c r="P42" s="8">
        <v>48</v>
      </c>
      <c r="Q42" s="8">
        <f t="shared" si="11"/>
        <v>1.6</v>
      </c>
      <c r="R42" s="4"/>
      <c r="S42" s="4">
        <f t="shared" si="4"/>
        <v>0</v>
      </c>
      <c r="T42" s="4"/>
      <c r="U42" s="16"/>
      <c r="V42" s="8">
        <f t="shared" si="5"/>
        <v>105</v>
      </c>
      <c r="W42" s="8">
        <f t="shared" si="12"/>
        <v>105</v>
      </c>
      <c r="X42" s="8">
        <v>0</v>
      </c>
      <c r="Y42" s="8">
        <v>0</v>
      </c>
      <c r="Z42" s="8"/>
      <c r="AA42" s="8">
        <f t="shared" si="6"/>
        <v>0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8" t="s">
        <v>70</v>
      </c>
      <c r="B43" s="8" t="s">
        <v>33</v>
      </c>
      <c r="C43" s="8">
        <v>31.271999999999998</v>
      </c>
      <c r="D43" s="8">
        <v>15.875999999999999</v>
      </c>
      <c r="E43" s="8">
        <v>3.4279999999999999</v>
      </c>
      <c r="F43" s="8">
        <v>43.72</v>
      </c>
      <c r="G43" s="6">
        <v>1</v>
      </c>
      <c r="H43" s="8">
        <v>180</v>
      </c>
      <c r="I43" s="8" t="s">
        <v>34</v>
      </c>
      <c r="J43" s="8"/>
      <c r="K43" s="8">
        <v>6</v>
      </c>
      <c r="L43" s="8">
        <f t="shared" si="10"/>
        <v>-2.5720000000000001</v>
      </c>
      <c r="M43" s="8"/>
      <c r="N43" s="8"/>
      <c r="O43" s="8">
        <v>16</v>
      </c>
      <c r="P43" s="8"/>
      <c r="Q43" s="8">
        <f t="shared" si="11"/>
        <v>0.68559999999999999</v>
      </c>
      <c r="R43" s="4"/>
      <c r="S43" s="4">
        <f t="shared" si="4"/>
        <v>0</v>
      </c>
      <c r="T43" s="4"/>
      <c r="U43" s="16"/>
      <c r="V43" s="8">
        <f t="shared" si="5"/>
        <v>87.106184364060681</v>
      </c>
      <c r="W43" s="8">
        <f t="shared" si="12"/>
        <v>87.106184364060681</v>
      </c>
      <c r="X43" s="8">
        <v>0</v>
      </c>
      <c r="Y43" s="8">
        <v>1.946</v>
      </c>
      <c r="Z43" s="14" t="s">
        <v>85</v>
      </c>
      <c r="AA43" s="8">
        <f t="shared" si="6"/>
        <v>0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 t="s">
        <v>71</v>
      </c>
      <c r="B44" s="8" t="s">
        <v>33</v>
      </c>
      <c r="C44" s="8"/>
      <c r="D44" s="8">
        <v>25.442</v>
      </c>
      <c r="E44" s="8">
        <v>3.2440000000000002</v>
      </c>
      <c r="F44" s="8">
        <v>15.694000000000001</v>
      </c>
      <c r="G44" s="6">
        <v>1</v>
      </c>
      <c r="H44" s="8">
        <v>180</v>
      </c>
      <c r="I44" s="8" t="s">
        <v>34</v>
      </c>
      <c r="J44" s="8"/>
      <c r="K44" s="8">
        <v>9</v>
      </c>
      <c r="L44" s="8">
        <f t="shared" si="10"/>
        <v>-5.7560000000000002</v>
      </c>
      <c r="M44" s="8"/>
      <c r="N44" s="8"/>
      <c r="O44" s="8">
        <v>33</v>
      </c>
      <c r="P44" s="8">
        <v>33</v>
      </c>
      <c r="Q44" s="8">
        <f t="shared" si="11"/>
        <v>0.64880000000000004</v>
      </c>
      <c r="R44" s="4"/>
      <c r="S44" s="4">
        <f t="shared" si="4"/>
        <v>0</v>
      </c>
      <c r="T44" s="4"/>
      <c r="U44" s="16"/>
      <c r="V44" s="8">
        <f t="shared" si="5"/>
        <v>125.91553637484587</v>
      </c>
      <c r="W44" s="8">
        <f t="shared" si="12"/>
        <v>125.91553637484587</v>
      </c>
      <c r="X44" s="8">
        <v>0</v>
      </c>
      <c r="Y44" s="8">
        <v>0</v>
      </c>
      <c r="Z44" s="8"/>
      <c r="AA44" s="8">
        <f t="shared" si="6"/>
        <v>0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9" t="s">
        <v>72</v>
      </c>
      <c r="B45" s="9" t="s">
        <v>33</v>
      </c>
      <c r="C45" s="9"/>
      <c r="D45" s="9">
        <v>3.92</v>
      </c>
      <c r="E45" s="12">
        <v>3.92</v>
      </c>
      <c r="F45" s="9"/>
      <c r="G45" s="10">
        <v>0</v>
      </c>
      <c r="H45" s="9"/>
      <c r="I45" s="9" t="s">
        <v>73</v>
      </c>
      <c r="J45" s="9" t="s">
        <v>32</v>
      </c>
      <c r="K45" s="9">
        <v>7.2</v>
      </c>
      <c r="L45" s="9">
        <f t="shared" si="10"/>
        <v>-3.2800000000000002</v>
      </c>
      <c r="M45" s="9"/>
      <c r="N45" s="9"/>
      <c r="O45" s="9"/>
      <c r="P45" s="9"/>
      <c r="Q45" s="9">
        <f t="shared" si="11"/>
        <v>0.78400000000000003</v>
      </c>
      <c r="R45" s="11"/>
      <c r="S45" s="4">
        <f t="shared" si="4"/>
        <v>0</v>
      </c>
      <c r="T45" s="4"/>
      <c r="U45" s="16"/>
      <c r="V45" s="8">
        <f t="shared" si="5"/>
        <v>0</v>
      </c>
      <c r="W45" s="9">
        <f t="shared" si="12"/>
        <v>0</v>
      </c>
      <c r="X45" s="9">
        <v>0</v>
      </c>
      <c r="Y45" s="9">
        <v>0</v>
      </c>
      <c r="Z45" s="9"/>
      <c r="AA45" s="8">
        <f t="shared" si="6"/>
        <v>0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8" t="s">
        <v>74</v>
      </c>
      <c r="B46" s="8" t="s">
        <v>33</v>
      </c>
      <c r="C46" s="8"/>
      <c r="D46" s="8">
        <v>101.702</v>
      </c>
      <c r="E46" s="8">
        <v>6.0419999999999998</v>
      </c>
      <c r="F46" s="8">
        <v>95.658000000000001</v>
      </c>
      <c r="G46" s="6">
        <v>1</v>
      </c>
      <c r="H46" s="8">
        <v>180</v>
      </c>
      <c r="I46" s="8" t="s">
        <v>34</v>
      </c>
      <c r="J46" s="8"/>
      <c r="K46" s="8">
        <v>6</v>
      </c>
      <c r="L46" s="8">
        <f t="shared" si="10"/>
        <v>4.1999999999999815E-2</v>
      </c>
      <c r="M46" s="8"/>
      <c r="N46" s="8"/>
      <c r="O46" s="8">
        <v>16</v>
      </c>
      <c r="P46" s="8"/>
      <c r="Q46" s="8">
        <f t="shared" si="11"/>
        <v>1.2083999999999999</v>
      </c>
      <c r="R46" s="4"/>
      <c r="S46" s="4">
        <f t="shared" si="4"/>
        <v>0</v>
      </c>
      <c r="T46" s="4"/>
      <c r="U46" s="16"/>
      <c r="V46" s="8">
        <f t="shared" si="5"/>
        <v>92.401522674611059</v>
      </c>
      <c r="W46" s="8">
        <f t="shared" si="12"/>
        <v>92.401522674611059</v>
      </c>
      <c r="X46" s="8">
        <v>0</v>
      </c>
      <c r="Y46" s="8">
        <v>0</v>
      </c>
      <c r="Z46" s="8"/>
      <c r="AA46" s="8">
        <f t="shared" si="6"/>
        <v>0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 t="s">
        <v>75</v>
      </c>
      <c r="B47" s="8" t="s">
        <v>33</v>
      </c>
      <c r="C47" s="8"/>
      <c r="D47" s="8">
        <v>16.318000000000001</v>
      </c>
      <c r="E47" s="8"/>
      <c r="F47" s="8">
        <v>16.318000000000001</v>
      </c>
      <c r="G47" s="6">
        <v>1</v>
      </c>
      <c r="H47" s="8">
        <v>180</v>
      </c>
      <c r="I47" s="8" t="s">
        <v>34</v>
      </c>
      <c r="J47" s="8"/>
      <c r="K47" s="8"/>
      <c r="L47" s="8">
        <f t="shared" si="10"/>
        <v>0</v>
      </c>
      <c r="M47" s="8"/>
      <c r="N47" s="8"/>
      <c r="O47" s="8">
        <v>33</v>
      </c>
      <c r="P47" s="8">
        <v>33</v>
      </c>
      <c r="Q47" s="8">
        <f t="shared" si="11"/>
        <v>0</v>
      </c>
      <c r="R47" s="4"/>
      <c r="S47" s="4">
        <f t="shared" si="4"/>
        <v>0</v>
      </c>
      <c r="T47" s="4"/>
      <c r="U47" s="16"/>
      <c r="V47" s="8" t="e">
        <f t="shared" si="5"/>
        <v>#DIV/0!</v>
      </c>
      <c r="W47" s="8" t="e">
        <f t="shared" si="12"/>
        <v>#DIV/0!</v>
      </c>
      <c r="X47" s="8">
        <v>0</v>
      </c>
      <c r="Y47" s="8">
        <v>0</v>
      </c>
      <c r="Z47" s="8"/>
      <c r="AA47" s="8">
        <f t="shared" si="6"/>
        <v>0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 t="s">
        <v>76</v>
      </c>
      <c r="B48" s="8" t="s">
        <v>28</v>
      </c>
      <c r="C48" s="8">
        <v>18</v>
      </c>
      <c r="D48" s="8">
        <v>306</v>
      </c>
      <c r="E48" s="8">
        <v>63</v>
      </c>
      <c r="F48" s="8">
        <v>237</v>
      </c>
      <c r="G48" s="6">
        <v>0.1</v>
      </c>
      <c r="H48" s="8">
        <v>60</v>
      </c>
      <c r="I48" s="8"/>
      <c r="J48" s="8"/>
      <c r="K48" s="8">
        <v>79</v>
      </c>
      <c r="L48" s="8">
        <f t="shared" si="10"/>
        <v>-16</v>
      </c>
      <c r="M48" s="8"/>
      <c r="N48" s="8"/>
      <c r="O48" s="8">
        <v>30</v>
      </c>
      <c r="P48" s="8">
        <v>78</v>
      </c>
      <c r="Q48" s="8">
        <f t="shared" si="11"/>
        <v>12.6</v>
      </c>
      <c r="R48" s="4"/>
      <c r="S48" s="4">
        <f t="shared" si="4"/>
        <v>0</v>
      </c>
      <c r="T48" s="4"/>
      <c r="U48" s="16"/>
      <c r="V48" s="8">
        <f t="shared" si="5"/>
        <v>27.380952380952383</v>
      </c>
      <c r="W48" s="8">
        <f t="shared" si="12"/>
        <v>27.380952380952383</v>
      </c>
      <c r="X48" s="8">
        <v>20.399999999999999</v>
      </c>
      <c r="Y48" s="8">
        <v>7.2</v>
      </c>
      <c r="Z48" s="8"/>
      <c r="AA48" s="8">
        <f t="shared" si="6"/>
        <v>0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 t="s">
        <v>77</v>
      </c>
      <c r="B49" s="8" t="s">
        <v>28</v>
      </c>
      <c r="C49" s="8">
        <v>1</v>
      </c>
      <c r="D49" s="8">
        <v>197</v>
      </c>
      <c r="E49" s="8">
        <v>74</v>
      </c>
      <c r="F49" s="8">
        <v>76</v>
      </c>
      <c r="G49" s="6">
        <v>0.1</v>
      </c>
      <c r="H49" s="8">
        <v>90</v>
      </c>
      <c r="I49" s="8"/>
      <c r="J49" s="8"/>
      <c r="K49" s="8">
        <v>99</v>
      </c>
      <c r="L49" s="8">
        <f t="shared" si="10"/>
        <v>-25</v>
      </c>
      <c r="M49" s="8"/>
      <c r="N49" s="8"/>
      <c r="O49" s="8">
        <v>120</v>
      </c>
      <c r="P49" s="8">
        <v>90</v>
      </c>
      <c r="Q49" s="8">
        <f t="shared" si="11"/>
        <v>14.8</v>
      </c>
      <c r="R49" s="4"/>
      <c r="S49" s="4">
        <f t="shared" si="4"/>
        <v>0</v>
      </c>
      <c r="T49" s="4"/>
      <c r="U49" s="16"/>
      <c r="V49" s="8">
        <f t="shared" si="5"/>
        <v>19.324324324324323</v>
      </c>
      <c r="W49" s="8">
        <f t="shared" si="12"/>
        <v>19.324324324324323</v>
      </c>
      <c r="X49" s="8">
        <v>19.399999999999999</v>
      </c>
      <c r="Y49" s="8">
        <v>11.4</v>
      </c>
      <c r="Z49" s="8"/>
      <c r="AA49" s="8">
        <f t="shared" si="6"/>
        <v>0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 t="s">
        <v>78</v>
      </c>
      <c r="B50" s="8" t="s">
        <v>28</v>
      </c>
      <c r="C50" s="8"/>
      <c r="D50" s="8">
        <v>16</v>
      </c>
      <c r="E50" s="8">
        <v>5</v>
      </c>
      <c r="F50" s="8">
        <v>11</v>
      </c>
      <c r="G50" s="6">
        <v>0.14000000000000001</v>
      </c>
      <c r="H50" s="8">
        <v>180</v>
      </c>
      <c r="I50" s="8"/>
      <c r="J50" s="8"/>
      <c r="K50" s="8">
        <v>12</v>
      </c>
      <c r="L50" s="8">
        <f t="shared" si="10"/>
        <v>-7</v>
      </c>
      <c r="M50" s="8"/>
      <c r="N50" s="8"/>
      <c r="O50" s="8">
        <v>48</v>
      </c>
      <c r="P50" s="8"/>
      <c r="Q50" s="8">
        <f t="shared" si="11"/>
        <v>1</v>
      </c>
      <c r="R50" s="4"/>
      <c r="S50" s="4">
        <f t="shared" si="4"/>
        <v>0</v>
      </c>
      <c r="T50" s="4"/>
      <c r="U50" s="16"/>
      <c r="V50" s="8">
        <f t="shared" si="5"/>
        <v>59</v>
      </c>
      <c r="W50" s="8">
        <f t="shared" si="12"/>
        <v>59</v>
      </c>
      <c r="X50" s="8">
        <v>0</v>
      </c>
      <c r="Y50" s="8">
        <v>0</v>
      </c>
      <c r="Z50" s="8"/>
      <c r="AA50" s="8">
        <f t="shared" si="6"/>
        <v>0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 t="s">
        <v>79</v>
      </c>
      <c r="B51" s="8" t="s">
        <v>28</v>
      </c>
      <c r="C51" s="8"/>
      <c r="D51" s="8">
        <v>10</v>
      </c>
      <c r="E51" s="8"/>
      <c r="F51" s="8"/>
      <c r="G51" s="6">
        <v>0.2</v>
      </c>
      <c r="H51" s="8">
        <v>120</v>
      </c>
      <c r="I51" s="8"/>
      <c r="J51" s="8"/>
      <c r="K51" s="8"/>
      <c r="L51" s="8">
        <f t="shared" si="10"/>
        <v>0</v>
      </c>
      <c r="M51" s="8"/>
      <c r="N51" s="8"/>
      <c r="O51" s="8">
        <v>70</v>
      </c>
      <c r="P51" s="8">
        <v>40</v>
      </c>
      <c r="Q51" s="8">
        <f t="shared" si="11"/>
        <v>0</v>
      </c>
      <c r="R51" s="4"/>
      <c r="S51" s="4">
        <f t="shared" si="4"/>
        <v>0</v>
      </c>
      <c r="T51" s="4"/>
      <c r="U51" s="16"/>
      <c r="V51" s="8" t="e">
        <f t="shared" si="5"/>
        <v>#DIV/0!</v>
      </c>
      <c r="W51" s="8" t="e">
        <f t="shared" si="12"/>
        <v>#DIV/0!</v>
      </c>
      <c r="X51" s="8">
        <v>0</v>
      </c>
      <c r="Y51" s="8">
        <v>0</v>
      </c>
      <c r="Z51" s="8"/>
      <c r="AA51" s="8">
        <f t="shared" si="6"/>
        <v>0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 t="s">
        <v>80</v>
      </c>
      <c r="B52" s="8" t="s">
        <v>33</v>
      </c>
      <c r="C52" s="8"/>
      <c r="D52" s="8">
        <v>16.268000000000001</v>
      </c>
      <c r="E52" s="8">
        <v>3.2679999999999998</v>
      </c>
      <c r="F52" s="8"/>
      <c r="G52" s="6">
        <v>1</v>
      </c>
      <c r="H52" s="8">
        <v>120</v>
      </c>
      <c r="I52" s="8" t="s">
        <v>34</v>
      </c>
      <c r="J52" s="8"/>
      <c r="K52" s="8">
        <v>3</v>
      </c>
      <c r="L52" s="8">
        <f t="shared" si="10"/>
        <v>0.26799999999999979</v>
      </c>
      <c r="M52" s="8"/>
      <c r="N52" s="8"/>
      <c r="O52" s="8">
        <v>45</v>
      </c>
      <c r="P52" s="8">
        <v>15</v>
      </c>
      <c r="Q52" s="8">
        <f t="shared" si="11"/>
        <v>0.65359999999999996</v>
      </c>
      <c r="R52" s="4"/>
      <c r="S52" s="4">
        <f t="shared" si="4"/>
        <v>0</v>
      </c>
      <c r="T52" s="4"/>
      <c r="U52" s="16"/>
      <c r="V52" s="8">
        <f t="shared" si="5"/>
        <v>91.799265605875163</v>
      </c>
      <c r="W52" s="8">
        <f t="shared" si="12"/>
        <v>91.799265605875163</v>
      </c>
      <c r="X52" s="8">
        <v>0</v>
      </c>
      <c r="Y52" s="8">
        <v>0</v>
      </c>
      <c r="Z52" s="8"/>
      <c r="AA52" s="8">
        <f t="shared" si="6"/>
        <v>0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8" t="s">
        <v>81</v>
      </c>
      <c r="B53" s="8" t="s">
        <v>28</v>
      </c>
      <c r="C53" s="8"/>
      <c r="D53" s="8">
        <v>20</v>
      </c>
      <c r="E53" s="8"/>
      <c r="F53" s="8">
        <v>20</v>
      </c>
      <c r="G53" s="6">
        <v>0.2</v>
      </c>
      <c r="H53" s="8">
        <v>120</v>
      </c>
      <c r="I53" s="8"/>
      <c r="J53" s="8"/>
      <c r="K53" s="8"/>
      <c r="L53" s="8">
        <f t="shared" si="10"/>
        <v>0</v>
      </c>
      <c r="M53" s="8"/>
      <c r="N53" s="8"/>
      <c r="O53" s="8">
        <v>70</v>
      </c>
      <c r="P53" s="8">
        <v>40</v>
      </c>
      <c r="Q53" s="8">
        <f t="shared" si="11"/>
        <v>0</v>
      </c>
      <c r="R53" s="4"/>
      <c r="S53" s="4">
        <f t="shared" si="4"/>
        <v>0</v>
      </c>
      <c r="T53" s="4"/>
      <c r="U53" s="16"/>
      <c r="V53" s="8" t="e">
        <f t="shared" si="5"/>
        <v>#DIV/0!</v>
      </c>
      <c r="W53" s="8" t="e">
        <f t="shared" si="12"/>
        <v>#DIV/0!</v>
      </c>
      <c r="X53" s="8">
        <v>0</v>
      </c>
      <c r="Y53" s="8">
        <v>0</v>
      </c>
      <c r="Z53" s="8"/>
      <c r="AA53" s="8">
        <f t="shared" si="6"/>
        <v>0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 t="s">
        <v>82</v>
      </c>
      <c r="B54" s="8" t="s">
        <v>33</v>
      </c>
      <c r="C54" s="8"/>
      <c r="D54" s="8">
        <v>15.372</v>
      </c>
      <c r="E54" s="8">
        <v>11.468</v>
      </c>
      <c r="F54" s="8">
        <v>3.9039999999999999</v>
      </c>
      <c r="G54" s="6">
        <v>1</v>
      </c>
      <c r="H54" s="8">
        <v>120</v>
      </c>
      <c r="I54" s="8" t="s">
        <v>34</v>
      </c>
      <c r="J54" s="8"/>
      <c r="K54" s="8">
        <v>9</v>
      </c>
      <c r="L54" s="8">
        <f t="shared" si="10"/>
        <v>2.468</v>
      </c>
      <c r="M54" s="8"/>
      <c r="N54" s="8"/>
      <c r="O54" s="8">
        <v>45</v>
      </c>
      <c r="P54" s="8">
        <v>15</v>
      </c>
      <c r="Q54" s="8">
        <f t="shared" si="11"/>
        <v>2.2936000000000001</v>
      </c>
      <c r="R54" s="4"/>
      <c r="S54" s="4">
        <f t="shared" si="4"/>
        <v>0</v>
      </c>
      <c r="T54" s="4"/>
      <c r="U54" s="16"/>
      <c r="V54" s="8">
        <f t="shared" si="5"/>
        <v>27.861876525985348</v>
      </c>
      <c r="W54" s="8">
        <f t="shared" si="12"/>
        <v>27.861876525985348</v>
      </c>
      <c r="X54" s="8">
        <v>0</v>
      </c>
      <c r="Y54" s="8">
        <v>0</v>
      </c>
      <c r="Z54" s="8"/>
      <c r="AA54" s="8">
        <f t="shared" si="6"/>
        <v>0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spans="1:52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spans="1:52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spans="1:52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spans="1:52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spans="1:52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spans="1:52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spans="1:52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spans="1:52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spans="1:52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spans="1:52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spans="1:52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spans="1:52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spans="1:52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spans="1:52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spans="1:52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spans="1:52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spans="1:52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spans="1:52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pans="1:52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spans="1:52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spans="1:52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spans="1:52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spans="1:52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spans="1:52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spans="1:52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spans="1:52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spans="1:52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spans="1:52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spans="1:52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spans="1:52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spans="1:52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spans="1:52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spans="1:52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spans="1:52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spans="1:52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spans="1:52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spans="1:52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spans="1:52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spans="1:52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spans="1:52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spans="1:52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spans="1:52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spans="1:52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spans="1:52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spans="1:52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spans="1:52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spans="1:52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spans="1:52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spans="1:52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spans="1:52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spans="1:52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spans="1:52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spans="1:52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spans="1:52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spans="1:52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spans="1:52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spans="1:52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spans="1:52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spans="1:52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spans="1:52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spans="1:52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spans="1:52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spans="1:52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spans="1:52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spans="1:52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spans="1:52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spans="1:52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spans="1:52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spans="1:52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spans="1:52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spans="1:52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spans="1:52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spans="1:52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spans="1:52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spans="1:52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spans="1:52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spans="1:52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spans="1:52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spans="1:52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spans="1:52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spans="1:52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spans="1:52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spans="1:52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spans="1:52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spans="1:52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spans="1:52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spans="1:52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spans="1:52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spans="1:52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spans="1:52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spans="1:52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spans="1:52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spans="1:52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spans="1:52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spans="1:52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spans="1:52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spans="1:52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spans="1:52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spans="1:52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spans="1:52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spans="1:52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spans="1:52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spans="1:52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spans="1:52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spans="1:52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spans="1:52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spans="1:52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spans="1:52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spans="1:52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spans="1:52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spans="1:52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spans="1:52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spans="1:52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spans="1:52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spans="1:52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spans="1:52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spans="1:52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spans="1:52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spans="1:52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spans="1:52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spans="1:52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spans="1:52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spans="1:52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spans="1:52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spans="1:52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spans="1:52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spans="1:52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spans="1:52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spans="1:52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spans="1:52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spans="1:52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spans="1:52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spans="1:52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spans="1:52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spans="1:52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spans="1:52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spans="1:52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spans="1:52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spans="1:52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spans="1:52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spans="1:52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spans="1:52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spans="1:52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spans="1:52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spans="1:52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spans="1:52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spans="1:52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spans="1:52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spans="1:52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spans="1:52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spans="1:52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spans="1:52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spans="1:52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spans="1:52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spans="1:52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spans="1:52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spans="1:52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spans="1:52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spans="1:52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spans="1:52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spans="1:52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spans="1:52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spans="1:52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spans="1:52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spans="1:52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spans="1:52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spans="1:52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spans="1:52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spans="1:52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spans="1:52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spans="1:52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spans="1:52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spans="1:52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spans="1:52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spans="1:52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spans="1:52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spans="1:52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spans="1:52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spans="1:52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spans="1:52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spans="1:52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spans="1:52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spans="1:52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spans="1:52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spans="1:52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spans="1:52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spans="1:52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spans="1:52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spans="1:52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spans="1:52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spans="1:52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spans="1:52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spans="1:52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spans="1:52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spans="1:52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spans="1:52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spans="1:52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spans="1:52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spans="1:52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spans="1:52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spans="1:52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spans="1:52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spans="1:52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spans="1:52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spans="1:52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spans="1:52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spans="1:52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spans="1:52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spans="1:52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spans="1:52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spans="1:52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spans="1:52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spans="1:52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spans="1:52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spans="1:52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spans="1:52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spans="1:52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spans="1:52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spans="1:52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spans="1:52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spans="1:52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spans="1:52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spans="1:52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spans="1:52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spans="1:52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spans="1:52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spans="1:52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spans="1:52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spans="1:52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spans="1:52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spans="1:52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spans="1:52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spans="1:52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spans="1:52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spans="1:52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spans="1:52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spans="1:52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spans="1:52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spans="1:52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spans="1:52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spans="1:52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spans="1:52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spans="1:52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spans="1:52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spans="1:52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spans="1:52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spans="1:52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spans="1:52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spans="1:52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spans="1:52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spans="1:52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spans="1:52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spans="1:52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spans="1:52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spans="1:52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spans="1:52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spans="1:52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spans="1:52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spans="1:52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spans="1:52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spans="1:52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spans="1:52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spans="1:52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spans="1:52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spans="1:52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spans="1:52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spans="1:52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spans="1:52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spans="1:52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spans="1:52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spans="1:52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spans="1:52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spans="1:52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spans="1:52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spans="1:52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spans="1:52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spans="1:52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spans="1:52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spans="1:52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spans="1:52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spans="1:52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spans="1:52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spans="1:52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spans="1:52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spans="1:52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spans="1:52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spans="1:52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spans="1:52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spans="1:52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spans="1:52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spans="1:52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2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2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2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2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2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2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2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1:52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1:52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1:52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1:52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1:52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1:52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1:52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1:52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1:52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1:52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1:52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1:52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1:52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1:52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1:52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1:52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1:52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1:52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1:52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1:52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</sheetData>
  <autoFilter ref="A3:AA54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DA3C-77AD-4BF6-B7CA-DC92595C9BA9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31</v>
      </c>
      <c r="B1">
        <v>24</v>
      </c>
    </row>
    <row r="2" spans="1:2" x14ac:dyDescent="0.25">
      <c r="A2" t="s">
        <v>32</v>
      </c>
      <c r="B2">
        <v>50</v>
      </c>
    </row>
    <row r="3" spans="1:2" x14ac:dyDescent="0.25">
      <c r="A3" t="s">
        <v>35</v>
      </c>
      <c r="B3">
        <v>12</v>
      </c>
    </row>
    <row r="4" spans="1:2" x14ac:dyDescent="0.25">
      <c r="A4" t="s">
        <v>37</v>
      </c>
      <c r="B4">
        <v>12</v>
      </c>
    </row>
    <row r="5" spans="1:2" x14ac:dyDescent="0.25">
      <c r="A5" t="s">
        <v>38</v>
      </c>
      <c r="B5">
        <v>66</v>
      </c>
    </row>
    <row r="6" spans="1:2" x14ac:dyDescent="0.25">
      <c r="A6" t="s">
        <v>40</v>
      </c>
      <c r="B6">
        <v>72</v>
      </c>
    </row>
    <row r="7" spans="1:2" x14ac:dyDescent="0.25">
      <c r="A7" t="s">
        <v>41</v>
      </c>
      <c r="B7">
        <v>72</v>
      </c>
    </row>
    <row r="8" spans="1:2" x14ac:dyDescent="0.25">
      <c r="A8" t="s">
        <v>42</v>
      </c>
      <c r="B8">
        <v>72</v>
      </c>
    </row>
    <row r="9" spans="1:2" x14ac:dyDescent="0.25">
      <c r="A9" t="s">
        <v>43</v>
      </c>
      <c r="B9">
        <v>72</v>
      </c>
    </row>
    <row r="10" spans="1:2" x14ac:dyDescent="0.25">
      <c r="A10" t="s">
        <v>59</v>
      </c>
      <c r="B10">
        <v>88</v>
      </c>
    </row>
    <row r="11" spans="1:2" x14ac:dyDescent="0.25">
      <c r="A11" t="s">
        <v>61</v>
      </c>
      <c r="B11">
        <v>50</v>
      </c>
    </row>
    <row r="12" spans="1:2" x14ac:dyDescent="0.25">
      <c r="A12" t="s">
        <v>62</v>
      </c>
      <c r="B12">
        <v>200</v>
      </c>
    </row>
    <row r="13" spans="1:2" x14ac:dyDescent="0.25">
      <c r="A13" t="s">
        <v>63</v>
      </c>
      <c r="B13">
        <v>50</v>
      </c>
    </row>
    <row r="14" spans="1:2" x14ac:dyDescent="0.25">
      <c r="A14" t="s">
        <v>64</v>
      </c>
      <c r="B14">
        <v>50</v>
      </c>
    </row>
    <row r="15" spans="1:2" x14ac:dyDescent="0.25">
      <c r="A15" t="s">
        <v>65</v>
      </c>
      <c r="B15">
        <v>50</v>
      </c>
    </row>
    <row r="16" spans="1:2" x14ac:dyDescent="0.25">
      <c r="A16" t="s">
        <v>66</v>
      </c>
      <c r="B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2026-10-13T12:22:23Z</dcterms:created>
  <dcterms:modified xsi:type="dcterms:W3CDTF">2026-10-15T10:11:26Z</dcterms:modified>
</cp:coreProperties>
</file>