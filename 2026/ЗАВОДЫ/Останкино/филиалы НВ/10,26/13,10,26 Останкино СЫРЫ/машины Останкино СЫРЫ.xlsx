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FF947C4C-CB7B-49AE-9533-38D712A865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3" i="1" l="1"/>
  <c r="G16" i="1" s="1"/>
  <c r="F13" i="1"/>
  <c r="F16" i="1" s="1"/>
  <c r="E13" i="1"/>
  <c r="E16" i="1" s="1"/>
  <c r="D13" i="1"/>
  <c r="D16" i="1" s="1"/>
  <c r="C13" i="1"/>
  <c r="C16" i="1" s="1"/>
  <c r="B13" i="1"/>
  <c r="H12" i="1"/>
  <c r="H11" i="1"/>
  <c r="H10" i="1"/>
  <c r="H9" i="1"/>
  <c r="H8" i="1"/>
  <c r="H7" i="1"/>
  <c r="H6" i="1"/>
  <c r="H5" i="1"/>
  <c r="H4" i="1"/>
  <c r="H3" i="1"/>
  <c r="H2" i="1"/>
  <c r="H13" i="1" l="1"/>
</calcChain>
</file>

<file path=xl/sharedStrings.xml><?xml version="1.0" encoding="utf-8"?>
<sst xmlns="http://schemas.openxmlformats.org/spreadsheetml/2006/main" count="24" uniqueCount="22">
  <si>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</si>
  <si>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</si>
  <si>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</si>
  <si>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</si>
  <si>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</si>
  <si>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</si>
  <si>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</si>
  <si>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</si>
  <si>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</si>
  <si>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</si>
  <si>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</si>
  <si>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</si>
  <si>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</si>
  <si>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</si>
  <si>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</si>
  <si>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</si>
  <si>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</si>
  <si>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</si>
  <si>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</si>
  <si>
    <t>Мариуполь</t>
  </si>
  <si>
    <t>с Крымом</t>
  </si>
  <si>
    <t>5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</si>
</sst>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/>
    <xf numFmtId="0" fontId="0" fillId="4" borderId="1" xfId="0" applyFill="1" applyBorder="1"/>
    <xf numFmtId="0" fontId="0" fillId="4" borderId="3" xfId="0" applyFill="1" applyBorder="1"/>
    <xf numFmtId="0" fontId="0" fillId="3" borderId="2" xfId="0" applyFill="1" applyBorder="1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E17" sqref="E17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9.85546875" customWidth="1"/>
    <col min="8" max="8" width="8.140625" bestFit="1" customWidth="1"/>
  </cols>
  <sheetData>
    <row r="1" spans="1:9" x14ac:dyDescent="0.2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18</v>
      </c>
      <c r="G1" s="4" t="s">
        <v>21</v>
      </c>
      <c r="H1" s="4" t="s">
        <v>14</v>
      </c>
    </row>
    <row r="2" spans="1:9" hidden="1" x14ac:dyDescent="0.25">
      <c r="A2" s="2" t="s">
        <v>0</v>
      </c>
      <c r="B2" s="2"/>
      <c r="C2" s="2"/>
      <c r="D2" s="2"/>
      <c r="E2" s="2"/>
      <c r="F2" s="2"/>
      <c r="G2" s="2"/>
      <c r="H2" s="2">
        <f>B2-C2-D2-E2-F2</f>
        <v>0</v>
      </c>
    </row>
    <row r="3" spans="1:9" hidden="1" x14ac:dyDescent="0.25">
      <c r="A3" s="2" t="s">
        <v>6</v>
      </c>
      <c r="B3" s="2"/>
      <c r="C3" s="2"/>
      <c r="D3" s="2"/>
      <c r="E3" s="2"/>
      <c r="F3" s="2"/>
      <c r="G3" s="2"/>
      <c r="H3" s="2">
        <f t="shared" ref="H3:H12" si="0">B3-C3-D3-E3-F3</f>
        <v>0</v>
      </c>
    </row>
    <row r="4" spans="1:9" hidden="1" x14ac:dyDescent="0.25">
      <c r="A4" s="2" t="s">
        <v>5</v>
      </c>
      <c r="B4" s="2"/>
      <c r="C4" s="2"/>
      <c r="D4" s="2"/>
      <c r="E4" s="2"/>
      <c r="F4" s="2"/>
      <c r="G4" s="2"/>
      <c r="H4" s="2">
        <f t="shared" si="0"/>
        <v>0</v>
      </c>
    </row>
    <row r="5" spans="1:9" hidden="1" x14ac:dyDescent="0.25">
      <c r="A5" s="2" t="s">
        <v>17</v>
      </c>
      <c r="B5" s="2"/>
      <c r="C5" s="2"/>
      <c r="D5" s="2"/>
      <c r="E5" s="2"/>
      <c r="F5" s="2"/>
      <c r="G5" s="2"/>
      <c r="H5" s="2">
        <f t="shared" si="0"/>
        <v>0</v>
      </c>
    </row>
    <row r="6" spans="1:9" x14ac:dyDescent="0.25">
      <c r="A6" s="2" t="s">
        <v>1</v>
      </c>
      <c r="B6" s="2">
        <v>2013</v>
      </c>
      <c r="C6" s="2"/>
      <c r="D6" s="2"/>
      <c r="E6" s="2"/>
      <c r="F6" s="2">
        <v>2013</v>
      </c>
      <c r="G6" s="2"/>
      <c r="H6" s="2">
        <f>B6-C6-D6-E6-F6-G6</f>
        <v>0</v>
      </c>
      <c r="I6" t="s">
        <v>20</v>
      </c>
    </row>
    <row r="7" spans="1:9" x14ac:dyDescent="0.25">
      <c r="A7" s="7" t="s">
        <v>2</v>
      </c>
      <c r="B7" s="7">
        <v>174</v>
      </c>
      <c r="C7" s="7">
        <v>174</v>
      </c>
      <c r="D7" s="7"/>
      <c r="E7" s="7"/>
      <c r="F7" s="7"/>
      <c r="G7" s="7"/>
      <c r="H7" s="7">
        <f t="shared" ref="H7:H10" si="1">B7-C7-D7-E7-F7-G7</f>
        <v>0</v>
      </c>
    </row>
    <row r="8" spans="1:9" x14ac:dyDescent="0.25">
      <c r="A8" s="8" t="s">
        <v>3</v>
      </c>
      <c r="B8" s="8">
        <v>575</v>
      </c>
      <c r="C8" s="8"/>
      <c r="D8" s="8">
        <v>575</v>
      </c>
      <c r="E8" s="8"/>
      <c r="F8" s="8"/>
      <c r="G8" s="8"/>
      <c r="H8" s="8">
        <f t="shared" si="1"/>
        <v>0</v>
      </c>
    </row>
    <row r="9" spans="1:9" x14ac:dyDescent="0.25">
      <c r="A9" s="2" t="s">
        <v>19</v>
      </c>
      <c r="B9" s="2">
        <v>374</v>
      </c>
      <c r="C9" s="2"/>
      <c r="D9" s="2"/>
      <c r="E9" s="2"/>
      <c r="F9" s="2"/>
      <c r="G9" s="2">
        <v>374</v>
      </c>
      <c r="H9" s="2">
        <f t="shared" si="1"/>
        <v>0</v>
      </c>
      <c r="I9" t="s">
        <v>20</v>
      </c>
    </row>
    <row r="10" spans="1:9" x14ac:dyDescent="0.25">
      <c r="A10" s="2" t="s">
        <v>4</v>
      </c>
      <c r="B10" s="2">
        <v>4534</v>
      </c>
      <c r="C10" s="2"/>
      <c r="D10" s="2"/>
      <c r="E10" s="2">
        <v>4534</v>
      </c>
      <c r="F10" s="2"/>
      <c r="G10" s="2"/>
      <c r="H10" s="2">
        <f t="shared" si="1"/>
        <v>0</v>
      </c>
      <c r="I10" t="s">
        <v>20</v>
      </c>
    </row>
    <row r="11" spans="1:9" hidden="1" x14ac:dyDescent="0.25">
      <c r="A11" s="2" t="s">
        <v>8</v>
      </c>
      <c r="B11" s="2"/>
      <c r="C11" s="2"/>
      <c r="D11" s="2"/>
      <c r="E11" s="2"/>
      <c r="F11" s="2"/>
      <c r="G11" s="2"/>
      <c r="H11" s="2">
        <f t="shared" si="0"/>
        <v>0</v>
      </c>
    </row>
    <row r="12" spans="1:9" hidden="1" x14ac:dyDescent="0.25">
      <c r="A12" s="2" t="s">
        <v>7</v>
      </c>
      <c r="B12" s="2"/>
      <c r="C12" s="2"/>
      <c r="D12" s="2"/>
      <c r="E12" s="2"/>
      <c r="F12" s="2"/>
      <c r="G12" s="2"/>
      <c r="H12" s="2">
        <f t="shared" si="0"/>
        <v>0</v>
      </c>
    </row>
    <row r="13" spans="1:9" s="1" customFormat="1" x14ac:dyDescent="0.25">
      <c r="A13" s="3" t="s">
        <v>16</v>
      </c>
      <c r="B13" s="3">
        <f t="shared" ref="B13:H13" si="2">SUM(B2:B12)</f>
        <v>7670</v>
      </c>
      <c r="C13" s="3">
        <f t="shared" si="2"/>
        <v>174</v>
      </c>
      <c r="D13" s="3">
        <f t="shared" si="2"/>
        <v>575</v>
      </c>
      <c r="E13" s="3">
        <f t="shared" si="2"/>
        <v>4534</v>
      </c>
      <c r="F13" s="3">
        <f t="shared" si="2"/>
        <v>2013</v>
      </c>
      <c r="G13" s="3">
        <f t="shared" si="2"/>
        <v>374</v>
      </c>
      <c r="H13" s="3">
        <f t="shared" si="2"/>
        <v>0</v>
      </c>
    </row>
    <row r="15" spans="1:9" ht="15.75" thickBot="1" x14ac:dyDescent="0.3">
      <c r="C15" s="11" t="s">
        <v>15</v>
      </c>
      <c r="D15" s="11"/>
      <c r="E15" s="11"/>
      <c r="F15" s="11"/>
      <c r="G15" s="11"/>
    </row>
    <row r="16" spans="1:9" ht="15.75" thickBot="1" x14ac:dyDescent="0.3">
      <c r="C16" s="10">
        <f>IF(ROUNDUP(C13/500,0)&gt;32,32,ROUNDUP(C13/500,0))</f>
        <v>1</v>
      </c>
      <c r="D16" s="9">
        <f t="shared" ref="D16:G16" si="3">IF(ROUNDUP(D13/500,0)&gt;32,32,ROUNDUP(D13/500,0))</f>
        <v>2</v>
      </c>
      <c r="E16" s="5">
        <f t="shared" si="3"/>
        <v>10</v>
      </c>
      <c r="F16" s="5">
        <f t="shared" si="3"/>
        <v>5</v>
      </c>
      <c r="G16" s="6">
        <f t="shared" si="3"/>
        <v>1</v>
      </c>
    </row>
  </sheetData>
  <mergeCells count="1">
    <mergeCell ref="C15:G15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2026-10-15T10:18:32Z</dcterms:modified>
</cp:coreProperties>
</file>