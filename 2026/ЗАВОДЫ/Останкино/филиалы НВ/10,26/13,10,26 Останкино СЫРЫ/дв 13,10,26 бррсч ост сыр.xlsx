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C0D52F8A-DDF8-4CBD-9F79-5EAD71C862F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externalReferences>
    <externalReference r:id="rId3"/>
  </externalReferences>
  <definedNames>
    <definedName name="_xlnm._FilterDatabase" localSheetId="0" hidden="1">Sheet!$A$3:$AI$57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0" i="1"/>
  <c r="T11" i="1"/>
  <c r="T14" i="1"/>
  <c r="T15" i="1"/>
  <c r="T16" i="1"/>
  <c r="T17" i="1"/>
  <c r="T19" i="1"/>
  <c r="T20" i="1"/>
  <c r="T21" i="1"/>
  <c r="T22" i="1"/>
  <c r="T23" i="1"/>
  <c r="T24" i="1"/>
  <c r="T30" i="1"/>
  <c r="T31" i="1"/>
  <c r="T32" i="1"/>
  <c r="T33" i="1"/>
  <c r="T34" i="1"/>
  <c r="T35" i="1"/>
  <c r="T36" i="1"/>
  <c r="T37" i="1"/>
  <c r="T38" i="1"/>
  <c r="T39" i="1"/>
  <c r="T40" i="1"/>
  <c r="T41" i="1"/>
  <c r="T46" i="1"/>
  <c r="T50" i="1"/>
  <c r="T51" i="1"/>
  <c r="T53" i="1"/>
  <c r="T54" i="1"/>
  <c r="T57" i="1"/>
  <c r="T5" i="1"/>
  <c r="S7" i="1" l="1"/>
  <c r="S8" i="1"/>
  <c r="AI8" i="1" s="1"/>
  <c r="S12" i="1"/>
  <c r="S13" i="1"/>
  <c r="AI13" i="1" s="1"/>
  <c r="S18" i="1"/>
  <c r="S25" i="1"/>
  <c r="AI25" i="1" s="1"/>
  <c r="S26" i="1"/>
  <c r="S27" i="1"/>
  <c r="AI27" i="1" s="1"/>
  <c r="S28" i="1"/>
  <c r="S29" i="1"/>
  <c r="AI29" i="1" s="1"/>
  <c r="S42" i="1"/>
  <c r="S43" i="1"/>
  <c r="AI43" i="1" s="1"/>
  <c r="S44" i="1"/>
  <c r="S45" i="1"/>
  <c r="AI45" i="1" s="1"/>
  <c r="S47" i="1"/>
  <c r="S48" i="1"/>
  <c r="AI48" i="1" s="1"/>
  <c r="S49" i="1"/>
  <c r="S52" i="1"/>
  <c r="AI52" i="1" s="1"/>
  <c r="S55" i="1"/>
  <c r="S56" i="1"/>
  <c r="AI56" i="1" s="1"/>
  <c r="S6" i="1"/>
  <c r="AI7" i="1"/>
  <c r="AI12" i="1"/>
  <c r="AI18" i="1"/>
  <c r="AI26" i="1"/>
  <c r="AI28" i="1"/>
  <c r="AI42" i="1"/>
  <c r="AI44" i="1"/>
  <c r="AI47" i="1"/>
  <c r="AI49" i="1"/>
  <c r="AI55" i="1"/>
  <c r="AI6" i="1"/>
  <c r="U10" i="1"/>
  <c r="S10" i="1" s="1"/>
  <c r="AI10" i="1" s="1"/>
  <c r="U11" i="1"/>
  <c r="S11" i="1" s="1"/>
  <c r="AI11" i="1" s="1"/>
  <c r="U14" i="1"/>
  <c r="S14" i="1" s="1"/>
  <c r="AI14" i="1" s="1"/>
  <c r="U15" i="1"/>
  <c r="S15" i="1" s="1"/>
  <c r="AI15" i="1" s="1"/>
  <c r="U16" i="1"/>
  <c r="S16" i="1" s="1"/>
  <c r="U17" i="1"/>
  <c r="S17" i="1" s="1"/>
  <c r="U20" i="1"/>
  <c r="S20" i="1" s="1"/>
  <c r="U22" i="1"/>
  <c r="S22" i="1" s="1"/>
  <c r="AI22" i="1" s="1"/>
  <c r="U23" i="1"/>
  <c r="S23" i="1" s="1"/>
  <c r="U30" i="1"/>
  <c r="S30" i="1" s="1"/>
  <c r="AI30" i="1" s="1"/>
  <c r="U31" i="1"/>
  <c r="S31" i="1" s="1"/>
  <c r="AI31" i="1" s="1"/>
  <c r="U32" i="1"/>
  <c r="S32" i="1" s="1"/>
  <c r="U33" i="1"/>
  <c r="S33" i="1" s="1"/>
  <c r="AI33" i="1" s="1"/>
  <c r="U34" i="1"/>
  <c r="S34" i="1" s="1"/>
  <c r="U35" i="1"/>
  <c r="S35" i="1" s="1"/>
  <c r="U36" i="1"/>
  <c r="S36" i="1" s="1"/>
  <c r="AI36" i="1" s="1"/>
  <c r="U37" i="1"/>
  <c r="S37" i="1" s="1"/>
  <c r="AI37" i="1" s="1"/>
  <c r="U38" i="1"/>
  <c r="S38" i="1" s="1"/>
  <c r="AI38" i="1" s="1"/>
  <c r="U39" i="1"/>
  <c r="S39" i="1" s="1"/>
  <c r="U51" i="1"/>
  <c r="S51" i="1" s="1"/>
  <c r="AI51" i="1" s="1"/>
  <c r="U53" i="1"/>
  <c r="S53" i="1" s="1"/>
  <c r="AI53" i="1" s="1"/>
  <c r="U54" i="1"/>
  <c r="U57" i="1"/>
  <c r="S57" i="1" s="1"/>
  <c r="AI57" i="1" s="1"/>
  <c r="U5" i="1" l="1"/>
  <c r="S54" i="1"/>
  <c r="AI54" i="1" s="1"/>
  <c r="F57" i="1"/>
  <c r="E57" i="1"/>
  <c r="L57" i="1" s="1"/>
  <c r="Q56" i="1"/>
  <c r="V56" i="1" s="1"/>
  <c r="L56" i="1"/>
  <c r="Q55" i="1"/>
  <c r="V55" i="1" s="1"/>
  <c r="L55" i="1"/>
  <c r="F54" i="1"/>
  <c r="E54" i="1"/>
  <c r="Q54" i="1" s="1"/>
  <c r="Q53" i="1"/>
  <c r="V53" i="1" s="1"/>
  <c r="L53" i="1"/>
  <c r="Q52" i="1"/>
  <c r="V52" i="1" s="1"/>
  <c r="L52" i="1"/>
  <c r="Q51" i="1"/>
  <c r="L51" i="1"/>
  <c r="F51" i="1"/>
  <c r="Q50" i="1"/>
  <c r="W50" i="1" s="1"/>
  <c r="L50" i="1"/>
  <c r="Q49" i="1"/>
  <c r="V49" i="1" s="1"/>
  <c r="L49" i="1"/>
  <c r="Q48" i="1"/>
  <c r="L48" i="1"/>
  <c r="Q47" i="1"/>
  <c r="V47" i="1" s="1"/>
  <c r="L47" i="1"/>
  <c r="Q46" i="1"/>
  <c r="W46" i="1" s="1"/>
  <c r="L46" i="1"/>
  <c r="Q45" i="1"/>
  <c r="L45" i="1"/>
  <c r="Q44" i="1"/>
  <c r="V44" i="1" s="1"/>
  <c r="L44" i="1"/>
  <c r="Q43" i="1"/>
  <c r="L43" i="1"/>
  <c r="Q42" i="1"/>
  <c r="V42" i="1" s="1"/>
  <c r="L42" i="1"/>
  <c r="Q41" i="1"/>
  <c r="W41" i="1" s="1"/>
  <c r="L41" i="1"/>
  <c r="Q40" i="1"/>
  <c r="R40" i="1" s="1"/>
  <c r="S40" i="1" s="1"/>
  <c r="L40" i="1"/>
  <c r="Q39" i="1"/>
  <c r="W39" i="1" s="1"/>
  <c r="L39" i="1"/>
  <c r="Q38" i="1"/>
  <c r="V38" i="1" s="1"/>
  <c r="L38" i="1"/>
  <c r="Q37" i="1"/>
  <c r="L37" i="1"/>
  <c r="Q36" i="1"/>
  <c r="V36" i="1" s="1"/>
  <c r="L36" i="1"/>
  <c r="Q35" i="1"/>
  <c r="W35" i="1" s="1"/>
  <c r="L35" i="1"/>
  <c r="Q34" i="1"/>
  <c r="R34" i="1" s="1"/>
  <c r="L34" i="1"/>
  <c r="Q33" i="1"/>
  <c r="L33" i="1"/>
  <c r="Q32" i="1"/>
  <c r="R32" i="1" s="1"/>
  <c r="L32" i="1"/>
  <c r="Q31" i="1"/>
  <c r="L31" i="1"/>
  <c r="Q30" i="1"/>
  <c r="V30" i="1" s="1"/>
  <c r="L30" i="1"/>
  <c r="Q29" i="1"/>
  <c r="L29" i="1"/>
  <c r="Q28" i="1"/>
  <c r="L28" i="1"/>
  <c r="Q27" i="1"/>
  <c r="V27" i="1" s="1"/>
  <c r="L27" i="1"/>
  <c r="Q26" i="1"/>
  <c r="L26" i="1"/>
  <c r="Q25" i="1"/>
  <c r="V25" i="1" s="1"/>
  <c r="L25" i="1"/>
  <c r="Q24" i="1"/>
  <c r="W24" i="1" s="1"/>
  <c r="L24" i="1"/>
  <c r="Q23" i="1"/>
  <c r="R23" i="1" s="1"/>
  <c r="L23" i="1"/>
  <c r="Q22" i="1"/>
  <c r="L22" i="1"/>
  <c r="Q21" i="1"/>
  <c r="R21" i="1" s="1"/>
  <c r="S21" i="1" s="1"/>
  <c r="L21" i="1"/>
  <c r="Q20" i="1"/>
  <c r="W20" i="1" s="1"/>
  <c r="L20" i="1"/>
  <c r="Q19" i="1"/>
  <c r="R19" i="1" s="1"/>
  <c r="S19" i="1" s="1"/>
  <c r="L19" i="1"/>
  <c r="Q18" i="1"/>
  <c r="L18" i="1"/>
  <c r="Q17" i="1"/>
  <c r="R17" i="1" s="1"/>
  <c r="L17" i="1"/>
  <c r="Q16" i="1"/>
  <c r="W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Q10" i="1"/>
  <c r="L10" i="1"/>
  <c r="F9" i="1"/>
  <c r="E9" i="1"/>
  <c r="L9" i="1" s="1"/>
  <c r="Q8" i="1"/>
  <c r="L8" i="1"/>
  <c r="Q7" i="1"/>
  <c r="V7" i="1" s="1"/>
  <c r="L7" i="1"/>
  <c r="Q6" i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W6" i="1" l="1"/>
  <c r="V6" i="1"/>
  <c r="W8" i="1"/>
  <c r="V8" i="1"/>
  <c r="W10" i="1"/>
  <c r="V10" i="1"/>
  <c r="W12" i="1"/>
  <c r="V12" i="1"/>
  <c r="W14" i="1"/>
  <c r="V14" i="1"/>
  <c r="AI17" i="1"/>
  <c r="V17" i="1"/>
  <c r="W18" i="1"/>
  <c r="V18" i="1"/>
  <c r="AI19" i="1"/>
  <c r="V19" i="1"/>
  <c r="AI21" i="1"/>
  <c r="V21" i="1"/>
  <c r="W22" i="1"/>
  <c r="V22" i="1"/>
  <c r="AI23" i="1"/>
  <c r="V23" i="1"/>
  <c r="W26" i="1"/>
  <c r="V26" i="1"/>
  <c r="W28" i="1"/>
  <c r="V28" i="1"/>
  <c r="W29" i="1"/>
  <c r="V29" i="1"/>
  <c r="W31" i="1"/>
  <c r="V31" i="1"/>
  <c r="AI32" i="1"/>
  <c r="V32" i="1"/>
  <c r="W33" i="1"/>
  <c r="V33" i="1"/>
  <c r="AI34" i="1"/>
  <c r="V34" i="1"/>
  <c r="W37" i="1"/>
  <c r="V37" i="1"/>
  <c r="AI40" i="1"/>
  <c r="V40" i="1"/>
  <c r="W43" i="1"/>
  <c r="V43" i="1"/>
  <c r="W45" i="1"/>
  <c r="V45" i="1"/>
  <c r="W48" i="1"/>
  <c r="V48" i="1"/>
  <c r="W51" i="1"/>
  <c r="V51" i="1"/>
  <c r="V54" i="1"/>
  <c r="R16" i="1"/>
  <c r="R20" i="1"/>
  <c r="R24" i="1"/>
  <c r="S24" i="1" s="1"/>
  <c r="R35" i="1"/>
  <c r="R39" i="1"/>
  <c r="R41" i="1"/>
  <c r="S41" i="1" s="1"/>
  <c r="R46" i="1"/>
  <c r="S46" i="1" s="1"/>
  <c r="R50" i="1"/>
  <c r="S50" i="1" s="1"/>
  <c r="Q9" i="1"/>
  <c r="R9" i="1" s="1"/>
  <c r="S9" i="1" s="1"/>
  <c r="V9" i="1" s="1"/>
  <c r="Q57" i="1"/>
  <c r="V57" i="1" s="1"/>
  <c r="W9" i="1"/>
  <c r="F5" i="1"/>
  <c r="W7" i="1"/>
  <c r="W54" i="1"/>
  <c r="W11" i="1"/>
  <c r="W13" i="1"/>
  <c r="W15" i="1"/>
  <c r="W17" i="1"/>
  <c r="W19" i="1"/>
  <c r="W21" i="1"/>
  <c r="W23" i="1"/>
  <c r="W25" i="1"/>
  <c r="W27" i="1"/>
  <c r="W30" i="1"/>
  <c r="W32" i="1"/>
  <c r="W34" i="1"/>
  <c r="W36" i="1"/>
  <c r="W38" i="1"/>
  <c r="W40" i="1"/>
  <c r="W42" i="1"/>
  <c r="W44" i="1"/>
  <c r="W47" i="1"/>
  <c r="W49" i="1"/>
  <c r="W52" i="1"/>
  <c r="W53" i="1"/>
  <c r="L54" i="1"/>
  <c r="L5" i="1" s="1"/>
  <c r="W55" i="1"/>
  <c r="W56" i="1"/>
  <c r="E5" i="1"/>
  <c r="AI50" i="1" l="1"/>
  <c r="V50" i="1"/>
  <c r="AI41" i="1"/>
  <c r="V41" i="1"/>
  <c r="AI35" i="1"/>
  <c r="V35" i="1"/>
  <c r="AI20" i="1"/>
  <c r="V20" i="1"/>
  <c r="AI9" i="1"/>
  <c r="S5" i="1"/>
  <c r="AI46" i="1"/>
  <c r="V46" i="1"/>
  <c r="AI39" i="1"/>
  <c r="V39" i="1"/>
  <c r="AI24" i="1"/>
  <c r="V24" i="1"/>
  <c r="AI16" i="1"/>
  <c r="V16" i="1"/>
  <c r="W57" i="1"/>
  <c r="Q5" i="1"/>
  <c r="R5" i="1"/>
  <c r="AI5" i="1" l="1"/>
</calcChain>
</file>

<file path=xl/sharedStrings.xml><?xml version="1.0" encoding="utf-8"?>
<sst xmlns="http://schemas.openxmlformats.org/spreadsheetml/2006/main" count="247" uniqueCount="113">
  <si>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</si>
  <si>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</si>
  <si>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</si>
  <si>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</si>
  <si>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</si>
  <si>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</si>
  <si>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</si>
  <si>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</si>
  <si>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</si>
  <si>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</si>
  <si>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</si>
  <si>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</si>
  <si>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</si>
  <si>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</si>
  <si>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</si>
  <si>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</si>
  <si>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</si>
  <si>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</si>
  <si>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</si>
  <si>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</si>
  <si>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</si>
  <si>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</si>
  <si>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</si>
  <si>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</si>
  <si>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</si>
  <si>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</si>
  <si>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</si>
  <si>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</si>
  <si>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</si>
  <si>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</si>
  <si>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</si>
  <si>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</si>
  <si>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</si>
  <si>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</si>
  <si>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</si>
  <si>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</si>
  <si>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</si>
  <si>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</si>
  <si>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продажи!!!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</si>
  <si>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</si>
  <si>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</si>
  <si>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</si>
  <si>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</si>
  <si>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</si>
  <si>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</si>
  <si>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</si>
  <si>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</si>
  <si>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</si>
  <si>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72шт списано (19,09,26)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</si>
  <si>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</si>
  <si>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</si>
  <si>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</si>
  <si>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</si>
  <si>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</si>
  <si>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</si>
  <si>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</si>
  <si>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</si>
  <si>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</si>
  <si>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37шт списано (30,09,26)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</si>
  <si>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</si>
  <si>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</si>
  <si>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</si>
  <si>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</si>
  <si>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</si>
  <si>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</si>
  <si>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</si>
  <si>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5шт списано (19,09,26) / 19 списано (16,09,26)</t>
  </si>
  <si>
    <t>Продукт По-Росийски Классический с ЗМЖ 50% ВЕС Коровино Останкино</t>
  </si>
  <si>
    <t>нет потребности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</si>
  <si>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</si>
  <si>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</si>
  <si>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</si>
  <si>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60шт списано (22,09,26) / 56шт списано (19,09,26)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</si>
  <si>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</si>
  <si>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</si>
  <si>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</si>
  <si>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</si>
  <si>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77шт списано (22,09,26) / 18шт списано (19,09,26)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</si>
  <si>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</si>
  <si>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</si>
  <si>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</si>
  <si>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</si>
  <si>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34шт списано (22,09,26) / 19шт списано (19,09,26)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</si>
  <si>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</si>
  <si>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</si>
  <si>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</si>
  <si>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</si>
  <si>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</si>
  <si>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</si>
  <si>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</si>
  <si>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</si>
  <si>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</si>
  <si>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</si>
  <si>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</si>
  <si>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</si>
  <si>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</si>
  <si>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</si>
  <si>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</si>
  <si>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</si>
  <si>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</si>
  <si>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</si>
  <si>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</si>
  <si>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</si>
  <si>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</si>
  <si>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</si>
  <si>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8кг списано (30,09,26)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</si>
  <si>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</si>
  <si>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9шт списано (19,09,26)</t>
  </si>
  <si>
    <t>итого</t>
  </si>
  <si>
    <t>ТК</t>
  </si>
  <si>
    <t>Титенок</t>
  </si>
  <si>
    <t>заказ</t>
  </si>
  <si>
    <t>20,10,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</si>
</sst>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13,10,26%20&#1073;&#1088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</row>
        <row r="4">
          <cell r="O4" t="str">
            <v>05,10,</v>
          </cell>
          <cell r="P4" t="str">
            <v>12,10,</v>
          </cell>
          <cell r="Q4" t="str">
            <v>13,10,</v>
          </cell>
        </row>
        <row r="5">
          <cell r="E5">
            <v>3743.3989999999994</v>
          </cell>
          <cell r="F5">
            <v>5227.5000000000009</v>
          </cell>
          <cell r="K5">
            <v>4232.5339999999997</v>
          </cell>
          <cell r="L5">
            <v>-489.1350000000001</v>
          </cell>
          <cell r="M5">
            <v>0</v>
          </cell>
          <cell r="N5">
            <v>0</v>
          </cell>
          <cell r="O5">
            <v>5844</v>
          </cell>
          <cell r="P5">
            <v>1609</v>
          </cell>
          <cell r="Q5">
            <v>748.67979999999989</v>
          </cell>
          <cell r="R5">
            <v>2611.3428000000004</v>
          </cell>
          <cell r="S5">
            <v>5200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4</v>
          </cell>
          <cell r="D6">
            <v>25</v>
          </cell>
          <cell r="E6">
            <v>7</v>
          </cell>
          <cell r="F6">
            <v>22</v>
          </cell>
          <cell r="G6">
            <v>5.5E-2</v>
          </cell>
          <cell r="H6">
            <v>120</v>
          </cell>
          <cell r="K6">
            <v>7</v>
          </cell>
          <cell r="L6">
            <v>0</v>
          </cell>
          <cell r="Q6">
            <v>1.4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42</v>
          </cell>
          <cell r="D7">
            <v>28</v>
          </cell>
          <cell r="E7">
            <v>5</v>
          </cell>
          <cell r="F7">
            <v>41</v>
          </cell>
          <cell r="G7">
            <v>0.1</v>
          </cell>
          <cell r="H7">
            <v>120</v>
          </cell>
          <cell r="K7">
            <v>5</v>
          </cell>
          <cell r="L7">
            <v>0</v>
          </cell>
          <cell r="Q7">
            <v>1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15</v>
          </cell>
          <cell r="D8">
            <v>24</v>
          </cell>
          <cell r="E8">
            <v>8</v>
          </cell>
          <cell r="F8">
            <v>31</v>
          </cell>
          <cell r="G8">
            <v>0.1</v>
          </cell>
          <cell r="H8">
            <v>120</v>
          </cell>
          <cell r="K8">
            <v>8</v>
          </cell>
          <cell r="L8">
            <v>0</v>
          </cell>
          <cell r="Q8">
            <v>1.6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199.744</v>
          </cell>
          <cell r="D9">
            <v>249.26599999999999</v>
          </cell>
          <cell r="E9">
            <v>81.784000000000006</v>
          </cell>
          <cell r="F9">
            <v>164.89800000000002</v>
          </cell>
          <cell r="G9">
            <v>1</v>
          </cell>
          <cell r="H9">
            <v>120</v>
          </cell>
          <cell r="I9" t="str">
            <v>ТЗ 14дн+1нд доставка</v>
          </cell>
          <cell r="K9">
            <v>85.034000000000006</v>
          </cell>
          <cell r="L9">
            <v>-3.25</v>
          </cell>
          <cell r="O9">
            <v>100</v>
          </cell>
          <cell r="Q9">
            <v>16.3568</v>
          </cell>
          <cell r="R9">
            <v>13.167599999999993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-9</v>
          </cell>
          <cell r="G10">
            <v>0.18</v>
          </cell>
          <cell r="H10">
            <v>180</v>
          </cell>
          <cell r="I10" t="str">
            <v>ТЗ 14дн+1нд доставка</v>
          </cell>
          <cell r="K10">
            <v>9</v>
          </cell>
          <cell r="L10">
            <v>-18</v>
          </cell>
          <cell r="O10">
            <v>0</v>
          </cell>
          <cell r="P10">
            <v>0</v>
          </cell>
          <cell r="Q10">
            <v>-1.8</v>
          </cell>
          <cell r="R10">
            <v>12</v>
          </cell>
          <cell r="S10">
            <v>50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I11" t="str">
            <v>ТЗ 14дн+1нд доставка</v>
          </cell>
          <cell r="K11">
            <v>9</v>
          </cell>
          <cell r="L11">
            <v>-9</v>
          </cell>
          <cell r="O11">
            <v>0</v>
          </cell>
          <cell r="P11">
            <v>0</v>
          </cell>
          <cell r="Q11">
            <v>0</v>
          </cell>
          <cell r="R11">
            <v>12</v>
          </cell>
          <cell r="S11">
            <v>50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D12">
            <v>17.956</v>
          </cell>
          <cell r="E12">
            <v>14.83</v>
          </cell>
          <cell r="G12">
            <v>1</v>
          </cell>
          <cell r="H12">
            <v>180</v>
          </cell>
          <cell r="I12" t="str">
            <v>ТЗ 14дн+1нд доставка</v>
          </cell>
          <cell r="K12">
            <v>26.7</v>
          </cell>
          <cell r="L12">
            <v>-11.87</v>
          </cell>
          <cell r="O12">
            <v>66</v>
          </cell>
          <cell r="P12">
            <v>99</v>
          </cell>
          <cell r="Q12">
            <v>2.9660000000000002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D13">
            <v>96</v>
          </cell>
          <cell r="F13">
            <v>96</v>
          </cell>
          <cell r="G13">
            <v>0.82450000000000001</v>
          </cell>
          <cell r="H13">
            <v>180</v>
          </cell>
          <cell r="I13" t="str">
            <v>ТЗ 14дн+1нд доставка</v>
          </cell>
          <cell r="L13">
            <v>0</v>
          </cell>
          <cell r="O13">
            <v>48</v>
          </cell>
          <cell r="Q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283</v>
          </cell>
          <cell r="D14">
            <v>146</v>
          </cell>
          <cell r="E14">
            <v>95</v>
          </cell>
          <cell r="F14">
            <v>331</v>
          </cell>
          <cell r="G14">
            <v>0.372</v>
          </cell>
          <cell r="H14">
            <v>180</v>
          </cell>
          <cell r="I14" t="str">
            <v>ТЗ 14дн+1нд доставка</v>
          </cell>
          <cell r="K14">
            <v>95</v>
          </cell>
          <cell r="L14">
            <v>0</v>
          </cell>
          <cell r="O14">
            <v>96</v>
          </cell>
          <cell r="Q14">
            <v>19</v>
          </cell>
          <cell r="S14">
            <v>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154</v>
          </cell>
          <cell r="D15">
            <v>216</v>
          </cell>
          <cell r="E15">
            <v>-4</v>
          </cell>
          <cell r="F15">
            <v>317</v>
          </cell>
          <cell r="G15">
            <v>0.74399999999999999</v>
          </cell>
          <cell r="H15">
            <v>180</v>
          </cell>
          <cell r="I15" t="str">
            <v>ТЗ 14дн+1нд доставка</v>
          </cell>
          <cell r="K15">
            <v>53</v>
          </cell>
          <cell r="L15">
            <v>-57</v>
          </cell>
          <cell r="O15">
            <v>96</v>
          </cell>
          <cell r="Q15">
            <v>-0.8</v>
          </cell>
          <cell r="S15">
            <v>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D16">
            <v>305</v>
          </cell>
          <cell r="E16">
            <v>211</v>
          </cell>
          <cell r="F16">
            <v>82</v>
          </cell>
          <cell r="G16">
            <v>0.372</v>
          </cell>
          <cell r="H16">
            <v>180</v>
          </cell>
          <cell r="I16" t="str">
            <v>ТЗ 14дн+1нд доставка</v>
          </cell>
          <cell r="K16">
            <v>238</v>
          </cell>
          <cell r="L16">
            <v>-27</v>
          </cell>
          <cell r="O16">
            <v>96</v>
          </cell>
          <cell r="P16">
            <v>144</v>
          </cell>
          <cell r="Q16">
            <v>42.2</v>
          </cell>
          <cell r="R16">
            <v>395.40000000000009</v>
          </cell>
          <cell r="S16">
            <v>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566</v>
          </cell>
          <cell r="D17">
            <v>96</v>
          </cell>
          <cell r="E17">
            <v>285</v>
          </cell>
          <cell r="F17">
            <v>372</v>
          </cell>
          <cell r="G17">
            <v>0.74399999999999999</v>
          </cell>
          <cell r="H17">
            <v>180</v>
          </cell>
          <cell r="I17" t="str">
            <v>ТЗ 14дн+1нд доставка</v>
          </cell>
          <cell r="K17">
            <v>286</v>
          </cell>
          <cell r="L17">
            <v>-1</v>
          </cell>
          <cell r="Q17">
            <v>57</v>
          </cell>
          <cell r="R17">
            <v>597</v>
          </cell>
          <cell r="S17">
            <v>650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8</v>
          </cell>
          <cell r="D18">
            <v>16</v>
          </cell>
          <cell r="E18">
            <v>5</v>
          </cell>
          <cell r="F18">
            <v>13</v>
          </cell>
          <cell r="G18">
            <v>0.14000000000000001</v>
          </cell>
          <cell r="H18">
            <v>180</v>
          </cell>
          <cell r="K18">
            <v>10</v>
          </cell>
          <cell r="L18">
            <v>-5</v>
          </cell>
          <cell r="O18">
            <v>32</v>
          </cell>
          <cell r="Q18">
            <v>1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D19">
            <v>145</v>
          </cell>
          <cell r="E19">
            <v>66</v>
          </cell>
          <cell r="F19">
            <v>76</v>
          </cell>
          <cell r="G19">
            <v>0.18</v>
          </cell>
          <cell r="H19">
            <v>270</v>
          </cell>
          <cell r="I19" t="str">
            <v>ТЗ 14дн+1нд доставка</v>
          </cell>
          <cell r="K19">
            <v>82</v>
          </cell>
          <cell r="L19">
            <v>-16</v>
          </cell>
          <cell r="O19">
            <v>32</v>
          </cell>
          <cell r="P19">
            <v>16</v>
          </cell>
          <cell r="Q19">
            <v>13.2</v>
          </cell>
          <cell r="R19">
            <v>100.39999999999998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113</v>
          </cell>
          <cell r="D20">
            <v>50</v>
          </cell>
          <cell r="E20">
            <v>66</v>
          </cell>
          <cell r="F20">
            <v>102</v>
          </cell>
          <cell r="G20">
            <v>0.18</v>
          </cell>
          <cell r="H20">
            <v>270</v>
          </cell>
          <cell r="I20" t="str">
            <v>ТЗ 14дн+1нд доставка</v>
          </cell>
          <cell r="K20">
            <v>60</v>
          </cell>
          <cell r="L20">
            <v>6</v>
          </cell>
          <cell r="P20">
            <v>96</v>
          </cell>
          <cell r="Q20">
            <v>13.2</v>
          </cell>
          <cell r="R20">
            <v>26.399999999999977</v>
          </cell>
          <cell r="S20">
            <v>100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D21">
            <v>16</v>
          </cell>
          <cell r="E21">
            <v>14</v>
          </cell>
          <cell r="F21">
            <v>2</v>
          </cell>
          <cell r="G21">
            <v>0.1</v>
          </cell>
          <cell r="H21">
            <v>60</v>
          </cell>
          <cell r="K21">
            <v>12</v>
          </cell>
          <cell r="L21">
            <v>2</v>
          </cell>
          <cell r="O21">
            <v>40</v>
          </cell>
          <cell r="Q21">
            <v>2.8</v>
          </cell>
          <cell r="R21">
            <v>5.5999999999999943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317</v>
          </cell>
          <cell r="D22">
            <v>1352</v>
          </cell>
          <cell r="E22">
            <v>507</v>
          </cell>
          <cell r="F22">
            <v>772</v>
          </cell>
          <cell r="G22">
            <v>0.18</v>
          </cell>
          <cell r="H22">
            <v>180</v>
          </cell>
          <cell r="I22" t="str">
            <v>ТЗ 14дн+1нд доставка</v>
          </cell>
          <cell r="K22">
            <v>527</v>
          </cell>
          <cell r="L22">
            <v>-20</v>
          </cell>
          <cell r="O22">
            <v>1200</v>
          </cell>
          <cell r="Q22">
            <v>101.4</v>
          </cell>
          <cell r="S22">
            <v>700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180</v>
          </cell>
          <cell r="D23">
            <v>1212</v>
          </cell>
          <cell r="E23">
            <v>647</v>
          </cell>
          <cell r="F23">
            <v>467</v>
          </cell>
          <cell r="G23">
            <v>0.18</v>
          </cell>
          <cell r="H23">
            <v>180</v>
          </cell>
          <cell r="I23" t="str">
            <v>ТЗ 14дн+1нд доставка</v>
          </cell>
          <cell r="K23">
            <v>680</v>
          </cell>
          <cell r="L23">
            <v>-33</v>
          </cell>
          <cell r="O23">
            <v>1000</v>
          </cell>
          <cell r="P23">
            <v>300</v>
          </cell>
          <cell r="Q23">
            <v>129.4</v>
          </cell>
          <cell r="R23">
            <v>432.80000000000018</v>
          </cell>
          <cell r="S23">
            <v>700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16</v>
          </cell>
          <cell r="E24">
            <v>7</v>
          </cell>
          <cell r="F24">
            <v>9</v>
          </cell>
          <cell r="G24">
            <v>0.4</v>
          </cell>
          <cell r="H24">
            <v>270</v>
          </cell>
          <cell r="I24" t="str">
            <v>ТЗ 14дн+1нд доставка</v>
          </cell>
          <cell r="K24">
            <v>7</v>
          </cell>
          <cell r="L24">
            <v>0</v>
          </cell>
          <cell r="P24">
            <v>8</v>
          </cell>
          <cell r="Q24">
            <v>1.4</v>
          </cell>
          <cell r="R24">
            <v>6.7999999999999972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78</v>
          </cell>
          <cell r="E25">
            <v>5</v>
          </cell>
          <cell r="F25">
            <v>73</v>
          </cell>
          <cell r="G25">
            <v>0.4</v>
          </cell>
          <cell r="H25">
            <v>270</v>
          </cell>
          <cell r="I25" t="str">
            <v>ТЗ 14дн+1нд доставка</v>
          </cell>
          <cell r="K25">
            <v>5</v>
          </cell>
          <cell r="L25">
            <v>0</v>
          </cell>
          <cell r="Q25">
            <v>1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105</v>
          </cell>
          <cell r="E26">
            <v>17</v>
          </cell>
          <cell r="F26">
            <v>86</v>
          </cell>
          <cell r="G26">
            <v>0.18</v>
          </cell>
          <cell r="H26">
            <v>270</v>
          </cell>
          <cell r="I26" t="str">
            <v>ТЗ 14дн+1нд доставка</v>
          </cell>
          <cell r="K26">
            <v>17</v>
          </cell>
          <cell r="L26">
            <v>0</v>
          </cell>
          <cell r="P26">
            <v>16</v>
          </cell>
          <cell r="Q26">
            <v>3.4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G27">
            <v>0.2</v>
          </cell>
          <cell r="H27">
            <v>120</v>
          </cell>
          <cell r="L27">
            <v>0</v>
          </cell>
          <cell r="O27">
            <v>48</v>
          </cell>
          <cell r="Q27">
            <v>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G28">
            <v>0</v>
          </cell>
          <cell r="H28">
            <v>180</v>
          </cell>
          <cell r="I28" t="str">
            <v>нет потребности</v>
          </cell>
          <cell r="L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48.97</v>
          </cell>
          <cell r="F29">
            <v>48.97</v>
          </cell>
          <cell r="G29">
            <v>1</v>
          </cell>
          <cell r="H29">
            <v>180</v>
          </cell>
          <cell r="I29" t="str">
            <v>ТЗ 14дн+1нд доставка</v>
          </cell>
          <cell r="L29">
            <v>0</v>
          </cell>
          <cell r="Q29">
            <v>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D30">
            <v>78</v>
          </cell>
          <cell r="E30">
            <v>41</v>
          </cell>
          <cell r="F30">
            <v>32</v>
          </cell>
          <cell r="G30">
            <v>0.18</v>
          </cell>
          <cell r="H30">
            <v>150</v>
          </cell>
          <cell r="I30" t="str">
            <v>ТЗ 14дн+1нд доставка</v>
          </cell>
          <cell r="K30">
            <v>54</v>
          </cell>
          <cell r="L30">
            <v>-13</v>
          </cell>
          <cell r="O30">
            <v>102</v>
          </cell>
          <cell r="Q30">
            <v>8.1999999999999993</v>
          </cell>
          <cell r="R30">
            <v>10</v>
          </cell>
          <cell r="S30">
            <v>50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45</v>
          </cell>
          <cell r="D31">
            <v>46</v>
          </cell>
          <cell r="E31">
            <v>36</v>
          </cell>
          <cell r="F31">
            <v>7</v>
          </cell>
          <cell r="G31">
            <v>0.1</v>
          </cell>
          <cell r="H31">
            <v>90</v>
          </cell>
          <cell r="K31">
            <v>35</v>
          </cell>
          <cell r="L31">
            <v>1</v>
          </cell>
          <cell r="O31">
            <v>112</v>
          </cell>
          <cell r="P31">
            <v>8</v>
          </cell>
          <cell r="Q31">
            <v>7.2</v>
          </cell>
          <cell r="S31">
            <v>50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207</v>
          </cell>
          <cell r="D32">
            <v>89</v>
          </cell>
          <cell r="E32">
            <v>89</v>
          </cell>
          <cell r="F32">
            <v>205</v>
          </cell>
          <cell r="G32">
            <v>0.1</v>
          </cell>
          <cell r="H32">
            <v>60</v>
          </cell>
          <cell r="K32">
            <v>86</v>
          </cell>
          <cell r="L32">
            <v>3</v>
          </cell>
          <cell r="O32">
            <v>80</v>
          </cell>
          <cell r="Q32">
            <v>17.8</v>
          </cell>
          <cell r="R32">
            <v>17.600000000000023</v>
          </cell>
          <cell r="S32">
            <v>50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238</v>
          </cell>
          <cell r="D33">
            <v>48</v>
          </cell>
          <cell r="E33">
            <v>75</v>
          </cell>
          <cell r="F33">
            <v>191</v>
          </cell>
          <cell r="G33">
            <v>0.1</v>
          </cell>
          <cell r="H33">
            <v>90</v>
          </cell>
          <cell r="K33">
            <v>73</v>
          </cell>
          <cell r="L33">
            <v>2</v>
          </cell>
          <cell r="O33">
            <v>48</v>
          </cell>
          <cell r="P33">
            <v>80</v>
          </cell>
          <cell r="Q33">
            <v>15</v>
          </cell>
          <cell r="S33">
            <v>50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D34">
            <v>200</v>
          </cell>
          <cell r="E34">
            <v>163</v>
          </cell>
          <cell r="F34">
            <v>28</v>
          </cell>
          <cell r="G34">
            <v>0.18</v>
          </cell>
          <cell r="H34">
            <v>150</v>
          </cell>
          <cell r="I34" t="str">
            <v>ТЗ 14дн+1нд доставка</v>
          </cell>
          <cell r="K34">
            <v>175</v>
          </cell>
          <cell r="L34">
            <v>-12</v>
          </cell>
          <cell r="O34">
            <v>100</v>
          </cell>
          <cell r="P34">
            <v>50</v>
          </cell>
          <cell r="Q34">
            <v>32.6</v>
          </cell>
          <cell r="R34">
            <v>376.20000000000005</v>
          </cell>
          <cell r="S34">
            <v>500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315</v>
          </cell>
          <cell r="D35">
            <v>130</v>
          </cell>
          <cell r="E35">
            <v>298</v>
          </cell>
          <cell r="F35">
            <v>99</v>
          </cell>
          <cell r="G35">
            <v>0.18</v>
          </cell>
          <cell r="H35">
            <v>150</v>
          </cell>
          <cell r="I35" t="str">
            <v>ТЗ 14дн+1нд доставка</v>
          </cell>
          <cell r="K35">
            <v>342</v>
          </cell>
          <cell r="L35">
            <v>-44</v>
          </cell>
          <cell r="P35">
            <v>550</v>
          </cell>
          <cell r="Q35">
            <v>59.6</v>
          </cell>
          <cell r="R35">
            <v>364.20000000000005</v>
          </cell>
          <cell r="S35">
            <v>500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D36">
            <v>50</v>
          </cell>
          <cell r="E36">
            <v>47</v>
          </cell>
          <cell r="F36">
            <v>1</v>
          </cell>
          <cell r="G36">
            <v>0.18</v>
          </cell>
          <cell r="H36">
            <v>150</v>
          </cell>
          <cell r="I36" t="str">
            <v>ТЗ 14дн+1нд доставка</v>
          </cell>
          <cell r="K36">
            <v>50</v>
          </cell>
          <cell r="L36">
            <v>-3</v>
          </cell>
          <cell r="O36">
            <v>100</v>
          </cell>
          <cell r="P36">
            <v>70</v>
          </cell>
          <cell r="Q36">
            <v>9.4</v>
          </cell>
          <cell r="S36">
            <v>200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D37">
            <v>120</v>
          </cell>
          <cell r="E37">
            <v>47</v>
          </cell>
          <cell r="F37">
            <v>71</v>
          </cell>
          <cell r="G37">
            <v>0.18</v>
          </cell>
          <cell r="H37">
            <v>150</v>
          </cell>
          <cell r="I37" t="str">
            <v>ТЗ 14дн+1нд доставка</v>
          </cell>
          <cell r="K37">
            <v>47</v>
          </cell>
          <cell r="L37">
            <v>0</v>
          </cell>
          <cell r="O37">
            <v>100</v>
          </cell>
          <cell r="Q37">
            <v>9.4</v>
          </cell>
          <cell r="S37">
            <v>200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-8</v>
          </cell>
          <cell r="D38">
            <v>508</v>
          </cell>
          <cell r="E38">
            <v>218</v>
          </cell>
          <cell r="F38">
            <v>270</v>
          </cell>
          <cell r="G38">
            <v>0.18</v>
          </cell>
          <cell r="H38">
            <v>150</v>
          </cell>
          <cell r="I38" t="str">
            <v>ТЗ 14дн+1нд доставка</v>
          </cell>
          <cell r="K38">
            <v>317</v>
          </cell>
          <cell r="L38">
            <v>-99</v>
          </cell>
          <cell r="O38">
            <v>600</v>
          </cell>
          <cell r="P38">
            <v>100</v>
          </cell>
          <cell r="Q38">
            <v>43.6</v>
          </cell>
          <cell r="S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-1</v>
          </cell>
          <cell r="D39">
            <v>201</v>
          </cell>
          <cell r="E39">
            <v>111</v>
          </cell>
          <cell r="F39">
            <v>81</v>
          </cell>
          <cell r="G39">
            <v>0.18</v>
          </cell>
          <cell r="H39">
            <v>150</v>
          </cell>
          <cell r="I39" t="str">
            <v>ТЗ 14дн+1нд доставка</v>
          </cell>
          <cell r="K39">
            <v>117</v>
          </cell>
          <cell r="L39">
            <v>-6</v>
          </cell>
          <cell r="O39">
            <v>200</v>
          </cell>
          <cell r="Q39">
            <v>22.2</v>
          </cell>
          <cell r="R39">
            <v>96.399999999999977</v>
          </cell>
          <cell r="S39">
            <v>200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8</v>
          </cell>
          <cell r="D40">
            <v>8</v>
          </cell>
          <cell r="E40">
            <v>10</v>
          </cell>
          <cell r="F40">
            <v>6</v>
          </cell>
          <cell r="G40">
            <v>0.1</v>
          </cell>
          <cell r="H40">
            <v>60</v>
          </cell>
          <cell r="K40">
            <v>10</v>
          </cell>
          <cell r="L40">
            <v>0</v>
          </cell>
          <cell r="Q40">
            <v>2</v>
          </cell>
          <cell r="R40">
            <v>28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D41">
            <v>96</v>
          </cell>
          <cell r="E41">
            <v>43</v>
          </cell>
          <cell r="F41">
            <v>51</v>
          </cell>
          <cell r="G41">
            <v>0.14000000000000001</v>
          </cell>
          <cell r="H41">
            <v>180</v>
          </cell>
          <cell r="K41">
            <v>52</v>
          </cell>
          <cell r="L41">
            <v>-9</v>
          </cell>
          <cell r="O41">
            <v>80</v>
          </cell>
          <cell r="Q41">
            <v>8.6</v>
          </cell>
          <cell r="R41">
            <v>15.199999999999989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153</v>
          </cell>
          <cell r="D42">
            <v>282</v>
          </cell>
          <cell r="E42">
            <v>86</v>
          </cell>
          <cell r="F42">
            <v>191</v>
          </cell>
          <cell r="G42">
            <v>0.18</v>
          </cell>
          <cell r="H42">
            <v>270</v>
          </cell>
          <cell r="I42" t="str">
            <v>ТЗ 14дн+1нд доставка</v>
          </cell>
          <cell r="K42">
            <v>86</v>
          </cell>
          <cell r="L42">
            <v>0</v>
          </cell>
          <cell r="O42">
            <v>80</v>
          </cell>
          <cell r="P42">
            <v>32</v>
          </cell>
          <cell r="Q42">
            <v>17.2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72.013999999999996</v>
          </cell>
          <cell r="E43">
            <v>6.218</v>
          </cell>
          <cell r="F43">
            <v>62.637999999999998</v>
          </cell>
          <cell r="G43">
            <v>1</v>
          </cell>
          <cell r="H43">
            <v>180</v>
          </cell>
          <cell r="I43" t="str">
            <v>ТЗ 14дн+1нд доставка</v>
          </cell>
          <cell r="K43">
            <v>6.7</v>
          </cell>
          <cell r="L43">
            <v>-0.48200000000000021</v>
          </cell>
          <cell r="Q43">
            <v>1.2436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5.7679999999999998</v>
          </cell>
          <cell r="D44">
            <v>15.46</v>
          </cell>
          <cell r="E44">
            <v>10.204000000000001</v>
          </cell>
          <cell r="F44">
            <v>9.4339999999999993</v>
          </cell>
          <cell r="G44">
            <v>1</v>
          </cell>
          <cell r="H44">
            <v>180</v>
          </cell>
          <cell r="I44" t="str">
            <v>ТЗ 14дн+1нд доставка</v>
          </cell>
          <cell r="K44">
            <v>21</v>
          </cell>
          <cell r="L44">
            <v>-10.795999999999999</v>
          </cell>
          <cell r="O44">
            <v>99</v>
          </cell>
          <cell r="Q44">
            <v>2.0407999999999999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E45">
            <v>3.2</v>
          </cell>
          <cell r="F45">
            <v>-3.2</v>
          </cell>
          <cell r="G45">
            <v>0</v>
          </cell>
          <cell r="I45" t="str">
            <v>дубль</v>
          </cell>
          <cell r="J45" t="str">
            <v>3323 Сыр Российский цилиндр 1/4 пленка ЮКМП м.д.ж. 50%  ОСТАНКИНО</v>
          </cell>
          <cell r="K45">
            <v>6.4</v>
          </cell>
          <cell r="L45">
            <v>-3.2</v>
          </cell>
          <cell r="Q45">
            <v>0.64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D46">
            <v>58.472000000000001</v>
          </cell>
          <cell r="E46">
            <v>47.808</v>
          </cell>
          <cell r="F46">
            <v>9.3719999999999999</v>
          </cell>
          <cell r="G46">
            <v>1</v>
          </cell>
          <cell r="H46">
            <v>180</v>
          </cell>
          <cell r="I46" t="str">
            <v>ТЗ 14дн+1нд доставка</v>
          </cell>
          <cell r="K46">
            <v>48.3</v>
          </cell>
          <cell r="L46">
            <v>-0.49199999999999733</v>
          </cell>
          <cell r="O46">
            <v>82</v>
          </cell>
          <cell r="Q46">
            <v>9.5616000000000003</v>
          </cell>
          <cell r="R46">
            <v>71.175200000000004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C47">
            <v>33.802</v>
          </cell>
          <cell r="E47">
            <v>9.3360000000000003</v>
          </cell>
          <cell r="F47">
            <v>24.466000000000001</v>
          </cell>
          <cell r="G47">
            <v>1</v>
          </cell>
          <cell r="H47">
            <v>180</v>
          </cell>
          <cell r="I47" t="str">
            <v>ТЗ 14дн+1нд доставка</v>
          </cell>
          <cell r="K47">
            <v>9.9</v>
          </cell>
          <cell r="L47">
            <v>-0.56400000000000006</v>
          </cell>
          <cell r="O47">
            <v>33</v>
          </cell>
          <cell r="Q47">
            <v>1.8672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D48">
            <v>420</v>
          </cell>
          <cell r="E48">
            <v>148</v>
          </cell>
          <cell r="F48">
            <v>256</v>
          </cell>
          <cell r="G48">
            <v>0.1</v>
          </cell>
          <cell r="H48">
            <v>60</v>
          </cell>
          <cell r="K48">
            <v>203</v>
          </cell>
          <cell r="L48">
            <v>-55</v>
          </cell>
          <cell r="O48">
            <v>348</v>
          </cell>
          <cell r="Q48">
            <v>29.6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D49">
            <v>252</v>
          </cell>
          <cell r="E49">
            <v>94</v>
          </cell>
          <cell r="F49">
            <v>152</v>
          </cell>
          <cell r="G49">
            <v>0.1</v>
          </cell>
          <cell r="H49">
            <v>90</v>
          </cell>
          <cell r="K49">
            <v>136</v>
          </cell>
          <cell r="L49">
            <v>-42</v>
          </cell>
          <cell r="O49">
            <v>402</v>
          </cell>
          <cell r="Q49">
            <v>18.8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D50">
            <v>114</v>
          </cell>
          <cell r="E50">
            <v>45</v>
          </cell>
          <cell r="F50">
            <v>58</v>
          </cell>
          <cell r="G50">
            <v>0.14000000000000001</v>
          </cell>
          <cell r="H50">
            <v>180</v>
          </cell>
          <cell r="K50">
            <v>62</v>
          </cell>
          <cell r="L50">
            <v>-17</v>
          </cell>
          <cell r="O50">
            <v>64</v>
          </cell>
          <cell r="Q50">
            <v>9</v>
          </cell>
          <cell r="R50">
            <v>31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>
            <v>2</v>
          </cell>
          <cell r="E51">
            <v>16</v>
          </cell>
          <cell r="F51">
            <v>6</v>
          </cell>
          <cell r="G51">
            <v>0.2</v>
          </cell>
          <cell r="H51">
            <v>120</v>
          </cell>
          <cell r="K51">
            <v>16</v>
          </cell>
          <cell r="L51">
            <v>0</v>
          </cell>
          <cell r="O51">
            <v>70</v>
          </cell>
          <cell r="P51">
            <v>40</v>
          </cell>
          <cell r="Q51">
            <v>3.2</v>
          </cell>
          <cell r="S51">
            <v>50</v>
          </cell>
        </row>
        <row r="52">
          <cell r="A52" t="str">
            <v>Сыч/Прод Коровино Российский 50% 200г СЗМЖ  Останкино</v>
          </cell>
          <cell r="B52" t="str">
            <v>шт</v>
          </cell>
          <cell r="D52">
            <v>20</v>
          </cell>
          <cell r="F52">
            <v>20</v>
          </cell>
          <cell r="G52">
            <v>0</v>
          </cell>
          <cell r="I52" t="str">
            <v>дубль</v>
          </cell>
          <cell r="J52" t="str">
            <v>Сыч/Прод Коровино Российский 50% 200г НОВАЯ СЗМЖ  ОСТАНКИНО</v>
          </cell>
          <cell r="L52">
            <v>0</v>
          </cell>
          <cell r="Q52">
            <v>0</v>
          </cell>
        </row>
        <row r="53">
          <cell r="A53" t="str">
            <v>Сыч/Прод Коровино Российский Оригин 50% ВЕС НОВАЯ (3,5 кг)  ОСТАНКИНО</v>
          </cell>
          <cell r="B53" t="str">
            <v>кг</v>
          </cell>
          <cell r="C53">
            <v>163.94200000000001</v>
          </cell>
          <cell r="D53">
            <v>56.04</v>
          </cell>
          <cell r="E53">
            <v>3.0819999999999999</v>
          </cell>
          <cell r="F53">
            <v>160.86000000000001</v>
          </cell>
          <cell r="G53">
            <v>1</v>
          </cell>
          <cell r="H53">
            <v>120</v>
          </cell>
          <cell r="I53" t="str">
            <v>ТЗ 14дн+1нд доставка</v>
          </cell>
          <cell r="K53">
            <v>3.5</v>
          </cell>
          <cell r="L53">
            <v>-0.41800000000000015</v>
          </cell>
          <cell r="O53">
            <v>45</v>
          </cell>
          <cell r="Q53">
            <v>0.61639999999999995</v>
          </cell>
          <cell r="S53">
            <v>500</v>
          </cell>
        </row>
        <row r="54">
          <cell r="A54" t="str">
            <v>Сыч/Прод Коровино Тильзитер 50% 200г НОВАЯ СЗМЖ  ОСТАНКИНО</v>
          </cell>
          <cell r="B54" t="str">
            <v>шт</v>
          </cell>
          <cell r="C54">
            <v>47</v>
          </cell>
          <cell r="D54">
            <v>10</v>
          </cell>
          <cell r="E54">
            <v>22</v>
          </cell>
          <cell r="F54">
            <v>24</v>
          </cell>
          <cell r="G54">
            <v>0.2</v>
          </cell>
          <cell r="H54">
            <v>120</v>
          </cell>
          <cell r="K54">
            <v>18</v>
          </cell>
          <cell r="L54">
            <v>4</v>
          </cell>
          <cell r="O54">
            <v>50</v>
          </cell>
          <cell r="Q54">
            <v>4.4000000000000004</v>
          </cell>
          <cell r="S54">
            <v>50</v>
          </cell>
        </row>
        <row r="55">
          <cell r="A55" t="str">
            <v>Сыч/Прод Коровино Тильзитер 50% 200г СЗМЖ  ОСТАНКИНО</v>
          </cell>
          <cell r="B55" t="str">
            <v>шт</v>
          </cell>
          <cell r="C55">
            <v>-9</v>
          </cell>
          <cell r="D55">
            <v>47</v>
          </cell>
          <cell r="E55">
            <v>4</v>
          </cell>
          <cell r="F55">
            <v>34</v>
          </cell>
          <cell r="G55">
            <v>0</v>
          </cell>
          <cell r="I55" t="str">
            <v>дубль</v>
          </cell>
          <cell r="J55" t="str">
            <v>Сыч/Прод Коровино Тильзитер 50% 200г НОВАЯ СЗМЖ  ОСТАНКИНО</v>
          </cell>
          <cell r="K55">
            <v>4</v>
          </cell>
          <cell r="L55">
            <v>0</v>
          </cell>
          <cell r="Q55">
            <v>0.8</v>
          </cell>
        </row>
        <row r="56">
          <cell r="A56" t="str">
            <v>Сыч/Прод Коровино Тильзитер Оригин 50% ВЕС (5 кг брус) СЗМЖ  ОСТАНКИНО</v>
          </cell>
          <cell r="B56" t="str">
            <v>кг</v>
          </cell>
          <cell r="E56">
            <v>3.6739999999999999</v>
          </cell>
          <cell r="F56">
            <v>-3.6739999999999999</v>
          </cell>
          <cell r="G56">
            <v>0</v>
          </cell>
          <cell r="I56" t="str">
            <v>дубль</v>
          </cell>
          <cell r="J56" t="str">
            <v>Сыч/Прод Коровино Тильзитер Оригин 50% ВЕС НОВАЯ (5 кг брус) СЗМЖ  ОСТАНКИНО</v>
          </cell>
          <cell r="K56">
            <v>3.5</v>
          </cell>
          <cell r="L56">
            <v>0.17399999999999993</v>
          </cell>
          <cell r="Q56">
            <v>0.73480000000000001</v>
          </cell>
        </row>
        <row r="57">
          <cell r="A57" t="str">
            <v>Сыч/Прод Коровино Тильзитер Оригин 50% ВЕС НОВАЯ (5 кг брус) СЗМЖ  ОСТАНКИНО</v>
          </cell>
          <cell r="B57" t="str">
            <v>кг</v>
          </cell>
          <cell r="C57">
            <v>116.099</v>
          </cell>
          <cell r="D57">
            <v>76.436999999999998</v>
          </cell>
          <cell r="E57">
            <v>38.262999999999998</v>
          </cell>
          <cell r="F57">
            <v>78.73599999999999</v>
          </cell>
          <cell r="G57">
            <v>1</v>
          </cell>
          <cell r="H57">
            <v>120</v>
          </cell>
          <cell r="I57" t="str">
            <v>ТЗ 14дн+1нд доставка</v>
          </cell>
          <cell r="K57">
            <v>28.5</v>
          </cell>
          <cell r="L57">
            <v>9.7629999999999981</v>
          </cell>
          <cell r="O57">
            <v>195</v>
          </cell>
          <cell r="Q57">
            <v>7.6525999999999996</v>
          </cell>
          <cell r="S57">
            <v>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0" width="7" customWidth="1"/>
    <col min="21" max="21" width="7" style="20" customWidth="1"/>
    <col min="22" max="23" width="5" customWidth="1"/>
    <col min="24" max="33" width="6" customWidth="1"/>
    <col min="34" max="34" width="46.5703125" customWidth="1"/>
    <col min="35" max="35" width="7" customWidth="1"/>
    <col min="36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108</v>
      </c>
      <c r="T3" s="3" t="s">
        <v>111</v>
      </c>
      <c r="U3" s="3" t="s">
        <v>109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 t="s">
        <v>112</v>
      </c>
      <c r="U4" s="1" t="s">
        <v>110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3743.3989999999994</v>
      </c>
      <c r="F5" s="4">
        <f>SUM(F6:F500)</f>
        <v>5227.5000000000009</v>
      </c>
      <c r="G5" s="7"/>
      <c r="H5" s="1"/>
      <c r="I5" s="1"/>
      <c r="J5" s="1"/>
      <c r="K5" s="4">
        <f t="shared" ref="K5:U5" si="0">SUM(K6:K500)</f>
        <v>4232.5339999999997</v>
      </c>
      <c r="L5" s="4">
        <f t="shared" si="0"/>
        <v>-489.1350000000001</v>
      </c>
      <c r="M5" s="4">
        <f t="shared" si="0"/>
        <v>0</v>
      </c>
      <c r="N5" s="4">
        <f t="shared" si="0"/>
        <v>0</v>
      </c>
      <c r="O5" s="4">
        <f t="shared" si="0"/>
        <v>5844</v>
      </c>
      <c r="P5" s="4">
        <f t="shared" si="0"/>
        <v>1609</v>
      </c>
      <c r="Q5" s="4">
        <f t="shared" si="0"/>
        <v>748.67979999999989</v>
      </c>
      <c r="R5" s="4">
        <f t="shared" si="0"/>
        <v>2611.3428000000004</v>
      </c>
      <c r="S5" s="4">
        <f t="shared" si="0"/>
        <v>5471.3427999999994</v>
      </c>
      <c r="T5" s="4">
        <f t="shared" si="0"/>
        <v>5439</v>
      </c>
      <c r="U5" s="4">
        <f t="shared" si="0"/>
        <v>5200</v>
      </c>
      <c r="V5" s="1"/>
      <c r="W5" s="1"/>
      <c r="X5" s="4">
        <f t="shared" ref="X5:AG5" si="1">SUM(X6:X500)</f>
        <v>556.11720000000003</v>
      </c>
      <c r="Y5" s="4">
        <f t="shared" si="1"/>
        <v>481.44800000000009</v>
      </c>
      <c r="Z5" s="4">
        <f t="shared" si="1"/>
        <v>688.80179999999984</v>
      </c>
      <c r="AA5" s="4">
        <f t="shared" si="1"/>
        <v>535.40820000000008</v>
      </c>
      <c r="AB5" s="4">
        <f t="shared" si="1"/>
        <v>485.86180000000007</v>
      </c>
      <c r="AC5" s="4">
        <f t="shared" si="1"/>
        <v>809.21119999999996</v>
      </c>
      <c r="AD5" s="4">
        <f t="shared" si="1"/>
        <v>613.03380000000004</v>
      </c>
      <c r="AE5" s="4">
        <f t="shared" si="1"/>
        <v>553.48760000000016</v>
      </c>
      <c r="AF5" s="4">
        <f t="shared" si="1"/>
        <v>802.63360000000011</v>
      </c>
      <c r="AG5" s="4">
        <f t="shared" si="1"/>
        <v>614.32119999999998</v>
      </c>
      <c r="AH5" s="1"/>
      <c r="AI5" s="4">
        <f>SUM(AI6:AI500)</f>
        <v>2028.9627999999998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4</v>
      </c>
      <c r="D6" s="1">
        <v>25</v>
      </c>
      <c r="E6" s="1">
        <v>7</v>
      </c>
      <c r="F6" s="1">
        <v>22</v>
      </c>
      <c r="G6" s="7">
        <v>5.5E-2</v>
      </c>
      <c r="H6" s="1">
        <v>120</v>
      </c>
      <c r="I6" s="1"/>
      <c r="J6" s="1"/>
      <c r="K6" s="1">
        <v>7</v>
      </c>
      <c r="L6" s="1">
        <f t="shared" ref="L6:L37" si="2">E6-K6</f>
        <v>0</v>
      </c>
      <c r="M6" s="1"/>
      <c r="N6" s="1"/>
      <c r="O6" s="1"/>
      <c r="P6" s="1"/>
      <c r="Q6" s="1">
        <f t="shared" ref="Q6:Q37" si="3">E6/5</f>
        <v>1.4</v>
      </c>
      <c r="R6" s="5"/>
      <c r="S6" s="5">
        <f>R6</f>
        <v>0</v>
      </c>
      <c r="T6" s="5"/>
      <c r="U6" s="19"/>
      <c r="V6" s="1">
        <f>(F6+O6+P6+S6)/Q6</f>
        <v>15.714285714285715</v>
      </c>
      <c r="W6" s="1">
        <f t="shared" ref="W6:W37" si="4">(F6+O6+P6)/Q6</f>
        <v>15.714285714285715</v>
      </c>
      <c r="X6" s="1">
        <v>0</v>
      </c>
      <c r="Y6" s="1">
        <v>0.4</v>
      </c>
      <c r="Z6" s="1">
        <v>1.4</v>
      </c>
      <c r="AA6" s="1">
        <v>0.2</v>
      </c>
      <c r="AB6" s="1">
        <v>0.6</v>
      </c>
      <c r="AC6" s="1">
        <v>0</v>
      </c>
      <c r="AD6" s="1">
        <v>0.4</v>
      </c>
      <c r="AE6" s="1">
        <v>1.2</v>
      </c>
      <c r="AF6" s="1">
        <v>1</v>
      </c>
      <c r="AG6" s="1">
        <v>1</v>
      </c>
      <c r="AH6" s="9" t="s">
        <v>107</v>
      </c>
      <c r="AI6" s="1">
        <f>G6*S6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36</v>
      </c>
      <c r="C7" s="1">
        <v>42</v>
      </c>
      <c r="D7" s="1">
        <v>28</v>
      </c>
      <c r="E7" s="1">
        <v>5</v>
      </c>
      <c r="F7" s="1">
        <v>41</v>
      </c>
      <c r="G7" s="7">
        <v>0.1</v>
      </c>
      <c r="H7" s="1">
        <v>120</v>
      </c>
      <c r="I7" s="1"/>
      <c r="J7" s="1"/>
      <c r="K7" s="1">
        <v>5</v>
      </c>
      <c r="L7" s="1">
        <f t="shared" si="2"/>
        <v>0</v>
      </c>
      <c r="M7" s="1"/>
      <c r="N7" s="1"/>
      <c r="O7" s="1"/>
      <c r="P7" s="1"/>
      <c r="Q7" s="1">
        <f t="shared" si="3"/>
        <v>1</v>
      </c>
      <c r="R7" s="5"/>
      <c r="S7" s="5">
        <f t="shared" ref="S7:S56" si="5">R7</f>
        <v>0</v>
      </c>
      <c r="T7" s="5"/>
      <c r="U7" s="19"/>
      <c r="V7" s="1">
        <f t="shared" ref="V7:V57" si="6">(F7+O7+P7+S7)/Q7</f>
        <v>41</v>
      </c>
      <c r="W7" s="1">
        <f t="shared" si="4"/>
        <v>41</v>
      </c>
      <c r="X7" s="1">
        <v>0</v>
      </c>
      <c r="Y7" s="1">
        <v>1</v>
      </c>
      <c r="Z7" s="1">
        <v>1.2</v>
      </c>
      <c r="AA7" s="1">
        <v>1.4</v>
      </c>
      <c r="AB7" s="1">
        <v>0.2</v>
      </c>
      <c r="AC7" s="1">
        <v>0</v>
      </c>
      <c r="AD7" s="1">
        <v>0.4</v>
      </c>
      <c r="AE7" s="1">
        <v>1.6</v>
      </c>
      <c r="AF7" s="1">
        <v>1.2</v>
      </c>
      <c r="AG7" s="1">
        <v>1.2</v>
      </c>
      <c r="AH7" s="17" t="s">
        <v>38</v>
      </c>
      <c r="AI7" s="1">
        <f t="shared" ref="AI7:AI57" si="7">G7*S7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15</v>
      </c>
      <c r="D8" s="1">
        <v>24</v>
      </c>
      <c r="E8" s="1">
        <v>8</v>
      </c>
      <c r="F8" s="1">
        <v>31</v>
      </c>
      <c r="G8" s="7">
        <v>0.1</v>
      </c>
      <c r="H8" s="1">
        <v>120</v>
      </c>
      <c r="I8" s="1"/>
      <c r="J8" s="1"/>
      <c r="K8" s="1">
        <v>8</v>
      </c>
      <c r="L8" s="1">
        <f t="shared" si="2"/>
        <v>0</v>
      </c>
      <c r="M8" s="1"/>
      <c r="N8" s="1"/>
      <c r="O8" s="1"/>
      <c r="P8" s="1"/>
      <c r="Q8" s="1">
        <f t="shared" si="3"/>
        <v>1.6</v>
      </c>
      <c r="R8" s="5"/>
      <c r="S8" s="5">
        <f t="shared" si="5"/>
        <v>0</v>
      </c>
      <c r="T8" s="5"/>
      <c r="U8" s="19"/>
      <c r="V8" s="1">
        <f t="shared" si="6"/>
        <v>19.375</v>
      </c>
      <c r="W8" s="1">
        <f t="shared" si="4"/>
        <v>19.375</v>
      </c>
      <c r="X8" s="1">
        <v>0</v>
      </c>
      <c r="Y8" s="1">
        <v>1</v>
      </c>
      <c r="Z8" s="1">
        <v>1</v>
      </c>
      <c r="AA8" s="1">
        <v>0</v>
      </c>
      <c r="AB8" s="1">
        <v>0.8</v>
      </c>
      <c r="AC8" s="1">
        <v>0</v>
      </c>
      <c r="AD8" s="1">
        <v>0</v>
      </c>
      <c r="AE8" s="1">
        <v>0.8</v>
      </c>
      <c r="AF8" s="1">
        <v>1.2</v>
      </c>
      <c r="AG8" s="1">
        <v>1.6</v>
      </c>
      <c r="AH8" s="9"/>
      <c r="AI8" s="1">
        <f t="shared" si="7"/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9" t="s">
        <v>40</v>
      </c>
      <c r="B9" s="1" t="s">
        <v>41</v>
      </c>
      <c r="C9" s="1">
        <v>199.744</v>
      </c>
      <c r="D9" s="1">
        <v>249.26599999999999</v>
      </c>
      <c r="E9" s="14">
        <f>78.584+E45</f>
        <v>81.784000000000006</v>
      </c>
      <c r="F9" s="14">
        <f>168.098+F45</f>
        <v>164.89800000000002</v>
      </c>
      <c r="G9" s="7">
        <v>1</v>
      </c>
      <c r="H9" s="1">
        <v>120</v>
      </c>
      <c r="I9" s="1" t="s">
        <v>42</v>
      </c>
      <c r="J9" s="1"/>
      <c r="K9" s="1">
        <v>85.034000000000006</v>
      </c>
      <c r="L9" s="1">
        <f t="shared" si="2"/>
        <v>-3.25</v>
      </c>
      <c r="M9" s="1"/>
      <c r="N9" s="1"/>
      <c r="O9" s="1">
        <v>100</v>
      </c>
      <c r="P9" s="1"/>
      <c r="Q9" s="1">
        <f t="shared" si="3"/>
        <v>16.3568</v>
      </c>
      <c r="R9" s="5">
        <f t="shared" ref="R9:R24" si="8">17*Q9-P9-O9-F9</f>
        <v>13.167599999999993</v>
      </c>
      <c r="S9" s="5">
        <f t="shared" si="5"/>
        <v>13.167599999999993</v>
      </c>
      <c r="T9" s="5">
        <f>VLOOKUP(A9,заказ!A:B,2,0)</f>
        <v>15</v>
      </c>
      <c r="U9" s="19"/>
      <c r="V9" s="1">
        <f t="shared" si="6"/>
        <v>17</v>
      </c>
      <c r="W9" s="1">
        <f t="shared" si="4"/>
        <v>16.194977012618608</v>
      </c>
      <c r="X9" s="1">
        <v>6.4296000000000006</v>
      </c>
      <c r="Y9" s="1">
        <v>6.2531999999999996</v>
      </c>
      <c r="Z9" s="1">
        <v>9.1048000000000009</v>
      </c>
      <c r="AA9" s="1">
        <v>18.5504</v>
      </c>
      <c r="AB9" s="1">
        <v>11.003</v>
      </c>
      <c r="AC9" s="1">
        <v>11.139200000000001</v>
      </c>
      <c r="AD9" s="1">
        <v>9.8320000000000007</v>
      </c>
      <c r="AE9" s="1">
        <v>7.8068</v>
      </c>
      <c r="AF9" s="1">
        <v>12.0304</v>
      </c>
      <c r="AG9" s="1">
        <v>13.2544</v>
      </c>
      <c r="AH9" s="1"/>
      <c r="AI9" s="1">
        <f t="shared" si="7"/>
        <v>13.167599999999993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5" t="s">
        <v>43</v>
      </c>
      <c r="B10" s="1" t="s">
        <v>36</v>
      </c>
      <c r="C10" s="1"/>
      <c r="D10" s="1"/>
      <c r="E10" s="1">
        <v>-9</v>
      </c>
      <c r="F10" s="1"/>
      <c r="G10" s="7">
        <v>0.18</v>
      </c>
      <c r="H10" s="1">
        <v>180</v>
      </c>
      <c r="I10" s="1" t="s">
        <v>42</v>
      </c>
      <c r="J10" s="1"/>
      <c r="K10" s="1">
        <v>9</v>
      </c>
      <c r="L10" s="1">
        <f t="shared" si="2"/>
        <v>-18</v>
      </c>
      <c r="M10" s="1"/>
      <c r="N10" s="1"/>
      <c r="O10" s="1">
        <v>0</v>
      </c>
      <c r="P10" s="1">
        <v>0</v>
      </c>
      <c r="Q10" s="1">
        <f t="shared" si="3"/>
        <v>-1.8</v>
      </c>
      <c r="R10" s="5">
        <v>12</v>
      </c>
      <c r="S10" s="5">
        <f>U10</f>
        <v>50</v>
      </c>
      <c r="T10" s="5">
        <f>VLOOKUP(A10,заказ!A:B,2,0)</f>
        <v>48</v>
      </c>
      <c r="U10" s="19">
        <f>VLOOKUP(A10,[1]Sheet!$A:$S,19,0)</f>
        <v>50</v>
      </c>
      <c r="V10" s="1">
        <f t="shared" si="6"/>
        <v>-27.777777777777779</v>
      </c>
      <c r="W10" s="1">
        <f t="shared" si="4"/>
        <v>0</v>
      </c>
      <c r="X10" s="1">
        <v>0</v>
      </c>
      <c r="Y10" s="1">
        <v>0</v>
      </c>
      <c r="Z10" s="1">
        <v>0</v>
      </c>
      <c r="AA10" s="1">
        <v>0</v>
      </c>
      <c r="AB10" s="1">
        <v>-9.6</v>
      </c>
      <c r="AC10" s="1">
        <v>-12.6</v>
      </c>
      <c r="AD10" s="1">
        <v>118.8</v>
      </c>
      <c r="AE10" s="1">
        <v>0.6</v>
      </c>
      <c r="AF10" s="1">
        <v>-0.4</v>
      </c>
      <c r="AG10" s="1">
        <v>0</v>
      </c>
      <c r="AH10" s="1" t="s">
        <v>44</v>
      </c>
      <c r="AI10" s="1">
        <f t="shared" si="7"/>
        <v>9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5" t="s">
        <v>45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42</v>
      </c>
      <c r="J11" s="1"/>
      <c r="K11" s="1">
        <v>9</v>
      </c>
      <c r="L11" s="1">
        <f t="shared" si="2"/>
        <v>-9</v>
      </c>
      <c r="M11" s="1"/>
      <c r="N11" s="1"/>
      <c r="O11" s="1">
        <v>0</v>
      </c>
      <c r="P11" s="1">
        <v>0</v>
      </c>
      <c r="Q11" s="1">
        <f t="shared" si="3"/>
        <v>0</v>
      </c>
      <c r="R11" s="5">
        <v>12</v>
      </c>
      <c r="S11" s="5">
        <f>U11</f>
        <v>50</v>
      </c>
      <c r="T11" s="5">
        <f>VLOOKUP(A11,заказ!A:B,2,0)</f>
        <v>48</v>
      </c>
      <c r="U11" s="19">
        <f>VLOOKUP(A11,[1]Sheet!$A:$S,19,0)</f>
        <v>50</v>
      </c>
      <c r="V11" s="1" t="e">
        <f t="shared" si="6"/>
        <v>#DIV/0!</v>
      </c>
      <c r="W11" s="1" t="e">
        <f t="shared" si="4"/>
        <v>#DIV/0!</v>
      </c>
      <c r="X11" s="1">
        <v>0</v>
      </c>
      <c r="Y11" s="1">
        <v>0</v>
      </c>
      <c r="Z11" s="1">
        <v>0</v>
      </c>
      <c r="AA11" s="1">
        <v>0</v>
      </c>
      <c r="AB11" s="1">
        <v>-0.2</v>
      </c>
      <c r="AC11" s="1">
        <v>2.8</v>
      </c>
      <c r="AD11" s="1">
        <v>-0.2</v>
      </c>
      <c r="AE11" s="1">
        <v>1.2</v>
      </c>
      <c r="AF11" s="1">
        <v>23.4</v>
      </c>
      <c r="AG11" s="1">
        <v>-0.4</v>
      </c>
      <c r="AH11" s="1" t="s">
        <v>44</v>
      </c>
      <c r="AI11" s="1">
        <f t="shared" si="7"/>
        <v>9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5" t="s">
        <v>46</v>
      </c>
      <c r="B12" s="1" t="s">
        <v>41</v>
      </c>
      <c r="C12" s="1"/>
      <c r="D12" s="1">
        <v>17.956</v>
      </c>
      <c r="E12" s="1">
        <v>14.83</v>
      </c>
      <c r="F12" s="1"/>
      <c r="G12" s="7">
        <v>1</v>
      </c>
      <c r="H12" s="1">
        <v>180</v>
      </c>
      <c r="I12" s="1" t="s">
        <v>42</v>
      </c>
      <c r="J12" s="1"/>
      <c r="K12" s="1">
        <v>26.7</v>
      </c>
      <c r="L12" s="1">
        <f t="shared" si="2"/>
        <v>-11.87</v>
      </c>
      <c r="M12" s="1"/>
      <c r="N12" s="1"/>
      <c r="O12" s="1">
        <v>66</v>
      </c>
      <c r="P12" s="1">
        <v>99</v>
      </c>
      <c r="Q12" s="1">
        <f t="shared" si="3"/>
        <v>2.9660000000000002</v>
      </c>
      <c r="R12" s="5"/>
      <c r="S12" s="5">
        <f t="shared" si="5"/>
        <v>0</v>
      </c>
      <c r="T12" s="5"/>
      <c r="U12" s="19"/>
      <c r="V12" s="1">
        <f t="shared" si="6"/>
        <v>55.630478759271746</v>
      </c>
      <c r="W12" s="1">
        <f t="shared" si="4"/>
        <v>55.630478759271746</v>
      </c>
      <c r="X12" s="1">
        <v>8.3856000000000002</v>
      </c>
      <c r="Y12" s="1">
        <v>1.9</v>
      </c>
      <c r="Z12" s="1">
        <v>1.3184</v>
      </c>
      <c r="AA12" s="1">
        <v>3.1696</v>
      </c>
      <c r="AB12" s="1">
        <v>1.2887999999999999</v>
      </c>
      <c r="AC12" s="1">
        <v>0.63559999999999994</v>
      </c>
      <c r="AD12" s="1">
        <v>1.2452000000000001</v>
      </c>
      <c r="AE12" s="1">
        <v>0.61959999999999993</v>
      </c>
      <c r="AF12" s="1">
        <v>2.4516</v>
      </c>
      <c r="AG12" s="1">
        <v>3.2412000000000001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5" t="s">
        <v>47</v>
      </c>
      <c r="B13" s="1" t="s">
        <v>36</v>
      </c>
      <c r="C13" s="1"/>
      <c r="D13" s="1">
        <v>96</v>
      </c>
      <c r="E13" s="1"/>
      <c r="F13" s="1">
        <v>96</v>
      </c>
      <c r="G13" s="7">
        <v>0.82450000000000001</v>
      </c>
      <c r="H13" s="1">
        <v>180</v>
      </c>
      <c r="I13" s="1" t="s">
        <v>42</v>
      </c>
      <c r="J13" s="1"/>
      <c r="K13" s="1"/>
      <c r="L13" s="1">
        <f t="shared" si="2"/>
        <v>0</v>
      </c>
      <c r="M13" s="1"/>
      <c r="N13" s="1"/>
      <c r="O13" s="1">
        <v>48</v>
      </c>
      <c r="P13" s="1"/>
      <c r="Q13" s="1">
        <f t="shared" si="3"/>
        <v>0</v>
      </c>
      <c r="R13" s="5"/>
      <c r="S13" s="5">
        <f t="shared" si="5"/>
        <v>0</v>
      </c>
      <c r="T13" s="5"/>
      <c r="U13" s="19"/>
      <c r="V13" s="1" t="e">
        <f t="shared" si="6"/>
        <v>#DIV/0!</v>
      </c>
      <c r="W13" s="1" t="e">
        <f t="shared" si="4"/>
        <v>#DIV/0!</v>
      </c>
      <c r="X13" s="1">
        <v>0</v>
      </c>
      <c r="Y13" s="1">
        <v>0</v>
      </c>
      <c r="Z13" s="1">
        <v>0.4</v>
      </c>
      <c r="AA13" s="1">
        <v>0.8</v>
      </c>
      <c r="AB13" s="1">
        <v>0.4</v>
      </c>
      <c r="AC13" s="1">
        <v>0</v>
      </c>
      <c r="AD13" s="1">
        <v>0.2</v>
      </c>
      <c r="AE13" s="1">
        <v>9.6</v>
      </c>
      <c r="AF13" s="1">
        <v>0.4</v>
      </c>
      <c r="AG13" s="1">
        <v>0.6</v>
      </c>
      <c r="AH13" s="1" t="s">
        <v>48</v>
      </c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5" t="s">
        <v>49</v>
      </c>
      <c r="B14" s="1" t="s">
        <v>36</v>
      </c>
      <c r="C14" s="1">
        <v>283</v>
      </c>
      <c r="D14" s="1">
        <v>146</v>
      </c>
      <c r="E14" s="1">
        <v>95</v>
      </c>
      <c r="F14" s="1">
        <v>331</v>
      </c>
      <c r="G14" s="7">
        <v>0.372</v>
      </c>
      <c r="H14" s="1">
        <v>180</v>
      </c>
      <c r="I14" s="1" t="s">
        <v>42</v>
      </c>
      <c r="J14" s="1"/>
      <c r="K14" s="1">
        <v>95</v>
      </c>
      <c r="L14" s="1">
        <f t="shared" si="2"/>
        <v>0</v>
      </c>
      <c r="M14" s="1"/>
      <c r="N14" s="1"/>
      <c r="O14" s="1">
        <v>96</v>
      </c>
      <c r="P14" s="1"/>
      <c r="Q14" s="1">
        <f t="shared" si="3"/>
        <v>19</v>
      </c>
      <c r="R14" s="5"/>
      <c r="S14" s="5">
        <f t="shared" ref="S14:S17" si="9">U14</f>
        <v>50</v>
      </c>
      <c r="T14" s="5">
        <f>VLOOKUP(A14,заказ!A:B,2,0)</f>
        <v>48</v>
      </c>
      <c r="U14" s="19">
        <f>VLOOKUP(A14,[1]Sheet!$A:$S,19,0)</f>
        <v>50</v>
      </c>
      <c r="V14" s="1">
        <f t="shared" si="6"/>
        <v>25.105263157894736</v>
      </c>
      <c r="W14" s="1">
        <f t="shared" si="4"/>
        <v>22.473684210526315</v>
      </c>
      <c r="X14" s="1">
        <v>17.600000000000001</v>
      </c>
      <c r="Y14" s="1">
        <v>9.8000000000000007</v>
      </c>
      <c r="Z14" s="1">
        <v>18.600000000000001</v>
      </c>
      <c r="AA14" s="1">
        <v>27.4</v>
      </c>
      <c r="AB14" s="1">
        <v>18</v>
      </c>
      <c r="AC14" s="1">
        <v>35.4</v>
      </c>
      <c r="AD14" s="1">
        <v>16.2</v>
      </c>
      <c r="AE14" s="1">
        <v>25.8</v>
      </c>
      <c r="AF14" s="1">
        <v>10</v>
      </c>
      <c r="AG14" s="1">
        <v>15.2</v>
      </c>
      <c r="AH14" s="1"/>
      <c r="AI14" s="1">
        <f t="shared" si="7"/>
        <v>18.600000000000001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5" t="s">
        <v>50</v>
      </c>
      <c r="B15" s="1" t="s">
        <v>36</v>
      </c>
      <c r="C15" s="1">
        <v>154</v>
      </c>
      <c r="D15" s="1">
        <v>216</v>
      </c>
      <c r="E15" s="1">
        <v>-4</v>
      </c>
      <c r="F15" s="1">
        <v>317</v>
      </c>
      <c r="G15" s="7">
        <v>0.74399999999999999</v>
      </c>
      <c r="H15" s="1">
        <v>180</v>
      </c>
      <c r="I15" s="1" t="s">
        <v>42</v>
      </c>
      <c r="J15" s="1"/>
      <c r="K15" s="1">
        <v>53</v>
      </c>
      <c r="L15" s="1">
        <f t="shared" si="2"/>
        <v>-57</v>
      </c>
      <c r="M15" s="1"/>
      <c r="N15" s="1"/>
      <c r="O15" s="1">
        <v>96</v>
      </c>
      <c r="P15" s="1"/>
      <c r="Q15" s="1">
        <f t="shared" si="3"/>
        <v>-0.8</v>
      </c>
      <c r="R15" s="5"/>
      <c r="S15" s="5">
        <f t="shared" si="9"/>
        <v>50</v>
      </c>
      <c r="T15" s="5">
        <f>VLOOKUP(A15,заказ!A:B,2,0)</f>
        <v>48</v>
      </c>
      <c r="U15" s="19">
        <f>VLOOKUP(A15,[1]Sheet!$A:$S,19,0)</f>
        <v>50</v>
      </c>
      <c r="V15" s="1">
        <f t="shared" si="6"/>
        <v>-578.75</v>
      </c>
      <c r="W15" s="1">
        <f t="shared" si="4"/>
        <v>-516.25</v>
      </c>
      <c r="X15" s="1">
        <v>5.2</v>
      </c>
      <c r="Y15" s="1">
        <v>-5.8</v>
      </c>
      <c r="Z15" s="1">
        <v>29.4</v>
      </c>
      <c r="AA15" s="1">
        <v>18.2</v>
      </c>
      <c r="AB15" s="1">
        <v>11.4</v>
      </c>
      <c r="AC15" s="1">
        <v>27.6</v>
      </c>
      <c r="AD15" s="1">
        <v>7.6</v>
      </c>
      <c r="AE15" s="1">
        <v>7.4</v>
      </c>
      <c r="AF15" s="1">
        <v>3.2</v>
      </c>
      <c r="AG15" s="1">
        <v>21.8</v>
      </c>
      <c r="AH15" s="17" t="s">
        <v>38</v>
      </c>
      <c r="AI15" s="1">
        <f t="shared" si="7"/>
        <v>37.200000000000003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5" t="s">
        <v>51</v>
      </c>
      <c r="B16" s="1" t="s">
        <v>36</v>
      </c>
      <c r="C16" s="1"/>
      <c r="D16" s="1">
        <v>305</v>
      </c>
      <c r="E16" s="1">
        <v>211</v>
      </c>
      <c r="F16" s="1">
        <v>82</v>
      </c>
      <c r="G16" s="7">
        <v>0.372</v>
      </c>
      <c r="H16" s="1">
        <v>180</v>
      </c>
      <c r="I16" s="1" t="s">
        <v>42</v>
      </c>
      <c r="J16" s="1"/>
      <c r="K16" s="1">
        <v>238</v>
      </c>
      <c r="L16" s="1">
        <f t="shared" si="2"/>
        <v>-27</v>
      </c>
      <c r="M16" s="1"/>
      <c r="N16" s="1"/>
      <c r="O16" s="1">
        <v>96</v>
      </c>
      <c r="P16" s="1">
        <v>144</v>
      </c>
      <c r="Q16" s="1">
        <f t="shared" si="3"/>
        <v>42.2</v>
      </c>
      <c r="R16" s="5">
        <f t="shared" si="8"/>
        <v>395.40000000000009</v>
      </c>
      <c r="S16" s="5">
        <f t="shared" si="9"/>
        <v>50</v>
      </c>
      <c r="T16" s="5">
        <f>VLOOKUP(A16,заказ!A:B,2,0)</f>
        <v>48</v>
      </c>
      <c r="U16" s="19">
        <f>VLOOKUP(A16,[1]Sheet!$A:$S,19,0)</f>
        <v>50</v>
      </c>
      <c r="V16" s="1">
        <f t="shared" si="6"/>
        <v>8.8151658767772503</v>
      </c>
      <c r="W16" s="1">
        <f t="shared" si="4"/>
        <v>7.6303317535545014</v>
      </c>
      <c r="X16" s="1">
        <v>27.8</v>
      </c>
      <c r="Y16" s="1">
        <v>4.8</v>
      </c>
      <c r="Z16" s="1">
        <v>37.200000000000003</v>
      </c>
      <c r="AA16" s="1">
        <v>22.2</v>
      </c>
      <c r="AB16" s="1">
        <v>25</v>
      </c>
      <c r="AC16" s="1">
        <v>53.2</v>
      </c>
      <c r="AD16" s="1">
        <v>26.4</v>
      </c>
      <c r="AE16" s="1">
        <v>39</v>
      </c>
      <c r="AF16" s="1">
        <v>23</v>
      </c>
      <c r="AG16" s="1">
        <v>32.6</v>
      </c>
      <c r="AH16" s="1"/>
      <c r="AI16" s="1">
        <f t="shared" si="7"/>
        <v>18.600000000000001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5" t="s">
        <v>52</v>
      </c>
      <c r="B17" s="1" t="s">
        <v>36</v>
      </c>
      <c r="C17" s="1">
        <v>566</v>
      </c>
      <c r="D17" s="1">
        <v>96</v>
      </c>
      <c r="E17" s="1">
        <v>285</v>
      </c>
      <c r="F17" s="1">
        <v>372</v>
      </c>
      <c r="G17" s="7">
        <v>0.74399999999999999</v>
      </c>
      <c r="H17" s="1">
        <v>180</v>
      </c>
      <c r="I17" s="1" t="s">
        <v>42</v>
      </c>
      <c r="J17" s="1"/>
      <c r="K17" s="1">
        <v>286</v>
      </c>
      <c r="L17" s="1">
        <f t="shared" si="2"/>
        <v>-1</v>
      </c>
      <c r="M17" s="1"/>
      <c r="N17" s="1"/>
      <c r="O17" s="1"/>
      <c r="P17" s="1"/>
      <c r="Q17" s="1">
        <f t="shared" si="3"/>
        <v>57</v>
      </c>
      <c r="R17" s="5">
        <f t="shared" si="8"/>
        <v>597</v>
      </c>
      <c r="S17" s="5">
        <f t="shared" si="9"/>
        <v>650</v>
      </c>
      <c r="T17" s="5">
        <f>VLOOKUP(A17,заказ!A:B,2,0)</f>
        <v>648</v>
      </c>
      <c r="U17" s="19">
        <f>VLOOKUP(A17,[1]Sheet!$A:$S,19,0)</f>
        <v>650</v>
      </c>
      <c r="V17" s="1">
        <f t="shared" si="6"/>
        <v>17.92982456140351</v>
      </c>
      <c r="W17" s="1">
        <f t="shared" si="4"/>
        <v>6.5263157894736841</v>
      </c>
      <c r="X17" s="1">
        <v>26</v>
      </c>
      <c r="Y17" s="1">
        <v>15.2</v>
      </c>
      <c r="Z17" s="1">
        <v>37.200000000000003</v>
      </c>
      <c r="AA17" s="1">
        <v>50.4</v>
      </c>
      <c r="AB17" s="1">
        <v>33.799999999999997</v>
      </c>
      <c r="AC17" s="1">
        <v>43</v>
      </c>
      <c r="AD17" s="1">
        <v>35.4</v>
      </c>
      <c r="AE17" s="1">
        <v>38.799999999999997</v>
      </c>
      <c r="AF17" s="1">
        <v>30.8</v>
      </c>
      <c r="AG17" s="1">
        <v>20.6</v>
      </c>
      <c r="AH17" s="1"/>
      <c r="AI17" s="1">
        <f t="shared" si="7"/>
        <v>483.6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5" t="s">
        <v>54</v>
      </c>
      <c r="B18" s="1" t="s">
        <v>36</v>
      </c>
      <c r="C18" s="1">
        <v>8</v>
      </c>
      <c r="D18" s="1">
        <v>16</v>
      </c>
      <c r="E18" s="1">
        <v>5</v>
      </c>
      <c r="F18" s="1">
        <v>13</v>
      </c>
      <c r="G18" s="7">
        <v>0.14000000000000001</v>
      </c>
      <c r="H18" s="1">
        <v>180</v>
      </c>
      <c r="I18" s="1"/>
      <c r="J18" s="1"/>
      <c r="K18" s="1">
        <v>10</v>
      </c>
      <c r="L18" s="1">
        <f t="shared" si="2"/>
        <v>-5</v>
      </c>
      <c r="M18" s="1"/>
      <c r="N18" s="1"/>
      <c r="O18" s="1">
        <v>32</v>
      </c>
      <c r="P18" s="1"/>
      <c r="Q18" s="1">
        <f t="shared" si="3"/>
        <v>1</v>
      </c>
      <c r="R18" s="5"/>
      <c r="S18" s="5">
        <f t="shared" si="5"/>
        <v>0</v>
      </c>
      <c r="T18" s="5"/>
      <c r="U18" s="19"/>
      <c r="V18" s="1">
        <f t="shared" si="6"/>
        <v>45</v>
      </c>
      <c r="W18" s="1">
        <f t="shared" si="4"/>
        <v>45</v>
      </c>
      <c r="X18" s="1">
        <v>2.4</v>
      </c>
      <c r="Y18" s="1">
        <v>2</v>
      </c>
      <c r="Z18" s="1">
        <v>2.6</v>
      </c>
      <c r="AA18" s="1">
        <v>0.4</v>
      </c>
      <c r="AB18" s="1">
        <v>3</v>
      </c>
      <c r="AC18" s="1">
        <v>5.8</v>
      </c>
      <c r="AD18" s="1">
        <v>2.8</v>
      </c>
      <c r="AE18" s="1">
        <v>3.6</v>
      </c>
      <c r="AF18" s="1">
        <v>0.8</v>
      </c>
      <c r="AG18" s="1">
        <v>3.8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5" t="s">
        <v>55</v>
      </c>
      <c r="B19" s="1" t="s">
        <v>36</v>
      </c>
      <c r="C19" s="1"/>
      <c r="D19" s="1">
        <v>145</v>
      </c>
      <c r="E19" s="1">
        <v>66</v>
      </c>
      <c r="F19" s="1">
        <v>76</v>
      </c>
      <c r="G19" s="7">
        <v>0.18</v>
      </c>
      <c r="H19" s="1">
        <v>270</v>
      </c>
      <c r="I19" s="1" t="s">
        <v>42</v>
      </c>
      <c r="J19" s="1"/>
      <c r="K19" s="1">
        <v>82</v>
      </c>
      <c r="L19" s="1">
        <f t="shared" si="2"/>
        <v>-16</v>
      </c>
      <c r="M19" s="1"/>
      <c r="N19" s="1"/>
      <c r="O19" s="1">
        <v>32</v>
      </c>
      <c r="P19" s="1">
        <v>16</v>
      </c>
      <c r="Q19" s="1">
        <f t="shared" si="3"/>
        <v>13.2</v>
      </c>
      <c r="R19" s="5">
        <f t="shared" si="8"/>
        <v>100.39999999999998</v>
      </c>
      <c r="S19" s="5">
        <f t="shared" si="5"/>
        <v>100.39999999999998</v>
      </c>
      <c r="T19" s="5">
        <f>VLOOKUP(A19,заказ!A:B,2,0)</f>
        <v>96</v>
      </c>
      <c r="U19" s="19"/>
      <c r="V19" s="1">
        <f t="shared" si="6"/>
        <v>17</v>
      </c>
      <c r="W19" s="1">
        <f t="shared" si="4"/>
        <v>9.3939393939393945</v>
      </c>
      <c r="X19" s="1">
        <v>8</v>
      </c>
      <c r="Y19" s="1">
        <v>3.6</v>
      </c>
      <c r="Z19" s="1">
        <v>10</v>
      </c>
      <c r="AA19" s="1">
        <v>4.5999999999999996</v>
      </c>
      <c r="AB19" s="1">
        <v>0.4</v>
      </c>
      <c r="AC19" s="1">
        <v>14.8</v>
      </c>
      <c r="AD19" s="1">
        <v>1</v>
      </c>
      <c r="AE19" s="1">
        <v>3.2</v>
      </c>
      <c r="AF19" s="1">
        <v>11</v>
      </c>
      <c r="AG19" s="1">
        <v>2.6</v>
      </c>
      <c r="AH19" s="1"/>
      <c r="AI19" s="1">
        <f t="shared" si="7"/>
        <v>18.071999999999996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5" t="s">
        <v>56</v>
      </c>
      <c r="B20" s="1" t="s">
        <v>36</v>
      </c>
      <c r="C20" s="1">
        <v>113</v>
      </c>
      <c r="D20" s="1">
        <v>50</v>
      </c>
      <c r="E20" s="1">
        <v>66</v>
      </c>
      <c r="F20" s="1">
        <v>102</v>
      </c>
      <c r="G20" s="7">
        <v>0.18</v>
      </c>
      <c r="H20" s="1">
        <v>270</v>
      </c>
      <c r="I20" s="1" t="s">
        <v>42</v>
      </c>
      <c r="J20" s="1"/>
      <c r="K20" s="1">
        <v>60</v>
      </c>
      <c r="L20" s="1">
        <f t="shared" si="2"/>
        <v>6</v>
      </c>
      <c r="M20" s="1"/>
      <c r="N20" s="1"/>
      <c r="O20" s="1"/>
      <c r="P20" s="1">
        <v>96</v>
      </c>
      <c r="Q20" s="1">
        <f t="shared" si="3"/>
        <v>13.2</v>
      </c>
      <c r="R20" s="5">
        <f t="shared" si="8"/>
        <v>26.399999999999977</v>
      </c>
      <c r="S20" s="5">
        <f>U20</f>
        <v>100</v>
      </c>
      <c r="T20" s="5">
        <f>VLOOKUP(A20,заказ!A:B,2,0)</f>
        <v>96</v>
      </c>
      <c r="U20" s="19">
        <f>VLOOKUP(A20,[1]Sheet!$A:$S,19,0)</f>
        <v>100</v>
      </c>
      <c r="V20" s="1">
        <f t="shared" si="6"/>
        <v>22.575757575757578</v>
      </c>
      <c r="W20" s="1">
        <f t="shared" si="4"/>
        <v>15</v>
      </c>
      <c r="X20" s="1">
        <v>12.8</v>
      </c>
      <c r="Y20" s="1">
        <v>5.8</v>
      </c>
      <c r="Z20" s="1">
        <v>14</v>
      </c>
      <c r="AA20" s="1">
        <v>12.2</v>
      </c>
      <c r="AB20" s="1">
        <v>3.4</v>
      </c>
      <c r="AC20" s="1">
        <v>12.4</v>
      </c>
      <c r="AD20" s="1">
        <v>12.2</v>
      </c>
      <c r="AE20" s="1">
        <v>8</v>
      </c>
      <c r="AF20" s="1">
        <v>9.6</v>
      </c>
      <c r="AG20" s="1">
        <v>11</v>
      </c>
      <c r="AH20" s="1"/>
      <c r="AI20" s="1">
        <f t="shared" si="7"/>
        <v>18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5" t="s">
        <v>57</v>
      </c>
      <c r="B21" s="1" t="s">
        <v>36</v>
      </c>
      <c r="C21" s="1"/>
      <c r="D21" s="1">
        <v>16</v>
      </c>
      <c r="E21" s="1">
        <v>14</v>
      </c>
      <c r="F21" s="1">
        <v>2</v>
      </c>
      <c r="G21" s="7">
        <v>0.1</v>
      </c>
      <c r="H21" s="1">
        <v>60</v>
      </c>
      <c r="I21" s="1"/>
      <c r="J21" s="1"/>
      <c r="K21" s="1">
        <v>12</v>
      </c>
      <c r="L21" s="1">
        <f t="shared" si="2"/>
        <v>2</v>
      </c>
      <c r="M21" s="1"/>
      <c r="N21" s="1"/>
      <c r="O21" s="1">
        <v>40</v>
      </c>
      <c r="P21" s="1"/>
      <c r="Q21" s="1">
        <f t="shared" si="3"/>
        <v>2.8</v>
      </c>
      <c r="R21" s="5">
        <f t="shared" si="8"/>
        <v>5.5999999999999943</v>
      </c>
      <c r="S21" s="5">
        <f t="shared" si="5"/>
        <v>5.5999999999999943</v>
      </c>
      <c r="T21" s="5">
        <f>VLOOKUP(A21,заказ!A:B,2,0)</f>
        <v>8</v>
      </c>
      <c r="U21" s="19"/>
      <c r="V21" s="1">
        <f t="shared" si="6"/>
        <v>17</v>
      </c>
      <c r="W21" s="1">
        <f t="shared" si="4"/>
        <v>15.000000000000002</v>
      </c>
      <c r="X21" s="1">
        <v>-0.2</v>
      </c>
      <c r="Y21" s="1">
        <v>0.4</v>
      </c>
      <c r="Z21" s="1">
        <v>3.8</v>
      </c>
      <c r="AA21" s="1">
        <v>-0.4</v>
      </c>
      <c r="AB21" s="1">
        <v>1.8</v>
      </c>
      <c r="AC21" s="1">
        <v>2</v>
      </c>
      <c r="AD21" s="1">
        <v>2.4</v>
      </c>
      <c r="AE21" s="1">
        <v>4</v>
      </c>
      <c r="AF21" s="1">
        <v>2.6</v>
      </c>
      <c r="AG21" s="1">
        <v>-0.6</v>
      </c>
      <c r="AH21" s="1" t="s">
        <v>58</v>
      </c>
      <c r="AI21" s="1">
        <f t="shared" si="7"/>
        <v>0.5599999999999995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5" t="s">
        <v>59</v>
      </c>
      <c r="B22" s="1" t="s">
        <v>36</v>
      </c>
      <c r="C22" s="1">
        <v>317</v>
      </c>
      <c r="D22" s="1">
        <v>1352</v>
      </c>
      <c r="E22" s="1">
        <v>507</v>
      </c>
      <c r="F22" s="1">
        <v>772</v>
      </c>
      <c r="G22" s="7">
        <v>0.18</v>
      </c>
      <c r="H22" s="1">
        <v>180</v>
      </c>
      <c r="I22" s="1" t="s">
        <v>42</v>
      </c>
      <c r="J22" s="1"/>
      <c r="K22" s="1">
        <v>527</v>
      </c>
      <c r="L22" s="1">
        <f t="shared" si="2"/>
        <v>-20</v>
      </c>
      <c r="M22" s="1"/>
      <c r="N22" s="1"/>
      <c r="O22" s="1">
        <v>1200</v>
      </c>
      <c r="P22" s="1"/>
      <c r="Q22" s="1">
        <f t="shared" si="3"/>
        <v>101.4</v>
      </c>
      <c r="R22" s="5"/>
      <c r="S22" s="5">
        <f t="shared" ref="S22:S23" si="10">U22</f>
        <v>700</v>
      </c>
      <c r="T22" s="5">
        <f>VLOOKUP(A22,заказ!A:B,2,0)</f>
        <v>700</v>
      </c>
      <c r="U22" s="19">
        <f>VLOOKUP(A22,[1]Sheet!$A:$S,19,0)</f>
        <v>700</v>
      </c>
      <c r="V22" s="1">
        <f t="shared" si="6"/>
        <v>26.351084812623274</v>
      </c>
      <c r="W22" s="1">
        <f t="shared" si="4"/>
        <v>19.447731755424062</v>
      </c>
      <c r="X22" s="1">
        <v>87.6</v>
      </c>
      <c r="Y22" s="1">
        <v>117</v>
      </c>
      <c r="Z22" s="1">
        <v>117.2</v>
      </c>
      <c r="AA22" s="1">
        <v>40</v>
      </c>
      <c r="AB22" s="1">
        <v>85.8</v>
      </c>
      <c r="AC22" s="1">
        <v>89.8</v>
      </c>
      <c r="AD22" s="1">
        <v>60.2</v>
      </c>
      <c r="AE22" s="1">
        <v>74.599999999999994</v>
      </c>
      <c r="AF22" s="1">
        <v>55.2</v>
      </c>
      <c r="AG22" s="1">
        <v>65.8</v>
      </c>
      <c r="AH22" s="1"/>
      <c r="AI22" s="1">
        <f t="shared" si="7"/>
        <v>126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5" t="s">
        <v>60</v>
      </c>
      <c r="B23" s="1" t="s">
        <v>36</v>
      </c>
      <c r="C23" s="1">
        <v>180</v>
      </c>
      <c r="D23" s="1">
        <v>1212</v>
      </c>
      <c r="E23" s="1">
        <v>647</v>
      </c>
      <c r="F23" s="1">
        <v>467</v>
      </c>
      <c r="G23" s="7">
        <v>0.18</v>
      </c>
      <c r="H23" s="1">
        <v>180</v>
      </c>
      <c r="I23" s="1" t="s">
        <v>42</v>
      </c>
      <c r="J23" s="1"/>
      <c r="K23" s="1">
        <v>680</v>
      </c>
      <c r="L23" s="1">
        <f t="shared" si="2"/>
        <v>-33</v>
      </c>
      <c r="M23" s="1"/>
      <c r="N23" s="1"/>
      <c r="O23" s="1">
        <v>1000</v>
      </c>
      <c r="P23" s="1">
        <v>300</v>
      </c>
      <c r="Q23" s="1">
        <f t="shared" si="3"/>
        <v>129.4</v>
      </c>
      <c r="R23" s="5">
        <f t="shared" si="8"/>
        <v>432.80000000000018</v>
      </c>
      <c r="S23" s="5">
        <f t="shared" si="10"/>
        <v>700</v>
      </c>
      <c r="T23" s="5">
        <f>VLOOKUP(A23,заказ!A:B,2,0)</f>
        <v>700</v>
      </c>
      <c r="U23" s="19">
        <f>VLOOKUP(A23,[1]Sheet!$A:$S,19,0)</f>
        <v>700</v>
      </c>
      <c r="V23" s="1">
        <f t="shared" si="6"/>
        <v>19.064914992272023</v>
      </c>
      <c r="W23" s="1">
        <f t="shared" si="4"/>
        <v>13.65533230293663</v>
      </c>
      <c r="X23" s="1">
        <v>104.8</v>
      </c>
      <c r="Y23" s="1">
        <v>50.2</v>
      </c>
      <c r="Z23" s="1">
        <v>84.2</v>
      </c>
      <c r="AA23" s="1">
        <v>38.4</v>
      </c>
      <c r="AB23" s="1">
        <v>42</v>
      </c>
      <c r="AC23" s="1">
        <v>110</v>
      </c>
      <c r="AD23" s="1">
        <v>7.4</v>
      </c>
      <c r="AE23" s="1">
        <v>1.6</v>
      </c>
      <c r="AF23" s="1">
        <v>330.4</v>
      </c>
      <c r="AG23" s="1">
        <v>83.4</v>
      </c>
      <c r="AH23" s="1" t="s">
        <v>61</v>
      </c>
      <c r="AI23" s="1">
        <f t="shared" si="7"/>
        <v>126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5" t="s">
        <v>62</v>
      </c>
      <c r="B24" s="1" t="s">
        <v>36</v>
      </c>
      <c r="C24" s="1">
        <v>16</v>
      </c>
      <c r="D24" s="1"/>
      <c r="E24" s="1">
        <v>7</v>
      </c>
      <c r="F24" s="1">
        <v>9</v>
      </c>
      <c r="G24" s="7">
        <v>0.4</v>
      </c>
      <c r="H24" s="1">
        <v>270</v>
      </c>
      <c r="I24" s="1" t="s">
        <v>42</v>
      </c>
      <c r="J24" s="1"/>
      <c r="K24" s="1">
        <v>7</v>
      </c>
      <c r="L24" s="1">
        <f t="shared" si="2"/>
        <v>0</v>
      </c>
      <c r="M24" s="1"/>
      <c r="N24" s="1"/>
      <c r="O24" s="1"/>
      <c r="P24" s="1">
        <v>8</v>
      </c>
      <c r="Q24" s="1">
        <f t="shared" si="3"/>
        <v>1.4</v>
      </c>
      <c r="R24" s="5">
        <f t="shared" si="8"/>
        <v>6.7999999999999972</v>
      </c>
      <c r="S24" s="5">
        <f t="shared" si="5"/>
        <v>6.7999999999999972</v>
      </c>
      <c r="T24" s="5">
        <f>VLOOKUP(A24,заказ!A:B,2,0)</f>
        <v>8</v>
      </c>
      <c r="U24" s="19"/>
      <c r="V24" s="1">
        <f t="shared" si="6"/>
        <v>17</v>
      </c>
      <c r="W24" s="1">
        <f t="shared" si="4"/>
        <v>12.142857142857144</v>
      </c>
      <c r="X24" s="1">
        <v>0.4</v>
      </c>
      <c r="Y24" s="1">
        <v>1</v>
      </c>
      <c r="Z24" s="1">
        <v>1.4</v>
      </c>
      <c r="AA24" s="1">
        <v>0.2</v>
      </c>
      <c r="AB24" s="1">
        <v>1.2</v>
      </c>
      <c r="AC24" s="1">
        <v>1.2</v>
      </c>
      <c r="AD24" s="1">
        <v>1</v>
      </c>
      <c r="AE24" s="1">
        <v>-0.2</v>
      </c>
      <c r="AF24" s="1">
        <v>1.2</v>
      </c>
      <c r="AG24" s="1">
        <v>0.6</v>
      </c>
      <c r="AH24" s="1"/>
      <c r="AI24" s="1">
        <f t="shared" si="7"/>
        <v>2.7199999999999989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5" t="s">
        <v>63</v>
      </c>
      <c r="B25" s="1" t="s">
        <v>36</v>
      </c>
      <c r="C25" s="1">
        <v>78</v>
      </c>
      <c r="D25" s="1"/>
      <c r="E25" s="1">
        <v>5</v>
      </c>
      <c r="F25" s="1">
        <v>73</v>
      </c>
      <c r="G25" s="7">
        <v>0.4</v>
      </c>
      <c r="H25" s="1">
        <v>270</v>
      </c>
      <c r="I25" s="1" t="s">
        <v>42</v>
      </c>
      <c r="J25" s="1"/>
      <c r="K25" s="1">
        <v>5</v>
      </c>
      <c r="L25" s="1">
        <f t="shared" si="2"/>
        <v>0</v>
      </c>
      <c r="M25" s="1"/>
      <c r="N25" s="1"/>
      <c r="O25" s="1"/>
      <c r="P25" s="1"/>
      <c r="Q25" s="1">
        <f t="shared" si="3"/>
        <v>1</v>
      </c>
      <c r="R25" s="5"/>
      <c r="S25" s="5">
        <f t="shared" si="5"/>
        <v>0</v>
      </c>
      <c r="T25" s="5"/>
      <c r="U25" s="19"/>
      <c r="V25" s="1">
        <f t="shared" si="6"/>
        <v>73</v>
      </c>
      <c r="W25" s="1">
        <f t="shared" si="4"/>
        <v>73</v>
      </c>
      <c r="X25" s="1">
        <v>0.6</v>
      </c>
      <c r="Y25" s="1">
        <v>0.2</v>
      </c>
      <c r="Z25" s="1">
        <v>0</v>
      </c>
      <c r="AA25" s="1">
        <v>0.4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7" t="s">
        <v>38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5" t="s">
        <v>64</v>
      </c>
      <c r="B26" s="1" t="s">
        <v>36</v>
      </c>
      <c r="C26" s="1">
        <v>105</v>
      </c>
      <c r="D26" s="1"/>
      <c r="E26" s="1">
        <v>17</v>
      </c>
      <c r="F26" s="1">
        <v>86</v>
      </c>
      <c r="G26" s="7">
        <v>0.18</v>
      </c>
      <c r="H26" s="1">
        <v>270</v>
      </c>
      <c r="I26" s="1" t="s">
        <v>42</v>
      </c>
      <c r="J26" s="1"/>
      <c r="K26" s="1">
        <v>17</v>
      </c>
      <c r="L26" s="1">
        <f t="shared" si="2"/>
        <v>0</v>
      </c>
      <c r="M26" s="1"/>
      <c r="N26" s="1"/>
      <c r="O26" s="1"/>
      <c r="P26" s="1">
        <v>16</v>
      </c>
      <c r="Q26" s="1">
        <f t="shared" si="3"/>
        <v>3.4</v>
      </c>
      <c r="R26" s="5"/>
      <c r="S26" s="5">
        <f t="shared" si="5"/>
        <v>0</v>
      </c>
      <c r="T26" s="5"/>
      <c r="U26" s="19"/>
      <c r="V26" s="1">
        <f t="shared" si="6"/>
        <v>30</v>
      </c>
      <c r="W26" s="1">
        <f t="shared" si="4"/>
        <v>30</v>
      </c>
      <c r="X26" s="1">
        <v>5</v>
      </c>
      <c r="Y26" s="1">
        <v>0.4</v>
      </c>
      <c r="Z26" s="1">
        <v>0.6</v>
      </c>
      <c r="AA26" s="1">
        <v>1.8</v>
      </c>
      <c r="AB26" s="1">
        <v>0.4</v>
      </c>
      <c r="AC26" s="1">
        <v>3.2</v>
      </c>
      <c r="AD26" s="1">
        <v>0.2</v>
      </c>
      <c r="AE26" s="1">
        <v>19.600000000000001</v>
      </c>
      <c r="AF26" s="1">
        <v>1.4</v>
      </c>
      <c r="AG26" s="1">
        <v>1</v>
      </c>
      <c r="AH26" s="17" t="s">
        <v>38</v>
      </c>
      <c r="AI26" s="1">
        <f t="shared" si="7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5" t="s">
        <v>65</v>
      </c>
      <c r="B27" s="1" t="s">
        <v>36</v>
      </c>
      <c r="C27" s="1"/>
      <c r="D27" s="1"/>
      <c r="E27" s="1"/>
      <c r="F27" s="1"/>
      <c r="G27" s="7">
        <v>0.2</v>
      </c>
      <c r="H27" s="1">
        <v>120</v>
      </c>
      <c r="I27" s="1"/>
      <c r="J27" s="1"/>
      <c r="K27" s="1"/>
      <c r="L27" s="1">
        <f t="shared" si="2"/>
        <v>0</v>
      </c>
      <c r="M27" s="1"/>
      <c r="N27" s="1"/>
      <c r="O27" s="1">
        <v>48</v>
      </c>
      <c r="P27" s="1"/>
      <c r="Q27" s="1">
        <f t="shared" si="3"/>
        <v>0</v>
      </c>
      <c r="R27" s="5"/>
      <c r="S27" s="5">
        <f t="shared" si="5"/>
        <v>0</v>
      </c>
      <c r="T27" s="5"/>
      <c r="U27" s="19"/>
      <c r="V27" s="1" t="e">
        <f t="shared" si="6"/>
        <v>#DIV/0!</v>
      </c>
      <c r="W27" s="1" t="e">
        <f t="shared" si="4"/>
        <v>#DIV/0!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 t="s">
        <v>66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0" t="s">
        <v>67</v>
      </c>
      <c r="B28" s="10" t="s">
        <v>41</v>
      </c>
      <c r="C28" s="10"/>
      <c r="D28" s="10"/>
      <c r="E28" s="10"/>
      <c r="F28" s="10"/>
      <c r="G28" s="11">
        <v>0</v>
      </c>
      <c r="H28" s="10">
        <v>180</v>
      </c>
      <c r="I28" s="10" t="s">
        <v>68</v>
      </c>
      <c r="J28" s="10"/>
      <c r="K28" s="10"/>
      <c r="L28" s="10">
        <f t="shared" si="2"/>
        <v>0</v>
      </c>
      <c r="M28" s="10"/>
      <c r="N28" s="10"/>
      <c r="O28" s="10"/>
      <c r="P28" s="10"/>
      <c r="Q28" s="10">
        <f t="shared" si="3"/>
        <v>0</v>
      </c>
      <c r="R28" s="12"/>
      <c r="S28" s="5">
        <f t="shared" si="5"/>
        <v>0</v>
      </c>
      <c r="T28" s="5"/>
      <c r="U28" s="19"/>
      <c r="V28" s="1" t="e">
        <f t="shared" si="6"/>
        <v>#DIV/0!</v>
      </c>
      <c r="W28" s="10" t="e">
        <f t="shared" si="4"/>
        <v>#DIV/0!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-0.36159999999999998</v>
      </c>
      <c r="AD28" s="10">
        <v>0</v>
      </c>
      <c r="AE28" s="10">
        <v>0</v>
      </c>
      <c r="AF28" s="10">
        <v>0</v>
      </c>
      <c r="AG28" s="10">
        <v>0</v>
      </c>
      <c r="AH28" s="10" t="s">
        <v>69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70</v>
      </c>
      <c r="B29" s="1" t="s">
        <v>41</v>
      </c>
      <c r="C29" s="1">
        <v>48.97</v>
      </c>
      <c r="D29" s="1"/>
      <c r="E29" s="1"/>
      <c r="F29" s="1">
        <v>48.97</v>
      </c>
      <c r="G29" s="7">
        <v>1</v>
      </c>
      <c r="H29" s="1">
        <v>180</v>
      </c>
      <c r="I29" s="1" t="s">
        <v>42</v>
      </c>
      <c r="J29" s="1"/>
      <c r="K29" s="1"/>
      <c r="L29" s="1">
        <f t="shared" si="2"/>
        <v>0</v>
      </c>
      <c r="M29" s="1"/>
      <c r="N29" s="1"/>
      <c r="O29" s="1"/>
      <c r="P29" s="1"/>
      <c r="Q29" s="1">
        <f t="shared" si="3"/>
        <v>0</v>
      </c>
      <c r="R29" s="5"/>
      <c r="S29" s="5">
        <f t="shared" si="5"/>
        <v>0</v>
      </c>
      <c r="T29" s="5"/>
      <c r="U29" s="19"/>
      <c r="V29" s="1" t="e">
        <f t="shared" si="6"/>
        <v>#DIV/0!</v>
      </c>
      <c r="W29" s="1" t="e">
        <f t="shared" si="4"/>
        <v>#DIV/0!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8" t="s">
        <v>105</v>
      </c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71</v>
      </c>
      <c r="B30" s="1" t="s">
        <v>36</v>
      </c>
      <c r="C30" s="1"/>
      <c r="D30" s="1">
        <v>78</v>
      </c>
      <c r="E30" s="1">
        <v>41</v>
      </c>
      <c r="F30" s="1">
        <v>32</v>
      </c>
      <c r="G30" s="7">
        <v>0.18</v>
      </c>
      <c r="H30" s="1">
        <v>150</v>
      </c>
      <c r="I30" s="1" t="s">
        <v>42</v>
      </c>
      <c r="J30" s="1"/>
      <c r="K30" s="1">
        <v>54</v>
      </c>
      <c r="L30" s="1">
        <f t="shared" si="2"/>
        <v>-13</v>
      </c>
      <c r="M30" s="1"/>
      <c r="N30" s="1"/>
      <c r="O30" s="1">
        <v>102</v>
      </c>
      <c r="P30" s="1"/>
      <c r="Q30" s="1">
        <f t="shared" si="3"/>
        <v>8.1999999999999993</v>
      </c>
      <c r="R30" s="5">
        <v>10</v>
      </c>
      <c r="S30" s="5">
        <f t="shared" ref="S30:S39" si="11">U30</f>
        <v>50</v>
      </c>
      <c r="T30" s="5">
        <f>VLOOKUP(A30,заказ!A:B,2,0)</f>
        <v>48</v>
      </c>
      <c r="U30" s="19">
        <f>VLOOKUP(A30,[1]Sheet!$A:$S,19,0)</f>
        <v>50</v>
      </c>
      <c r="V30" s="1">
        <f t="shared" si="6"/>
        <v>22.439024390243905</v>
      </c>
      <c r="W30" s="1">
        <f t="shared" si="4"/>
        <v>16.341463414634148</v>
      </c>
      <c r="X30" s="1">
        <v>0</v>
      </c>
      <c r="Y30" s="1">
        <v>0</v>
      </c>
      <c r="Z30" s="1">
        <v>0</v>
      </c>
      <c r="AA30" s="1">
        <v>-0.4</v>
      </c>
      <c r="AB30" s="1">
        <v>-0.8</v>
      </c>
      <c r="AC30" s="1">
        <v>0</v>
      </c>
      <c r="AD30" s="1">
        <v>0</v>
      </c>
      <c r="AE30" s="1">
        <v>2.8</v>
      </c>
      <c r="AF30" s="1">
        <v>4.8</v>
      </c>
      <c r="AG30" s="1">
        <v>8.4</v>
      </c>
      <c r="AH30" s="1" t="s">
        <v>72</v>
      </c>
      <c r="AI30" s="1">
        <f t="shared" si="7"/>
        <v>9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73</v>
      </c>
      <c r="B31" s="1" t="s">
        <v>36</v>
      </c>
      <c r="C31" s="1">
        <v>45</v>
      </c>
      <c r="D31" s="1">
        <v>46</v>
      </c>
      <c r="E31" s="1">
        <v>36</v>
      </c>
      <c r="F31" s="1">
        <v>7</v>
      </c>
      <c r="G31" s="7">
        <v>0.1</v>
      </c>
      <c r="H31" s="1">
        <v>90</v>
      </c>
      <c r="I31" s="1"/>
      <c r="J31" s="1"/>
      <c r="K31" s="1">
        <v>35</v>
      </c>
      <c r="L31" s="1">
        <f t="shared" si="2"/>
        <v>1</v>
      </c>
      <c r="M31" s="1"/>
      <c r="N31" s="1"/>
      <c r="O31" s="1">
        <v>112</v>
      </c>
      <c r="P31" s="1">
        <v>8</v>
      </c>
      <c r="Q31" s="1">
        <f t="shared" si="3"/>
        <v>7.2</v>
      </c>
      <c r="R31" s="5"/>
      <c r="S31" s="5">
        <f t="shared" si="11"/>
        <v>50</v>
      </c>
      <c r="T31" s="5">
        <f>VLOOKUP(A31,заказ!A:B,2,0)</f>
        <v>48</v>
      </c>
      <c r="U31" s="19">
        <f>VLOOKUP(A31,[1]Sheet!$A:$S,19,0)</f>
        <v>50</v>
      </c>
      <c r="V31" s="1">
        <f t="shared" si="6"/>
        <v>24.583333333333332</v>
      </c>
      <c r="W31" s="1">
        <f t="shared" si="4"/>
        <v>17.638888888888889</v>
      </c>
      <c r="X31" s="1">
        <v>9</v>
      </c>
      <c r="Y31" s="1">
        <v>9</v>
      </c>
      <c r="Z31" s="1">
        <v>7.8</v>
      </c>
      <c r="AA31" s="1">
        <v>7.2</v>
      </c>
      <c r="AB31" s="1">
        <v>21.4</v>
      </c>
      <c r="AC31" s="1">
        <v>16.2</v>
      </c>
      <c r="AD31" s="1">
        <v>9</v>
      </c>
      <c r="AE31" s="1">
        <v>9.1999999999999993</v>
      </c>
      <c r="AF31" s="1">
        <v>12.4</v>
      </c>
      <c r="AG31" s="1">
        <v>18.600000000000001</v>
      </c>
      <c r="AH31" s="1"/>
      <c r="AI31" s="1">
        <f t="shared" si="7"/>
        <v>5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74</v>
      </c>
      <c r="B32" s="1" t="s">
        <v>36</v>
      </c>
      <c r="C32" s="1">
        <v>207</v>
      </c>
      <c r="D32" s="1">
        <v>89</v>
      </c>
      <c r="E32" s="1">
        <v>89</v>
      </c>
      <c r="F32" s="1">
        <v>205</v>
      </c>
      <c r="G32" s="7">
        <v>0.1</v>
      </c>
      <c r="H32" s="1">
        <v>60</v>
      </c>
      <c r="I32" s="1"/>
      <c r="J32" s="1"/>
      <c r="K32" s="1">
        <v>86</v>
      </c>
      <c r="L32" s="1">
        <f t="shared" si="2"/>
        <v>3</v>
      </c>
      <c r="M32" s="1"/>
      <c r="N32" s="1"/>
      <c r="O32" s="1">
        <v>80</v>
      </c>
      <c r="P32" s="1"/>
      <c r="Q32" s="1">
        <f t="shared" si="3"/>
        <v>17.8</v>
      </c>
      <c r="R32" s="5">
        <f t="shared" ref="R32:R41" si="12">17*Q32-P32-O32-F32</f>
        <v>17.600000000000023</v>
      </c>
      <c r="S32" s="5">
        <f t="shared" si="11"/>
        <v>50</v>
      </c>
      <c r="T32" s="5">
        <f>VLOOKUP(A32,заказ!A:B,2,0)</f>
        <v>48</v>
      </c>
      <c r="U32" s="19">
        <f>VLOOKUP(A32,[1]Sheet!$A:$S,19,0)</f>
        <v>50</v>
      </c>
      <c r="V32" s="1">
        <f t="shared" si="6"/>
        <v>18.820224719101123</v>
      </c>
      <c r="W32" s="1">
        <f t="shared" si="4"/>
        <v>16.011235955056179</v>
      </c>
      <c r="X32" s="1">
        <v>16.600000000000001</v>
      </c>
      <c r="Y32" s="1">
        <v>16.399999999999999</v>
      </c>
      <c r="Z32" s="1">
        <v>17.399999999999999</v>
      </c>
      <c r="AA32" s="1">
        <v>30.8</v>
      </c>
      <c r="AB32" s="1">
        <v>13.6</v>
      </c>
      <c r="AC32" s="1">
        <v>37.200000000000003</v>
      </c>
      <c r="AD32" s="1">
        <v>35.4</v>
      </c>
      <c r="AE32" s="1">
        <v>27</v>
      </c>
      <c r="AF32" s="1">
        <v>16.2</v>
      </c>
      <c r="AG32" s="1">
        <v>21.6</v>
      </c>
      <c r="AH32" s="1"/>
      <c r="AI32" s="1">
        <f t="shared" si="7"/>
        <v>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75</v>
      </c>
      <c r="B33" s="1" t="s">
        <v>36</v>
      </c>
      <c r="C33" s="1">
        <v>238</v>
      </c>
      <c r="D33" s="1">
        <v>48</v>
      </c>
      <c r="E33" s="1">
        <v>75</v>
      </c>
      <c r="F33" s="1">
        <v>191</v>
      </c>
      <c r="G33" s="7">
        <v>0.1</v>
      </c>
      <c r="H33" s="1">
        <v>90</v>
      </c>
      <c r="I33" s="1"/>
      <c r="J33" s="1"/>
      <c r="K33" s="1">
        <v>73</v>
      </c>
      <c r="L33" s="1">
        <f t="shared" si="2"/>
        <v>2</v>
      </c>
      <c r="M33" s="1"/>
      <c r="N33" s="1"/>
      <c r="O33" s="1">
        <v>48</v>
      </c>
      <c r="P33" s="1">
        <v>80</v>
      </c>
      <c r="Q33" s="1">
        <f t="shared" si="3"/>
        <v>15</v>
      </c>
      <c r="R33" s="5"/>
      <c r="S33" s="5">
        <f t="shared" si="11"/>
        <v>50</v>
      </c>
      <c r="T33" s="5">
        <f>VLOOKUP(A33,заказ!A:B,2,0)</f>
        <v>48</v>
      </c>
      <c r="U33" s="19">
        <f>VLOOKUP(A33,[1]Sheet!$A:$S,19,0)</f>
        <v>50</v>
      </c>
      <c r="V33" s="1">
        <f t="shared" si="6"/>
        <v>24.6</v>
      </c>
      <c r="W33" s="1">
        <f t="shared" si="4"/>
        <v>21.266666666666666</v>
      </c>
      <c r="X33" s="1">
        <v>19.8</v>
      </c>
      <c r="Y33" s="1">
        <v>13.6</v>
      </c>
      <c r="Z33" s="1">
        <v>14.4</v>
      </c>
      <c r="AA33" s="1">
        <v>26</v>
      </c>
      <c r="AB33" s="1">
        <v>15.8</v>
      </c>
      <c r="AC33" s="1">
        <v>20.8</v>
      </c>
      <c r="AD33" s="1">
        <v>22.6</v>
      </c>
      <c r="AE33" s="1">
        <v>23.8</v>
      </c>
      <c r="AF33" s="1">
        <v>16.600000000000001</v>
      </c>
      <c r="AG33" s="1">
        <v>13.8</v>
      </c>
      <c r="AH33" s="1"/>
      <c r="AI33" s="1">
        <f t="shared" si="7"/>
        <v>5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76</v>
      </c>
      <c r="B34" s="1" t="s">
        <v>36</v>
      </c>
      <c r="C34" s="1"/>
      <c r="D34" s="1">
        <v>200</v>
      </c>
      <c r="E34" s="1">
        <v>163</v>
      </c>
      <c r="F34" s="1">
        <v>28</v>
      </c>
      <c r="G34" s="7">
        <v>0.18</v>
      </c>
      <c r="H34" s="1">
        <v>150</v>
      </c>
      <c r="I34" s="1" t="s">
        <v>42</v>
      </c>
      <c r="J34" s="1"/>
      <c r="K34" s="1">
        <v>175</v>
      </c>
      <c r="L34" s="1">
        <f t="shared" si="2"/>
        <v>-12</v>
      </c>
      <c r="M34" s="1"/>
      <c r="N34" s="1"/>
      <c r="O34" s="1">
        <v>100</v>
      </c>
      <c r="P34" s="1">
        <v>50</v>
      </c>
      <c r="Q34" s="1">
        <f t="shared" si="3"/>
        <v>32.6</v>
      </c>
      <c r="R34" s="5">
        <f t="shared" si="12"/>
        <v>376.20000000000005</v>
      </c>
      <c r="S34" s="5">
        <f t="shared" si="11"/>
        <v>500</v>
      </c>
      <c r="T34" s="5">
        <f>VLOOKUP(A34,заказ!A:B,2,0)</f>
        <v>500</v>
      </c>
      <c r="U34" s="19">
        <f>VLOOKUP(A34,[1]Sheet!$A:$S,19,0)</f>
        <v>500</v>
      </c>
      <c r="V34" s="1">
        <f t="shared" si="6"/>
        <v>20.797546012269937</v>
      </c>
      <c r="W34" s="1">
        <f t="shared" si="4"/>
        <v>5.4601226993865026</v>
      </c>
      <c r="X34" s="1">
        <v>0</v>
      </c>
      <c r="Y34" s="1">
        <v>-0.2</v>
      </c>
      <c r="Z34" s="1">
        <v>0</v>
      </c>
      <c r="AA34" s="1">
        <v>-0.2</v>
      </c>
      <c r="AB34" s="1">
        <v>-1</v>
      </c>
      <c r="AC34" s="1">
        <v>-0.6</v>
      </c>
      <c r="AD34" s="1">
        <v>-0.8</v>
      </c>
      <c r="AE34" s="1">
        <v>-2.8</v>
      </c>
      <c r="AF34" s="1">
        <v>6</v>
      </c>
      <c r="AG34" s="1">
        <v>34.799999999999997</v>
      </c>
      <c r="AH34" s="1" t="s">
        <v>77</v>
      </c>
      <c r="AI34" s="1">
        <f t="shared" si="7"/>
        <v>90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78</v>
      </c>
      <c r="B35" s="1" t="s">
        <v>36</v>
      </c>
      <c r="C35" s="1">
        <v>315</v>
      </c>
      <c r="D35" s="1">
        <v>130</v>
      </c>
      <c r="E35" s="1">
        <v>298</v>
      </c>
      <c r="F35" s="1">
        <v>99</v>
      </c>
      <c r="G35" s="7">
        <v>0.18</v>
      </c>
      <c r="H35" s="1">
        <v>150</v>
      </c>
      <c r="I35" s="1" t="s">
        <v>42</v>
      </c>
      <c r="J35" s="1"/>
      <c r="K35" s="1">
        <v>342</v>
      </c>
      <c r="L35" s="1">
        <f t="shared" si="2"/>
        <v>-44</v>
      </c>
      <c r="M35" s="1"/>
      <c r="N35" s="1"/>
      <c r="O35" s="1"/>
      <c r="P35" s="1">
        <v>550</v>
      </c>
      <c r="Q35" s="1">
        <f t="shared" si="3"/>
        <v>59.6</v>
      </c>
      <c r="R35" s="5">
        <f t="shared" si="12"/>
        <v>364.20000000000005</v>
      </c>
      <c r="S35" s="5">
        <f t="shared" si="11"/>
        <v>500</v>
      </c>
      <c r="T35" s="5">
        <f>VLOOKUP(A35,заказ!A:B,2,0)</f>
        <v>500</v>
      </c>
      <c r="U35" s="19">
        <f>VLOOKUP(A35,[1]Sheet!$A:$S,19,0)</f>
        <v>500</v>
      </c>
      <c r="V35" s="1">
        <f t="shared" si="6"/>
        <v>19.278523489932887</v>
      </c>
      <c r="W35" s="1">
        <f t="shared" si="4"/>
        <v>10.889261744966444</v>
      </c>
      <c r="X35" s="1">
        <v>52.2</v>
      </c>
      <c r="Y35" s="1">
        <v>21.6</v>
      </c>
      <c r="Z35" s="1">
        <v>13.4</v>
      </c>
      <c r="AA35" s="1">
        <v>50.6</v>
      </c>
      <c r="AB35" s="1">
        <v>14.8</v>
      </c>
      <c r="AC35" s="1">
        <v>37.799999999999997</v>
      </c>
      <c r="AD35" s="1">
        <v>36.799999999999997</v>
      </c>
      <c r="AE35" s="1">
        <v>32</v>
      </c>
      <c r="AF35" s="1">
        <v>29.2</v>
      </c>
      <c r="AG35" s="1">
        <v>29.2</v>
      </c>
      <c r="AH35" s="1"/>
      <c r="AI35" s="1">
        <f t="shared" si="7"/>
        <v>90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79</v>
      </c>
      <c r="B36" s="1" t="s">
        <v>36</v>
      </c>
      <c r="C36" s="1"/>
      <c r="D36" s="1">
        <v>50</v>
      </c>
      <c r="E36" s="1">
        <v>47</v>
      </c>
      <c r="F36" s="1">
        <v>1</v>
      </c>
      <c r="G36" s="7">
        <v>0.18</v>
      </c>
      <c r="H36" s="1">
        <v>150</v>
      </c>
      <c r="I36" s="1" t="s">
        <v>42</v>
      </c>
      <c r="J36" s="1"/>
      <c r="K36" s="1">
        <v>50</v>
      </c>
      <c r="L36" s="1">
        <f t="shared" si="2"/>
        <v>-3</v>
      </c>
      <c r="M36" s="1"/>
      <c r="N36" s="1"/>
      <c r="O36" s="1">
        <v>100</v>
      </c>
      <c r="P36" s="1">
        <v>70</v>
      </c>
      <c r="Q36" s="1">
        <f t="shared" si="3"/>
        <v>9.4</v>
      </c>
      <c r="R36" s="5"/>
      <c r="S36" s="5">
        <f t="shared" si="11"/>
        <v>200</v>
      </c>
      <c r="T36" s="5">
        <f>VLOOKUP(A36,заказ!A:B,2,0)</f>
        <v>200</v>
      </c>
      <c r="U36" s="19">
        <f>VLOOKUP(A36,[1]Sheet!$A:$S,19,0)</f>
        <v>200</v>
      </c>
      <c r="V36" s="1">
        <f t="shared" si="6"/>
        <v>39.468085106382979</v>
      </c>
      <c r="W36" s="1">
        <f t="shared" si="4"/>
        <v>18.191489361702128</v>
      </c>
      <c r="X36" s="1">
        <v>9.6</v>
      </c>
      <c r="Y36" s="1">
        <v>5.8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-0.2</v>
      </c>
      <c r="AG36" s="1">
        <v>0</v>
      </c>
      <c r="AH36" s="1" t="s">
        <v>80</v>
      </c>
      <c r="AI36" s="1">
        <f t="shared" si="7"/>
        <v>36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81</v>
      </c>
      <c r="B37" s="1" t="s">
        <v>36</v>
      </c>
      <c r="C37" s="1"/>
      <c r="D37" s="1">
        <v>120</v>
      </c>
      <c r="E37" s="1">
        <v>47</v>
      </c>
      <c r="F37" s="1">
        <v>71</v>
      </c>
      <c r="G37" s="7">
        <v>0.18</v>
      </c>
      <c r="H37" s="1">
        <v>150</v>
      </c>
      <c r="I37" s="1" t="s">
        <v>42</v>
      </c>
      <c r="J37" s="1"/>
      <c r="K37" s="1">
        <v>47</v>
      </c>
      <c r="L37" s="1">
        <f t="shared" si="2"/>
        <v>0</v>
      </c>
      <c r="M37" s="1"/>
      <c r="N37" s="1"/>
      <c r="O37" s="1">
        <v>100</v>
      </c>
      <c r="P37" s="1"/>
      <c r="Q37" s="1">
        <f t="shared" si="3"/>
        <v>9.4</v>
      </c>
      <c r="R37" s="5"/>
      <c r="S37" s="5">
        <f t="shared" si="11"/>
        <v>200</v>
      </c>
      <c r="T37" s="5">
        <f>VLOOKUP(A37,заказ!A:B,2,0)</f>
        <v>200</v>
      </c>
      <c r="U37" s="19">
        <f>VLOOKUP(A37,[1]Sheet!$A:$S,19,0)</f>
        <v>200</v>
      </c>
      <c r="V37" s="1">
        <f t="shared" si="6"/>
        <v>39.468085106382979</v>
      </c>
      <c r="W37" s="1">
        <f t="shared" si="4"/>
        <v>18.191489361702128</v>
      </c>
      <c r="X37" s="1">
        <v>0</v>
      </c>
      <c r="Y37" s="1">
        <v>2</v>
      </c>
      <c r="Z37" s="1">
        <v>9.1999999999999993</v>
      </c>
      <c r="AA37" s="1">
        <v>1</v>
      </c>
      <c r="AB37" s="1">
        <v>6.6</v>
      </c>
      <c r="AC37" s="1">
        <v>11.8</v>
      </c>
      <c r="AD37" s="1">
        <v>8</v>
      </c>
      <c r="AE37" s="1">
        <v>3.8</v>
      </c>
      <c r="AF37" s="1">
        <v>5</v>
      </c>
      <c r="AG37" s="1">
        <v>7.2</v>
      </c>
      <c r="AH37" s="1" t="s">
        <v>82</v>
      </c>
      <c r="AI37" s="1">
        <f t="shared" si="7"/>
        <v>36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83</v>
      </c>
      <c r="B38" s="1" t="s">
        <v>36</v>
      </c>
      <c r="C38" s="1">
        <v>-8</v>
      </c>
      <c r="D38" s="1">
        <v>508</v>
      </c>
      <c r="E38" s="1">
        <v>218</v>
      </c>
      <c r="F38" s="1">
        <v>270</v>
      </c>
      <c r="G38" s="7">
        <v>0.18</v>
      </c>
      <c r="H38" s="1">
        <v>150</v>
      </c>
      <c r="I38" s="1" t="s">
        <v>42</v>
      </c>
      <c r="J38" s="1"/>
      <c r="K38" s="1">
        <v>317</v>
      </c>
      <c r="L38" s="1">
        <f t="shared" ref="L38:L57" si="13">E38-K38</f>
        <v>-99</v>
      </c>
      <c r="M38" s="1"/>
      <c r="N38" s="1"/>
      <c r="O38" s="1">
        <v>600</v>
      </c>
      <c r="P38" s="1">
        <v>100</v>
      </c>
      <c r="Q38" s="1">
        <f t="shared" ref="Q38:Q57" si="14">E38/5</f>
        <v>43.6</v>
      </c>
      <c r="R38" s="5"/>
      <c r="S38" s="5">
        <f t="shared" si="11"/>
        <v>200</v>
      </c>
      <c r="T38" s="5">
        <f>VLOOKUP(A38,заказ!A:B,2,0)</f>
        <v>200</v>
      </c>
      <c r="U38" s="19">
        <f>VLOOKUP(A38,[1]Sheet!$A:$S,19,0)</f>
        <v>200</v>
      </c>
      <c r="V38" s="1">
        <f t="shared" si="6"/>
        <v>26.834862385321099</v>
      </c>
      <c r="W38" s="1">
        <f t="shared" ref="W38:W57" si="15">(F38+O38+P38)/Q38</f>
        <v>22.247706422018346</v>
      </c>
      <c r="X38" s="1">
        <v>56.2</v>
      </c>
      <c r="Y38" s="1">
        <v>60.4</v>
      </c>
      <c r="Z38" s="1">
        <v>60.4</v>
      </c>
      <c r="AA38" s="1">
        <v>47</v>
      </c>
      <c r="AB38" s="1">
        <v>29.4</v>
      </c>
      <c r="AC38" s="1">
        <v>71.8</v>
      </c>
      <c r="AD38" s="1">
        <v>65.8</v>
      </c>
      <c r="AE38" s="1">
        <v>47.8</v>
      </c>
      <c r="AF38" s="1">
        <v>28.6</v>
      </c>
      <c r="AG38" s="1">
        <v>50.4</v>
      </c>
      <c r="AH38" s="1"/>
      <c r="AI38" s="1">
        <f t="shared" si="7"/>
        <v>36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84</v>
      </c>
      <c r="B39" s="1" t="s">
        <v>36</v>
      </c>
      <c r="C39" s="1">
        <v>-1</v>
      </c>
      <c r="D39" s="1">
        <v>201</v>
      </c>
      <c r="E39" s="1">
        <v>111</v>
      </c>
      <c r="F39" s="1">
        <v>81</v>
      </c>
      <c r="G39" s="7">
        <v>0.18</v>
      </c>
      <c r="H39" s="1">
        <v>150</v>
      </c>
      <c r="I39" s="1" t="s">
        <v>42</v>
      </c>
      <c r="J39" s="1"/>
      <c r="K39" s="1">
        <v>117</v>
      </c>
      <c r="L39" s="1">
        <f t="shared" si="13"/>
        <v>-6</v>
      </c>
      <c r="M39" s="1"/>
      <c r="N39" s="1"/>
      <c r="O39" s="1">
        <v>200</v>
      </c>
      <c r="P39" s="1"/>
      <c r="Q39" s="1">
        <f t="shared" si="14"/>
        <v>22.2</v>
      </c>
      <c r="R39" s="5">
        <f t="shared" si="12"/>
        <v>96.399999999999977</v>
      </c>
      <c r="S39" s="5">
        <f t="shared" si="11"/>
        <v>200</v>
      </c>
      <c r="T39" s="5">
        <f>VLOOKUP(A39,заказ!A:B,2,0)</f>
        <v>200</v>
      </c>
      <c r="U39" s="19">
        <f>VLOOKUP(A39,[1]Sheet!$A:$S,19,0)</f>
        <v>200</v>
      </c>
      <c r="V39" s="1">
        <f t="shared" si="6"/>
        <v>21.666666666666668</v>
      </c>
      <c r="W39" s="1">
        <f t="shared" si="15"/>
        <v>12.657657657657658</v>
      </c>
      <c r="X39" s="1">
        <v>0.2</v>
      </c>
      <c r="Y39" s="1">
        <v>16.8</v>
      </c>
      <c r="Z39" s="1">
        <v>16.600000000000001</v>
      </c>
      <c r="AA39" s="1">
        <v>13</v>
      </c>
      <c r="AB39" s="1">
        <v>5.8</v>
      </c>
      <c r="AC39" s="1">
        <v>33.200000000000003</v>
      </c>
      <c r="AD39" s="1">
        <v>16.600000000000001</v>
      </c>
      <c r="AE39" s="1">
        <v>11.2</v>
      </c>
      <c r="AF39" s="1">
        <v>12.2</v>
      </c>
      <c r="AG39" s="1">
        <v>15.8</v>
      </c>
      <c r="AH39" s="1"/>
      <c r="AI39" s="1">
        <f t="shared" si="7"/>
        <v>36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85</v>
      </c>
      <c r="B40" s="1" t="s">
        <v>36</v>
      </c>
      <c r="C40" s="1">
        <v>8</v>
      </c>
      <c r="D40" s="1">
        <v>8</v>
      </c>
      <c r="E40" s="1">
        <v>10</v>
      </c>
      <c r="F40" s="1">
        <v>6</v>
      </c>
      <c r="G40" s="7">
        <v>0.1</v>
      </c>
      <c r="H40" s="1">
        <v>60</v>
      </c>
      <c r="I40" s="1"/>
      <c r="J40" s="1"/>
      <c r="K40" s="1">
        <v>10</v>
      </c>
      <c r="L40" s="1">
        <f t="shared" si="13"/>
        <v>0</v>
      </c>
      <c r="M40" s="1"/>
      <c r="N40" s="1"/>
      <c r="O40" s="1"/>
      <c r="P40" s="1"/>
      <c r="Q40" s="1">
        <f t="shared" si="14"/>
        <v>2</v>
      </c>
      <c r="R40" s="5">
        <f t="shared" si="12"/>
        <v>28</v>
      </c>
      <c r="S40" s="5">
        <f t="shared" si="5"/>
        <v>28</v>
      </c>
      <c r="T40" s="5">
        <f>VLOOKUP(A40,заказ!A:B,2,0)</f>
        <v>32</v>
      </c>
      <c r="U40" s="19"/>
      <c r="V40" s="1">
        <f t="shared" si="6"/>
        <v>17</v>
      </c>
      <c r="W40" s="1">
        <f t="shared" si="15"/>
        <v>3</v>
      </c>
      <c r="X40" s="1">
        <v>0</v>
      </c>
      <c r="Y40" s="1">
        <v>-0.2</v>
      </c>
      <c r="Z40" s="1">
        <v>0.8</v>
      </c>
      <c r="AA40" s="1">
        <v>0.6</v>
      </c>
      <c r="AB40" s="1">
        <v>0.2</v>
      </c>
      <c r="AC40" s="1">
        <v>0.8</v>
      </c>
      <c r="AD40" s="1">
        <v>2.2000000000000002</v>
      </c>
      <c r="AE40" s="1">
        <v>0.2</v>
      </c>
      <c r="AF40" s="1">
        <v>2</v>
      </c>
      <c r="AG40" s="1">
        <v>-0.4</v>
      </c>
      <c r="AH40" s="1" t="s">
        <v>86</v>
      </c>
      <c r="AI40" s="1">
        <f t="shared" si="7"/>
        <v>2.8000000000000003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87</v>
      </c>
      <c r="B41" s="1" t="s">
        <v>36</v>
      </c>
      <c r="C41" s="1"/>
      <c r="D41" s="1">
        <v>96</v>
      </c>
      <c r="E41" s="1">
        <v>43</v>
      </c>
      <c r="F41" s="1">
        <v>51</v>
      </c>
      <c r="G41" s="7">
        <v>0.14000000000000001</v>
      </c>
      <c r="H41" s="1">
        <v>180</v>
      </c>
      <c r="I41" s="1"/>
      <c r="J41" s="1"/>
      <c r="K41" s="1">
        <v>52</v>
      </c>
      <c r="L41" s="1">
        <f t="shared" si="13"/>
        <v>-9</v>
      </c>
      <c r="M41" s="1"/>
      <c r="N41" s="1"/>
      <c r="O41" s="1">
        <v>80</v>
      </c>
      <c r="P41" s="1"/>
      <c r="Q41" s="1">
        <f t="shared" si="14"/>
        <v>8.6</v>
      </c>
      <c r="R41" s="5">
        <f t="shared" si="12"/>
        <v>15.199999999999989</v>
      </c>
      <c r="S41" s="5">
        <f t="shared" si="5"/>
        <v>15.199999999999989</v>
      </c>
      <c r="T41" s="5">
        <f>VLOOKUP(A41,заказ!A:B,2,0)</f>
        <v>16</v>
      </c>
      <c r="U41" s="19"/>
      <c r="V41" s="1">
        <f t="shared" si="6"/>
        <v>17</v>
      </c>
      <c r="W41" s="1">
        <f t="shared" si="15"/>
        <v>15.232558139534884</v>
      </c>
      <c r="X41" s="1">
        <v>0</v>
      </c>
      <c r="Y41" s="1">
        <v>2</v>
      </c>
      <c r="Z41" s="1">
        <v>6.4</v>
      </c>
      <c r="AA41" s="1">
        <v>1</v>
      </c>
      <c r="AB41" s="1">
        <v>2.4</v>
      </c>
      <c r="AC41" s="1">
        <v>7.8</v>
      </c>
      <c r="AD41" s="1">
        <v>4</v>
      </c>
      <c r="AE41" s="1">
        <v>4.5999999999999996</v>
      </c>
      <c r="AF41" s="1">
        <v>1.6</v>
      </c>
      <c r="AG41" s="1">
        <v>4.5999999999999996</v>
      </c>
      <c r="AH41" s="1"/>
      <c r="AI41" s="1">
        <f t="shared" si="7"/>
        <v>2.1279999999999988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88</v>
      </c>
      <c r="B42" s="1" t="s">
        <v>36</v>
      </c>
      <c r="C42" s="1">
        <v>153</v>
      </c>
      <c r="D42" s="1">
        <v>282</v>
      </c>
      <c r="E42" s="1">
        <v>86</v>
      </c>
      <c r="F42" s="1">
        <v>191</v>
      </c>
      <c r="G42" s="7">
        <v>0.18</v>
      </c>
      <c r="H42" s="1">
        <v>270</v>
      </c>
      <c r="I42" s="1" t="s">
        <v>42</v>
      </c>
      <c r="J42" s="1"/>
      <c r="K42" s="1">
        <v>86</v>
      </c>
      <c r="L42" s="1">
        <f t="shared" si="13"/>
        <v>0</v>
      </c>
      <c r="M42" s="1"/>
      <c r="N42" s="1"/>
      <c r="O42" s="1">
        <v>80</v>
      </c>
      <c r="P42" s="1">
        <v>32</v>
      </c>
      <c r="Q42" s="1">
        <f t="shared" si="14"/>
        <v>17.2</v>
      </c>
      <c r="R42" s="5"/>
      <c r="S42" s="5">
        <f t="shared" si="5"/>
        <v>0</v>
      </c>
      <c r="T42" s="5"/>
      <c r="U42" s="19"/>
      <c r="V42" s="1">
        <f t="shared" si="6"/>
        <v>17.616279069767444</v>
      </c>
      <c r="W42" s="1">
        <f t="shared" si="15"/>
        <v>17.616279069767444</v>
      </c>
      <c r="X42" s="1">
        <v>18.399999999999999</v>
      </c>
      <c r="Y42" s="1">
        <v>10.6</v>
      </c>
      <c r="Z42" s="1">
        <v>22</v>
      </c>
      <c r="AA42" s="1">
        <v>23</v>
      </c>
      <c r="AB42" s="1">
        <v>6.8</v>
      </c>
      <c r="AC42" s="1">
        <v>23.6</v>
      </c>
      <c r="AD42" s="1">
        <v>19.2</v>
      </c>
      <c r="AE42" s="1">
        <v>10.8</v>
      </c>
      <c r="AF42" s="1">
        <v>12.8</v>
      </c>
      <c r="AG42" s="1">
        <v>18</v>
      </c>
      <c r="AH42" s="1"/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89</v>
      </c>
      <c r="B43" s="1" t="s">
        <v>41</v>
      </c>
      <c r="C43" s="1">
        <v>72.013999999999996</v>
      </c>
      <c r="D43" s="1"/>
      <c r="E43" s="1">
        <v>6.218</v>
      </c>
      <c r="F43" s="1">
        <v>62.637999999999998</v>
      </c>
      <c r="G43" s="7">
        <v>1</v>
      </c>
      <c r="H43" s="1">
        <v>180</v>
      </c>
      <c r="I43" s="1" t="s">
        <v>42</v>
      </c>
      <c r="J43" s="1"/>
      <c r="K43" s="1">
        <v>6.7</v>
      </c>
      <c r="L43" s="1">
        <f t="shared" si="13"/>
        <v>-0.48200000000000021</v>
      </c>
      <c r="M43" s="1"/>
      <c r="N43" s="1"/>
      <c r="O43" s="1"/>
      <c r="P43" s="1"/>
      <c r="Q43" s="1">
        <f t="shared" si="14"/>
        <v>1.2436</v>
      </c>
      <c r="R43" s="5"/>
      <c r="S43" s="5">
        <f t="shared" si="5"/>
        <v>0</v>
      </c>
      <c r="T43" s="5"/>
      <c r="U43" s="19"/>
      <c r="V43" s="1">
        <f t="shared" si="6"/>
        <v>50.368285622386615</v>
      </c>
      <c r="W43" s="1">
        <f t="shared" si="15"/>
        <v>50.368285622386615</v>
      </c>
      <c r="X43" s="1">
        <v>1.3131999999999999</v>
      </c>
      <c r="Y43" s="1">
        <v>2.9767999999999999</v>
      </c>
      <c r="Z43" s="1">
        <v>0</v>
      </c>
      <c r="AA43" s="1">
        <v>2.524</v>
      </c>
      <c r="AB43" s="1">
        <v>1.3311999999999999</v>
      </c>
      <c r="AC43" s="1">
        <v>0</v>
      </c>
      <c r="AD43" s="1">
        <v>1.2927999999999999</v>
      </c>
      <c r="AE43" s="1">
        <v>17.328800000000001</v>
      </c>
      <c r="AF43" s="1">
        <v>2.5156000000000001</v>
      </c>
      <c r="AG43" s="1">
        <v>2.64</v>
      </c>
      <c r="AH43" s="18" t="s">
        <v>106</v>
      </c>
      <c r="AI43" s="1">
        <f t="shared" si="7"/>
        <v>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90</v>
      </c>
      <c r="B44" s="1" t="s">
        <v>41</v>
      </c>
      <c r="C44" s="1">
        <v>5.7679999999999998</v>
      </c>
      <c r="D44" s="1">
        <v>15.46</v>
      </c>
      <c r="E44" s="1">
        <v>10.204000000000001</v>
      </c>
      <c r="F44" s="1">
        <v>9.4339999999999993</v>
      </c>
      <c r="G44" s="7">
        <v>1</v>
      </c>
      <c r="H44" s="1">
        <v>180</v>
      </c>
      <c r="I44" s="1" t="s">
        <v>42</v>
      </c>
      <c r="J44" s="1"/>
      <c r="K44" s="1">
        <v>21</v>
      </c>
      <c r="L44" s="1">
        <f t="shared" si="13"/>
        <v>-10.795999999999999</v>
      </c>
      <c r="M44" s="1"/>
      <c r="N44" s="1"/>
      <c r="O44" s="1">
        <v>99</v>
      </c>
      <c r="P44" s="1"/>
      <c r="Q44" s="1">
        <f t="shared" si="14"/>
        <v>2.0407999999999999</v>
      </c>
      <c r="R44" s="5"/>
      <c r="S44" s="5">
        <f t="shared" si="5"/>
        <v>0</v>
      </c>
      <c r="T44" s="5"/>
      <c r="U44" s="19"/>
      <c r="V44" s="1">
        <f t="shared" si="6"/>
        <v>53.133085064680515</v>
      </c>
      <c r="W44" s="1">
        <f t="shared" si="15"/>
        <v>53.133085064680515</v>
      </c>
      <c r="X44" s="1">
        <v>2.5371999999999999</v>
      </c>
      <c r="Y44" s="1">
        <v>4.7944000000000004</v>
      </c>
      <c r="Z44" s="1">
        <v>2.5684</v>
      </c>
      <c r="AA44" s="1">
        <v>1.9352</v>
      </c>
      <c r="AB44" s="1">
        <v>2.67</v>
      </c>
      <c r="AC44" s="1">
        <v>7.628400000000001</v>
      </c>
      <c r="AD44" s="1">
        <v>3.3647999999999998</v>
      </c>
      <c r="AE44" s="1">
        <v>1.3460000000000001</v>
      </c>
      <c r="AF44" s="1">
        <v>2.5680000000000001</v>
      </c>
      <c r="AG44" s="1">
        <v>5.9256000000000002</v>
      </c>
      <c r="AH44" s="1"/>
      <c r="AI44" s="1">
        <f t="shared" si="7"/>
        <v>0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0" t="s">
        <v>91</v>
      </c>
      <c r="B45" s="10" t="s">
        <v>41</v>
      </c>
      <c r="C45" s="10"/>
      <c r="D45" s="10"/>
      <c r="E45" s="14">
        <v>3.2</v>
      </c>
      <c r="F45" s="14">
        <v>-3.2</v>
      </c>
      <c r="G45" s="11">
        <v>0</v>
      </c>
      <c r="H45" s="10"/>
      <c r="I45" s="13" t="s">
        <v>92</v>
      </c>
      <c r="J45" s="10" t="s">
        <v>40</v>
      </c>
      <c r="K45" s="10">
        <v>6.4</v>
      </c>
      <c r="L45" s="10">
        <f t="shared" si="13"/>
        <v>-3.2</v>
      </c>
      <c r="M45" s="10"/>
      <c r="N45" s="10"/>
      <c r="O45" s="10"/>
      <c r="P45" s="10"/>
      <c r="Q45" s="10">
        <f t="shared" si="14"/>
        <v>0.64</v>
      </c>
      <c r="R45" s="12"/>
      <c r="S45" s="5">
        <f t="shared" si="5"/>
        <v>0</v>
      </c>
      <c r="T45" s="5"/>
      <c r="U45" s="19"/>
      <c r="V45" s="1">
        <f t="shared" si="6"/>
        <v>-5</v>
      </c>
      <c r="W45" s="10">
        <f t="shared" si="15"/>
        <v>-5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/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93</v>
      </c>
      <c r="B46" s="1" t="s">
        <v>41</v>
      </c>
      <c r="C46" s="1"/>
      <c r="D46" s="1">
        <v>58.472000000000001</v>
      </c>
      <c r="E46" s="1">
        <v>47.808</v>
      </c>
      <c r="F46" s="1">
        <v>9.3719999999999999</v>
      </c>
      <c r="G46" s="7">
        <v>1</v>
      </c>
      <c r="H46" s="1">
        <v>180</v>
      </c>
      <c r="I46" s="1" t="s">
        <v>42</v>
      </c>
      <c r="J46" s="1"/>
      <c r="K46" s="1">
        <v>48.3</v>
      </c>
      <c r="L46" s="1">
        <f t="shared" si="13"/>
        <v>-0.49199999999999733</v>
      </c>
      <c r="M46" s="1"/>
      <c r="N46" s="1"/>
      <c r="O46" s="1">
        <v>82</v>
      </c>
      <c r="P46" s="1"/>
      <c r="Q46" s="1">
        <f t="shared" si="14"/>
        <v>9.5616000000000003</v>
      </c>
      <c r="R46" s="5">
        <f t="shared" ref="R46:R50" si="16">17*Q46-P46-O46-F46</f>
        <v>71.175200000000004</v>
      </c>
      <c r="S46" s="5">
        <f t="shared" si="5"/>
        <v>71.175200000000004</v>
      </c>
      <c r="T46" s="5">
        <f>VLOOKUP(A46,заказ!A:B,2,0)</f>
        <v>66</v>
      </c>
      <c r="U46" s="19"/>
      <c r="V46" s="1">
        <f t="shared" si="6"/>
        <v>17</v>
      </c>
      <c r="W46" s="1">
        <f t="shared" si="15"/>
        <v>9.5561412315930383</v>
      </c>
      <c r="X46" s="1">
        <v>0</v>
      </c>
      <c r="Y46" s="1">
        <v>0.7</v>
      </c>
      <c r="Z46" s="1">
        <v>12.469799999999999</v>
      </c>
      <c r="AA46" s="1">
        <v>16.026800000000001</v>
      </c>
      <c r="AB46" s="1">
        <v>8.2444000000000006</v>
      </c>
      <c r="AC46" s="1">
        <v>13.1412</v>
      </c>
      <c r="AD46" s="1">
        <v>13.5068</v>
      </c>
      <c r="AE46" s="1">
        <v>9.5599999999999987</v>
      </c>
      <c r="AF46" s="1">
        <v>6.8563999999999989</v>
      </c>
      <c r="AG46" s="1">
        <v>12.1096</v>
      </c>
      <c r="AH46" s="1"/>
      <c r="AI46" s="1">
        <f t="shared" si="7"/>
        <v>71.175200000000004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94</v>
      </c>
      <c r="B47" s="1" t="s">
        <v>41</v>
      </c>
      <c r="C47" s="1">
        <v>33.802</v>
      </c>
      <c r="D47" s="1"/>
      <c r="E47" s="1">
        <v>9.3360000000000003</v>
      </c>
      <c r="F47" s="1">
        <v>24.466000000000001</v>
      </c>
      <c r="G47" s="7">
        <v>1</v>
      </c>
      <c r="H47" s="1">
        <v>180</v>
      </c>
      <c r="I47" s="1" t="s">
        <v>42</v>
      </c>
      <c r="J47" s="1"/>
      <c r="K47" s="1">
        <v>9.9</v>
      </c>
      <c r="L47" s="1">
        <f t="shared" si="13"/>
        <v>-0.56400000000000006</v>
      </c>
      <c r="M47" s="1"/>
      <c r="N47" s="1"/>
      <c r="O47" s="1">
        <v>33</v>
      </c>
      <c r="P47" s="1"/>
      <c r="Q47" s="1">
        <f t="shared" si="14"/>
        <v>1.8672</v>
      </c>
      <c r="R47" s="5"/>
      <c r="S47" s="5">
        <f t="shared" si="5"/>
        <v>0</v>
      </c>
      <c r="T47" s="5"/>
      <c r="U47" s="19"/>
      <c r="V47" s="1">
        <f t="shared" si="6"/>
        <v>30.776563838903172</v>
      </c>
      <c r="W47" s="1">
        <f t="shared" si="15"/>
        <v>30.776563838903172</v>
      </c>
      <c r="X47" s="1">
        <v>2.0668000000000002</v>
      </c>
      <c r="Y47" s="1">
        <v>2.6816</v>
      </c>
      <c r="Z47" s="1">
        <v>0.60240000000000005</v>
      </c>
      <c r="AA47" s="1">
        <v>0</v>
      </c>
      <c r="AB47" s="1">
        <v>1.3008</v>
      </c>
      <c r="AC47" s="1">
        <v>0</v>
      </c>
      <c r="AD47" s="1">
        <v>1.274</v>
      </c>
      <c r="AE47" s="1">
        <v>3.7267999999999999</v>
      </c>
      <c r="AF47" s="1">
        <v>3.8944000000000001</v>
      </c>
      <c r="AG47" s="1">
        <v>3.7183999999999999</v>
      </c>
      <c r="AH47" s="16" t="s">
        <v>53</v>
      </c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95</v>
      </c>
      <c r="B48" s="1" t="s">
        <v>36</v>
      </c>
      <c r="C48" s="1"/>
      <c r="D48" s="1">
        <v>420</v>
      </c>
      <c r="E48" s="1">
        <v>148</v>
      </c>
      <c r="F48" s="1">
        <v>256</v>
      </c>
      <c r="G48" s="7">
        <v>0.1</v>
      </c>
      <c r="H48" s="1">
        <v>60</v>
      </c>
      <c r="I48" s="1"/>
      <c r="J48" s="1"/>
      <c r="K48" s="1">
        <v>203</v>
      </c>
      <c r="L48" s="1">
        <f t="shared" si="13"/>
        <v>-55</v>
      </c>
      <c r="M48" s="1"/>
      <c r="N48" s="1"/>
      <c r="O48" s="1">
        <v>348</v>
      </c>
      <c r="P48" s="1"/>
      <c r="Q48" s="1">
        <f t="shared" si="14"/>
        <v>29.6</v>
      </c>
      <c r="R48" s="5"/>
      <c r="S48" s="5">
        <f t="shared" si="5"/>
        <v>0</v>
      </c>
      <c r="T48" s="5"/>
      <c r="U48" s="19"/>
      <c r="V48" s="1">
        <f t="shared" si="6"/>
        <v>20.405405405405403</v>
      </c>
      <c r="W48" s="1">
        <f t="shared" si="15"/>
        <v>20.405405405405403</v>
      </c>
      <c r="X48" s="1">
        <v>21.2</v>
      </c>
      <c r="Y48" s="1">
        <v>38.4</v>
      </c>
      <c r="Z48" s="1">
        <v>64.599999999999994</v>
      </c>
      <c r="AA48" s="1">
        <v>21.8</v>
      </c>
      <c r="AB48" s="1">
        <v>57</v>
      </c>
      <c r="AC48" s="1">
        <v>62.8</v>
      </c>
      <c r="AD48" s="1">
        <v>4.8</v>
      </c>
      <c r="AE48" s="1">
        <v>45.8</v>
      </c>
      <c r="AF48" s="1">
        <v>54</v>
      </c>
      <c r="AG48" s="1">
        <v>18.8</v>
      </c>
      <c r="AH48" s="1"/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96</v>
      </c>
      <c r="B49" s="1" t="s">
        <v>36</v>
      </c>
      <c r="C49" s="1"/>
      <c r="D49" s="1">
        <v>252</v>
      </c>
      <c r="E49" s="1">
        <v>94</v>
      </c>
      <c r="F49" s="1">
        <v>152</v>
      </c>
      <c r="G49" s="7">
        <v>0.1</v>
      </c>
      <c r="H49" s="1">
        <v>90</v>
      </c>
      <c r="I49" s="1"/>
      <c r="J49" s="1"/>
      <c r="K49" s="1">
        <v>136</v>
      </c>
      <c r="L49" s="1">
        <f t="shared" si="13"/>
        <v>-42</v>
      </c>
      <c r="M49" s="1"/>
      <c r="N49" s="1"/>
      <c r="O49" s="1">
        <v>402</v>
      </c>
      <c r="P49" s="1"/>
      <c r="Q49" s="1">
        <f t="shared" si="14"/>
        <v>18.8</v>
      </c>
      <c r="R49" s="5"/>
      <c r="S49" s="5">
        <f t="shared" si="5"/>
        <v>0</v>
      </c>
      <c r="T49" s="5"/>
      <c r="U49" s="19"/>
      <c r="V49" s="1">
        <f t="shared" si="6"/>
        <v>29.468085106382979</v>
      </c>
      <c r="W49" s="1">
        <f t="shared" si="15"/>
        <v>29.468085106382979</v>
      </c>
      <c r="X49" s="1">
        <v>12.4</v>
      </c>
      <c r="Y49" s="1">
        <v>29.6</v>
      </c>
      <c r="Z49" s="1">
        <v>40.4</v>
      </c>
      <c r="AA49" s="1">
        <v>24.6</v>
      </c>
      <c r="AB49" s="1">
        <v>41.8</v>
      </c>
      <c r="AC49" s="1">
        <v>47</v>
      </c>
      <c r="AD49" s="1">
        <v>33.4</v>
      </c>
      <c r="AE49" s="1">
        <v>34</v>
      </c>
      <c r="AF49" s="1">
        <v>30</v>
      </c>
      <c r="AG49" s="1">
        <v>49.2</v>
      </c>
      <c r="AH49" s="1"/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97</v>
      </c>
      <c r="B50" s="1" t="s">
        <v>36</v>
      </c>
      <c r="C50" s="1"/>
      <c r="D50" s="1">
        <v>114</v>
      </c>
      <c r="E50" s="1">
        <v>45</v>
      </c>
      <c r="F50" s="1">
        <v>58</v>
      </c>
      <c r="G50" s="7">
        <v>0.14000000000000001</v>
      </c>
      <c r="H50" s="1">
        <v>180</v>
      </c>
      <c r="I50" s="1"/>
      <c r="J50" s="1"/>
      <c r="K50" s="1">
        <v>62</v>
      </c>
      <c r="L50" s="1">
        <f t="shared" si="13"/>
        <v>-17</v>
      </c>
      <c r="M50" s="1"/>
      <c r="N50" s="1"/>
      <c r="O50" s="1">
        <v>64</v>
      </c>
      <c r="P50" s="1"/>
      <c r="Q50" s="1">
        <f t="shared" si="14"/>
        <v>9</v>
      </c>
      <c r="R50" s="5">
        <f t="shared" si="16"/>
        <v>31</v>
      </c>
      <c r="S50" s="5">
        <f t="shared" si="5"/>
        <v>31</v>
      </c>
      <c r="T50" s="5">
        <f>VLOOKUP(A50,заказ!A:B,2,0)</f>
        <v>32</v>
      </c>
      <c r="U50" s="19"/>
      <c r="V50" s="1">
        <f t="shared" si="6"/>
        <v>17</v>
      </c>
      <c r="W50" s="1">
        <f t="shared" si="15"/>
        <v>13.555555555555555</v>
      </c>
      <c r="X50" s="1">
        <v>5</v>
      </c>
      <c r="Y50" s="1">
        <v>7.6</v>
      </c>
      <c r="Z50" s="1">
        <v>11.8</v>
      </c>
      <c r="AA50" s="1">
        <v>5.6</v>
      </c>
      <c r="AB50" s="1">
        <v>8</v>
      </c>
      <c r="AC50" s="1">
        <v>8.1999999999999993</v>
      </c>
      <c r="AD50" s="1">
        <v>6.6</v>
      </c>
      <c r="AE50" s="1">
        <v>6.2</v>
      </c>
      <c r="AF50" s="1">
        <v>3.2</v>
      </c>
      <c r="AG50" s="1">
        <v>8.4</v>
      </c>
      <c r="AH50" s="1"/>
      <c r="AI50" s="1">
        <f t="shared" si="7"/>
        <v>4.3400000000000007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9" t="s">
        <v>98</v>
      </c>
      <c r="B51" s="1" t="s">
        <v>36</v>
      </c>
      <c r="C51" s="1">
        <v>2</v>
      </c>
      <c r="D51" s="1"/>
      <c r="E51" s="1">
        <v>16</v>
      </c>
      <c r="F51" s="14">
        <f>-14+F52</f>
        <v>6</v>
      </c>
      <c r="G51" s="7">
        <v>0.2</v>
      </c>
      <c r="H51" s="1">
        <v>120</v>
      </c>
      <c r="I51" s="1"/>
      <c r="J51" s="1"/>
      <c r="K51" s="1">
        <v>16</v>
      </c>
      <c r="L51" s="1">
        <f t="shared" si="13"/>
        <v>0</v>
      </c>
      <c r="M51" s="1"/>
      <c r="N51" s="1"/>
      <c r="O51" s="1">
        <v>70</v>
      </c>
      <c r="P51" s="1">
        <v>40</v>
      </c>
      <c r="Q51" s="1">
        <f t="shared" si="14"/>
        <v>3.2</v>
      </c>
      <c r="R51" s="5"/>
      <c r="S51" s="5">
        <f>U51</f>
        <v>50</v>
      </c>
      <c r="T51" s="5">
        <f>VLOOKUP(A51,заказ!A:B,2,0)</f>
        <v>50</v>
      </c>
      <c r="U51" s="19">
        <f>VLOOKUP(A51,[1]Sheet!$A:$S,19,0)</f>
        <v>50</v>
      </c>
      <c r="V51" s="1">
        <f t="shared" si="6"/>
        <v>51.875</v>
      </c>
      <c r="W51" s="1">
        <f t="shared" si="15"/>
        <v>36.25</v>
      </c>
      <c r="X51" s="1">
        <v>7</v>
      </c>
      <c r="Y51" s="1">
        <v>2</v>
      </c>
      <c r="Z51" s="1">
        <v>5.4</v>
      </c>
      <c r="AA51" s="1">
        <v>5.2</v>
      </c>
      <c r="AB51" s="1">
        <v>2.6</v>
      </c>
      <c r="AC51" s="1">
        <v>1</v>
      </c>
      <c r="AD51" s="1">
        <v>8.1999999999999993</v>
      </c>
      <c r="AE51" s="1">
        <v>3.6</v>
      </c>
      <c r="AF51" s="1">
        <v>4</v>
      </c>
      <c r="AG51" s="1">
        <v>1.6</v>
      </c>
      <c r="AH51" s="1"/>
      <c r="AI51" s="1">
        <f t="shared" si="7"/>
        <v>10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0" t="s">
        <v>99</v>
      </c>
      <c r="B52" s="10" t="s">
        <v>36</v>
      </c>
      <c r="C52" s="10"/>
      <c r="D52" s="10">
        <v>20</v>
      </c>
      <c r="E52" s="10"/>
      <c r="F52" s="14">
        <v>20</v>
      </c>
      <c r="G52" s="11">
        <v>0</v>
      </c>
      <c r="H52" s="10"/>
      <c r="I52" s="13" t="s">
        <v>92</v>
      </c>
      <c r="J52" s="10" t="s">
        <v>98</v>
      </c>
      <c r="K52" s="10"/>
      <c r="L52" s="10">
        <f t="shared" si="13"/>
        <v>0</v>
      </c>
      <c r="M52" s="10"/>
      <c r="N52" s="10"/>
      <c r="O52" s="10"/>
      <c r="P52" s="10"/>
      <c r="Q52" s="10">
        <f t="shared" si="14"/>
        <v>0</v>
      </c>
      <c r="R52" s="12"/>
      <c r="S52" s="5">
        <f t="shared" si="5"/>
        <v>0</v>
      </c>
      <c r="T52" s="5"/>
      <c r="U52" s="19"/>
      <c r="V52" s="1" t="e">
        <f t="shared" si="6"/>
        <v>#DIV/0!</v>
      </c>
      <c r="W52" s="10" t="e">
        <f t="shared" si="15"/>
        <v>#DIV/0!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/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100</v>
      </c>
      <c r="B53" s="1" t="s">
        <v>41</v>
      </c>
      <c r="C53" s="1">
        <v>163.94200000000001</v>
      </c>
      <c r="D53" s="1">
        <v>56.04</v>
      </c>
      <c r="E53" s="1">
        <v>3.0819999999999999</v>
      </c>
      <c r="F53" s="1">
        <v>160.86000000000001</v>
      </c>
      <c r="G53" s="7">
        <v>1</v>
      </c>
      <c r="H53" s="1">
        <v>120</v>
      </c>
      <c r="I53" s="1" t="s">
        <v>42</v>
      </c>
      <c r="J53" s="1"/>
      <c r="K53" s="1">
        <v>3.5</v>
      </c>
      <c r="L53" s="1">
        <f t="shared" si="13"/>
        <v>-0.41800000000000015</v>
      </c>
      <c r="M53" s="1"/>
      <c r="N53" s="1"/>
      <c r="O53" s="1">
        <v>45</v>
      </c>
      <c r="P53" s="1"/>
      <c r="Q53" s="1">
        <f t="shared" si="14"/>
        <v>0.61639999999999995</v>
      </c>
      <c r="R53" s="5"/>
      <c r="S53" s="5">
        <f t="shared" ref="S53:S54" si="17">U53</f>
        <v>500</v>
      </c>
      <c r="T53" s="5">
        <f>VLOOKUP(A53,заказ!A:B,2,0)</f>
        <v>495</v>
      </c>
      <c r="U53" s="19">
        <f>VLOOKUP(A53,[1]Sheet!$A:$S,19,0)</f>
        <v>500</v>
      </c>
      <c r="V53" s="1">
        <f t="shared" si="6"/>
        <v>1145.1330304996757</v>
      </c>
      <c r="W53" s="1">
        <f t="shared" si="15"/>
        <v>333.9714471122648</v>
      </c>
      <c r="X53" s="1">
        <v>0.63360000000000005</v>
      </c>
      <c r="Y53" s="1">
        <v>0</v>
      </c>
      <c r="Z53" s="1">
        <v>2.5788000000000002</v>
      </c>
      <c r="AA53" s="1">
        <v>10.383800000000001</v>
      </c>
      <c r="AB53" s="1">
        <v>0</v>
      </c>
      <c r="AC53" s="1">
        <v>0</v>
      </c>
      <c r="AD53" s="1">
        <v>0.83499999999999996</v>
      </c>
      <c r="AE53" s="1">
        <v>0</v>
      </c>
      <c r="AF53" s="1">
        <v>15.537599999999999</v>
      </c>
      <c r="AG53" s="1">
        <v>0.63040000000000007</v>
      </c>
      <c r="AH53" s="18" t="s">
        <v>106</v>
      </c>
      <c r="AI53" s="1">
        <f t="shared" si="7"/>
        <v>500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101</v>
      </c>
      <c r="B54" s="1" t="s">
        <v>36</v>
      </c>
      <c r="C54" s="1">
        <v>47</v>
      </c>
      <c r="D54" s="1">
        <v>10</v>
      </c>
      <c r="E54" s="14">
        <f>18+E55</f>
        <v>22</v>
      </c>
      <c r="F54" s="14">
        <f>-10+F55</f>
        <v>24</v>
      </c>
      <c r="G54" s="7">
        <v>0.2</v>
      </c>
      <c r="H54" s="1">
        <v>120</v>
      </c>
      <c r="I54" s="1"/>
      <c r="J54" s="1"/>
      <c r="K54" s="1">
        <v>18</v>
      </c>
      <c r="L54" s="1">
        <f t="shared" si="13"/>
        <v>4</v>
      </c>
      <c r="M54" s="1"/>
      <c r="N54" s="1"/>
      <c r="O54" s="1">
        <v>50</v>
      </c>
      <c r="P54" s="1"/>
      <c r="Q54" s="1">
        <f t="shared" si="14"/>
        <v>4.4000000000000004</v>
      </c>
      <c r="R54" s="5"/>
      <c r="S54" s="5">
        <f t="shared" si="17"/>
        <v>50</v>
      </c>
      <c r="T54" s="5">
        <f>VLOOKUP(A54,заказ!A:B,2,0)</f>
        <v>50</v>
      </c>
      <c r="U54" s="19">
        <f>VLOOKUP(A54,[1]Sheet!$A:$S,19,0)</f>
        <v>50</v>
      </c>
      <c r="V54" s="1">
        <f t="shared" si="6"/>
        <v>28.18181818181818</v>
      </c>
      <c r="W54" s="1">
        <f t="shared" si="15"/>
        <v>16.818181818181817</v>
      </c>
      <c r="X54" s="1">
        <v>1.8</v>
      </c>
      <c r="Y54" s="1">
        <v>6</v>
      </c>
      <c r="Z54" s="1">
        <v>4.8</v>
      </c>
      <c r="AA54" s="1">
        <v>5.6</v>
      </c>
      <c r="AB54" s="1">
        <v>1.8</v>
      </c>
      <c r="AC54" s="1">
        <v>3.4</v>
      </c>
      <c r="AD54" s="1">
        <v>8.6</v>
      </c>
      <c r="AE54" s="1">
        <v>3.6</v>
      </c>
      <c r="AF54" s="1">
        <v>3.2</v>
      </c>
      <c r="AG54" s="1">
        <v>5.4</v>
      </c>
      <c r="AH54" s="1"/>
      <c r="AI54" s="1">
        <f t="shared" si="7"/>
        <v>10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0" t="s">
        <v>102</v>
      </c>
      <c r="B55" s="10" t="s">
        <v>36</v>
      </c>
      <c r="C55" s="10">
        <v>-9</v>
      </c>
      <c r="D55" s="10">
        <v>47</v>
      </c>
      <c r="E55" s="14">
        <v>4</v>
      </c>
      <c r="F55" s="14">
        <v>34</v>
      </c>
      <c r="G55" s="11">
        <v>0</v>
      </c>
      <c r="H55" s="10"/>
      <c r="I55" s="10" t="s">
        <v>92</v>
      </c>
      <c r="J55" s="10" t="s">
        <v>101</v>
      </c>
      <c r="K55" s="10">
        <v>4</v>
      </c>
      <c r="L55" s="10">
        <f t="shared" si="13"/>
        <v>0</v>
      </c>
      <c r="M55" s="10"/>
      <c r="N55" s="10"/>
      <c r="O55" s="10"/>
      <c r="P55" s="10"/>
      <c r="Q55" s="10">
        <f t="shared" si="14"/>
        <v>0.8</v>
      </c>
      <c r="R55" s="12"/>
      <c r="S55" s="5">
        <f t="shared" si="5"/>
        <v>0</v>
      </c>
      <c r="T55" s="5"/>
      <c r="U55" s="19"/>
      <c r="V55" s="1">
        <f t="shared" si="6"/>
        <v>42.5</v>
      </c>
      <c r="W55" s="10">
        <f t="shared" si="15"/>
        <v>42.5</v>
      </c>
      <c r="X55" s="10">
        <v>1.2</v>
      </c>
      <c r="Y55" s="10">
        <v>0.6</v>
      </c>
      <c r="Z55" s="10">
        <v>0</v>
      </c>
      <c r="AA55" s="10">
        <v>0.8</v>
      </c>
      <c r="AB55" s="10">
        <v>0</v>
      </c>
      <c r="AC55" s="10">
        <v>0.2</v>
      </c>
      <c r="AD55" s="10">
        <v>2.8</v>
      </c>
      <c r="AE55" s="10">
        <v>0</v>
      </c>
      <c r="AF55" s="10">
        <v>0</v>
      </c>
      <c r="AG55" s="10">
        <v>0</v>
      </c>
      <c r="AH55" s="10"/>
      <c r="AI55" s="1">
        <f t="shared" si="7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0" t="s">
        <v>103</v>
      </c>
      <c r="B56" s="10" t="s">
        <v>41</v>
      </c>
      <c r="C56" s="10"/>
      <c r="D56" s="10"/>
      <c r="E56" s="14">
        <v>3.6739999999999999</v>
      </c>
      <c r="F56" s="14">
        <v>-3.6739999999999999</v>
      </c>
      <c r="G56" s="11">
        <v>0</v>
      </c>
      <c r="H56" s="10"/>
      <c r="I56" s="10" t="s">
        <v>92</v>
      </c>
      <c r="J56" s="10" t="s">
        <v>104</v>
      </c>
      <c r="K56" s="10">
        <v>3.5</v>
      </c>
      <c r="L56" s="10">
        <f t="shared" si="13"/>
        <v>0.17399999999999993</v>
      </c>
      <c r="M56" s="10"/>
      <c r="N56" s="10"/>
      <c r="O56" s="10"/>
      <c r="P56" s="10"/>
      <c r="Q56" s="10">
        <f t="shared" si="14"/>
        <v>0.73480000000000001</v>
      </c>
      <c r="R56" s="12"/>
      <c r="S56" s="5">
        <f t="shared" si="5"/>
        <v>0</v>
      </c>
      <c r="T56" s="5"/>
      <c r="U56" s="19"/>
      <c r="V56" s="1">
        <f t="shared" si="6"/>
        <v>-5</v>
      </c>
      <c r="W56" s="10">
        <f t="shared" si="15"/>
        <v>-5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/>
      <c r="AI56" s="1">
        <f t="shared" si="7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104</v>
      </c>
      <c r="B57" s="1" t="s">
        <v>41</v>
      </c>
      <c r="C57" s="1">
        <v>116.099</v>
      </c>
      <c r="D57" s="1">
        <v>76.436999999999998</v>
      </c>
      <c r="E57" s="14">
        <f>34.589+E56</f>
        <v>38.262999999999998</v>
      </c>
      <c r="F57" s="14">
        <f>82.41+F56</f>
        <v>78.73599999999999</v>
      </c>
      <c r="G57" s="7">
        <v>1</v>
      </c>
      <c r="H57" s="1">
        <v>120</v>
      </c>
      <c r="I57" s="1" t="s">
        <v>42</v>
      </c>
      <c r="J57" s="1"/>
      <c r="K57" s="1">
        <v>28.5</v>
      </c>
      <c r="L57" s="1">
        <f t="shared" si="13"/>
        <v>9.7629999999999981</v>
      </c>
      <c r="M57" s="1"/>
      <c r="N57" s="1"/>
      <c r="O57" s="1">
        <v>195</v>
      </c>
      <c r="P57" s="1"/>
      <c r="Q57" s="1">
        <f t="shared" si="14"/>
        <v>7.6525999999999996</v>
      </c>
      <c r="R57" s="5"/>
      <c r="S57" s="5">
        <f>U57</f>
        <v>200</v>
      </c>
      <c r="T57" s="5">
        <f>VLOOKUP(A57,заказ!A:B,2,0)</f>
        <v>195</v>
      </c>
      <c r="U57" s="19">
        <f>VLOOKUP(A57,[1]Sheet!$A:$S,19,0)</f>
        <v>200</v>
      </c>
      <c r="V57" s="1">
        <f t="shared" si="6"/>
        <v>61.905234822151947</v>
      </c>
      <c r="W57" s="1">
        <f t="shared" si="15"/>
        <v>35.770326425005884</v>
      </c>
      <c r="X57" s="1">
        <v>6.1512000000000002</v>
      </c>
      <c r="Y57" s="1">
        <v>13.141999999999999</v>
      </c>
      <c r="Z57" s="1">
        <v>4.5591999999999997</v>
      </c>
      <c r="AA57" s="1">
        <v>1.4184000000000001</v>
      </c>
      <c r="AB57" s="1">
        <v>15.4236</v>
      </c>
      <c r="AC57" s="1">
        <v>5.4283999999999999</v>
      </c>
      <c r="AD57" s="1">
        <v>6.0831999999999997</v>
      </c>
      <c r="AE57" s="1">
        <v>9.0995999999999988</v>
      </c>
      <c r="AF57" s="1">
        <v>9.1796000000000006</v>
      </c>
      <c r="AG57" s="1">
        <v>5.6015999999999986</v>
      </c>
      <c r="AH57" s="17" t="s">
        <v>38</v>
      </c>
      <c r="AI57" s="1">
        <f t="shared" si="7"/>
        <v>200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57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0FBE-029D-4A96-BD1C-0947FF0F8B08}">
  <dimension ref="A1:B3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40</v>
      </c>
      <c r="B1">
        <v>15</v>
      </c>
    </row>
    <row r="2" spans="1:2" x14ac:dyDescent="0.25">
      <c r="A2" t="s">
        <v>43</v>
      </c>
      <c r="B2">
        <v>48</v>
      </c>
    </row>
    <row r="3" spans="1:2" x14ac:dyDescent="0.25">
      <c r="A3" t="s">
        <v>45</v>
      </c>
      <c r="B3">
        <v>48</v>
      </c>
    </row>
    <row r="4" spans="1:2" x14ac:dyDescent="0.25">
      <c r="A4" t="s">
        <v>49</v>
      </c>
      <c r="B4">
        <v>48</v>
      </c>
    </row>
    <row r="5" spans="1:2" x14ac:dyDescent="0.25">
      <c r="A5" t="s">
        <v>50</v>
      </c>
      <c r="B5">
        <v>48</v>
      </c>
    </row>
    <row r="6" spans="1:2" x14ac:dyDescent="0.25">
      <c r="A6" t="s">
        <v>51</v>
      </c>
      <c r="B6">
        <v>48</v>
      </c>
    </row>
    <row r="7" spans="1:2" x14ac:dyDescent="0.25">
      <c r="A7" t="s">
        <v>52</v>
      </c>
      <c r="B7">
        <v>648</v>
      </c>
    </row>
    <row r="8" spans="1:2" x14ac:dyDescent="0.25">
      <c r="A8" t="s">
        <v>55</v>
      </c>
      <c r="B8">
        <v>96</v>
      </c>
    </row>
    <row r="9" spans="1:2" x14ac:dyDescent="0.25">
      <c r="A9" t="s">
        <v>56</v>
      </c>
      <c r="B9">
        <v>96</v>
      </c>
    </row>
    <row r="10" spans="1:2" x14ac:dyDescent="0.25">
      <c r="A10" t="s">
        <v>57</v>
      </c>
      <c r="B10">
        <v>8</v>
      </c>
    </row>
    <row r="11" spans="1:2" x14ac:dyDescent="0.25">
      <c r="A11" t="s">
        <v>59</v>
      </c>
      <c r="B11">
        <v>700</v>
      </c>
    </row>
    <row r="12" spans="1:2" x14ac:dyDescent="0.25">
      <c r="A12" t="s">
        <v>60</v>
      </c>
      <c r="B12">
        <v>700</v>
      </c>
    </row>
    <row r="13" spans="1:2" x14ac:dyDescent="0.25">
      <c r="A13" t="s">
        <v>62</v>
      </c>
      <c r="B13">
        <v>8</v>
      </c>
    </row>
    <row r="14" spans="1:2" x14ac:dyDescent="0.25">
      <c r="A14" t="s">
        <v>71</v>
      </c>
      <c r="B14">
        <v>48</v>
      </c>
    </row>
    <row r="15" spans="1:2" x14ac:dyDescent="0.25">
      <c r="A15" t="s">
        <v>73</v>
      </c>
      <c r="B15">
        <v>48</v>
      </c>
    </row>
    <row r="16" spans="1:2" x14ac:dyDescent="0.25">
      <c r="A16" t="s">
        <v>74</v>
      </c>
      <c r="B16">
        <v>48</v>
      </c>
    </row>
    <row r="17" spans="1:2" x14ac:dyDescent="0.25">
      <c r="A17" t="s">
        <v>75</v>
      </c>
      <c r="B17">
        <v>48</v>
      </c>
    </row>
    <row r="18" spans="1:2" x14ac:dyDescent="0.25">
      <c r="A18" t="s">
        <v>76</v>
      </c>
      <c r="B18">
        <v>500</v>
      </c>
    </row>
    <row r="19" spans="1:2" x14ac:dyDescent="0.25">
      <c r="A19" t="s">
        <v>78</v>
      </c>
      <c r="B19">
        <v>500</v>
      </c>
    </row>
    <row r="20" spans="1:2" x14ac:dyDescent="0.25">
      <c r="A20" t="s">
        <v>79</v>
      </c>
      <c r="B20">
        <v>200</v>
      </c>
    </row>
    <row r="21" spans="1:2" x14ac:dyDescent="0.25">
      <c r="A21" t="s">
        <v>81</v>
      </c>
      <c r="B21">
        <v>200</v>
      </c>
    </row>
    <row r="22" spans="1:2" x14ac:dyDescent="0.25">
      <c r="A22" t="s">
        <v>83</v>
      </c>
      <c r="B22">
        <v>200</v>
      </c>
    </row>
    <row r="23" spans="1:2" x14ac:dyDescent="0.25">
      <c r="A23" t="s">
        <v>84</v>
      </c>
      <c r="B23">
        <v>200</v>
      </c>
    </row>
    <row r="24" spans="1:2" x14ac:dyDescent="0.25">
      <c r="A24" t="s">
        <v>85</v>
      </c>
      <c r="B24">
        <v>32</v>
      </c>
    </row>
    <row r="25" spans="1:2" x14ac:dyDescent="0.25">
      <c r="A25" t="s">
        <v>87</v>
      </c>
      <c r="B25">
        <v>16</v>
      </c>
    </row>
    <row r="26" spans="1:2" x14ac:dyDescent="0.25">
      <c r="A26" t="s">
        <v>93</v>
      </c>
      <c r="B26">
        <v>66</v>
      </c>
    </row>
    <row r="27" spans="1:2" x14ac:dyDescent="0.25">
      <c r="A27" t="s">
        <v>97</v>
      </c>
      <c r="B27">
        <v>32</v>
      </c>
    </row>
    <row r="28" spans="1:2" x14ac:dyDescent="0.25">
      <c r="A28" t="s">
        <v>98</v>
      </c>
      <c r="B28">
        <v>50</v>
      </c>
    </row>
    <row r="29" spans="1:2" x14ac:dyDescent="0.25">
      <c r="A29" t="s">
        <v>100</v>
      </c>
      <c r="B29">
        <v>495</v>
      </c>
    </row>
    <row r="30" spans="1:2" x14ac:dyDescent="0.25">
      <c r="A30" t="s">
        <v>101</v>
      </c>
      <c r="B30">
        <v>50</v>
      </c>
    </row>
    <row r="31" spans="1:2" x14ac:dyDescent="0.25">
      <c r="A31" t="s">
        <v>104</v>
      </c>
      <c r="B31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2026-10-13T11:34:20Z</dcterms:created>
  <dcterms:modified xsi:type="dcterms:W3CDTF">2026-10-15T10:05:05Z</dcterms:modified>
</cp:coreProperties>
</file>