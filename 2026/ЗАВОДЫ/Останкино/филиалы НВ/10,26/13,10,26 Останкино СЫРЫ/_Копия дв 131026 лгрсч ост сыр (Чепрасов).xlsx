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FD3FFBF0-23BE-4971-A993-E833368672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37" i="1" l="1"/>
  <c r="AG21" i="1"/>
  <c r="AG13" i="1"/>
  <c r="AG7" i="1"/>
  <c r="Q43" i="1"/>
  <c r="L43" i="1"/>
  <c r="Q42" i="1"/>
  <c r="T42" i="1" s="1"/>
  <c r="L42" i="1"/>
  <c r="Q41" i="1"/>
  <c r="L41" i="1"/>
  <c r="F41" i="1"/>
  <c r="U41" i="1" s="1"/>
  <c r="Q40" i="1"/>
  <c r="U40" i="1" s="1"/>
  <c r="L40" i="1"/>
  <c r="Q39" i="1"/>
  <c r="L39" i="1"/>
  <c r="Q38" i="1"/>
  <c r="U38" i="1" s="1"/>
  <c r="L38" i="1"/>
  <c r="Q37" i="1"/>
  <c r="L37" i="1"/>
  <c r="Q36" i="1"/>
  <c r="U36" i="1" s="1"/>
  <c r="L36" i="1"/>
  <c r="Q35" i="1"/>
  <c r="AG35" i="1" s="1"/>
  <c r="L35" i="1"/>
  <c r="Q34" i="1"/>
  <c r="U34" i="1" s="1"/>
  <c r="L34" i="1"/>
  <c r="Q33" i="1"/>
  <c r="AG33" i="1" s="1"/>
  <c r="L33" i="1"/>
  <c r="Q32" i="1"/>
  <c r="U32" i="1" s="1"/>
  <c r="L32" i="1"/>
  <c r="Q31" i="1"/>
  <c r="L31" i="1"/>
  <c r="Q30" i="1"/>
  <c r="U30" i="1" s="1"/>
  <c r="L30" i="1"/>
  <c r="Q29" i="1"/>
  <c r="R29" i="1" s="1"/>
  <c r="AG29" i="1" s="1"/>
  <c r="L29" i="1"/>
  <c r="Q28" i="1"/>
  <c r="U28" i="1" s="1"/>
  <c r="L28" i="1"/>
  <c r="Q27" i="1"/>
  <c r="AG27" i="1" s="1"/>
  <c r="L27" i="1"/>
  <c r="Q26" i="1"/>
  <c r="U26" i="1" s="1"/>
  <c r="L26" i="1"/>
  <c r="Q25" i="1"/>
  <c r="R25" i="1" s="1"/>
  <c r="AG25" i="1" s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R19" i="1" s="1"/>
  <c r="AG19" i="1" s="1"/>
  <c r="L19" i="1"/>
  <c r="Q18" i="1"/>
  <c r="U18" i="1" s="1"/>
  <c r="L18" i="1"/>
  <c r="Q17" i="1"/>
  <c r="R17" i="1" s="1"/>
  <c r="AG17" i="1" s="1"/>
  <c r="L17" i="1"/>
  <c r="Q16" i="1"/>
  <c r="U16" i="1" s="1"/>
  <c r="L16" i="1"/>
  <c r="Q15" i="1"/>
  <c r="L15" i="1"/>
  <c r="Q14" i="1"/>
  <c r="U14" i="1" s="1"/>
  <c r="L14" i="1"/>
  <c r="Q13" i="1"/>
  <c r="L13" i="1"/>
  <c r="Q12" i="1"/>
  <c r="U12" i="1" s="1"/>
  <c r="L12" i="1"/>
  <c r="Q11" i="1"/>
  <c r="U11" i="1" s="1"/>
  <c r="L11" i="1"/>
  <c r="Q10" i="1"/>
  <c r="U10" i="1" s="1"/>
  <c r="L10" i="1"/>
  <c r="Q9" i="1"/>
  <c r="L9" i="1"/>
  <c r="Q8" i="1"/>
  <c r="U8" i="1" s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L5" i="1" l="1"/>
  <c r="R41" i="1"/>
  <c r="T41" i="1" s="1"/>
  <c r="F5" i="1"/>
  <c r="AG41" i="1"/>
  <c r="T23" i="1"/>
  <c r="R9" i="1"/>
  <c r="AG9" i="1" s="1"/>
  <c r="AG15" i="1"/>
  <c r="AG23" i="1"/>
  <c r="AG31" i="1"/>
  <c r="R39" i="1"/>
  <c r="AG39" i="1" s="1"/>
  <c r="T7" i="1"/>
  <c r="T10" i="1"/>
  <c r="T13" i="1"/>
  <c r="T21" i="1"/>
  <c r="T29" i="1"/>
  <c r="T37" i="1"/>
  <c r="AG8" i="1"/>
  <c r="R12" i="1"/>
  <c r="AG14" i="1"/>
  <c r="AG18" i="1"/>
  <c r="AG22" i="1"/>
  <c r="R26" i="1"/>
  <c r="AG26" i="1" s="1"/>
  <c r="R28" i="1"/>
  <c r="R30" i="1"/>
  <c r="AG30" i="1" s="1"/>
  <c r="AG34" i="1"/>
  <c r="R38" i="1"/>
  <c r="AG38" i="1" s="1"/>
  <c r="R43" i="1"/>
  <c r="AG43" i="1" s="1"/>
  <c r="T17" i="1"/>
  <c r="T19" i="1"/>
  <c r="T25" i="1"/>
  <c r="T27" i="1"/>
  <c r="T33" i="1"/>
  <c r="T35" i="1"/>
  <c r="T11" i="1"/>
  <c r="T18" i="1"/>
  <c r="T34" i="1"/>
  <c r="U7" i="1"/>
  <c r="U9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2" i="1"/>
  <c r="U43" i="1"/>
  <c r="Q5" i="1"/>
  <c r="T26" i="1" l="1"/>
  <c r="T39" i="1"/>
  <c r="T9" i="1"/>
  <c r="T43" i="1"/>
  <c r="T38" i="1"/>
  <c r="T30" i="1"/>
  <c r="T22" i="1"/>
  <c r="T14" i="1"/>
  <c r="T8" i="1"/>
  <c r="R5" i="1"/>
  <c r="T40" i="1"/>
  <c r="AG40" i="1"/>
  <c r="AG36" i="1"/>
  <c r="T36" i="1"/>
  <c r="T32" i="1"/>
  <c r="AG32" i="1"/>
  <c r="AG28" i="1"/>
  <c r="T28" i="1"/>
  <c r="T24" i="1"/>
  <c r="AG24" i="1"/>
  <c r="AG20" i="1"/>
  <c r="T20" i="1"/>
  <c r="T16" i="1"/>
  <c r="AG16" i="1"/>
  <c r="AG12" i="1"/>
  <c r="T12" i="1"/>
  <c r="AG6" i="1"/>
  <c r="T6" i="1"/>
  <c r="T31" i="1"/>
  <c r="T15" i="1"/>
  <c r="AG5" i="1" l="1"/>
</calcChain>
</file>

<file path=xl/sharedStrings.xml><?xml version="1.0" encoding="utf-8"?>
<sst xmlns="http://schemas.openxmlformats.org/spreadsheetml/2006/main" count="146" uniqueCount="86">
  <si>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</si>
  <si>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</si>
  <si>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</si>
  <si>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</si>
  <si>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</si>
  <si>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</si>
  <si>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</si>
  <si>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</si>
  <si>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</si>
  <si>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</si>
  <si>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</si>
  <si>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</si>
  <si>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</si>
  <si>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</si>
  <si>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</si>
  <si>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</si>
  <si>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</si>
  <si>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</si>
  <si>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</si>
  <si>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</si>
  <si>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</si>
  <si>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</si>
  <si>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</si>
  <si>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</si>
  <si>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</si>
  <si>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</si>
  <si>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</si>
  <si>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</si>
  <si>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</si>
  <si>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</si>
  <si>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</si>
  <si>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</si>
  <si>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</si>
  <si>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</si>
  <si>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</si>
  <si>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</si>
  <si>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</si>
  <si>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</si>
  <si>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</si>
  <si>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</si>
  <si>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</si>
  <si>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</si>
  <si>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</si>
  <si>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</si>
  <si>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</si>
  <si>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</si>
  <si>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</si>
  <si>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</si>
  <si>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</si>
  <si>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</si>
  <si>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</si>
  <si>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</si>
  <si>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</si>
  <si>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</si>
  <si>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</si>
  <si>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</si>
  <si>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</si>
  <si>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</si>
  <si>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</si>
  <si>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</si>
  <si>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</si>
  <si>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</si>
  <si>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</si>
  <si>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</si>
  <si>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</si>
  <si>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</si>
  <si>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</si>
  <si>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</si>
  <si>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</si>
  <si>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</si>
  <si>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</si>
  <si>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</si>
  <si>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</si>
  <si>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</si>
  <si>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</si>
  <si>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</si>
  <si>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</si>
  <si>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</si>
  <si>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</si>
  <si>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</si>
  <si>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</si>
  <si>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</si>
  <si>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</si>
  <si>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</si>
  <si>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127кг в уценке (04,09,26)</t>
  </si>
  <si>
    <t>21,09,26 завод не отгрузил (или в Донецке?)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</si>
</sst>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0" borderId="2" xfId="1" applyNumberFormat="1" applyBorder="1"/>
    <xf numFmtId="164" fontId="1" fillId="4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M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140625" customWidth="1"/>
    <col min="15" max="18" width="7" customWidth="1"/>
    <col min="19" max="19" width="7" style="14" customWidth="1"/>
    <col min="20" max="21" width="5" customWidth="1"/>
    <col min="22" max="31" width="6" customWidth="1"/>
    <col min="32" max="32" width="50" customWidth="1"/>
    <col min="33" max="33" width="7" customWidth="1"/>
    <col min="34" max="49" width="3" customWidth="1"/>
  </cols>
  <sheetData>
    <row r="1" spans="1:49" x14ac:dyDescent="0.25">
      <c r="A1" s="4"/>
      <c r="B1" s="4"/>
      <c r="C1" s="4"/>
      <c r="D1" s="4"/>
      <c r="E1" s="4"/>
      <c r="F1" s="4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x14ac:dyDescent="0.25">
      <c r="A2" s="4"/>
      <c r="B2" s="4"/>
      <c r="C2" s="4"/>
      <c r="D2" s="4"/>
      <c r="E2" s="4"/>
      <c r="F2" s="4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5">
      <c r="A4" s="4"/>
      <c r="B4" s="4"/>
      <c r="C4" s="4"/>
      <c r="D4" s="4"/>
      <c r="E4" s="4"/>
      <c r="F4" s="4"/>
      <c r="G4" s="6"/>
      <c r="H4" s="4"/>
      <c r="I4" s="4"/>
      <c r="J4" s="4"/>
      <c r="K4" s="4"/>
      <c r="L4" s="4"/>
      <c r="M4" s="4"/>
      <c r="N4" s="4"/>
      <c r="O4" s="4" t="s">
        <v>22</v>
      </c>
      <c r="P4" s="4" t="s">
        <v>23</v>
      </c>
      <c r="Q4" s="4" t="s">
        <v>24</v>
      </c>
      <c r="R4" s="4"/>
      <c r="S4" s="4"/>
      <c r="T4" s="4"/>
      <c r="U4" s="4"/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5">
      <c r="A5" s="4"/>
      <c r="B5" s="4"/>
      <c r="C5" s="4"/>
      <c r="D5" s="4"/>
      <c r="E5" s="3">
        <f>SUM(E6:E499)</f>
        <v>1593.9550000000002</v>
      </c>
      <c r="F5" s="3">
        <f>SUM(F6:F499)</f>
        <v>3986.9440000000004</v>
      </c>
      <c r="G5" s="6"/>
      <c r="H5" s="4"/>
      <c r="I5" s="4"/>
      <c r="J5" s="4"/>
      <c r="K5" s="3">
        <f t="shared" ref="K5:S5" si="0">SUM(K6:K499)</f>
        <v>1641</v>
      </c>
      <c r="L5" s="3">
        <f t="shared" si="0"/>
        <v>-47.044999999999995</v>
      </c>
      <c r="M5" s="3">
        <f t="shared" si="0"/>
        <v>0</v>
      </c>
      <c r="N5" s="3">
        <f t="shared" si="0"/>
        <v>0</v>
      </c>
      <c r="O5" s="3">
        <f t="shared" si="0"/>
        <v>-320</v>
      </c>
      <c r="P5" s="3">
        <f t="shared" si="0"/>
        <v>1356</v>
      </c>
      <c r="Q5" s="3">
        <f t="shared" si="0"/>
        <v>318.79100000000005</v>
      </c>
      <c r="R5" s="3">
        <f t="shared" si="0"/>
        <v>1399.1953999999996</v>
      </c>
      <c r="S5" s="3">
        <f t="shared" si="0"/>
        <v>80</v>
      </c>
      <c r="T5" s="4"/>
      <c r="U5" s="4"/>
      <c r="V5" s="3">
        <f t="shared" ref="V5:AE5" si="1">SUM(V6:V499)</f>
        <v>298.00299999999999</v>
      </c>
      <c r="W5" s="3">
        <f t="shared" si="1"/>
        <v>305.68039999999996</v>
      </c>
      <c r="X5" s="3">
        <f t="shared" si="1"/>
        <v>255.13099999999997</v>
      </c>
      <c r="Y5" s="3">
        <f t="shared" si="1"/>
        <v>344.86660000000001</v>
      </c>
      <c r="Z5" s="3">
        <f t="shared" si="1"/>
        <v>356.29920000000016</v>
      </c>
      <c r="AA5" s="3">
        <f t="shared" si="1"/>
        <v>297.89479999999998</v>
      </c>
      <c r="AB5" s="3">
        <f t="shared" si="1"/>
        <v>334.9140000000001</v>
      </c>
      <c r="AC5" s="3">
        <f t="shared" si="1"/>
        <v>295.55619999999999</v>
      </c>
      <c r="AD5" s="3">
        <f t="shared" si="1"/>
        <v>290.94040000000001</v>
      </c>
      <c r="AE5" s="3">
        <f t="shared" si="1"/>
        <v>423.62720000000007</v>
      </c>
      <c r="AF5" s="4"/>
      <c r="AG5" s="3">
        <f>SUM(AG6:AG499)</f>
        <v>500.89379999999989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4" t="s">
        <v>35</v>
      </c>
      <c r="B6" s="4" t="s">
        <v>36</v>
      </c>
      <c r="C6" s="4">
        <v>31</v>
      </c>
      <c r="D6" s="4">
        <v>24</v>
      </c>
      <c r="E6" s="4">
        <v>2</v>
      </c>
      <c r="F6" s="4">
        <v>49</v>
      </c>
      <c r="G6" s="6">
        <v>5.5E-2</v>
      </c>
      <c r="H6" s="4">
        <v>120</v>
      </c>
      <c r="I6" s="4"/>
      <c r="J6" s="4"/>
      <c r="K6" s="4">
        <v>2</v>
      </c>
      <c r="L6" s="4">
        <f t="shared" ref="L6:L43" si="2">E6-K6</f>
        <v>0</v>
      </c>
      <c r="M6" s="4"/>
      <c r="N6" s="4"/>
      <c r="O6" s="4"/>
      <c r="P6" s="4"/>
      <c r="Q6" s="4">
        <f t="shared" ref="Q6:Q43" si="3">E6/5</f>
        <v>0.4</v>
      </c>
      <c r="R6" s="15"/>
      <c r="S6" s="17"/>
      <c r="T6" s="4">
        <f t="shared" ref="T6:T43" si="4">(F6+O6+P6+R6)/Q6</f>
        <v>122.5</v>
      </c>
      <c r="U6" s="4">
        <f t="shared" ref="U6:U43" si="5">(F6+O6+P6)/Q6</f>
        <v>122.5</v>
      </c>
      <c r="V6" s="4">
        <v>1.2</v>
      </c>
      <c r="W6" s="4">
        <v>2.2000000000000002</v>
      </c>
      <c r="X6" s="4">
        <v>0.2</v>
      </c>
      <c r="Y6" s="4">
        <v>3.2</v>
      </c>
      <c r="Z6" s="4">
        <v>0.4</v>
      </c>
      <c r="AA6" s="4">
        <v>2.4</v>
      </c>
      <c r="AB6" s="4">
        <v>1.6</v>
      </c>
      <c r="AC6" s="4">
        <v>0</v>
      </c>
      <c r="AD6" s="4">
        <v>1.8</v>
      </c>
      <c r="AE6" s="4">
        <v>7.4</v>
      </c>
      <c r="AF6" s="12" t="s">
        <v>48</v>
      </c>
      <c r="AG6" s="4">
        <f>G6*R6</f>
        <v>0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5">
      <c r="A7" s="4" t="s">
        <v>38</v>
      </c>
      <c r="B7" s="4" t="s">
        <v>36</v>
      </c>
      <c r="C7" s="4">
        <v>58</v>
      </c>
      <c r="D7" s="4"/>
      <c r="E7" s="4">
        <v>9</v>
      </c>
      <c r="F7" s="4">
        <v>36</v>
      </c>
      <c r="G7" s="6">
        <v>0.1</v>
      </c>
      <c r="H7" s="4">
        <v>120</v>
      </c>
      <c r="I7" s="4"/>
      <c r="J7" s="4"/>
      <c r="K7" s="4">
        <v>9</v>
      </c>
      <c r="L7" s="4">
        <f t="shared" si="2"/>
        <v>0</v>
      </c>
      <c r="M7" s="4"/>
      <c r="N7" s="4"/>
      <c r="O7" s="4"/>
      <c r="P7" s="4"/>
      <c r="Q7" s="4">
        <f t="shared" si="3"/>
        <v>1.8</v>
      </c>
      <c r="R7" s="15"/>
      <c r="S7" s="17"/>
      <c r="T7" s="4">
        <f t="shared" si="4"/>
        <v>20</v>
      </c>
      <c r="U7" s="4">
        <f t="shared" si="5"/>
        <v>20</v>
      </c>
      <c r="V7" s="4">
        <v>2.4</v>
      </c>
      <c r="W7" s="4">
        <v>2.8</v>
      </c>
      <c r="X7" s="4">
        <v>2</v>
      </c>
      <c r="Y7" s="4">
        <v>5.6</v>
      </c>
      <c r="Z7" s="4">
        <v>6.2</v>
      </c>
      <c r="AA7" s="4">
        <v>4</v>
      </c>
      <c r="AB7" s="4">
        <v>9.4</v>
      </c>
      <c r="AC7" s="4">
        <v>0.4</v>
      </c>
      <c r="AD7" s="4">
        <v>0</v>
      </c>
      <c r="AE7" s="4">
        <v>9.1999999999999993</v>
      </c>
      <c r="AF7" s="11" t="s">
        <v>37</v>
      </c>
      <c r="AG7" s="4">
        <f>G7*R7</f>
        <v>0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5">
      <c r="A8" s="4" t="s">
        <v>39</v>
      </c>
      <c r="B8" s="4" t="s">
        <v>36</v>
      </c>
      <c r="C8" s="4">
        <v>41</v>
      </c>
      <c r="D8" s="4">
        <v>24</v>
      </c>
      <c r="E8" s="4">
        <v>1</v>
      </c>
      <c r="F8" s="4">
        <v>55</v>
      </c>
      <c r="G8" s="6">
        <v>0.1</v>
      </c>
      <c r="H8" s="4">
        <v>120</v>
      </c>
      <c r="I8" s="4"/>
      <c r="J8" s="4"/>
      <c r="K8" s="4">
        <v>1</v>
      </c>
      <c r="L8" s="4">
        <f t="shared" si="2"/>
        <v>0</v>
      </c>
      <c r="M8" s="4"/>
      <c r="N8" s="4"/>
      <c r="O8" s="4"/>
      <c r="P8" s="4"/>
      <c r="Q8" s="4">
        <f t="shared" si="3"/>
        <v>0.2</v>
      </c>
      <c r="R8" s="15"/>
      <c r="S8" s="17"/>
      <c r="T8" s="4">
        <f t="shared" si="4"/>
        <v>275</v>
      </c>
      <c r="U8" s="4">
        <f t="shared" si="5"/>
        <v>275</v>
      </c>
      <c r="V8" s="4">
        <v>1.4</v>
      </c>
      <c r="W8" s="4">
        <v>2.4</v>
      </c>
      <c r="X8" s="4">
        <v>1.4</v>
      </c>
      <c r="Y8" s="4">
        <v>2.6</v>
      </c>
      <c r="Z8" s="4">
        <v>4.8</v>
      </c>
      <c r="AA8" s="4">
        <v>3.4</v>
      </c>
      <c r="AB8" s="4">
        <v>7.6</v>
      </c>
      <c r="AC8" s="4">
        <v>0.4</v>
      </c>
      <c r="AD8" s="4">
        <v>0.2</v>
      </c>
      <c r="AE8" s="4">
        <v>9</v>
      </c>
      <c r="AF8" s="12" t="s">
        <v>48</v>
      </c>
      <c r="AG8" s="4">
        <f>G8*R8</f>
        <v>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5">
      <c r="A9" s="4" t="s">
        <v>40</v>
      </c>
      <c r="B9" s="4" t="s">
        <v>41</v>
      </c>
      <c r="C9" s="4">
        <v>412.53500000000003</v>
      </c>
      <c r="D9" s="4">
        <v>52.951999999999998</v>
      </c>
      <c r="E9" s="4">
        <v>45.701000000000001</v>
      </c>
      <c r="F9" s="4">
        <v>409.59800000000001</v>
      </c>
      <c r="G9" s="6">
        <v>1</v>
      </c>
      <c r="H9" s="4">
        <v>120</v>
      </c>
      <c r="I9" s="4"/>
      <c r="J9" s="4"/>
      <c r="K9" s="4">
        <v>53.9</v>
      </c>
      <c r="L9" s="4">
        <f t="shared" si="2"/>
        <v>-8.1989999999999981</v>
      </c>
      <c r="M9" s="4"/>
      <c r="N9" s="4"/>
      <c r="O9" s="4">
        <v>-320</v>
      </c>
      <c r="P9" s="4">
        <v>55</v>
      </c>
      <c r="Q9" s="4">
        <f t="shared" si="3"/>
        <v>9.1402000000000001</v>
      </c>
      <c r="R9" s="15">
        <f t="shared" ref="R9" si="6">17*Q9-P9-O9-F9</f>
        <v>10.785399999999981</v>
      </c>
      <c r="S9" s="17">
        <v>80</v>
      </c>
      <c r="T9" s="4">
        <f t="shared" si="4"/>
        <v>17</v>
      </c>
      <c r="U9" s="4">
        <f t="shared" si="5"/>
        <v>15.820003938644669</v>
      </c>
      <c r="V9" s="4">
        <v>10.6038</v>
      </c>
      <c r="W9" s="4">
        <v>8.9152000000000005</v>
      </c>
      <c r="X9" s="4">
        <v>4.7877999999999998</v>
      </c>
      <c r="Y9" s="4">
        <v>13.945</v>
      </c>
      <c r="Z9" s="4">
        <v>3.8052000000000001</v>
      </c>
      <c r="AA9" s="4">
        <v>0</v>
      </c>
      <c r="AB9" s="4">
        <v>8.1988000000000003</v>
      </c>
      <c r="AC9" s="4">
        <v>12.0482</v>
      </c>
      <c r="AD9" s="4">
        <v>5.5632000000000001</v>
      </c>
      <c r="AE9" s="4">
        <v>12.304</v>
      </c>
      <c r="AF9" s="4" t="s">
        <v>42</v>
      </c>
      <c r="AG9" s="4">
        <f>G9*R9</f>
        <v>10.785399999999981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5">
      <c r="A10" s="8" t="s">
        <v>43</v>
      </c>
      <c r="B10" s="8" t="s">
        <v>36</v>
      </c>
      <c r="C10" s="8"/>
      <c r="D10" s="8"/>
      <c r="E10" s="8"/>
      <c r="F10" s="8"/>
      <c r="G10" s="9">
        <v>0</v>
      </c>
      <c r="H10" s="8">
        <v>180</v>
      </c>
      <c r="I10" s="8"/>
      <c r="J10" s="8"/>
      <c r="K10" s="8"/>
      <c r="L10" s="8">
        <f t="shared" si="2"/>
        <v>0</v>
      </c>
      <c r="M10" s="8"/>
      <c r="N10" s="8"/>
      <c r="O10" s="8"/>
      <c r="P10" s="8"/>
      <c r="Q10" s="8">
        <f t="shared" si="3"/>
        <v>0</v>
      </c>
      <c r="R10" s="16"/>
      <c r="S10" s="18"/>
      <c r="T10" s="8" t="e">
        <f t="shared" si="4"/>
        <v>#DIV/0!</v>
      </c>
      <c r="U10" s="8" t="e">
        <f t="shared" si="5"/>
        <v>#DIV/0!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0.4</v>
      </c>
      <c r="AE10" s="8">
        <v>-0.6</v>
      </c>
      <c r="AF10" s="8" t="s">
        <v>44</v>
      </c>
      <c r="AG10" s="8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5">
      <c r="A11" s="8" t="s">
        <v>45</v>
      </c>
      <c r="B11" s="8" t="s">
        <v>36</v>
      </c>
      <c r="C11" s="8"/>
      <c r="D11" s="8"/>
      <c r="E11" s="8"/>
      <c r="F11" s="8"/>
      <c r="G11" s="9">
        <v>0</v>
      </c>
      <c r="H11" s="8">
        <v>180</v>
      </c>
      <c r="I11" s="8"/>
      <c r="J11" s="8"/>
      <c r="K11" s="8"/>
      <c r="L11" s="8">
        <f t="shared" si="2"/>
        <v>0</v>
      </c>
      <c r="M11" s="8"/>
      <c r="N11" s="8"/>
      <c r="O11" s="8"/>
      <c r="P11" s="8"/>
      <c r="Q11" s="8">
        <f t="shared" si="3"/>
        <v>0</v>
      </c>
      <c r="R11" s="16"/>
      <c r="S11" s="18"/>
      <c r="T11" s="8" t="e">
        <f t="shared" si="4"/>
        <v>#DIV/0!</v>
      </c>
      <c r="U11" s="8" t="e">
        <f t="shared" si="5"/>
        <v>#DIV/0!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-0.8</v>
      </c>
      <c r="AF11" s="8" t="s">
        <v>44</v>
      </c>
      <c r="AG11" s="8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5">
      <c r="A12" s="4" t="s">
        <v>46</v>
      </c>
      <c r="B12" s="4" t="s">
        <v>41</v>
      </c>
      <c r="C12" s="4">
        <v>44.872</v>
      </c>
      <c r="D12" s="4">
        <v>29.044</v>
      </c>
      <c r="E12" s="4">
        <v>17.797999999999998</v>
      </c>
      <c r="F12" s="4">
        <v>50.095999999999997</v>
      </c>
      <c r="G12" s="6">
        <v>1</v>
      </c>
      <c r="H12" s="4">
        <v>180</v>
      </c>
      <c r="I12" s="4"/>
      <c r="J12" s="4"/>
      <c r="K12" s="4">
        <v>20.7</v>
      </c>
      <c r="L12" s="4">
        <f t="shared" si="2"/>
        <v>-2.902000000000001</v>
      </c>
      <c r="M12" s="4"/>
      <c r="N12" s="4"/>
      <c r="O12" s="4"/>
      <c r="P12" s="4"/>
      <c r="Q12" s="4">
        <f t="shared" si="3"/>
        <v>3.5595999999999997</v>
      </c>
      <c r="R12" s="15">
        <f t="shared" ref="R12:R39" si="7">17*Q12-P12-O12-F12</f>
        <v>10.417200000000001</v>
      </c>
      <c r="S12" s="17"/>
      <c r="T12" s="4">
        <f t="shared" si="4"/>
        <v>17</v>
      </c>
      <c r="U12" s="4">
        <f t="shared" si="5"/>
        <v>14.073491403528486</v>
      </c>
      <c r="V12" s="4">
        <v>2.3111999999999999</v>
      </c>
      <c r="W12" s="4">
        <v>3.9127999999999998</v>
      </c>
      <c r="X12" s="4">
        <v>4.5728</v>
      </c>
      <c r="Y12" s="4">
        <v>6.242</v>
      </c>
      <c r="Z12" s="4">
        <v>3.8908</v>
      </c>
      <c r="AA12" s="4">
        <v>3.9020000000000001</v>
      </c>
      <c r="AB12" s="4">
        <v>4.0808</v>
      </c>
      <c r="AC12" s="4">
        <v>2.5880000000000001</v>
      </c>
      <c r="AD12" s="4">
        <v>2.6507999999999998</v>
      </c>
      <c r="AE12" s="4">
        <v>8.3065999999999995</v>
      </c>
      <c r="AF12" s="4"/>
      <c r="AG12" s="4">
        <f t="shared" ref="AG12:AG41" si="8">G12*R12</f>
        <v>10.417200000000001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5">
      <c r="A13" s="4" t="s">
        <v>47</v>
      </c>
      <c r="B13" s="4" t="s">
        <v>36</v>
      </c>
      <c r="C13" s="4">
        <v>30</v>
      </c>
      <c r="D13" s="4"/>
      <c r="E13" s="4"/>
      <c r="F13" s="4">
        <v>30</v>
      </c>
      <c r="G13" s="6">
        <v>0.82450000000000001</v>
      </c>
      <c r="H13" s="4">
        <v>180</v>
      </c>
      <c r="I13" s="4"/>
      <c r="J13" s="4"/>
      <c r="K13" s="4"/>
      <c r="L13" s="4">
        <f t="shared" si="2"/>
        <v>0</v>
      </c>
      <c r="M13" s="4"/>
      <c r="N13" s="4"/>
      <c r="O13" s="4"/>
      <c r="P13" s="4"/>
      <c r="Q13" s="4">
        <f t="shared" si="3"/>
        <v>0</v>
      </c>
      <c r="R13" s="15"/>
      <c r="S13" s="17"/>
      <c r="T13" s="4" t="e">
        <f t="shared" si="4"/>
        <v>#DIV/0!</v>
      </c>
      <c r="U13" s="4" t="e">
        <f t="shared" si="5"/>
        <v>#DIV/0!</v>
      </c>
      <c r="V13" s="4">
        <v>0.8</v>
      </c>
      <c r="W13" s="4">
        <v>0</v>
      </c>
      <c r="X13" s="4">
        <v>0.8</v>
      </c>
      <c r="Y13" s="4">
        <v>0.4</v>
      </c>
      <c r="Z13" s="4">
        <v>0.8</v>
      </c>
      <c r="AA13" s="4">
        <v>1</v>
      </c>
      <c r="AB13" s="4">
        <v>1</v>
      </c>
      <c r="AC13" s="4">
        <v>3</v>
      </c>
      <c r="AD13" s="4">
        <v>1.4</v>
      </c>
      <c r="AE13" s="4">
        <v>3</v>
      </c>
      <c r="AF13" s="12" t="s">
        <v>48</v>
      </c>
      <c r="AG13" s="4">
        <f t="shared" si="8"/>
        <v>0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25">
      <c r="A14" s="4" t="s">
        <v>49</v>
      </c>
      <c r="B14" s="4" t="s">
        <v>36</v>
      </c>
      <c r="C14" s="4">
        <v>504</v>
      </c>
      <c r="D14" s="4">
        <v>24</v>
      </c>
      <c r="E14" s="4">
        <v>90</v>
      </c>
      <c r="F14" s="4">
        <v>426</v>
      </c>
      <c r="G14" s="6">
        <v>0.372</v>
      </c>
      <c r="H14" s="4">
        <v>180</v>
      </c>
      <c r="I14" s="4"/>
      <c r="J14" s="4"/>
      <c r="K14" s="4">
        <v>90</v>
      </c>
      <c r="L14" s="4">
        <f t="shared" si="2"/>
        <v>0</v>
      </c>
      <c r="M14" s="4"/>
      <c r="N14" s="4"/>
      <c r="O14" s="4"/>
      <c r="P14" s="4"/>
      <c r="Q14" s="4">
        <f t="shared" si="3"/>
        <v>18</v>
      </c>
      <c r="R14" s="15"/>
      <c r="S14" s="17"/>
      <c r="T14" s="4">
        <f t="shared" si="4"/>
        <v>23.666666666666668</v>
      </c>
      <c r="U14" s="4">
        <f t="shared" si="5"/>
        <v>23.666666666666668</v>
      </c>
      <c r="V14" s="4">
        <v>14.2</v>
      </c>
      <c r="W14" s="4">
        <v>13.6</v>
      </c>
      <c r="X14" s="4">
        <v>0</v>
      </c>
      <c r="Y14" s="4">
        <v>16.8</v>
      </c>
      <c r="Z14" s="4">
        <v>32.200000000000003</v>
      </c>
      <c r="AA14" s="4">
        <v>13.2</v>
      </c>
      <c r="AB14" s="4">
        <v>15</v>
      </c>
      <c r="AC14" s="4">
        <v>22.8</v>
      </c>
      <c r="AD14" s="4">
        <v>15.2</v>
      </c>
      <c r="AE14" s="4">
        <v>13.4</v>
      </c>
      <c r="AF14" s="12" t="s">
        <v>48</v>
      </c>
      <c r="AG14" s="4">
        <f t="shared" si="8"/>
        <v>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5">
      <c r="A15" s="4" t="s">
        <v>50</v>
      </c>
      <c r="B15" s="4" t="s">
        <v>36</v>
      </c>
      <c r="C15" s="4">
        <v>120</v>
      </c>
      <c r="D15" s="4">
        <v>348</v>
      </c>
      <c r="E15" s="4">
        <v>83</v>
      </c>
      <c r="F15" s="4">
        <v>380</v>
      </c>
      <c r="G15" s="6">
        <v>0.74399999999999999</v>
      </c>
      <c r="H15" s="4">
        <v>180</v>
      </c>
      <c r="I15" s="4"/>
      <c r="J15" s="4"/>
      <c r="K15" s="4">
        <v>83</v>
      </c>
      <c r="L15" s="4">
        <f t="shared" si="2"/>
        <v>0</v>
      </c>
      <c r="M15" s="4"/>
      <c r="N15" s="4"/>
      <c r="O15" s="4"/>
      <c r="P15" s="4"/>
      <c r="Q15" s="4">
        <f t="shared" si="3"/>
        <v>16.600000000000001</v>
      </c>
      <c r="R15" s="15"/>
      <c r="S15" s="17"/>
      <c r="T15" s="4">
        <f t="shared" si="4"/>
        <v>22.891566265060238</v>
      </c>
      <c r="U15" s="4">
        <f t="shared" si="5"/>
        <v>22.891566265060238</v>
      </c>
      <c r="V15" s="4">
        <v>3.6</v>
      </c>
      <c r="W15" s="4">
        <v>24</v>
      </c>
      <c r="X15" s="4">
        <v>16.399999999999999</v>
      </c>
      <c r="Y15" s="4">
        <v>8.1999999999999993</v>
      </c>
      <c r="Z15" s="4">
        <v>16.600000000000001</v>
      </c>
      <c r="AA15" s="4">
        <v>5.2</v>
      </c>
      <c r="AB15" s="4">
        <v>7</v>
      </c>
      <c r="AC15" s="4">
        <v>12.6</v>
      </c>
      <c r="AD15" s="4">
        <v>4.2</v>
      </c>
      <c r="AE15" s="4">
        <v>32</v>
      </c>
      <c r="AF15" s="4"/>
      <c r="AG15" s="4">
        <f t="shared" si="8"/>
        <v>0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25">
      <c r="A16" s="4" t="s">
        <v>51</v>
      </c>
      <c r="B16" s="4" t="s">
        <v>36</v>
      </c>
      <c r="C16" s="4">
        <v>435</v>
      </c>
      <c r="D16" s="4">
        <v>188</v>
      </c>
      <c r="E16" s="4">
        <v>124</v>
      </c>
      <c r="F16" s="4">
        <v>457</v>
      </c>
      <c r="G16" s="6">
        <v>0.372</v>
      </c>
      <c r="H16" s="4">
        <v>180</v>
      </c>
      <c r="I16" s="4"/>
      <c r="J16" s="4"/>
      <c r="K16" s="4">
        <v>129</v>
      </c>
      <c r="L16" s="4">
        <f t="shared" si="2"/>
        <v>-5</v>
      </c>
      <c r="M16" s="4"/>
      <c r="N16" s="4"/>
      <c r="O16" s="4"/>
      <c r="P16" s="4">
        <v>12</v>
      </c>
      <c r="Q16" s="4">
        <f t="shared" si="3"/>
        <v>24.8</v>
      </c>
      <c r="R16" s="15"/>
      <c r="S16" s="17"/>
      <c r="T16" s="4">
        <f t="shared" si="4"/>
        <v>18.911290322580644</v>
      </c>
      <c r="U16" s="4">
        <f t="shared" si="5"/>
        <v>18.911290322580644</v>
      </c>
      <c r="V16" s="4">
        <v>34.4</v>
      </c>
      <c r="W16" s="4">
        <v>39.200000000000003</v>
      </c>
      <c r="X16" s="4">
        <v>9.4</v>
      </c>
      <c r="Y16" s="4">
        <v>41.6</v>
      </c>
      <c r="Z16" s="4">
        <v>55.2</v>
      </c>
      <c r="AA16" s="4">
        <v>32.6</v>
      </c>
      <c r="AB16" s="4">
        <v>31.8</v>
      </c>
      <c r="AC16" s="4">
        <v>48.2</v>
      </c>
      <c r="AD16" s="4">
        <v>30.2</v>
      </c>
      <c r="AE16" s="4">
        <v>26.2</v>
      </c>
      <c r="AF16" s="4"/>
      <c r="AG16" s="4">
        <f t="shared" si="8"/>
        <v>0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25">
      <c r="A17" s="4" t="s">
        <v>52</v>
      </c>
      <c r="B17" s="4" t="s">
        <v>36</v>
      </c>
      <c r="C17" s="4">
        <v>354</v>
      </c>
      <c r="D17" s="4">
        <v>24</v>
      </c>
      <c r="E17" s="4">
        <v>219</v>
      </c>
      <c r="F17" s="4">
        <v>129</v>
      </c>
      <c r="G17" s="6">
        <v>0.74399999999999999</v>
      </c>
      <c r="H17" s="4">
        <v>180</v>
      </c>
      <c r="I17" s="4"/>
      <c r="J17" s="4"/>
      <c r="K17" s="4">
        <v>219</v>
      </c>
      <c r="L17" s="4">
        <f t="shared" si="2"/>
        <v>0</v>
      </c>
      <c r="M17" s="4"/>
      <c r="N17" s="4"/>
      <c r="O17" s="4"/>
      <c r="P17" s="4">
        <v>228</v>
      </c>
      <c r="Q17" s="4">
        <f t="shared" si="3"/>
        <v>43.8</v>
      </c>
      <c r="R17" s="15">
        <f t="shared" si="7"/>
        <v>387.59999999999991</v>
      </c>
      <c r="S17" s="17"/>
      <c r="T17" s="4">
        <f t="shared" si="4"/>
        <v>17</v>
      </c>
      <c r="U17" s="4">
        <f t="shared" si="5"/>
        <v>8.1506849315068504</v>
      </c>
      <c r="V17" s="4">
        <v>32.4</v>
      </c>
      <c r="W17" s="4">
        <v>10.199999999999999</v>
      </c>
      <c r="X17" s="4">
        <v>38.200000000000003</v>
      </c>
      <c r="Y17" s="4">
        <v>27</v>
      </c>
      <c r="Z17" s="4">
        <v>21.6</v>
      </c>
      <c r="AA17" s="4">
        <v>31.8</v>
      </c>
      <c r="AB17" s="4">
        <v>35.200000000000003</v>
      </c>
      <c r="AC17" s="4">
        <v>35.200000000000003</v>
      </c>
      <c r="AD17" s="4">
        <v>38.799999999999997</v>
      </c>
      <c r="AE17" s="4">
        <v>43.8</v>
      </c>
      <c r="AF17" s="4"/>
      <c r="AG17" s="4">
        <f t="shared" si="8"/>
        <v>288.37439999999992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25">
      <c r="A18" s="4" t="s">
        <v>53</v>
      </c>
      <c r="B18" s="4" t="s">
        <v>36</v>
      </c>
      <c r="C18" s="4">
        <v>60</v>
      </c>
      <c r="D18" s="4">
        <v>128</v>
      </c>
      <c r="E18" s="4">
        <v>22</v>
      </c>
      <c r="F18" s="4">
        <v>160</v>
      </c>
      <c r="G18" s="6">
        <v>0.18</v>
      </c>
      <c r="H18" s="4">
        <v>270</v>
      </c>
      <c r="I18" s="4"/>
      <c r="J18" s="4"/>
      <c r="K18" s="4">
        <v>22</v>
      </c>
      <c r="L18" s="4">
        <f t="shared" si="2"/>
        <v>0</v>
      </c>
      <c r="M18" s="4"/>
      <c r="N18" s="4"/>
      <c r="O18" s="4"/>
      <c r="P18" s="4"/>
      <c r="Q18" s="4">
        <f t="shared" si="3"/>
        <v>4.4000000000000004</v>
      </c>
      <c r="R18" s="15"/>
      <c r="S18" s="17"/>
      <c r="T18" s="4">
        <f t="shared" si="4"/>
        <v>36.36363636363636</v>
      </c>
      <c r="U18" s="4">
        <f t="shared" si="5"/>
        <v>36.36363636363636</v>
      </c>
      <c r="V18" s="4">
        <v>9.6</v>
      </c>
      <c r="W18" s="4">
        <v>11.2</v>
      </c>
      <c r="X18" s="4">
        <v>5</v>
      </c>
      <c r="Y18" s="4">
        <v>3.4</v>
      </c>
      <c r="Z18" s="4">
        <v>12.4</v>
      </c>
      <c r="AA18" s="4">
        <v>4.5999999999999996</v>
      </c>
      <c r="AB18" s="4">
        <v>9.6</v>
      </c>
      <c r="AC18" s="4">
        <v>5.6</v>
      </c>
      <c r="AD18" s="4">
        <v>2.8</v>
      </c>
      <c r="AE18" s="4">
        <v>10.199999999999999</v>
      </c>
      <c r="AF18" s="12" t="s">
        <v>48</v>
      </c>
      <c r="AG18" s="4">
        <f t="shared" si="8"/>
        <v>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4" t="s">
        <v>54</v>
      </c>
      <c r="B19" s="4" t="s">
        <v>36</v>
      </c>
      <c r="C19" s="4">
        <v>133</v>
      </c>
      <c r="D19" s="4">
        <v>130</v>
      </c>
      <c r="E19" s="4">
        <v>174</v>
      </c>
      <c r="F19" s="4">
        <v>79</v>
      </c>
      <c r="G19" s="6">
        <v>0.18</v>
      </c>
      <c r="H19" s="4">
        <v>180</v>
      </c>
      <c r="I19" s="4"/>
      <c r="J19" s="4"/>
      <c r="K19" s="4">
        <v>176</v>
      </c>
      <c r="L19" s="4">
        <f t="shared" si="2"/>
        <v>-2</v>
      </c>
      <c r="M19" s="4"/>
      <c r="N19" s="4"/>
      <c r="O19" s="4"/>
      <c r="P19" s="4">
        <v>100</v>
      </c>
      <c r="Q19" s="4">
        <f t="shared" si="3"/>
        <v>34.799999999999997</v>
      </c>
      <c r="R19" s="15">
        <f t="shared" si="7"/>
        <v>412.59999999999991</v>
      </c>
      <c r="S19" s="17"/>
      <c r="T19" s="4">
        <f t="shared" si="4"/>
        <v>17</v>
      </c>
      <c r="U19" s="4">
        <f t="shared" si="5"/>
        <v>5.1436781609195403</v>
      </c>
      <c r="V19" s="4">
        <v>18.600000000000001</v>
      </c>
      <c r="W19" s="4">
        <v>19.2</v>
      </c>
      <c r="X19" s="4">
        <v>10.4</v>
      </c>
      <c r="Y19" s="4">
        <v>27.6</v>
      </c>
      <c r="Z19" s="4">
        <v>4</v>
      </c>
      <c r="AA19" s="4">
        <v>6.6</v>
      </c>
      <c r="AB19" s="4">
        <v>28.6</v>
      </c>
      <c r="AC19" s="4">
        <v>10.199999999999999</v>
      </c>
      <c r="AD19" s="4">
        <v>10.199999999999999</v>
      </c>
      <c r="AE19" s="4">
        <v>17.399999999999999</v>
      </c>
      <c r="AF19" s="4"/>
      <c r="AG19" s="4">
        <f t="shared" si="8"/>
        <v>74.267999999999986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5">
      <c r="A20" s="4" t="s">
        <v>55</v>
      </c>
      <c r="B20" s="4" t="s">
        <v>36</v>
      </c>
      <c r="C20" s="4">
        <v>44</v>
      </c>
      <c r="D20" s="4">
        <v>50</v>
      </c>
      <c r="E20" s="4">
        <v>62</v>
      </c>
      <c r="F20" s="4">
        <v>27</v>
      </c>
      <c r="G20" s="6">
        <v>0.18</v>
      </c>
      <c r="H20" s="4">
        <v>180</v>
      </c>
      <c r="I20" s="4"/>
      <c r="J20" s="4"/>
      <c r="K20" s="4">
        <v>63</v>
      </c>
      <c r="L20" s="4">
        <f t="shared" si="2"/>
        <v>-1</v>
      </c>
      <c r="M20" s="4"/>
      <c r="N20" s="4"/>
      <c r="O20" s="4"/>
      <c r="P20" s="4">
        <v>210</v>
      </c>
      <c r="Q20" s="4">
        <f t="shared" si="3"/>
        <v>12.4</v>
      </c>
      <c r="R20" s="15"/>
      <c r="S20" s="17"/>
      <c r="T20" s="4">
        <f t="shared" si="4"/>
        <v>19.112903225806452</v>
      </c>
      <c r="U20" s="4">
        <f t="shared" si="5"/>
        <v>19.112903225806452</v>
      </c>
      <c r="V20" s="4">
        <v>21.2</v>
      </c>
      <c r="W20" s="4">
        <v>9.8000000000000007</v>
      </c>
      <c r="X20" s="4">
        <v>0.2</v>
      </c>
      <c r="Y20" s="4">
        <v>15</v>
      </c>
      <c r="Z20" s="4">
        <v>4.8</v>
      </c>
      <c r="AA20" s="4">
        <v>6.8</v>
      </c>
      <c r="AB20" s="4">
        <v>9.8000000000000007</v>
      </c>
      <c r="AC20" s="4">
        <v>5.6</v>
      </c>
      <c r="AD20" s="4">
        <v>-5.4</v>
      </c>
      <c r="AE20" s="4">
        <v>8.4</v>
      </c>
      <c r="AF20" s="4" t="s">
        <v>56</v>
      </c>
      <c r="AG20" s="4">
        <f t="shared" si="8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4" t="s">
        <v>57</v>
      </c>
      <c r="B21" s="4" t="s">
        <v>36</v>
      </c>
      <c r="C21" s="4">
        <v>14</v>
      </c>
      <c r="D21" s="4"/>
      <c r="E21" s="4">
        <v>2</v>
      </c>
      <c r="F21" s="4">
        <v>12</v>
      </c>
      <c r="G21" s="6">
        <v>0.4</v>
      </c>
      <c r="H21" s="4">
        <v>270</v>
      </c>
      <c r="I21" s="4"/>
      <c r="J21" s="4"/>
      <c r="K21" s="4">
        <v>2</v>
      </c>
      <c r="L21" s="4">
        <f t="shared" si="2"/>
        <v>0</v>
      </c>
      <c r="M21" s="4"/>
      <c r="N21" s="4"/>
      <c r="O21" s="4"/>
      <c r="P21" s="4"/>
      <c r="Q21" s="4">
        <f t="shared" si="3"/>
        <v>0.4</v>
      </c>
      <c r="R21" s="15"/>
      <c r="S21" s="17"/>
      <c r="T21" s="4">
        <f t="shared" si="4"/>
        <v>30</v>
      </c>
      <c r="U21" s="4">
        <f t="shared" si="5"/>
        <v>30</v>
      </c>
      <c r="V21" s="4">
        <v>0</v>
      </c>
      <c r="W21" s="4">
        <v>0</v>
      </c>
      <c r="X21" s="4">
        <v>0.8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12" t="s">
        <v>48</v>
      </c>
      <c r="AG21" s="4">
        <f t="shared" si="8"/>
        <v>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25">
      <c r="A22" s="4" t="s">
        <v>58</v>
      </c>
      <c r="B22" s="4" t="s">
        <v>36</v>
      </c>
      <c r="C22" s="4">
        <v>40</v>
      </c>
      <c r="D22" s="4"/>
      <c r="E22" s="4">
        <v>3</v>
      </c>
      <c r="F22" s="4">
        <v>37</v>
      </c>
      <c r="G22" s="6">
        <v>0.4</v>
      </c>
      <c r="H22" s="4">
        <v>270</v>
      </c>
      <c r="I22" s="4"/>
      <c r="J22" s="4"/>
      <c r="K22" s="4">
        <v>3</v>
      </c>
      <c r="L22" s="4">
        <f t="shared" si="2"/>
        <v>0</v>
      </c>
      <c r="M22" s="4"/>
      <c r="N22" s="4"/>
      <c r="O22" s="4"/>
      <c r="P22" s="4"/>
      <c r="Q22" s="4">
        <f t="shared" si="3"/>
        <v>0.6</v>
      </c>
      <c r="R22" s="15"/>
      <c r="S22" s="17"/>
      <c r="T22" s="4">
        <f t="shared" si="4"/>
        <v>61.666666666666671</v>
      </c>
      <c r="U22" s="4">
        <f t="shared" si="5"/>
        <v>61.666666666666671</v>
      </c>
      <c r="V22" s="4">
        <v>1.4</v>
      </c>
      <c r="W22" s="4">
        <v>1.6</v>
      </c>
      <c r="X22" s="4">
        <v>0.6</v>
      </c>
      <c r="Y22" s="4">
        <v>0.6</v>
      </c>
      <c r="Z22" s="4">
        <v>0.8</v>
      </c>
      <c r="AA22" s="4">
        <v>1</v>
      </c>
      <c r="AB22" s="4">
        <v>0.8</v>
      </c>
      <c r="AC22" s="4">
        <v>0.4</v>
      </c>
      <c r="AD22" s="4">
        <v>3.8</v>
      </c>
      <c r="AE22" s="4">
        <v>1.4</v>
      </c>
      <c r="AF22" s="12" t="s">
        <v>48</v>
      </c>
      <c r="AG22" s="4">
        <f t="shared" si="8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25">
      <c r="A23" s="4" t="s">
        <v>59</v>
      </c>
      <c r="B23" s="4" t="s">
        <v>36</v>
      </c>
      <c r="C23" s="4">
        <v>-18</v>
      </c>
      <c r="D23" s="4">
        <v>48</v>
      </c>
      <c r="E23" s="4">
        <v>2</v>
      </c>
      <c r="F23" s="4">
        <v>28</v>
      </c>
      <c r="G23" s="6">
        <v>0.18</v>
      </c>
      <c r="H23" s="4">
        <v>150</v>
      </c>
      <c r="I23" s="4"/>
      <c r="J23" s="4"/>
      <c r="K23" s="4">
        <v>2</v>
      </c>
      <c r="L23" s="4">
        <f t="shared" si="2"/>
        <v>0</v>
      </c>
      <c r="M23" s="4"/>
      <c r="N23" s="4"/>
      <c r="O23" s="4"/>
      <c r="P23" s="4">
        <v>24</v>
      </c>
      <c r="Q23" s="4">
        <f t="shared" si="3"/>
        <v>0.4</v>
      </c>
      <c r="R23" s="15"/>
      <c r="S23" s="17"/>
      <c r="T23" s="4">
        <f t="shared" si="4"/>
        <v>130</v>
      </c>
      <c r="U23" s="4">
        <f t="shared" si="5"/>
        <v>130</v>
      </c>
      <c r="V23" s="4">
        <v>3</v>
      </c>
      <c r="W23" s="4">
        <v>0.8</v>
      </c>
      <c r="X23" s="4">
        <v>3.2</v>
      </c>
      <c r="Y23" s="4">
        <v>4.5999999999999996</v>
      </c>
      <c r="Z23" s="4">
        <v>0</v>
      </c>
      <c r="AA23" s="4">
        <v>0</v>
      </c>
      <c r="AB23" s="4">
        <v>2.6</v>
      </c>
      <c r="AC23" s="4">
        <v>0.8</v>
      </c>
      <c r="AD23" s="4">
        <v>4.2</v>
      </c>
      <c r="AE23" s="4">
        <v>3.2</v>
      </c>
      <c r="AF23" s="13" t="s">
        <v>85</v>
      </c>
      <c r="AG23" s="4">
        <f t="shared" si="8"/>
        <v>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25">
      <c r="A24" s="4" t="s">
        <v>60</v>
      </c>
      <c r="B24" s="4" t="s">
        <v>36</v>
      </c>
      <c r="C24" s="4">
        <v>67</v>
      </c>
      <c r="D24" s="4">
        <v>72</v>
      </c>
      <c r="E24" s="4">
        <v>15</v>
      </c>
      <c r="F24" s="4">
        <v>114</v>
      </c>
      <c r="G24" s="6">
        <v>0.1</v>
      </c>
      <c r="H24" s="4">
        <v>90</v>
      </c>
      <c r="I24" s="4"/>
      <c r="J24" s="4"/>
      <c r="K24" s="4">
        <v>15</v>
      </c>
      <c r="L24" s="4">
        <f t="shared" si="2"/>
        <v>0</v>
      </c>
      <c r="M24" s="4"/>
      <c r="N24" s="4"/>
      <c r="O24" s="4"/>
      <c r="P24" s="4"/>
      <c r="Q24" s="4">
        <f t="shared" si="3"/>
        <v>3</v>
      </c>
      <c r="R24" s="15"/>
      <c r="S24" s="17"/>
      <c r="T24" s="4">
        <f t="shared" si="4"/>
        <v>38</v>
      </c>
      <c r="U24" s="4">
        <f t="shared" si="5"/>
        <v>38</v>
      </c>
      <c r="V24" s="4">
        <v>4.5999999999999996</v>
      </c>
      <c r="W24" s="4">
        <v>9.1999999999999993</v>
      </c>
      <c r="X24" s="4">
        <v>1.6</v>
      </c>
      <c r="Y24" s="4">
        <v>8.6</v>
      </c>
      <c r="Z24" s="4">
        <v>7.8</v>
      </c>
      <c r="AA24" s="4">
        <v>8</v>
      </c>
      <c r="AB24" s="4">
        <v>7.2</v>
      </c>
      <c r="AC24" s="4">
        <v>6.6</v>
      </c>
      <c r="AD24" s="4">
        <v>9.4</v>
      </c>
      <c r="AE24" s="4">
        <v>9.8000000000000007</v>
      </c>
      <c r="AF24" s="12" t="s">
        <v>48</v>
      </c>
      <c r="AG24" s="4">
        <f t="shared" si="8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5">
      <c r="A25" s="4" t="s">
        <v>61</v>
      </c>
      <c r="B25" s="4" t="s">
        <v>36</v>
      </c>
      <c r="C25" s="4">
        <v>271</v>
      </c>
      <c r="D25" s="4">
        <v>100</v>
      </c>
      <c r="E25" s="4">
        <v>119</v>
      </c>
      <c r="F25" s="4">
        <v>243</v>
      </c>
      <c r="G25" s="6">
        <v>0.18</v>
      </c>
      <c r="H25" s="4">
        <v>150</v>
      </c>
      <c r="I25" s="4"/>
      <c r="J25" s="4"/>
      <c r="K25" s="4">
        <v>120</v>
      </c>
      <c r="L25" s="4">
        <f t="shared" si="2"/>
        <v>-1</v>
      </c>
      <c r="M25" s="4"/>
      <c r="N25" s="4"/>
      <c r="O25" s="4"/>
      <c r="P25" s="4"/>
      <c r="Q25" s="4">
        <f t="shared" si="3"/>
        <v>23.8</v>
      </c>
      <c r="R25" s="15">
        <f t="shared" si="7"/>
        <v>161.60000000000002</v>
      </c>
      <c r="S25" s="17"/>
      <c r="T25" s="4">
        <f t="shared" si="4"/>
        <v>17</v>
      </c>
      <c r="U25" s="4">
        <f t="shared" si="5"/>
        <v>10.210084033613445</v>
      </c>
      <c r="V25" s="4">
        <v>18.2</v>
      </c>
      <c r="W25" s="4">
        <v>23.6</v>
      </c>
      <c r="X25" s="4">
        <v>34</v>
      </c>
      <c r="Y25" s="4">
        <v>27.8</v>
      </c>
      <c r="Z25" s="4">
        <v>25</v>
      </c>
      <c r="AA25" s="4">
        <v>24</v>
      </c>
      <c r="AB25" s="4">
        <v>23.2</v>
      </c>
      <c r="AC25" s="4">
        <v>17.2</v>
      </c>
      <c r="AD25" s="4">
        <v>21.4</v>
      </c>
      <c r="AE25" s="4">
        <v>38.799999999999997</v>
      </c>
      <c r="AF25" s="4" t="s">
        <v>62</v>
      </c>
      <c r="AG25" s="4">
        <f t="shared" si="8"/>
        <v>29.088000000000005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25">
      <c r="A26" s="4" t="s">
        <v>63</v>
      </c>
      <c r="B26" s="4" t="s">
        <v>36</v>
      </c>
      <c r="C26" s="4">
        <v>97</v>
      </c>
      <c r="D26" s="4">
        <v>100</v>
      </c>
      <c r="E26" s="4">
        <v>71</v>
      </c>
      <c r="F26" s="4">
        <v>118</v>
      </c>
      <c r="G26" s="6">
        <v>0.18</v>
      </c>
      <c r="H26" s="4">
        <v>150</v>
      </c>
      <c r="I26" s="4"/>
      <c r="J26" s="4"/>
      <c r="K26" s="4">
        <v>74</v>
      </c>
      <c r="L26" s="4">
        <f t="shared" si="2"/>
        <v>-3</v>
      </c>
      <c r="M26" s="4"/>
      <c r="N26" s="4"/>
      <c r="O26" s="4"/>
      <c r="P26" s="4">
        <v>110</v>
      </c>
      <c r="Q26" s="4">
        <f t="shared" si="3"/>
        <v>14.2</v>
      </c>
      <c r="R26" s="15">
        <f t="shared" si="7"/>
        <v>13.399999999999977</v>
      </c>
      <c r="S26" s="17"/>
      <c r="T26" s="4">
        <f t="shared" si="4"/>
        <v>17</v>
      </c>
      <c r="U26" s="4">
        <f t="shared" si="5"/>
        <v>16.056338028169016</v>
      </c>
      <c r="V26" s="4">
        <v>16.600000000000001</v>
      </c>
      <c r="W26" s="4">
        <v>14.2</v>
      </c>
      <c r="X26" s="4">
        <v>11.2</v>
      </c>
      <c r="Y26" s="4">
        <v>14.8</v>
      </c>
      <c r="Z26" s="4">
        <v>21.2</v>
      </c>
      <c r="AA26" s="4">
        <v>14.6</v>
      </c>
      <c r="AB26" s="4">
        <v>10.8</v>
      </c>
      <c r="AC26" s="4">
        <v>16.399999999999999</v>
      </c>
      <c r="AD26" s="4">
        <v>20.2</v>
      </c>
      <c r="AE26" s="4">
        <v>23.4</v>
      </c>
      <c r="AF26" s="4"/>
      <c r="AG26" s="4">
        <f t="shared" si="8"/>
        <v>2.4119999999999959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4" t="s">
        <v>64</v>
      </c>
      <c r="B27" s="4" t="s">
        <v>36</v>
      </c>
      <c r="C27" s="4">
        <v>79</v>
      </c>
      <c r="D27" s="4">
        <v>60</v>
      </c>
      <c r="E27" s="4">
        <v>37</v>
      </c>
      <c r="F27" s="4">
        <v>98</v>
      </c>
      <c r="G27" s="6">
        <v>0.18</v>
      </c>
      <c r="H27" s="4">
        <v>150</v>
      </c>
      <c r="I27" s="4"/>
      <c r="J27" s="4"/>
      <c r="K27" s="4">
        <v>37</v>
      </c>
      <c r="L27" s="4">
        <f t="shared" si="2"/>
        <v>0</v>
      </c>
      <c r="M27" s="4"/>
      <c r="N27" s="4"/>
      <c r="O27" s="4"/>
      <c r="P27" s="4">
        <v>110</v>
      </c>
      <c r="Q27" s="4">
        <f t="shared" si="3"/>
        <v>7.4</v>
      </c>
      <c r="R27" s="15"/>
      <c r="S27" s="17"/>
      <c r="T27" s="4">
        <f t="shared" si="4"/>
        <v>28.108108108108105</v>
      </c>
      <c r="U27" s="4">
        <f t="shared" si="5"/>
        <v>28.108108108108105</v>
      </c>
      <c r="V27" s="4">
        <v>13.4</v>
      </c>
      <c r="W27" s="4">
        <v>9.8000000000000007</v>
      </c>
      <c r="X27" s="4">
        <v>5</v>
      </c>
      <c r="Y27" s="4">
        <v>2</v>
      </c>
      <c r="Z27" s="4">
        <v>17.600000000000001</v>
      </c>
      <c r="AA27" s="4">
        <v>8.4</v>
      </c>
      <c r="AB27" s="4">
        <v>4.5999999999999996</v>
      </c>
      <c r="AC27" s="4">
        <v>10.199999999999999</v>
      </c>
      <c r="AD27" s="4">
        <v>7.2</v>
      </c>
      <c r="AE27" s="4">
        <v>6.8</v>
      </c>
      <c r="AF27" s="11" t="s">
        <v>37</v>
      </c>
      <c r="AG27" s="4">
        <f t="shared" si="8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25">
      <c r="A28" s="4" t="s">
        <v>65</v>
      </c>
      <c r="B28" s="4" t="s">
        <v>36</v>
      </c>
      <c r="C28" s="4">
        <v>39</v>
      </c>
      <c r="D28" s="4"/>
      <c r="E28" s="4">
        <v>36</v>
      </c>
      <c r="F28" s="4">
        <v>1</v>
      </c>
      <c r="G28" s="6">
        <v>0.18</v>
      </c>
      <c r="H28" s="4">
        <v>150</v>
      </c>
      <c r="I28" s="4"/>
      <c r="J28" s="4"/>
      <c r="K28" s="4">
        <v>36</v>
      </c>
      <c r="L28" s="4">
        <f t="shared" si="2"/>
        <v>0</v>
      </c>
      <c r="M28" s="4"/>
      <c r="N28" s="4"/>
      <c r="O28" s="4"/>
      <c r="P28" s="4">
        <v>70</v>
      </c>
      <c r="Q28" s="4">
        <f t="shared" si="3"/>
        <v>7.2</v>
      </c>
      <c r="R28" s="15">
        <f t="shared" si="7"/>
        <v>51.400000000000006</v>
      </c>
      <c r="S28" s="17"/>
      <c r="T28" s="4">
        <f t="shared" si="4"/>
        <v>17</v>
      </c>
      <c r="U28" s="4">
        <f t="shared" si="5"/>
        <v>9.8611111111111107</v>
      </c>
      <c r="V28" s="4">
        <v>6.6</v>
      </c>
      <c r="W28" s="4">
        <v>3.2</v>
      </c>
      <c r="X28" s="4">
        <v>6.2</v>
      </c>
      <c r="Y28" s="4">
        <v>5</v>
      </c>
      <c r="Z28" s="4">
        <v>4</v>
      </c>
      <c r="AA28" s="4">
        <v>9</v>
      </c>
      <c r="AB28" s="4">
        <v>7.8</v>
      </c>
      <c r="AC28" s="4">
        <v>6.4</v>
      </c>
      <c r="AD28" s="4">
        <v>7</v>
      </c>
      <c r="AE28" s="4">
        <v>8.8000000000000007</v>
      </c>
      <c r="AF28" s="4"/>
      <c r="AG28" s="4">
        <f t="shared" si="8"/>
        <v>9.2520000000000007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25">
      <c r="A29" s="4" t="s">
        <v>66</v>
      </c>
      <c r="B29" s="4" t="s">
        <v>36</v>
      </c>
      <c r="C29" s="4">
        <v>72</v>
      </c>
      <c r="D29" s="4">
        <v>150</v>
      </c>
      <c r="E29" s="4">
        <v>114</v>
      </c>
      <c r="F29" s="4">
        <v>101</v>
      </c>
      <c r="G29" s="6">
        <v>0.18</v>
      </c>
      <c r="H29" s="4">
        <v>150</v>
      </c>
      <c r="I29" s="4"/>
      <c r="J29" s="4"/>
      <c r="K29" s="4">
        <v>114</v>
      </c>
      <c r="L29" s="4">
        <f t="shared" si="2"/>
        <v>0</v>
      </c>
      <c r="M29" s="4"/>
      <c r="N29" s="4"/>
      <c r="O29" s="4"/>
      <c r="P29" s="4">
        <v>170</v>
      </c>
      <c r="Q29" s="4">
        <f t="shared" si="3"/>
        <v>22.8</v>
      </c>
      <c r="R29" s="15">
        <f t="shared" si="7"/>
        <v>116.60000000000002</v>
      </c>
      <c r="S29" s="17"/>
      <c r="T29" s="4">
        <f t="shared" si="4"/>
        <v>17</v>
      </c>
      <c r="U29" s="4">
        <f t="shared" si="5"/>
        <v>11.885964912280702</v>
      </c>
      <c r="V29" s="4">
        <v>20.399999999999999</v>
      </c>
      <c r="W29" s="4">
        <v>13.4</v>
      </c>
      <c r="X29" s="4">
        <v>13.4</v>
      </c>
      <c r="Y29" s="4">
        <v>27.2</v>
      </c>
      <c r="Z29" s="4">
        <v>22.2</v>
      </c>
      <c r="AA29" s="4">
        <v>20.399999999999999</v>
      </c>
      <c r="AB29" s="4">
        <v>18.2</v>
      </c>
      <c r="AC29" s="4">
        <v>19.8</v>
      </c>
      <c r="AD29" s="4">
        <v>24.6</v>
      </c>
      <c r="AE29" s="4">
        <v>26.8</v>
      </c>
      <c r="AF29" s="4"/>
      <c r="AG29" s="4">
        <f t="shared" si="8"/>
        <v>20.988000000000003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25">
      <c r="A30" s="4" t="s">
        <v>67</v>
      </c>
      <c r="B30" s="4" t="s">
        <v>36</v>
      </c>
      <c r="C30" s="4">
        <v>70</v>
      </c>
      <c r="D30" s="4">
        <v>20</v>
      </c>
      <c r="E30" s="4">
        <v>32</v>
      </c>
      <c r="F30" s="4">
        <v>49</v>
      </c>
      <c r="G30" s="6">
        <v>0.18</v>
      </c>
      <c r="H30" s="4">
        <v>150</v>
      </c>
      <c r="I30" s="4"/>
      <c r="J30" s="4"/>
      <c r="K30" s="4">
        <v>32</v>
      </c>
      <c r="L30" s="4">
        <f t="shared" si="2"/>
        <v>0</v>
      </c>
      <c r="M30" s="4"/>
      <c r="N30" s="4"/>
      <c r="O30" s="4"/>
      <c r="P30" s="4">
        <v>20</v>
      </c>
      <c r="Q30" s="4">
        <f t="shared" si="3"/>
        <v>6.4</v>
      </c>
      <c r="R30" s="15">
        <f t="shared" si="7"/>
        <v>39.800000000000011</v>
      </c>
      <c r="S30" s="17"/>
      <c r="T30" s="4">
        <f t="shared" si="4"/>
        <v>17</v>
      </c>
      <c r="U30" s="4">
        <f t="shared" si="5"/>
        <v>10.78125</v>
      </c>
      <c r="V30" s="4">
        <v>5.6</v>
      </c>
      <c r="W30" s="4">
        <v>3.8</v>
      </c>
      <c r="X30" s="4">
        <v>8.6</v>
      </c>
      <c r="Y30" s="4">
        <v>8.6</v>
      </c>
      <c r="Z30" s="4">
        <v>10.8</v>
      </c>
      <c r="AA30" s="4">
        <v>5.2</v>
      </c>
      <c r="AB30" s="4">
        <v>9.4</v>
      </c>
      <c r="AC30" s="4">
        <v>10.199999999999999</v>
      </c>
      <c r="AD30" s="4">
        <v>8</v>
      </c>
      <c r="AE30" s="4">
        <v>4.5999999999999996</v>
      </c>
      <c r="AF30" s="4"/>
      <c r="AG30" s="4">
        <f t="shared" si="8"/>
        <v>7.1640000000000015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4" t="s">
        <v>68</v>
      </c>
      <c r="B31" s="4" t="s">
        <v>41</v>
      </c>
      <c r="C31" s="4">
        <v>36.363999999999997</v>
      </c>
      <c r="D31" s="4"/>
      <c r="E31" s="4"/>
      <c r="F31" s="4">
        <v>36.363999999999997</v>
      </c>
      <c r="G31" s="6">
        <v>1</v>
      </c>
      <c r="H31" s="4"/>
      <c r="I31" s="4"/>
      <c r="J31" s="4"/>
      <c r="K31" s="4">
        <v>2.5</v>
      </c>
      <c r="L31" s="4">
        <f t="shared" si="2"/>
        <v>-2.5</v>
      </c>
      <c r="M31" s="4"/>
      <c r="N31" s="4"/>
      <c r="O31" s="4"/>
      <c r="P31" s="4"/>
      <c r="Q31" s="4">
        <f t="shared" si="3"/>
        <v>0</v>
      </c>
      <c r="R31" s="15"/>
      <c r="S31" s="17"/>
      <c r="T31" s="4" t="e">
        <f t="shared" si="4"/>
        <v>#DIV/0!</v>
      </c>
      <c r="U31" s="4" t="e">
        <f t="shared" si="5"/>
        <v>#DIV/0!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12" t="s">
        <v>48</v>
      </c>
      <c r="AG31" s="4">
        <f t="shared" si="8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25">
      <c r="A32" s="4" t="s">
        <v>69</v>
      </c>
      <c r="B32" s="4" t="s">
        <v>36</v>
      </c>
      <c r="C32" s="4">
        <v>65</v>
      </c>
      <c r="D32" s="4">
        <v>16</v>
      </c>
      <c r="E32" s="4">
        <v>14</v>
      </c>
      <c r="F32" s="4">
        <v>57</v>
      </c>
      <c r="G32" s="6">
        <v>0.14000000000000001</v>
      </c>
      <c r="H32" s="4">
        <v>180</v>
      </c>
      <c r="I32" s="4"/>
      <c r="J32" s="4"/>
      <c r="K32" s="4">
        <v>14</v>
      </c>
      <c r="L32" s="4">
        <f t="shared" si="2"/>
        <v>0</v>
      </c>
      <c r="M32" s="4"/>
      <c r="N32" s="4"/>
      <c r="O32" s="4"/>
      <c r="P32" s="4">
        <v>48</v>
      </c>
      <c r="Q32" s="4">
        <f t="shared" si="3"/>
        <v>2.8</v>
      </c>
      <c r="R32" s="15"/>
      <c r="S32" s="17"/>
      <c r="T32" s="4">
        <f t="shared" si="4"/>
        <v>37.5</v>
      </c>
      <c r="U32" s="4">
        <f t="shared" si="5"/>
        <v>37.5</v>
      </c>
      <c r="V32" s="4">
        <v>6.6</v>
      </c>
      <c r="W32" s="4">
        <v>5.2</v>
      </c>
      <c r="X32" s="4">
        <v>7.8</v>
      </c>
      <c r="Y32" s="4">
        <v>2.8</v>
      </c>
      <c r="Z32" s="4">
        <v>5.6</v>
      </c>
      <c r="AA32" s="4">
        <v>9.8000000000000007</v>
      </c>
      <c r="AB32" s="4">
        <v>7.2</v>
      </c>
      <c r="AC32" s="4">
        <v>4.8</v>
      </c>
      <c r="AD32" s="4">
        <v>3</v>
      </c>
      <c r="AE32" s="4">
        <v>9</v>
      </c>
      <c r="AF32" s="11" t="s">
        <v>37</v>
      </c>
      <c r="AG32" s="4">
        <f t="shared" si="8"/>
        <v>0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4" t="s">
        <v>70</v>
      </c>
      <c r="B33" s="4" t="s">
        <v>36</v>
      </c>
      <c r="C33" s="4">
        <v>51</v>
      </c>
      <c r="D33" s="4">
        <v>160</v>
      </c>
      <c r="E33" s="4">
        <v>24</v>
      </c>
      <c r="F33" s="4">
        <v>181</v>
      </c>
      <c r="G33" s="6">
        <v>0.18</v>
      </c>
      <c r="H33" s="4">
        <v>270</v>
      </c>
      <c r="I33" s="4"/>
      <c r="J33" s="4"/>
      <c r="K33" s="4">
        <v>24</v>
      </c>
      <c r="L33" s="4">
        <f t="shared" si="2"/>
        <v>0</v>
      </c>
      <c r="M33" s="4"/>
      <c r="N33" s="4"/>
      <c r="O33" s="4"/>
      <c r="P33" s="4"/>
      <c r="Q33" s="4">
        <f t="shared" si="3"/>
        <v>4.8</v>
      </c>
      <c r="R33" s="15"/>
      <c r="S33" s="17"/>
      <c r="T33" s="4">
        <f t="shared" si="4"/>
        <v>37.708333333333336</v>
      </c>
      <c r="U33" s="4">
        <f t="shared" si="5"/>
        <v>37.708333333333336</v>
      </c>
      <c r="V33" s="4">
        <v>9.1999999999999993</v>
      </c>
      <c r="W33" s="4">
        <v>13</v>
      </c>
      <c r="X33" s="4">
        <v>8.8000000000000007</v>
      </c>
      <c r="Y33" s="4">
        <v>3.4</v>
      </c>
      <c r="Z33" s="4">
        <v>10</v>
      </c>
      <c r="AA33" s="4">
        <v>3.6</v>
      </c>
      <c r="AB33" s="4">
        <v>11.8</v>
      </c>
      <c r="AC33" s="4">
        <v>3.8</v>
      </c>
      <c r="AD33" s="4">
        <v>2.4</v>
      </c>
      <c r="AE33" s="4">
        <v>11</v>
      </c>
      <c r="AF33" s="12" t="s">
        <v>48</v>
      </c>
      <c r="AG33" s="4">
        <f t="shared" si="8"/>
        <v>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25">
      <c r="A34" s="4" t="s">
        <v>71</v>
      </c>
      <c r="B34" s="4" t="s">
        <v>41</v>
      </c>
      <c r="C34" s="4">
        <v>16.187999999999999</v>
      </c>
      <c r="D34" s="4">
        <v>47.828000000000003</v>
      </c>
      <c r="E34" s="4"/>
      <c r="F34" s="4">
        <v>64.016000000000005</v>
      </c>
      <c r="G34" s="6">
        <v>1</v>
      </c>
      <c r="H34" s="4">
        <v>180</v>
      </c>
      <c r="I34" s="4"/>
      <c r="J34" s="4"/>
      <c r="K34" s="4"/>
      <c r="L34" s="4">
        <f t="shared" si="2"/>
        <v>0</v>
      </c>
      <c r="M34" s="4"/>
      <c r="N34" s="4"/>
      <c r="O34" s="4"/>
      <c r="P34" s="4"/>
      <c r="Q34" s="4">
        <f t="shared" si="3"/>
        <v>0</v>
      </c>
      <c r="R34" s="15"/>
      <c r="S34" s="17"/>
      <c r="T34" s="4" t="e">
        <f t="shared" si="4"/>
        <v>#DIV/0!</v>
      </c>
      <c r="U34" s="4" t="e">
        <f t="shared" si="5"/>
        <v>#DIV/0!</v>
      </c>
      <c r="V34" s="4">
        <v>0</v>
      </c>
      <c r="W34" s="4">
        <v>3.3952</v>
      </c>
      <c r="X34" s="4">
        <v>1.7916000000000001</v>
      </c>
      <c r="Y34" s="4">
        <v>0.64680000000000004</v>
      </c>
      <c r="Z34" s="4">
        <v>0.61040000000000005</v>
      </c>
      <c r="AA34" s="4">
        <v>0</v>
      </c>
      <c r="AB34" s="4">
        <v>0.69920000000000004</v>
      </c>
      <c r="AC34" s="4">
        <v>1.3295999999999999</v>
      </c>
      <c r="AD34" s="4">
        <v>0</v>
      </c>
      <c r="AE34" s="4">
        <v>1.9048</v>
      </c>
      <c r="AF34" s="4" t="s">
        <v>72</v>
      </c>
      <c r="AG34" s="4">
        <f t="shared" si="8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5">
      <c r="A35" s="4" t="s">
        <v>73</v>
      </c>
      <c r="B35" s="4" t="s">
        <v>41</v>
      </c>
      <c r="C35" s="4"/>
      <c r="D35" s="4">
        <v>87.828000000000003</v>
      </c>
      <c r="E35" s="4">
        <v>8.5660000000000007</v>
      </c>
      <c r="F35" s="4">
        <v>79.262</v>
      </c>
      <c r="G35" s="6">
        <v>1</v>
      </c>
      <c r="H35" s="4">
        <v>180</v>
      </c>
      <c r="I35" s="4"/>
      <c r="J35" s="4"/>
      <c r="K35" s="4">
        <v>9.1999999999999993</v>
      </c>
      <c r="L35" s="4">
        <f t="shared" si="2"/>
        <v>-0.63399999999999856</v>
      </c>
      <c r="M35" s="4"/>
      <c r="N35" s="4"/>
      <c r="O35" s="4"/>
      <c r="P35" s="4"/>
      <c r="Q35" s="4">
        <f t="shared" si="3"/>
        <v>1.7132000000000001</v>
      </c>
      <c r="R35" s="15"/>
      <c r="S35" s="17"/>
      <c r="T35" s="4">
        <f t="shared" si="4"/>
        <v>46.265468129815545</v>
      </c>
      <c r="U35" s="4">
        <f t="shared" si="5"/>
        <v>46.265468129815545</v>
      </c>
      <c r="V35" s="4">
        <v>1.3268</v>
      </c>
      <c r="W35" s="4">
        <v>5.9131999999999998</v>
      </c>
      <c r="X35" s="4">
        <v>2.468</v>
      </c>
      <c r="Y35" s="4">
        <v>4.2824</v>
      </c>
      <c r="Z35" s="4">
        <v>4.2279999999999998</v>
      </c>
      <c r="AA35" s="4">
        <v>1.8388</v>
      </c>
      <c r="AB35" s="4">
        <v>1.8648</v>
      </c>
      <c r="AC35" s="4">
        <v>2.508</v>
      </c>
      <c r="AD35" s="4">
        <v>6.5763999999999996</v>
      </c>
      <c r="AE35" s="4">
        <v>5.2422000000000004</v>
      </c>
      <c r="AF35" s="4"/>
      <c r="AG35" s="4">
        <f t="shared" si="8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5">
      <c r="A36" s="4" t="s">
        <v>74</v>
      </c>
      <c r="B36" s="4" t="s">
        <v>36</v>
      </c>
      <c r="C36" s="4"/>
      <c r="D36" s="4">
        <v>48</v>
      </c>
      <c r="E36" s="4">
        <v>13</v>
      </c>
      <c r="F36" s="4">
        <v>32</v>
      </c>
      <c r="G36" s="6">
        <v>0.1</v>
      </c>
      <c r="H36" s="4">
        <v>60</v>
      </c>
      <c r="I36" s="4"/>
      <c r="J36" s="4"/>
      <c r="K36" s="4">
        <v>37</v>
      </c>
      <c r="L36" s="4">
        <f t="shared" si="2"/>
        <v>-24</v>
      </c>
      <c r="M36" s="4"/>
      <c r="N36" s="4"/>
      <c r="O36" s="4"/>
      <c r="P36" s="4">
        <v>12</v>
      </c>
      <c r="Q36" s="4">
        <f t="shared" si="3"/>
        <v>2.6</v>
      </c>
      <c r="R36" s="15">
        <v>12</v>
      </c>
      <c r="S36" s="17"/>
      <c r="T36" s="4">
        <f t="shared" si="4"/>
        <v>21.538461538461537</v>
      </c>
      <c r="U36" s="4">
        <f t="shared" si="5"/>
        <v>16.923076923076923</v>
      </c>
      <c r="V36" s="4">
        <v>3.2</v>
      </c>
      <c r="W36" s="4">
        <v>5</v>
      </c>
      <c r="X36" s="4">
        <v>4.5999999999999996</v>
      </c>
      <c r="Y36" s="4">
        <v>3.6</v>
      </c>
      <c r="Z36" s="4">
        <v>4.8</v>
      </c>
      <c r="AA36" s="4">
        <v>6.4</v>
      </c>
      <c r="AB36" s="4">
        <v>7.6</v>
      </c>
      <c r="AC36" s="4">
        <v>2.8</v>
      </c>
      <c r="AD36" s="4">
        <v>7.4</v>
      </c>
      <c r="AE36" s="4">
        <v>9.1999999999999993</v>
      </c>
      <c r="AF36" s="4" t="s">
        <v>75</v>
      </c>
      <c r="AG36" s="4">
        <f t="shared" si="8"/>
        <v>1.2000000000000002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25">
      <c r="A37" s="4" t="s">
        <v>76</v>
      </c>
      <c r="B37" s="4" t="s">
        <v>36</v>
      </c>
      <c r="C37" s="4">
        <v>72</v>
      </c>
      <c r="D37" s="4">
        <v>120</v>
      </c>
      <c r="E37" s="4">
        <v>40</v>
      </c>
      <c r="F37" s="4">
        <v>146</v>
      </c>
      <c r="G37" s="6">
        <v>0.1</v>
      </c>
      <c r="H37" s="4">
        <v>90</v>
      </c>
      <c r="I37" s="4"/>
      <c r="J37" s="4"/>
      <c r="K37" s="4">
        <v>40</v>
      </c>
      <c r="L37" s="4">
        <f t="shared" si="2"/>
        <v>0</v>
      </c>
      <c r="M37" s="4"/>
      <c r="N37" s="4"/>
      <c r="O37" s="4"/>
      <c r="P37" s="4"/>
      <c r="Q37" s="4">
        <f t="shared" si="3"/>
        <v>8</v>
      </c>
      <c r="R37" s="15"/>
      <c r="S37" s="17"/>
      <c r="T37" s="4">
        <f t="shared" si="4"/>
        <v>18.25</v>
      </c>
      <c r="U37" s="4">
        <f t="shared" si="5"/>
        <v>18.25</v>
      </c>
      <c r="V37" s="4">
        <v>0.6</v>
      </c>
      <c r="W37" s="4">
        <v>10.6</v>
      </c>
      <c r="X37" s="4">
        <v>8.1999999999999993</v>
      </c>
      <c r="Y37" s="4">
        <v>4.4000000000000004</v>
      </c>
      <c r="Z37" s="4">
        <v>3</v>
      </c>
      <c r="AA37" s="4">
        <v>4.5999999999999996</v>
      </c>
      <c r="AB37" s="4">
        <v>12.6</v>
      </c>
      <c r="AC37" s="4">
        <v>6.2</v>
      </c>
      <c r="AD37" s="4">
        <v>6</v>
      </c>
      <c r="AE37" s="4">
        <v>7.8</v>
      </c>
      <c r="AF37" s="4"/>
      <c r="AG37" s="4">
        <f t="shared" si="8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25">
      <c r="A38" s="4" t="s">
        <v>77</v>
      </c>
      <c r="B38" s="4" t="s">
        <v>36</v>
      </c>
      <c r="C38" s="4">
        <v>52</v>
      </c>
      <c r="D38" s="4">
        <v>80</v>
      </c>
      <c r="E38" s="4">
        <v>37</v>
      </c>
      <c r="F38" s="4">
        <v>85</v>
      </c>
      <c r="G38" s="6">
        <v>0.14000000000000001</v>
      </c>
      <c r="H38" s="4">
        <v>180</v>
      </c>
      <c r="I38" s="4"/>
      <c r="J38" s="4"/>
      <c r="K38" s="4">
        <v>37</v>
      </c>
      <c r="L38" s="4">
        <f t="shared" si="2"/>
        <v>0</v>
      </c>
      <c r="M38" s="4"/>
      <c r="N38" s="4"/>
      <c r="O38" s="4"/>
      <c r="P38" s="4">
        <v>32</v>
      </c>
      <c r="Q38" s="4">
        <f t="shared" si="3"/>
        <v>7.4</v>
      </c>
      <c r="R38" s="15">
        <f t="shared" si="7"/>
        <v>8.8000000000000114</v>
      </c>
      <c r="S38" s="17"/>
      <c r="T38" s="4">
        <f t="shared" si="4"/>
        <v>17</v>
      </c>
      <c r="U38" s="4">
        <f t="shared" si="5"/>
        <v>15.810810810810811</v>
      </c>
      <c r="V38" s="4">
        <v>8.8000000000000007</v>
      </c>
      <c r="W38" s="4">
        <v>8</v>
      </c>
      <c r="X38" s="4">
        <v>7.2</v>
      </c>
      <c r="Y38" s="4">
        <v>2.2000000000000002</v>
      </c>
      <c r="Z38" s="4">
        <v>8.1999999999999993</v>
      </c>
      <c r="AA38" s="4">
        <v>9.6</v>
      </c>
      <c r="AB38" s="4">
        <v>4</v>
      </c>
      <c r="AC38" s="4">
        <v>5.8</v>
      </c>
      <c r="AD38" s="4">
        <v>4.4000000000000004</v>
      </c>
      <c r="AE38" s="4">
        <v>12</v>
      </c>
      <c r="AF38" s="4"/>
      <c r="AG38" s="4">
        <f t="shared" si="8"/>
        <v>1.2320000000000018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25">
      <c r="A39" s="4" t="s">
        <v>78</v>
      </c>
      <c r="B39" s="4" t="s">
        <v>36</v>
      </c>
      <c r="C39" s="4">
        <v>182</v>
      </c>
      <c r="D39" s="4">
        <v>40</v>
      </c>
      <c r="E39" s="4">
        <v>87</v>
      </c>
      <c r="F39" s="4">
        <v>129</v>
      </c>
      <c r="G39" s="6">
        <v>0.2</v>
      </c>
      <c r="H39" s="4">
        <v>120</v>
      </c>
      <c r="I39" s="4"/>
      <c r="J39" s="4"/>
      <c r="K39" s="4">
        <v>81</v>
      </c>
      <c r="L39" s="4">
        <f t="shared" si="2"/>
        <v>6</v>
      </c>
      <c r="M39" s="4"/>
      <c r="N39" s="4"/>
      <c r="O39" s="4"/>
      <c r="P39" s="4">
        <v>140</v>
      </c>
      <c r="Q39" s="4">
        <f t="shared" si="3"/>
        <v>17.399999999999999</v>
      </c>
      <c r="R39" s="15">
        <f t="shared" si="7"/>
        <v>26.799999999999955</v>
      </c>
      <c r="S39" s="17"/>
      <c r="T39" s="4">
        <f t="shared" si="4"/>
        <v>17</v>
      </c>
      <c r="U39" s="4">
        <f t="shared" si="5"/>
        <v>15.459770114942531</v>
      </c>
      <c r="V39" s="4">
        <v>19.8</v>
      </c>
      <c r="W39" s="4">
        <v>17.2</v>
      </c>
      <c r="X39" s="4">
        <v>21.6</v>
      </c>
      <c r="Y39" s="4">
        <v>33.6</v>
      </c>
      <c r="Z39" s="4">
        <v>27.6</v>
      </c>
      <c r="AA39" s="4">
        <v>28.6</v>
      </c>
      <c r="AB39" s="4">
        <v>19.600000000000001</v>
      </c>
      <c r="AC39" s="4">
        <v>9</v>
      </c>
      <c r="AD39" s="4">
        <v>28.4</v>
      </c>
      <c r="AE39" s="4">
        <v>24.8</v>
      </c>
      <c r="AF39" s="4"/>
      <c r="AG39" s="4">
        <f t="shared" si="8"/>
        <v>5.3599999999999914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4" t="s">
        <v>79</v>
      </c>
      <c r="B40" s="4" t="s">
        <v>41</v>
      </c>
      <c r="C40" s="4">
        <v>19.146000000000001</v>
      </c>
      <c r="D40" s="4">
        <v>16.044</v>
      </c>
      <c r="E40" s="4">
        <v>6.4580000000000002</v>
      </c>
      <c r="F40" s="4">
        <v>28.731999999999999</v>
      </c>
      <c r="G40" s="6">
        <v>1</v>
      </c>
      <c r="H40" s="4">
        <v>120</v>
      </c>
      <c r="I40" s="4"/>
      <c r="J40" s="4"/>
      <c r="K40" s="4">
        <v>5.2</v>
      </c>
      <c r="L40" s="4">
        <f t="shared" si="2"/>
        <v>1.258</v>
      </c>
      <c r="M40" s="4"/>
      <c r="N40" s="4"/>
      <c r="O40" s="4"/>
      <c r="P40" s="4"/>
      <c r="Q40" s="4">
        <f t="shared" si="3"/>
        <v>1.2916000000000001</v>
      </c>
      <c r="R40" s="15"/>
      <c r="S40" s="17"/>
      <c r="T40" s="4">
        <f t="shared" si="4"/>
        <v>22.245277175596158</v>
      </c>
      <c r="U40" s="4">
        <f t="shared" si="5"/>
        <v>22.245277175596158</v>
      </c>
      <c r="V40" s="4">
        <v>0.6492</v>
      </c>
      <c r="W40" s="4">
        <v>0.61599999999999999</v>
      </c>
      <c r="X40" s="4">
        <v>1.9108000000000001</v>
      </c>
      <c r="Y40" s="4">
        <v>1.9503999999999999</v>
      </c>
      <c r="Z40" s="4">
        <v>0</v>
      </c>
      <c r="AA40" s="4">
        <v>3.2932000000000001</v>
      </c>
      <c r="AB40" s="4">
        <v>3.2704</v>
      </c>
      <c r="AC40" s="4">
        <v>4.3572000000000006</v>
      </c>
      <c r="AD40" s="4">
        <v>1.8528</v>
      </c>
      <c r="AE40" s="4">
        <v>3.2056</v>
      </c>
      <c r="AF40" s="11" t="s">
        <v>37</v>
      </c>
      <c r="AG40" s="4">
        <f t="shared" si="8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25">
      <c r="A41" s="4" t="s">
        <v>80</v>
      </c>
      <c r="B41" s="4" t="s">
        <v>36</v>
      </c>
      <c r="C41" s="4">
        <v>136</v>
      </c>
      <c r="D41" s="4"/>
      <c r="E41" s="4">
        <v>73</v>
      </c>
      <c r="F41" s="10">
        <f>59+F42</f>
        <v>56</v>
      </c>
      <c r="G41" s="6">
        <v>0.2</v>
      </c>
      <c r="H41" s="4">
        <v>120</v>
      </c>
      <c r="I41" s="4"/>
      <c r="J41" s="4"/>
      <c r="K41" s="4">
        <v>77</v>
      </c>
      <c r="L41" s="4">
        <f t="shared" si="2"/>
        <v>-4</v>
      </c>
      <c r="M41" s="4"/>
      <c r="N41" s="4"/>
      <c r="O41" s="4"/>
      <c r="P41" s="4"/>
      <c r="Q41" s="4">
        <f t="shared" si="3"/>
        <v>14.6</v>
      </c>
      <c r="R41" s="15">
        <f>13*Q41-P41-O41-F41</f>
        <v>133.79999999999998</v>
      </c>
      <c r="S41" s="17"/>
      <c r="T41" s="4">
        <f t="shared" si="4"/>
        <v>13</v>
      </c>
      <c r="U41" s="4">
        <f t="shared" si="5"/>
        <v>3.8356164383561646</v>
      </c>
      <c r="V41" s="4">
        <v>3.8</v>
      </c>
      <c r="W41" s="4">
        <v>8.1999999999999993</v>
      </c>
      <c r="X41" s="4">
        <v>12.8</v>
      </c>
      <c r="Y41" s="4">
        <v>17.2</v>
      </c>
      <c r="Z41" s="4">
        <v>14.8</v>
      </c>
      <c r="AA41" s="4">
        <v>16.2</v>
      </c>
      <c r="AB41" s="4">
        <v>12.8</v>
      </c>
      <c r="AC41" s="4">
        <v>6.8</v>
      </c>
      <c r="AD41" s="4">
        <v>15.6</v>
      </c>
      <c r="AE41" s="4">
        <v>13.8</v>
      </c>
      <c r="AF41" s="4"/>
      <c r="AG41" s="4">
        <f t="shared" si="8"/>
        <v>26.759999999999998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8" t="s">
        <v>81</v>
      </c>
      <c r="B42" s="8" t="s">
        <v>36</v>
      </c>
      <c r="C42" s="8"/>
      <c r="D42" s="8"/>
      <c r="E42" s="8"/>
      <c r="F42" s="10">
        <v>-3</v>
      </c>
      <c r="G42" s="9">
        <v>0</v>
      </c>
      <c r="H42" s="8"/>
      <c r="I42" s="8" t="s">
        <v>82</v>
      </c>
      <c r="J42" s="8" t="s">
        <v>80</v>
      </c>
      <c r="K42" s="8"/>
      <c r="L42" s="8">
        <f t="shared" si="2"/>
        <v>0</v>
      </c>
      <c r="M42" s="8"/>
      <c r="N42" s="8"/>
      <c r="O42" s="8"/>
      <c r="P42" s="8"/>
      <c r="Q42" s="8">
        <f t="shared" si="3"/>
        <v>0</v>
      </c>
      <c r="R42" s="16"/>
      <c r="S42" s="18"/>
      <c r="T42" s="8" t="e">
        <f t="shared" si="4"/>
        <v>#DIV/0!</v>
      </c>
      <c r="U42" s="8" t="e">
        <f t="shared" si="5"/>
        <v>#DIV/0!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/>
      <c r="AG42" s="8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25">
      <c r="A43" s="4" t="s">
        <v>83</v>
      </c>
      <c r="B43" s="4" t="s">
        <v>41</v>
      </c>
      <c r="C43" s="4">
        <v>3.738</v>
      </c>
      <c r="D43" s="4">
        <v>13.57</v>
      </c>
      <c r="E43" s="4">
        <v>10.432</v>
      </c>
      <c r="F43" s="4">
        <v>6.8760000000000003</v>
      </c>
      <c r="G43" s="6">
        <v>1</v>
      </c>
      <c r="H43" s="4">
        <v>120</v>
      </c>
      <c r="I43" s="4"/>
      <c r="J43" s="4"/>
      <c r="K43" s="4">
        <v>10.5</v>
      </c>
      <c r="L43" s="4">
        <f t="shared" si="2"/>
        <v>-6.7999999999999616E-2</v>
      </c>
      <c r="M43" s="4"/>
      <c r="N43" s="4"/>
      <c r="O43" s="4"/>
      <c r="P43" s="4">
        <v>15</v>
      </c>
      <c r="Q43" s="4">
        <f t="shared" si="3"/>
        <v>2.0864000000000003</v>
      </c>
      <c r="R43" s="15">
        <f>17*Q43-P43-O43-F43</f>
        <v>13.5928</v>
      </c>
      <c r="S43" s="17"/>
      <c r="T43" s="4">
        <f t="shared" si="4"/>
        <v>17</v>
      </c>
      <c r="U43" s="4">
        <f t="shared" si="5"/>
        <v>10.485046012269938</v>
      </c>
      <c r="V43" s="4">
        <v>1.512</v>
      </c>
      <c r="W43" s="4">
        <v>1.528</v>
      </c>
      <c r="X43" s="4">
        <v>0</v>
      </c>
      <c r="Y43" s="4">
        <v>0</v>
      </c>
      <c r="Z43" s="4">
        <v>1.3648</v>
      </c>
      <c r="AA43" s="4">
        <v>6.8608000000000002</v>
      </c>
      <c r="AB43" s="4">
        <v>0</v>
      </c>
      <c r="AC43" s="4">
        <v>1.5251999999999999</v>
      </c>
      <c r="AD43" s="4">
        <v>1.4972000000000001</v>
      </c>
      <c r="AE43" s="4">
        <v>2.8639999999999999</v>
      </c>
      <c r="AF43" s="4" t="s">
        <v>84</v>
      </c>
      <c r="AG43" s="4">
        <f>G43*R43</f>
        <v>13.5928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5">
      <c r="A44" s="4"/>
      <c r="B44" s="4"/>
      <c r="C44" s="4"/>
      <c r="D44" s="4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25">
      <c r="A45" s="4"/>
      <c r="B45" s="4"/>
      <c r="C45" s="4"/>
      <c r="D45" s="4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25">
      <c r="A46" s="4"/>
      <c r="B46" s="4"/>
      <c r="C46" s="4"/>
      <c r="D46" s="4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25">
      <c r="A47" s="4"/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25">
      <c r="A48" s="4"/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25">
      <c r="A49" s="4"/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25">
      <c r="A50" s="4"/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25">
      <c r="A51" s="4"/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25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25">
      <c r="A53" s="4"/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25">
      <c r="A54" s="4"/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25">
      <c r="A55" s="4"/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25">
      <c r="A56" s="4"/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25">
      <c r="A57" s="4"/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25">
      <c r="A58" s="4"/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25">
      <c r="A59" s="4"/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25">
      <c r="A60" s="4"/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25">
      <c r="A61" s="4"/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x14ac:dyDescent="0.25">
      <c r="A62" s="4"/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25">
      <c r="A63" s="4"/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25">
      <c r="A64" s="4"/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25">
      <c r="A65" s="4"/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x14ac:dyDescent="0.25">
      <c r="A66" s="4"/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x14ac:dyDescent="0.25">
      <c r="A67" s="4"/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x14ac:dyDescent="0.25">
      <c r="A68" s="4"/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x14ac:dyDescent="0.25">
      <c r="A69" s="4"/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x14ac:dyDescent="0.25">
      <c r="A70" s="4"/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25">
      <c r="A71" s="4"/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25">
      <c r="A72" s="4"/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25">
      <c r="A73" s="4"/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x14ac:dyDescent="0.25">
      <c r="A74" s="4"/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x14ac:dyDescent="0.25">
      <c r="A75" s="4"/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25">
      <c r="A76" s="4"/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x14ac:dyDescent="0.25">
      <c r="A77" s="4"/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x14ac:dyDescent="0.25">
      <c r="A78" s="4"/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x14ac:dyDescent="0.25">
      <c r="A79" s="4"/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x14ac:dyDescent="0.25">
      <c r="A80" s="4"/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25">
      <c r="A81" s="4"/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x14ac:dyDescent="0.25">
      <c r="A82" s="4"/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25">
      <c r="A83" s="4"/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25">
      <c r="A84" s="4"/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25">
      <c r="A85" s="4"/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x14ac:dyDescent="0.25">
      <c r="A86" s="4"/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x14ac:dyDescent="0.25">
      <c r="A87" s="4"/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25">
      <c r="A88" s="4"/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x14ac:dyDescent="0.25">
      <c r="A89" s="4"/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x14ac:dyDescent="0.25">
      <c r="A90" s="4"/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x14ac:dyDescent="0.25">
      <c r="A91" s="4"/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25">
      <c r="A92" s="4"/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25">
      <c r="A93" s="4"/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x14ac:dyDescent="0.25">
      <c r="A94" s="4"/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x14ac:dyDescent="0.25">
      <c r="A95" s="4"/>
      <c r="B95" s="4"/>
      <c r="C95" s="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x14ac:dyDescent="0.25">
      <c r="A96" s="4"/>
      <c r="B96" s="4"/>
      <c r="C96" s="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x14ac:dyDescent="0.25">
      <c r="A97" s="4"/>
      <c r="B97" s="4"/>
      <c r="C97" s="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25">
      <c r="A98" s="4"/>
      <c r="B98" s="4"/>
      <c r="C98" s="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25">
      <c r="A99" s="4"/>
      <c r="B99" s="4"/>
      <c r="C99" s="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x14ac:dyDescent="0.25">
      <c r="A100" s="4"/>
      <c r="B100" s="4"/>
      <c r="C100" s="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x14ac:dyDescent="0.25">
      <c r="A101" s="4"/>
      <c r="B101" s="4"/>
      <c r="C101" s="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1:49" x14ac:dyDescent="0.25">
      <c r="A102" s="4"/>
      <c r="B102" s="4"/>
      <c r="C102" s="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1:49" x14ac:dyDescent="0.25">
      <c r="A103" s="4"/>
      <c r="B103" s="4"/>
      <c r="C103" s="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x14ac:dyDescent="0.25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x14ac:dyDescent="0.25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x14ac:dyDescent="0.25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x14ac:dyDescent="0.25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x14ac:dyDescent="0.25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x14ac:dyDescent="0.25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x14ac:dyDescent="0.25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x14ac:dyDescent="0.25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x14ac:dyDescent="0.25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x14ac:dyDescent="0.25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x14ac:dyDescent="0.25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x14ac:dyDescent="0.25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x14ac:dyDescent="0.25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x14ac:dyDescent="0.25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x14ac:dyDescent="0.25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x14ac:dyDescent="0.25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x14ac:dyDescent="0.25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x14ac:dyDescent="0.25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x14ac:dyDescent="0.25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x14ac:dyDescent="0.25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x14ac:dyDescent="0.25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x14ac:dyDescent="0.25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x14ac:dyDescent="0.25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x14ac:dyDescent="0.25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x14ac:dyDescent="0.25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x14ac:dyDescent="0.25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x14ac:dyDescent="0.25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x14ac:dyDescent="0.25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x14ac:dyDescent="0.25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x14ac:dyDescent="0.25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x14ac:dyDescent="0.25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x14ac:dyDescent="0.25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x14ac:dyDescent="0.25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x14ac:dyDescent="0.25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x14ac:dyDescent="0.25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x14ac:dyDescent="0.25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x14ac:dyDescent="0.25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x14ac:dyDescent="0.25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x14ac:dyDescent="0.25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x14ac:dyDescent="0.25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x14ac:dyDescent="0.25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x14ac:dyDescent="0.25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x14ac:dyDescent="0.25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x14ac:dyDescent="0.25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x14ac:dyDescent="0.25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x14ac:dyDescent="0.25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x14ac:dyDescent="0.25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x14ac:dyDescent="0.25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x14ac:dyDescent="0.25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x14ac:dyDescent="0.25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x14ac:dyDescent="0.25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x14ac:dyDescent="0.25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x14ac:dyDescent="0.25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x14ac:dyDescent="0.25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x14ac:dyDescent="0.25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x14ac:dyDescent="0.25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x14ac:dyDescent="0.25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x14ac:dyDescent="0.25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x14ac:dyDescent="0.25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x14ac:dyDescent="0.25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x14ac:dyDescent="0.25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x14ac:dyDescent="0.25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x14ac:dyDescent="0.25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x14ac:dyDescent="0.25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x14ac:dyDescent="0.25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x14ac:dyDescent="0.25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x14ac:dyDescent="0.25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x14ac:dyDescent="0.25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x14ac:dyDescent="0.25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x14ac:dyDescent="0.25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x14ac:dyDescent="0.25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x14ac:dyDescent="0.25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x14ac:dyDescent="0.25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x14ac:dyDescent="0.25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x14ac:dyDescent="0.25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x14ac:dyDescent="0.25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x14ac:dyDescent="0.25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x14ac:dyDescent="0.25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x14ac:dyDescent="0.25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x14ac:dyDescent="0.25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x14ac:dyDescent="0.25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x14ac:dyDescent="0.25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x14ac:dyDescent="0.25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x14ac:dyDescent="0.25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x14ac:dyDescent="0.25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x14ac:dyDescent="0.25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x14ac:dyDescent="0.25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x14ac:dyDescent="0.25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x14ac:dyDescent="0.25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x14ac:dyDescent="0.25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x14ac:dyDescent="0.25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x14ac:dyDescent="0.25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x14ac:dyDescent="0.25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x14ac:dyDescent="0.25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x14ac:dyDescent="0.25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x14ac:dyDescent="0.25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x14ac:dyDescent="0.25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x14ac:dyDescent="0.25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x14ac:dyDescent="0.25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x14ac:dyDescent="0.25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x14ac:dyDescent="0.25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x14ac:dyDescent="0.25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x14ac:dyDescent="0.25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x14ac:dyDescent="0.25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x14ac:dyDescent="0.25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x14ac:dyDescent="0.25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x14ac:dyDescent="0.25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x14ac:dyDescent="0.25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x14ac:dyDescent="0.25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x14ac:dyDescent="0.25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x14ac:dyDescent="0.25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x14ac:dyDescent="0.25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x14ac:dyDescent="0.25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x14ac:dyDescent="0.25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x14ac:dyDescent="0.25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x14ac:dyDescent="0.25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x14ac:dyDescent="0.25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x14ac:dyDescent="0.25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x14ac:dyDescent="0.25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x14ac:dyDescent="0.25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x14ac:dyDescent="0.25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x14ac:dyDescent="0.25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x14ac:dyDescent="0.25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x14ac:dyDescent="0.25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x14ac:dyDescent="0.25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x14ac:dyDescent="0.25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x14ac:dyDescent="0.25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x14ac:dyDescent="0.25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x14ac:dyDescent="0.25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x14ac:dyDescent="0.25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x14ac:dyDescent="0.25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x14ac:dyDescent="0.25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x14ac:dyDescent="0.25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x14ac:dyDescent="0.25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x14ac:dyDescent="0.25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x14ac:dyDescent="0.25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x14ac:dyDescent="0.25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x14ac:dyDescent="0.25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x14ac:dyDescent="0.25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x14ac:dyDescent="0.25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x14ac:dyDescent="0.25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x14ac:dyDescent="0.25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x14ac:dyDescent="0.25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x14ac:dyDescent="0.25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x14ac:dyDescent="0.25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x14ac:dyDescent="0.25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x14ac:dyDescent="0.25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x14ac:dyDescent="0.25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x14ac:dyDescent="0.25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x14ac:dyDescent="0.25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x14ac:dyDescent="0.25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x14ac:dyDescent="0.25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x14ac:dyDescent="0.25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x14ac:dyDescent="0.25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x14ac:dyDescent="0.25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x14ac:dyDescent="0.25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x14ac:dyDescent="0.25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x14ac:dyDescent="0.25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x14ac:dyDescent="0.25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x14ac:dyDescent="0.25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x14ac:dyDescent="0.25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x14ac:dyDescent="0.25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x14ac:dyDescent="0.25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x14ac:dyDescent="0.25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x14ac:dyDescent="0.25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x14ac:dyDescent="0.25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x14ac:dyDescent="0.25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x14ac:dyDescent="0.25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x14ac:dyDescent="0.25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x14ac:dyDescent="0.25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x14ac:dyDescent="0.25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x14ac:dyDescent="0.25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x14ac:dyDescent="0.25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x14ac:dyDescent="0.25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x14ac:dyDescent="0.25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x14ac:dyDescent="0.25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x14ac:dyDescent="0.25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x14ac:dyDescent="0.25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x14ac:dyDescent="0.25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x14ac:dyDescent="0.25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x14ac:dyDescent="0.25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x14ac:dyDescent="0.25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x14ac:dyDescent="0.25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x14ac:dyDescent="0.25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x14ac:dyDescent="0.25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x14ac:dyDescent="0.25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x14ac:dyDescent="0.25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x14ac:dyDescent="0.25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x14ac:dyDescent="0.25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x14ac:dyDescent="0.25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x14ac:dyDescent="0.25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x14ac:dyDescent="0.25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x14ac:dyDescent="0.25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x14ac:dyDescent="0.25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x14ac:dyDescent="0.25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x14ac:dyDescent="0.25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x14ac:dyDescent="0.25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x14ac:dyDescent="0.25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x14ac:dyDescent="0.25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x14ac:dyDescent="0.25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x14ac:dyDescent="0.25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x14ac:dyDescent="0.25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x14ac:dyDescent="0.25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x14ac:dyDescent="0.25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x14ac:dyDescent="0.25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x14ac:dyDescent="0.25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x14ac:dyDescent="0.25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x14ac:dyDescent="0.25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x14ac:dyDescent="0.25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x14ac:dyDescent="0.25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x14ac:dyDescent="0.25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x14ac:dyDescent="0.25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x14ac:dyDescent="0.25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x14ac:dyDescent="0.25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x14ac:dyDescent="0.25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x14ac:dyDescent="0.25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x14ac:dyDescent="0.25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x14ac:dyDescent="0.25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x14ac:dyDescent="0.25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x14ac:dyDescent="0.25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x14ac:dyDescent="0.25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x14ac:dyDescent="0.25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x14ac:dyDescent="0.25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x14ac:dyDescent="0.25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x14ac:dyDescent="0.25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x14ac:dyDescent="0.25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x14ac:dyDescent="0.25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x14ac:dyDescent="0.25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x14ac:dyDescent="0.25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x14ac:dyDescent="0.25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x14ac:dyDescent="0.25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x14ac:dyDescent="0.25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x14ac:dyDescent="0.25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x14ac:dyDescent="0.25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x14ac:dyDescent="0.25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x14ac:dyDescent="0.25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x14ac:dyDescent="0.25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x14ac:dyDescent="0.25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x14ac:dyDescent="0.25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x14ac:dyDescent="0.25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x14ac:dyDescent="0.25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x14ac:dyDescent="0.25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x14ac:dyDescent="0.25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x14ac:dyDescent="0.25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x14ac:dyDescent="0.25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x14ac:dyDescent="0.25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x14ac:dyDescent="0.25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x14ac:dyDescent="0.25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x14ac:dyDescent="0.25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x14ac:dyDescent="0.25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x14ac:dyDescent="0.25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x14ac:dyDescent="0.25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x14ac:dyDescent="0.25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x14ac:dyDescent="0.25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x14ac:dyDescent="0.25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x14ac:dyDescent="0.25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x14ac:dyDescent="0.25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x14ac:dyDescent="0.25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x14ac:dyDescent="0.25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x14ac:dyDescent="0.25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x14ac:dyDescent="0.25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x14ac:dyDescent="0.25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x14ac:dyDescent="0.25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x14ac:dyDescent="0.25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x14ac:dyDescent="0.25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x14ac:dyDescent="0.25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x14ac:dyDescent="0.25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x14ac:dyDescent="0.25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x14ac:dyDescent="0.25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x14ac:dyDescent="0.25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x14ac:dyDescent="0.25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x14ac:dyDescent="0.25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x14ac:dyDescent="0.25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x14ac:dyDescent="0.25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x14ac:dyDescent="0.25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x14ac:dyDescent="0.25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x14ac:dyDescent="0.25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x14ac:dyDescent="0.25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x14ac:dyDescent="0.25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x14ac:dyDescent="0.25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x14ac:dyDescent="0.25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x14ac:dyDescent="0.25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x14ac:dyDescent="0.25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x14ac:dyDescent="0.25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x14ac:dyDescent="0.25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x14ac:dyDescent="0.25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x14ac:dyDescent="0.25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x14ac:dyDescent="0.25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x14ac:dyDescent="0.25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x14ac:dyDescent="0.25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x14ac:dyDescent="0.25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x14ac:dyDescent="0.25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x14ac:dyDescent="0.25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x14ac:dyDescent="0.25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x14ac:dyDescent="0.25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x14ac:dyDescent="0.25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x14ac:dyDescent="0.25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x14ac:dyDescent="0.25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x14ac:dyDescent="0.25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x14ac:dyDescent="0.25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x14ac:dyDescent="0.25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x14ac:dyDescent="0.25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x14ac:dyDescent="0.25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x14ac:dyDescent="0.25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x14ac:dyDescent="0.25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x14ac:dyDescent="0.25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x14ac:dyDescent="0.25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x14ac:dyDescent="0.25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x14ac:dyDescent="0.25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x14ac:dyDescent="0.25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x14ac:dyDescent="0.25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x14ac:dyDescent="0.25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x14ac:dyDescent="0.25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x14ac:dyDescent="0.25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x14ac:dyDescent="0.25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x14ac:dyDescent="0.25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x14ac:dyDescent="0.25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x14ac:dyDescent="0.25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x14ac:dyDescent="0.25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x14ac:dyDescent="0.25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x14ac:dyDescent="0.25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x14ac:dyDescent="0.25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x14ac:dyDescent="0.25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x14ac:dyDescent="0.25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x14ac:dyDescent="0.25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x14ac:dyDescent="0.25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x14ac:dyDescent="0.25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x14ac:dyDescent="0.25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x14ac:dyDescent="0.25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x14ac:dyDescent="0.25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x14ac:dyDescent="0.25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x14ac:dyDescent="0.25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x14ac:dyDescent="0.25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x14ac:dyDescent="0.25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x14ac:dyDescent="0.25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x14ac:dyDescent="0.25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x14ac:dyDescent="0.25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x14ac:dyDescent="0.25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x14ac:dyDescent="0.25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x14ac:dyDescent="0.25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x14ac:dyDescent="0.25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x14ac:dyDescent="0.25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x14ac:dyDescent="0.25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x14ac:dyDescent="0.25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x14ac:dyDescent="0.25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x14ac:dyDescent="0.25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x14ac:dyDescent="0.25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x14ac:dyDescent="0.25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x14ac:dyDescent="0.25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x14ac:dyDescent="0.25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x14ac:dyDescent="0.25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x14ac:dyDescent="0.25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x14ac:dyDescent="0.25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x14ac:dyDescent="0.25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x14ac:dyDescent="0.25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x14ac:dyDescent="0.25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x14ac:dyDescent="0.25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x14ac:dyDescent="0.25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x14ac:dyDescent="0.25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x14ac:dyDescent="0.25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x14ac:dyDescent="0.25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x14ac:dyDescent="0.25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x14ac:dyDescent="0.25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x14ac:dyDescent="0.25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x14ac:dyDescent="0.25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x14ac:dyDescent="0.25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x14ac:dyDescent="0.25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x14ac:dyDescent="0.25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x14ac:dyDescent="0.25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x14ac:dyDescent="0.25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x14ac:dyDescent="0.25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x14ac:dyDescent="0.25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x14ac:dyDescent="0.25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x14ac:dyDescent="0.25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x14ac:dyDescent="0.25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x14ac:dyDescent="0.25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x14ac:dyDescent="0.25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x14ac:dyDescent="0.25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x14ac:dyDescent="0.25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x14ac:dyDescent="0.25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x14ac:dyDescent="0.25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x14ac:dyDescent="0.25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x14ac:dyDescent="0.25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x14ac:dyDescent="0.25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x14ac:dyDescent="0.25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x14ac:dyDescent="0.25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x14ac:dyDescent="0.25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x14ac:dyDescent="0.25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x14ac:dyDescent="0.25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x14ac:dyDescent="0.25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x14ac:dyDescent="0.25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x14ac:dyDescent="0.25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x14ac:dyDescent="0.25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x14ac:dyDescent="0.25">
      <c r="A497" s="4"/>
      <c r="B497" s="4"/>
      <c r="C497" s="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x14ac:dyDescent="0.25">
      <c r="A498" s="4"/>
      <c r="B498" s="4"/>
      <c r="C498" s="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x14ac:dyDescent="0.25">
      <c r="A499" s="4"/>
      <c r="B499" s="4"/>
      <c r="C499" s="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</sheetData>
  <autoFilter ref="A3:AG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2026-10-13T12:08:57Z</dcterms:created>
  <dcterms:modified xsi:type="dcterms:W3CDTF">2026-10-15T08:39:59Z</dcterms:modified>
</cp:coreProperties>
</file>