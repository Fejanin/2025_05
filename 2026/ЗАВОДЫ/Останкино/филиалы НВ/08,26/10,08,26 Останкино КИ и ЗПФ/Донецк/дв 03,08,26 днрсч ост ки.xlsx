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357D8B0-DFD3-4C90-B3EB-5AC7EC09D1F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10" i="1"/>
  <c r="AK13" i="1"/>
  <c r="AK14" i="1"/>
  <c r="AK16" i="1"/>
  <c r="AK18" i="1"/>
  <c r="AK19" i="1"/>
  <c r="AK21" i="1"/>
  <c r="AK22" i="1"/>
  <c r="AK23" i="1"/>
  <c r="AK26" i="1"/>
  <c r="AK27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5" i="1"/>
  <c r="AK46" i="1"/>
  <c r="AK47" i="1"/>
  <c r="AK49" i="1"/>
  <c r="AK50" i="1"/>
  <c r="AK53" i="1"/>
  <c r="AK54" i="1"/>
  <c r="AK55" i="1"/>
  <c r="AK57" i="1"/>
  <c r="AK58" i="1"/>
  <c r="AK59" i="1"/>
  <c r="AK60" i="1"/>
  <c r="AK61" i="1"/>
  <c r="AK62" i="1"/>
  <c r="AK63" i="1"/>
  <c r="AK64" i="1"/>
  <c r="AK65" i="1"/>
  <c r="AK66" i="1"/>
  <c r="AK68" i="1"/>
  <c r="AK70" i="1"/>
  <c r="AK71" i="1"/>
  <c r="AK73" i="1"/>
  <c r="AK76" i="1"/>
  <c r="AK77" i="1"/>
  <c r="AK80" i="1"/>
  <c r="AK83" i="1"/>
  <c r="AK84" i="1"/>
  <c r="AK85" i="1"/>
  <c r="AK86" i="1"/>
  <c r="AK87" i="1"/>
  <c r="AK90" i="1"/>
  <c r="AK91" i="1"/>
  <c r="AK92" i="1"/>
  <c r="AK93" i="1"/>
  <c r="AK94" i="1"/>
  <c r="AK95" i="1"/>
  <c r="AK96" i="1"/>
  <c r="AK98" i="1"/>
  <c r="AK99" i="1"/>
  <c r="AK100" i="1"/>
  <c r="AK101" i="1"/>
  <c r="AK102" i="1"/>
  <c r="AK104" i="1"/>
  <c r="AK105" i="1"/>
  <c r="AK106" i="1"/>
  <c r="AK107" i="1"/>
  <c r="AK109" i="1"/>
  <c r="AK110" i="1"/>
  <c r="AK111" i="1"/>
  <c r="AK114" i="1"/>
  <c r="AK115" i="1"/>
  <c r="AK116" i="1"/>
  <c r="AK117" i="1"/>
  <c r="S98" i="1" l="1"/>
  <c r="S93" i="1"/>
  <c r="S31" i="1"/>
  <c r="T31" i="1" s="1"/>
  <c r="AJ31" i="1" s="1"/>
  <c r="S27" i="1"/>
  <c r="S7" i="1"/>
  <c r="T7" i="1" s="1"/>
  <c r="AJ7" i="1" s="1"/>
  <c r="S10" i="1"/>
  <c r="T10" i="1" s="1"/>
  <c r="AJ10" i="1" s="1"/>
  <c r="S13" i="1"/>
  <c r="S18" i="1"/>
  <c r="T18" i="1" s="1"/>
  <c r="AJ18" i="1" s="1"/>
  <c r="S19" i="1"/>
  <c r="T19" i="1" s="1"/>
  <c r="AJ19" i="1" s="1"/>
  <c r="S21" i="1"/>
  <c r="T21" i="1" s="1"/>
  <c r="AJ21" i="1" s="1"/>
  <c r="S23" i="1"/>
  <c r="T23" i="1" s="1"/>
  <c r="AJ23" i="1" s="1"/>
  <c r="S29" i="1"/>
  <c r="T29" i="1" s="1"/>
  <c r="AJ29" i="1" s="1"/>
  <c r="S32" i="1"/>
  <c r="T32" i="1" s="1"/>
  <c r="AJ32" i="1" s="1"/>
  <c r="S34" i="1"/>
  <c r="T34" i="1" s="1"/>
  <c r="AJ34" i="1" s="1"/>
  <c r="S35" i="1"/>
  <c r="S36" i="1"/>
  <c r="T36" i="1" s="1"/>
  <c r="AJ36" i="1" s="1"/>
  <c r="S37" i="1"/>
  <c r="T37" i="1" s="1"/>
  <c r="AJ37" i="1" s="1"/>
  <c r="S38" i="1"/>
  <c r="T38" i="1" s="1"/>
  <c r="AJ38" i="1" s="1"/>
  <c r="S39" i="1"/>
  <c r="S45" i="1"/>
  <c r="T45" i="1" s="1"/>
  <c r="AJ45" i="1" s="1"/>
  <c r="S46" i="1"/>
  <c r="T46" i="1" s="1"/>
  <c r="AJ46" i="1" s="1"/>
  <c r="S47" i="1"/>
  <c r="T47" i="1" s="1"/>
  <c r="AJ47" i="1" s="1"/>
  <c r="S48" i="1"/>
  <c r="U48" i="1" s="1"/>
  <c r="S49" i="1"/>
  <c r="T49" i="1" s="1"/>
  <c r="AJ49" i="1" s="1"/>
  <c r="S50" i="1"/>
  <c r="T50" i="1" s="1"/>
  <c r="AJ50" i="1" s="1"/>
  <c r="S53" i="1"/>
  <c r="T53" i="1" s="1"/>
  <c r="AJ53" i="1" s="1"/>
  <c r="S54" i="1"/>
  <c r="T54" i="1" s="1"/>
  <c r="AJ54" i="1" s="1"/>
  <c r="S57" i="1"/>
  <c r="T57" i="1" s="1"/>
  <c r="AJ57" i="1" s="1"/>
  <c r="S59" i="1"/>
  <c r="S60" i="1"/>
  <c r="T60" i="1" s="1"/>
  <c r="AJ60" i="1" s="1"/>
  <c r="S61" i="1"/>
  <c r="T61" i="1" s="1"/>
  <c r="AJ61" i="1" s="1"/>
  <c r="S62" i="1"/>
  <c r="T62" i="1" s="1"/>
  <c r="AJ62" i="1" s="1"/>
  <c r="S63" i="1"/>
  <c r="S64" i="1"/>
  <c r="T64" i="1" s="1"/>
  <c r="AJ64" i="1" s="1"/>
  <c r="S65" i="1"/>
  <c r="T65" i="1" s="1"/>
  <c r="AJ65" i="1" s="1"/>
  <c r="S66" i="1"/>
  <c r="T66" i="1" s="1"/>
  <c r="AJ66" i="1" s="1"/>
  <c r="S68" i="1"/>
  <c r="S71" i="1"/>
  <c r="T71" i="1" s="1"/>
  <c r="AJ71" i="1" s="1"/>
  <c r="S76" i="1"/>
  <c r="S77" i="1"/>
  <c r="T77" i="1" s="1"/>
  <c r="AJ77" i="1" s="1"/>
  <c r="S80" i="1"/>
  <c r="S85" i="1"/>
  <c r="T85" i="1" s="1"/>
  <c r="AJ85" i="1" s="1"/>
  <c r="S87" i="1"/>
  <c r="T87" i="1" s="1"/>
  <c r="AJ87" i="1" s="1"/>
  <c r="S90" i="1"/>
  <c r="S91" i="1"/>
  <c r="S92" i="1"/>
  <c r="S95" i="1"/>
  <c r="T95" i="1" s="1"/>
  <c r="AJ95" i="1" s="1"/>
  <c r="S96" i="1"/>
  <c r="S99" i="1"/>
  <c r="S100" i="1"/>
  <c r="S101" i="1"/>
  <c r="T101" i="1" s="1"/>
  <c r="AJ101" i="1" s="1"/>
  <c r="S102" i="1"/>
  <c r="S105" i="1"/>
  <c r="S107" i="1"/>
  <c r="T107" i="1" s="1"/>
  <c r="AJ107" i="1" s="1"/>
  <c r="S109" i="1"/>
  <c r="S111" i="1"/>
  <c r="T111" i="1" s="1"/>
  <c r="AJ111" i="1" s="1"/>
  <c r="S114" i="1"/>
  <c r="S115" i="1"/>
  <c r="T115" i="1" s="1"/>
  <c r="AJ115" i="1" s="1"/>
  <c r="S116" i="1"/>
  <c r="S117" i="1"/>
  <c r="T117" i="1" s="1"/>
  <c r="AJ117" i="1" s="1"/>
  <c r="T102" i="1" l="1"/>
  <c r="AJ102" i="1" s="1"/>
  <c r="T100" i="1"/>
  <c r="AJ100" i="1" s="1"/>
  <c r="T96" i="1"/>
  <c r="AJ96" i="1" s="1"/>
  <c r="T92" i="1"/>
  <c r="AJ92" i="1" s="1"/>
  <c r="T90" i="1"/>
  <c r="AJ90" i="1" s="1"/>
  <c r="T27" i="1"/>
  <c r="AJ27" i="1" s="1"/>
  <c r="T93" i="1"/>
  <c r="AJ93" i="1" s="1"/>
  <c r="T116" i="1"/>
  <c r="AJ116" i="1" s="1"/>
  <c r="T114" i="1"/>
  <c r="AJ114" i="1" s="1"/>
  <c r="T109" i="1"/>
  <c r="AJ109" i="1" s="1"/>
  <c r="T105" i="1"/>
  <c r="AJ105" i="1" s="1"/>
  <c r="T99" i="1"/>
  <c r="AJ99" i="1" s="1"/>
  <c r="T91" i="1"/>
  <c r="AJ91" i="1" s="1"/>
  <c r="T80" i="1"/>
  <c r="AJ80" i="1" s="1"/>
  <c r="T76" i="1"/>
  <c r="AJ76" i="1" s="1"/>
  <c r="T68" i="1"/>
  <c r="AJ68" i="1" s="1"/>
  <c r="T63" i="1"/>
  <c r="AJ63" i="1" s="1"/>
  <c r="T59" i="1"/>
  <c r="AJ59" i="1" s="1"/>
  <c r="T39" i="1"/>
  <c r="AJ39" i="1" s="1"/>
  <c r="T35" i="1"/>
  <c r="AJ35" i="1" s="1"/>
  <c r="T13" i="1"/>
  <c r="AJ13" i="1" s="1"/>
  <c r="T98" i="1"/>
  <c r="AJ98" i="1" s="1"/>
  <c r="Q48" i="1"/>
  <c r="W48" i="1" s="1"/>
  <c r="Q31" i="1"/>
  <c r="W31" i="1" s="1"/>
  <c r="Q117" i="1"/>
  <c r="L117" i="1"/>
  <c r="Q116" i="1"/>
  <c r="W116" i="1" s="1"/>
  <c r="L116" i="1"/>
  <c r="Q115" i="1"/>
  <c r="L115" i="1"/>
  <c r="Q114" i="1"/>
  <c r="W114" i="1" s="1"/>
  <c r="L114" i="1"/>
  <c r="F113" i="1"/>
  <c r="E113" i="1"/>
  <c r="Q113" i="1" s="1"/>
  <c r="Q112" i="1"/>
  <c r="L112" i="1"/>
  <c r="F112" i="1"/>
  <c r="F111" i="1"/>
  <c r="E111" i="1"/>
  <c r="L111" i="1" s="1"/>
  <c r="F110" i="1"/>
  <c r="E110" i="1"/>
  <c r="Q110" i="1" s="1"/>
  <c r="F109" i="1"/>
  <c r="E109" i="1"/>
  <c r="Q109" i="1" s="1"/>
  <c r="Q108" i="1"/>
  <c r="L108" i="1"/>
  <c r="Q107" i="1"/>
  <c r="W107" i="1" s="1"/>
  <c r="L107" i="1"/>
  <c r="Q106" i="1"/>
  <c r="X106" i="1" s="1"/>
  <c r="L106" i="1"/>
  <c r="Q105" i="1"/>
  <c r="W105" i="1" s="1"/>
  <c r="L105" i="1"/>
  <c r="Q104" i="1"/>
  <c r="L104" i="1"/>
  <c r="F104" i="1"/>
  <c r="Q103" i="1"/>
  <c r="L103" i="1"/>
  <c r="Q102" i="1"/>
  <c r="L102" i="1"/>
  <c r="Q101" i="1"/>
  <c r="L101" i="1"/>
  <c r="Q100" i="1"/>
  <c r="W100" i="1" s="1"/>
  <c r="L100" i="1"/>
  <c r="Q99" i="1"/>
  <c r="L99" i="1"/>
  <c r="Q98" i="1"/>
  <c r="L98" i="1"/>
  <c r="Q97" i="1"/>
  <c r="X97" i="1" s="1"/>
  <c r="L97" i="1"/>
  <c r="Q96" i="1"/>
  <c r="L96" i="1"/>
  <c r="Q95" i="1"/>
  <c r="W95" i="1" s="1"/>
  <c r="L95" i="1"/>
  <c r="Q94" i="1"/>
  <c r="R94" i="1" s="1"/>
  <c r="S94" i="1" s="1"/>
  <c r="T94" i="1" s="1"/>
  <c r="AJ94" i="1" s="1"/>
  <c r="L94" i="1"/>
  <c r="Q93" i="1"/>
  <c r="L93" i="1"/>
  <c r="Q92" i="1"/>
  <c r="L92" i="1"/>
  <c r="Q91" i="1"/>
  <c r="L91" i="1"/>
  <c r="Q90" i="1"/>
  <c r="L90" i="1"/>
  <c r="Q89" i="1"/>
  <c r="X89" i="1" s="1"/>
  <c r="L89" i="1"/>
  <c r="Q88" i="1"/>
  <c r="X88" i="1" s="1"/>
  <c r="L88" i="1"/>
  <c r="F87" i="1"/>
  <c r="E87" i="1"/>
  <c r="Q87" i="1" s="1"/>
  <c r="Q86" i="1"/>
  <c r="L86" i="1"/>
  <c r="Q85" i="1"/>
  <c r="L85" i="1"/>
  <c r="Q84" i="1"/>
  <c r="R84" i="1" s="1"/>
  <c r="S84" i="1" s="1"/>
  <c r="T84" i="1" s="1"/>
  <c r="AJ84" i="1" s="1"/>
  <c r="L84" i="1"/>
  <c r="Q83" i="1"/>
  <c r="X83" i="1" s="1"/>
  <c r="L83" i="1"/>
  <c r="Q82" i="1"/>
  <c r="X82" i="1" s="1"/>
  <c r="L82" i="1"/>
  <c r="Q81" i="1"/>
  <c r="X81" i="1" s="1"/>
  <c r="L81" i="1"/>
  <c r="Q80" i="1"/>
  <c r="X80" i="1" s="1"/>
  <c r="L80" i="1"/>
  <c r="Q79" i="1"/>
  <c r="L79" i="1"/>
  <c r="Q78" i="1"/>
  <c r="X78" i="1" s="1"/>
  <c r="L78" i="1"/>
  <c r="Q77" i="1"/>
  <c r="L77" i="1"/>
  <c r="Q76" i="1"/>
  <c r="L76" i="1"/>
  <c r="Q75" i="1"/>
  <c r="R75" i="1" s="1"/>
  <c r="S75" i="1" s="1"/>
  <c r="U75" i="1" s="1"/>
  <c r="L75" i="1"/>
  <c r="Q74" i="1"/>
  <c r="X74" i="1" s="1"/>
  <c r="L74" i="1"/>
  <c r="Q73" i="1"/>
  <c r="R73" i="1" s="1"/>
  <c r="S73" i="1" s="1"/>
  <c r="T73" i="1" s="1"/>
  <c r="AJ73" i="1" s="1"/>
  <c r="L73" i="1"/>
  <c r="Q72" i="1"/>
  <c r="X72" i="1" s="1"/>
  <c r="L72" i="1"/>
  <c r="Q71" i="1"/>
  <c r="L71" i="1"/>
  <c r="Q70" i="1"/>
  <c r="X70" i="1" s="1"/>
  <c r="L70" i="1"/>
  <c r="Q69" i="1"/>
  <c r="L69" i="1"/>
  <c r="F69" i="1"/>
  <c r="Q68" i="1"/>
  <c r="W68" i="1" s="1"/>
  <c r="L68" i="1"/>
  <c r="Q67" i="1"/>
  <c r="L67" i="1"/>
  <c r="F67" i="1"/>
  <c r="Q66" i="1"/>
  <c r="X66" i="1" s="1"/>
  <c r="L66" i="1"/>
  <c r="Q65" i="1"/>
  <c r="W65" i="1" s="1"/>
  <c r="L65" i="1"/>
  <c r="Q64" i="1"/>
  <c r="X64" i="1" s="1"/>
  <c r="L64" i="1"/>
  <c r="Q63" i="1"/>
  <c r="L63" i="1"/>
  <c r="Q62" i="1"/>
  <c r="X62" i="1" s="1"/>
  <c r="L62" i="1"/>
  <c r="Q61" i="1"/>
  <c r="W61" i="1" s="1"/>
  <c r="L61" i="1"/>
  <c r="Q60" i="1"/>
  <c r="X60" i="1" s="1"/>
  <c r="L60" i="1"/>
  <c r="Q59" i="1"/>
  <c r="W59" i="1" s="1"/>
  <c r="L59" i="1"/>
  <c r="Q58" i="1"/>
  <c r="X58" i="1" s="1"/>
  <c r="L58" i="1"/>
  <c r="Q57" i="1"/>
  <c r="W57" i="1" s="1"/>
  <c r="L57" i="1"/>
  <c r="Q56" i="1"/>
  <c r="R56" i="1" s="1"/>
  <c r="S56" i="1" s="1"/>
  <c r="L56" i="1"/>
  <c r="Q55" i="1"/>
  <c r="R55" i="1" s="1"/>
  <c r="S55" i="1" s="1"/>
  <c r="T55" i="1" s="1"/>
  <c r="AJ55" i="1" s="1"/>
  <c r="L55" i="1"/>
  <c r="Q54" i="1"/>
  <c r="X54" i="1" s="1"/>
  <c r="L54" i="1"/>
  <c r="Q53" i="1"/>
  <c r="W53" i="1" s="1"/>
  <c r="L53" i="1"/>
  <c r="Q52" i="1"/>
  <c r="R52" i="1" s="1"/>
  <c r="S52" i="1" s="1"/>
  <c r="L52" i="1"/>
  <c r="Q51" i="1"/>
  <c r="R51" i="1" s="1"/>
  <c r="S51" i="1" s="1"/>
  <c r="U51" i="1" s="1"/>
  <c r="L51" i="1"/>
  <c r="Q50" i="1"/>
  <c r="X50" i="1" s="1"/>
  <c r="L50" i="1"/>
  <c r="Q49" i="1"/>
  <c r="L49" i="1"/>
  <c r="X48" i="1"/>
  <c r="L48" i="1"/>
  <c r="Q47" i="1"/>
  <c r="L47" i="1"/>
  <c r="Q46" i="1"/>
  <c r="X46" i="1" s="1"/>
  <c r="L46" i="1"/>
  <c r="Q45" i="1"/>
  <c r="W45" i="1" s="1"/>
  <c r="L45" i="1"/>
  <c r="Q44" i="1"/>
  <c r="X44" i="1" s="1"/>
  <c r="L44" i="1"/>
  <c r="Q43" i="1"/>
  <c r="R43" i="1" s="1"/>
  <c r="S43" i="1" s="1"/>
  <c r="U43" i="1" s="1"/>
  <c r="L43" i="1"/>
  <c r="Q42" i="1"/>
  <c r="X42" i="1" s="1"/>
  <c r="L42" i="1"/>
  <c r="Q41" i="1"/>
  <c r="X41" i="1" s="1"/>
  <c r="L41" i="1"/>
  <c r="Q40" i="1"/>
  <c r="X40" i="1" s="1"/>
  <c r="L40" i="1"/>
  <c r="Q39" i="1"/>
  <c r="L39" i="1"/>
  <c r="Q38" i="1"/>
  <c r="X38" i="1" s="1"/>
  <c r="L38" i="1"/>
  <c r="Q37" i="1"/>
  <c r="L37" i="1"/>
  <c r="Q36" i="1"/>
  <c r="W36" i="1" s="1"/>
  <c r="L36" i="1"/>
  <c r="Q35" i="1"/>
  <c r="L35" i="1"/>
  <c r="Q34" i="1"/>
  <c r="X34" i="1" s="1"/>
  <c r="L34" i="1"/>
  <c r="Q33" i="1"/>
  <c r="X33" i="1" s="1"/>
  <c r="L33" i="1"/>
  <c r="Q32" i="1"/>
  <c r="W32" i="1" s="1"/>
  <c r="L32" i="1"/>
  <c r="L31" i="1"/>
  <c r="Q30" i="1"/>
  <c r="X30" i="1" s="1"/>
  <c r="L30" i="1"/>
  <c r="Q29" i="1"/>
  <c r="L29" i="1"/>
  <c r="Q28" i="1"/>
  <c r="L28" i="1"/>
  <c r="F28" i="1"/>
  <c r="Q27" i="1"/>
  <c r="W27" i="1" s="1"/>
  <c r="L27" i="1"/>
  <c r="Q26" i="1"/>
  <c r="X26" i="1" s="1"/>
  <c r="L26" i="1"/>
  <c r="Q25" i="1"/>
  <c r="L25" i="1"/>
  <c r="Q24" i="1"/>
  <c r="X24" i="1" s="1"/>
  <c r="L24" i="1"/>
  <c r="Q23" i="1"/>
  <c r="W23" i="1" s="1"/>
  <c r="L23" i="1"/>
  <c r="Q22" i="1"/>
  <c r="X22" i="1" s="1"/>
  <c r="L22" i="1"/>
  <c r="Q21" i="1"/>
  <c r="L21" i="1"/>
  <c r="Q20" i="1"/>
  <c r="R20" i="1" s="1"/>
  <c r="S20" i="1" s="1"/>
  <c r="L20" i="1"/>
  <c r="Q19" i="1"/>
  <c r="L19" i="1"/>
  <c r="Q18" i="1"/>
  <c r="W18" i="1" s="1"/>
  <c r="L18" i="1"/>
  <c r="Q17" i="1"/>
  <c r="X17" i="1" s="1"/>
  <c r="L17" i="1"/>
  <c r="Q16" i="1"/>
  <c r="X16" i="1" s="1"/>
  <c r="L16" i="1"/>
  <c r="Q15" i="1"/>
  <c r="R15" i="1" s="1"/>
  <c r="S15" i="1" s="1"/>
  <c r="U15" i="1" s="1"/>
  <c r="L15" i="1"/>
  <c r="Q14" i="1"/>
  <c r="L14" i="1"/>
  <c r="Q13" i="1"/>
  <c r="L13" i="1"/>
  <c r="Q12" i="1"/>
  <c r="R12" i="1" s="1"/>
  <c r="S12" i="1" s="1"/>
  <c r="L12" i="1"/>
  <c r="Q11" i="1"/>
  <c r="X11" i="1" s="1"/>
  <c r="L11" i="1"/>
  <c r="Q10" i="1"/>
  <c r="W10" i="1" s="1"/>
  <c r="L10" i="1"/>
  <c r="Q9" i="1"/>
  <c r="L9" i="1"/>
  <c r="Q8" i="1"/>
  <c r="X8" i="1" s="1"/>
  <c r="L8" i="1"/>
  <c r="Q7" i="1"/>
  <c r="L7" i="1"/>
  <c r="Q6" i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M5" i="1"/>
  <c r="K5" i="1"/>
  <c r="AK12" i="1" l="1"/>
  <c r="U12" i="1"/>
  <c r="AK20" i="1"/>
  <c r="U20" i="1"/>
  <c r="AK52" i="1"/>
  <c r="U52" i="1"/>
  <c r="AK56" i="1"/>
  <c r="U56" i="1"/>
  <c r="T48" i="1"/>
  <c r="AJ48" i="1" s="1"/>
  <c r="AK48" i="1"/>
  <c r="T12" i="1"/>
  <c r="AJ12" i="1" s="1"/>
  <c r="T20" i="1"/>
  <c r="AJ20" i="1" s="1"/>
  <c r="T52" i="1"/>
  <c r="AJ52" i="1" s="1"/>
  <c r="T56" i="1"/>
  <c r="AJ56" i="1" s="1"/>
  <c r="W109" i="1"/>
  <c r="W12" i="1"/>
  <c r="W34" i="1"/>
  <c r="W38" i="1"/>
  <c r="W46" i="1"/>
  <c r="W50" i="1"/>
  <c r="W52" i="1"/>
  <c r="W60" i="1"/>
  <c r="W62" i="1"/>
  <c r="W64" i="1"/>
  <c r="W66" i="1"/>
  <c r="W20" i="1"/>
  <c r="W54" i="1"/>
  <c r="W56" i="1"/>
  <c r="X29" i="1"/>
  <c r="W29" i="1"/>
  <c r="X7" i="1"/>
  <c r="W7" i="1"/>
  <c r="X13" i="1"/>
  <c r="W13" i="1"/>
  <c r="W15" i="1"/>
  <c r="X19" i="1"/>
  <c r="W19" i="1"/>
  <c r="X21" i="1"/>
  <c r="W21" i="1"/>
  <c r="X35" i="1"/>
  <c r="W35" i="1"/>
  <c r="X37" i="1"/>
  <c r="W37" i="1"/>
  <c r="X39" i="1"/>
  <c r="W39" i="1"/>
  <c r="W43" i="1"/>
  <c r="X47" i="1"/>
  <c r="W47" i="1"/>
  <c r="X49" i="1"/>
  <c r="W49" i="1"/>
  <c r="W51" i="1"/>
  <c r="W55" i="1"/>
  <c r="X63" i="1"/>
  <c r="W63" i="1"/>
  <c r="X71" i="1"/>
  <c r="W71" i="1"/>
  <c r="W73" i="1"/>
  <c r="W75" i="1"/>
  <c r="X76" i="1"/>
  <c r="W76" i="1"/>
  <c r="X77" i="1"/>
  <c r="W77" i="1"/>
  <c r="W84" i="1"/>
  <c r="X85" i="1"/>
  <c r="W85" i="1"/>
  <c r="W87" i="1"/>
  <c r="X90" i="1"/>
  <c r="W90" i="1"/>
  <c r="X91" i="1"/>
  <c r="W91" i="1"/>
  <c r="X92" i="1"/>
  <c r="W92" i="1"/>
  <c r="X93" i="1"/>
  <c r="W93" i="1"/>
  <c r="W94" i="1"/>
  <c r="X96" i="1"/>
  <c r="W96" i="1"/>
  <c r="X98" i="1"/>
  <c r="W98" i="1"/>
  <c r="X99" i="1"/>
  <c r="W99" i="1"/>
  <c r="X101" i="1"/>
  <c r="W101" i="1"/>
  <c r="X102" i="1"/>
  <c r="W102" i="1"/>
  <c r="X115" i="1"/>
  <c r="W115" i="1"/>
  <c r="X117" i="1"/>
  <c r="W117" i="1"/>
  <c r="W80" i="1"/>
  <c r="R14" i="1"/>
  <c r="S14" i="1" s="1"/>
  <c r="T14" i="1" s="1"/>
  <c r="AJ14" i="1" s="1"/>
  <c r="R88" i="1"/>
  <c r="S88" i="1" s="1"/>
  <c r="U88" i="1" s="1"/>
  <c r="R106" i="1"/>
  <c r="S106" i="1" s="1"/>
  <c r="T106" i="1" s="1"/>
  <c r="AJ106" i="1" s="1"/>
  <c r="R112" i="1"/>
  <c r="S112" i="1" s="1"/>
  <c r="R74" i="1"/>
  <c r="S74" i="1" s="1"/>
  <c r="U74" i="1" s="1"/>
  <c r="R103" i="1"/>
  <c r="S103" i="1" s="1"/>
  <c r="U103" i="1" s="1"/>
  <c r="X104" i="1"/>
  <c r="R89" i="1"/>
  <c r="S89" i="1" s="1"/>
  <c r="U89" i="1" s="1"/>
  <c r="R110" i="1"/>
  <c r="S110" i="1" s="1"/>
  <c r="X65" i="1"/>
  <c r="R69" i="1"/>
  <c r="X15" i="1"/>
  <c r="X113" i="1"/>
  <c r="R11" i="1"/>
  <c r="S11" i="1" s="1"/>
  <c r="U11" i="1" s="1"/>
  <c r="R41" i="1"/>
  <c r="S41" i="1" s="1"/>
  <c r="T41" i="1" s="1"/>
  <c r="AJ41" i="1" s="1"/>
  <c r="R33" i="1"/>
  <c r="S33" i="1" s="1"/>
  <c r="T33" i="1" s="1"/>
  <c r="AJ33" i="1" s="1"/>
  <c r="R40" i="1"/>
  <c r="S40" i="1" s="1"/>
  <c r="T40" i="1" s="1"/>
  <c r="AJ40" i="1" s="1"/>
  <c r="R104" i="1"/>
  <c r="S104" i="1" s="1"/>
  <c r="R28" i="1"/>
  <c r="S28" i="1" s="1"/>
  <c r="X105" i="1"/>
  <c r="R67" i="1"/>
  <c r="S67" i="1" s="1"/>
  <c r="R8" i="1"/>
  <c r="S8" i="1" s="1"/>
  <c r="T8" i="1" s="1"/>
  <c r="AJ8" i="1" s="1"/>
  <c r="X116" i="1"/>
  <c r="X43" i="1"/>
  <c r="X56" i="1"/>
  <c r="R42" i="1"/>
  <c r="S42" i="1" s="1"/>
  <c r="T42" i="1" s="1"/>
  <c r="AJ42" i="1" s="1"/>
  <c r="R97" i="1"/>
  <c r="S97" i="1" s="1"/>
  <c r="U97" i="1" s="1"/>
  <c r="R16" i="1"/>
  <c r="S16" i="1" s="1"/>
  <c r="T16" i="1" s="1"/>
  <c r="AJ16" i="1" s="1"/>
  <c r="R44" i="1"/>
  <c r="S44" i="1" s="1"/>
  <c r="U44" i="1" s="1"/>
  <c r="R17" i="1"/>
  <c r="S17" i="1" s="1"/>
  <c r="U17" i="1" s="1"/>
  <c r="R70" i="1"/>
  <c r="S70" i="1" s="1"/>
  <c r="T70" i="1" s="1"/>
  <c r="AJ70" i="1" s="1"/>
  <c r="R72" i="1"/>
  <c r="S72" i="1" s="1"/>
  <c r="U72" i="1" s="1"/>
  <c r="X52" i="1"/>
  <c r="X87" i="1"/>
  <c r="X18" i="1"/>
  <c r="X73" i="1"/>
  <c r="X109" i="1"/>
  <c r="R22" i="1"/>
  <c r="S22" i="1" s="1"/>
  <c r="T22" i="1" s="1"/>
  <c r="AJ22" i="1" s="1"/>
  <c r="R78" i="1"/>
  <c r="S78" i="1" s="1"/>
  <c r="U78" i="1" s="1"/>
  <c r="R24" i="1"/>
  <c r="S24" i="1" s="1"/>
  <c r="U24" i="1" s="1"/>
  <c r="R79" i="1"/>
  <c r="S79" i="1" s="1"/>
  <c r="U79" i="1" s="1"/>
  <c r="R25" i="1"/>
  <c r="S25" i="1" s="1"/>
  <c r="U25" i="1" s="1"/>
  <c r="R81" i="1"/>
  <c r="S81" i="1" s="1"/>
  <c r="U81" i="1" s="1"/>
  <c r="R108" i="1"/>
  <c r="S108" i="1" s="1"/>
  <c r="U108" i="1" s="1"/>
  <c r="R26" i="1"/>
  <c r="S26" i="1" s="1"/>
  <c r="T26" i="1" s="1"/>
  <c r="AJ26" i="1" s="1"/>
  <c r="R82" i="1"/>
  <c r="S82" i="1" s="1"/>
  <c r="U82" i="1" s="1"/>
  <c r="X68" i="1"/>
  <c r="R6" i="1"/>
  <c r="S6" i="1" s="1"/>
  <c r="U6" i="1" s="1"/>
  <c r="AK6" i="1" s="1"/>
  <c r="R83" i="1"/>
  <c r="S83" i="1" s="1"/>
  <c r="T83" i="1" s="1"/>
  <c r="AJ83" i="1" s="1"/>
  <c r="R30" i="1"/>
  <c r="S30" i="1" s="1"/>
  <c r="T30" i="1" s="1"/>
  <c r="AJ30" i="1" s="1"/>
  <c r="R58" i="1"/>
  <c r="S58" i="1" s="1"/>
  <c r="T58" i="1" s="1"/>
  <c r="AJ58" i="1" s="1"/>
  <c r="R9" i="1"/>
  <c r="S9" i="1" s="1"/>
  <c r="U9" i="1" s="1"/>
  <c r="R86" i="1"/>
  <c r="S86" i="1" s="1"/>
  <c r="T86" i="1" s="1"/>
  <c r="AJ86" i="1" s="1"/>
  <c r="R113" i="1"/>
  <c r="S113" i="1" s="1"/>
  <c r="F5" i="1"/>
  <c r="X75" i="1"/>
  <c r="X94" i="1"/>
  <c r="X14" i="1"/>
  <c r="X114" i="1"/>
  <c r="X10" i="1"/>
  <c r="X9" i="1"/>
  <c r="X67" i="1"/>
  <c r="X23" i="1"/>
  <c r="X25" i="1"/>
  <c r="X6" i="1"/>
  <c r="X31" i="1"/>
  <c r="X27" i="1"/>
  <c r="X112" i="1"/>
  <c r="X69" i="1"/>
  <c r="X36" i="1"/>
  <c r="X103" i="1"/>
  <c r="X107" i="1"/>
  <c r="X61" i="1"/>
  <c r="X86" i="1"/>
  <c r="X110" i="1"/>
  <c r="X45" i="1"/>
  <c r="X32" i="1"/>
  <c r="X20" i="1"/>
  <c r="X28" i="1"/>
  <c r="L87" i="1"/>
  <c r="X79" i="1"/>
  <c r="X100" i="1"/>
  <c r="X108" i="1"/>
  <c r="X57" i="1"/>
  <c r="X51" i="1"/>
  <c r="X55" i="1"/>
  <c r="X59" i="1"/>
  <c r="X84" i="1"/>
  <c r="L109" i="1"/>
  <c r="X53" i="1"/>
  <c r="X12" i="1"/>
  <c r="E5" i="1"/>
  <c r="Q111" i="1"/>
  <c r="Q5" i="1" s="1"/>
  <c r="X95" i="1"/>
  <c r="L110" i="1"/>
  <c r="L113" i="1"/>
  <c r="U67" i="1" l="1"/>
  <c r="AK67" i="1" s="1"/>
  <c r="U28" i="1"/>
  <c r="AK28" i="1" s="1"/>
  <c r="U113" i="1"/>
  <c r="AK113" i="1" s="1"/>
  <c r="U112" i="1"/>
  <c r="AK112" i="1" s="1"/>
  <c r="T75" i="1"/>
  <c r="AJ75" i="1" s="1"/>
  <c r="AK75" i="1"/>
  <c r="T43" i="1"/>
  <c r="AJ43" i="1" s="1"/>
  <c r="AK43" i="1"/>
  <c r="T51" i="1"/>
  <c r="AJ51" i="1" s="1"/>
  <c r="AK51" i="1"/>
  <c r="T15" i="1"/>
  <c r="AJ15" i="1" s="1"/>
  <c r="AK15" i="1"/>
  <c r="T104" i="1"/>
  <c r="AJ104" i="1" s="1"/>
  <c r="T67" i="1"/>
  <c r="AJ67" i="1" s="1"/>
  <c r="T110" i="1"/>
  <c r="AJ110" i="1" s="1"/>
  <c r="S69" i="1"/>
  <c r="U69" i="1" s="1"/>
  <c r="W110" i="1"/>
  <c r="W67" i="1"/>
  <c r="W9" i="1"/>
  <c r="W30" i="1"/>
  <c r="W6" i="1"/>
  <c r="W82" i="1"/>
  <c r="W108" i="1"/>
  <c r="W25" i="1"/>
  <c r="W24" i="1"/>
  <c r="W22" i="1"/>
  <c r="W72" i="1"/>
  <c r="W17" i="1"/>
  <c r="W16" i="1"/>
  <c r="W42" i="1"/>
  <c r="W8" i="1"/>
  <c r="W33" i="1"/>
  <c r="W11" i="1"/>
  <c r="W89" i="1"/>
  <c r="W103" i="1"/>
  <c r="W88" i="1"/>
  <c r="W112" i="1"/>
  <c r="W86" i="1"/>
  <c r="W58" i="1"/>
  <c r="W83" i="1"/>
  <c r="W26" i="1"/>
  <c r="W81" i="1"/>
  <c r="W79" i="1"/>
  <c r="W78" i="1"/>
  <c r="W70" i="1"/>
  <c r="W44" i="1"/>
  <c r="W97" i="1"/>
  <c r="W40" i="1"/>
  <c r="W41" i="1"/>
  <c r="W74" i="1"/>
  <c r="W106" i="1"/>
  <c r="W14" i="1"/>
  <c r="W113" i="1"/>
  <c r="W111" i="1"/>
  <c r="W104" i="1"/>
  <c r="W28" i="1"/>
  <c r="R5" i="1"/>
  <c r="L5" i="1"/>
  <c r="X111" i="1"/>
  <c r="T28" i="1" l="1"/>
  <c r="AJ28" i="1" s="1"/>
  <c r="T112" i="1"/>
  <c r="AJ112" i="1" s="1"/>
  <c r="T113" i="1"/>
  <c r="AJ113" i="1" s="1"/>
  <c r="T97" i="1"/>
  <c r="AJ97" i="1" s="1"/>
  <c r="AK97" i="1"/>
  <c r="T78" i="1"/>
  <c r="AJ78" i="1" s="1"/>
  <c r="AK78" i="1"/>
  <c r="T81" i="1"/>
  <c r="AJ81" i="1" s="1"/>
  <c r="AK81" i="1"/>
  <c r="T103" i="1"/>
  <c r="AJ103" i="1" s="1"/>
  <c r="AK103" i="1"/>
  <c r="T11" i="1"/>
  <c r="AJ11" i="1" s="1"/>
  <c r="AK11" i="1"/>
  <c r="T72" i="1"/>
  <c r="AJ72" i="1" s="1"/>
  <c r="AK72" i="1"/>
  <c r="T25" i="1"/>
  <c r="AJ25" i="1" s="1"/>
  <c r="AK25" i="1"/>
  <c r="T82" i="1"/>
  <c r="AJ82" i="1" s="1"/>
  <c r="AK82" i="1"/>
  <c r="T74" i="1"/>
  <c r="AJ74" i="1" s="1"/>
  <c r="AK74" i="1"/>
  <c r="T44" i="1"/>
  <c r="AJ44" i="1" s="1"/>
  <c r="AK44" i="1"/>
  <c r="T79" i="1"/>
  <c r="AJ79" i="1" s="1"/>
  <c r="AK79" i="1"/>
  <c r="T88" i="1"/>
  <c r="AJ88" i="1" s="1"/>
  <c r="AK88" i="1"/>
  <c r="T89" i="1"/>
  <c r="AJ89" i="1" s="1"/>
  <c r="AK89" i="1"/>
  <c r="T17" i="1"/>
  <c r="AJ17" i="1" s="1"/>
  <c r="AK17" i="1"/>
  <c r="T24" i="1"/>
  <c r="AJ24" i="1" s="1"/>
  <c r="AK24" i="1"/>
  <c r="T108" i="1"/>
  <c r="AJ108" i="1" s="1"/>
  <c r="AK108" i="1"/>
  <c r="T9" i="1"/>
  <c r="AJ9" i="1" s="1"/>
  <c r="AK9" i="1"/>
  <c r="T6" i="1"/>
  <c r="AJ6" i="1" s="1"/>
  <c r="S5" i="1"/>
  <c r="W69" i="1"/>
  <c r="T69" i="1"/>
  <c r="AJ69" i="1" s="1"/>
  <c r="AJ5" i="1" l="1"/>
  <c r="U5" i="1"/>
  <c r="AK69" i="1"/>
  <c r="AK5" i="1" s="1"/>
  <c r="T5" i="1"/>
</calcChain>
</file>

<file path=xl/sharedStrings.xml><?xml version="1.0" encoding="utf-8"?>
<sst xmlns="http://schemas.openxmlformats.org/spreadsheetml/2006/main" count="464" uniqueCount="200">
  <si>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</si>
  <si>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</si>
  <si>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</si>
  <si>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</si>
  <si>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</si>
  <si>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</si>
  <si>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</si>
  <si>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</si>
  <si>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</si>
  <si>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</si>
  <si>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</si>
  <si>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</si>
  <si>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</si>
  <si>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</si>
  <si>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</si>
  <si>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</si>
  <si>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</si>
  <si>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</si>
  <si>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</si>
  <si>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</si>
  <si>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</si>
  <si>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</si>
  <si>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</si>
  <si>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</si>
  <si>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</si>
  <si>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</si>
  <si>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</si>
  <si>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</si>
  <si>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</si>
  <si>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</si>
  <si>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</si>
  <si>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</si>
  <si>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</si>
  <si>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</si>
  <si>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</si>
  <si>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</si>
  <si>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</si>
  <si>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</si>
  <si>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</si>
  <si>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</si>
  <si>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</si>
  <si>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</si>
  <si>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</si>
  <si>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</si>
  <si>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</si>
  <si>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</si>
  <si>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</si>
  <si>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</si>
  <si>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</si>
  <si>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</si>
  <si>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</si>
  <si>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22,07,26 уменьшить на 317шт (Босых)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</si>
  <si>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</si>
  <si>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</si>
  <si>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</si>
  <si>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</si>
  <si>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</si>
  <si>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</si>
  <si>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</si>
  <si>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</si>
  <si>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</si>
  <si>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</si>
  <si>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</si>
  <si>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</si>
  <si>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</si>
  <si>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</si>
  <si>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</si>
  <si>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</si>
  <si>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</si>
  <si>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</si>
  <si>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</si>
  <si>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</si>
  <si>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</si>
  <si>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</si>
  <si>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</si>
  <si>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</si>
  <si>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</si>
  <si>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</si>
  <si>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</si>
  <si>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</si>
  <si>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</si>
  <si>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</si>
  <si>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</si>
  <si>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</si>
  <si>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</si>
  <si>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</si>
  <si>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</si>
  <si>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</si>
  <si>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</si>
  <si>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</si>
  <si>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</si>
  <si>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</si>
  <si>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</si>
  <si>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</si>
  <si>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</si>
  <si>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</si>
  <si>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</si>
  <si>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</si>
  <si>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</si>
  <si>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</si>
  <si>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</si>
  <si>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</si>
  <si>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</si>
  <si>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</si>
  <si>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</si>
  <si>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</si>
  <si>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</si>
  <si>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</si>
  <si>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</si>
  <si>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</si>
  <si>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</si>
  <si>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</si>
  <si>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</si>
  <si>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</si>
  <si>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</si>
  <si>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</si>
  <si>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</si>
  <si>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</si>
  <si>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</si>
  <si>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</si>
  <si>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</si>
  <si>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</si>
  <si>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</si>
  <si>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</si>
  <si>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</si>
  <si>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</si>
  <si>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</si>
  <si>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</si>
  <si>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</si>
  <si>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</si>
  <si>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</si>
  <si>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</si>
  <si>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</si>
  <si>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</si>
  <si>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</si>
  <si>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</si>
  <si>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</si>
  <si>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</si>
  <si>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</si>
  <si>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</si>
  <si>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</si>
  <si>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</si>
  <si>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</si>
  <si>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</si>
  <si>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</si>
  <si>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</si>
  <si>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</si>
  <si>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</si>
  <si>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</si>
  <si>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</si>
  <si>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</si>
  <si>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</si>
  <si>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</si>
  <si>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</si>
  <si>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</si>
  <si>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</si>
  <si>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</si>
  <si>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</si>
  <si>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</si>
  <si>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вместо 6324</t>
  </si>
  <si>
    <t>7562 КРАКОВСКАЯ ГОСТ Останкино п/к н/о мгс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</si>
  <si>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</si>
  <si>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</si>
  <si>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</si>
  <si>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</si>
  <si>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</si>
  <si>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</si>
  <si>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</si>
  <si>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</si>
  <si>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</si>
  <si>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</si>
  <si>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</si>
  <si>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</si>
  <si>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</si>
  <si>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</si>
  <si>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</si>
  <si>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</si>
  <si>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</si>
  <si>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</si>
  <si>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6454</t>
    </r>
  </si>
  <si>
    <t>07,07,26 +400шт в заказ (просьба Босых под сети)</t>
  </si>
  <si>
    <t>ТК</t>
  </si>
  <si>
    <t>Титенок</t>
  </si>
  <si>
    <t>плюс 700 ЮгоТех</t>
  </si>
  <si>
    <t>05,08,26 700шт ЮгТех / 29,07,26 500шт ЮгТех / 22,07,26 1200шт ЮгТех</t>
  </si>
  <si>
    <t>плюс 800 ЮгоТех</t>
  </si>
  <si>
    <t>05,08,26 800шт ЮгТех</t>
  </si>
  <si>
    <t>плюс 900 ЮгоТех</t>
  </si>
  <si>
    <t>05,08,26 900шт ЮгТех</t>
  </si>
  <si>
    <t>плюс 30</t>
  </si>
  <si>
    <t>плюс 100</t>
  </si>
  <si>
    <t>плюс 60</t>
  </si>
  <si>
    <t>плюс 80</t>
  </si>
  <si>
    <t>плюс 160</t>
  </si>
  <si>
    <t>плюс 50</t>
  </si>
  <si>
    <t>итого</t>
  </si>
  <si>
    <t>09,08,</t>
  </si>
  <si>
    <t>10,08,</t>
  </si>
  <si>
    <t>заказ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</si>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</sst>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4" fillId="5" borderId="1" xfId="1" applyNumberFormat="1" applyFont="1" applyFill="1"/>
    <xf numFmtId="164" fontId="4" fillId="0" borderId="1" xfId="1" applyNumberFormat="1" applyFont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16" style="20" customWidth="1"/>
    <col min="23" max="24" width="5" customWidth="1"/>
    <col min="25" max="34" width="6" customWidth="1"/>
    <col min="35" max="35" width="31.7109375" customWidth="1"/>
    <col min="36" max="37" width="7" customWidth="1"/>
    <col min="3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1">
        <v>0.6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199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195</v>
      </c>
      <c r="T3" s="3" t="s">
        <v>198</v>
      </c>
      <c r="U3" s="3" t="s">
        <v>198</v>
      </c>
      <c r="V3" s="3" t="s">
        <v>181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 t="s">
        <v>196</v>
      </c>
      <c r="U4" s="1" t="s">
        <v>197</v>
      </c>
      <c r="V4" s="1" t="s">
        <v>182</v>
      </c>
      <c r="W4" s="1"/>
      <c r="X4" s="1"/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 t="s">
        <v>196</v>
      </c>
      <c r="AK4" s="1" t="s">
        <v>197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19056.570000000003</v>
      </c>
      <c r="F5" s="4">
        <f>SUM(F6:F494)</f>
        <v>11718.492</v>
      </c>
      <c r="G5" s="7"/>
      <c r="H5" s="1"/>
      <c r="I5" s="1"/>
      <c r="J5" s="1"/>
      <c r="K5" s="4">
        <f t="shared" ref="K5:U5" si="0">SUM(K6:K494)</f>
        <v>25840.823999999993</v>
      </c>
      <c r="L5" s="4">
        <f t="shared" si="0"/>
        <v>-6784.2540000000008</v>
      </c>
      <c r="M5" s="4">
        <f t="shared" si="0"/>
        <v>0</v>
      </c>
      <c r="N5" s="4">
        <f t="shared" si="0"/>
        <v>0</v>
      </c>
      <c r="O5" s="4">
        <f t="shared" si="0"/>
        <v>12207</v>
      </c>
      <c r="P5" s="4">
        <f t="shared" si="0"/>
        <v>10732</v>
      </c>
      <c r="Q5" s="4">
        <f t="shared" si="0"/>
        <v>3811.3140000000017</v>
      </c>
      <c r="R5" s="4">
        <f t="shared" si="0"/>
        <v>20725.690200000001</v>
      </c>
      <c r="S5" s="4">
        <f t="shared" si="0"/>
        <v>23566</v>
      </c>
      <c r="T5" s="4">
        <f t="shared" si="0"/>
        <v>13273</v>
      </c>
      <c r="U5" s="4">
        <f t="shared" si="0"/>
        <v>10293</v>
      </c>
      <c r="V5" s="4"/>
      <c r="W5" s="1"/>
      <c r="X5" s="1"/>
      <c r="Y5" s="4">
        <f t="shared" ref="Y5:AH5" si="1">SUM(Y6:Y494)</f>
        <v>3520.6322</v>
      </c>
      <c r="Z5" s="4">
        <f t="shared" si="1"/>
        <v>3026.5261999999993</v>
      </c>
      <c r="AA5" s="4">
        <f t="shared" si="1"/>
        <v>3547.9377999999992</v>
      </c>
      <c r="AB5" s="4">
        <f t="shared" si="1"/>
        <v>3677.5456000000004</v>
      </c>
      <c r="AC5" s="4">
        <f t="shared" si="1"/>
        <v>3882.8182000000011</v>
      </c>
      <c r="AD5" s="4">
        <f t="shared" si="1"/>
        <v>5273.8137999999999</v>
      </c>
      <c r="AE5" s="4">
        <f t="shared" si="1"/>
        <v>3446.3420000000001</v>
      </c>
      <c r="AF5" s="4">
        <f t="shared" si="1"/>
        <v>3664.1063999999997</v>
      </c>
      <c r="AG5" s="4">
        <f t="shared" si="1"/>
        <v>3580.8385999999991</v>
      </c>
      <c r="AH5" s="4">
        <f t="shared" si="1"/>
        <v>3497.3595999999998</v>
      </c>
      <c r="AI5" s="1"/>
      <c r="AJ5" s="4">
        <f>SUM(AJ6:AJ494)</f>
        <v>6370.2300000000005</v>
      </c>
      <c r="AK5" s="4">
        <f>SUM(AK6:AK494)</f>
        <v>5437.71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339</v>
      </c>
      <c r="D6" s="1">
        <v>180</v>
      </c>
      <c r="E6" s="1">
        <v>308</v>
      </c>
      <c r="F6" s="1">
        <v>128</v>
      </c>
      <c r="G6" s="7">
        <v>0.4</v>
      </c>
      <c r="H6" s="1">
        <v>60</v>
      </c>
      <c r="I6" s="1" t="s">
        <v>36</v>
      </c>
      <c r="J6" s="1"/>
      <c r="K6" s="1">
        <v>354</v>
      </c>
      <c r="L6" s="1">
        <f t="shared" ref="L6:L37" si="2">E6-K6</f>
        <v>-46</v>
      </c>
      <c r="M6" s="1"/>
      <c r="N6" s="1"/>
      <c r="O6" s="1">
        <v>207</v>
      </c>
      <c r="P6" s="1">
        <v>252</v>
      </c>
      <c r="Q6" s="1">
        <f t="shared" ref="Q6:Q37" si="3">E6/5</f>
        <v>61.6</v>
      </c>
      <c r="R6" s="5">
        <f>15*Q6-P6-O6-F6</f>
        <v>337</v>
      </c>
      <c r="S6" s="5">
        <f>ROUND(R6,0)</f>
        <v>337</v>
      </c>
      <c r="T6" s="5">
        <f>ROUND(S6-U6,0)</f>
        <v>135</v>
      </c>
      <c r="U6" s="5">
        <f>ROUND(S6*$U$1,0)</f>
        <v>202</v>
      </c>
      <c r="V6" s="18"/>
      <c r="W6" s="1">
        <f>(F6+O6+P6+S6)/Q6</f>
        <v>15</v>
      </c>
      <c r="X6" s="1">
        <f t="shared" ref="X6:X37" si="4">(F6+O6+P6)/Q6</f>
        <v>9.529220779220779</v>
      </c>
      <c r="Y6" s="1">
        <v>64.599999999999994</v>
      </c>
      <c r="Z6" s="1">
        <v>54.6</v>
      </c>
      <c r="AA6" s="1">
        <v>62.6</v>
      </c>
      <c r="AB6" s="1">
        <v>77.400000000000006</v>
      </c>
      <c r="AC6" s="1">
        <v>50</v>
      </c>
      <c r="AD6" s="1">
        <v>76.400000000000006</v>
      </c>
      <c r="AE6" s="1">
        <v>59.8</v>
      </c>
      <c r="AF6" s="1">
        <v>79.8</v>
      </c>
      <c r="AG6" s="1">
        <v>60.4</v>
      </c>
      <c r="AH6" s="1">
        <v>56.2</v>
      </c>
      <c r="AI6" s="1"/>
      <c r="AJ6" s="1">
        <f>G6*T6</f>
        <v>54</v>
      </c>
      <c r="AK6" s="1">
        <f>G6*U6</f>
        <v>80.800000000000011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1.5109999999999999</v>
      </c>
      <c r="D7" s="1">
        <v>23.86</v>
      </c>
      <c r="E7" s="1">
        <v>5.4809999999999999</v>
      </c>
      <c r="F7" s="1">
        <v>15.909000000000001</v>
      </c>
      <c r="G7" s="7">
        <v>1</v>
      </c>
      <c r="H7" s="1">
        <v>120</v>
      </c>
      <c r="I7" s="1" t="s">
        <v>36</v>
      </c>
      <c r="J7" s="1"/>
      <c r="K7" s="1">
        <v>10.1</v>
      </c>
      <c r="L7" s="1">
        <f t="shared" si="2"/>
        <v>-4.6189999999999998</v>
      </c>
      <c r="M7" s="1"/>
      <c r="N7" s="1"/>
      <c r="O7" s="1">
        <v>41</v>
      </c>
      <c r="P7" s="1"/>
      <c r="Q7" s="1">
        <f t="shared" si="3"/>
        <v>1.0962000000000001</v>
      </c>
      <c r="R7" s="5"/>
      <c r="S7" s="5">
        <f t="shared" ref="S7:S70" si="5">ROUND(R7,0)</f>
        <v>0</v>
      </c>
      <c r="T7" s="5">
        <f t="shared" ref="T7:T70" si="6">ROUND(S7-U7,0)</f>
        <v>0</v>
      </c>
      <c r="U7" s="5"/>
      <c r="V7" s="18"/>
      <c r="W7" s="1">
        <f t="shared" ref="W7:W70" si="7">(F7+O7+P7+S7)/Q7</f>
        <v>51.914796569968978</v>
      </c>
      <c r="X7" s="1">
        <f t="shared" si="4"/>
        <v>51.914796569968978</v>
      </c>
      <c r="Y7" s="1">
        <v>3.3123999999999998</v>
      </c>
      <c r="Z7" s="1">
        <v>2.1114000000000002</v>
      </c>
      <c r="AA7" s="1">
        <v>1.4079999999999999</v>
      </c>
      <c r="AB7" s="1">
        <v>0.70300000000000007</v>
      </c>
      <c r="AC7" s="1">
        <v>1.204</v>
      </c>
      <c r="AD7" s="1">
        <v>1.9656</v>
      </c>
      <c r="AE7" s="1">
        <v>1.6342000000000001</v>
      </c>
      <c r="AF7" s="1">
        <v>1.167</v>
      </c>
      <c r="AG7" s="1">
        <v>0.98599999999999999</v>
      </c>
      <c r="AH7" s="1">
        <v>1.5744</v>
      </c>
      <c r="AI7" s="1" t="s">
        <v>39</v>
      </c>
      <c r="AJ7" s="1">
        <f t="shared" ref="AJ7:AJ70" si="8">G7*T7</f>
        <v>0</v>
      </c>
      <c r="AK7" s="1">
        <f t="shared" ref="AK7:AK70" si="9">G7*U7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35</v>
      </c>
      <c r="C8" s="1">
        <v>156</v>
      </c>
      <c r="D8" s="1">
        <v>317</v>
      </c>
      <c r="E8" s="1">
        <v>232</v>
      </c>
      <c r="F8" s="1">
        <v>200</v>
      </c>
      <c r="G8" s="7">
        <v>0.25</v>
      </c>
      <c r="H8" s="1">
        <v>120</v>
      </c>
      <c r="I8" s="1" t="s">
        <v>36</v>
      </c>
      <c r="J8" s="1"/>
      <c r="K8" s="1">
        <v>265</v>
      </c>
      <c r="L8" s="1">
        <f t="shared" si="2"/>
        <v>-33</v>
      </c>
      <c r="M8" s="1"/>
      <c r="N8" s="1"/>
      <c r="O8" s="1">
        <v>321</v>
      </c>
      <c r="P8" s="1">
        <v>392</v>
      </c>
      <c r="Q8" s="1">
        <f t="shared" si="3"/>
        <v>46.4</v>
      </c>
      <c r="R8" s="5">
        <f>20*Q8-P8-O8-F8</f>
        <v>15</v>
      </c>
      <c r="S8" s="5">
        <f t="shared" si="5"/>
        <v>15</v>
      </c>
      <c r="T8" s="5">
        <f t="shared" si="6"/>
        <v>15</v>
      </c>
      <c r="U8" s="5"/>
      <c r="V8" s="18"/>
      <c r="W8" s="1">
        <f t="shared" si="7"/>
        <v>20</v>
      </c>
      <c r="X8" s="1">
        <f t="shared" si="4"/>
        <v>19.676724137931036</v>
      </c>
      <c r="Y8" s="1">
        <v>58.6</v>
      </c>
      <c r="Z8" s="1">
        <v>37</v>
      </c>
      <c r="AA8" s="1">
        <v>32</v>
      </c>
      <c r="AB8" s="1">
        <v>56.8</v>
      </c>
      <c r="AC8" s="1">
        <v>27</v>
      </c>
      <c r="AD8" s="1">
        <v>45.8</v>
      </c>
      <c r="AE8" s="1">
        <v>42.2</v>
      </c>
      <c r="AF8" s="1">
        <v>25.8</v>
      </c>
      <c r="AG8" s="1">
        <v>49.4</v>
      </c>
      <c r="AH8" s="1">
        <v>55.2</v>
      </c>
      <c r="AI8" s="1" t="s">
        <v>39</v>
      </c>
      <c r="AJ8" s="1">
        <f t="shared" si="8"/>
        <v>3.75</v>
      </c>
      <c r="AK8" s="1">
        <f t="shared" si="9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38</v>
      </c>
      <c r="C9" s="1">
        <v>640.86</v>
      </c>
      <c r="D9" s="1">
        <v>1808.12</v>
      </c>
      <c r="E9" s="1">
        <v>949.08699999999999</v>
      </c>
      <c r="F9" s="1">
        <v>1231.4649999999999</v>
      </c>
      <c r="G9" s="7">
        <v>1</v>
      </c>
      <c r="H9" s="1">
        <v>60</v>
      </c>
      <c r="I9" s="1" t="s">
        <v>36</v>
      </c>
      <c r="J9" s="1"/>
      <c r="K9" s="1">
        <v>1025.0999999999999</v>
      </c>
      <c r="L9" s="1">
        <f t="shared" si="2"/>
        <v>-76.01299999999992</v>
      </c>
      <c r="M9" s="1"/>
      <c r="N9" s="1"/>
      <c r="O9" s="1">
        <v>450</v>
      </c>
      <c r="P9" s="1">
        <v>550</v>
      </c>
      <c r="Q9" s="1">
        <f t="shared" si="3"/>
        <v>189.81739999999999</v>
      </c>
      <c r="R9" s="5">
        <f t="shared" ref="R9:R22" si="10">15*Q9-P9-O9-F9</f>
        <v>615.79600000000005</v>
      </c>
      <c r="S9" s="5">
        <f t="shared" si="5"/>
        <v>616</v>
      </c>
      <c r="T9" s="5">
        <f t="shared" si="6"/>
        <v>246</v>
      </c>
      <c r="U9" s="5">
        <f>ROUND(S9*$U$1,0)</f>
        <v>370</v>
      </c>
      <c r="V9" s="18"/>
      <c r="W9" s="1">
        <f t="shared" si="7"/>
        <v>15.001074717070196</v>
      </c>
      <c r="X9" s="1">
        <f t="shared" si="4"/>
        <v>11.755850622756398</v>
      </c>
      <c r="Y9" s="1">
        <v>205.5994</v>
      </c>
      <c r="Z9" s="1">
        <v>216.34460000000001</v>
      </c>
      <c r="AA9" s="1">
        <v>179.56120000000001</v>
      </c>
      <c r="AB9" s="1">
        <v>188.56039999999999</v>
      </c>
      <c r="AC9" s="1">
        <v>210.9682</v>
      </c>
      <c r="AD9" s="1">
        <v>273.19080000000002</v>
      </c>
      <c r="AE9" s="1">
        <v>182.46039999999999</v>
      </c>
      <c r="AF9" s="1">
        <v>221.37100000000001</v>
      </c>
      <c r="AG9" s="1">
        <v>197.34700000000001</v>
      </c>
      <c r="AH9" s="1">
        <v>222.8562</v>
      </c>
      <c r="AI9" s="1"/>
      <c r="AJ9" s="1">
        <f t="shared" si="8"/>
        <v>246</v>
      </c>
      <c r="AK9" s="1">
        <f t="shared" si="9"/>
        <v>370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38</v>
      </c>
      <c r="C10" s="1">
        <v>-10.641999999999999</v>
      </c>
      <c r="D10" s="1">
        <v>111.31</v>
      </c>
      <c r="E10" s="1">
        <v>6.4260000000000002</v>
      </c>
      <c r="F10" s="1">
        <v>91.757000000000005</v>
      </c>
      <c r="G10" s="7">
        <v>1</v>
      </c>
      <c r="H10" s="1">
        <v>120</v>
      </c>
      <c r="I10" s="1" t="s">
        <v>36</v>
      </c>
      <c r="J10" s="1"/>
      <c r="K10" s="1">
        <v>8.3000000000000007</v>
      </c>
      <c r="L10" s="1">
        <f t="shared" si="2"/>
        <v>-1.8740000000000006</v>
      </c>
      <c r="M10" s="1"/>
      <c r="N10" s="1"/>
      <c r="O10" s="1">
        <v>60</v>
      </c>
      <c r="P10" s="1"/>
      <c r="Q10" s="1">
        <f t="shared" si="3"/>
        <v>1.2852000000000001</v>
      </c>
      <c r="R10" s="5"/>
      <c r="S10" s="5">
        <f t="shared" si="5"/>
        <v>0</v>
      </c>
      <c r="T10" s="5">
        <f t="shared" si="6"/>
        <v>0</v>
      </c>
      <c r="U10" s="5"/>
      <c r="V10" s="18"/>
      <c r="W10" s="1">
        <f t="shared" si="7"/>
        <v>118.08045440398381</v>
      </c>
      <c r="X10" s="1">
        <f t="shared" si="4"/>
        <v>118.08045440398381</v>
      </c>
      <c r="Y10" s="1">
        <v>7.2028000000000008</v>
      </c>
      <c r="Z10" s="1">
        <v>7.5352000000000006</v>
      </c>
      <c r="AA10" s="1">
        <v>4.4573999999999998</v>
      </c>
      <c r="AB10" s="1">
        <v>2.1379999999999999</v>
      </c>
      <c r="AC10" s="1">
        <v>1.2092000000000001</v>
      </c>
      <c r="AD10" s="1">
        <v>6.8614000000000006</v>
      </c>
      <c r="AE10" s="1">
        <v>1.8819999999999999</v>
      </c>
      <c r="AF10" s="1">
        <v>0.79900000000000004</v>
      </c>
      <c r="AG10" s="1">
        <v>6.34</v>
      </c>
      <c r="AH10" s="1">
        <v>3.8715999999999999</v>
      </c>
      <c r="AI10" s="1" t="s">
        <v>39</v>
      </c>
      <c r="AJ10" s="1">
        <f t="shared" si="8"/>
        <v>0</v>
      </c>
      <c r="AK10" s="1">
        <f t="shared" si="9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38</v>
      </c>
      <c r="C11" s="1">
        <v>178.25200000000001</v>
      </c>
      <c r="D11" s="1">
        <v>26.891999999999999</v>
      </c>
      <c r="E11" s="1">
        <v>125.976</v>
      </c>
      <c r="F11" s="1">
        <v>19.672999999999998</v>
      </c>
      <c r="G11" s="7">
        <v>1</v>
      </c>
      <c r="H11" s="1">
        <v>60</v>
      </c>
      <c r="I11" s="1" t="s">
        <v>36</v>
      </c>
      <c r="J11" s="1"/>
      <c r="K11" s="1">
        <v>153.69999999999999</v>
      </c>
      <c r="L11" s="1">
        <f t="shared" si="2"/>
        <v>-27.72399999999999</v>
      </c>
      <c r="M11" s="1"/>
      <c r="N11" s="1"/>
      <c r="O11" s="1">
        <v>101</v>
      </c>
      <c r="P11" s="1"/>
      <c r="Q11" s="1">
        <f t="shared" si="3"/>
        <v>25.1952</v>
      </c>
      <c r="R11" s="5">
        <f t="shared" si="10"/>
        <v>257.255</v>
      </c>
      <c r="S11" s="5">
        <f t="shared" si="5"/>
        <v>257</v>
      </c>
      <c r="T11" s="5">
        <f t="shared" si="6"/>
        <v>103</v>
      </c>
      <c r="U11" s="5">
        <f t="shared" ref="U11:U12" si="11">ROUND(S11*$U$1,0)</f>
        <v>154</v>
      </c>
      <c r="V11" s="18"/>
      <c r="W11" s="1">
        <f t="shared" si="7"/>
        <v>14.98987902457611</v>
      </c>
      <c r="X11" s="1">
        <f t="shared" si="4"/>
        <v>4.7895234012827839</v>
      </c>
      <c r="Y11" s="1">
        <v>19.961600000000001</v>
      </c>
      <c r="Z11" s="1">
        <v>12.8834</v>
      </c>
      <c r="AA11" s="1">
        <v>22.982600000000001</v>
      </c>
      <c r="AB11" s="1">
        <v>20.1874</v>
      </c>
      <c r="AC11" s="1">
        <v>35.412799999999997</v>
      </c>
      <c r="AD11" s="1">
        <v>36.8416</v>
      </c>
      <c r="AE11" s="1">
        <v>21.529199999999999</v>
      </c>
      <c r="AF11" s="1">
        <v>24.9114</v>
      </c>
      <c r="AG11" s="1">
        <v>29.545400000000001</v>
      </c>
      <c r="AH11" s="1">
        <v>27.542200000000001</v>
      </c>
      <c r="AI11" s="1"/>
      <c r="AJ11" s="1">
        <f t="shared" si="8"/>
        <v>103</v>
      </c>
      <c r="AK11" s="1">
        <f t="shared" si="9"/>
        <v>154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38</v>
      </c>
      <c r="C12" s="1">
        <v>361.63</v>
      </c>
      <c r="D12" s="1">
        <v>431.459</v>
      </c>
      <c r="E12" s="1">
        <v>468.17</v>
      </c>
      <c r="F12" s="1">
        <v>192.20500000000001</v>
      </c>
      <c r="G12" s="7">
        <v>1</v>
      </c>
      <c r="H12" s="1">
        <v>60</v>
      </c>
      <c r="I12" s="1" t="s">
        <v>36</v>
      </c>
      <c r="J12" s="1"/>
      <c r="K12" s="1">
        <v>502.2</v>
      </c>
      <c r="L12" s="1">
        <f t="shared" si="2"/>
        <v>-34.029999999999973</v>
      </c>
      <c r="M12" s="1"/>
      <c r="N12" s="1"/>
      <c r="O12" s="1">
        <v>363</v>
      </c>
      <c r="P12" s="1">
        <v>443</v>
      </c>
      <c r="Q12" s="1">
        <f t="shared" si="3"/>
        <v>93.634</v>
      </c>
      <c r="R12" s="5">
        <f t="shared" si="10"/>
        <v>406.30499999999995</v>
      </c>
      <c r="S12" s="5">
        <f t="shared" si="5"/>
        <v>406</v>
      </c>
      <c r="T12" s="5">
        <f t="shared" si="6"/>
        <v>162</v>
      </c>
      <c r="U12" s="5">
        <f t="shared" si="11"/>
        <v>244</v>
      </c>
      <c r="V12" s="18"/>
      <c r="W12" s="1">
        <f t="shared" si="7"/>
        <v>14.996742636221885</v>
      </c>
      <c r="X12" s="1">
        <f t="shared" si="4"/>
        <v>10.660710852895317</v>
      </c>
      <c r="Y12" s="1">
        <v>104.53</v>
      </c>
      <c r="Z12" s="1">
        <v>78.040800000000004</v>
      </c>
      <c r="AA12" s="1">
        <v>85.428200000000004</v>
      </c>
      <c r="AB12" s="1">
        <v>98.685399999999987</v>
      </c>
      <c r="AC12" s="1">
        <v>97.275999999999996</v>
      </c>
      <c r="AD12" s="1">
        <v>103.453</v>
      </c>
      <c r="AE12" s="1">
        <v>79.201400000000007</v>
      </c>
      <c r="AF12" s="1">
        <v>95.4328</v>
      </c>
      <c r="AG12" s="1">
        <v>114.4444</v>
      </c>
      <c r="AH12" s="1">
        <v>86.782200000000003</v>
      </c>
      <c r="AI12" s="1"/>
      <c r="AJ12" s="1">
        <f t="shared" si="8"/>
        <v>162</v>
      </c>
      <c r="AK12" s="1">
        <f t="shared" si="9"/>
        <v>244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2</v>
      </c>
      <c r="D13" s="1">
        <v>162</v>
      </c>
      <c r="E13" s="1">
        <v>75</v>
      </c>
      <c r="F13" s="1">
        <v>63</v>
      </c>
      <c r="G13" s="7">
        <v>0.25</v>
      </c>
      <c r="H13" s="1">
        <v>120</v>
      </c>
      <c r="I13" s="1" t="s">
        <v>36</v>
      </c>
      <c r="J13" s="1"/>
      <c r="K13" s="1">
        <v>107</v>
      </c>
      <c r="L13" s="1">
        <f t="shared" si="2"/>
        <v>-32</v>
      </c>
      <c r="M13" s="1"/>
      <c r="N13" s="1"/>
      <c r="O13" s="1">
        <v>111</v>
      </c>
      <c r="P13" s="1">
        <v>135</v>
      </c>
      <c r="Q13" s="1">
        <f t="shared" si="3"/>
        <v>15</v>
      </c>
      <c r="R13" s="5"/>
      <c r="S13" s="5">
        <f t="shared" si="5"/>
        <v>0</v>
      </c>
      <c r="T13" s="5">
        <f t="shared" si="6"/>
        <v>0</v>
      </c>
      <c r="U13" s="5"/>
      <c r="V13" s="18"/>
      <c r="W13" s="1">
        <f t="shared" si="7"/>
        <v>20.6</v>
      </c>
      <c r="X13" s="1">
        <f t="shared" si="4"/>
        <v>20.6</v>
      </c>
      <c r="Y13" s="1">
        <v>19.8</v>
      </c>
      <c r="Z13" s="1">
        <v>12.4</v>
      </c>
      <c r="AA13" s="1">
        <v>8.4</v>
      </c>
      <c r="AB13" s="1">
        <v>8.4</v>
      </c>
      <c r="AC13" s="1">
        <v>17.399999999999999</v>
      </c>
      <c r="AD13" s="1">
        <v>20.097200000000001</v>
      </c>
      <c r="AE13" s="1">
        <v>15.8</v>
      </c>
      <c r="AF13" s="1">
        <v>13.2</v>
      </c>
      <c r="AG13" s="1">
        <v>23</v>
      </c>
      <c r="AH13" s="1">
        <v>14.2</v>
      </c>
      <c r="AI13" s="1" t="s">
        <v>39</v>
      </c>
      <c r="AJ13" s="1">
        <f t="shared" si="8"/>
        <v>0</v>
      </c>
      <c r="AK13" s="1">
        <f t="shared" si="9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38</v>
      </c>
      <c r="C14" s="1">
        <v>169.29400000000001</v>
      </c>
      <c r="D14" s="1">
        <v>2.7330000000000001</v>
      </c>
      <c r="E14" s="1">
        <v>97.164000000000001</v>
      </c>
      <c r="F14" s="1">
        <v>65.308999999999997</v>
      </c>
      <c r="G14" s="7">
        <v>1</v>
      </c>
      <c r="H14" s="1">
        <v>60</v>
      </c>
      <c r="I14" s="1" t="s">
        <v>36</v>
      </c>
      <c r="J14" s="1"/>
      <c r="K14" s="1">
        <v>97.2</v>
      </c>
      <c r="L14" s="1">
        <f t="shared" si="2"/>
        <v>-3.6000000000001364E-2</v>
      </c>
      <c r="M14" s="1"/>
      <c r="N14" s="1"/>
      <c r="O14" s="1">
        <v>8</v>
      </c>
      <c r="P14" s="1"/>
      <c r="Q14" s="1">
        <f t="shared" si="3"/>
        <v>19.4328</v>
      </c>
      <c r="R14" s="5">
        <f>14*Q14-P14-O14-F14</f>
        <v>198.75020000000004</v>
      </c>
      <c r="S14" s="5">
        <f t="shared" si="5"/>
        <v>199</v>
      </c>
      <c r="T14" s="5">
        <f t="shared" si="6"/>
        <v>199</v>
      </c>
      <c r="U14" s="5"/>
      <c r="V14" s="18"/>
      <c r="W14" s="1">
        <f t="shared" si="7"/>
        <v>14.012854555185045</v>
      </c>
      <c r="X14" s="1">
        <f t="shared" si="4"/>
        <v>3.7724362932773454</v>
      </c>
      <c r="Y14" s="1">
        <v>11.792199999999999</v>
      </c>
      <c r="Z14" s="1">
        <v>12.676</v>
      </c>
      <c r="AA14" s="1">
        <v>10.680199999999999</v>
      </c>
      <c r="AB14" s="1">
        <v>23.291399999999999</v>
      </c>
      <c r="AC14" s="1">
        <v>15.771800000000001</v>
      </c>
      <c r="AD14" s="1">
        <v>13.082800000000001</v>
      </c>
      <c r="AE14" s="1">
        <v>7.8231999999999999</v>
      </c>
      <c r="AF14" s="1">
        <v>13.077400000000001</v>
      </c>
      <c r="AG14" s="1">
        <v>11.439399999999999</v>
      </c>
      <c r="AH14" s="1">
        <v>10.8256</v>
      </c>
      <c r="AI14" s="1"/>
      <c r="AJ14" s="1">
        <f t="shared" si="8"/>
        <v>199</v>
      </c>
      <c r="AK14" s="1">
        <f t="shared" si="9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258</v>
      </c>
      <c r="D15" s="1">
        <v>4</v>
      </c>
      <c r="E15" s="1">
        <v>155</v>
      </c>
      <c r="F15" s="1">
        <v>91</v>
      </c>
      <c r="G15" s="7">
        <v>0.25</v>
      </c>
      <c r="H15" s="1">
        <v>120</v>
      </c>
      <c r="I15" s="1" t="s">
        <v>36</v>
      </c>
      <c r="J15" s="1"/>
      <c r="K15" s="1">
        <v>170</v>
      </c>
      <c r="L15" s="1">
        <f t="shared" si="2"/>
        <v>-15</v>
      </c>
      <c r="M15" s="1"/>
      <c r="N15" s="1"/>
      <c r="O15" s="1">
        <v>0</v>
      </c>
      <c r="P15" s="1"/>
      <c r="Q15" s="1">
        <f t="shared" si="3"/>
        <v>31</v>
      </c>
      <c r="R15" s="5">
        <f>13*Q15-P15-O15-F15</f>
        <v>312</v>
      </c>
      <c r="S15" s="5">
        <f t="shared" si="5"/>
        <v>312</v>
      </c>
      <c r="T15" s="5">
        <f t="shared" si="6"/>
        <v>125</v>
      </c>
      <c r="U15" s="5">
        <f>ROUND(S15*$U$1,0)</f>
        <v>187</v>
      </c>
      <c r="V15" s="18"/>
      <c r="W15" s="1">
        <f t="shared" si="7"/>
        <v>13</v>
      </c>
      <c r="X15" s="1">
        <f t="shared" si="4"/>
        <v>2.935483870967742</v>
      </c>
      <c r="Y15" s="1">
        <v>9.4</v>
      </c>
      <c r="Z15" s="1">
        <v>11.4</v>
      </c>
      <c r="AA15" s="1">
        <v>10</v>
      </c>
      <c r="AB15" s="1">
        <v>10.4</v>
      </c>
      <c r="AC15" s="1">
        <v>14</v>
      </c>
      <c r="AD15" s="1">
        <v>13.6</v>
      </c>
      <c r="AE15" s="1">
        <v>61</v>
      </c>
      <c r="AF15" s="1">
        <v>10.4</v>
      </c>
      <c r="AG15" s="1">
        <v>34</v>
      </c>
      <c r="AH15" s="1">
        <v>20.2</v>
      </c>
      <c r="AI15" s="1" t="s">
        <v>39</v>
      </c>
      <c r="AJ15" s="1">
        <f t="shared" si="8"/>
        <v>31.25</v>
      </c>
      <c r="AK15" s="1">
        <f t="shared" si="9"/>
        <v>46.75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218</v>
      </c>
      <c r="D16" s="1">
        <v>736</v>
      </c>
      <c r="E16" s="1">
        <v>316</v>
      </c>
      <c r="F16" s="1">
        <v>526</v>
      </c>
      <c r="G16" s="7">
        <v>0.4</v>
      </c>
      <c r="H16" s="1">
        <v>60</v>
      </c>
      <c r="I16" s="9" t="s">
        <v>50</v>
      </c>
      <c r="J16" s="1"/>
      <c r="K16" s="1">
        <v>370</v>
      </c>
      <c r="L16" s="1">
        <f t="shared" si="2"/>
        <v>-54</v>
      </c>
      <c r="M16" s="1"/>
      <c r="N16" s="1"/>
      <c r="O16" s="1">
        <v>146</v>
      </c>
      <c r="P16" s="1">
        <v>178</v>
      </c>
      <c r="Q16" s="1">
        <f t="shared" si="3"/>
        <v>63.2</v>
      </c>
      <c r="R16" s="5">
        <f t="shared" si="10"/>
        <v>98</v>
      </c>
      <c r="S16" s="5">
        <f t="shared" si="5"/>
        <v>98</v>
      </c>
      <c r="T16" s="5">
        <f t="shared" si="6"/>
        <v>98</v>
      </c>
      <c r="U16" s="5"/>
      <c r="V16" s="18"/>
      <c r="W16" s="1">
        <f t="shared" si="7"/>
        <v>15</v>
      </c>
      <c r="X16" s="1">
        <f t="shared" si="4"/>
        <v>13.449367088607595</v>
      </c>
      <c r="Y16" s="1">
        <v>82.8</v>
      </c>
      <c r="Z16" s="1">
        <v>92</v>
      </c>
      <c r="AA16" s="1">
        <v>271.2</v>
      </c>
      <c r="AB16" s="1">
        <v>117.8</v>
      </c>
      <c r="AC16" s="1">
        <v>83.6</v>
      </c>
      <c r="AD16" s="1">
        <v>90.4</v>
      </c>
      <c r="AE16" s="1">
        <v>68</v>
      </c>
      <c r="AF16" s="1">
        <v>82.4</v>
      </c>
      <c r="AG16" s="1">
        <v>65.400000000000006</v>
      </c>
      <c r="AH16" s="1">
        <v>74.8</v>
      </c>
      <c r="AI16" s="1" t="s">
        <v>51</v>
      </c>
      <c r="AJ16" s="1">
        <f t="shared" si="8"/>
        <v>39.200000000000003</v>
      </c>
      <c r="AK16" s="1">
        <f t="shared" si="9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363.56099999999998</v>
      </c>
      <c r="D17" s="1">
        <v>454.31099999999998</v>
      </c>
      <c r="E17" s="1">
        <v>266.86500000000001</v>
      </c>
      <c r="F17" s="1">
        <v>486.36200000000002</v>
      </c>
      <c r="G17" s="7">
        <v>1</v>
      </c>
      <c r="H17" s="1">
        <v>45</v>
      </c>
      <c r="I17" s="1" t="s">
        <v>36</v>
      </c>
      <c r="J17" s="1"/>
      <c r="K17" s="1">
        <v>265</v>
      </c>
      <c r="L17" s="1">
        <f t="shared" si="2"/>
        <v>1.8650000000000091</v>
      </c>
      <c r="M17" s="1"/>
      <c r="N17" s="1"/>
      <c r="O17" s="1">
        <v>0</v>
      </c>
      <c r="P17" s="1"/>
      <c r="Q17" s="1">
        <f t="shared" si="3"/>
        <v>53.373000000000005</v>
      </c>
      <c r="R17" s="5">
        <f t="shared" si="10"/>
        <v>314.233</v>
      </c>
      <c r="S17" s="5">
        <f t="shared" si="5"/>
        <v>314</v>
      </c>
      <c r="T17" s="5">
        <f t="shared" si="6"/>
        <v>126</v>
      </c>
      <c r="U17" s="5">
        <f>ROUND(S17*$U$1,0)</f>
        <v>188</v>
      </c>
      <c r="V17" s="18"/>
      <c r="W17" s="1">
        <f t="shared" si="7"/>
        <v>14.995634496842973</v>
      </c>
      <c r="X17" s="1">
        <f t="shared" si="4"/>
        <v>9.1125100706349649</v>
      </c>
      <c r="Y17" s="1">
        <v>45.478000000000002</v>
      </c>
      <c r="Z17" s="1">
        <v>63.830599999999997</v>
      </c>
      <c r="AA17" s="1">
        <v>58.777599999999993</v>
      </c>
      <c r="AB17" s="1">
        <v>55.939200000000007</v>
      </c>
      <c r="AC17" s="1">
        <v>60.511800000000008</v>
      </c>
      <c r="AD17" s="1">
        <v>76.385400000000004</v>
      </c>
      <c r="AE17" s="1">
        <v>56.423400000000001</v>
      </c>
      <c r="AF17" s="1">
        <v>67.234400000000008</v>
      </c>
      <c r="AG17" s="1">
        <v>65.8172</v>
      </c>
      <c r="AH17" s="1">
        <v>70.875</v>
      </c>
      <c r="AI17" s="1"/>
      <c r="AJ17" s="1">
        <f t="shared" si="8"/>
        <v>126</v>
      </c>
      <c r="AK17" s="1">
        <f t="shared" si="9"/>
        <v>188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/>
      <c r="D18" s="1">
        <v>60.276000000000003</v>
      </c>
      <c r="E18" s="1">
        <v>5.516</v>
      </c>
      <c r="F18" s="1">
        <v>43.673999999999999</v>
      </c>
      <c r="G18" s="7">
        <v>1</v>
      </c>
      <c r="H18" s="1">
        <v>120</v>
      </c>
      <c r="I18" s="1" t="s">
        <v>36</v>
      </c>
      <c r="J18" s="1"/>
      <c r="K18" s="1">
        <v>6.6</v>
      </c>
      <c r="L18" s="1">
        <f t="shared" si="2"/>
        <v>-1.0839999999999996</v>
      </c>
      <c r="M18" s="1"/>
      <c r="N18" s="1"/>
      <c r="O18" s="1">
        <v>0</v>
      </c>
      <c r="P18" s="1"/>
      <c r="Q18" s="1">
        <f t="shared" si="3"/>
        <v>1.1032</v>
      </c>
      <c r="R18" s="5"/>
      <c r="S18" s="5">
        <f t="shared" si="5"/>
        <v>0</v>
      </c>
      <c r="T18" s="5">
        <f t="shared" si="6"/>
        <v>0</v>
      </c>
      <c r="U18" s="5"/>
      <c r="V18" s="18"/>
      <c r="W18" s="1">
        <f t="shared" si="7"/>
        <v>39.588469905728793</v>
      </c>
      <c r="X18" s="1">
        <f t="shared" si="4"/>
        <v>39.588469905728793</v>
      </c>
      <c r="Y18" s="1">
        <v>0</v>
      </c>
      <c r="Z18" s="1">
        <v>4.2124000000000006</v>
      </c>
      <c r="AA18" s="1">
        <v>0.98399999999999999</v>
      </c>
      <c r="AB18" s="1">
        <v>2.4192</v>
      </c>
      <c r="AC18" s="1">
        <v>2.4304000000000001</v>
      </c>
      <c r="AD18" s="1">
        <v>0.68220000000000003</v>
      </c>
      <c r="AE18" s="1">
        <v>2.8746</v>
      </c>
      <c r="AF18" s="1">
        <v>0.99380000000000002</v>
      </c>
      <c r="AG18" s="1">
        <v>3.379</v>
      </c>
      <c r="AH18" s="1">
        <v>9.8799999999999999E-2</v>
      </c>
      <c r="AI18" s="1" t="s">
        <v>39</v>
      </c>
      <c r="AJ18" s="1">
        <f t="shared" si="8"/>
        <v>0</v>
      </c>
      <c r="AK18" s="1">
        <f t="shared" si="9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35</v>
      </c>
      <c r="C19" s="1">
        <v>76</v>
      </c>
      <c r="D19" s="1">
        <v>87</v>
      </c>
      <c r="E19" s="1">
        <v>132</v>
      </c>
      <c r="F19" s="1">
        <v>-5</v>
      </c>
      <c r="G19" s="7">
        <v>0.4</v>
      </c>
      <c r="H19" s="1">
        <v>45</v>
      </c>
      <c r="I19" s="1" t="s">
        <v>36</v>
      </c>
      <c r="J19" s="1"/>
      <c r="K19" s="1">
        <v>426</v>
      </c>
      <c r="L19" s="1">
        <f t="shared" si="2"/>
        <v>-294</v>
      </c>
      <c r="M19" s="1"/>
      <c r="N19" s="1"/>
      <c r="O19" s="1">
        <v>383</v>
      </c>
      <c r="P19" s="1">
        <v>469</v>
      </c>
      <c r="Q19" s="1">
        <f t="shared" si="3"/>
        <v>26.4</v>
      </c>
      <c r="R19" s="5"/>
      <c r="S19" s="5">
        <f t="shared" si="5"/>
        <v>0</v>
      </c>
      <c r="T19" s="5">
        <f t="shared" si="6"/>
        <v>0</v>
      </c>
      <c r="U19" s="5"/>
      <c r="V19" s="18"/>
      <c r="W19" s="1">
        <f t="shared" si="7"/>
        <v>32.083333333333336</v>
      </c>
      <c r="X19" s="1">
        <f t="shared" si="4"/>
        <v>32.083333333333336</v>
      </c>
      <c r="Y19" s="1">
        <v>82.6</v>
      </c>
      <c r="Z19" s="1">
        <v>45</v>
      </c>
      <c r="AA19" s="1">
        <v>56.6</v>
      </c>
      <c r="AB19" s="1">
        <v>68.2</v>
      </c>
      <c r="AC19" s="1">
        <v>54.6</v>
      </c>
      <c r="AD19" s="1">
        <v>56.6</v>
      </c>
      <c r="AE19" s="1">
        <v>67.400000000000006</v>
      </c>
      <c r="AF19" s="1">
        <v>44</v>
      </c>
      <c r="AG19" s="1">
        <v>55</v>
      </c>
      <c r="AH19" s="1">
        <v>71.2</v>
      </c>
      <c r="AI19" s="1"/>
      <c r="AJ19" s="1">
        <f t="shared" si="8"/>
        <v>0</v>
      </c>
      <c r="AK19" s="1">
        <f t="shared" si="9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203.25200000000001</v>
      </c>
      <c r="D20" s="1">
        <v>147.708</v>
      </c>
      <c r="E20" s="1">
        <v>261.755</v>
      </c>
      <c r="F20" s="1">
        <v>34.048999999999999</v>
      </c>
      <c r="G20" s="7">
        <v>1</v>
      </c>
      <c r="H20" s="1">
        <v>60</v>
      </c>
      <c r="I20" s="1" t="s">
        <v>36</v>
      </c>
      <c r="J20" s="1"/>
      <c r="K20" s="1">
        <v>275.89999999999998</v>
      </c>
      <c r="L20" s="1">
        <f t="shared" si="2"/>
        <v>-14.144999999999982</v>
      </c>
      <c r="M20" s="1"/>
      <c r="N20" s="1"/>
      <c r="O20" s="1">
        <v>242</v>
      </c>
      <c r="P20" s="1">
        <v>295</v>
      </c>
      <c r="Q20" s="1">
        <f t="shared" si="3"/>
        <v>52.350999999999999</v>
      </c>
      <c r="R20" s="5">
        <f t="shared" si="10"/>
        <v>214.21599999999998</v>
      </c>
      <c r="S20" s="5">
        <f t="shared" si="5"/>
        <v>214</v>
      </c>
      <c r="T20" s="5">
        <f t="shared" si="6"/>
        <v>86</v>
      </c>
      <c r="U20" s="5">
        <f>ROUND(S20*$U$1,0)</f>
        <v>128</v>
      </c>
      <c r="V20" s="18"/>
      <c r="W20" s="1">
        <f t="shared" si="7"/>
        <v>14.995874004317013</v>
      </c>
      <c r="X20" s="1">
        <f t="shared" si="4"/>
        <v>10.908081985062367</v>
      </c>
      <c r="Y20" s="1">
        <v>58.570799999999998</v>
      </c>
      <c r="Z20" s="1">
        <v>43.5886</v>
      </c>
      <c r="AA20" s="1">
        <v>30.848199999999999</v>
      </c>
      <c r="AB20" s="1">
        <v>57.430399999999999</v>
      </c>
      <c r="AC20" s="1">
        <v>43.7378</v>
      </c>
      <c r="AD20" s="1">
        <v>68.502600000000001</v>
      </c>
      <c r="AE20" s="1">
        <v>41.588000000000001</v>
      </c>
      <c r="AF20" s="1">
        <v>50.5824</v>
      </c>
      <c r="AG20" s="1">
        <v>56.876399999999997</v>
      </c>
      <c r="AH20" s="1">
        <v>42.729599999999998</v>
      </c>
      <c r="AI20" s="1"/>
      <c r="AJ20" s="1">
        <f t="shared" si="8"/>
        <v>86</v>
      </c>
      <c r="AK20" s="1">
        <f t="shared" si="9"/>
        <v>128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35</v>
      </c>
      <c r="C21" s="1">
        <v>360</v>
      </c>
      <c r="D21" s="1">
        <v>30</v>
      </c>
      <c r="E21" s="1">
        <v>152</v>
      </c>
      <c r="F21" s="1">
        <v>196</v>
      </c>
      <c r="G21" s="7">
        <v>0.22</v>
      </c>
      <c r="H21" s="1">
        <v>120</v>
      </c>
      <c r="I21" s="1" t="s">
        <v>36</v>
      </c>
      <c r="J21" s="1"/>
      <c r="K21" s="1">
        <v>166</v>
      </c>
      <c r="L21" s="1">
        <f t="shared" si="2"/>
        <v>-14</v>
      </c>
      <c r="M21" s="1"/>
      <c r="N21" s="1"/>
      <c r="O21" s="1">
        <v>194</v>
      </c>
      <c r="P21" s="1">
        <v>238</v>
      </c>
      <c r="Q21" s="1">
        <f t="shared" si="3"/>
        <v>30.4</v>
      </c>
      <c r="R21" s="5"/>
      <c r="S21" s="5">
        <f t="shared" si="5"/>
        <v>0</v>
      </c>
      <c r="T21" s="5">
        <f t="shared" si="6"/>
        <v>0</v>
      </c>
      <c r="U21" s="5"/>
      <c r="V21" s="18"/>
      <c r="W21" s="1">
        <f t="shared" si="7"/>
        <v>20.657894736842106</v>
      </c>
      <c r="X21" s="1">
        <f t="shared" si="4"/>
        <v>20.657894736842106</v>
      </c>
      <c r="Y21" s="1">
        <v>40.799999999999997</v>
      </c>
      <c r="Z21" s="1">
        <v>29.4</v>
      </c>
      <c r="AA21" s="1">
        <v>36</v>
      </c>
      <c r="AB21" s="1">
        <v>41.8</v>
      </c>
      <c r="AC21" s="1">
        <v>34.799999999999997</v>
      </c>
      <c r="AD21" s="1">
        <v>44</v>
      </c>
      <c r="AE21" s="1">
        <v>26.4</v>
      </c>
      <c r="AF21" s="1">
        <v>17.2</v>
      </c>
      <c r="AG21" s="1">
        <v>28.8</v>
      </c>
      <c r="AH21" s="1">
        <v>17.399999999999999</v>
      </c>
      <c r="AI21" s="1" t="s">
        <v>39</v>
      </c>
      <c r="AJ21" s="1">
        <f t="shared" si="8"/>
        <v>0</v>
      </c>
      <c r="AK21" s="1">
        <f t="shared" si="9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20.026</v>
      </c>
      <c r="D22" s="1">
        <v>13.298</v>
      </c>
      <c r="E22" s="1">
        <v>15.545999999999999</v>
      </c>
      <c r="F22" s="1">
        <v>12.358000000000001</v>
      </c>
      <c r="G22" s="7">
        <v>1</v>
      </c>
      <c r="H22" s="1">
        <v>40</v>
      </c>
      <c r="I22" s="1" t="s">
        <v>36</v>
      </c>
      <c r="J22" s="1"/>
      <c r="K22" s="1">
        <v>23.84</v>
      </c>
      <c r="L22" s="1">
        <f t="shared" si="2"/>
        <v>-8.2940000000000005</v>
      </c>
      <c r="M22" s="1"/>
      <c r="N22" s="1"/>
      <c r="O22" s="1">
        <v>23</v>
      </c>
      <c r="P22" s="1"/>
      <c r="Q22" s="1">
        <f t="shared" si="3"/>
        <v>3.1092</v>
      </c>
      <c r="R22" s="5">
        <f t="shared" si="10"/>
        <v>11.279999999999998</v>
      </c>
      <c r="S22" s="5">
        <f t="shared" si="5"/>
        <v>11</v>
      </c>
      <c r="T22" s="5">
        <f t="shared" si="6"/>
        <v>11</v>
      </c>
      <c r="U22" s="5"/>
      <c r="V22" s="18"/>
      <c r="W22" s="1">
        <f t="shared" si="7"/>
        <v>14.909944680303617</v>
      </c>
      <c r="X22" s="1">
        <f t="shared" si="4"/>
        <v>11.372057120802781</v>
      </c>
      <c r="Y22" s="1">
        <v>3.777600000000001</v>
      </c>
      <c r="Z22" s="1">
        <v>3.5044</v>
      </c>
      <c r="AA22" s="1">
        <v>4.4631999999999996</v>
      </c>
      <c r="AB22" s="1">
        <v>9.3635999999999999</v>
      </c>
      <c r="AC22" s="1">
        <v>8.4480000000000004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/>
      <c r="AJ22" s="1">
        <f t="shared" si="8"/>
        <v>11</v>
      </c>
      <c r="AK22" s="1">
        <f t="shared" si="9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58</v>
      </c>
      <c r="B23" s="10" t="s">
        <v>35</v>
      </c>
      <c r="C23" s="10">
        <v>48</v>
      </c>
      <c r="D23" s="10">
        <v>4</v>
      </c>
      <c r="E23" s="10">
        <v>20</v>
      </c>
      <c r="F23" s="10">
        <v>22</v>
      </c>
      <c r="G23" s="11">
        <v>0</v>
      </c>
      <c r="H23" s="10">
        <v>45</v>
      </c>
      <c r="I23" s="10" t="s">
        <v>59</v>
      </c>
      <c r="J23" s="10"/>
      <c r="K23" s="10">
        <v>31</v>
      </c>
      <c r="L23" s="10">
        <f t="shared" si="2"/>
        <v>-11</v>
      </c>
      <c r="M23" s="10"/>
      <c r="N23" s="10"/>
      <c r="O23" s="10">
        <v>0</v>
      </c>
      <c r="P23" s="10"/>
      <c r="Q23" s="10">
        <f t="shared" si="3"/>
        <v>4</v>
      </c>
      <c r="R23" s="12"/>
      <c r="S23" s="5">
        <f t="shared" si="5"/>
        <v>0</v>
      </c>
      <c r="T23" s="5">
        <f t="shared" si="6"/>
        <v>0</v>
      </c>
      <c r="U23" s="5"/>
      <c r="V23" s="19"/>
      <c r="W23" s="1">
        <f t="shared" si="7"/>
        <v>5.5</v>
      </c>
      <c r="X23" s="10">
        <f t="shared" si="4"/>
        <v>5.5</v>
      </c>
      <c r="Y23" s="10">
        <v>2</v>
      </c>
      <c r="Z23" s="10">
        <v>1</v>
      </c>
      <c r="AA23" s="10">
        <v>5.6</v>
      </c>
      <c r="AB23" s="10">
        <v>0.8</v>
      </c>
      <c r="AC23" s="10">
        <v>3.8</v>
      </c>
      <c r="AD23" s="10">
        <v>2.2000000000000002</v>
      </c>
      <c r="AE23" s="10">
        <v>1.8</v>
      </c>
      <c r="AF23" s="10">
        <v>9</v>
      </c>
      <c r="AG23" s="10">
        <v>2.8</v>
      </c>
      <c r="AH23" s="10">
        <v>4</v>
      </c>
      <c r="AI23" s="10"/>
      <c r="AJ23" s="1">
        <f t="shared" si="8"/>
        <v>0</v>
      </c>
      <c r="AK23" s="1">
        <f t="shared" si="9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38</v>
      </c>
      <c r="C24" s="1">
        <v>136.23500000000001</v>
      </c>
      <c r="D24" s="1">
        <v>480.59300000000002</v>
      </c>
      <c r="E24" s="1">
        <v>337.81400000000002</v>
      </c>
      <c r="F24" s="1">
        <v>221.05799999999999</v>
      </c>
      <c r="G24" s="7">
        <v>1</v>
      </c>
      <c r="H24" s="1">
        <v>60</v>
      </c>
      <c r="I24" s="1" t="s">
        <v>36</v>
      </c>
      <c r="J24" s="1"/>
      <c r="K24" s="1">
        <v>387</v>
      </c>
      <c r="L24" s="1">
        <f t="shared" si="2"/>
        <v>-49.185999999999979</v>
      </c>
      <c r="M24" s="1"/>
      <c r="N24" s="1"/>
      <c r="O24" s="1">
        <v>112</v>
      </c>
      <c r="P24" s="1">
        <v>138</v>
      </c>
      <c r="Q24" s="1">
        <f t="shared" si="3"/>
        <v>67.56280000000001</v>
      </c>
      <c r="R24" s="5">
        <f t="shared" ref="R24:R28" si="12">15*Q24-P24-O24-F24</f>
        <v>542.38400000000013</v>
      </c>
      <c r="S24" s="5">
        <f t="shared" si="5"/>
        <v>542</v>
      </c>
      <c r="T24" s="5">
        <f t="shared" si="6"/>
        <v>217</v>
      </c>
      <c r="U24" s="5">
        <f t="shared" ref="U24:U25" si="13">ROUND(S24*$U$1,0)</f>
        <v>325</v>
      </c>
      <c r="V24" s="18"/>
      <c r="W24" s="1">
        <f t="shared" si="7"/>
        <v>14.994316398965109</v>
      </c>
      <c r="X24" s="1">
        <f t="shared" si="4"/>
        <v>6.9721503549290427</v>
      </c>
      <c r="Y24" s="1">
        <v>53.627400000000002</v>
      </c>
      <c r="Z24" s="1">
        <v>57.724600000000002</v>
      </c>
      <c r="AA24" s="1">
        <v>46.6706</v>
      </c>
      <c r="AB24" s="1">
        <v>41.666800000000002</v>
      </c>
      <c r="AC24" s="1">
        <v>53.355600000000003</v>
      </c>
      <c r="AD24" s="1">
        <v>72.2042</v>
      </c>
      <c r="AE24" s="1">
        <v>33.979999999999997</v>
      </c>
      <c r="AF24" s="1">
        <v>58.654400000000003</v>
      </c>
      <c r="AG24" s="1">
        <v>38.292200000000001</v>
      </c>
      <c r="AH24" s="1">
        <v>37.873399999999997</v>
      </c>
      <c r="AI24" s="1"/>
      <c r="AJ24" s="1">
        <f t="shared" si="8"/>
        <v>217</v>
      </c>
      <c r="AK24" s="1">
        <f t="shared" si="9"/>
        <v>325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35</v>
      </c>
      <c r="C25" s="1">
        <v>64</v>
      </c>
      <c r="D25" s="1">
        <v>446</v>
      </c>
      <c r="E25" s="1">
        <v>429</v>
      </c>
      <c r="F25" s="1">
        <v>2</v>
      </c>
      <c r="G25" s="7">
        <v>0.09</v>
      </c>
      <c r="H25" s="1">
        <v>60</v>
      </c>
      <c r="I25" s="1" t="s">
        <v>36</v>
      </c>
      <c r="J25" s="1"/>
      <c r="K25" s="1">
        <v>563</v>
      </c>
      <c r="L25" s="1">
        <f t="shared" si="2"/>
        <v>-134</v>
      </c>
      <c r="M25" s="1"/>
      <c r="N25" s="1"/>
      <c r="O25" s="1">
        <v>363</v>
      </c>
      <c r="P25" s="1">
        <v>443</v>
      </c>
      <c r="Q25" s="1">
        <f t="shared" si="3"/>
        <v>85.8</v>
      </c>
      <c r="R25" s="5">
        <f t="shared" si="12"/>
        <v>479</v>
      </c>
      <c r="S25" s="5">
        <f t="shared" si="5"/>
        <v>479</v>
      </c>
      <c r="T25" s="5">
        <f t="shared" si="6"/>
        <v>192</v>
      </c>
      <c r="U25" s="5">
        <f t="shared" si="13"/>
        <v>287</v>
      </c>
      <c r="V25" s="18"/>
      <c r="W25" s="1">
        <f t="shared" si="7"/>
        <v>15</v>
      </c>
      <c r="X25" s="1">
        <f t="shared" si="4"/>
        <v>9.4172494172494172</v>
      </c>
      <c r="Y25" s="1">
        <v>84.6</v>
      </c>
      <c r="Z25" s="1">
        <v>59</v>
      </c>
      <c r="AA25" s="1">
        <v>53.4</v>
      </c>
      <c r="AB25" s="1">
        <v>74.400000000000006</v>
      </c>
      <c r="AC25" s="1">
        <v>83</v>
      </c>
      <c r="AD25" s="1">
        <v>88.8</v>
      </c>
      <c r="AE25" s="1">
        <v>72</v>
      </c>
      <c r="AF25" s="1">
        <v>76.599999999999994</v>
      </c>
      <c r="AG25" s="1">
        <v>96</v>
      </c>
      <c r="AH25" s="1">
        <v>71.8</v>
      </c>
      <c r="AI25" s="1"/>
      <c r="AJ25" s="1">
        <f t="shared" si="8"/>
        <v>17.28</v>
      </c>
      <c r="AK25" s="1">
        <f t="shared" si="9"/>
        <v>25.83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35</v>
      </c>
      <c r="C26" s="1">
        <v>196</v>
      </c>
      <c r="D26" s="1">
        <v>45</v>
      </c>
      <c r="E26" s="1">
        <v>75</v>
      </c>
      <c r="F26" s="1">
        <v>151</v>
      </c>
      <c r="G26" s="7">
        <v>0.09</v>
      </c>
      <c r="H26" s="1">
        <v>45</v>
      </c>
      <c r="I26" s="1" t="s">
        <v>36</v>
      </c>
      <c r="J26" s="1"/>
      <c r="K26" s="1">
        <v>238</v>
      </c>
      <c r="L26" s="1">
        <f t="shared" si="2"/>
        <v>-163</v>
      </c>
      <c r="M26" s="1"/>
      <c r="N26" s="1"/>
      <c r="O26" s="1">
        <v>0</v>
      </c>
      <c r="P26" s="1"/>
      <c r="Q26" s="1">
        <f t="shared" si="3"/>
        <v>15</v>
      </c>
      <c r="R26" s="5">
        <f t="shared" si="12"/>
        <v>74</v>
      </c>
      <c r="S26" s="5">
        <f t="shared" si="5"/>
        <v>74</v>
      </c>
      <c r="T26" s="5">
        <f t="shared" si="6"/>
        <v>74</v>
      </c>
      <c r="U26" s="5"/>
      <c r="V26" s="18"/>
      <c r="W26" s="1">
        <f t="shared" si="7"/>
        <v>15</v>
      </c>
      <c r="X26" s="1">
        <f t="shared" si="4"/>
        <v>10.066666666666666</v>
      </c>
      <c r="Y26" s="1">
        <v>4.5999999999999996</v>
      </c>
      <c r="Z26" s="1">
        <v>18.399999999999999</v>
      </c>
      <c r="AA26" s="1">
        <v>16</v>
      </c>
      <c r="AB26" s="1">
        <v>20.399999999999999</v>
      </c>
      <c r="AC26" s="1">
        <v>10</v>
      </c>
      <c r="AD26" s="1">
        <v>40.799999999999997</v>
      </c>
      <c r="AE26" s="1">
        <v>19</v>
      </c>
      <c r="AF26" s="1">
        <v>14.8</v>
      </c>
      <c r="AG26" s="1">
        <v>20.2</v>
      </c>
      <c r="AH26" s="1">
        <v>13.2</v>
      </c>
      <c r="AI26" s="17"/>
      <c r="AJ26" s="1">
        <f t="shared" si="8"/>
        <v>6.66</v>
      </c>
      <c r="AK26" s="1">
        <f t="shared" si="9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35</v>
      </c>
      <c r="C27" s="1"/>
      <c r="D27" s="1"/>
      <c r="E27" s="1"/>
      <c r="F27" s="1"/>
      <c r="G27" s="7">
        <v>0.15</v>
      </c>
      <c r="H27" s="1">
        <v>45</v>
      </c>
      <c r="I27" s="1" t="s">
        <v>36</v>
      </c>
      <c r="J27" s="1"/>
      <c r="K27" s="1">
        <v>123</v>
      </c>
      <c r="L27" s="1">
        <f t="shared" si="2"/>
        <v>-123</v>
      </c>
      <c r="M27" s="1"/>
      <c r="N27" s="1"/>
      <c r="O27" s="1">
        <v>60</v>
      </c>
      <c r="P27" s="1"/>
      <c r="Q27" s="1">
        <f t="shared" si="3"/>
        <v>0</v>
      </c>
      <c r="R27" s="5">
        <v>30</v>
      </c>
      <c r="S27" s="5">
        <f>ROUND(R27,0)+30</f>
        <v>60</v>
      </c>
      <c r="T27" s="5">
        <f t="shared" si="6"/>
        <v>60</v>
      </c>
      <c r="U27" s="5"/>
      <c r="V27" s="18" t="s">
        <v>189</v>
      </c>
      <c r="W27" s="1" t="e">
        <f t="shared" si="7"/>
        <v>#DIV/0!</v>
      </c>
      <c r="X27" s="1" t="e">
        <f t="shared" si="4"/>
        <v>#DIV/0!</v>
      </c>
      <c r="Y27" s="1">
        <v>1.6</v>
      </c>
      <c r="Z27" s="1">
        <v>1.8</v>
      </c>
      <c r="AA27" s="1">
        <v>3.8</v>
      </c>
      <c r="AB27" s="1">
        <v>6</v>
      </c>
      <c r="AC27" s="1">
        <v>13.6</v>
      </c>
      <c r="AD27" s="1">
        <v>29.4</v>
      </c>
      <c r="AE27" s="1">
        <v>16.600000000000001</v>
      </c>
      <c r="AF27" s="1">
        <v>24.6</v>
      </c>
      <c r="AG27" s="1">
        <v>45.6</v>
      </c>
      <c r="AH27" s="1">
        <v>6.2</v>
      </c>
      <c r="AI27" s="1" t="s">
        <v>64</v>
      </c>
      <c r="AJ27" s="1">
        <f t="shared" si="8"/>
        <v>9</v>
      </c>
      <c r="AK27" s="1">
        <f t="shared" si="9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38</v>
      </c>
      <c r="C28" s="1">
        <v>0.27200000000000002</v>
      </c>
      <c r="D28" s="1">
        <v>415.64699999999999</v>
      </c>
      <c r="E28" s="1">
        <v>282.685</v>
      </c>
      <c r="F28" s="15">
        <f>41.366+F116</f>
        <v>170.99599999999998</v>
      </c>
      <c r="G28" s="7">
        <v>1</v>
      </c>
      <c r="H28" s="1">
        <v>45</v>
      </c>
      <c r="I28" s="1" t="s">
        <v>36</v>
      </c>
      <c r="J28" s="1"/>
      <c r="K28" s="1">
        <v>299</v>
      </c>
      <c r="L28" s="1">
        <f t="shared" si="2"/>
        <v>-16.314999999999998</v>
      </c>
      <c r="M28" s="1"/>
      <c r="N28" s="1"/>
      <c r="O28" s="1">
        <v>103</v>
      </c>
      <c r="P28" s="1">
        <v>127</v>
      </c>
      <c r="Q28" s="1">
        <f t="shared" si="3"/>
        <v>56.536999999999999</v>
      </c>
      <c r="R28" s="5">
        <f t="shared" si="12"/>
        <v>447.05899999999997</v>
      </c>
      <c r="S28" s="5">
        <f t="shared" si="5"/>
        <v>447</v>
      </c>
      <c r="T28" s="5">
        <f t="shared" si="6"/>
        <v>179</v>
      </c>
      <c r="U28" s="5">
        <f>ROUND(S28*$U$1,0)</f>
        <v>268</v>
      </c>
      <c r="V28" s="18"/>
      <c r="W28" s="1">
        <f t="shared" si="7"/>
        <v>14.998956435608539</v>
      </c>
      <c r="X28" s="1">
        <f t="shared" si="4"/>
        <v>7.0926296053911599</v>
      </c>
      <c r="Y28" s="1">
        <v>48.489400000000003</v>
      </c>
      <c r="Z28" s="1">
        <v>48.859400000000001</v>
      </c>
      <c r="AA28" s="1">
        <v>40.973200000000013</v>
      </c>
      <c r="AB28" s="1">
        <v>46.067999999999998</v>
      </c>
      <c r="AC28" s="1">
        <v>42.266199999999998</v>
      </c>
      <c r="AD28" s="1">
        <v>73.7684</v>
      </c>
      <c r="AE28" s="1">
        <v>25.926400000000001</v>
      </c>
      <c r="AF28" s="1">
        <v>46.323399999999999</v>
      </c>
      <c r="AG28" s="1">
        <v>37.568800000000003</v>
      </c>
      <c r="AH28" s="1">
        <v>53.324800000000003</v>
      </c>
      <c r="AI28" s="1"/>
      <c r="AJ28" s="1">
        <f t="shared" si="8"/>
        <v>179</v>
      </c>
      <c r="AK28" s="1">
        <f t="shared" si="9"/>
        <v>268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66</v>
      </c>
      <c r="B29" s="10" t="s">
        <v>35</v>
      </c>
      <c r="C29" s="10">
        <v>-5</v>
      </c>
      <c r="D29" s="10">
        <v>9</v>
      </c>
      <c r="E29" s="10"/>
      <c r="F29" s="15">
        <v>4</v>
      </c>
      <c r="G29" s="11">
        <v>0</v>
      </c>
      <c r="H29" s="10"/>
      <c r="I29" s="10" t="s">
        <v>59</v>
      </c>
      <c r="J29" s="10" t="s">
        <v>67</v>
      </c>
      <c r="K29" s="10">
        <v>15</v>
      </c>
      <c r="L29" s="10">
        <f t="shared" si="2"/>
        <v>-15</v>
      </c>
      <c r="M29" s="10"/>
      <c r="N29" s="10"/>
      <c r="O29" s="10">
        <v>0</v>
      </c>
      <c r="P29" s="10"/>
      <c r="Q29" s="10">
        <f t="shared" si="3"/>
        <v>0</v>
      </c>
      <c r="R29" s="12"/>
      <c r="S29" s="5">
        <f t="shared" si="5"/>
        <v>0</v>
      </c>
      <c r="T29" s="5">
        <f t="shared" si="6"/>
        <v>0</v>
      </c>
      <c r="U29" s="5"/>
      <c r="V29" s="19"/>
      <c r="W29" s="1" t="e">
        <f t="shared" si="7"/>
        <v>#DIV/0!</v>
      </c>
      <c r="X29" s="10" t="e">
        <f t="shared" si="4"/>
        <v>#DIV/0!</v>
      </c>
      <c r="Y29" s="10">
        <v>0</v>
      </c>
      <c r="Z29" s="10">
        <v>0</v>
      </c>
      <c r="AA29" s="10">
        <v>0.2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/>
      <c r="AJ29" s="1">
        <f t="shared" si="8"/>
        <v>0</v>
      </c>
      <c r="AK29" s="1">
        <f t="shared" si="9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35</v>
      </c>
      <c r="C30" s="1">
        <v>76</v>
      </c>
      <c r="D30" s="1">
        <v>105</v>
      </c>
      <c r="E30" s="1">
        <v>64</v>
      </c>
      <c r="F30" s="1">
        <v>63</v>
      </c>
      <c r="G30" s="7">
        <v>0.4</v>
      </c>
      <c r="H30" s="1">
        <v>60</v>
      </c>
      <c r="I30" s="1" t="s">
        <v>36</v>
      </c>
      <c r="J30" s="1"/>
      <c r="K30" s="1">
        <v>79</v>
      </c>
      <c r="L30" s="1">
        <f t="shared" si="2"/>
        <v>-15</v>
      </c>
      <c r="M30" s="1"/>
      <c r="N30" s="1"/>
      <c r="O30" s="1">
        <v>16</v>
      </c>
      <c r="P30" s="1"/>
      <c r="Q30" s="1">
        <f t="shared" si="3"/>
        <v>12.8</v>
      </c>
      <c r="R30" s="5">
        <f t="shared" ref="R30" si="14">15*Q30-P30-O30-F30</f>
        <v>113</v>
      </c>
      <c r="S30" s="5">
        <f t="shared" si="5"/>
        <v>113</v>
      </c>
      <c r="T30" s="5">
        <f t="shared" si="6"/>
        <v>113</v>
      </c>
      <c r="U30" s="5"/>
      <c r="V30" s="18"/>
      <c r="W30" s="1">
        <f t="shared" si="7"/>
        <v>15</v>
      </c>
      <c r="X30" s="1">
        <f t="shared" si="4"/>
        <v>6.171875</v>
      </c>
      <c r="Y30" s="1">
        <v>10.199999999999999</v>
      </c>
      <c r="Z30" s="1">
        <v>15.8</v>
      </c>
      <c r="AA30" s="1">
        <v>14.4</v>
      </c>
      <c r="AB30" s="1">
        <v>10.8</v>
      </c>
      <c r="AC30" s="1">
        <v>7</v>
      </c>
      <c r="AD30" s="1">
        <v>9.1999999999999993</v>
      </c>
      <c r="AE30" s="1">
        <v>5.2</v>
      </c>
      <c r="AF30" s="1">
        <v>-0.2</v>
      </c>
      <c r="AG30" s="1">
        <v>6</v>
      </c>
      <c r="AH30" s="1">
        <v>-0.2</v>
      </c>
      <c r="AI30" s="1"/>
      <c r="AJ30" s="1">
        <f t="shared" si="8"/>
        <v>45.2</v>
      </c>
      <c r="AK30" s="1">
        <f t="shared" si="9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35</v>
      </c>
      <c r="C31" s="1">
        <v>859</v>
      </c>
      <c r="D31" s="1">
        <v>1244</v>
      </c>
      <c r="E31" s="1">
        <v>1591</v>
      </c>
      <c r="F31" s="1">
        <v>398</v>
      </c>
      <c r="G31" s="7">
        <v>0.4</v>
      </c>
      <c r="H31" s="1">
        <v>60</v>
      </c>
      <c r="I31" s="9" t="s">
        <v>50</v>
      </c>
      <c r="J31" s="1"/>
      <c r="K31" s="1">
        <v>1653</v>
      </c>
      <c r="L31" s="1">
        <f t="shared" si="2"/>
        <v>-62</v>
      </c>
      <c r="M31" s="1"/>
      <c r="N31" s="1"/>
      <c r="O31" s="1">
        <v>500</v>
      </c>
      <c r="P31" s="1"/>
      <c r="Q31" s="1">
        <f t="shared" si="3"/>
        <v>318.2</v>
      </c>
      <c r="R31" s="5">
        <v>1000</v>
      </c>
      <c r="S31" s="5">
        <f>ROUND(R31,0)+700</f>
        <v>1700</v>
      </c>
      <c r="T31" s="5">
        <f t="shared" si="6"/>
        <v>1700</v>
      </c>
      <c r="U31" s="5"/>
      <c r="V31" s="18" t="s">
        <v>183</v>
      </c>
      <c r="W31" s="1">
        <f t="shared" si="7"/>
        <v>8.1646763042111878</v>
      </c>
      <c r="X31" s="1">
        <f t="shared" si="4"/>
        <v>2.8221244500314269</v>
      </c>
      <c r="Y31" s="1">
        <v>139.80000000000001</v>
      </c>
      <c r="Z31" s="1">
        <v>69.2</v>
      </c>
      <c r="AA31" s="1">
        <v>126.4</v>
      </c>
      <c r="AB31" s="1">
        <v>97</v>
      </c>
      <c r="AC31" s="1">
        <v>134.6</v>
      </c>
      <c r="AD31" s="1">
        <v>131.6</v>
      </c>
      <c r="AE31" s="1">
        <v>108.6</v>
      </c>
      <c r="AF31" s="1">
        <v>119.2</v>
      </c>
      <c r="AG31" s="1">
        <v>106</v>
      </c>
      <c r="AH31" s="1">
        <v>145</v>
      </c>
      <c r="AI31" s="1" t="s">
        <v>184</v>
      </c>
      <c r="AJ31" s="1">
        <f t="shared" si="8"/>
        <v>680</v>
      </c>
      <c r="AK31" s="1">
        <f t="shared" si="9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70</v>
      </c>
      <c r="B32" s="10" t="s">
        <v>35</v>
      </c>
      <c r="C32" s="10">
        <v>-6</v>
      </c>
      <c r="D32" s="10"/>
      <c r="E32" s="15">
        <v>-1</v>
      </c>
      <c r="F32" s="15">
        <v>-6</v>
      </c>
      <c r="G32" s="11">
        <v>0</v>
      </c>
      <c r="H32" s="10">
        <v>60</v>
      </c>
      <c r="I32" s="10" t="s">
        <v>59</v>
      </c>
      <c r="J32" s="10" t="s">
        <v>71</v>
      </c>
      <c r="K32" s="10">
        <v>6</v>
      </c>
      <c r="L32" s="10">
        <f t="shared" si="2"/>
        <v>-7</v>
      </c>
      <c r="M32" s="10"/>
      <c r="N32" s="10"/>
      <c r="O32" s="10">
        <v>0</v>
      </c>
      <c r="P32" s="10"/>
      <c r="Q32" s="10">
        <f t="shared" si="3"/>
        <v>-0.2</v>
      </c>
      <c r="R32" s="12"/>
      <c r="S32" s="5">
        <f t="shared" si="5"/>
        <v>0</v>
      </c>
      <c r="T32" s="5">
        <f t="shared" si="6"/>
        <v>0</v>
      </c>
      <c r="U32" s="5"/>
      <c r="V32" s="19"/>
      <c r="W32" s="1">
        <f t="shared" si="7"/>
        <v>30</v>
      </c>
      <c r="X32" s="10">
        <f t="shared" si="4"/>
        <v>30</v>
      </c>
      <c r="Y32" s="10">
        <v>0</v>
      </c>
      <c r="Z32" s="10">
        <v>1.2</v>
      </c>
      <c r="AA32" s="10">
        <v>1</v>
      </c>
      <c r="AB32" s="10">
        <v>0</v>
      </c>
      <c r="AC32" s="10">
        <v>57.4</v>
      </c>
      <c r="AD32" s="10">
        <v>111</v>
      </c>
      <c r="AE32" s="10">
        <v>112.6</v>
      </c>
      <c r="AF32" s="10">
        <v>84</v>
      </c>
      <c r="AG32" s="10">
        <v>105.4</v>
      </c>
      <c r="AH32" s="10">
        <v>131.80000000000001</v>
      </c>
      <c r="AI32" s="10" t="s">
        <v>72</v>
      </c>
      <c r="AJ32" s="1">
        <f t="shared" si="8"/>
        <v>0</v>
      </c>
      <c r="AK32" s="1">
        <f t="shared" si="9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35</v>
      </c>
      <c r="C33" s="1">
        <v>931</v>
      </c>
      <c r="D33" s="1">
        <v>109.029</v>
      </c>
      <c r="E33" s="1">
        <v>775</v>
      </c>
      <c r="F33" s="1">
        <v>115</v>
      </c>
      <c r="G33" s="7">
        <v>0.4</v>
      </c>
      <c r="H33" s="1">
        <v>60</v>
      </c>
      <c r="I33" s="9" t="s">
        <v>50</v>
      </c>
      <c r="J33" s="1"/>
      <c r="K33" s="1">
        <v>898</v>
      </c>
      <c r="L33" s="1">
        <f t="shared" si="2"/>
        <v>-123</v>
      </c>
      <c r="M33" s="1"/>
      <c r="N33" s="1"/>
      <c r="O33" s="1">
        <v>680</v>
      </c>
      <c r="P33" s="1">
        <v>831</v>
      </c>
      <c r="Q33" s="1">
        <f t="shared" si="3"/>
        <v>155</v>
      </c>
      <c r="R33" s="5">
        <f t="shared" ref="R33" si="15">15*Q33-P33-O33-F33</f>
        <v>699</v>
      </c>
      <c r="S33" s="5">
        <f>ROUND(R33,0)+800</f>
        <v>1499</v>
      </c>
      <c r="T33" s="5">
        <f t="shared" si="6"/>
        <v>1499</v>
      </c>
      <c r="U33" s="5"/>
      <c r="V33" s="18" t="s">
        <v>185</v>
      </c>
      <c r="W33" s="1">
        <f t="shared" si="7"/>
        <v>20.161290322580644</v>
      </c>
      <c r="X33" s="1">
        <f t="shared" si="4"/>
        <v>10.490322580645161</v>
      </c>
      <c r="Y33" s="1">
        <v>162.80000000000001</v>
      </c>
      <c r="Z33" s="1">
        <v>91.8</v>
      </c>
      <c r="AA33" s="1">
        <v>147.6</v>
      </c>
      <c r="AB33" s="1">
        <v>152.4</v>
      </c>
      <c r="AC33" s="1">
        <v>133.94</v>
      </c>
      <c r="AD33" s="1">
        <v>162.6</v>
      </c>
      <c r="AE33" s="1">
        <v>195.6</v>
      </c>
      <c r="AF33" s="1">
        <v>155.80000000000001</v>
      </c>
      <c r="AG33" s="1">
        <v>136.4</v>
      </c>
      <c r="AH33" s="1">
        <v>189.4</v>
      </c>
      <c r="AI33" s="1" t="s">
        <v>186</v>
      </c>
      <c r="AJ33" s="1">
        <f t="shared" si="8"/>
        <v>599.6</v>
      </c>
      <c r="AK33" s="1">
        <f t="shared" si="9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35</v>
      </c>
      <c r="C34" s="1"/>
      <c r="D34" s="1">
        <v>120</v>
      </c>
      <c r="E34" s="1">
        <v>7</v>
      </c>
      <c r="F34" s="1">
        <v>113</v>
      </c>
      <c r="G34" s="7">
        <v>0.3</v>
      </c>
      <c r="H34" s="1">
        <v>45</v>
      </c>
      <c r="I34" s="1" t="s">
        <v>36</v>
      </c>
      <c r="J34" s="1"/>
      <c r="K34" s="1">
        <v>7</v>
      </c>
      <c r="L34" s="1">
        <f t="shared" si="2"/>
        <v>0</v>
      </c>
      <c r="M34" s="1"/>
      <c r="N34" s="1"/>
      <c r="O34" s="1">
        <v>0</v>
      </c>
      <c r="P34" s="1"/>
      <c r="Q34" s="1">
        <f t="shared" si="3"/>
        <v>1.4</v>
      </c>
      <c r="R34" s="5"/>
      <c r="S34" s="5">
        <f t="shared" si="5"/>
        <v>0</v>
      </c>
      <c r="T34" s="5">
        <f t="shared" si="6"/>
        <v>0</v>
      </c>
      <c r="U34" s="5"/>
      <c r="V34" s="18"/>
      <c r="W34" s="1">
        <f t="shared" si="7"/>
        <v>80.714285714285722</v>
      </c>
      <c r="X34" s="1">
        <f t="shared" si="4"/>
        <v>80.714285714285722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 t="s">
        <v>75</v>
      </c>
      <c r="AJ34" s="1">
        <f t="shared" si="8"/>
        <v>0</v>
      </c>
      <c r="AK34" s="1">
        <f t="shared" si="9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76</v>
      </c>
      <c r="B35" s="10" t="s">
        <v>35</v>
      </c>
      <c r="C35" s="10">
        <v>-23</v>
      </c>
      <c r="D35" s="10"/>
      <c r="E35" s="10"/>
      <c r="F35" s="15">
        <v>-23</v>
      </c>
      <c r="G35" s="11">
        <v>0</v>
      </c>
      <c r="H35" s="10">
        <v>60</v>
      </c>
      <c r="I35" s="10" t="s">
        <v>59</v>
      </c>
      <c r="J35" s="10" t="s">
        <v>77</v>
      </c>
      <c r="K35" s="10">
        <v>2</v>
      </c>
      <c r="L35" s="10">
        <f t="shared" si="2"/>
        <v>-2</v>
      </c>
      <c r="M35" s="10"/>
      <c r="N35" s="10"/>
      <c r="O35" s="10">
        <v>0</v>
      </c>
      <c r="P35" s="10"/>
      <c r="Q35" s="10">
        <f t="shared" si="3"/>
        <v>0</v>
      </c>
      <c r="R35" s="12"/>
      <c r="S35" s="5">
        <f t="shared" si="5"/>
        <v>0</v>
      </c>
      <c r="T35" s="5">
        <f t="shared" si="6"/>
        <v>0</v>
      </c>
      <c r="U35" s="5"/>
      <c r="V35" s="19"/>
      <c r="W35" s="1" t="e">
        <f t="shared" si="7"/>
        <v>#DIV/0!</v>
      </c>
      <c r="X35" s="10" t="e">
        <f t="shared" si="4"/>
        <v>#DIV/0!</v>
      </c>
      <c r="Y35" s="10">
        <v>1.6</v>
      </c>
      <c r="Z35" s="10">
        <v>25.6</v>
      </c>
      <c r="AA35" s="10">
        <v>54.8</v>
      </c>
      <c r="AB35" s="10">
        <v>70.599999999999994</v>
      </c>
      <c r="AC35" s="10">
        <v>60</v>
      </c>
      <c r="AD35" s="10">
        <v>72.400000000000006</v>
      </c>
      <c r="AE35" s="10">
        <v>65.2</v>
      </c>
      <c r="AF35" s="10">
        <v>59</v>
      </c>
      <c r="AG35" s="10">
        <v>96.6</v>
      </c>
      <c r="AH35" s="10">
        <v>47.6</v>
      </c>
      <c r="AI35" s="10" t="s">
        <v>78</v>
      </c>
      <c r="AJ35" s="1">
        <f t="shared" si="8"/>
        <v>0</v>
      </c>
      <c r="AK35" s="1">
        <f t="shared" si="9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79</v>
      </c>
      <c r="B36" s="10" t="s">
        <v>35</v>
      </c>
      <c r="C36" s="10">
        <v>10</v>
      </c>
      <c r="D36" s="10">
        <v>1</v>
      </c>
      <c r="E36" s="15">
        <v>3</v>
      </c>
      <c r="F36" s="15">
        <v>1</v>
      </c>
      <c r="G36" s="11">
        <v>0</v>
      </c>
      <c r="H36" s="10">
        <v>60</v>
      </c>
      <c r="I36" s="10" t="s">
        <v>59</v>
      </c>
      <c r="J36" s="10" t="s">
        <v>80</v>
      </c>
      <c r="K36" s="10">
        <v>271</v>
      </c>
      <c r="L36" s="10">
        <f t="shared" si="2"/>
        <v>-268</v>
      </c>
      <c r="M36" s="10"/>
      <c r="N36" s="10"/>
      <c r="O36" s="10">
        <v>0</v>
      </c>
      <c r="P36" s="10"/>
      <c r="Q36" s="10">
        <f t="shared" si="3"/>
        <v>0.6</v>
      </c>
      <c r="R36" s="12"/>
      <c r="S36" s="5">
        <f t="shared" si="5"/>
        <v>0</v>
      </c>
      <c r="T36" s="5">
        <f t="shared" si="6"/>
        <v>0</v>
      </c>
      <c r="U36" s="5"/>
      <c r="V36" s="19"/>
      <c r="W36" s="1">
        <f t="shared" si="7"/>
        <v>1.6666666666666667</v>
      </c>
      <c r="X36" s="10">
        <f t="shared" si="4"/>
        <v>1.6666666666666667</v>
      </c>
      <c r="Y36" s="10">
        <v>6</v>
      </c>
      <c r="Z36" s="10">
        <v>38.799999999999997</v>
      </c>
      <c r="AA36" s="10">
        <v>31.8</v>
      </c>
      <c r="AB36" s="10">
        <v>36.4</v>
      </c>
      <c r="AC36" s="10">
        <v>41.2</v>
      </c>
      <c r="AD36" s="10">
        <v>44</v>
      </c>
      <c r="AE36" s="10">
        <v>32.799999999999997</v>
      </c>
      <c r="AF36" s="10">
        <v>42.6</v>
      </c>
      <c r="AG36" s="10">
        <v>28</v>
      </c>
      <c r="AH36" s="10">
        <v>48.2</v>
      </c>
      <c r="AI36" s="10" t="s">
        <v>81</v>
      </c>
      <c r="AJ36" s="1">
        <f t="shared" si="8"/>
        <v>0</v>
      </c>
      <c r="AK36" s="1">
        <f t="shared" si="9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0" t="s">
        <v>82</v>
      </c>
      <c r="B37" s="10" t="s">
        <v>35</v>
      </c>
      <c r="C37" s="10">
        <v>42</v>
      </c>
      <c r="D37" s="10">
        <v>5</v>
      </c>
      <c r="E37" s="15">
        <v>20</v>
      </c>
      <c r="F37" s="15">
        <v>22</v>
      </c>
      <c r="G37" s="11">
        <v>0</v>
      </c>
      <c r="H37" s="10">
        <v>45</v>
      </c>
      <c r="I37" s="10" t="s">
        <v>59</v>
      </c>
      <c r="J37" s="10" t="s">
        <v>83</v>
      </c>
      <c r="K37" s="10">
        <v>27</v>
      </c>
      <c r="L37" s="10">
        <f t="shared" si="2"/>
        <v>-7</v>
      </c>
      <c r="M37" s="10"/>
      <c r="N37" s="10"/>
      <c r="O37" s="10">
        <v>0</v>
      </c>
      <c r="P37" s="10"/>
      <c r="Q37" s="10">
        <f t="shared" si="3"/>
        <v>4</v>
      </c>
      <c r="R37" s="12"/>
      <c r="S37" s="5">
        <f t="shared" si="5"/>
        <v>0</v>
      </c>
      <c r="T37" s="5">
        <f t="shared" si="6"/>
        <v>0</v>
      </c>
      <c r="U37" s="5"/>
      <c r="V37" s="19"/>
      <c r="W37" s="1">
        <f t="shared" si="7"/>
        <v>5.5</v>
      </c>
      <c r="X37" s="10">
        <f t="shared" si="4"/>
        <v>5.5</v>
      </c>
      <c r="Y37" s="10">
        <v>2.6</v>
      </c>
      <c r="Z37" s="10">
        <v>10.4</v>
      </c>
      <c r="AA37" s="10">
        <v>4.2</v>
      </c>
      <c r="AB37" s="10">
        <v>14.4</v>
      </c>
      <c r="AC37" s="10">
        <v>21.2</v>
      </c>
      <c r="AD37" s="10">
        <v>25.2</v>
      </c>
      <c r="AE37" s="10">
        <v>13.4</v>
      </c>
      <c r="AF37" s="10">
        <v>5</v>
      </c>
      <c r="AG37" s="10">
        <v>20.6</v>
      </c>
      <c r="AH37" s="10">
        <v>13.2</v>
      </c>
      <c r="AI37" s="10" t="s">
        <v>84</v>
      </c>
      <c r="AJ37" s="1">
        <f t="shared" si="8"/>
        <v>0</v>
      </c>
      <c r="AK37" s="1">
        <f t="shared" si="9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0" t="s">
        <v>85</v>
      </c>
      <c r="B38" s="10" t="s">
        <v>38</v>
      </c>
      <c r="C38" s="10">
        <v>15.96</v>
      </c>
      <c r="D38" s="10"/>
      <c r="E38" s="10">
        <v>15.96</v>
      </c>
      <c r="F38" s="10"/>
      <c r="G38" s="11">
        <v>0</v>
      </c>
      <c r="H38" s="10">
        <v>45</v>
      </c>
      <c r="I38" s="10" t="s">
        <v>59</v>
      </c>
      <c r="J38" s="10"/>
      <c r="K38" s="10">
        <v>15.8</v>
      </c>
      <c r="L38" s="10">
        <f t="shared" ref="L38:L69" si="16">E38-K38</f>
        <v>0.16000000000000014</v>
      </c>
      <c r="M38" s="10"/>
      <c r="N38" s="10"/>
      <c r="O38" s="10">
        <v>0</v>
      </c>
      <c r="P38" s="10"/>
      <c r="Q38" s="10">
        <f t="shared" ref="Q38:Q69" si="17">E38/5</f>
        <v>3.1920000000000002</v>
      </c>
      <c r="R38" s="12"/>
      <c r="S38" s="5">
        <f t="shared" si="5"/>
        <v>0</v>
      </c>
      <c r="T38" s="5">
        <f t="shared" si="6"/>
        <v>0</v>
      </c>
      <c r="U38" s="5"/>
      <c r="V38" s="19"/>
      <c r="W38" s="1">
        <f t="shared" si="7"/>
        <v>0</v>
      </c>
      <c r="X38" s="10">
        <f t="shared" ref="X38:X69" si="18">(F38+O38+P38)/Q38</f>
        <v>0</v>
      </c>
      <c r="Y38" s="10">
        <v>4.9079999999999986</v>
      </c>
      <c r="Z38" s="10">
        <v>2.702</v>
      </c>
      <c r="AA38" s="10">
        <v>1.6173999999999999</v>
      </c>
      <c r="AB38" s="10">
        <v>4.3179999999999996</v>
      </c>
      <c r="AC38" s="10">
        <v>2.4239999999999999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 t="s">
        <v>86</v>
      </c>
      <c r="AJ38" s="1">
        <f t="shared" si="8"/>
        <v>0</v>
      </c>
      <c r="AK38" s="1">
        <f t="shared" si="9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0" t="s">
        <v>87</v>
      </c>
      <c r="B39" s="10" t="s">
        <v>35</v>
      </c>
      <c r="C39" s="10">
        <v>70</v>
      </c>
      <c r="D39" s="10">
        <v>20</v>
      </c>
      <c r="E39" s="10">
        <v>49</v>
      </c>
      <c r="F39" s="10">
        <v>11</v>
      </c>
      <c r="G39" s="11">
        <v>0</v>
      </c>
      <c r="H39" s="10">
        <v>45</v>
      </c>
      <c r="I39" s="10" t="s">
        <v>59</v>
      </c>
      <c r="J39" s="10"/>
      <c r="K39" s="10">
        <v>72</v>
      </c>
      <c r="L39" s="10">
        <f t="shared" si="16"/>
        <v>-23</v>
      </c>
      <c r="M39" s="10"/>
      <c r="N39" s="10"/>
      <c r="O39" s="10">
        <v>0</v>
      </c>
      <c r="P39" s="10"/>
      <c r="Q39" s="10">
        <f t="shared" si="17"/>
        <v>9.8000000000000007</v>
      </c>
      <c r="R39" s="12"/>
      <c r="S39" s="5">
        <f t="shared" si="5"/>
        <v>0</v>
      </c>
      <c r="T39" s="5">
        <f t="shared" si="6"/>
        <v>0</v>
      </c>
      <c r="U39" s="5"/>
      <c r="V39" s="19"/>
      <c r="W39" s="1">
        <f t="shared" si="7"/>
        <v>1.1224489795918366</v>
      </c>
      <c r="X39" s="10">
        <f t="shared" si="18"/>
        <v>1.1224489795918366</v>
      </c>
      <c r="Y39" s="10">
        <v>10</v>
      </c>
      <c r="Z39" s="10">
        <v>5.4</v>
      </c>
      <c r="AA39" s="10">
        <v>13</v>
      </c>
      <c r="AB39" s="10">
        <v>1.2</v>
      </c>
      <c r="AC39" s="10">
        <v>10.6</v>
      </c>
      <c r="AD39" s="10">
        <v>3</v>
      </c>
      <c r="AE39" s="10">
        <v>7.4</v>
      </c>
      <c r="AF39" s="10">
        <v>1.6</v>
      </c>
      <c r="AG39" s="10">
        <v>0</v>
      </c>
      <c r="AH39" s="10">
        <v>1.2</v>
      </c>
      <c r="AI39" s="10" t="s">
        <v>88</v>
      </c>
      <c r="AJ39" s="1">
        <f t="shared" si="8"/>
        <v>0</v>
      </c>
      <c r="AK39" s="1">
        <f t="shared" si="9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89</v>
      </c>
      <c r="B40" s="1" t="s">
        <v>35</v>
      </c>
      <c r="C40" s="1">
        <v>233</v>
      </c>
      <c r="D40" s="1">
        <v>32</v>
      </c>
      <c r="E40" s="1">
        <v>103</v>
      </c>
      <c r="F40" s="1">
        <v>132</v>
      </c>
      <c r="G40" s="7">
        <v>0.3</v>
      </c>
      <c r="H40" s="1">
        <v>45</v>
      </c>
      <c r="I40" s="1" t="s">
        <v>36</v>
      </c>
      <c r="J40" s="1"/>
      <c r="K40" s="1">
        <v>117</v>
      </c>
      <c r="L40" s="1">
        <f t="shared" si="16"/>
        <v>-14</v>
      </c>
      <c r="M40" s="1"/>
      <c r="N40" s="1"/>
      <c r="O40" s="1">
        <v>0</v>
      </c>
      <c r="P40" s="1"/>
      <c r="Q40" s="1">
        <f t="shared" si="17"/>
        <v>20.6</v>
      </c>
      <c r="R40" s="5">
        <f t="shared" ref="R40:R44" si="19">15*Q40-P40-O40-F40</f>
        <v>177</v>
      </c>
      <c r="S40" s="5">
        <f t="shared" si="5"/>
        <v>177</v>
      </c>
      <c r="T40" s="5">
        <f t="shared" si="6"/>
        <v>177</v>
      </c>
      <c r="U40" s="5"/>
      <c r="V40" s="18"/>
      <c r="W40" s="1">
        <f t="shared" si="7"/>
        <v>14.999999999999998</v>
      </c>
      <c r="X40" s="1">
        <f t="shared" si="18"/>
        <v>6.407766990291262</v>
      </c>
      <c r="Y40" s="1">
        <v>16.2</v>
      </c>
      <c r="Z40" s="1">
        <v>23</v>
      </c>
      <c r="AA40" s="1">
        <v>29.6</v>
      </c>
      <c r="AB40" s="1">
        <v>17.600000000000001</v>
      </c>
      <c r="AC40" s="1">
        <v>29.2</v>
      </c>
      <c r="AD40" s="1">
        <v>42</v>
      </c>
      <c r="AE40" s="1">
        <v>0</v>
      </c>
      <c r="AF40" s="1">
        <v>0</v>
      </c>
      <c r="AG40" s="1">
        <v>0</v>
      </c>
      <c r="AH40" s="1">
        <v>18.399999999999999</v>
      </c>
      <c r="AI40" s="1"/>
      <c r="AJ40" s="1">
        <f t="shared" si="8"/>
        <v>53.1</v>
      </c>
      <c r="AK40" s="1">
        <f t="shared" si="9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90</v>
      </c>
      <c r="B41" s="1" t="s">
        <v>38</v>
      </c>
      <c r="C41" s="1">
        <v>35.087000000000003</v>
      </c>
      <c r="D41" s="1">
        <v>251.63499999999999</v>
      </c>
      <c r="E41" s="1">
        <v>111.652</v>
      </c>
      <c r="F41" s="1">
        <v>144.911</v>
      </c>
      <c r="G41" s="7">
        <v>1</v>
      </c>
      <c r="H41" s="1">
        <v>60</v>
      </c>
      <c r="I41" s="1" t="s">
        <v>36</v>
      </c>
      <c r="J41" s="1"/>
      <c r="K41" s="1">
        <v>178.3</v>
      </c>
      <c r="L41" s="1">
        <f t="shared" si="16"/>
        <v>-66.64800000000001</v>
      </c>
      <c r="M41" s="1"/>
      <c r="N41" s="1"/>
      <c r="O41" s="1">
        <v>135</v>
      </c>
      <c r="P41" s="1"/>
      <c r="Q41" s="1">
        <f t="shared" si="17"/>
        <v>22.330400000000001</v>
      </c>
      <c r="R41" s="5">
        <f t="shared" si="19"/>
        <v>55.045000000000016</v>
      </c>
      <c r="S41" s="5">
        <f>ROUND(R41,0)+60</f>
        <v>115</v>
      </c>
      <c r="T41" s="5">
        <f t="shared" si="6"/>
        <v>115</v>
      </c>
      <c r="U41" s="5"/>
      <c r="V41" s="18" t="s">
        <v>190</v>
      </c>
      <c r="W41" s="1">
        <f t="shared" si="7"/>
        <v>17.684904883029411</v>
      </c>
      <c r="X41" s="1">
        <f t="shared" si="18"/>
        <v>12.534974742951313</v>
      </c>
      <c r="Y41" s="1">
        <v>28.0184</v>
      </c>
      <c r="Z41" s="1">
        <v>23.045400000000001</v>
      </c>
      <c r="AA41" s="1">
        <v>18.9406</v>
      </c>
      <c r="AB41" s="1">
        <v>26.659800000000001</v>
      </c>
      <c r="AC41" s="1">
        <v>21.777200000000001</v>
      </c>
      <c r="AD41" s="1">
        <v>22.845600000000001</v>
      </c>
      <c r="AE41" s="1">
        <v>21.195799999999998</v>
      </c>
      <c r="AF41" s="1">
        <v>26.767199999999999</v>
      </c>
      <c r="AG41" s="1">
        <v>22.452999999999999</v>
      </c>
      <c r="AH41" s="1">
        <v>14.877000000000001</v>
      </c>
      <c r="AI41" s="1"/>
      <c r="AJ41" s="1">
        <f t="shared" si="8"/>
        <v>115</v>
      </c>
      <c r="AK41" s="1">
        <f t="shared" si="9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91</v>
      </c>
      <c r="B42" s="1" t="s">
        <v>38</v>
      </c>
      <c r="C42" s="1">
        <v>105.376</v>
      </c>
      <c r="D42" s="1">
        <v>25.047000000000001</v>
      </c>
      <c r="E42" s="1">
        <v>63.819000000000003</v>
      </c>
      <c r="F42" s="1">
        <v>33.305</v>
      </c>
      <c r="G42" s="7">
        <v>1</v>
      </c>
      <c r="H42" s="1">
        <v>45</v>
      </c>
      <c r="I42" s="1" t="s">
        <v>36</v>
      </c>
      <c r="J42" s="1"/>
      <c r="K42" s="1">
        <v>83.1</v>
      </c>
      <c r="L42" s="1">
        <f t="shared" si="16"/>
        <v>-19.280999999999992</v>
      </c>
      <c r="M42" s="1"/>
      <c r="N42" s="1"/>
      <c r="O42" s="1">
        <v>70</v>
      </c>
      <c r="P42" s="1"/>
      <c r="Q42" s="1">
        <f t="shared" si="17"/>
        <v>12.7638</v>
      </c>
      <c r="R42" s="5">
        <f t="shared" si="19"/>
        <v>88.151999999999987</v>
      </c>
      <c r="S42" s="5">
        <f t="shared" si="5"/>
        <v>88</v>
      </c>
      <c r="T42" s="5">
        <f t="shared" si="6"/>
        <v>88</v>
      </c>
      <c r="U42" s="5"/>
      <c r="V42" s="18"/>
      <c r="W42" s="1">
        <f t="shared" si="7"/>
        <v>14.988091320766543</v>
      </c>
      <c r="X42" s="1">
        <f t="shared" si="18"/>
        <v>8.0935928171861047</v>
      </c>
      <c r="Y42" s="1">
        <v>13.176600000000001</v>
      </c>
      <c r="Z42" s="1">
        <v>11.030799999999999</v>
      </c>
      <c r="AA42" s="1">
        <v>15.082599999999999</v>
      </c>
      <c r="AB42" s="1">
        <v>11.778600000000001</v>
      </c>
      <c r="AC42" s="1">
        <v>11.2448</v>
      </c>
      <c r="AD42" s="1">
        <v>14.4396</v>
      </c>
      <c r="AE42" s="1">
        <v>14.8492</v>
      </c>
      <c r="AF42" s="1">
        <v>17.9648</v>
      </c>
      <c r="AG42" s="1">
        <v>14.7774</v>
      </c>
      <c r="AH42" s="1">
        <v>12.758800000000001</v>
      </c>
      <c r="AI42" s="1"/>
      <c r="AJ42" s="1">
        <f t="shared" si="8"/>
        <v>88</v>
      </c>
      <c r="AK42" s="1">
        <f t="shared" si="9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92</v>
      </c>
      <c r="B43" s="1" t="s">
        <v>38</v>
      </c>
      <c r="C43" s="1">
        <v>95.471000000000004</v>
      </c>
      <c r="D43" s="1">
        <v>193.685</v>
      </c>
      <c r="E43" s="1">
        <v>178.01499999999999</v>
      </c>
      <c r="F43" s="1">
        <v>72.573999999999998</v>
      </c>
      <c r="G43" s="7">
        <v>1</v>
      </c>
      <c r="H43" s="1">
        <v>45</v>
      </c>
      <c r="I43" s="1" t="s">
        <v>36</v>
      </c>
      <c r="J43" s="1"/>
      <c r="K43" s="1">
        <v>190.8</v>
      </c>
      <c r="L43" s="1">
        <f t="shared" si="16"/>
        <v>-12.785000000000025</v>
      </c>
      <c r="M43" s="1"/>
      <c r="N43" s="1"/>
      <c r="O43" s="1">
        <v>0</v>
      </c>
      <c r="P43" s="1"/>
      <c r="Q43" s="1">
        <f t="shared" si="17"/>
        <v>35.602999999999994</v>
      </c>
      <c r="R43" s="5">
        <f>12*Q43-P43-O43-F43</f>
        <v>354.66199999999992</v>
      </c>
      <c r="S43" s="5">
        <f t="shared" si="5"/>
        <v>355</v>
      </c>
      <c r="T43" s="5">
        <f t="shared" si="6"/>
        <v>142</v>
      </c>
      <c r="U43" s="5">
        <f t="shared" ref="U43:U44" si="20">ROUND(S43*$U$1,0)</f>
        <v>213</v>
      </c>
      <c r="V43" s="18"/>
      <c r="W43" s="1">
        <f t="shared" si="7"/>
        <v>12.009493582001518</v>
      </c>
      <c r="X43" s="1">
        <f t="shared" si="18"/>
        <v>2.0384237283375</v>
      </c>
      <c r="Y43" s="1">
        <v>14.5686</v>
      </c>
      <c r="Z43" s="1">
        <v>20.5672</v>
      </c>
      <c r="AA43" s="1">
        <v>17.590800000000002</v>
      </c>
      <c r="AB43" s="1">
        <v>22.394200000000001</v>
      </c>
      <c r="AC43" s="1">
        <v>22.173999999999999</v>
      </c>
      <c r="AD43" s="1">
        <v>24.6816</v>
      </c>
      <c r="AE43" s="1">
        <v>17.996200000000002</v>
      </c>
      <c r="AF43" s="1">
        <v>17.272200000000002</v>
      </c>
      <c r="AG43" s="1">
        <v>10.6646</v>
      </c>
      <c r="AH43" s="1">
        <v>20.632000000000001</v>
      </c>
      <c r="AI43" s="1"/>
      <c r="AJ43" s="1">
        <f t="shared" si="8"/>
        <v>142</v>
      </c>
      <c r="AK43" s="1">
        <f t="shared" si="9"/>
        <v>213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93</v>
      </c>
      <c r="B44" s="1" t="s">
        <v>38</v>
      </c>
      <c r="C44" s="1">
        <v>111.521</v>
      </c>
      <c r="D44" s="1">
        <v>108.804</v>
      </c>
      <c r="E44" s="1">
        <v>198.52600000000001</v>
      </c>
      <c r="F44" s="1">
        <v>11.93</v>
      </c>
      <c r="G44" s="7">
        <v>1</v>
      </c>
      <c r="H44" s="1">
        <v>45</v>
      </c>
      <c r="I44" s="1" t="s">
        <v>36</v>
      </c>
      <c r="J44" s="1"/>
      <c r="K44" s="1">
        <v>221.5</v>
      </c>
      <c r="L44" s="1">
        <f t="shared" si="16"/>
        <v>-22.97399999999999</v>
      </c>
      <c r="M44" s="1"/>
      <c r="N44" s="1"/>
      <c r="O44" s="1">
        <v>123</v>
      </c>
      <c r="P44" s="1">
        <v>151</v>
      </c>
      <c r="Q44" s="1">
        <f t="shared" si="17"/>
        <v>39.705200000000005</v>
      </c>
      <c r="R44" s="5">
        <f t="shared" si="19"/>
        <v>309.64800000000008</v>
      </c>
      <c r="S44" s="5">
        <f t="shared" si="5"/>
        <v>310</v>
      </c>
      <c r="T44" s="5">
        <f t="shared" si="6"/>
        <v>124</v>
      </c>
      <c r="U44" s="5">
        <f t="shared" si="20"/>
        <v>186</v>
      </c>
      <c r="V44" s="18"/>
      <c r="W44" s="1">
        <f t="shared" si="7"/>
        <v>15.008865337537653</v>
      </c>
      <c r="X44" s="1">
        <f t="shared" si="18"/>
        <v>7.201323756082326</v>
      </c>
      <c r="Y44" s="1">
        <v>34.675600000000003</v>
      </c>
      <c r="Z44" s="1">
        <v>24.506</v>
      </c>
      <c r="AA44" s="1">
        <v>27.321200000000001</v>
      </c>
      <c r="AB44" s="1">
        <v>24.925999999999998</v>
      </c>
      <c r="AC44" s="1">
        <v>38.509399999999999</v>
      </c>
      <c r="AD44" s="1">
        <v>42.509799999999998</v>
      </c>
      <c r="AE44" s="1">
        <v>27.579799999999999</v>
      </c>
      <c r="AF44" s="1">
        <v>40.957799999999999</v>
      </c>
      <c r="AG44" s="1">
        <v>29.583200000000001</v>
      </c>
      <c r="AH44" s="1">
        <v>33.079799999999999</v>
      </c>
      <c r="AI44" s="1"/>
      <c r="AJ44" s="1">
        <f t="shared" si="8"/>
        <v>124</v>
      </c>
      <c r="AK44" s="1">
        <f t="shared" si="9"/>
        <v>186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94</v>
      </c>
      <c r="B45" s="1" t="s">
        <v>35</v>
      </c>
      <c r="C45" s="1">
        <v>1414</v>
      </c>
      <c r="D45" s="1">
        <v>25</v>
      </c>
      <c r="E45" s="1">
        <v>226</v>
      </c>
      <c r="F45" s="1">
        <v>1141</v>
      </c>
      <c r="G45" s="7">
        <v>0.3</v>
      </c>
      <c r="H45" s="1">
        <v>45</v>
      </c>
      <c r="I45" s="1" t="s">
        <v>36</v>
      </c>
      <c r="J45" s="1"/>
      <c r="K45" s="1">
        <v>706</v>
      </c>
      <c r="L45" s="1">
        <f t="shared" si="16"/>
        <v>-480</v>
      </c>
      <c r="M45" s="1"/>
      <c r="N45" s="1"/>
      <c r="O45" s="1">
        <v>0</v>
      </c>
      <c r="P45" s="1"/>
      <c r="Q45" s="1">
        <f t="shared" si="17"/>
        <v>45.2</v>
      </c>
      <c r="R45" s="5"/>
      <c r="S45" s="5">
        <f t="shared" si="5"/>
        <v>0</v>
      </c>
      <c r="T45" s="5">
        <f t="shared" si="6"/>
        <v>0</v>
      </c>
      <c r="U45" s="5"/>
      <c r="V45" s="18"/>
      <c r="W45" s="1">
        <f t="shared" si="7"/>
        <v>25.243362831858406</v>
      </c>
      <c r="X45" s="1">
        <f t="shared" si="18"/>
        <v>25.243362831858406</v>
      </c>
      <c r="Y45" s="1">
        <v>46</v>
      </c>
      <c r="Z45" s="1">
        <v>45.4</v>
      </c>
      <c r="AA45" s="1">
        <v>55.4</v>
      </c>
      <c r="AB45" s="1">
        <v>70.8</v>
      </c>
      <c r="AC45" s="1">
        <v>472.6</v>
      </c>
      <c r="AD45" s="1">
        <v>1125</v>
      </c>
      <c r="AE45" s="1">
        <v>88.8</v>
      </c>
      <c r="AF45" s="1">
        <v>92.2</v>
      </c>
      <c r="AG45" s="1">
        <v>90.2</v>
      </c>
      <c r="AH45" s="1">
        <v>75.2</v>
      </c>
      <c r="AI45" s="14" t="s">
        <v>48</v>
      </c>
      <c r="AJ45" s="1">
        <f t="shared" si="8"/>
        <v>0</v>
      </c>
      <c r="AK45" s="1">
        <f t="shared" si="9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0" t="s">
        <v>95</v>
      </c>
      <c r="B46" s="10" t="s">
        <v>38</v>
      </c>
      <c r="C46" s="10"/>
      <c r="D46" s="10"/>
      <c r="E46" s="10"/>
      <c r="F46" s="10"/>
      <c r="G46" s="11">
        <v>0</v>
      </c>
      <c r="H46" s="10"/>
      <c r="I46" s="10" t="s">
        <v>36</v>
      </c>
      <c r="J46" s="10"/>
      <c r="K46" s="10"/>
      <c r="L46" s="10">
        <f t="shared" si="16"/>
        <v>0</v>
      </c>
      <c r="M46" s="10"/>
      <c r="N46" s="10"/>
      <c r="O46" s="10">
        <v>0</v>
      </c>
      <c r="P46" s="10"/>
      <c r="Q46" s="10">
        <f t="shared" si="17"/>
        <v>0</v>
      </c>
      <c r="R46" s="12"/>
      <c r="S46" s="5">
        <f t="shared" si="5"/>
        <v>0</v>
      </c>
      <c r="T46" s="5">
        <f t="shared" si="6"/>
        <v>0</v>
      </c>
      <c r="U46" s="5"/>
      <c r="V46" s="19"/>
      <c r="W46" s="1" t="e">
        <f t="shared" si="7"/>
        <v>#DIV/0!</v>
      </c>
      <c r="X46" s="10" t="e">
        <f t="shared" si="18"/>
        <v>#DIV/0!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 t="s">
        <v>96</v>
      </c>
      <c r="AJ46" s="1">
        <f t="shared" si="8"/>
        <v>0</v>
      </c>
      <c r="AK46" s="1">
        <f t="shared" si="9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97</v>
      </c>
      <c r="B47" s="1" t="s">
        <v>38</v>
      </c>
      <c r="C47" s="1">
        <v>162.947</v>
      </c>
      <c r="D47" s="1"/>
      <c r="E47" s="1">
        <v>1.2529999999999999</v>
      </c>
      <c r="F47" s="1">
        <v>161.39400000000001</v>
      </c>
      <c r="G47" s="7">
        <v>1</v>
      </c>
      <c r="H47" s="1">
        <v>45</v>
      </c>
      <c r="I47" s="1" t="s">
        <v>36</v>
      </c>
      <c r="J47" s="1"/>
      <c r="K47" s="1">
        <v>4</v>
      </c>
      <c r="L47" s="1">
        <f t="shared" si="16"/>
        <v>-2.7469999999999999</v>
      </c>
      <c r="M47" s="1"/>
      <c r="N47" s="1"/>
      <c r="O47" s="1">
        <v>0</v>
      </c>
      <c r="P47" s="1"/>
      <c r="Q47" s="1">
        <f t="shared" si="17"/>
        <v>0.25059999999999999</v>
      </c>
      <c r="R47" s="5"/>
      <c r="S47" s="5">
        <f t="shared" si="5"/>
        <v>0</v>
      </c>
      <c r="T47" s="5">
        <f t="shared" si="6"/>
        <v>0</v>
      </c>
      <c r="U47" s="5"/>
      <c r="V47" s="18"/>
      <c r="W47" s="1">
        <f t="shared" si="7"/>
        <v>644.0303272146848</v>
      </c>
      <c r="X47" s="1">
        <f t="shared" si="18"/>
        <v>644.0303272146848</v>
      </c>
      <c r="Y47" s="1">
        <v>1.5486</v>
      </c>
      <c r="Z47" s="1">
        <v>0</v>
      </c>
      <c r="AA47" s="1">
        <v>2.1534</v>
      </c>
      <c r="AB47" s="1">
        <v>0.62980000000000003</v>
      </c>
      <c r="AC47" s="1">
        <v>2.1646000000000001</v>
      </c>
      <c r="AD47" s="1">
        <v>2.6646000000000001</v>
      </c>
      <c r="AE47" s="1">
        <v>1.2427999999999999</v>
      </c>
      <c r="AF47" s="1">
        <v>1.234</v>
      </c>
      <c r="AG47" s="1">
        <v>3.0461999999999998</v>
      </c>
      <c r="AH47" s="1">
        <v>2.7833999999999999</v>
      </c>
      <c r="AI47" s="16" t="s">
        <v>176</v>
      </c>
      <c r="AJ47" s="1">
        <f t="shared" si="8"/>
        <v>0</v>
      </c>
      <c r="AK47" s="1">
        <f t="shared" si="9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98</v>
      </c>
      <c r="B48" s="1" t="s">
        <v>35</v>
      </c>
      <c r="C48" s="1">
        <v>1097</v>
      </c>
      <c r="D48" s="1">
        <v>1156</v>
      </c>
      <c r="E48" s="1">
        <v>1504</v>
      </c>
      <c r="F48" s="1">
        <v>587</v>
      </c>
      <c r="G48" s="7">
        <v>0.35</v>
      </c>
      <c r="H48" s="1">
        <v>45</v>
      </c>
      <c r="I48" s="9" t="s">
        <v>50</v>
      </c>
      <c r="J48" s="1"/>
      <c r="K48" s="1">
        <v>1986</v>
      </c>
      <c r="L48" s="1">
        <f t="shared" si="16"/>
        <v>-482</v>
      </c>
      <c r="M48" s="1"/>
      <c r="N48" s="1"/>
      <c r="O48" s="1">
        <v>590</v>
      </c>
      <c r="P48" s="1">
        <v>150</v>
      </c>
      <c r="Q48" s="1">
        <f t="shared" si="17"/>
        <v>300.8</v>
      </c>
      <c r="R48" s="5">
        <v>1600</v>
      </c>
      <c r="S48" s="5">
        <f t="shared" si="5"/>
        <v>1600</v>
      </c>
      <c r="T48" s="5">
        <f t="shared" si="6"/>
        <v>640</v>
      </c>
      <c r="U48" s="5">
        <f>ROUND(S48*$U$1,0)</f>
        <v>960</v>
      </c>
      <c r="V48" s="18"/>
      <c r="W48" s="1">
        <f t="shared" si="7"/>
        <v>9.7307180851063819</v>
      </c>
      <c r="X48" s="1">
        <f t="shared" si="18"/>
        <v>4.4115691489361701</v>
      </c>
      <c r="Y48" s="1">
        <v>181</v>
      </c>
      <c r="Z48" s="1">
        <v>160.6</v>
      </c>
      <c r="AA48" s="1">
        <v>152.19999999999999</v>
      </c>
      <c r="AB48" s="1">
        <v>238</v>
      </c>
      <c r="AC48" s="1">
        <v>215.8</v>
      </c>
      <c r="AD48" s="1">
        <v>254.4</v>
      </c>
      <c r="AE48" s="1">
        <v>225.4</v>
      </c>
      <c r="AF48" s="1">
        <v>174.6</v>
      </c>
      <c r="AG48" s="1">
        <v>242.8</v>
      </c>
      <c r="AH48" s="1">
        <v>195.2</v>
      </c>
      <c r="AI48" s="1" t="s">
        <v>99</v>
      </c>
      <c r="AJ48" s="1">
        <f t="shared" si="8"/>
        <v>224</v>
      </c>
      <c r="AK48" s="1">
        <f t="shared" si="9"/>
        <v>336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3" t="s">
        <v>100</v>
      </c>
      <c r="B49" s="10" t="s">
        <v>35</v>
      </c>
      <c r="C49" s="10"/>
      <c r="D49" s="10"/>
      <c r="E49" s="15">
        <v>3</v>
      </c>
      <c r="F49" s="15">
        <v>-3</v>
      </c>
      <c r="G49" s="11">
        <v>0</v>
      </c>
      <c r="H49" s="10"/>
      <c r="I49" s="13" t="s">
        <v>59</v>
      </c>
      <c r="J49" s="10" t="s">
        <v>101</v>
      </c>
      <c r="K49" s="10">
        <v>3</v>
      </c>
      <c r="L49" s="10">
        <f t="shared" si="16"/>
        <v>0</v>
      </c>
      <c r="M49" s="10"/>
      <c r="N49" s="10"/>
      <c r="O49" s="10"/>
      <c r="P49" s="10"/>
      <c r="Q49" s="10">
        <f t="shared" si="17"/>
        <v>0.6</v>
      </c>
      <c r="R49" s="12"/>
      <c r="S49" s="5">
        <f t="shared" si="5"/>
        <v>0</v>
      </c>
      <c r="T49" s="5">
        <f t="shared" si="6"/>
        <v>0</v>
      </c>
      <c r="U49" s="5"/>
      <c r="V49" s="19"/>
      <c r="W49" s="1">
        <f t="shared" si="7"/>
        <v>-5</v>
      </c>
      <c r="X49" s="10">
        <f t="shared" si="18"/>
        <v>-5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/>
      <c r="AJ49" s="1">
        <f t="shared" si="8"/>
        <v>0</v>
      </c>
      <c r="AK49" s="1">
        <f t="shared" si="9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102</v>
      </c>
      <c r="B50" s="1" t="s">
        <v>35</v>
      </c>
      <c r="C50" s="1">
        <v>265</v>
      </c>
      <c r="D50" s="1">
        <v>17</v>
      </c>
      <c r="E50" s="1">
        <v>131</v>
      </c>
      <c r="F50" s="1">
        <v>74</v>
      </c>
      <c r="G50" s="7">
        <v>0.41</v>
      </c>
      <c r="H50" s="1">
        <v>45</v>
      </c>
      <c r="I50" s="1" t="s">
        <v>36</v>
      </c>
      <c r="J50" s="1"/>
      <c r="K50" s="1">
        <v>580</v>
      </c>
      <c r="L50" s="1">
        <f t="shared" si="16"/>
        <v>-449</v>
      </c>
      <c r="M50" s="1"/>
      <c r="N50" s="1"/>
      <c r="O50" s="1">
        <v>334</v>
      </c>
      <c r="P50" s="1">
        <v>409</v>
      </c>
      <c r="Q50" s="1">
        <f t="shared" si="17"/>
        <v>26.2</v>
      </c>
      <c r="R50" s="5"/>
      <c r="S50" s="5">
        <f t="shared" si="5"/>
        <v>0</v>
      </c>
      <c r="T50" s="5">
        <f t="shared" si="6"/>
        <v>0</v>
      </c>
      <c r="U50" s="5"/>
      <c r="V50" s="18"/>
      <c r="W50" s="1">
        <f t="shared" si="7"/>
        <v>31.18320610687023</v>
      </c>
      <c r="X50" s="1">
        <f t="shared" si="18"/>
        <v>31.18320610687023</v>
      </c>
      <c r="Y50" s="1">
        <v>72</v>
      </c>
      <c r="Z50" s="1">
        <v>37.200000000000003</v>
      </c>
      <c r="AA50" s="1">
        <v>47.2</v>
      </c>
      <c r="AB50" s="1">
        <v>73.8</v>
      </c>
      <c r="AC50" s="1">
        <v>85.4</v>
      </c>
      <c r="AD50" s="1">
        <v>90</v>
      </c>
      <c r="AE50" s="1">
        <v>70.8</v>
      </c>
      <c r="AF50" s="1">
        <v>61</v>
      </c>
      <c r="AG50" s="1">
        <v>64.599999999999994</v>
      </c>
      <c r="AH50" s="1">
        <v>87.2</v>
      </c>
      <c r="AI50" s="1"/>
      <c r="AJ50" s="1">
        <f t="shared" si="8"/>
        <v>0</v>
      </c>
      <c r="AK50" s="1">
        <f t="shared" si="9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103</v>
      </c>
      <c r="B51" s="1" t="s">
        <v>35</v>
      </c>
      <c r="C51" s="1">
        <v>108</v>
      </c>
      <c r="D51" s="1">
        <v>11</v>
      </c>
      <c r="E51" s="1">
        <v>95</v>
      </c>
      <c r="F51" s="1">
        <v>4</v>
      </c>
      <c r="G51" s="7">
        <v>0.41</v>
      </c>
      <c r="H51" s="1">
        <v>45</v>
      </c>
      <c r="I51" s="1" t="s">
        <v>36</v>
      </c>
      <c r="J51" s="1"/>
      <c r="K51" s="1">
        <v>142</v>
      </c>
      <c r="L51" s="1">
        <f t="shared" si="16"/>
        <v>-47</v>
      </c>
      <c r="M51" s="1"/>
      <c r="N51" s="1"/>
      <c r="O51" s="1">
        <v>35</v>
      </c>
      <c r="P51" s="1"/>
      <c r="Q51" s="1">
        <f t="shared" si="17"/>
        <v>19</v>
      </c>
      <c r="R51" s="5">
        <f>12*Q51-P51-O51-F51</f>
        <v>189</v>
      </c>
      <c r="S51" s="5">
        <f>ROUND(R51,0)+60</f>
        <v>249</v>
      </c>
      <c r="T51" s="5">
        <f t="shared" si="6"/>
        <v>100</v>
      </c>
      <c r="U51" s="5">
        <f t="shared" ref="U51:U52" si="21">ROUND(S51*$U$1,0)</f>
        <v>149</v>
      </c>
      <c r="V51" s="18" t="s">
        <v>191</v>
      </c>
      <c r="W51" s="1">
        <f t="shared" si="7"/>
        <v>15.157894736842104</v>
      </c>
      <c r="X51" s="1">
        <f t="shared" si="18"/>
        <v>2.0526315789473686</v>
      </c>
      <c r="Y51" s="1">
        <v>10.199999999999999</v>
      </c>
      <c r="Z51" s="1">
        <v>7.6</v>
      </c>
      <c r="AA51" s="1">
        <v>13.8</v>
      </c>
      <c r="AB51" s="1">
        <v>14</v>
      </c>
      <c r="AC51" s="1">
        <v>12.6</v>
      </c>
      <c r="AD51" s="1">
        <v>24.6</v>
      </c>
      <c r="AE51" s="1">
        <v>24.6</v>
      </c>
      <c r="AF51" s="1">
        <v>19</v>
      </c>
      <c r="AG51" s="1">
        <v>12.2</v>
      </c>
      <c r="AH51" s="1">
        <v>19.8</v>
      </c>
      <c r="AI51" s="1"/>
      <c r="AJ51" s="1">
        <f t="shared" si="8"/>
        <v>41</v>
      </c>
      <c r="AK51" s="1">
        <f t="shared" si="9"/>
        <v>61.089999999999996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104</v>
      </c>
      <c r="B52" s="1" t="s">
        <v>35</v>
      </c>
      <c r="C52" s="1">
        <v>361</v>
      </c>
      <c r="D52" s="1">
        <v>71</v>
      </c>
      <c r="E52" s="1">
        <v>202</v>
      </c>
      <c r="F52" s="1">
        <v>151</v>
      </c>
      <c r="G52" s="7">
        <v>0.36</v>
      </c>
      <c r="H52" s="1">
        <v>45</v>
      </c>
      <c r="I52" s="1" t="s">
        <v>36</v>
      </c>
      <c r="J52" s="1"/>
      <c r="K52" s="1">
        <v>262</v>
      </c>
      <c r="L52" s="1">
        <f t="shared" si="16"/>
        <v>-60</v>
      </c>
      <c r="M52" s="1"/>
      <c r="N52" s="1"/>
      <c r="O52" s="1">
        <v>0</v>
      </c>
      <c r="P52" s="1"/>
      <c r="Q52" s="1">
        <f t="shared" si="17"/>
        <v>40.4</v>
      </c>
      <c r="R52" s="5">
        <f>14*Q52-P52-O52-F52</f>
        <v>414.6</v>
      </c>
      <c r="S52" s="5">
        <f t="shared" si="5"/>
        <v>415</v>
      </c>
      <c r="T52" s="5">
        <f t="shared" si="6"/>
        <v>166</v>
      </c>
      <c r="U52" s="5">
        <f t="shared" si="21"/>
        <v>249</v>
      </c>
      <c r="V52" s="18"/>
      <c r="W52" s="1">
        <f t="shared" si="7"/>
        <v>14.009900990099011</v>
      </c>
      <c r="X52" s="1">
        <f t="shared" si="18"/>
        <v>3.7376237623762378</v>
      </c>
      <c r="Y52" s="1">
        <v>28</v>
      </c>
      <c r="Z52" s="1">
        <v>36.799999999999997</v>
      </c>
      <c r="AA52" s="1">
        <v>35.6</v>
      </c>
      <c r="AB52" s="1">
        <v>58.4</v>
      </c>
      <c r="AC52" s="1">
        <v>42.6</v>
      </c>
      <c r="AD52" s="1">
        <v>61.8</v>
      </c>
      <c r="AE52" s="1">
        <v>30.8</v>
      </c>
      <c r="AF52" s="1">
        <v>48.8</v>
      </c>
      <c r="AG52" s="1">
        <v>26.6</v>
      </c>
      <c r="AH52" s="1">
        <v>45.8</v>
      </c>
      <c r="AI52" s="1"/>
      <c r="AJ52" s="1">
        <f t="shared" si="8"/>
        <v>59.76</v>
      </c>
      <c r="AK52" s="1">
        <f t="shared" si="9"/>
        <v>89.64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105</v>
      </c>
      <c r="B53" s="1" t="s">
        <v>35</v>
      </c>
      <c r="C53" s="1">
        <v>226</v>
      </c>
      <c r="D53" s="1">
        <v>6</v>
      </c>
      <c r="E53" s="1">
        <v>57</v>
      </c>
      <c r="F53" s="1">
        <v>163</v>
      </c>
      <c r="G53" s="7">
        <v>0.33</v>
      </c>
      <c r="H53" s="1">
        <v>45</v>
      </c>
      <c r="I53" s="1" t="s">
        <v>36</v>
      </c>
      <c r="J53" s="1"/>
      <c r="K53" s="1">
        <v>374</v>
      </c>
      <c r="L53" s="1">
        <f t="shared" si="16"/>
        <v>-317</v>
      </c>
      <c r="M53" s="1"/>
      <c r="N53" s="1"/>
      <c r="O53" s="1">
        <v>193</v>
      </c>
      <c r="P53" s="1">
        <v>236</v>
      </c>
      <c r="Q53" s="1">
        <f t="shared" si="17"/>
        <v>11.4</v>
      </c>
      <c r="R53" s="5"/>
      <c r="S53" s="5">
        <f t="shared" si="5"/>
        <v>0</v>
      </c>
      <c r="T53" s="5">
        <f t="shared" si="6"/>
        <v>0</v>
      </c>
      <c r="U53" s="5"/>
      <c r="V53" s="18"/>
      <c r="W53" s="1">
        <f t="shared" si="7"/>
        <v>51.929824561403507</v>
      </c>
      <c r="X53" s="1">
        <f t="shared" si="18"/>
        <v>51.929824561403507</v>
      </c>
      <c r="Y53" s="1">
        <v>46.8</v>
      </c>
      <c r="Z53" s="1">
        <v>26.4</v>
      </c>
      <c r="AA53" s="1">
        <v>39.4</v>
      </c>
      <c r="AB53" s="1">
        <v>53.2</v>
      </c>
      <c r="AC53" s="1">
        <v>56.4</v>
      </c>
      <c r="AD53" s="1">
        <v>54.2</v>
      </c>
      <c r="AE53" s="1">
        <v>59.2</v>
      </c>
      <c r="AF53" s="1">
        <v>41.2</v>
      </c>
      <c r="AG53" s="1">
        <v>51.6</v>
      </c>
      <c r="AH53" s="1">
        <v>54.8</v>
      </c>
      <c r="AI53" s="16" t="s">
        <v>177</v>
      </c>
      <c r="AJ53" s="1">
        <f t="shared" si="8"/>
        <v>0</v>
      </c>
      <c r="AK53" s="1">
        <f t="shared" si="9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106</v>
      </c>
      <c r="B54" s="1" t="s">
        <v>35</v>
      </c>
      <c r="C54" s="1">
        <v>235</v>
      </c>
      <c r="D54" s="1">
        <v>363</v>
      </c>
      <c r="E54" s="1">
        <v>122</v>
      </c>
      <c r="F54" s="1">
        <v>435</v>
      </c>
      <c r="G54" s="7">
        <v>0.4</v>
      </c>
      <c r="H54" s="1">
        <v>60</v>
      </c>
      <c r="I54" s="1" t="s">
        <v>36</v>
      </c>
      <c r="J54" s="1"/>
      <c r="K54" s="1">
        <v>150</v>
      </c>
      <c r="L54" s="1">
        <f t="shared" si="16"/>
        <v>-28</v>
      </c>
      <c r="M54" s="1"/>
      <c r="N54" s="1"/>
      <c r="O54" s="1">
        <v>0</v>
      </c>
      <c r="P54" s="1"/>
      <c r="Q54" s="1">
        <f t="shared" si="17"/>
        <v>24.4</v>
      </c>
      <c r="R54" s="5"/>
      <c r="S54" s="5">
        <f t="shared" si="5"/>
        <v>0</v>
      </c>
      <c r="T54" s="5">
        <f t="shared" si="6"/>
        <v>0</v>
      </c>
      <c r="U54" s="5"/>
      <c r="V54" s="18"/>
      <c r="W54" s="1">
        <f t="shared" si="7"/>
        <v>17.827868852459016</v>
      </c>
      <c r="X54" s="1">
        <f t="shared" si="18"/>
        <v>17.827868852459016</v>
      </c>
      <c r="Y54" s="1">
        <v>28.2</v>
      </c>
      <c r="Z54" s="1">
        <v>23.8</v>
      </c>
      <c r="AA54" s="1">
        <v>33.200000000000003</v>
      </c>
      <c r="AB54" s="1">
        <v>20.8</v>
      </c>
      <c r="AC54" s="1">
        <v>38.799999999999997</v>
      </c>
      <c r="AD54" s="1">
        <v>37.4</v>
      </c>
      <c r="AE54" s="1">
        <v>0</v>
      </c>
      <c r="AF54" s="1">
        <v>0</v>
      </c>
      <c r="AG54" s="1">
        <v>11.2</v>
      </c>
      <c r="AH54" s="1">
        <v>40.200000000000003</v>
      </c>
      <c r="AI54" s="1"/>
      <c r="AJ54" s="1">
        <f t="shared" si="8"/>
        <v>0</v>
      </c>
      <c r="AK54" s="1">
        <f t="shared" si="9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107</v>
      </c>
      <c r="B55" s="1" t="s">
        <v>35</v>
      </c>
      <c r="C55" s="1">
        <v>1</v>
      </c>
      <c r="D55" s="1">
        <v>28</v>
      </c>
      <c r="E55" s="1">
        <v>20</v>
      </c>
      <c r="F55" s="1">
        <v>-2</v>
      </c>
      <c r="G55" s="7">
        <v>0.33</v>
      </c>
      <c r="H55" s="1">
        <v>45</v>
      </c>
      <c r="I55" s="1" t="s">
        <v>36</v>
      </c>
      <c r="J55" s="1"/>
      <c r="K55" s="1">
        <v>41</v>
      </c>
      <c r="L55" s="1">
        <f t="shared" si="16"/>
        <v>-21</v>
      </c>
      <c r="M55" s="1"/>
      <c r="N55" s="1"/>
      <c r="O55" s="1">
        <v>30</v>
      </c>
      <c r="P55" s="1"/>
      <c r="Q55" s="1">
        <f t="shared" si="17"/>
        <v>4</v>
      </c>
      <c r="R55" s="5">
        <f t="shared" ref="R55:R58" si="22">15*Q55-P55-O55-F55</f>
        <v>32</v>
      </c>
      <c r="S55" s="5">
        <f t="shared" si="5"/>
        <v>32</v>
      </c>
      <c r="T55" s="5">
        <f t="shared" si="6"/>
        <v>32</v>
      </c>
      <c r="U55" s="5"/>
      <c r="V55" s="18"/>
      <c r="W55" s="1">
        <f t="shared" si="7"/>
        <v>15</v>
      </c>
      <c r="X55" s="1">
        <f t="shared" si="18"/>
        <v>7</v>
      </c>
      <c r="Y55" s="1">
        <v>4.2</v>
      </c>
      <c r="Z55" s="1">
        <v>3.6</v>
      </c>
      <c r="AA55" s="1">
        <v>3.6</v>
      </c>
      <c r="AB55" s="1">
        <v>4.5999999999999996</v>
      </c>
      <c r="AC55" s="1">
        <v>5.6</v>
      </c>
      <c r="AD55" s="1">
        <v>6.2</v>
      </c>
      <c r="AE55" s="1">
        <v>18</v>
      </c>
      <c r="AF55" s="1">
        <v>13</v>
      </c>
      <c r="AG55" s="1">
        <v>26.6</v>
      </c>
      <c r="AH55" s="1">
        <v>4.8</v>
      </c>
      <c r="AI55" s="1"/>
      <c r="AJ55" s="1">
        <f t="shared" si="8"/>
        <v>10.56</v>
      </c>
      <c r="AK55" s="1">
        <f t="shared" si="9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108</v>
      </c>
      <c r="B56" s="1" t="s">
        <v>38</v>
      </c>
      <c r="C56" s="1">
        <v>422.80099999999999</v>
      </c>
      <c r="D56" s="1">
        <v>262.13299999999998</v>
      </c>
      <c r="E56" s="1">
        <v>418.53</v>
      </c>
      <c r="F56" s="1">
        <v>143.72800000000001</v>
      </c>
      <c r="G56" s="7">
        <v>1</v>
      </c>
      <c r="H56" s="1">
        <v>45</v>
      </c>
      <c r="I56" s="1" t="s">
        <v>36</v>
      </c>
      <c r="J56" s="1"/>
      <c r="K56" s="1">
        <v>439</v>
      </c>
      <c r="L56" s="1">
        <f t="shared" si="16"/>
        <v>-20.470000000000027</v>
      </c>
      <c r="M56" s="1"/>
      <c r="N56" s="1"/>
      <c r="O56" s="1">
        <v>229</v>
      </c>
      <c r="P56" s="1">
        <v>281</v>
      </c>
      <c r="Q56" s="1">
        <f t="shared" si="17"/>
        <v>83.705999999999989</v>
      </c>
      <c r="R56" s="5">
        <f t="shared" si="22"/>
        <v>601.86199999999985</v>
      </c>
      <c r="S56" s="5">
        <f t="shared" si="5"/>
        <v>602</v>
      </c>
      <c r="T56" s="5">
        <f t="shared" si="6"/>
        <v>241</v>
      </c>
      <c r="U56" s="5">
        <f>ROUND(S56*$U$1,0)</f>
        <v>361</v>
      </c>
      <c r="V56" s="18"/>
      <c r="W56" s="1">
        <f t="shared" si="7"/>
        <v>15.001648627338545</v>
      </c>
      <c r="X56" s="1">
        <f t="shared" si="18"/>
        <v>7.8098105273218188</v>
      </c>
      <c r="Y56" s="1">
        <v>83.758600000000001</v>
      </c>
      <c r="Z56" s="1">
        <v>66.909199999999998</v>
      </c>
      <c r="AA56" s="1">
        <v>79.169799999999995</v>
      </c>
      <c r="AB56" s="1">
        <v>59.140799999999999</v>
      </c>
      <c r="AC56" s="1">
        <v>88.197000000000003</v>
      </c>
      <c r="AD56" s="1">
        <v>93.295600000000007</v>
      </c>
      <c r="AE56" s="1">
        <v>55.942399999999999</v>
      </c>
      <c r="AF56" s="1">
        <v>66.259600000000006</v>
      </c>
      <c r="AG56" s="1">
        <v>76.353999999999999</v>
      </c>
      <c r="AH56" s="1">
        <v>67.717999999999989</v>
      </c>
      <c r="AI56" s="1"/>
      <c r="AJ56" s="1">
        <f t="shared" si="8"/>
        <v>241</v>
      </c>
      <c r="AK56" s="1">
        <f t="shared" si="9"/>
        <v>361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109</v>
      </c>
      <c r="B57" s="1" t="s">
        <v>35</v>
      </c>
      <c r="C57" s="1">
        <v>9</v>
      </c>
      <c r="D57" s="1">
        <v>14</v>
      </c>
      <c r="E57" s="1">
        <v>16</v>
      </c>
      <c r="F57" s="1">
        <v>-4</v>
      </c>
      <c r="G57" s="7">
        <v>0.4</v>
      </c>
      <c r="H57" s="1">
        <v>45</v>
      </c>
      <c r="I57" s="1" t="s">
        <v>36</v>
      </c>
      <c r="J57" s="1"/>
      <c r="K57" s="1">
        <v>41</v>
      </c>
      <c r="L57" s="1">
        <f t="shared" si="16"/>
        <v>-25</v>
      </c>
      <c r="M57" s="1"/>
      <c r="N57" s="1"/>
      <c r="O57" s="1">
        <v>49</v>
      </c>
      <c r="P57" s="1"/>
      <c r="Q57" s="1">
        <f t="shared" si="17"/>
        <v>3.2</v>
      </c>
      <c r="R57" s="5">
        <v>16</v>
      </c>
      <c r="S57" s="5">
        <f t="shared" si="5"/>
        <v>16</v>
      </c>
      <c r="T57" s="5">
        <f t="shared" si="6"/>
        <v>16</v>
      </c>
      <c r="U57" s="5"/>
      <c r="V57" s="18"/>
      <c r="W57" s="1">
        <f t="shared" si="7"/>
        <v>19.0625</v>
      </c>
      <c r="X57" s="1">
        <f t="shared" si="18"/>
        <v>14.0625</v>
      </c>
      <c r="Y57" s="1">
        <v>4.8</v>
      </c>
      <c r="Z57" s="1">
        <v>2.8</v>
      </c>
      <c r="AA57" s="1">
        <v>3.4</v>
      </c>
      <c r="AB57" s="1">
        <v>1.6</v>
      </c>
      <c r="AC57" s="1">
        <v>4.2</v>
      </c>
      <c r="AD57" s="1">
        <v>9</v>
      </c>
      <c r="AE57" s="1">
        <v>6.2</v>
      </c>
      <c r="AF57" s="1">
        <v>7.2</v>
      </c>
      <c r="AG57" s="1">
        <v>7.2</v>
      </c>
      <c r="AH57" s="1">
        <v>2.6</v>
      </c>
      <c r="AI57" s="1"/>
      <c r="AJ57" s="1">
        <f t="shared" si="8"/>
        <v>6.4</v>
      </c>
      <c r="AK57" s="1">
        <f t="shared" si="9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110</v>
      </c>
      <c r="B58" s="1" t="s">
        <v>38</v>
      </c>
      <c r="C58" s="1">
        <v>5.6000000000000001E-2</v>
      </c>
      <c r="D58" s="1">
        <v>27.312000000000001</v>
      </c>
      <c r="E58" s="1">
        <v>12.7</v>
      </c>
      <c r="F58" s="1">
        <v>9.798</v>
      </c>
      <c r="G58" s="7">
        <v>1</v>
      </c>
      <c r="H58" s="1">
        <v>60</v>
      </c>
      <c r="I58" s="1" t="s">
        <v>36</v>
      </c>
      <c r="J58" s="1"/>
      <c r="K58" s="1">
        <v>17</v>
      </c>
      <c r="L58" s="1">
        <f t="shared" si="16"/>
        <v>-4.3000000000000007</v>
      </c>
      <c r="M58" s="1"/>
      <c r="N58" s="1"/>
      <c r="O58" s="1">
        <v>18</v>
      </c>
      <c r="P58" s="1"/>
      <c r="Q58" s="1">
        <f t="shared" si="17"/>
        <v>2.54</v>
      </c>
      <c r="R58" s="5">
        <f t="shared" si="22"/>
        <v>10.302000000000001</v>
      </c>
      <c r="S58" s="5">
        <f t="shared" si="5"/>
        <v>10</v>
      </c>
      <c r="T58" s="5">
        <f t="shared" si="6"/>
        <v>10</v>
      </c>
      <c r="U58" s="5"/>
      <c r="V58" s="18"/>
      <c r="W58" s="1">
        <f t="shared" si="7"/>
        <v>14.881102362204725</v>
      </c>
      <c r="X58" s="1">
        <f t="shared" si="18"/>
        <v>10.944094488188977</v>
      </c>
      <c r="Y58" s="1">
        <v>3.1259999999999999</v>
      </c>
      <c r="Z58" s="1">
        <v>3.1627999999999998</v>
      </c>
      <c r="AA58" s="1">
        <v>2.3344</v>
      </c>
      <c r="AB58" s="1">
        <v>0.3916</v>
      </c>
      <c r="AC58" s="1">
        <v>2.6023999999999998</v>
      </c>
      <c r="AD58" s="1">
        <v>0.76580000000000004</v>
      </c>
      <c r="AE58" s="1">
        <v>4.7548000000000004</v>
      </c>
      <c r="AF58" s="1">
        <v>5.0624000000000002</v>
      </c>
      <c r="AG58" s="1">
        <v>3.1055999999999999</v>
      </c>
      <c r="AH58" s="1">
        <v>4.3197999999999999</v>
      </c>
      <c r="AI58" s="1"/>
      <c r="AJ58" s="1">
        <f t="shared" si="8"/>
        <v>10</v>
      </c>
      <c r="AK58" s="1">
        <f t="shared" si="9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111</v>
      </c>
      <c r="B59" s="1" t="s">
        <v>38</v>
      </c>
      <c r="C59" s="1">
        <v>39.195</v>
      </c>
      <c r="D59" s="1">
        <v>4.54</v>
      </c>
      <c r="E59" s="1">
        <v>13.54</v>
      </c>
      <c r="F59" s="1">
        <v>25.655000000000001</v>
      </c>
      <c r="G59" s="7">
        <v>1</v>
      </c>
      <c r="H59" s="1">
        <v>60</v>
      </c>
      <c r="I59" s="1" t="s">
        <v>36</v>
      </c>
      <c r="J59" s="1"/>
      <c r="K59" s="1">
        <v>21.6</v>
      </c>
      <c r="L59" s="1">
        <f t="shared" si="16"/>
        <v>-8.0600000000000023</v>
      </c>
      <c r="M59" s="1"/>
      <c r="N59" s="1"/>
      <c r="O59" s="1">
        <v>11</v>
      </c>
      <c r="P59" s="1"/>
      <c r="Q59" s="1">
        <f t="shared" si="17"/>
        <v>2.7079999999999997</v>
      </c>
      <c r="R59" s="5">
        <v>8</v>
      </c>
      <c r="S59" s="5">
        <f t="shared" si="5"/>
        <v>8</v>
      </c>
      <c r="T59" s="5">
        <f t="shared" si="6"/>
        <v>8</v>
      </c>
      <c r="U59" s="5"/>
      <c r="V59" s="18"/>
      <c r="W59" s="1">
        <f t="shared" si="7"/>
        <v>16.490029542097492</v>
      </c>
      <c r="X59" s="1">
        <f t="shared" si="18"/>
        <v>13.53581979320532</v>
      </c>
      <c r="Y59" s="1">
        <v>3.3220000000000001</v>
      </c>
      <c r="Z59" s="1">
        <v>2.1120000000000001</v>
      </c>
      <c r="AA59" s="1">
        <v>4.5110000000000001</v>
      </c>
      <c r="AB59" s="1">
        <v>3.62</v>
      </c>
      <c r="AC59" s="1">
        <v>2.024</v>
      </c>
      <c r="AD59" s="1">
        <v>4.5279999999999996</v>
      </c>
      <c r="AE59" s="1">
        <v>3.6309999999999998</v>
      </c>
      <c r="AF59" s="1">
        <v>3.617</v>
      </c>
      <c r="AG59" s="1">
        <v>1.8580000000000001</v>
      </c>
      <c r="AH59" s="1">
        <v>2.8534000000000002</v>
      </c>
      <c r="AI59" s="1"/>
      <c r="AJ59" s="1">
        <f t="shared" si="8"/>
        <v>8</v>
      </c>
      <c r="AK59" s="1">
        <f t="shared" si="9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112</v>
      </c>
      <c r="B60" s="1" t="s">
        <v>35</v>
      </c>
      <c r="C60" s="1">
        <v>15</v>
      </c>
      <c r="D60" s="1">
        <v>34</v>
      </c>
      <c r="E60" s="1">
        <v>14</v>
      </c>
      <c r="F60" s="1">
        <v>33</v>
      </c>
      <c r="G60" s="7">
        <v>0.6</v>
      </c>
      <c r="H60" s="1">
        <v>45</v>
      </c>
      <c r="I60" s="1" t="s">
        <v>36</v>
      </c>
      <c r="J60" s="1"/>
      <c r="K60" s="1">
        <v>16</v>
      </c>
      <c r="L60" s="1">
        <f t="shared" si="16"/>
        <v>-2</v>
      </c>
      <c r="M60" s="1"/>
      <c r="N60" s="1"/>
      <c r="O60" s="1">
        <v>8</v>
      </c>
      <c r="P60" s="1"/>
      <c r="Q60" s="1">
        <f t="shared" si="17"/>
        <v>2.8</v>
      </c>
      <c r="R60" s="5">
        <v>8</v>
      </c>
      <c r="S60" s="5">
        <f t="shared" si="5"/>
        <v>8</v>
      </c>
      <c r="T60" s="5">
        <f t="shared" si="6"/>
        <v>8</v>
      </c>
      <c r="U60" s="5"/>
      <c r="V60" s="18"/>
      <c r="W60" s="1">
        <f t="shared" si="7"/>
        <v>17.5</v>
      </c>
      <c r="X60" s="1">
        <f t="shared" si="18"/>
        <v>14.642857142857144</v>
      </c>
      <c r="Y60" s="1">
        <v>3.8</v>
      </c>
      <c r="Z60" s="1">
        <v>4.8</v>
      </c>
      <c r="AA60" s="1">
        <v>4</v>
      </c>
      <c r="AB60" s="1">
        <v>-0.2</v>
      </c>
      <c r="AC60" s="1">
        <v>0.8</v>
      </c>
      <c r="AD60" s="1">
        <v>3</v>
      </c>
      <c r="AE60" s="1">
        <v>10.4</v>
      </c>
      <c r="AF60" s="1">
        <v>6</v>
      </c>
      <c r="AG60" s="1">
        <v>7</v>
      </c>
      <c r="AH60" s="1">
        <v>4.8</v>
      </c>
      <c r="AI60" s="1"/>
      <c r="AJ60" s="1">
        <f t="shared" si="8"/>
        <v>4.8</v>
      </c>
      <c r="AK60" s="1">
        <f t="shared" si="9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0" t="s">
        <v>113</v>
      </c>
      <c r="B61" s="10" t="s">
        <v>38</v>
      </c>
      <c r="C61" s="10">
        <v>10.169</v>
      </c>
      <c r="D61" s="10"/>
      <c r="E61" s="10">
        <v>5.0759999999999996</v>
      </c>
      <c r="F61" s="10">
        <v>4.2320000000000002</v>
      </c>
      <c r="G61" s="11">
        <v>0</v>
      </c>
      <c r="H61" s="10">
        <v>45</v>
      </c>
      <c r="I61" s="10" t="s">
        <v>59</v>
      </c>
      <c r="J61" s="10"/>
      <c r="K61" s="10">
        <v>5.8</v>
      </c>
      <c r="L61" s="10">
        <f t="shared" si="16"/>
        <v>-0.7240000000000002</v>
      </c>
      <c r="M61" s="10"/>
      <c r="N61" s="10"/>
      <c r="O61" s="10">
        <v>0</v>
      </c>
      <c r="P61" s="10"/>
      <c r="Q61" s="10">
        <f t="shared" si="17"/>
        <v>1.0151999999999999</v>
      </c>
      <c r="R61" s="12"/>
      <c r="S61" s="5">
        <f t="shared" si="5"/>
        <v>0</v>
      </c>
      <c r="T61" s="5">
        <f t="shared" si="6"/>
        <v>0</v>
      </c>
      <c r="U61" s="5"/>
      <c r="V61" s="19"/>
      <c r="W61" s="1">
        <f t="shared" si="7"/>
        <v>4.1686367218282117</v>
      </c>
      <c r="X61" s="10">
        <f t="shared" si="18"/>
        <v>4.1686367218282117</v>
      </c>
      <c r="Y61" s="10">
        <v>1.0162</v>
      </c>
      <c r="Z61" s="10">
        <v>-0.17180000000000001</v>
      </c>
      <c r="AA61" s="10">
        <v>1.7132000000000001</v>
      </c>
      <c r="AB61" s="10">
        <v>1.03</v>
      </c>
      <c r="AC61" s="10">
        <v>0.85760000000000003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/>
      <c r="AJ61" s="1">
        <f t="shared" si="8"/>
        <v>0</v>
      </c>
      <c r="AK61" s="1">
        <f t="shared" si="9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0" t="s">
        <v>114</v>
      </c>
      <c r="B62" s="10" t="s">
        <v>38</v>
      </c>
      <c r="C62" s="10">
        <v>-12.435</v>
      </c>
      <c r="D62" s="10"/>
      <c r="E62" s="10"/>
      <c r="F62" s="15">
        <v>-12.435</v>
      </c>
      <c r="G62" s="11">
        <v>0</v>
      </c>
      <c r="H62" s="10">
        <v>0</v>
      </c>
      <c r="I62" s="10" t="s">
        <v>115</v>
      </c>
      <c r="J62" s="10" t="s">
        <v>116</v>
      </c>
      <c r="K62" s="10"/>
      <c r="L62" s="10">
        <f t="shared" si="16"/>
        <v>0</v>
      </c>
      <c r="M62" s="10"/>
      <c r="N62" s="10"/>
      <c r="O62" s="10">
        <v>0</v>
      </c>
      <c r="P62" s="10"/>
      <c r="Q62" s="10">
        <f t="shared" si="17"/>
        <v>0</v>
      </c>
      <c r="R62" s="12"/>
      <c r="S62" s="5">
        <f t="shared" si="5"/>
        <v>0</v>
      </c>
      <c r="T62" s="5">
        <f t="shared" si="6"/>
        <v>0</v>
      </c>
      <c r="U62" s="5"/>
      <c r="V62" s="19"/>
      <c r="W62" s="1" t="e">
        <f t="shared" si="7"/>
        <v>#DIV/0!</v>
      </c>
      <c r="X62" s="10" t="e">
        <f t="shared" si="18"/>
        <v>#DIV/0!</v>
      </c>
      <c r="Y62" s="10">
        <v>0</v>
      </c>
      <c r="Z62" s="10">
        <v>2.4870000000000001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/>
      <c r="AJ62" s="1">
        <f t="shared" si="8"/>
        <v>0</v>
      </c>
      <c r="AK62" s="1">
        <f t="shared" si="9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117</v>
      </c>
      <c r="B63" s="1" t="s">
        <v>35</v>
      </c>
      <c r="C63" s="1">
        <v>38</v>
      </c>
      <c r="D63" s="1">
        <v>106</v>
      </c>
      <c r="E63" s="1">
        <v>43</v>
      </c>
      <c r="F63" s="1">
        <v>82</v>
      </c>
      <c r="G63" s="7">
        <v>0.25</v>
      </c>
      <c r="H63" s="1">
        <v>120</v>
      </c>
      <c r="I63" s="1" t="s">
        <v>36</v>
      </c>
      <c r="J63" s="1"/>
      <c r="K63" s="1">
        <v>56</v>
      </c>
      <c r="L63" s="1">
        <f t="shared" si="16"/>
        <v>-13</v>
      </c>
      <c r="M63" s="1"/>
      <c r="N63" s="1"/>
      <c r="O63" s="1">
        <v>107</v>
      </c>
      <c r="P63" s="1"/>
      <c r="Q63" s="1">
        <f t="shared" si="17"/>
        <v>8.6</v>
      </c>
      <c r="R63" s="5"/>
      <c r="S63" s="5">
        <f t="shared" si="5"/>
        <v>0</v>
      </c>
      <c r="T63" s="5">
        <f t="shared" si="6"/>
        <v>0</v>
      </c>
      <c r="U63" s="5"/>
      <c r="V63" s="18"/>
      <c r="W63" s="1">
        <f t="shared" si="7"/>
        <v>21.976744186046513</v>
      </c>
      <c r="X63" s="1">
        <f t="shared" si="18"/>
        <v>21.976744186046513</v>
      </c>
      <c r="Y63" s="1">
        <v>12.4</v>
      </c>
      <c r="Z63" s="1">
        <v>10</v>
      </c>
      <c r="AA63" s="1">
        <v>7.6</v>
      </c>
      <c r="AB63" s="1">
        <v>10</v>
      </c>
      <c r="AC63" s="1">
        <v>11.4</v>
      </c>
      <c r="AD63" s="1">
        <v>4.5999999999999996</v>
      </c>
      <c r="AE63" s="1">
        <v>7</v>
      </c>
      <c r="AF63" s="1">
        <v>8.8000000000000007</v>
      </c>
      <c r="AG63" s="1">
        <v>15.8</v>
      </c>
      <c r="AH63" s="1">
        <v>8</v>
      </c>
      <c r="AI63" s="1" t="s">
        <v>39</v>
      </c>
      <c r="AJ63" s="1">
        <f t="shared" si="8"/>
        <v>0</v>
      </c>
      <c r="AK63" s="1">
        <f t="shared" si="9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118</v>
      </c>
      <c r="B64" s="1" t="s">
        <v>38</v>
      </c>
      <c r="C64" s="1">
        <v>3.2189999999999999</v>
      </c>
      <c r="D64" s="1">
        <v>8.3360000000000003</v>
      </c>
      <c r="E64" s="1">
        <v>9.4440000000000008</v>
      </c>
      <c r="F64" s="1">
        <v>-1.0249999999999999</v>
      </c>
      <c r="G64" s="7">
        <v>1</v>
      </c>
      <c r="H64" s="1">
        <v>45</v>
      </c>
      <c r="I64" s="1" t="s">
        <v>36</v>
      </c>
      <c r="J64" s="1"/>
      <c r="K64" s="1">
        <v>27.8</v>
      </c>
      <c r="L64" s="1">
        <f t="shared" si="16"/>
        <v>-18.356000000000002</v>
      </c>
      <c r="M64" s="1"/>
      <c r="N64" s="1"/>
      <c r="O64" s="1">
        <v>44</v>
      </c>
      <c r="P64" s="1"/>
      <c r="Q64" s="1">
        <f t="shared" si="17"/>
        <v>1.8888000000000003</v>
      </c>
      <c r="R64" s="5"/>
      <c r="S64" s="5">
        <f t="shared" si="5"/>
        <v>0</v>
      </c>
      <c r="T64" s="5">
        <f t="shared" si="6"/>
        <v>0</v>
      </c>
      <c r="U64" s="5"/>
      <c r="V64" s="18"/>
      <c r="W64" s="1">
        <f t="shared" si="7"/>
        <v>22.75254129606099</v>
      </c>
      <c r="X64" s="1">
        <f t="shared" si="18"/>
        <v>22.75254129606099</v>
      </c>
      <c r="Y64" s="1">
        <v>4.4606000000000003</v>
      </c>
      <c r="Z64" s="1">
        <v>1.9952000000000001</v>
      </c>
      <c r="AA64" s="1">
        <v>2.8637999999999999</v>
      </c>
      <c r="AB64" s="1">
        <v>2.9007999999999998</v>
      </c>
      <c r="AC64" s="1">
        <v>3.1057999999999999</v>
      </c>
      <c r="AD64" s="1">
        <v>3.4205999999999999</v>
      </c>
      <c r="AE64" s="1">
        <v>3.7978000000000001</v>
      </c>
      <c r="AF64" s="1">
        <v>2.9956</v>
      </c>
      <c r="AG64" s="1">
        <v>3.9388000000000001</v>
      </c>
      <c r="AH64" s="1">
        <v>3.18</v>
      </c>
      <c r="AI64" s="1"/>
      <c r="AJ64" s="1">
        <f t="shared" si="8"/>
        <v>0</v>
      </c>
      <c r="AK64" s="1">
        <f t="shared" si="9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119</v>
      </c>
      <c r="B65" s="1" t="s">
        <v>35</v>
      </c>
      <c r="C65" s="1"/>
      <c r="D65" s="1">
        <v>301</v>
      </c>
      <c r="E65" s="1">
        <v>50</v>
      </c>
      <c r="F65" s="1">
        <v>236</v>
      </c>
      <c r="G65" s="7">
        <v>0.27</v>
      </c>
      <c r="H65" s="1"/>
      <c r="I65" s="1" t="s">
        <v>36</v>
      </c>
      <c r="J65" s="1"/>
      <c r="K65" s="1">
        <v>55</v>
      </c>
      <c r="L65" s="1">
        <f t="shared" si="16"/>
        <v>-5</v>
      </c>
      <c r="M65" s="1"/>
      <c r="N65" s="1"/>
      <c r="O65" s="1">
        <v>0</v>
      </c>
      <c r="P65" s="1"/>
      <c r="Q65" s="1">
        <f t="shared" si="17"/>
        <v>10</v>
      </c>
      <c r="R65" s="5"/>
      <c r="S65" s="5">
        <f t="shared" si="5"/>
        <v>0</v>
      </c>
      <c r="T65" s="5">
        <f t="shared" si="6"/>
        <v>0</v>
      </c>
      <c r="U65" s="5"/>
      <c r="V65" s="18"/>
      <c r="W65" s="1">
        <f t="shared" si="7"/>
        <v>23.6</v>
      </c>
      <c r="X65" s="1">
        <f t="shared" si="18"/>
        <v>23.6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 t="s">
        <v>75</v>
      </c>
      <c r="AJ65" s="1">
        <f t="shared" si="8"/>
        <v>0</v>
      </c>
      <c r="AK65" s="1">
        <f t="shared" si="9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120</v>
      </c>
      <c r="B66" s="1" t="s">
        <v>35</v>
      </c>
      <c r="C66" s="1">
        <v>40</v>
      </c>
      <c r="D66" s="1">
        <v>2</v>
      </c>
      <c r="E66" s="1">
        <v>30</v>
      </c>
      <c r="F66" s="1">
        <v>2</v>
      </c>
      <c r="G66" s="7">
        <v>0.3</v>
      </c>
      <c r="H66" s="1">
        <v>60</v>
      </c>
      <c r="I66" s="1" t="s">
        <v>36</v>
      </c>
      <c r="J66" s="1"/>
      <c r="K66" s="1">
        <v>71</v>
      </c>
      <c r="L66" s="1">
        <f t="shared" si="16"/>
        <v>-41</v>
      </c>
      <c r="M66" s="1"/>
      <c r="N66" s="1"/>
      <c r="O66" s="1">
        <v>117</v>
      </c>
      <c r="P66" s="1">
        <v>143</v>
      </c>
      <c r="Q66" s="1">
        <f t="shared" si="17"/>
        <v>6</v>
      </c>
      <c r="R66" s="5"/>
      <c r="S66" s="5">
        <f t="shared" si="5"/>
        <v>0</v>
      </c>
      <c r="T66" s="5">
        <f t="shared" si="6"/>
        <v>0</v>
      </c>
      <c r="U66" s="5"/>
      <c r="V66" s="18"/>
      <c r="W66" s="1">
        <f t="shared" si="7"/>
        <v>43.666666666666664</v>
      </c>
      <c r="X66" s="1">
        <f t="shared" si="18"/>
        <v>43.666666666666664</v>
      </c>
      <c r="Y66" s="1">
        <v>25</v>
      </c>
      <c r="Z66" s="1">
        <v>15.8</v>
      </c>
      <c r="AA66" s="1">
        <v>24.4</v>
      </c>
      <c r="AB66" s="1">
        <v>27.4</v>
      </c>
      <c r="AC66" s="1">
        <v>18.399999999999999</v>
      </c>
      <c r="AD66" s="1">
        <v>26.2</v>
      </c>
      <c r="AE66" s="1">
        <v>33.4</v>
      </c>
      <c r="AF66" s="1">
        <v>35.6</v>
      </c>
      <c r="AG66" s="1">
        <v>17.600000000000001</v>
      </c>
      <c r="AH66" s="1">
        <v>13.2</v>
      </c>
      <c r="AI66" s="1"/>
      <c r="AJ66" s="1">
        <f t="shared" si="8"/>
        <v>0</v>
      </c>
      <c r="AK66" s="1">
        <f t="shared" si="9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121</v>
      </c>
      <c r="B67" s="1" t="s">
        <v>35</v>
      </c>
      <c r="C67" s="1">
        <v>1000</v>
      </c>
      <c r="D67" s="1">
        <v>295</v>
      </c>
      <c r="E67" s="1">
        <v>1279</v>
      </c>
      <c r="F67" s="15">
        <f>-6+F68</f>
        <v>-9</v>
      </c>
      <c r="G67" s="7">
        <v>0.41</v>
      </c>
      <c r="H67" s="1">
        <v>50</v>
      </c>
      <c r="I67" s="1" t="s">
        <v>36</v>
      </c>
      <c r="J67" s="1"/>
      <c r="K67" s="1">
        <v>1633</v>
      </c>
      <c r="L67" s="1">
        <f t="shared" si="16"/>
        <v>-354</v>
      </c>
      <c r="M67" s="1"/>
      <c r="N67" s="1"/>
      <c r="O67" s="1">
        <v>1285</v>
      </c>
      <c r="P67" s="1">
        <v>1570</v>
      </c>
      <c r="Q67" s="1">
        <f t="shared" si="17"/>
        <v>255.8</v>
      </c>
      <c r="R67" s="5">
        <f t="shared" ref="R67" si="23">15*Q67-P67-O67-F67</f>
        <v>991</v>
      </c>
      <c r="S67" s="5">
        <f t="shared" si="5"/>
        <v>991</v>
      </c>
      <c r="T67" s="5">
        <f t="shared" si="6"/>
        <v>396</v>
      </c>
      <c r="U67" s="5">
        <f>ROUND(S67*$U$1,0)</f>
        <v>595</v>
      </c>
      <c r="V67" s="18"/>
      <c r="W67" s="1">
        <f t="shared" si="7"/>
        <v>15</v>
      </c>
      <c r="X67" s="1">
        <f t="shared" si="18"/>
        <v>11.125879593432369</v>
      </c>
      <c r="Y67" s="1">
        <v>295.60000000000002</v>
      </c>
      <c r="Z67" s="1">
        <v>177.8</v>
      </c>
      <c r="AA67" s="1">
        <v>224.2</v>
      </c>
      <c r="AB67" s="1">
        <v>325.39999999999998</v>
      </c>
      <c r="AC67" s="1">
        <v>226.4</v>
      </c>
      <c r="AD67" s="1">
        <v>282</v>
      </c>
      <c r="AE67" s="1">
        <v>262.39999999999998</v>
      </c>
      <c r="AF67" s="1">
        <v>228</v>
      </c>
      <c r="AG67" s="1">
        <v>234</v>
      </c>
      <c r="AH67" s="1">
        <v>316.39999999999998</v>
      </c>
      <c r="AI67" s="1"/>
      <c r="AJ67" s="1">
        <f t="shared" si="8"/>
        <v>162.35999999999999</v>
      </c>
      <c r="AK67" s="1">
        <f t="shared" si="9"/>
        <v>243.95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0" t="s">
        <v>122</v>
      </c>
      <c r="B68" s="10" t="s">
        <v>35</v>
      </c>
      <c r="C68" s="10">
        <v>-3</v>
      </c>
      <c r="D68" s="10"/>
      <c r="E68" s="10"/>
      <c r="F68" s="15">
        <v>-3</v>
      </c>
      <c r="G68" s="11">
        <v>0</v>
      </c>
      <c r="H68" s="10"/>
      <c r="I68" s="10" t="s">
        <v>115</v>
      </c>
      <c r="J68" s="10" t="s">
        <v>121</v>
      </c>
      <c r="K68" s="10">
        <v>24</v>
      </c>
      <c r="L68" s="10">
        <f t="shared" si="16"/>
        <v>-24</v>
      </c>
      <c r="M68" s="10"/>
      <c r="N68" s="10"/>
      <c r="O68" s="10">
        <v>0</v>
      </c>
      <c r="P68" s="10"/>
      <c r="Q68" s="10">
        <f t="shared" si="17"/>
        <v>0</v>
      </c>
      <c r="R68" s="12"/>
      <c r="S68" s="5">
        <f t="shared" si="5"/>
        <v>0</v>
      </c>
      <c r="T68" s="5">
        <f t="shared" si="6"/>
        <v>0</v>
      </c>
      <c r="U68" s="5"/>
      <c r="V68" s="19"/>
      <c r="W68" s="1" t="e">
        <f t="shared" si="7"/>
        <v>#DIV/0!</v>
      </c>
      <c r="X68" s="10" t="e">
        <f t="shared" si="18"/>
        <v>#DIV/0!</v>
      </c>
      <c r="Y68" s="10">
        <v>0</v>
      </c>
      <c r="Z68" s="10">
        <v>0.8</v>
      </c>
      <c r="AA68" s="10">
        <v>33.4</v>
      </c>
      <c r="AB68" s="10">
        <v>184.6</v>
      </c>
      <c r="AC68" s="10">
        <v>20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/>
      <c r="AJ68" s="1">
        <f t="shared" si="8"/>
        <v>0</v>
      </c>
      <c r="AK68" s="1">
        <f t="shared" si="9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116</v>
      </c>
      <c r="B69" s="1" t="s">
        <v>38</v>
      </c>
      <c r="C69" s="1">
        <v>184.74799999999999</v>
      </c>
      <c r="D69" s="1">
        <v>479.54300000000001</v>
      </c>
      <c r="E69" s="1">
        <v>291.57600000000002</v>
      </c>
      <c r="F69" s="15">
        <f>208.831+F62+F117</f>
        <v>233.07299999999998</v>
      </c>
      <c r="G69" s="7">
        <v>1</v>
      </c>
      <c r="H69" s="1">
        <v>50</v>
      </c>
      <c r="I69" s="1" t="s">
        <v>36</v>
      </c>
      <c r="J69" s="1"/>
      <c r="K69" s="1">
        <v>483.85399999999998</v>
      </c>
      <c r="L69" s="1">
        <f t="shared" si="16"/>
        <v>-192.27799999999996</v>
      </c>
      <c r="M69" s="1"/>
      <c r="N69" s="1"/>
      <c r="O69" s="1">
        <v>222</v>
      </c>
      <c r="P69" s="1">
        <v>272</v>
      </c>
      <c r="Q69" s="1">
        <f t="shared" si="17"/>
        <v>58.315200000000004</v>
      </c>
      <c r="R69" s="5">
        <f t="shared" ref="R69:R70" si="24">15*Q69-P69-O69-F69</f>
        <v>147.65500000000009</v>
      </c>
      <c r="S69" s="5">
        <f>ROUND(R69,0)+80</f>
        <v>228</v>
      </c>
      <c r="T69" s="5">
        <f t="shared" si="6"/>
        <v>91</v>
      </c>
      <c r="U69" s="5">
        <f>ROUND(S69*$U$1,0)</f>
        <v>137</v>
      </c>
      <c r="V69" s="18" t="s">
        <v>192</v>
      </c>
      <c r="W69" s="1">
        <f t="shared" si="7"/>
        <v>16.377771147145168</v>
      </c>
      <c r="X69" s="1">
        <f t="shared" si="18"/>
        <v>12.467984333415643</v>
      </c>
      <c r="Y69" s="1">
        <v>77.043800000000005</v>
      </c>
      <c r="Z69" s="1">
        <v>68.825599999999994</v>
      </c>
      <c r="AA69" s="1">
        <v>62.052600000000012</v>
      </c>
      <c r="AB69" s="1">
        <v>67.328400000000002</v>
      </c>
      <c r="AC69" s="1">
        <v>75.135400000000004</v>
      </c>
      <c r="AD69" s="1">
        <v>94.911000000000001</v>
      </c>
      <c r="AE69" s="1">
        <v>43.7624</v>
      </c>
      <c r="AF69" s="1">
        <v>79.599999999999994</v>
      </c>
      <c r="AG69" s="1">
        <v>20.056000000000001</v>
      </c>
      <c r="AH69" s="1">
        <v>51.692399999999999</v>
      </c>
      <c r="AI69" s="1"/>
      <c r="AJ69" s="1">
        <f t="shared" si="8"/>
        <v>91</v>
      </c>
      <c r="AK69" s="1">
        <f t="shared" si="9"/>
        <v>137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123</v>
      </c>
      <c r="B70" s="1" t="s">
        <v>35</v>
      </c>
      <c r="C70" s="1">
        <v>26</v>
      </c>
      <c r="D70" s="1">
        <v>83</v>
      </c>
      <c r="E70" s="1">
        <v>34</v>
      </c>
      <c r="F70" s="1">
        <v>48</v>
      </c>
      <c r="G70" s="7">
        <v>0.35</v>
      </c>
      <c r="H70" s="1">
        <v>50</v>
      </c>
      <c r="I70" s="1" t="s">
        <v>36</v>
      </c>
      <c r="J70" s="1"/>
      <c r="K70" s="1">
        <v>52</v>
      </c>
      <c r="L70" s="1">
        <f t="shared" ref="L70:L101" si="25">E70-K70</f>
        <v>-18</v>
      </c>
      <c r="M70" s="1"/>
      <c r="N70" s="1"/>
      <c r="O70" s="1">
        <v>22</v>
      </c>
      <c r="P70" s="1"/>
      <c r="Q70" s="1">
        <f t="shared" ref="Q70:Q101" si="26">E70/5</f>
        <v>6.8</v>
      </c>
      <c r="R70" s="5">
        <f t="shared" si="24"/>
        <v>32</v>
      </c>
      <c r="S70" s="5">
        <f t="shared" si="5"/>
        <v>32</v>
      </c>
      <c r="T70" s="5">
        <f t="shared" si="6"/>
        <v>32</v>
      </c>
      <c r="U70" s="5"/>
      <c r="V70" s="18"/>
      <c r="W70" s="1">
        <f t="shared" si="7"/>
        <v>15</v>
      </c>
      <c r="X70" s="1">
        <f t="shared" ref="X70:X101" si="27">(F70+O70+P70)/Q70</f>
        <v>10.294117647058824</v>
      </c>
      <c r="Y70" s="1">
        <v>8.4</v>
      </c>
      <c r="Z70" s="1">
        <v>9.4</v>
      </c>
      <c r="AA70" s="1">
        <v>8</v>
      </c>
      <c r="AB70" s="1">
        <v>9.8000000000000007</v>
      </c>
      <c r="AC70" s="1">
        <v>10</v>
      </c>
      <c r="AD70" s="1">
        <v>9.4</v>
      </c>
      <c r="AE70" s="1">
        <v>8</v>
      </c>
      <c r="AF70" s="1">
        <v>7.6</v>
      </c>
      <c r="AG70" s="1">
        <v>12.6</v>
      </c>
      <c r="AH70" s="1">
        <v>5.4</v>
      </c>
      <c r="AI70" s="1"/>
      <c r="AJ70" s="1">
        <f t="shared" si="8"/>
        <v>11.2</v>
      </c>
      <c r="AK70" s="1">
        <f t="shared" si="9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0" t="s">
        <v>124</v>
      </c>
      <c r="B71" s="10" t="s">
        <v>38</v>
      </c>
      <c r="C71" s="10"/>
      <c r="D71" s="10"/>
      <c r="E71" s="10"/>
      <c r="F71" s="10"/>
      <c r="G71" s="11">
        <v>0</v>
      </c>
      <c r="H71" s="10"/>
      <c r="I71" s="10" t="s">
        <v>36</v>
      </c>
      <c r="J71" s="10"/>
      <c r="K71" s="10">
        <v>6</v>
      </c>
      <c r="L71" s="10">
        <f t="shared" si="25"/>
        <v>-6</v>
      </c>
      <c r="M71" s="10"/>
      <c r="N71" s="10"/>
      <c r="O71" s="10">
        <v>0</v>
      </c>
      <c r="P71" s="10"/>
      <c r="Q71" s="10">
        <f t="shared" si="26"/>
        <v>0</v>
      </c>
      <c r="R71" s="12"/>
      <c r="S71" s="5">
        <f t="shared" ref="S71:S117" si="28">ROUND(R71,0)</f>
        <v>0</v>
      </c>
      <c r="T71" s="5">
        <f t="shared" ref="T71:T117" si="29">ROUND(S71-U71,0)</f>
        <v>0</v>
      </c>
      <c r="U71" s="5"/>
      <c r="V71" s="19"/>
      <c r="W71" s="1" t="e">
        <f t="shared" ref="W71:W117" si="30">(F71+O71+P71+S71)/Q71</f>
        <v>#DIV/0!</v>
      </c>
      <c r="X71" s="10" t="e">
        <f t="shared" si="27"/>
        <v>#DIV/0!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 t="s">
        <v>96</v>
      </c>
      <c r="AJ71" s="1">
        <f t="shared" ref="AJ71:AJ117" si="31">G71*T71</f>
        <v>0</v>
      </c>
      <c r="AK71" s="1">
        <f t="shared" ref="AK71:AK117" si="32">G71*U71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125</v>
      </c>
      <c r="B72" s="1" t="s">
        <v>35</v>
      </c>
      <c r="C72" s="1">
        <v>-20</v>
      </c>
      <c r="D72" s="1">
        <v>815</v>
      </c>
      <c r="E72" s="1">
        <v>656</v>
      </c>
      <c r="F72" s="1">
        <v>-21</v>
      </c>
      <c r="G72" s="7">
        <v>0.41</v>
      </c>
      <c r="H72" s="1">
        <v>50</v>
      </c>
      <c r="I72" s="9" t="s">
        <v>50</v>
      </c>
      <c r="J72" s="1"/>
      <c r="K72" s="1">
        <v>1160</v>
      </c>
      <c r="L72" s="1">
        <f t="shared" si="25"/>
        <v>-504</v>
      </c>
      <c r="M72" s="1"/>
      <c r="N72" s="1"/>
      <c r="O72" s="1">
        <v>371</v>
      </c>
      <c r="P72" s="1">
        <v>454</v>
      </c>
      <c r="Q72" s="1">
        <f t="shared" si="26"/>
        <v>131.19999999999999</v>
      </c>
      <c r="R72" s="5">
        <f t="shared" ref="R72:R75" si="33">15*Q72-P72-O72-F72</f>
        <v>1163.9999999999998</v>
      </c>
      <c r="S72" s="5">
        <f t="shared" si="28"/>
        <v>1164</v>
      </c>
      <c r="T72" s="5">
        <f t="shared" si="29"/>
        <v>466</v>
      </c>
      <c r="U72" s="5">
        <f>ROUND(S72*$U$1,0)</f>
        <v>698</v>
      </c>
      <c r="V72" s="18"/>
      <c r="W72" s="1">
        <f t="shared" si="30"/>
        <v>15.000000000000002</v>
      </c>
      <c r="X72" s="1">
        <f t="shared" si="27"/>
        <v>6.1280487804878057</v>
      </c>
      <c r="Y72" s="1">
        <v>115.8</v>
      </c>
      <c r="Z72" s="1">
        <v>51.4</v>
      </c>
      <c r="AA72" s="1">
        <v>131.80000000000001</v>
      </c>
      <c r="AB72" s="1">
        <v>48</v>
      </c>
      <c r="AC72" s="1">
        <v>131.4</v>
      </c>
      <c r="AD72" s="1">
        <v>124</v>
      </c>
      <c r="AE72" s="1">
        <v>154.19999999999999</v>
      </c>
      <c r="AF72" s="1">
        <v>270.60000000000002</v>
      </c>
      <c r="AG72" s="1">
        <v>133</v>
      </c>
      <c r="AH72" s="1">
        <v>136.80000000000001</v>
      </c>
      <c r="AI72" s="1" t="s">
        <v>126</v>
      </c>
      <c r="AJ72" s="1">
        <f t="shared" si="31"/>
        <v>191.06</v>
      </c>
      <c r="AK72" s="1">
        <f t="shared" si="32"/>
        <v>286.18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127</v>
      </c>
      <c r="B73" s="1" t="s">
        <v>38</v>
      </c>
      <c r="C73" s="1">
        <v>143.786</v>
      </c>
      <c r="D73" s="1">
        <v>6.2919999999999998</v>
      </c>
      <c r="E73" s="1">
        <v>100.767</v>
      </c>
      <c r="F73" s="1">
        <v>35.921999999999997</v>
      </c>
      <c r="G73" s="7">
        <v>1</v>
      </c>
      <c r="H73" s="1">
        <v>50</v>
      </c>
      <c r="I73" s="1" t="s">
        <v>36</v>
      </c>
      <c r="J73" s="1"/>
      <c r="K73" s="1">
        <v>105</v>
      </c>
      <c r="L73" s="1">
        <f t="shared" si="25"/>
        <v>-4.2330000000000041</v>
      </c>
      <c r="M73" s="1"/>
      <c r="N73" s="1"/>
      <c r="O73" s="1">
        <v>106</v>
      </c>
      <c r="P73" s="1"/>
      <c r="Q73" s="1">
        <f t="shared" si="26"/>
        <v>20.153399999999998</v>
      </c>
      <c r="R73" s="5">
        <f t="shared" si="33"/>
        <v>160.37899999999999</v>
      </c>
      <c r="S73" s="5">
        <f t="shared" si="28"/>
        <v>160</v>
      </c>
      <c r="T73" s="5">
        <f t="shared" si="29"/>
        <v>160</v>
      </c>
      <c r="U73" s="5"/>
      <c r="V73" s="18"/>
      <c r="W73" s="1">
        <f t="shared" si="30"/>
        <v>14.981194240177839</v>
      </c>
      <c r="X73" s="1">
        <f t="shared" si="27"/>
        <v>7.0420871912431657</v>
      </c>
      <c r="Y73" s="1">
        <v>17.823599999999999</v>
      </c>
      <c r="Z73" s="1">
        <v>10.4872</v>
      </c>
      <c r="AA73" s="1">
        <v>19.265799999999999</v>
      </c>
      <c r="AB73" s="1">
        <v>18.461200000000002</v>
      </c>
      <c r="AC73" s="1">
        <v>25.2182</v>
      </c>
      <c r="AD73" s="1">
        <v>39</v>
      </c>
      <c r="AE73" s="1">
        <v>44.2</v>
      </c>
      <c r="AF73" s="1">
        <v>23.9648</v>
      </c>
      <c r="AG73" s="1">
        <v>22.8184</v>
      </c>
      <c r="AH73" s="1">
        <v>27.2654</v>
      </c>
      <c r="AI73" s="1"/>
      <c r="AJ73" s="1">
        <f t="shared" si="31"/>
        <v>160</v>
      </c>
      <c r="AK73" s="1">
        <f t="shared" si="32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128</v>
      </c>
      <c r="B74" s="1" t="s">
        <v>35</v>
      </c>
      <c r="C74" s="1">
        <v>-1</v>
      </c>
      <c r="D74" s="1">
        <v>91</v>
      </c>
      <c r="E74" s="1">
        <v>129</v>
      </c>
      <c r="F74" s="1">
        <v>-11</v>
      </c>
      <c r="G74" s="7">
        <v>0.3</v>
      </c>
      <c r="H74" s="1">
        <v>50</v>
      </c>
      <c r="I74" s="1" t="s">
        <v>36</v>
      </c>
      <c r="J74" s="1"/>
      <c r="K74" s="1">
        <v>166</v>
      </c>
      <c r="L74" s="1">
        <f t="shared" si="25"/>
        <v>-37</v>
      </c>
      <c r="M74" s="1"/>
      <c r="N74" s="1"/>
      <c r="O74" s="1">
        <v>70</v>
      </c>
      <c r="P74" s="1"/>
      <c r="Q74" s="1">
        <f t="shared" si="26"/>
        <v>25.8</v>
      </c>
      <c r="R74" s="5">
        <f>12*Q74-P74-O74-F74</f>
        <v>250.60000000000002</v>
      </c>
      <c r="S74" s="5">
        <f t="shared" si="28"/>
        <v>251</v>
      </c>
      <c r="T74" s="5">
        <f t="shared" si="29"/>
        <v>100</v>
      </c>
      <c r="U74" s="5">
        <f t="shared" ref="U74:U75" si="34">ROUND(S74*$U$1,0)</f>
        <v>151</v>
      </c>
      <c r="V74" s="18"/>
      <c r="W74" s="1">
        <f t="shared" si="30"/>
        <v>12.015503875968992</v>
      </c>
      <c r="X74" s="1">
        <f t="shared" si="27"/>
        <v>2.2868217054263567</v>
      </c>
      <c r="Y74" s="1">
        <v>3.6</v>
      </c>
      <c r="Z74" s="1">
        <v>8.6</v>
      </c>
      <c r="AA74" s="1">
        <v>4.4000000000000004</v>
      </c>
      <c r="AB74" s="1">
        <v>-0.6</v>
      </c>
      <c r="AC74" s="1">
        <v>3</v>
      </c>
      <c r="AD74" s="1">
        <v>-0.6</v>
      </c>
      <c r="AE74" s="1">
        <v>7.2</v>
      </c>
      <c r="AF74" s="1">
        <v>39.799999999999997</v>
      </c>
      <c r="AG74" s="1">
        <v>10.6</v>
      </c>
      <c r="AH74" s="1">
        <v>1.2</v>
      </c>
      <c r="AI74" s="1"/>
      <c r="AJ74" s="1">
        <f t="shared" si="31"/>
        <v>30</v>
      </c>
      <c r="AK74" s="1">
        <f t="shared" si="32"/>
        <v>45.3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129</v>
      </c>
      <c r="B75" s="1" t="s">
        <v>35</v>
      </c>
      <c r="C75" s="1">
        <v>244</v>
      </c>
      <c r="D75" s="1">
        <v>560</v>
      </c>
      <c r="E75" s="1">
        <v>241</v>
      </c>
      <c r="F75" s="1">
        <v>462</v>
      </c>
      <c r="G75" s="7">
        <v>0.18</v>
      </c>
      <c r="H75" s="1">
        <v>50</v>
      </c>
      <c r="I75" s="1" t="s">
        <v>36</v>
      </c>
      <c r="J75" s="1"/>
      <c r="K75" s="1">
        <v>256</v>
      </c>
      <c r="L75" s="1">
        <f t="shared" si="25"/>
        <v>-15</v>
      </c>
      <c r="M75" s="1"/>
      <c r="N75" s="1"/>
      <c r="O75" s="1">
        <v>0</v>
      </c>
      <c r="P75" s="1"/>
      <c r="Q75" s="1">
        <f t="shared" si="26"/>
        <v>48.2</v>
      </c>
      <c r="R75" s="5">
        <f t="shared" si="33"/>
        <v>261</v>
      </c>
      <c r="S75" s="5">
        <f t="shared" si="28"/>
        <v>261</v>
      </c>
      <c r="T75" s="5">
        <f t="shared" si="29"/>
        <v>104</v>
      </c>
      <c r="U75" s="5">
        <f t="shared" si="34"/>
        <v>157</v>
      </c>
      <c r="V75" s="18"/>
      <c r="W75" s="1">
        <f t="shared" si="30"/>
        <v>15</v>
      </c>
      <c r="X75" s="1">
        <f t="shared" si="27"/>
        <v>9.5850622406639001</v>
      </c>
      <c r="Y75" s="1">
        <v>38.4</v>
      </c>
      <c r="Z75" s="1">
        <v>66</v>
      </c>
      <c r="AA75" s="1">
        <v>52.6</v>
      </c>
      <c r="AB75" s="1">
        <v>48.4</v>
      </c>
      <c r="AC75" s="1">
        <v>41.2</v>
      </c>
      <c r="AD75" s="1">
        <v>48.6</v>
      </c>
      <c r="AE75" s="1">
        <v>28</v>
      </c>
      <c r="AF75" s="1">
        <v>25.8</v>
      </c>
      <c r="AG75" s="1">
        <v>49.4</v>
      </c>
      <c r="AH75" s="1">
        <v>15.2</v>
      </c>
      <c r="AI75" s="1"/>
      <c r="AJ75" s="1">
        <f t="shared" si="31"/>
        <v>18.72</v>
      </c>
      <c r="AK75" s="1">
        <f t="shared" si="32"/>
        <v>28.259999999999998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0" t="s">
        <v>130</v>
      </c>
      <c r="B76" s="10" t="s">
        <v>35</v>
      </c>
      <c r="C76" s="10">
        <v>-12</v>
      </c>
      <c r="D76" s="10"/>
      <c r="E76" s="10">
        <v>-3</v>
      </c>
      <c r="F76" s="10">
        <v>-12</v>
      </c>
      <c r="G76" s="11">
        <v>0</v>
      </c>
      <c r="H76" s="10">
        <v>120</v>
      </c>
      <c r="I76" s="10" t="s">
        <v>59</v>
      </c>
      <c r="J76" s="10"/>
      <c r="K76" s="10">
        <v>27</v>
      </c>
      <c r="L76" s="10">
        <f t="shared" si="25"/>
        <v>-30</v>
      </c>
      <c r="M76" s="10"/>
      <c r="N76" s="10"/>
      <c r="O76" s="10">
        <v>0</v>
      </c>
      <c r="P76" s="10"/>
      <c r="Q76" s="10">
        <f t="shared" si="26"/>
        <v>-0.6</v>
      </c>
      <c r="R76" s="12"/>
      <c r="S76" s="5">
        <f t="shared" si="28"/>
        <v>0</v>
      </c>
      <c r="T76" s="5">
        <f t="shared" si="29"/>
        <v>0</v>
      </c>
      <c r="U76" s="5"/>
      <c r="V76" s="19"/>
      <c r="W76" s="1">
        <f t="shared" si="30"/>
        <v>20</v>
      </c>
      <c r="X76" s="10">
        <f t="shared" si="27"/>
        <v>20</v>
      </c>
      <c r="Y76" s="10">
        <v>0.8</v>
      </c>
      <c r="Z76" s="10">
        <v>1.6</v>
      </c>
      <c r="AA76" s="10">
        <v>0</v>
      </c>
      <c r="AB76" s="10">
        <v>1.4</v>
      </c>
      <c r="AC76" s="10">
        <v>1.8</v>
      </c>
      <c r="AD76" s="10">
        <v>3</v>
      </c>
      <c r="AE76" s="10">
        <v>2.4</v>
      </c>
      <c r="AF76" s="10">
        <v>2.4</v>
      </c>
      <c r="AG76" s="10">
        <v>1.6</v>
      </c>
      <c r="AH76" s="10">
        <v>5.2</v>
      </c>
      <c r="AI76" s="10"/>
      <c r="AJ76" s="1">
        <f t="shared" si="31"/>
        <v>0</v>
      </c>
      <c r="AK76" s="1">
        <f t="shared" si="32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0" t="s">
        <v>131</v>
      </c>
      <c r="B77" s="10" t="s">
        <v>38</v>
      </c>
      <c r="C77" s="10"/>
      <c r="D77" s="10"/>
      <c r="E77" s="10"/>
      <c r="F77" s="10"/>
      <c r="G77" s="11">
        <v>0</v>
      </c>
      <c r="H77" s="10"/>
      <c r="I77" s="10" t="s">
        <v>36</v>
      </c>
      <c r="J77" s="10"/>
      <c r="K77" s="10">
        <v>10</v>
      </c>
      <c r="L77" s="10">
        <f t="shared" si="25"/>
        <v>-10</v>
      </c>
      <c r="M77" s="10"/>
      <c r="N77" s="10"/>
      <c r="O77" s="10">
        <v>0</v>
      </c>
      <c r="P77" s="10"/>
      <c r="Q77" s="10">
        <f t="shared" si="26"/>
        <v>0</v>
      </c>
      <c r="R77" s="12"/>
      <c r="S77" s="5">
        <f t="shared" si="28"/>
        <v>0</v>
      </c>
      <c r="T77" s="5">
        <f t="shared" si="29"/>
        <v>0</v>
      </c>
      <c r="U77" s="5"/>
      <c r="V77" s="19"/>
      <c r="W77" s="1" t="e">
        <f t="shared" si="30"/>
        <v>#DIV/0!</v>
      </c>
      <c r="X77" s="10" t="e">
        <f t="shared" si="27"/>
        <v>#DIV/0!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 t="s">
        <v>96</v>
      </c>
      <c r="AJ77" s="1">
        <f t="shared" si="31"/>
        <v>0</v>
      </c>
      <c r="AK77" s="1">
        <f t="shared" si="32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132</v>
      </c>
      <c r="B78" s="1" t="s">
        <v>35</v>
      </c>
      <c r="C78" s="1">
        <v>529</v>
      </c>
      <c r="D78" s="1">
        <v>581</v>
      </c>
      <c r="E78" s="1">
        <v>868</v>
      </c>
      <c r="F78" s="1">
        <v>45</v>
      </c>
      <c r="G78" s="7">
        <v>0.35</v>
      </c>
      <c r="H78" s="1">
        <v>50</v>
      </c>
      <c r="I78" s="1" t="s">
        <v>36</v>
      </c>
      <c r="J78" s="1"/>
      <c r="K78" s="1">
        <v>963</v>
      </c>
      <c r="L78" s="1">
        <f t="shared" si="25"/>
        <v>-95</v>
      </c>
      <c r="M78" s="1"/>
      <c r="N78" s="1"/>
      <c r="O78" s="1">
        <v>670</v>
      </c>
      <c r="P78" s="1">
        <v>819</v>
      </c>
      <c r="Q78" s="1">
        <f t="shared" si="26"/>
        <v>173.6</v>
      </c>
      <c r="R78" s="5">
        <f t="shared" ref="R78:R79" si="35">15*Q78-P78-O78-F78</f>
        <v>1070</v>
      </c>
      <c r="S78" s="5">
        <f t="shared" si="28"/>
        <v>1070</v>
      </c>
      <c r="T78" s="5">
        <f t="shared" si="29"/>
        <v>428</v>
      </c>
      <c r="U78" s="5">
        <f t="shared" ref="U78:U79" si="36">ROUND(S78*$U$1,0)</f>
        <v>642</v>
      </c>
      <c r="V78" s="18"/>
      <c r="W78" s="1">
        <f t="shared" si="30"/>
        <v>15</v>
      </c>
      <c r="X78" s="1">
        <f t="shared" si="27"/>
        <v>8.8364055299539181</v>
      </c>
      <c r="Y78" s="1">
        <v>169</v>
      </c>
      <c r="Z78" s="1">
        <v>124</v>
      </c>
      <c r="AA78" s="1">
        <v>132.19999999999999</v>
      </c>
      <c r="AB78" s="1">
        <v>175.6</v>
      </c>
      <c r="AC78" s="1">
        <v>149.80000000000001</v>
      </c>
      <c r="AD78" s="1">
        <v>176.6688</v>
      </c>
      <c r="AE78" s="1">
        <v>152.4</v>
      </c>
      <c r="AF78" s="1">
        <v>142.6</v>
      </c>
      <c r="AG78" s="1">
        <v>166</v>
      </c>
      <c r="AH78" s="1">
        <v>139</v>
      </c>
      <c r="AI78" s="1"/>
      <c r="AJ78" s="1">
        <f t="shared" si="31"/>
        <v>149.79999999999998</v>
      </c>
      <c r="AK78" s="1">
        <f t="shared" si="32"/>
        <v>224.7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133</v>
      </c>
      <c r="B79" s="1" t="s">
        <v>38</v>
      </c>
      <c r="C79" s="1">
        <v>12.647</v>
      </c>
      <c r="D79" s="1">
        <v>306.15100000000001</v>
      </c>
      <c r="E79" s="1">
        <v>184.86099999999999</v>
      </c>
      <c r="F79" s="1">
        <v>74.168999999999997</v>
      </c>
      <c r="G79" s="7">
        <v>1</v>
      </c>
      <c r="H79" s="1">
        <v>50</v>
      </c>
      <c r="I79" s="1" t="s">
        <v>36</v>
      </c>
      <c r="J79" s="1"/>
      <c r="K79" s="1">
        <v>250.03</v>
      </c>
      <c r="L79" s="1">
        <f t="shared" si="25"/>
        <v>-65.169000000000011</v>
      </c>
      <c r="M79" s="1"/>
      <c r="N79" s="1"/>
      <c r="O79" s="1">
        <v>188</v>
      </c>
      <c r="P79" s="1"/>
      <c r="Q79" s="1">
        <f t="shared" si="26"/>
        <v>36.972200000000001</v>
      </c>
      <c r="R79" s="5">
        <f t="shared" si="35"/>
        <v>292.41399999999999</v>
      </c>
      <c r="S79" s="5">
        <f t="shared" si="28"/>
        <v>292</v>
      </c>
      <c r="T79" s="5">
        <f t="shared" si="29"/>
        <v>117</v>
      </c>
      <c r="U79" s="5">
        <f t="shared" si="36"/>
        <v>175</v>
      </c>
      <c r="V79" s="18"/>
      <c r="W79" s="1">
        <f t="shared" si="30"/>
        <v>14.988802397477022</v>
      </c>
      <c r="X79" s="1">
        <f t="shared" si="27"/>
        <v>7.0909764633968217</v>
      </c>
      <c r="Y79" s="1">
        <v>32.253599999999999</v>
      </c>
      <c r="Z79" s="1">
        <v>29.294</v>
      </c>
      <c r="AA79" s="1">
        <v>20.121400000000001</v>
      </c>
      <c r="AB79" s="1">
        <v>21.1388</v>
      </c>
      <c r="AC79" s="1">
        <v>21.977599999999999</v>
      </c>
      <c r="AD79" s="1">
        <v>24.486999999999998</v>
      </c>
      <c r="AE79" s="1">
        <v>16.852399999999999</v>
      </c>
      <c r="AF79" s="1">
        <v>27.894400000000001</v>
      </c>
      <c r="AG79" s="1">
        <v>17.2348</v>
      </c>
      <c r="AH79" s="1">
        <v>19.504200000000001</v>
      </c>
      <c r="AI79" s="1"/>
      <c r="AJ79" s="1">
        <f t="shared" si="31"/>
        <v>117</v>
      </c>
      <c r="AK79" s="1">
        <f t="shared" si="32"/>
        <v>175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0" t="s">
        <v>134</v>
      </c>
      <c r="B80" s="10" t="s">
        <v>35</v>
      </c>
      <c r="C80" s="10">
        <v>14</v>
      </c>
      <c r="D80" s="10"/>
      <c r="E80" s="10"/>
      <c r="F80" s="10">
        <v>14</v>
      </c>
      <c r="G80" s="11">
        <v>0</v>
      </c>
      <c r="H80" s="10">
        <v>50</v>
      </c>
      <c r="I80" s="10" t="s">
        <v>59</v>
      </c>
      <c r="J80" s="10"/>
      <c r="K80" s="10"/>
      <c r="L80" s="10">
        <f t="shared" si="25"/>
        <v>0</v>
      </c>
      <c r="M80" s="10"/>
      <c r="N80" s="10"/>
      <c r="O80" s="10">
        <v>0</v>
      </c>
      <c r="P80" s="10"/>
      <c r="Q80" s="10">
        <f t="shared" si="26"/>
        <v>0</v>
      </c>
      <c r="R80" s="12"/>
      <c r="S80" s="5">
        <f t="shared" si="28"/>
        <v>0</v>
      </c>
      <c r="T80" s="5">
        <f t="shared" si="29"/>
        <v>0</v>
      </c>
      <c r="U80" s="5"/>
      <c r="V80" s="19"/>
      <c r="W80" s="1" t="e">
        <f t="shared" si="30"/>
        <v>#DIV/0!</v>
      </c>
      <c r="X80" s="10" t="e">
        <f t="shared" si="27"/>
        <v>#DIV/0!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4" t="s">
        <v>48</v>
      </c>
      <c r="AJ80" s="1">
        <f t="shared" si="31"/>
        <v>0</v>
      </c>
      <c r="AK80" s="1">
        <f t="shared" si="32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135</v>
      </c>
      <c r="B81" s="1" t="s">
        <v>38</v>
      </c>
      <c r="C81" s="1">
        <v>201.61699999999999</v>
      </c>
      <c r="D81" s="1">
        <v>360.04700000000003</v>
      </c>
      <c r="E81" s="1">
        <v>373.20100000000002</v>
      </c>
      <c r="F81" s="1">
        <v>112.01600000000001</v>
      </c>
      <c r="G81" s="7">
        <v>1</v>
      </c>
      <c r="H81" s="1">
        <v>50</v>
      </c>
      <c r="I81" s="1" t="s">
        <v>36</v>
      </c>
      <c r="J81" s="1"/>
      <c r="K81" s="1">
        <v>365.3</v>
      </c>
      <c r="L81" s="1">
        <f t="shared" si="25"/>
        <v>7.9010000000000105</v>
      </c>
      <c r="M81" s="1"/>
      <c r="N81" s="1"/>
      <c r="O81" s="1">
        <v>176</v>
      </c>
      <c r="P81" s="1">
        <v>215</v>
      </c>
      <c r="Q81" s="1">
        <f t="shared" si="26"/>
        <v>74.640200000000007</v>
      </c>
      <c r="R81" s="5">
        <f t="shared" ref="R81:R86" si="37">15*Q81-P81-O81-F81</f>
        <v>616.5870000000001</v>
      </c>
      <c r="S81" s="5">
        <f t="shared" si="28"/>
        <v>617</v>
      </c>
      <c r="T81" s="5">
        <f t="shared" si="29"/>
        <v>247</v>
      </c>
      <c r="U81" s="5">
        <f t="shared" ref="U81:U82" si="38">ROUND(S81*$U$1,0)</f>
        <v>370</v>
      </c>
      <c r="V81" s="18"/>
      <c r="W81" s="1">
        <f t="shared" si="30"/>
        <v>15.005533211325799</v>
      </c>
      <c r="X81" s="1">
        <f t="shared" si="27"/>
        <v>6.7392102379146888</v>
      </c>
      <c r="Y81" s="1">
        <v>63.796799999999998</v>
      </c>
      <c r="Z81" s="1">
        <v>56.350199999999987</v>
      </c>
      <c r="AA81" s="1">
        <v>53.830199999999998</v>
      </c>
      <c r="AB81" s="1">
        <v>48.284999999999989</v>
      </c>
      <c r="AC81" s="1">
        <v>52.988399999999999</v>
      </c>
      <c r="AD81" s="1">
        <v>77.6614</v>
      </c>
      <c r="AE81" s="1">
        <v>51.933399999999992</v>
      </c>
      <c r="AF81" s="1">
        <v>61.083799999999997</v>
      </c>
      <c r="AG81" s="1">
        <v>50.800600000000003</v>
      </c>
      <c r="AH81" s="1">
        <v>63.891399999999997</v>
      </c>
      <c r="AI81" s="1"/>
      <c r="AJ81" s="1">
        <f t="shared" si="31"/>
        <v>247</v>
      </c>
      <c r="AK81" s="1">
        <f t="shared" si="32"/>
        <v>370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136</v>
      </c>
      <c r="B82" s="1" t="s">
        <v>35</v>
      </c>
      <c r="C82" s="1">
        <v>707</v>
      </c>
      <c r="D82" s="1">
        <v>474</v>
      </c>
      <c r="E82" s="1">
        <v>1031</v>
      </c>
      <c r="F82" s="1">
        <v>18</v>
      </c>
      <c r="G82" s="7">
        <v>0.35</v>
      </c>
      <c r="H82" s="1">
        <v>50</v>
      </c>
      <c r="I82" s="1" t="s">
        <v>36</v>
      </c>
      <c r="J82" s="1"/>
      <c r="K82" s="1">
        <v>1177</v>
      </c>
      <c r="L82" s="1">
        <f t="shared" si="25"/>
        <v>-146</v>
      </c>
      <c r="M82" s="1"/>
      <c r="N82" s="1"/>
      <c r="O82" s="1">
        <v>732</v>
      </c>
      <c r="P82" s="1">
        <v>895</v>
      </c>
      <c r="Q82" s="1">
        <f t="shared" si="26"/>
        <v>206.2</v>
      </c>
      <c r="R82" s="5">
        <f t="shared" si="37"/>
        <v>1448</v>
      </c>
      <c r="S82" s="5">
        <f t="shared" si="28"/>
        <v>1448</v>
      </c>
      <c r="T82" s="5">
        <f t="shared" si="29"/>
        <v>579</v>
      </c>
      <c r="U82" s="5">
        <f t="shared" si="38"/>
        <v>869</v>
      </c>
      <c r="V82" s="18"/>
      <c r="W82" s="1">
        <f t="shared" si="30"/>
        <v>15</v>
      </c>
      <c r="X82" s="1">
        <f t="shared" si="27"/>
        <v>7.9776915615906887</v>
      </c>
      <c r="Y82" s="1">
        <v>182</v>
      </c>
      <c r="Z82" s="1">
        <v>132.6</v>
      </c>
      <c r="AA82" s="1">
        <v>161.6</v>
      </c>
      <c r="AB82" s="1">
        <v>172.8</v>
      </c>
      <c r="AC82" s="1">
        <v>140.2818</v>
      </c>
      <c r="AD82" s="1">
        <v>173.4</v>
      </c>
      <c r="AE82" s="1">
        <v>162.80000000000001</v>
      </c>
      <c r="AF82" s="1">
        <v>250.2</v>
      </c>
      <c r="AG82" s="1">
        <v>195.6</v>
      </c>
      <c r="AH82" s="1">
        <v>125.8</v>
      </c>
      <c r="AI82" s="1"/>
      <c r="AJ82" s="1">
        <f t="shared" si="31"/>
        <v>202.64999999999998</v>
      </c>
      <c r="AK82" s="1">
        <f t="shared" si="32"/>
        <v>304.14999999999998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137</v>
      </c>
      <c r="B83" s="1" t="s">
        <v>35</v>
      </c>
      <c r="C83" s="1">
        <v>74</v>
      </c>
      <c r="D83" s="1">
        <v>96</v>
      </c>
      <c r="E83" s="1">
        <v>111</v>
      </c>
      <c r="F83" s="1">
        <v>9</v>
      </c>
      <c r="G83" s="7">
        <v>0.3</v>
      </c>
      <c r="H83" s="1">
        <v>50</v>
      </c>
      <c r="I83" s="1" t="s">
        <v>36</v>
      </c>
      <c r="J83" s="1"/>
      <c r="K83" s="1">
        <v>142</v>
      </c>
      <c r="L83" s="1">
        <f t="shared" si="25"/>
        <v>-31</v>
      </c>
      <c r="M83" s="1"/>
      <c r="N83" s="1"/>
      <c r="O83" s="1">
        <v>132</v>
      </c>
      <c r="P83" s="1"/>
      <c r="Q83" s="1">
        <f t="shared" si="26"/>
        <v>22.2</v>
      </c>
      <c r="R83" s="5">
        <f t="shared" si="37"/>
        <v>192</v>
      </c>
      <c r="S83" s="5">
        <f t="shared" si="28"/>
        <v>192</v>
      </c>
      <c r="T83" s="5">
        <f t="shared" si="29"/>
        <v>192</v>
      </c>
      <c r="U83" s="5"/>
      <c r="V83" s="18"/>
      <c r="W83" s="1">
        <f t="shared" si="30"/>
        <v>15</v>
      </c>
      <c r="X83" s="1">
        <f t="shared" si="27"/>
        <v>6.3513513513513518</v>
      </c>
      <c r="Y83" s="1">
        <v>19</v>
      </c>
      <c r="Z83" s="1">
        <v>16.2</v>
      </c>
      <c r="AA83" s="1">
        <v>17</v>
      </c>
      <c r="AB83" s="1">
        <v>22</v>
      </c>
      <c r="AC83" s="1">
        <v>20.6</v>
      </c>
      <c r="AD83" s="1">
        <v>1</v>
      </c>
      <c r="AE83" s="1">
        <v>0</v>
      </c>
      <c r="AF83" s="1">
        <v>0</v>
      </c>
      <c r="AG83" s="1">
        <v>0</v>
      </c>
      <c r="AH83" s="1">
        <v>17.8</v>
      </c>
      <c r="AI83" s="1"/>
      <c r="AJ83" s="1">
        <f t="shared" si="31"/>
        <v>57.599999999999994</v>
      </c>
      <c r="AK83" s="1">
        <f t="shared" si="32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138</v>
      </c>
      <c r="B84" s="1" t="s">
        <v>35</v>
      </c>
      <c r="C84" s="1">
        <v>52</v>
      </c>
      <c r="D84" s="1">
        <v>23</v>
      </c>
      <c r="E84" s="1">
        <v>40</v>
      </c>
      <c r="F84" s="1">
        <v>16</v>
      </c>
      <c r="G84" s="7">
        <v>0.3</v>
      </c>
      <c r="H84" s="1">
        <v>60</v>
      </c>
      <c r="I84" s="1" t="s">
        <v>36</v>
      </c>
      <c r="J84" s="1"/>
      <c r="K84" s="1">
        <v>53</v>
      </c>
      <c r="L84" s="1">
        <f t="shared" si="25"/>
        <v>-13</v>
      </c>
      <c r="M84" s="1"/>
      <c r="N84" s="1"/>
      <c r="O84" s="1">
        <v>69</v>
      </c>
      <c r="P84" s="1"/>
      <c r="Q84" s="1">
        <f t="shared" si="26"/>
        <v>8</v>
      </c>
      <c r="R84" s="5">
        <f t="shared" si="37"/>
        <v>35</v>
      </c>
      <c r="S84" s="5">
        <f t="shared" si="28"/>
        <v>35</v>
      </c>
      <c r="T84" s="5">
        <f t="shared" si="29"/>
        <v>35</v>
      </c>
      <c r="U84" s="5"/>
      <c r="V84" s="18"/>
      <c r="W84" s="1">
        <f t="shared" si="30"/>
        <v>15</v>
      </c>
      <c r="X84" s="1">
        <f t="shared" si="27"/>
        <v>10.625</v>
      </c>
      <c r="Y84" s="1">
        <v>9.1999999999999993</v>
      </c>
      <c r="Z84" s="1">
        <v>7.8</v>
      </c>
      <c r="AA84" s="1">
        <v>11</v>
      </c>
      <c r="AB84" s="1">
        <v>10.8</v>
      </c>
      <c r="AC84" s="1">
        <v>14.2</v>
      </c>
      <c r="AD84" s="1">
        <v>15</v>
      </c>
      <c r="AE84" s="1">
        <v>7.6</v>
      </c>
      <c r="AF84" s="1">
        <v>19</v>
      </c>
      <c r="AG84" s="1">
        <v>10.199999999999999</v>
      </c>
      <c r="AH84" s="1">
        <v>9.6</v>
      </c>
      <c r="AI84" s="1"/>
      <c r="AJ84" s="1">
        <f t="shared" si="31"/>
        <v>10.5</v>
      </c>
      <c r="AK84" s="1">
        <f t="shared" si="32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139</v>
      </c>
      <c r="B85" s="1" t="s">
        <v>35</v>
      </c>
      <c r="C85" s="1">
        <v>35</v>
      </c>
      <c r="D85" s="1">
        <v>255</v>
      </c>
      <c r="E85" s="1">
        <v>92</v>
      </c>
      <c r="F85" s="1">
        <v>159</v>
      </c>
      <c r="G85" s="7">
        <v>0.28000000000000003</v>
      </c>
      <c r="H85" s="1">
        <v>50</v>
      </c>
      <c r="I85" s="1" t="s">
        <v>36</v>
      </c>
      <c r="J85" s="1"/>
      <c r="K85" s="1">
        <v>162</v>
      </c>
      <c r="L85" s="1">
        <f t="shared" si="25"/>
        <v>-70</v>
      </c>
      <c r="M85" s="1"/>
      <c r="N85" s="1"/>
      <c r="O85" s="1">
        <v>181</v>
      </c>
      <c r="P85" s="1"/>
      <c r="Q85" s="1">
        <f t="shared" si="26"/>
        <v>18.399999999999999</v>
      </c>
      <c r="R85" s="5"/>
      <c r="S85" s="5">
        <f t="shared" si="28"/>
        <v>0</v>
      </c>
      <c r="T85" s="5">
        <f t="shared" si="29"/>
        <v>0</v>
      </c>
      <c r="U85" s="5"/>
      <c r="V85" s="18"/>
      <c r="W85" s="1">
        <f t="shared" si="30"/>
        <v>18.478260869565219</v>
      </c>
      <c r="X85" s="1">
        <f t="shared" si="27"/>
        <v>18.478260869565219</v>
      </c>
      <c r="Y85" s="1">
        <v>31</v>
      </c>
      <c r="Z85" s="1">
        <v>29.2</v>
      </c>
      <c r="AA85" s="1">
        <v>23</v>
      </c>
      <c r="AB85" s="1">
        <v>27.2</v>
      </c>
      <c r="AC85" s="1">
        <v>25.2</v>
      </c>
      <c r="AD85" s="1">
        <v>32.6</v>
      </c>
      <c r="AE85" s="1">
        <v>18.8</v>
      </c>
      <c r="AF85" s="1">
        <v>33.6</v>
      </c>
      <c r="AG85" s="1">
        <v>27</v>
      </c>
      <c r="AH85" s="1">
        <v>37</v>
      </c>
      <c r="AI85" s="1"/>
      <c r="AJ85" s="1">
        <f t="shared" si="31"/>
        <v>0</v>
      </c>
      <c r="AK85" s="1">
        <f t="shared" si="32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140</v>
      </c>
      <c r="B86" s="1" t="s">
        <v>35</v>
      </c>
      <c r="C86" s="1">
        <v>140</v>
      </c>
      <c r="D86" s="1">
        <v>492</v>
      </c>
      <c r="E86" s="1">
        <v>269</v>
      </c>
      <c r="F86" s="1">
        <v>257</v>
      </c>
      <c r="G86" s="7">
        <v>0.28000000000000003</v>
      </c>
      <c r="H86" s="1">
        <v>45</v>
      </c>
      <c r="I86" s="9" t="s">
        <v>50</v>
      </c>
      <c r="J86" s="1"/>
      <c r="K86" s="1">
        <v>309</v>
      </c>
      <c r="L86" s="1">
        <f t="shared" si="25"/>
        <v>-40</v>
      </c>
      <c r="M86" s="1"/>
      <c r="N86" s="1"/>
      <c r="O86" s="1">
        <v>100</v>
      </c>
      <c r="P86" s="1"/>
      <c r="Q86" s="1">
        <f t="shared" si="26"/>
        <v>53.8</v>
      </c>
      <c r="R86" s="5">
        <f t="shared" si="37"/>
        <v>450</v>
      </c>
      <c r="S86" s="5">
        <f>ROUND(R86,0)+900</f>
        <v>1350</v>
      </c>
      <c r="T86" s="5">
        <f t="shared" si="29"/>
        <v>1350</v>
      </c>
      <c r="U86" s="5"/>
      <c r="V86" s="18" t="s">
        <v>187</v>
      </c>
      <c r="W86" s="1">
        <f t="shared" si="30"/>
        <v>31.728624535315987</v>
      </c>
      <c r="X86" s="1">
        <f t="shared" si="27"/>
        <v>6.6356877323420074</v>
      </c>
      <c r="Y86" s="1">
        <v>51.2</v>
      </c>
      <c r="Z86" s="1">
        <v>57.2</v>
      </c>
      <c r="AA86" s="1">
        <v>46.6</v>
      </c>
      <c r="AB86" s="1">
        <v>39</v>
      </c>
      <c r="AC86" s="1">
        <v>8.4</v>
      </c>
      <c r="AD86" s="1">
        <v>60.4</v>
      </c>
      <c r="AE86" s="1">
        <v>40.799999999999997</v>
      </c>
      <c r="AF86" s="1">
        <v>41.2</v>
      </c>
      <c r="AG86" s="1">
        <v>42.6</v>
      </c>
      <c r="AH86" s="1">
        <v>22.4</v>
      </c>
      <c r="AI86" s="1" t="s">
        <v>188</v>
      </c>
      <c r="AJ86" s="1">
        <f t="shared" si="31"/>
        <v>378.00000000000006</v>
      </c>
      <c r="AK86" s="1">
        <f t="shared" si="32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3" t="s">
        <v>101</v>
      </c>
      <c r="B87" s="10" t="s">
        <v>35</v>
      </c>
      <c r="C87" s="10">
        <v>88</v>
      </c>
      <c r="D87" s="10">
        <v>18</v>
      </c>
      <c r="E87" s="15">
        <f>52+E49</f>
        <v>55</v>
      </c>
      <c r="F87" s="15">
        <f>23+F49</f>
        <v>20</v>
      </c>
      <c r="G87" s="11">
        <v>0</v>
      </c>
      <c r="H87" s="10">
        <v>45</v>
      </c>
      <c r="I87" s="10" t="s">
        <v>59</v>
      </c>
      <c r="J87" s="10"/>
      <c r="K87" s="10">
        <v>81</v>
      </c>
      <c r="L87" s="10">
        <f t="shared" si="25"/>
        <v>-26</v>
      </c>
      <c r="M87" s="10"/>
      <c r="N87" s="10"/>
      <c r="O87" s="10">
        <v>0</v>
      </c>
      <c r="P87" s="10"/>
      <c r="Q87" s="10">
        <f t="shared" si="26"/>
        <v>11</v>
      </c>
      <c r="R87" s="12"/>
      <c r="S87" s="5">
        <f t="shared" si="28"/>
        <v>0</v>
      </c>
      <c r="T87" s="5">
        <f t="shared" si="29"/>
        <v>0</v>
      </c>
      <c r="U87" s="5"/>
      <c r="V87" s="19"/>
      <c r="W87" s="1">
        <f t="shared" si="30"/>
        <v>1.8181818181818181</v>
      </c>
      <c r="X87" s="10">
        <f t="shared" si="27"/>
        <v>1.8181818181818181</v>
      </c>
      <c r="Y87" s="10">
        <v>12</v>
      </c>
      <c r="Z87" s="10">
        <v>6.8</v>
      </c>
      <c r="AA87" s="10">
        <v>12.6</v>
      </c>
      <c r="AB87" s="10">
        <v>14.6</v>
      </c>
      <c r="AC87" s="10">
        <v>9.1999999999999993</v>
      </c>
      <c r="AD87" s="10">
        <v>10.8</v>
      </c>
      <c r="AE87" s="10">
        <v>17.600000000000001</v>
      </c>
      <c r="AF87" s="10">
        <v>12</v>
      </c>
      <c r="AG87" s="10">
        <v>16.399999999999999</v>
      </c>
      <c r="AH87" s="10">
        <v>18.600000000000001</v>
      </c>
      <c r="AI87" s="10" t="s">
        <v>88</v>
      </c>
      <c r="AJ87" s="1">
        <f t="shared" si="31"/>
        <v>0</v>
      </c>
      <c r="AK87" s="1">
        <f t="shared" si="32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141</v>
      </c>
      <c r="B88" s="1" t="s">
        <v>35</v>
      </c>
      <c r="C88" s="1">
        <v>98</v>
      </c>
      <c r="D88" s="1">
        <v>353</v>
      </c>
      <c r="E88" s="1">
        <v>237</v>
      </c>
      <c r="F88" s="1">
        <v>130</v>
      </c>
      <c r="G88" s="7">
        <v>0.28000000000000003</v>
      </c>
      <c r="H88" s="1">
        <v>45</v>
      </c>
      <c r="I88" s="1" t="s">
        <v>36</v>
      </c>
      <c r="J88" s="1"/>
      <c r="K88" s="1">
        <v>275</v>
      </c>
      <c r="L88" s="1">
        <f t="shared" si="25"/>
        <v>-38</v>
      </c>
      <c r="M88" s="1"/>
      <c r="N88" s="1"/>
      <c r="O88" s="1">
        <v>78</v>
      </c>
      <c r="P88" s="1"/>
      <c r="Q88" s="1">
        <f t="shared" si="26"/>
        <v>47.4</v>
      </c>
      <c r="R88" s="5">
        <f>14*Q88-P88-O88-F88</f>
        <v>455.6</v>
      </c>
      <c r="S88" s="5">
        <f t="shared" si="28"/>
        <v>456</v>
      </c>
      <c r="T88" s="5">
        <f t="shared" si="29"/>
        <v>182</v>
      </c>
      <c r="U88" s="5">
        <f t="shared" ref="U88:U89" si="39">ROUND(S88*$U$1,0)</f>
        <v>274</v>
      </c>
      <c r="V88" s="18"/>
      <c r="W88" s="1">
        <f t="shared" si="30"/>
        <v>14.008438818565402</v>
      </c>
      <c r="X88" s="1">
        <f t="shared" si="27"/>
        <v>4.3881856540084385</v>
      </c>
      <c r="Y88" s="1">
        <v>36.6</v>
      </c>
      <c r="Z88" s="1">
        <v>41.2</v>
      </c>
      <c r="AA88" s="1">
        <v>34</v>
      </c>
      <c r="AB88" s="1">
        <v>45.8</v>
      </c>
      <c r="AC88" s="1">
        <v>23.4</v>
      </c>
      <c r="AD88" s="1">
        <v>51</v>
      </c>
      <c r="AE88" s="1">
        <v>34</v>
      </c>
      <c r="AF88" s="1">
        <v>10.8</v>
      </c>
      <c r="AG88" s="1">
        <v>50.6</v>
      </c>
      <c r="AH88" s="1">
        <v>9.1999999999999993</v>
      </c>
      <c r="AI88" s="1"/>
      <c r="AJ88" s="1">
        <f t="shared" si="31"/>
        <v>50.960000000000008</v>
      </c>
      <c r="AK88" s="1">
        <f t="shared" si="32"/>
        <v>76.720000000000013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142</v>
      </c>
      <c r="B89" s="1" t="s">
        <v>35</v>
      </c>
      <c r="C89" s="1">
        <v>22</v>
      </c>
      <c r="D89" s="1">
        <v>532</v>
      </c>
      <c r="E89" s="1">
        <v>352</v>
      </c>
      <c r="F89" s="1">
        <v>94</v>
      </c>
      <c r="G89" s="7">
        <v>0.4</v>
      </c>
      <c r="H89" s="1">
        <v>50</v>
      </c>
      <c r="I89" s="1" t="s">
        <v>36</v>
      </c>
      <c r="J89" s="1"/>
      <c r="K89" s="1">
        <v>539</v>
      </c>
      <c r="L89" s="1">
        <f t="shared" si="25"/>
        <v>-187</v>
      </c>
      <c r="M89" s="1"/>
      <c r="N89" s="1"/>
      <c r="O89" s="1">
        <v>0</v>
      </c>
      <c r="P89" s="1"/>
      <c r="Q89" s="1">
        <f t="shared" si="26"/>
        <v>70.400000000000006</v>
      </c>
      <c r="R89" s="5">
        <f>11*Q89-P89-O89-F89</f>
        <v>680.40000000000009</v>
      </c>
      <c r="S89" s="5">
        <f t="shared" si="28"/>
        <v>680</v>
      </c>
      <c r="T89" s="5">
        <f t="shared" si="29"/>
        <v>272</v>
      </c>
      <c r="U89" s="5">
        <f t="shared" si="39"/>
        <v>408</v>
      </c>
      <c r="V89" s="18"/>
      <c r="W89" s="1">
        <f t="shared" si="30"/>
        <v>10.994318181818182</v>
      </c>
      <c r="X89" s="1">
        <f t="shared" si="27"/>
        <v>1.3352272727272727</v>
      </c>
      <c r="Y89" s="1">
        <v>24.8</v>
      </c>
      <c r="Z89" s="1">
        <v>68</v>
      </c>
      <c r="AA89" s="1">
        <v>57.4</v>
      </c>
      <c r="AB89" s="1">
        <v>43.4</v>
      </c>
      <c r="AC89" s="1">
        <v>68.400000000000006</v>
      </c>
      <c r="AD89" s="1">
        <v>89.6</v>
      </c>
      <c r="AE89" s="1">
        <v>57.4</v>
      </c>
      <c r="AF89" s="1">
        <v>83.4</v>
      </c>
      <c r="AG89" s="1">
        <v>67</v>
      </c>
      <c r="AH89" s="1">
        <v>52.6</v>
      </c>
      <c r="AI89" s="1"/>
      <c r="AJ89" s="1">
        <f t="shared" si="31"/>
        <v>108.80000000000001</v>
      </c>
      <c r="AK89" s="1">
        <f t="shared" si="32"/>
        <v>163.20000000000002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0" t="s">
        <v>143</v>
      </c>
      <c r="B90" s="10" t="s">
        <v>35</v>
      </c>
      <c r="C90" s="10">
        <v>81</v>
      </c>
      <c r="D90" s="10">
        <v>1</v>
      </c>
      <c r="E90" s="10">
        <v>36</v>
      </c>
      <c r="F90" s="10"/>
      <c r="G90" s="11">
        <v>0</v>
      </c>
      <c r="H90" s="10">
        <v>50</v>
      </c>
      <c r="I90" s="10" t="s">
        <v>59</v>
      </c>
      <c r="J90" s="10"/>
      <c r="K90" s="10">
        <v>41</v>
      </c>
      <c r="L90" s="10">
        <f t="shared" si="25"/>
        <v>-5</v>
      </c>
      <c r="M90" s="10"/>
      <c r="N90" s="10"/>
      <c r="O90" s="10">
        <v>0</v>
      </c>
      <c r="P90" s="10"/>
      <c r="Q90" s="10">
        <f t="shared" si="26"/>
        <v>7.2</v>
      </c>
      <c r="R90" s="12"/>
      <c r="S90" s="5">
        <f t="shared" si="28"/>
        <v>0</v>
      </c>
      <c r="T90" s="5">
        <f t="shared" si="29"/>
        <v>0</v>
      </c>
      <c r="U90" s="5"/>
      <c r="V90" s="19"/>
      <c r="W90" s="1">
        <f t="shared" si="30"/>
        <v>0</v>
      </c>
      <c r="X90" s="10">
        <f t="shared" si="27"/>
        <v>0</v>
      </c>
      <c r="Y90" s="10">
        <v>2.2000000000000002</v>
      </c>
      <c r="Z90" s="10">
        <v>3.6</v>
      </c>
      <c r="AA90" s="10">
        <v>1.4</v>
      </c>
      <c r="AB90" s="10">
        <v>2.2000000000000002</v>
      </c>
      <c r="AC90" s="10">
        <v>1.8</v>
      </c>
      <c r="AD90" s="10">
        <v>2.4</v>
      </c>
      <c r="AE90" s="10">
        <v>10.4</v>
      </c>
      <c r="AF90" s="10">
        <v>6.2</v>
      </c>
      <c r="AG90" s="10">
        <v>11.4</v>
      </c>
      <c r="AH90" s="10">
        <v>13.6</v>
      </c>
      <c r="AI90" s="10"/>
      <c r="AJ90" s="1">
        <f t="shared" si="31"/>
        <v>0</v>
      </c>
      <c r="AK90" s="1">
        <f t="shared" si="32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144</v>
      </c>
      <c r="B91" s="10" t="s">
        <v>35</v>
      </c>
      <c r="C91" s="10">
        <v>-10</v>
      </c>
      <c r="D91" s="10">
        <v>7</v>
      </c>
      <c r="E91" s="10"/>
      <c r="F91" s="10">
        <v>-8</v>
      </c>
      <c r="G91" s="11">
        <v>0</v>
      </c>
      <c r="H91" s="10">
        <v>30</v>
      </c>
      <c r="I91" s="10" t="s">
        <v>59</v>
      </c>
      <c r="J91" s="10"/>
      <c r="K91" s="10">
        <v>9</v>
      </c>
      <c r="L91" s="10">
        <f t="shared" si="25"/>
        <v>-9</v>
      </c>
      <c r="M91" s="10"/>
      <c r="N91" s="10"/>
      <c r="O91" s="10">
        <v>0</v>
      </c>
      <c r="P91" s="10"/>
      <c r="Q91" s="10">
        <f t="shared" si="26"/>
        <v>0</v>
      </c>
      <c r="R91" s="12"/>
      <c r="S91" s="5">
        <f t="shared" si="28"/>
        <v>0</v>
      </c>
      <c r="T91" s="5">
        <f t="shared" si="29"/>
        <v>0</v>
      </c>
      <c r="U91" s="5"/>
      <c r="V91" s="19"/>
      <c r="W91" s="1" t="e">
        <f t="shared" si="30"/>
        <v>#DIV/0!</v>
      </c>
      <c r="X91" s="10" t="e">
        <f t="shared" si="27"/>
        <v>#DIV/0!</v>
      </c>
      <c r="Y91" s="10">
        <v>0</v>
      </c>
      <c r="Z91" s="10">
        <v>2.4</v>
      </c>
      <c r="AA91" s="10">
        <v>4</v>
      </c>
      <c r="AB91" s="10">
        <v>1.6</v>
      </c>
      <c r="AC91" s="10">
        <v>3.4</v>
      </c>
      <c r="AD91" s="10">
        <v>3.6</v>
      </c>
      <c r="AE91" s="10">
        <v>2.8</v>
      </c>
      <c r="AF91" s="10">
        <v>5.8</v>
      </c>
      <c r="AG91" s="10">
        <v>4</v>
      </c>
      <c r="AH91" s="10">
        <v>1.4</v>
      </c>
      <c r="AI91" s="10" t="s">
        <v>88</v>
      </c>
      <c r="AJ91" s="1">
        <f t="shared" si="31"/>
        <v>0</v>
      </c>
      <c r="AK91" s="1">
        <f t="shared" si="32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0" t="s">
        <v>145</v>
      </c>
      <c r="B92" s="10" t="s">
        <v>35</v>
      </c>
      <c r="C92" s="10">
        <v>21</v>
      </c>
      <c r="D92" s="10">
        <v>4</v>
      </c>
      <c r="E92" s="15">
        <v>34</v>
      </c>
      <c r="F92" s="15">
        <v>-13</v>
      </c>
      <c r="G92" s="11">
        <v>0</v>
      </c>
      <c r="H92" s="10">
        <v>60</v>
      </c>
      <c r="I92" s="10" t="s">
        <v>59</v>
      </c>
      <c r="J92" s="10" t="s">
        <v>146</v>
      </c>
      <c r="K92" s="10">
        <v>41</v>
      </c>
      <c r="L92" s="10">
        <f t="shared" si="25"/>
        <v>-7</v>
      </c>
      <c r="M92" s="10"/>
      <c r="N92" s="10"/>
      <c r="O92" s="10">
        <v>0</v>
      </c>
      <c r="P92" s="10"/>
      <c r="Q92" s="10">
        <f t="shared" si="26"/>
        <v>6.8</v>
      </c>
      <c r="R92" s="12"/>
      <c r="S92" s="5">
        <f t="shared" si="28"/>
        <v>0</v>
      </c>
      <c r="T92" s="5">
        <f t="shared" si="29"/>
        <v>0</v>
      </c>
      <c r="U92" s="5"/>
      <c r="V92" s="19"/>
      <c r="W92" s="1">
        <f t="shared" si="30"/>
        <v>-1.911764705882353</v>
      </c>
      <c r="X92" s="10">
        <f t="shared" si="27"/>
        <v>-1.911764705882353</v>
      </c>
      <c r="Y92" s="10">
        <v>5</v>
      </c>
      <c r="Z92" s="10">
        <v>9.6</v>
      </c>
      <c r="AA92" s="10">
        <v>5.6</v>
      </c>
      <c r="AB92" s="10">
        <v>5.2</v>
      </c>
      <c r="AC92" s="10">
        <v>9.8000000000000007</v>
      </c>
      <c r="AD92" s="10">
        <v>13</v>
      </c>
      <c r="AE92" s="10">
        <v>9.1999999999999993</v>
      </c>
      <c r="AF92" s="10">
        <v>13.6</v>
      </c>
      <c r="AG92" s="10">
        <v>8.8000000000000007</v>
      </c>
      <c r="AH92" s="10">
        <v>5.2</v>
      </c>
      <c r="AI92" s="10" t="s">
        <v>147</v>
      </c>
      <c r="AJ92" s="1">
        <f t="shared" si="31"/>
        <v>0</v>
      </c>
      <c r="AK92" s="1">
        <f t="shared" si="32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148</v>
      </c>
      <c r="B93" s="1" t="s">
        <v>38</v>
      </c>
      <c r="C93" s="1"/>
      <c r="D93" s="1"/>
      <c r="E93" s="1"/>
      <c r="F93" s="1"/>
      <c r="G93" s="7">
        <v>1</v>
      </c>
      <c r="H93" s="1"/>
      <c r="I93" s="1" t="s">
        <v>36</v>
      </c>
      <c r="J93" s="1"/>
      <c r="K93" s="1">
        <v>43.9</v>
      </c>
      <c r="L93" s="1">
        <f t="shared" si="25"/>
        <v>-43.9</v>
      </c>
      <c r="M93" s="1"/>
      <c r="N93" s="1"/>
      <c r="O93" s="1">
        <v>160</v>
      </c>
      <c r="P93" s="1"/>
      <c r="Q93" s="1">
        <f t="shared" si="26"/>
        <v>0</v>
      </c>
      <c r="R93" s="5"/>
      <c r="S93" s="5">
        <f>ROUND(R93,0)+160</f>
        <v>160</v>
      </c>
      <c r="T93" s="5">
        <f t="shared" si="29"/>
        <v>160</v>
      </c>
      <c r="U93" s="5"/>
      <c r="V93" s="18" t="s">
        <v>193</v>
      </c>
      <c r="W93" s="1" t="e">
        <f t="shared" si="30"/>
        <v>#DIV/0!</v>
      </c>
      <c r="X93" s="1" t="e">
        <f t="shared" si="27"/>
        <v>#DIV/0!</v>
      </c>
      <c r="Y93" s="1">
        <v>9.9475999999999996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 t="s">
        <v>75</v>
      </c>
      <c r="AJ93" s="1">
        <f t="shared" si="31"/>
        <v>160</v>
      </c>
      <c r="AK93" s="1">
        <f t="shared" si="32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149</v>
      </c>
      <c r="B94" s="1" t="s">
        <v>35</v>
      </c>
      <c r="C94" s="1">
        <v>30</v>
      </c>
      <c r="D94" s="1">
        <v>5</v>
      </c>
      <c r="E94" s="1">
        <v>12</v>
      </c>
      <c r="F94" s="1">
        <v>9</v>
      </c>
      <c r="G94" s="7">
        <v>0.28000000000000003</v>
      </c>
      <c r="H94" s="1">
        <v>50</v>
      </c>
      <c r="I94" s="1" t="s">
        <v>36</v>
      </c>
      <c r="J94" s="1"/>
      <c r="K94" s="1">
        <v>21</v>
      </c>
      <c r="L94" s="1">
        <f t="shared" si="25"/>
        <v>-9</v>
      </c>
      <c r="M94" s="1"/>
      <c r="N94" s="1"/>
      <c r="O94" s="1">
        <v>8</v>
      </c>
      <c r="P94" s="1"/>
      <c r="Q94" s="1">
        <f t="shared" si="26"/>
        <v>2.4</v>
      </c>
      <c r="R94" s="5">
        <f t="shared" ref="R94" si="40">15*Q94-P94-O94-F94</f>
        <v>19</v>
      </c>
      <c r="S94" s="5">
        <f t="shared" si="28"/>
        <v>19</v>
      </c>
      <c r="T94" s="5">
        <f t="shared" si="29"/>
        <v>19</v>
      </c>
      <c r="U94" s="5"/>
      <c r="V94" s="18"/>
      <c r="W94" s="1">
        <f t="shared" si="30"/>
        <v>15</v>
      </c>
      <c r="X94" s="1">
        <f t="shared" si="27"/>
        <v>7.0833333333333339</v>
      </c>
      <c r="Y94" s="1">
        <v>2.4</v>
      </c>
      <c r="Z94" s="1">
        <v>1.2</v>
      </c>
      <c r="AA94" s="1">
        <v>3.6</v>
      </c>
      <c r="AB94" s="1">
        <v>3.8</v>
      </c>
      <c r="AC94" s="1">
        <v>2.8</v>
      </c>
      <c r="AD94" s="1">
        <v>4.4000000000000004</v>
      </c>
      <c r="AE94" s="1">
        <v>0.4</v>
      </c>
      <c r="AF94" s="1">
        <v>3.2</v>
      </c>
      <c r="AG94" s="1">
        <v>6.4</v>
      </c>
      <c r="AH94" s="1">
        <v>3.6</v>
      </c>
      <c r="AI94" s="1"/>
      <c r="AJ94" s="1">
        <f t="shared" si="31"/>
        <v>5.32</v>
      </c>
      <c r="AK94" s="1">
        <f t="shared" si="32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150</v>
      </c>
      <c r="B95" s="10" t="s">
        <v>35</v>
      </c>
      <c r="C95" s="10"/>
      <c r="D95" s="10"/>
      <c r="E95" s="10">
        <v>5</v>
      </c>
      <c r="F95" s="10">
        <v>-5</v>
      </c>
      <c r="G95" s="11">
        <v>0</v>
      </c>
      <c r="H95" s="10">
        <v>50</v>
      </c>
      <c r="I95" s="10" t="s">
        <v>59</v>
      </c>
      <c r="J95" s="10"/>
      <c r="K95" s="10">
        <v>7</v>
      </c>
      <c r="L95" s="10">
        <f t="shared" si="25"/>
        <v>-2</v>
      </c>
      <c r="M95" s="10"/>
      <c r="N95" s="10"/>
      <c r="O95" s="10">
        <v>0</v>
      </c>
      <c r="P95" s="10"/>
      <c r="Q95" s="10">
        <f t="shared" si="26"/>
        <v>1</v>
      </c>
      <c r="R95" s="12"/>
      <c r="S95" s="5">
        <f t="shared" si="28"/>
        <v>0</v>
      </c>
      <c r="T95" s="5">
        <f t="shared" si="29"/>
        <v>0</v>
      </c>
      <c r="U95" s="5"/>
      <c r="V95" s="19"/>
      <c r="W95" s="1">
        <f t="shared" si="30"/>
        <v>-5</v>
      </c>
      <c r="X95" s="10">
        <f t="shared" si="27"/>
        <v>-5</v>
      </c>
      <c r="Y95" s="10">
        <v>6</v>
      </c>
      <c r="Z95" s="10">
        <v>3.4</v>
      </c>
      <c r="AA95" s="10">
        <v>0.2</v>
      </c>
      <c r="AB95" s="10">
        <v>1.4</v>
      </c>
      <c r="AC95" s="10">
        <v>3</v>
      </c>
      <c r="AD95" s="10">
        <v>4</v>
      </c>
      <c r="AE95" s="10">
        <v>0.2</v>
      </c>
      <c r="AF95" s="10">
        <v>4.5999999999999996</v>
      </c>
      <c r="AG95" s="10">
        <v>6</v>
      </c>
      <c r="AH95" s="10">
        <v>3.4</v>
      </c>
      <c r="AI95" s="10"/>
      <c r="AJ95" s="1">
        <f t="shared" si="31"/>
        <v>0</v>
      </c>
      <c r="AK95" s="1">
        <f t="shared" si="32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151</v>
      </c>
      <c r="B96" s="10" t="s">
        <v>35</v>
      </c>
      <c r="C96" s="10">
        <v>54</v>
      </c>
      <c r="D96" s="10">
        <v>4</v>
      </c>
      <c r="E96" s="10">
        <v>48</v>
      </c>
      <c r="F96" s="10">
        <v>-2</v>
      </c>
      <c r="G96" s="11">
        <v>0</v>
      </c>
      <c r="H96" s="10">
        <v>45</v>
      </c>
      <c r="I96" s="10" t="s">
        <v>59</v>
      </c>
      <c r="J96" s="10"/>
      <c r="K96" s="10">
        <v>84</v>
      </c>
      <c r="L96" s="10">
        <f t="shared" si="25"/>
        <v>-36</v>
      </c>
      <c r="M96" s="10"/>
      <c r="N96" s="10"/>
      <c r="O96" s="10">
        <v>0</v>
      </c>
      <c r="P96" s="10"/>
      <c r="Q96" s="10">
        <f t="shared" si="26"/>
        <v>9.6</v>
      </c>
      <c r="R96" s="12"/>
      <c r="S96" s="5">
        <f t="shared" si="28"/>
        <v>0</v>
      </c>
      <c r="T96" s="5">
        <f t="shared" si="29"/>
        <v>0</v>
      </c>
      <c r="U96" s="5"/>
      <c r="V96" s="19"/>
      <c r="W96" s="1">
        <f t="shared" si="30"/>
        <v>-0.20833333333333334</v>
      </c>
      <c r="X96" s="10">
        <f t="shared" si="27"/>
        <v>-0.20833333333333334</v>
      </c>
      <c r="Y96" s="10">
        <v>27.4</v>
      </c>
      <c r="Z96" s="10">
        <v>23.4</v>
      </c>
      <c r="AA96" s="10">
        <v>24.4</v>
      </c>
      <c r="AB96" s="10">
        <v>12.4</v>
      </c>
      <c r="AC96" s="10">
        <v>33.200000000000003</v>
      </c>
      <c r="AD96" s="10">
        <v>32.6</v>
      </c>
      <c r="AE96" s="10">
        <v>21</v>
      </c>
      <c r="AF96" s="10">
        <v>33.6</v>
      </c>
      <c r="AG96" s="10">
        <v>28.4</v>
      </c>
      <c r="AH96" s="10">
        <v>25.8</v>
      </c>
      <c r="AI96" s="10" t="s">
        <v>88</v>
      </c>
      <c r="AJ96" s="1">
        <f t="shared" si="31"/>
        <v>0</v>
      </c>
      <c r="AK96" s="1">
        <f t="shared" si="32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152</v>
      </c>
      <c r="B97" s="1" t="s">
        <v>35</v>
      </c>
      <c r="C97" s="1">
        <v>420</v>
      </c>
      <c r="D97" s="1">
        <v>252</v>
      </c>
      <c r="E97" s="1">
        <v>242</v>
      </c>
      <c r="F97" s="1">
        <v>382</v>
      </c>
      <c r="G97" s="7">
        <v>0.12</v>
      </c>
      <c r="H97" s="1">
        <v>60</v>
      </c>
      <c r="I97" s="9" t="s">
        <v>50</v>
      </c>
      <c r="J97" s="1"/>
      <c r="K97" s="1">
        <v>261</v>
      </c>
      <c r="L97" s="1">
        <f t="shared" si="25"/>
        <v>-19</v>
      </c>
      <c r="M97" s="1"/>
      <c r="N97" s="1"/>
      <c r="O97" s="1">
        <v>0</v>
      </c>
      <c r="P97" s="1"/>
      <c r="Q97" s="1">
        <f t="shared" si="26"/>
        <v>48.4</v>
      </c>
      <c r="R97" s="5">
        <f t="shared" ref="R97:R104" si="41">15*Q97-P97-O97-F97</f>
        <v>344</v>
      </c>
      <c r="S97" s="5">
        <f t="shared" si="28"/>
        <v>344</v>
      </c>
      <c r="T97" s="5">
        <f t="shared" si="29"/>
        <v>138</v>
      </c>
      <c r="U97" s="5">
        <f>ROUND(S97*$U$1,0)</f>
        <v>206</v>
      </c>
      <c r="V97" s="18"/>
      <c r="W97" s="1">
        <f t="shared" si="30"/>
        <v>15</v>
      </c>
      <c r="X97" s="1">
        <f t="shared" si="27"/>
        <v>7.892561983471075</v>
      </c>
      <c r="Y97" s="1">
        <v>25</v>
      </c>
      <c r="Z97" s="1">
        <v>67</v>
      </c>
      <c r="AA97" s="1">
        <v>112.6</v>
      </c>
      <c r="AB97" s="1">
        <v>98</v>
      </c>
      <c r="AC97" s="1">
        <v>31</v>
      </c>
      <c r="AD97" s="1">
        <v>50.6</v>
      </c>
      <c r="AE97" s="1">
        <v>42.6</v>
      </c>
      <c r="AF97" s="1">
        <v>30.8</v>
      </c>
      <c r="AG97" s="1">
        <v>46.2</v>
      </c>
      <c r="AH97" s="1">
        <v>34.200000000000003</v>
      </c>
      <c r="AI97" s="17" t="s">
        <v>180</v>
      </c>
      <c r="AJ97" s="1">
        <f t="shared" si="31"/>
        <v>16.559999999999999</v>
      </c>
      <c r="AK97" s="1">
        <f t="shared" si="32"/>
        <v>24.72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153</v>
      </c>
      <c r="B98" s="1" t="s">
        <v>35</v>
      </c>
      <c r="C98" s="1">
        <v>-23</v>
      </c>
      <c r="D98" s="1">
        <v>258</v>
      </c>
      <c r="E98" s="1">
        <v>122</v>
      </c>
      <c r="F98" s="1">
        <v>15</v>
      </c>
      <c r="G98" s="7">
        <v>0.33</v>
      </c>
      <c r="H98" s="1">
        <v>30</v>
      </c>
      <c r="I98" s="1" t="s">
        <v>36</v>
      </c>
      <c r="J98" s="1"/>
      <c r="K98" s="1">
        <v>269</v>
      </c>
      <c r="L98" s="1">
        <f t="shared" si="25"/>
        <v>-147</v>
      </c>
      <c r="M98" s="1"/>
      <c r="N98" s="1"/>
      <c r="O98" s="1">
        <v>196</v>
      </c>
      <c r="P98" s="1">
        <v>239</v>
      </c>
      <c r="Q98" s="1">
        <f t="shared" si="26"/>
        <v>24.4</v>
      </c>
      <c r="R98" s="5"/>
      <c r="S98" s="5">
        <f>ROUND(R98,0)+50</f>
        <v>50</v>
      </c>
      <c r="T98" s="5">
        <f t="shared" si="29"/>
        <v>50</v>
      </c>
      <c r="U98" s="5"/>
      <c r="V98" s="18" t="s">
        <v>194</v>
      </c>
      <c r="W98" s="1">
        <f t="shared" si="30"/>
        <v>20.491803278688526</v>
      </c>
      <c r="X98" s="1">
        <f t="shared" si="27"/>
        <v>18.442622950819672</v>
      </c>
      <c r="Y98" s="1">
        <v>46.2</v>
      </c>
      <c r="Z98" s="1">
        <v>28</v>
      </c>
      <c r="AA98" s="1">
        <v>24</v>
      </c>
      <c r="AB98" s="1">
        <v>41.2</v>
      </c>
      <c r="AC98" s="1">
        <v>37.200000000000003</v>
      </c>
      <c r="AD98" s="1">
        <v>56.2</v>
      </c>
      <c r="AE98" s="1">
        <v>49.8</v>
      </c>
      <c r="AF98" s="1">
        <v>31</v>
      </c>
      <c r="AG98" s="1">
        <v>40.799999999999997</v>
      </c>
      <c r="AH98" s="1">
        <v>42.8</v>
      </c>
      <c r="AI98" s="1"/>
      <c r="AJ98" s="1">
        <f t="shared" si="31"/>
        <v>16.5</v>
      </c>
      <c r="AK98" s="1">
        <f t="shared" si="32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154</v>
      </c>
      <c r="B99" s="1" t="s">
        <v>35</v>
      </c>
      <c r="C99" s="1"/>
      <c r="D99" s="1"/>
      <c r="E99" s="1"/>
      <c r="F99" s="1"/>
      <c r="G99" s="7">
        <v>0.15</v>
      </c>
      <c r="H99" s="1">
        <v>60</v>
      </c>
      <c r="I99" s="1" t="s">
        <v>36</v>
      </c>
      <c r="J99" s="1"/>
      <c r="K99" s="1"/>
      <c r="L99" s="1">
        <f t="shared" si="25"/>
        <v>0</v>
      </c>
      <c r="M99" s="1"/>
      <c r="N99" s="1"/>
      <c r="O99" s="1">
        <v>100</v>
      </c>
      <c r="P99" s="1"/>
      <c r="Q99" s="1">
        <f t="shared" si="26"/>
        <v>0</v>
      </c>
      <c r="R99" s="5"/>
      <c r="S99" s="5">
        <f t="shared" si="28"/>
        <v>0</v>
      </c>
      <c r="T99" s="5">
        <f t="shared" si="29"/>
        <v>0</v>
      </c>
      <c r="U99" s="5"/>
      <c r="V99" s="18"/>
      <c r="W99" s="1" t="e">
        <f t="shared" si="30"/>
        <v>#DIV/0!</v>
      </c>
      <c r="X99" s="1" t="e">
        <f t="shared" si="27"/>
        <v>#DIV/0!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 t="s">
        <v>75</v>
      </c>
      <c r="AJ99" s="1">
        <f t="shared" si="31"/>
        <v>0</v>
      </c>
      <c r="AK99" s="1">
        <f t="shared" si="32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155</v>
      </c>
      <c r="B100" s="1" t="s">
        <v>35</v>
      </c>
      <c r="C100" s="1">
        <v>200</v>
      </c>
      <c r="D100" s="1"/>
      <c r="E100" s="1">
        <v>25</v>
      </c>
      <c r="F100" s="1">
        <v>166</v>
      </c>
      <c r="G100" s="7">
        <v>0.28000000000000003</v>
      </c>
      <c r="H100" s="1">
        <v>45</v>
      </c>
      <c r="I100" s="1" t="s">
        <v>36</v>
      </c>
      <c r="J100" s="1"/>
      <c r="K100" s="1">
        <v>42</v>
      </c>
      <c r="L100" s="1">
        <f t="shared" si="25"/>
        <v>-17</v>
      </c>
      <c r="M100" s="1"/>
      <c r="N100" s="1"/>
      <c r="O100" s="1">
        <v>0</v>
      </c>
      <c r="P100" s="1"/>
      <c r="Q100" s="1">
        <f t="shared" si="26"/>
        <v>5</v>
      </c>
      <c r="R100" s="5"/>
      <c r="S100" s="5">
        <f t="shared" si="28"/>
        <v>0</v>
      </c>
      <c r="T100" s="5">
        <f t="shared" si="29"/>
        <v>0</v>
      </c>
      <c r="U100" s="5"/>
      <c r="V100" s="18"/>
      <c r="W100" s="1">
        <f t="shared" si="30"/>
        <v>33.200000000000003</v>
      </c>
      <c r="X100" s="1">
        <f t="shared" si="27"/>
        <v>33.200000000000003</v>
      </c>
      <c r="Y100" s="1">
        <v>3.8</v>
      </c>
      <c r="Z100" s="1">
        <v>4.5999999999999996</v>
      </c>
      <c r="AA100" s="1">
        <v>4.4000000000000004</v>
      </c>
      <c r="AB100" s="1">
        <v>0</v>
      </c>
      <c r="AC100" s="1">
        <v>31.2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4" t="s">
        <v>48</v>
      </c>
      <c r="AJ100" s="1">
        <f t="shared" si="31"/>
        <v>0</v>
      </c>
      <c r="AK100" s="1">
        <f t="shared" si="32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156</v>
      </c>
      <c r="B101" s="1" t="s">
        <v>35</v>
      </c>
      <c r="C101" s="1"/>
      <c r="D101" s="1"/>
      <c r="E101" s="1"/>
      <c r="F101" s="1"/>
      <c r="G101" s="7">
        <v>0.26</v>
      </c>
      <c r="H101" s="1">
        <v>45</v>
      </c>
      <c r="I101" s="1" t="s">
        <v>36</v>
      </c>
      <c r="J101" s="1"/>
      <c r="K101" s="1"/>
      <c r="L101" s="1">
        <f t="shared" si="25"/>
        <v>0</v>
      </c>
      <c r="M101" s="1"/>
      <c r="N101" s="1"/>
      <c r="O101" s="1">
        <v>30</v>
      </c>
      <c r="P101" s="1"/>
      <c r="Q101" s="1">
        <f t="shared" si="26"/>
        <v>0</v>
      </c>
      <c r="R101" s="5"/>
      <c r="S101" s="5">
        <f t="shared" si="28"/>
        <v>0</v>
      </c>
      <c r="T101" s="5">
        <f t="shared" si="29"/>
        <v>0</v>
      </c>
      <c r="U101" s="5"/>
      <c r="V101" s="18"/>
      <c r="W101" s="1" t="e">
        <f t="shared" si="30"/>
        <v>#DIV/0!</v>
      </c>
      <c r="X101" s="1" t="e">
        <f t="shared" si="27"/>
        <v>#DIV/0!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75</v>
      </c>
      <c r="AJ101" s="1">
        <f t="shared" si="31"/>
        <v>0</v>
      </c>
      <c r="AK101" s="1">
        <f t="shared" si="32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157</v>
      </c>
      <c r="B102" s="1" t="s">
        <v>35</v>
      </c>
      <c r="C102" s="1"/>
      <c r="D102" s="1"/>
      <c r="E102" s="1"/>
      <c r="F102" s="1"/>
      <c r="G102" s="7">
        <v>0.31</v>
      </c>
      <c r="H102" s="1">
        <v>45</v>
      </c>
      <c r="I102" s="1" t="s">
        <v>36</v>
      </c>
      <c r="J102" s="1"/>
      <c r="K102" s="1"/>
      <c r="L102" s="1">
        <f t="shared" ref="L102:L117" si="42">E102-K102</f>
        <v>0</v>
      </c>
      <c r="M102" s="1"/>
      <c r="N102" s="1"/>
      <c r="O102" s="1">
        <v>30</v>
      </c>
      <c r="P102" s="1"/>
      <c r="Q102" s="1">
        <f t="shared" ref="Q102:Q117" si="43">E102/5</f>
        <v>0</v>
      </c>
      <c r="R102" s="5"/>
      <c r="S102" s="5">
        <f t="shared" si="28"/>
        <v>0</v>
      </c>
      <c r="T102" s="5">
        <f t="shared" si="29"/>
        <v>0</v>
      </c>
      <c r="U102" s="5"/>
      <c r="V102" s="18"/>
      <c r="W102" s="1" t="e">
        <f t="shared" si="30"/>
        <v>#DIV/0!</v>
      </c>
      <c r="X102" s="1" t="e">
        <f t="shared" ref="X102:X117" si="44">(F102+O102+P102)/Q102</f>
        <v>#DIV/0!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 t="s">
        <v>75</v>
      </c>
      <c r="AJ102" s="1">
        <f t="shared" si="31"/>
        <v>0</v>
      </c>
      <c r="AK102" s="1">
        <f t="shared" si="32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158</v>
      </c>
      <c r="B103" s="1" t="s">
        <v>35</v>
      </c>
      <c r="C103" s="1">
        <v>280</v>
      </c>
      <c r="D103" s="1">
        <v>29</v>
      </c>
      <c r="E103" s="1">
        <v>174</v>
      </c>
      <c r="F103" s="1">
        <v>57</v>
      </c>
      <c r="G103" s="7">
        <v>0.4</v>
      </c>
      <c r="H103" s="1">
        <v>60</v>
      </c>
      <c r="I103" s="1" t="s">
        <v>36</v>
      </c>
      <c r="J103" s="1"/>
      <c r="K103" s="1">
        <v>224</v>
      </c>
      <c r="L103" s="1">
        <f t="shared" si="42"/>
        <v>-50</v>
      </c>
      <c r="M103" s="1"/>
      <c r="N103" s="1"/>
      <c r="O103" s="1">
        <v>16</v>
      </c>
      <c r="P103" s="1"/>
      <c r="Q103" s="1">
        <f t="shared" si="43"/>
        <v>34.799999999999997</v>
      </c>
      <c r="R103" s="5">
        <f>12*Q103-P103-O103-F103</f>
        <v>344.59999999999997</v>
      </c>
      <c r="S103" s="5">
        <f t="shared" si="28"/>
        <v>345</v>
      </c>
      <c r="T103" s="5">
        <f t="shared" si="29"/>
        <v>138</v>
      </c>
      <c r="U103" s="5">
        <f>ROUND(S103*$U$1,0)</f>
        <v>207</v>
      </c>
      <c r="V103" s="18"/>
      <c r="W103" s="1">
        <f t="shared" si="30"/>
        <v>12.011494252873565</v>
      </c>
      <c r="X103" s="1">
        <f t="shared" si="44"/>
        <v>2.0977011494252875</v>
      </c>
      <c r="Y103" s="1">
        <v>20.2</v>
      </c>
      <c r="Z103" s="1">
        <v>25.8</v>
      </c>
      <c r="AA103" s="1">
        <v>39.4</v>
      </c>
      <c r="AB103" s="1">
        <v>20.399999999999999</v>
      </c>
      <c r="AC103" s="1">
        <v>9.4</v>
      </c>
      <c r="AD103" s="1">
        <v>35.200000000000003</v>
      </c>
      <c r="AE103" s="1">
        <v>13</v>
      </c>
      <c r="AF103" s="1">
        <v>27.6</v>
      </c>
      <c r="AG103" s="1">
        <v>20.2</v>
      </c>
      <c r="AH103" s="1">
        <v>18.8</v>
      </c>
      <c r="AI103" s="1"/>
      <c r="AJ103" s="1">
        <f t="shared" si="31"/>
        <v>55.2</v>
      </c>
      <c r="AK103" s="1">
        <f t="shared" si="32"/>
        <v>82.800000000000011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67</v>
      </c>
      <c r="B104" s="1" t="s">
        <v>35</v>
      </c>
      <c r="C104" s="1">
        <v>16</v>
      </c>
      <c r="D104" s="1">
        <v>10</v>
      </c>
      <c r="E104" s="1">
        <v>31</v>
      </c>
      <c r="F104" s="15">
        <f>-7+F29</f>
        <v>-3</v>
      </c>
      <c r="G104" s="7">
        <v>0.35</v>
      </c>
      <c r="H104" s="1">
        <v>60</v>
      </c>
      <c r="I104" s="1" t="s">
        <v>36</v>
      </c>
      <c r="J104" s="1"/>
      <c r="K104" s="1">
        <v>353</v>
      </c>
      <c r="L104" s="1">
        <f t="shared" si="42"/>
        <v>-322</v>
      </c>
      <c r="M104" s="1"/>
      <c r="N104" s="1"/>
      <c r="O104" s="1">
        <v>67</v>
      </c>
      <c r="P104" s="1"/>
      <c r="Q104" s="1">
        <f t="shared" si="43"/>
        <v>6.2</v>
      </c>
      <c r="R104" s="5">
        <f t="shared" si="41"/>
        <v>29</v>
      </c>
      <c r="S104" s="5">
        <f t="shared" si="28"/>
        <v>29</v>
      </c>
      <c r="T104" s="5">
        <f t="shared" si="29"/>
        <v>29</v>
      </c>
      <c r="U104" s="5"/>
      <c r="V104" s="18"/>
      <c r="W104" s="1">
        <f t="shared" si="30"/>
        <v>15</v>
      </c>
      <c r="X104" s="1">
        <f t="shared" si="44"/>
        <v>10.32258064516129</v>
      </c>
      <c r="Y104" s="1">
        <v>7</v>
      </c>
      <c r="Z104" s="1">
        <v>4.4000000000000004</v>
      </c>
      <c r="AA104" s="1">
        <v>1.4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159</v>
      </c>
      <c r="AJ104" s="1">
        <f t="shared" si="31"/>
        <v>10.149999999999999</v>
      </c>
      <c r="AK104" s="1">
        <f t="shared" si="32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160</v>
      </c>
      <c r="B105" s="1" t="s">
        <v>38</v>
      </c>
      <c r="C105" s="1"/>
      <c r="D105" s="1"/>
      <c r="E105" s="1"/>
      <c r="F105" s="1"/>
      <c r="G105" s="7">
        <v>1</v>
      </c>
      <c r="H105" s="1">
        <v>45</v>
      </c>
      <c r="I105" s="1" t="s">
        <v>36</v>
      </c>
      <c r="J105" s="1"/>
      <c r="K105" s="1"/>
      <c r="L105" s="1">
        <f t="shared" si="42"/>
        <v>0</v>
      </c>
      <c r="M105" s="1"/>
      <c r="N105" s="1"/>
      <c r="O105" s="1">
        <v>10</v>
      </c>
      <c r="P105" s="1"/>
      <c r="Q105" s="1">
        <f t="shared" si="43"/>
        <v>0</v>
      </c>
      <c r="R105" s="5"/>
      <c r="S105" s="5">
        <f t="shared" si="28"/>
        <v>0</v>
      </c>
      <c r="T105" s="5">
        <f t="shared" si="29"/>
        <v>0</v>
      </c>
      <c r="U105" s="5"/>
      <c r="V105" s="18"/>
      <c r="W105" s="1" t="e">
        <f t="shared" si="30"/>
        <v>#DIV/0!</v>
      </c>
      <c r="X105" s="1" t="e">
        <f t="shared" si="44"/>
        <v>#DIV/0!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 t="s">
        <v>75</v>
      </c>
      <c r="AJ105" s="1">
        <f t="shared" si="31"/>
        <v>0</v>
      </c>
      <c r="AK105" s="1">
        <f t="shared" si="32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161</v>
      </c>
      <c r="B106" s="1" t="s">
        <v>38</v>
      </c>
      <c r="C106" s="1">
        <v>15.997</v>
      </c>
      <c r="D106" s="1">
        <v>10.291</v>
      </c>
      <c r="E106" s="1">
        <v>16.164999999999999</v>
      </c>
      <c r="F106" s="1">
        <v>10.122999999999999</v>
      </c>
      <c r="G106" s="7">
        <v>1</v>
      </c>
      <c r="H106" s="1">
        <v>45</v>
      </c>
      <c r="I106" s="1" t="s">
        <v>36</v>
      </c>
      <c r="J106" s="1"/>
      <c r="K106" s="1">
        <v>15.6</v>
      </c>
      <c r="L106" s="1">
        <f t="shared" si="42"/>
        <v>0.5649999999999995</v>
      </c>
      <c r="M106" s="1"/>
      <c r="N106" s="1"/>
      <c r="O106" s="1">
        <v>0</v>
      </c>
      <c r="P106" s="1"/>
      <c r="Q106" s="1">
        <f t="shared" si="43"/>
        <v>3.2329999999999997</v>
      </c>
      <c r="R106" s="5">
        <f>13*Q106-P106-O106-F106</f>
        <v>31.905999999999999</v>
      </c>
      <c r="S106" s="5">
        <f t="shared" si="28"/>
        <v>32</v>
      </c>
      <c r="T106" s="5">
        <f t="shared" si="29"/>
        <v>32</v>
      </c>
      <c r="U106" s="5"/>
      <c r="V106" s="18"/>
      <c r="W106" s="1">
        <f t="shared" si="30"/>
        <v>13.029075162387876</v>
      </c>
      <c r="X106" s="1">
        <f t="shared" si="44"/>
        <v>3.1311475409836067</v>
      </c>
      <c r="Y106" s="1">
        <v>0.84600000000000009</v>
      </c>
      <c r="Z106" s="1">
        <v>0</v>
      </c>
      <c r="AA106" s="1">
        <v>2.0257999999999998</v>
      </c>
      <c r="AB106" s="1">
        <v>0.68120000000000003</v>
      </c>
      <c r="AC106" s="1">
        <v>1.6926000000000001</v>
      </c>
      <c r="AD106" s="1">
        <v>4.6631999999999998</v>
      </c>
      <c r="AE106" s="1">
        <v>0</v>
      </c>
      <c r="AF106" s="1">
        <v>0</v>
      </c>
      <c r="AG106" s="1">
        <v>0</v>
      </c>
      <c r="AH106" s="1">
        <v>2.8502000000000001</v>
      </c>
      <c r="AI106" s="1" t="s">
        <v>162</v>
      </c>
      <c r="AJ106" s="1">
        <f t="shared" si="31"/>
        <v>32</v>
      </c>
      <c r="AK106" s="1">
        <f t="shared" si="32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0" t="s">
        <v>163</v>
      </c>
      <c r="B107" s="10" t="s">
        <v>35</v>
      </c>
      <c r="C107" s="10"/>
      <c r="D107" s="10">
        <v>300</v>
      </c>
      <c r="E107" s="10">
        <v>2</v>
      </c>
      <c r="F107" s="10">
        <v>288</v>
      </c>
      <c r="G107" s="11">
        <v>0</v>
      </c>
      <c r="H107" s="10"/>
      <c r="I107" s="10" t="s">
        <v>59</v>
      </c>
      <c r="J107" s="10"/>
      <c r="K107" s="10"/>
      <c r="L107" s="10">
        <f t="shared" si="42"/>
        <v>2</v>
      </c>
      <c r="M107" s="10"/>
      <c r="N107" s="10"/>
      <c r="O107" s="10">
        <v>0</v>
      </c>
      <c r="P107" s="10"/>
      <c r="Q107" s="10">
        <f t="shared" si="43"/>
        <v>0.4</v>
      </c>
      <c r="R107" s="12"/>
      <c r="S107" s="5">
        <f t="shared" si="28"/>
        <v>0</v>
      </c>
      <c r="T107" s="5">
        <f t="shared" si="29"/>
        <v>0</v>
      </c>
      <c r="U107" s="5"/>
      <c r="V107" s="19"/>
      <c r="W107" s="1">
        <f t="shared" si="30"/>
        <v>720</v>
      </c>
      <c r="X107" s="10">
        <f t="shared" si="44"/>
        <v>720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164</v>
      </c>
      <c r="AJ107" s="1">
        <f t="shared" si="31"/>
        <v>0</v>
      </c>
      <c r="AK107" s="1">
        <f t="shared" si="32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165</v>
      </c>
      <c r="B108" s="1" t="s">
        <v>35</v>
      </c>
      <c r="C108" s="1">
        <v>110</v>
      </c>
      <c r="D108" s="1">
        <v>67</v>
      </c>
      <c r="E108" s="1">
        <v>142</v>
      </c>
      <c r="F108" s="1">
        <v>22</v>
      </c>
      <c r="G108" s="7">
        <v>0.33</v>
      </c>
      <c r="H108" s="1">
        <v>45</v>
      </c>
      <c r="I108" s="1" t="s">
        <v>36</v>
      </c>
      <c r="J108" s="1"/>
      <c r="K108" s="1">
        <v>163</v>
      </c>
      <c r="L108" s="1">
        <f t="shared" si="42"/>
        <v>-21</v>
      </c>
      <c r="M108" s="1"/>
      <c r="N108" s="1"/>
      <c r="O108" s="1">
        <v>197</v>
      </c>
      <c r="P108" s="1"/>
      <c r="Q108" s="1">
        <f t="shared" si="43"/>
        <v>28.4</v>
      </c>
      <c r="R108" s="5">
        <f t="shared" ref="R108:R113" si="45">15*Q108-P108-O108-F108</f>
        <v>207</v>
      </c>
      <c r="S108" s="5">
        <f t="shared" si="28"/>
        <v>207</v>
      </c>
      <c r="T108" s="5">
        <f t="shared" si="29"/>
        <v>83</v>
      </c>
      <c r="U108" s="5">
        <f>ROUND(S108*$U$1,0)</f>
        <v>124</v>
      </c>
      <c r="V108" s="18"/>
      <c r="W108" s="1">
        <f t="shared" si="30"/>
        <v>15</v>
      </c>
      <c r="X108" s="1">
        <f t="shared" si="44"/>
        <v>7.711267605633803</v>
      </c>
      <c r="Y108" s="1">
        <v>26.2</v>
      </c>
      <c r="Z108" s="1">
        <v>15</v>
      </c>
      <c r="AA108" s="1">
        <v>24.6</v>
      </c>
      <c r="AB108" s="1">
        <v>1</v>
      </c>
      <c r="AC108" s="1">
        <v>14.8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 t="s">
        <v>166</v>
      </c>
      <c r="AJ108" s="1">
        <f t="shared" si="31"/>
        <v>27.39</v>
      </c>
      <c r="AK108" s="1">
        <f t="shared" si="32"/>
        <v>40.92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83</v>
      </c>
      <c r="B109" s="1" t="s">
        <v>35</v>
      </c>
      <c r="C109" s="1">
        <v>85</v>
      </c>
      <c r="D109" s="1">
        <v>20</v>
      </c>
      <c r="E109" s="15">
        <f>0+E37</f>
        <v>20</v>
      </c>
      <c r="F109" s="15">
        <f>104+F37</f>
        <v>126</v>
      </c>
      <c r="G109" s="7">
        <v>0.1</v>
      </c>
      <c r="H109" s="1">
        <v>45</v>
      </c>
      <c r="I109" s="1" t="s">
        <v>36</v>
      </c>
      <c r="J109" s="1"/>
      <c r="K109" s="1">
        <v>120</v>
      </c>
      <c r="L109" s="1">
        <f t="shared" si="42"/>
        <v>-100</v>
      </c>
      <c r="M109" s="1"/>
      <c r="N109" s="1"/>
      <c r="O109" s="1">
        <v>0</v>
      </c>
      <c r="P109" s="1"/>
      <c r="Q109" s="1">
        <f t="shared" si="43"/>
        <v>4</v>
      </c>
      <c r="R109" s="5"/>
      <c r="S109" s="5">
        <f t="shared" si="28"/>
        <v>0</v>
      </c>
      <c r="T109" s="5">
        <f t="shared" si="29"/>
        <v>0</v>
      </c>
      <c r="U109" s="5"/>
      <c r="V109" s="18"/>
      <c r="W109" s="1">
        <f t="shared" si="30"/>
        <v>31.5</v>
      </c>
      <c r="X109" s="1">
        <f t="shared" si="44"/>
        <v>31.5</v>
      </c>
      <c r="Y109" s="1">
        <v>2.8</v>
      </c>
      <c r="Z109" s="1">
        <v>11</v>
      </c>
      <c r="AA109" s="1">
        <v>4.2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6" t="s">
        <v>178</v>
      </c>
      <c r="AJ109" s="1">
        <f t="shared" si="31"/>
        <v>0</v>
      </c>
      <c r="AK109" s="1">
        <f t="shared" si="32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146</v>
      </c>
      <c r="B110" s="1" t="s">
        <v>35</v>
      </c>
      <c r="C110" s="1">
        <v>28</v>
      </c>
      <c r="D110" s="1">
        <v>71</v>
      </c>
      <c r="E110" s="15">
        <f>1+E92</f>
        <v>35</v>
      </c>
      <c r="F110" s="15">
        <f>92+F92</f>
        <v>79</v>
      </c>
      <c r="G110" s="7">
        <v>0.1</v>
      </c>
      <c r="H110" s="1">
        <v>60</v>
      </c>
      <c r="I110" s="1" t="s">
        <v>36</v>
      </c>
      <c r="J110" s="1"/>
      <c r="K110" s="1">
        <v>3</v>
      </c>
      <c r="L110" s="1">
        <f t="shared" si="42"/>
        <v>32</v>
      </c>
      <c r="M110" s="1"/>
      <c r="N110" s="1"/>
      <c r="O110" s="1">
        <v>0</v>
      </c>
      <c r="P110" s="1"/>
      <c r="Q110" s="1">
        <f t="shared" si="43"/>
        <v>7</v>
      </c>
      <c r="R110" s="5">
        <f t="shared" si="45"/>
        <v>26</v>
      </c>
      <c r="S110" s="5">
        <f t="shared" si="28"/>
        <v>26</v>
      </c>
      <c r="T110" s="5">
        <f t="shared" si="29"/>
        <v>26</v>
      </c>
      <c r="U110" s="5"/>
      <c r="V110" s="18"/>
      <c r="W110" s="1">
        <f t="shared" si="30"/>
        <v>15</v>
      </c>
      <c r="X110" s="1">
        <f t="shared" si="44"/>
        <v>11.285714285714286</v>
      </c>
      <c r="Y110" s="1">
        <v>5.2</v>
      </c>
      <c r="Z110" s="1">
        <v>9.6</v>
      </c>
      <c r="AA110" s="1">
        <v>5.6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 t="s">
        <v>167</v>
      </c>
      <c r="AJ110" s="1">
        <f t="shared" si="31"/>
        <v>2.6</v>
      </c>
      <c r="AK110" s="1">
        <f t="shared" si="32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80</v>
      </c>
      <c r="B111" s="1" t="s">
        <v>35</v>
      </c>
      <c r="C111" s="1">
        <v>110</v>
      </c>
      <c r="D111" s="1">
        <v>372</v>
      </c>
      <c r="E111" s="15">
        <f>6+E36</f>
        <v>9</v>
      </c>
      <c r="F111" s="15">
        <f>456+F36</f>
        <v>457</v>
      </c>
      <c r="G111" s="7">
        <v>0.1</v>
      </c>
      <c r="H111" s="1">
        <v>60</v>
      </c>
      <c r="I111" s="1" t="s">
        <v>36</v>
      </c>
      <c r="J111" s="1"/>
      <c r="K111" s="1">
        <v>10</v>
      </c>
      <c r="L111" s="1">
        <f t="shared" si="42"/>
        <v>-1</v>
      </c>
      <c r="M111" s="1"/>
      <c r="N111" s="1"/>
      <c r="O111" s="1">
        <v>0</v>
      </c>
      <c r="P111" s="1"/>
      <c r="Q111" s="1">
        <f t="shared" si="43"/>
        <v>1.8</v>
      </c>
      <c r="R111" s="5"/>
      <c r="S111" s="5">
        <f t="shared" si="28"/>
        <v>0</v>
      </c>
      <c r="T111" s="5">
        <f t="shared" si="29"/>
        <v>0</v>
      </c>
      <c r="U111" s="5"/>
      <c r="V111" s="18"/>
      <c r="W111" s="1">
        <f t="shared" si="30"/>
        <v>253.88888888888889</v>
      </c>
      <c r="X111" s="1">
        <f t="shared" si="44"/>
        <v>253.88888888888889</v>
      </c>
      <c r="Y111" s="1">
        <v>6</v>
      </c>
      <c r="Z111" s="1">
        <v>38.799999999999997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6" t="s">
        <v>179</v>
      </c>
      <c r="AJ111" s="1">
        <f t="shared" si="31"/>
        <v>0</v>
      </c>
      <c r="AK111" s="1">
        <f t="shared" si="32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77</v>
      </c>
      <c r="B112" s="1" t="s">
        <v>35</v>
      </c>
      <c r="C112" s="1">
        <v>500</v>
      </c>
      <c r="D112" s="1">
        <v>18</v>
      </c>
      <c r="E112" s="1">
        <v>490</v>
      </c>
      <c r="F112" s="15">
        <f>0+F35</f>
        <v>-23</v>
      </c>
      <c r="G112" s="7">
        <v>0.1</v>
      </c>
      <c r="H112" s="1">
        <v>60</v>
      </c>
      <c r="I112" s="1" t="s">
        <v>36</v>
      </c>
      <c r="J112" s="1"/>
      <c r="K112" s="1">
        <v>567</v>
      </c>
      <c r="L112" s="1">
        <f t="shared" si="42"/>
        <v>-77</v>
      </c>
      <c r="M112" s="1"/>
      <c r="N112" s="1"/>
      <c r="O112" s="1">
        <v>81</v>
      </c>
      <c r="P112" s="1"/>
      <c r="Q112" s="1">
        <f t="shared" si="43"/>
        <v>98</v>
      </c>
      <c r="R112" s="5">
        <f>10*Q112-P112-O112-F112</f>
        <v>922</v>
      </c>
      <c r="S112" s="5">
        <f t="shared" si="28"/>
        <v>922</v>
      </c>
      <c r="T112" s="5">
        <f t="shared" si="29"/>
        <v>369</v>
      </c>
      <c r="U112" s="5">
        <f t="shared" ref="U112:U113" si="46">ROUND(S112*$U$1,0)</f>
        <v>553</v>
      </c>
      <c r="V112" s="18"/>
      <c r="W112" s="1">
        <f t="shared" si="30"/>
        <v>10</v>
      </c>
      <c r="X112" s="1">
        <f t="shared" si="44"/>
        <v>0.59183673469387754</v>
      </c>
      <c r="Y112" s="1">
        <v>37.200000000000003</v>
      </c>
      <c r="Z112" s="1">
        <v>28.6</v>
      </c>
      <c r="AA112" s="1">
        <v>54.8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 t="s">
        <v>168</v>
      </c>
      <c r="AJ112" s="1">
        <f t="shared" si="31"/>
        <v>36.9</v>
      </c>
      <c r="AK112" s="1">
        <f t="shared" si="32"/>
        <v>55.300000000000004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71</v>
      </c>
      <c r="B113" s="1" t="s">
        <v>35</v>
      </c>
      <c r="C113" s="1">
        <v>374</v>
      </c>
      <c r="D113" s="1">
        <v>164</v>
      </c>
      <c r="E113" s="15">
        <f>404+E32</f>
        <v>403</v>
      </c>
      <c r="F113" s="15">
        <f>48+F32</f>
        <v>42</v>
      </c>
      <c r="G113" s="7">
        <v>0.4</v>
      </c>
      <c r="H113" s="1">
        <v>60</v>
      </c>
      <c r="I113" s="1" t="s">
        <v>36</v>
      </c>
      <c r="J113" s="1"/>
      <c r="K113" s="1">
        <v>624</v>
      </c>
      <c r="L113" s="1">
        <f t="shared" si="42"/>
        <v>-221</v>
      </c>
      <c r="M113" s="1"/>
      <c r="N113" s="1"/>
      <c r="O113" s="1">
        <v>333</v>
      </c>
      <c r="P113" s="1">
        <v>407</v>
      </c>
      <c r="Q113" s="1">
        <f t="shared" si="43"/>
        <v>80.599999999999994</v>
      </c>
      <c r="R113" s="5">
        <f t="shared" si="45"/>
        <v>427</v>
      </c>
      <c r="S113" s="5">
        <f t="shared" si="28"/>
        <v>427</v>
      </c>
      <c r="T113" s="5">
        <f t="shared" si="29"/>
        <v>171</v>
      </c>
      <c r="U113" s="5">
        <f t="shared" si="46"/>
        <v>256</v>
      </c>
      <c r="V113" s="18"/>
      <c r="W113" s="1">
        <f t="shared" si="30"/>
        <v>15.000000000000002</v>
      </c>
      <c r="X113" s="1">
        <f t="shared" si="44"/>
        <v>9.7022332506203472</v>
      </c>
      <c r="Y113" s="1">
        <v>81</v>
      </c>
      <c r="Z113" s="1">
        <v>58.6</v>
      </c>
      <c r="AA113" s="1">
        <v>71.400000000000006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 t="s">
        <v>169</v>
      </c>
      <c r="AJ113" s="1">
        <f t="shared" si="31"/>
        <v>68.400000000000006</v>
      </c>
      <c r="AK113" s="1">
        <f t="shared" si="32"/>
        <v>102.4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170</v>
      </c>
      <c r="B114" s="1" t="s">
        <v>35</v>
      </c>
      <c r="C114" s="1"/>
      <c r="D114" s="1"/>
      <c r="E114" s="1"/>
      <c r="F114" s="1"/>
      <c r="G114" s="7">
        <v>0.1</v>
      </c>
      <c r="H114" s="1"/>
      <c r="I114" s="1" t="s">
        <v>36</v>
      </c>
      <c r="J114" s="1"/>
      <c r="K114" s="1"/>
      <c r="L114" s="1">
        <f t="shared" si="42"/>
        <v>0</v>
      </c>
      <c r="M114" s="1"/>
      <c r="N114" s="1"/>
      <c r="O114" s="1">
        <v>0</v>
      </c>
      <c r="P114" s="1"/>
      <c r="Q114" s="1">
        <f t="shared" si="43"/>
        <v>0</v>
      </c>
      <c r="R114" s="5">
        <v>50</v>
      </c>
      <c r="S114" s="5">
        <f t="shared" si="28"/>
        <v>50</v>
      </c>
      <c r="T114" s="5">
        <f t="shared" si="29"/>
        <v>50</v>
      </c>
      <c r="U114" s="5"/>
      <c r="V114" s="18"/>
      <c r="W114" s="1" t="e">
        <f t="shared" si="30"/>
        <v>#DIV/0!</v>
      </c>
      <c r="X114" s="1" t="e">
        <f t="shared" si="44"/>
        <v>#DIV/0!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9" t="s">
        <v>171</v>
      </c>
      <c r="AJ114" s="1">
        <f t="shared" si="31"/>
        <v>5</v>
      </c>
      <c r="AK114" s="1">
        <f t="shared" si="32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172</v>
      </c>
      <c r="B115" s="1" t="s">
        <v>35</v>
      </c>
      <c r="C115" s="1"/>
      <c r="D115" s="1"/>
      <c r="E115" s="1"/>
      <c r="F115" s="1"/>
      <c r="G115" s="7">
        <v>0.1</v>
      </c>
      <c r="H115" s="1"/>
      <c r="I115" s="1" t="s">
        <v>36</v>
      </c>
      <c r="J115" s="1"/>
      <c r="K115" s="1"/>
      <c r="L115" s="1">
        <f t="shared" si="42"/>
        <v>0</v>
      </c>
      <c r="M115" s="1"/>
      <c r="N115" s="1"/>
      <c r="O115" s="1">
        <v>0</v>
      </c>
      <c r="P115" s="1"/>
      <c r="Q115" s="1">
        <f t="shared" si="43"/>
        <v>0</v>
      </c>
      <c r="R115" s="5">
        <v>50</v>
      </c>
      <c r="S115" s="5">
        <f t="shared" si="28"/>
        <v>50</v>
      </c>
      <c r="T115" s="5">
        <f t="shared" si="29"/>
        <v>50</v>
      </c>
      <c r="U115" s="5"/>
      <c r="V115" s="18"/>
      <c r="W115" s="1" t="e">
        <f t="shared" si="30"/>
        <v>#DIV/0!</v>
      </c>
      <c r="X115" s="1" t="e">
        <f t="shared" si="44"/>
        <v>#DIV/0!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9" t="s">
        <v>171</v>
      </c>
      <c r="AJ115" s="1">
        <f t="shared" si="31"/>
        <v>5</v>
      </c>
      <c r="AK115" s="1">
        <f t="shared" si="32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0" t="s">
        <v>173</v>
      </c>
      <c r="B116" s="10" t="s">
        <v>38</v>
      </c>
      <c r="C116" s="10">
        <v>129.63</v>
      </c>
      <c r="D116" s="10"/>
      <c r="E116" s="10"/>
      <c r="F116" s="15">
        <v>129.63</v>
      </c>
      <c r="G116" s="11">
        <v>0</v>
      </c>
      <c r="H116" s="10"/>
      <c r="I116" s="10" t="s">
        <v>174</v>
      </c>
      <c r="J116" s="10" t="s">
        <v>65</v>
      </c>
      <c r="K116" s="10"/>
      <c r="L116" s="10">
        <f t="shared" si="42"/>
        <v>0</v>
      </c>
      <c r="M116" s="10"/>
      <c r="N116" s="10"/>
      <c r="O116" s="10">
        <v>0</v>
      </c>
      <c r="P116" s="10"/>
      <c r="Q116" s="10">
        <f t="shared" si="43"/>
        <v>0</v>
      </c>
      <c r="R116" s="12"/>
      <c r="S116" s="5">
        <f t="shared" si="28"/>
        <v>0</v>
      </c>
      <c r="T116" s="5">
        <f t="shared" si="29"/>
        <v>0</v>
      </c>
      <c r="U116" s="5"/>
      <c r="V116" s="19"/>
      <c r="W116" s="1" t="e">
        <f t="shared" si="30"/>
        <v>#DIV/0!</v>
      </c>
      <c r="X116" s="10" t="e">
        <f t="shared" si="44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/>
      <c r="AJ116" s="1">
        <f t="shared" si="31"/>
        <v>0</v>
      </c>
      <c r="AK116" s="1">
        <f t="shared" si="32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0" t="s">
        <v>175</v>
      </c>
      <c r="B117" s="10" t="s">
        <v>38</v>
      </c>
      <c r="C117" s="10">
        <v>36.677</v>
      </c>
      <c r="D117" s="10"/>
      <c r="E117" s="10"/>
      <c r="F117" s="15">
        <v>36.677</v>
      </c>
      <c r="G117" s="11">
        <v>0</v>
      </c>
      <c r="H117" s="10"/>
      <c r="I117" s="10" t="s">
        <v>174</v>
      </c>
      <c r="J117" s="10" t="s">
        <v>116</v>
      </c>
      <c r="K117" s="10">
        <v>1.5</v>
      </c>
      <c r="L117" s="10">
        <f t="shared" si="42"/>
        <v>-1.5</v>
      </c>
      <c r="M117" s="10"/>
      <c r="N117" s="10"/>
      <c r="O117" s="10">
        <v>0</v>
      </c>
      <c r="P117" s="10"/>
      <c r="Q117" s="10">
        <f t="shared" si="43"/>
        <v>0</v>
      </c>
      <c r="R117" s="12"/>
      <c r="S117" s="5">
        <f t="shared" si="28"/>
        <v>0</v>
      </c>
      <c r="T117" s="5">
        <f t="shared" si="29"/>
        <v>0</v>
      </c>
      <c r="U117" s="5"/>
      <c r="V117" s="19"/>
      <c r="W117" s="1" t="e">
        <f t="shared" si="30"/>
        <v>#DIV/0!</v>
      </c>
      <c r="X117" s="10" t="e">
        <f t="shared" si="44"/>
        <v>#DIV/0!</v>
      </c>
      <c r="Y117" s="10">
        <v>0</v>
      </c>
      <c r="Z117" s="10">
        <v>0.312</v>
      </c>
      <c r="AA117" s="10">
        <v>0.30940000000000001</v>
      </c>
      <c r="AB117" s="10">
        <v>6.8086000000000002</v>
      </c>
      <c r="AC117" s="10">
        <v>15.711600000000001</v>
      </c>
      <c r="AD117" s="10">
        <v>12.635999999999999</v>
      </c>
      <c r="AE117" s="10">
        <v>14.8812</v>
      </c>
      <c r="AF117" s="10">
        <v>13.2858</v>
      </c>
      <c r="AG117" s="10">
        <v>0.31219999999999998</v>
      </c>
      <c r="AH117" s="10">
        <v>0</v>
      </c>
      <c r="AI117" s="10"/>
      <c r="AJ117" s="1">
        <f t="shared" si="31"/>
        <v>0</v>
      </c>
      <c r="AK117" s="1">
        <f t="shared" si="32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</sheetData>
  <autoFilter ref="A3:AJ11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2026-08-03T16:27:48Z</dcterms:created>
  <dcterms:modified xsi:type="dcterms:W3CDTF">2026-08-05T11:51:50Z</dcterms:modified>
</cp:coreProperties>
</file>