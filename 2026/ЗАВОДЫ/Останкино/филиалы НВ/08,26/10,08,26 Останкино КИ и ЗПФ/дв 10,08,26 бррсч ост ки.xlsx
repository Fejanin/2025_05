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DB5CCA4D-E9FD-4393-A255-556573A313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21" i="1" l="1"/>
  <c r="Q122" i="1"/>
  <c r="AH8" i="1" l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6" i="1"/>
  <c r="AH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6" i="1"/>
  <c r="U7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6" i="1"/>
  <c r="S97" i="1"/>
  <c r="S98" i="1"/>
  <c r="S99" i="1"/>
  <c r="S100" i="1"/>
  <c r="S101" i="1"/>
  <c r="S102" i="1"/>
  <c r="S103" i="1"/>
  <c r="S108" i="1"/>
  <c r="S109" i="1"/>
  <c r="S111" i="1"/>
  <c r="S112" i="1"/>
  <c r="S113" i="1"/>
  <c r="S114" i="1"/>
  <c r="S115" i="1"/>
  <c r="S116" i="1"/>
  <c r="S117" i="1"/>
  <c r="S118" i="1"/>
  <c r="S119" i="1"/>
  <c r="S120" i="1"/>
  <c r="S6" i="1"/>
  <c r="S5" i="1" l="1"/>
  <c r="Q120" i="1"/>
  <c r="R120" i="1" s="1"/>
  <c r="L120" i="1"/>
  <c r="Q119" i="1"/>
  <c r="V119" i="1" s="1"/>
  <c r="L119" i="1"/>
  <c r="Q118" i="1"/>
  <c r="L118" i="1"/>
  <c r="Q117" i="1"/>
  <c r="L117" i="1"/>
  <c r="F117" i="1"/>
  <c r="V117" i="1" s="1"/>
  <c r="E116" i="1"/>
  <c r="Q116" i="1" s="1"/>
  <c r="V116" i="1" s="1"/>
  <c r="Q115" i="1"/>
  <c r="V115" i="1" s="1"/>
  <c r="L115" i="1"/>
  <c r="Q114" i="1"/>
  <c r="V114" i="1" s="1"/>
  <c r="L114" i="1"/>
  <c r="Q113" i="1"/>
  <c r="V113" i="1" s="1"/>
  <c r="L113" i="1"/>
  <c r="Q112" i="1"/>
  <c r="V112" i="1" s="1"/>
  <c r="L112" i="1"/>
  <c r="Q111" i="1"/>
  <c r="L111" i="1"/>
  <c r="Q110" i="1"/>
  <c r="V110" i="1" s="1"/>
  <c r="L110" i="1"/>
  <c r="Q109" i="1"/>
  <c r="L109" i="1"/>
  <c r="Q108" i="1"/>
  <c r="V108" i="1" s="1"/>
  <c r="L108" i="1"/>
  <c r="Q107" i="1"/>
  <c r="L107" i="1"/>
  <c r="Q106" i="1"/>
  <c r="V106" i="1" s="1"/>
  <c r="L106" i="1"/>
  <c r="Q105" i="1"/>
  <c r="L105" i="1"/>
  <c r="Q104" i="1"/>
  <c r="V104" i="1" s="1"/>
  <c r="L104" i="1"/>
  <c r="Q103" i="1"/>
  <c r="L103" i="1"/>
  <c r="Q102" i="1"/>
  <c r="L102" i="1"/>
  <c r="Q101" i="1"/>
  <c r="V101" i="1" s="1"/>
  <c r="L101" i="1"/>
  <c r="Q100" i="1"/>
  <c r="L100" i="1"/>
  <c r="Q99" i="1"/>
  <c r="V99" i="1" s="1"/>
  <c r="L99" i="1"/>
  <c r="Q98" i="1"/>
  <c r="V98" i="1" s="1"/>
  <c r="L98" i="1"/>
  <c r="Q97" i="1"/>
  <c r="V97" i="1" s="1"/>
  <c r="L97" i="1"/>
  <c r="Q96" i="1"/>
  <c r="L96" i="1"/>
  <c r="Q95" i="1"/>
  <c r="V95" i="1" s="1"/>
  <c r="L95" i="1"/>
  <c r="Q94" i="1"/>
  <c r="L94" i="1"/>
  <c r="Q93" i="1"/>
  <c r="V93" i="1" s="1"/>
  <c r="L93" i="1"/>
  <c r="Q92" i="1"/>
  <c r="L92" i="1"/>
  <c r="Q91" i="1"/>
  <c r="V91" i="1" s="1"/>
  <c r="L91" i="1"/>
  <c r="Q90" i="1"/>
  <c r="L90" i="1"/>
  <c r="Q89" i="1"/>
  <c r="V89" i="1" s="1"/>
  <c r="L89" i="1"/>
  <c r="Q88" i="1"/>
  <c r="L88" i="1"/>
  <c r="Q87" i="1"/>
  <c r="V87" i="1" s="1"/>
  <c r="L87" i="1"/>
  <c r="Q86" i="1"/>
  <c r="L86" i="1"/>
  <c r="Q85" i="1"/>
  <c r="V85" i="1" s="1"/>
  <c r="L85" i="1"/>
  <c r="Q84" i="1"/>
  <c r="V84" i="1" s="1"/>
  <c r="L84" i="1"/>
  <c r="Q83" i="1"/>
  <c r="L83" i="1"/>
  <c r="Q82" i="1"/>
  <c r="V82" i="1" s="1"/>
  <c r="L82" i="1"/>
  <c r="Q81" i="1"/>
  <c r="L81" i="1"/>
  <c r="Q80" i="1"/>
  <c r="L80" i="1"/>
  <c r="F80" i="1"/>
  <c r="F5" i="1" s="1"/>
  <c r="Q79" i="1"/>
  <c r="L79" i="1"/>
  <c r="Q78" i="1"/>
  <c r="L78" i="1"/>
  <c r="Q77" i="1"/>
  <c r="L77" i="1"/>
  <c r="Q76" i="1"/>
  <c r="L76" i="1"/>
  <c r="Q75" i="1"/>
  <c r="L75" i="1"/>
  <c r="Q74" i="1"/>
  <c r="L74" i="1"/>
  <c r="Q73" i="1"/>
  <c r="R73" i="1" s="1"/>
  <c r="L73" i="1"/>
  <c r="Q72" i="1"/>
  <c r="V72" i="1" s="1"/>
  <c r="L72" i="1"/>
  <c r="Q71" i="1"/>
  <c r="L71" i="1"/>
  <c r="Q70" i="1"/>
  <c r="L70" i="1"/>
  <c r="Q69" i="1"/>
  <c r="L69" i="1"/>
  <c r="Q68" i="1"/>
  <c r="L68" i="1"/>
  <c r="Q67" i="1"/>
  <c r="R67" i="1" s="1"/>
  <c r="L67" i="1"/>
  <c r="Q66" i="1"/>
  <c r="L66" i="1"/>
  <c r="Q65" i="1"/>
  <c r="L65" i="1"/>
  <c r="Q64" i="1"/>
  <c r="L64" i="1"/>
  <c r="Q63" i="1"/>
  <c r="L63" i="1"/>
  <c r="Q62" i="1"/>
  <c r="L62" i="1"/>
  <c r="Q61" i="1"/>
  <c r="R61" i="1" s="1"/>
  <c r="L61" i="1"/>
  <c r="Q60" i="1"/>
  <c r="L60" i="1"/>
  <c r="Q59" i="1"/>
  <c r="R59" i="1" s="1"/>
  <c r="L59" i="1"/>
  <c r="Q58" i="1"/>
  <c r="V58" i="1" s="1"/>
  <c r="L58" i="1"/>
  <c r="Q57" i="1"/>
  <c r="V57" i="1" s="1"/>
  <c r="L57" i="1"/>
  <c r="Q56" i="1"/>
  <c r="L56" i="1"/>
  <c r="Q55" i="1"/>
  <c r="L55" i="1"/>
  <c r="Q54" i="1"/>
  <c r="L54" i="1"/>
  <c r="Q53" i="1"/>
  <c r="L53" i="1"/>
  <c r="Q52" i="1"/>
  <c r="L52" i="1"/>
  <c r="Q51" i="1"/>
  <c r="L51" i="1"/>
  <c r="Q50" i="1"/>
  <c r="L50" i="1"/>
  <c r="Q49" i="1"/>
  <c r="L49" i="1"/>
  <c r="Q48" i="1"/>
  <c r="L48" i="1"/>
  <c r="Q47" i="1"/>
  <c r="L47" i="1"/>
  <c r="Q46" i="1"/>
  <c r="R46" i="1" s="1"/>
  <c r="L46" i="1"/>
  <c r="Q45" i="1"/>
  <c r="L45" i="1"/>
  <c r="Q44" i="1"/>
  <c r="V44" i="1" s="1"/>
  <c r="L44" i="1"/>
  <c r="Q43" i="1"/>
  <c r="L43" i="1"/>
  <c r="Q42" i="1"/>
  <c r="L42" i="1"/>
  <c r="Q41" i="1"/>
  <c r="L41" i="1"/>
  <c r="Q40" i="1"/>
  <c r="L40" i="1"/>
  <c r="Q39" i="1"/>
  <c r="L39" i="1"/>
  <c r="Q38" i="1"/>
  <c r="L38" i="1"/>
  <c r="Q37" i="1"/>
  <c r="L37" i="1"/>
  <c r="Q36" i="1"/>
  <c r="L36" i="1"/>
  <c r="Q35" i="1"/>
  <c r="L35" i="1"/>
  <c r="Q34" i="1"/>
  <c r="L34" i="1"/>
  <c r="Q33" i="1"/>
  <c r="L33" i="1"/>
  <c r="Q32" i="1"/>
  <c r="L32" i="1"/>
  <c r="Q31" i="1"/>
  <c r="L31" i="1"/>
  <c r="Q30" i="1"/>
  <c r="L30" i="1"/>
  <c r="Q29" i="1"/>
  <c r="L29" i="1"/>
  <c r="Q28" i="1"/>
  <c r="L28" i="1"/>
  <c r="Q27" i="1"/>
  <c r="L27" i="1"/>
  <c r="Q26" i="1"/>
  <c r="L26" i="1"/>
  <c r="Q25" i="1"/>
  <c r="V25" i="1" s="1"/>
  <c r="L25" i="1"/>
  <c r="Q24" i="1"/>
  <c r="L24" i="1"/>
  <c r="Q23" i="1"/>
  <c r="R23" i="1" s="1"/>
  <c r="L23" i="1"/>
  <c r="Q22" i="1"/>
  <c r="L22" i="1"/>
  <c r="Q21" i="1"/>
  <c r="L21" i="1"/>
  <c r="Q20" i="1"/>
  <c r="L20" i="1"/>
  <c r="Q19" i="1"/>
  <c r="L19" i="1"/>
  <c r="Q18" i="1"/>
  <c r="L18" i="1"/>
  <c r="Q17" i="1"/>
  <c r="R17" i="1" s="1"/>
  <c r="L17" i="1"/>
  <c r="Q16" i="1"/>
  <c r="R16" i="1" s="1"/>
  <c r="L16" i="1"/>
  <c r="Q15" i="1"/>
  <c r="L15" i="1"/>
  <c r="Q14" i="1"/>
  <c r="R14" i="1" s="1"/>
  <c r="L14" i="1"/>
  <c r="Q13" i="1"/>
  <c r="L13" i="1"/>
  <c r="Q12" i="1"/>
  <c r="L12" i="1"/>
  <c r="Q11" i="1"/>
  <c r="L11" i="1"/>
  <c r="Q10" i="1"/>
  <c r="L10" i="1"/>
  <c r="Q9" i="1"/>
  <c r="L9" i="1"/>
  <c r="Q8" i="1"/>
  <c r="R8" i="1" s="1"/>
  <c r="L8" i="1"/>
  <c r="Q7" i="1"/>
  <c r="L7" i="1"/>
  <c r="Q6" i="1"/>
  <c r="L6" i="1"/>
  <c r="AF5" i="1"/>
  <c r="AE5" i="1"/>
  <c r="AD5" i="1"/>
  <c r="AC5" i="1"/>
  <c r="AB5" i="1"/>
  <c r="AA5" i="1"/>
  <c r="Z5" i="1"/>
  <c r="Y5" i="1"/>
  <c r="X5" i="1"/>
  <c r="W5" i="1"/>
  <c r="P5" i="1"/>
  <c r="O5" i="1"/>
  <c r="N5" i="1"/>
  <c r="M5" i="1"/>
  <c r="K5" i="1"/>
  <c r="R119" i="1" l="1"/>
  <c r="V46" i="1"/>
  <c r="R101" i="1"/>
  <c r="E5" i="1"/>
  <c r="R80" i="1"/>
  <c r="R108" i="1"/>
  <c r="V8" i="1"/>
  <c r="V12" i="1"/>
  <c r="V16" i="1"/>
  <c r="V21" i="1"/>
  <c r="V26" i="1"/>
  <c r="V10" i="1"/>
  <c r="R10" i="1"/>
  <c r="V18" i="1"/>
  <c r="R18" i="1"/>
  <c r="R28" i="1"/>
  <c r="V29" i="1"/>
  <c r="V38" i="1"/>
  <c r="V49" i="1"/>
  <c r="V52" i="1"/>
  <c r="R52" i="1"/>
  <c r="V62" i="1"/>
  <c r="V65" i="1"/>
  <c r="V68" i="1"/>
  <c r="V76" i="1"/>
  <c r="R76" i="1"/>
  <c r="V80" i="1"/>
  <c r="V90" i="1"/>
  <c r="R96" i="1"/>
  <c r="R85" i="1"/>
  <c r="V14" i="1"/>
  <c r="V23" i="1"/>
  <c r="V27" i="1"/>
  <c r="V30" i="1"/>
  <c r="R30" i="1"/>
  <c r="V33" i="1"/>
  <c r="V35" i="1"/>
  <c r="R35" i="1"/>
  <c r="V40" i="1"/>
  <c r="V45" i="1"/>
  <c r="V47" i="1"/>
  <c r="R47" i="1"/>
  <c r="V48" i="1"/>
  <c r="V50" i="1"/>
  <c r="V54" i="1"/>
  <c r="R54" i="1"/>
  <c r="V60" i="1"/>
  <c r="V64" i="1"/>
  <c r="V66" i="1"/>
  <c r="V70" i="1"/>
  <c r="R70" i="1"/>
  <c r="V74" i="1"/>
  <c r="V78" i="1"/>
  <c r="R83" i="1"/>
  <c r="V94" i="1"/>
  <c r="V100" i="1"/>
  <c r="R44" i="1"/>
  <c r="R48" i="1"/>
  <c r="R53" i="1"/>
  <c r="R77" i="1"/>
  <c r="R82" i="1"/>
  <c r="R58" i="1"/>
  <c r="R72" i="1"/>
  <c r="R86" i="1"/>
  <c r="R88" i="1"/>
  <c r="R92" i="1"/>
  <c r="Q5" i="1"/>
  <c r="V42" i="1"/>
  <c r="V56" i="1"/>
  <c r="V86" i="1"/>
  <c r="V88" i="1"/>
  <c r="V92" i="1"/>
  <c r="V96" i="1"/>
  <c r="V102" i="1"/>
  <c r="L116" i="1"/>
  <c r="L5" i="1" s="1"/>
  <c r="V6" i="1"/>
  <c r="V7" i="1"/>
  <c r="V9" i="1"/>
  <c r="V11" i="1"/>
  <c r="V13" i="1"/>
  <c r="V15" i="1"/>
  <c r="V17" i="1"/>
  <c r="V19" i="1"/>
  <c r="V20" i="1"/>
  <c r="V22" i="1"/>
  <c r="V24" i="1"/>
  <c r="V28" i="1"/>
  <c r="V31" i="1"/>
  <c r="V32" i="1"/>
  <c r="V34" i="1"/>
  <c r="V36" i="1"/>
  <c r="V37" i="1"/>
  <c r="V39" i="1"/>
  <c r="V41" i="1"/>
  <c r="V43" i="1"/>
  <c r="V51" i="1"/>
  <c r="V53" i="1"/>
  <c r="V55" i="1"/>
  <c r="V59" i="1"/>
  <c r="V61" i="1"/>
  <c r="V63" i="1"/>
  <c r="V67" i="1"/>
  <c r="V69" i="1"/>
  <c r="V71" i="1"/>
  <c r="V73" i="1"/>
  <c r="V75" i="1"/>
  <c r="V77" i="1"/>
  <c r="V79" i="1"/>
  <c r="V81" i="1"/>
  <c r="V83" i="1"/>
  <c r="V103" i="1"/>
  <c r="V105" i="1"/>
  <c r="V107" i="1"/>
  <c r="V109" i="1"/>
  <c r="V111" i="1"/>
  <c r="V118" i="1"/>
  <c r="V120" i="1"/>
  <c r="R5" i="1" l="1"/>
  <c r="AH5" i="1" l="1"/>
</calcChain>
</file>

<file path=xl/sharedStrings.xml><?xml version="1.0" encoding="utf-8"?>
<sst xmlns="http://schemas.openxmlformats.org/spreadsheetml/2006/main" count="467" uniqueCount="185">
  <si>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</si>
  <si>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</si>
  <si>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</si>
  <si>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</si>
  <si>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</si>
  <si>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</si>
  <si>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</si>
  <si>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</si>
  <si>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</si>
  <si>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</si>
  <si>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</si>
  <si>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</si>
  <si>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</si>
  <si>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</si>
  <si>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</si>
  <si>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</si>
  <si>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</si>
  <si>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</si>
  <si>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</si>
  <si>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</si>
  <si>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</si>
  <si>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</si>
  <si>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04,08,</t>
  </si>
  <si>
    <t>11,08,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</si>
  <si>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</si>
  <si>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</si>
  <si>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</si>
  <si>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</si>
  <si>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</si>
  <si>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</si>
  <si>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</si>
  <si>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</si>
  <si>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</si>
  <si>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</si>
  <si>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01,06,</t>
  </si>
  <si>
    <t>0614 ПРАЗДНИЧНАЯ с/к в/с дек.спец.мгс  Останкино</t>
  </si>
  <si>
    <t>кг</t>
  </si>
  <si>
    <t>не в матрице</t>
  </si>
  <si>
    <t>нужно увеличить продажи!!! / Грация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</si>
  <si>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</si>
  <si>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</si>
  <si>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</si>
  <si>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</si>
  <si>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</si>
  <si>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</si>
  <si>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</si>
  <si>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</si>
  <si>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</si>
  <si>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</si>
  <si>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</si>
  <si>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</si>
  <si>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</si>
  <si>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</si>
  <si>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</si>
  <si>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</si>
  <si>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</si>
  <si>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</si>
  <si>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нужно увеличить продажи!!!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</si>
  <si>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</si>
  <si>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</si>
  <si>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</si>
  <si>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</si>
  <si>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Грация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</si>
  <si>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</si>
  <si>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</si>
  <si>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</si>
  <si>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</si>
  <si>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</si>
  <si>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</si>
  <si>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</si>
  <si>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</si>
  <si>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</si>
  <si>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</si>
  <si>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</si>
  <si>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</si>
  <si>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</si>
  <si>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</si>
  <si>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</si>
  <si>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</si>
  <si>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</si>
  <si>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</si>
  <si>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</si>
  <si>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</si>
  <si>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</si>
  <si>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</si>
  <si>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</si>
  <si>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</si>
  <si>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</si>
  <si>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</si>
  <si>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</si>
  <si>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</si>
  <si>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</si>
  <si>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</si>
  <si>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</si>
  <si>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</si>
  <si>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</si>
  <si>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</si>
  <si>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</si>
  <si>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</si>
  <si>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</si>
  <si>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</si>
  <si>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</si>
  <si>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</si>
  <si>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</si>
  <si>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</si>
  <si>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</si>
  <si>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</si>
  <si>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</si>
  <si>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</si>
  <si>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</si>
  <si>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</si>
  <si>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</si>
  <si>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</si>
  <si>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</si>
  <si>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</si>
  <si>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</si>
  <si>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</si>
  <si>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</si>
  <si>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</si>
  <si>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</si>
  <si>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</si>
  <si>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</si>
  <si>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</si>
  <si>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</si>
  <si>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</si>
  <si>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</si>
  <si>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</si>
  <si>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</si>
  <si>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</si>
  <si>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</si>
  <si>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</si>
  <si>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</si>
  <si>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</si>
  <si>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</si>
  <si>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</si>
  <si>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</si>
  <si>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</si>
  <si>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</si>
  <si>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</si>
  <si>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</si>
  <si>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</si>
  <si>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</si>
  <si>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</si>
  <si>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</si>
  <si>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</si>
  <si>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</si>
  <si>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</si>
  <si>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</si>
  <si>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</si>
  <si>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7371 БРЕСТСКИЕ сос п/о в/у 0,3кг 8шт. ОСТАНКИНО</t>
  </si>
  <si>
    <t>7377 ВЕТЧ.С ИНДЕЙКОЙ ПМ в/у срез 0.3кг 6шт.  ОСТАНКИНО</t>
  </si>
  <si>
    <t>помощь заводу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</si>
  <si>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</si>
  <si>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</si>
  <si>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</si>
  <si>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</si>
  <si>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</si>
  <si>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</si>
  <si>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</si>
  <si>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</si>
  <si>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</si>
  <si>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</si>
  <si>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</si>
  <si>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</si>
  <si>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вместо 6453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</si>
  <si>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</si>
  <si>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</si>
  <si>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</si>
  <si>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</si>
  <si>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</si>
  <si>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нужно увеличить продажи / 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</si>
  <si>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6459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</si>
  <si>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6454</t>
    </r>
  </si>
  <si>
    <t>нужно увеличить продажи / вместо 6324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</si>
  <si>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7288</t>
    </r>
  </si>
  <si>
    <t>ТК</t>
  </si>
  <si>
    <t>Титенок</t>
  </si>
  <si>
    <t>заказ</t>
  </si>
  <si>
    <t>18,08,</t>
  </si>
  <si>
    <t>новинка / 100кг под ТК (Титенок просила 200кг 12,08,26)</t>
  </si>
  <si>
    <t>новинка / 100шт под ТК (Титенок просила 150шт 12,08,26)</t>
  </si>
  <si>
    <t>новинка / 80шт под ТК (Титенок просила 100шт 12,08,26)</t>
  </si>
  <si>
    <t>новинка / 80кг под ТК (Титенок просила 100кг 12,08,26)</t>
  </si>
  <si>
    <t xml:space="preserve">195295 Колбаса Докторская Премиум ц/о ПАПА МОЖЕТ вес ОМПК </t>
  </si>
  <si>
    <t>7156 СЕРВЕЛАТ КОПЧ.НА БУКЕ в/к в/у 0.35кг_50с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</si>
</sst>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0" borderId="1" xfId="1" applyNumberFormat="1" applyFill="1"/>
    <xf numFmtId="164" fontId="6" fillId="5" borderId="1" xfId="1" applyNumberFormat="1" applyFont="1" applyFill="1"/>
    <xf numFmtId="164" fontId="1" fillId="4" borderId="1" xfId="1" applyNumberFormat="1" applyFill="1" applyBorder="1"/>
    <xf numFmtId="164" fontId="1" fillId="0" borderId="1" xfId="1" applyNumberFormat="1" applyBorder="1"/>
    <xf numFmtId="0" fontId="0" fillId="0" borderId="1" xfId="0" applyBorder="1"/>
    <xf numFmtId="164" fontId="6" fillId="4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 applyBorder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6" sqref="AI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7" style="18" customWidth="1"/>
    <col min="21" max="22" width="5" customWidth="1"/>
    <col min="23" max="32" width="6" customWidth="1"/>
    <col min="33" max="33" width="41.140625" customWidth="1"/>
    <col min="34" max="34" width="7" customWidth="1"/>
    <col min="35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177</v>
      </c>
      <c r="T3" s="3" t="s">
        <v>175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 t="s">
        <v>178</v>
      </c>
      <c r="T4" s="1" t="s">
        <v>176</v>
      </c>
      <c r="U4" s="1"/>
      <c r="V4" s="1"/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11032.942999999999</v>
      </c>
      <c r="F5" s="4">
        <f>SUM(F6:F500)</f>
        <v>15789.797</v>
      </c>
      <c r="G5" s="7"/>
      <c r="H5" s="1"/>
      <c r="I5" s="1"/>
      <c r="J5" s="1"/>
      <c r="K5" s="4">
        <f t="shared" ref="K5:S5" si="0">SUM(K6:K500)</f>
        <v>17760.411</v>
      </c>
      <c r="L5" s="4">
        <f t="shared" si="0"/>
        <v>-6727.4679999999998</v>
      </c>
      <c r="M5" s="4">
        <f t="shared" si="0"/>
        <v>0</v>
      </c>
      <c r="N5" s="4">
        <f t="shared" si="0"/>
        <v>0</v>
      </c>
      <c r="O5" s="4">
        <f t="shared" si="0"/>
        <v>14584</v>
      </c>
      <c r="P5" s="4">
        <f t="shared" si="0"/>
        <v>7373</v>
      </c>
      <c r="Q5" s="4">
        <f t="shared" si="0"/>
        <v>2206.5886</v>
      </c>
      <c r="R5" s="4">
        <f t="shared" si="0"/>
        <v>5993.3580000000002</v>
      </c>
      <c r="S5" s="4">
        <f t="shared" si="0"/>
        <v>6435</v>
      </c>
      <c r="T5" s="4"/>
      <c r="U5" s="1"/>
      <c r="V5" s="1"/>
      <c r="W5" s="4">
        <f t="shared" ref="W5:AF5" si="1">SUM(W6:W500)</f>
        <v>2589.6086000000009</v>
      </c>
      <c r="X5" s="4">
        <f t="shared" si="1"/>
        <v>3269.9770000000012</v>
      </c>
      <c r="Y5" s="4">
        <f t="shared" si="1"/>
        <v>3021.1819999999993</v>
      </c>
      <c r="Z5" s="4">
        <f t="shared" si="1"/>
        <v>2237.5133999999994</v>
      </c>
      <c r="AA5" s="4">
        <f t="shared" si="1"/>
        <v>2329.1882000000005</v>
      </c>
      <c r="AB5" s="4">
        <f t="shared" si="1"/>
        <v>2219.9954000000002</v>
      </c>
      <c r="AC5" s="4">
        <f t="shared" si="1"/>
        <v>2385.3718000000003</v>
      </c>
      <c r="AD5" s="4">
        <f t="shared" si="1"/>
        <v>2160.5947999999999</v>
      </c>
      <c r="AE5" s="4">
        <f t="shared" si="1"/>
        <v>2337.5010000000011</v>
      </c>
      <c r="AF5" s="4">
        <f t="shared" si="1"/>
        <v>2125.2747999999992</v>
      </c>
      <c r="AG5" s="1"/>
      <c r="AH5" s="4">
        <f>SUM(AH6:AH500)</f>
        <v>2956.8099999999995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9" t="s">
        <v>35</v>
      </c>
      <c r="B6" s="9" t="s">
        <v>36</v>
      </c>
      <c r="C6" s="9">
        <v>43.765999999999998</v>
      </c>
      <c r="D6" s="9">
        <v>3.4000000000000002E-2</v>
      </c>
      <c r="E6" s="9"/>
      <c r="F6" s="9">
        <v>43.8</v>
      </c>
      <c r="G6" s="10">
        <v>0</v>
      </c>
      <c r="H6" s="9"/>
      <c r="I6" s="9" t="s">
        <v>37</v>
      </c>
      <c r="J6" s="9"/>
      <c r="K6" s="9"/>
      <c r="L6" s="9">
        <f t="shared" ref="L6:L37" si="2">E6-K6</f>
        <v>0</v>
      </c>
      <c r="M6" s="9"/>
      <c r="N6" s="9"/>
      <c r="O6" s="9"/>
      <c r="P6" s="9">
        <v>0</v>
      </c>
      <c r="Q6" s="9">
        <f t="shared" ref="Q6:Q37" si="3">E6/5</f>
        <v>0</v>
      </c>
      <c r="R6" s="11"/>
      <c r="S6" s="5">
        <f>ROUND(R6,0)</f>
        <v>0</v>
      </c>
      <c r="T6" s="16"/>
      <c r="U6" s="1" t="e">
        <f>(F6+O6+P6+S6)/Q6</f>
        <v>#DIV/0!</v>
      </c>
      <c r="V6" s="9" t="e">
        <f t="shared" ref="V6:V37" si="4">(F6+O6+P6)/Q6</f>
        <v>#DIV/0!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12" t="s">
        <v>38</v>
      </c>
      <c r="AH6" s="1">
        <f>G6*S6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40</v>
      </c>
      <c r="C7" s="1">
        <v>389</v>
      </c>
      <c r="D7" s="1">
        <v>189</v>
      </c>
      <c r="E7" s="1">
        <v>177</v>
      </c>
      <c r="F7" s="1">
        <v>197</v>
      </c>
      <c r="G7" s="7">
        <v>0.4</v>
      </c>
      <c r="H7" s="1">
        <v>60</v>
      </c>
      <c r="I7" s="1" t="s">
        <v>41</v>
      </c>
      <c r="J7" s="1"/>
      <c r="K7" s="1">
        <v>210</v>
      </c>
      <c r="L7" s="1">
        <f t="shared" si="2"/>
        <v>-33</v>
      </c>
      <c r="M7" s="1"/>
      <c r="N7" s="1"/>
      <c r="O7" s="1">
        <v>400</v>
      </c>
      <c r="P7" s="1">
        <v>34</v>
      </c>
      <c r="Q7" s="1">
        <f t="shared" si="3"/>
        <v>35.4</v>
      </c>
      <c r="R7" s="5"/>
      <c r="S7" s="5">
        <f t="shared" ref="S7:S70" si="5">ROUND(R7,0)</f>
        <v>0</v>
      </c>
      <c r="T7" s="17"/>
      <c r="U7" s="1">
        <f>(F7+O7+P7+S7)/Q7</f>
        <v>17.824858757062149</v>
      </c>
      <c r="V7" s="1">
        <f t="shared" si="4"/>
        <v>17.824858757062149</v>
      </c>
      <c r="W7" s="1">
        <v>54.2</v>
      </c>
      <c r="X7" s="1">
        <v>62.6</v>
      </c>
      <c r="Y7" s="1">
        <v>55.6</v>
      </c>
      <c r="Z7" s="1">
        <v>41.2</v>
      </c>
      <c r="AA7" s="1">
        <v>33.6</v>
      </c>
      <c r="AB7" s="1">
        <v>46.6</v>
      </c>
      <c r="AC7" s="1">
        <v>37.799999999999997</v>
      </c>
      <c r="AD7" s="1">
        <v>41</v>
      </c>
      <c r="AE7" s="1">
        <v>57.8</v>
      </c>
      <c r="AF7" s="1">
        <v>39.6</v>
      </c>
      <c r="AG7" s="1"/>
      <c r="AH7" s="1">
        <f>G7*S7</f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42</v>
      </c>
      <c r="B8" s="1" t="s">
        <v>36</v>
      </c>
      <c r="C8" s="1">
        <v>30.564</v>
      </c>
      <c r="D8" s="1">
        <v>8.4719999999999995</v>
      </c>
      <c r="E8" s="1">
        <v>16.379000000000001</v>
      </c>
      <c r="F8" s="1">
        <v>15.523999999999999</v>
      </c>
      <c r="G8" s="7">
        <v>1</v>
      </c>
      <c r="H8" s="1">
        <v>120</v>
      </c>
      <c r="I8" s="1" t="s">
        <v>41</v>
      </c>
      <c r="J8" s="1"/>
      <c r="K8" s="1">
        <v>29.007999999999999</v>
      </c>
      <c r="L8" s="1">
        <f t="shared" si="2"/>
        <v>-12.628999999999998</v>
      </c>
      <c r="M8" s="1"/>
      <c r="N8" s="1"/>
      <c r="O8" s="1">
        <v>15</v>
      </c>
      <c r="P8" s="1">
        <v>20</v>
      </c>
      <c r="Q8" s="1">
        <f t="shared" si="3"/>
        <v>3.2758000000000003</v>
      </c>
      <c r="R8" s="5">
        <f>20*Q8-P8-O8-F8</f>
        <v>14.992000000000006</v>
      </c>
      <c r="S8" s="5">
        <f t="shared" si="5"/>
        <v>15</v>
      </c>
      <c r="T8" s="17"/>
      <c r="U8" s="1">
        <f t="shared" ref="U8:U71" si="6">(F8+O8+P8+S8)/Q8</f>
        <v>20.002442151535501</v>
      </c>
      <c r="V8" s="1">
        <f t="shared" si="4"/>
        <v>15.423408022467793</v>
      </c>
      <c r="W8" s="1">
        <v>0.29959999999999998</v>
      </c>
      <c r="X8" s="1">
        <v>0.99220000000000008</v>
      </c>
      <c r="Y8" s="1">
        <v>4.3465999999999996</v>
      </c>
      <c r="Z8" s="1">
        <v>1.4268000000000001</v>
      </c>
      <c r="AA8" s="1">
        <v>4.1590000000000007</v>
      </c>
      <c r="AB8" s="1">
        <v>4.5156000000000001</v>
      </c>
      <c r="AC8" s="1">
        <v>3.8104</v>
      </c>
      <c r="AD8" s="1">
        <v>3.2134</v>
      </c>
      <c r="AE8" s="1">
        <v>4.6890000000000001</v>
      </c>
      <c r="AF8" s="1">
        <v>1.9738</v>
      </c>
      <c r="AG8" s="1" t="s">
        <v>43</v>
      </c>
      <c r="AH8" s="1">
        <f t="shared" ref="AH8:AH71" si="7">G8*S8</f>
        <v>15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44</v>
      </c>
      <c r="B9" s="1" t="s">
        <v>40</v>
      </c>
      <c r="C9" s="1">
        <v>197</v>
      </c>
      <c r="D9" s="1">
        <v>132</v>
      </c>
      <c r="E9" s="1">
        <v>149</v>
      </c>
      <c r="F9" s="1">
        <v>3</v>
      </c>
      <c r="G9" s="7">
        <v>0.25</v>
      </c>
      <c r="H9" s="1">
        <v>120</v>
      </c>
      <c r="I9" s="1" t="s">
        <v>41</v>
      </c>
      <c r="J9" s="1"/>
      <c r="K9" s="1">
        <v>323</v>
      </c>
      <c r="L9" s="1">
        <f t="shared" si="2"/>
        <v>-174</v>
      </c>
      <c r="M9" s="1"/>
      <c r="N9" s="1"/>
      <c r="O9" s="1">
        <v>668</v>
      </c>
      <c r="P9" s="1">
        <v>0</v>
      </c>
      <c r="Q9" s="1">
        <f t="shared" si="3"/>
        <v>29.8</v>
      </c>
      <c r="R9" s="5"/>
      <c r="S9" s="5">
        <f t="shared" si="5"/>
        <v>0</v>
      </c>
      <c r="T9" s="17"/>
      <c r="U9" s="1">
        <f t="shared" si="6"/>
        <v>22.516778523489933</v>
      </c>
      <c r="V9" s="1">
        <f t="shared" si="4"/>
        <v>22.516778523489933</v>
      </c>
      <c r="W9" s="1">
        <v>37.4</v>
      </c>
      <c r="X9" s="1">
        <v>61.4</v>
      </c>
      <c r="Y9" s="1">
        <v>31.4</v>
      </c>
      <c r="Z9" s="1">
        <v>25</v>
      </c>
      <c r="AA9" s="1">
        <v>35.799999999999997</v>
      </c>
      <c r="AB9" s="1">
        <v>25.4</v>
      </c>
      <c r="AC9" s="1">
        <v>25</v>
      </c>
      <c r="AD9" s="1">
        <v>28.6</v>
      </c>
      <c r="AE9" s="1">
        <v>35.799999999999997</v>
      </c>
      <c r="AF9" s="1">
        <v>26.8</v>
      </c>
      <c r="AG9" s="1" t="s">
        <v>43</v>
      </c>
      <c r="AH9" s="1">
        <f t="shared" si="7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45</v>
      </c>
      <c r="B10" s="1" t="s">
        <v>36</v>
      </c>
      <c r="C10" s="1">
        <v>812.47699999999998</v>
      </c>
      <c r="D10" s="1">
        <v>373.04899999999998</v>
      </c>
      <c r="E10" s="1">
        <v>299.98200000000003</v>
      </c>
      <c r="F10" s="1">
        <v>513.25199999999995</v>
      </c>
      <c r="G10" s="7">
        <v>1</v>
      </c>
      <c r="H10" s="1">
        <v>60</v>
      </c>
      <c r="I10" s="1" t="s">
        <v>41</v>
      </c>
      <c r="J10" s="1"/>
      <c r="K10" s="1">
        <v>323.60000000000002</v>
      </c>
      <c r="L10" s="1">
        <f t="shared" si="2"/>
        <v>-23.617999999999995</v>
      </c>
      <c r="M10" s="1"/>
      <c r="N10" s="1"/>
      <c r="O10" s="1">
        <v>0</v>
      </c>
      <c r="P10" s="1">
        <v>0</v>
      </c>
      <c r="Q10" s="1">
        <f t="shared" si="3"/>
        <v>59.996400000000008</v>
      </c>
      <c r="R10" s="5">
        <f t="shared" ref="R10:R18" si="8">15*Q10-P10-O10-F10</f>
        <v>386.69400000000019</v>
      </c>
      <c r="S10" s="5">
        <f t="shared" si="5"/>
        <v>387</v>
      </c>
      <c r="T10" s="17"/>
      <c r="U10" s="1">
        <f t="shared" si="6"/>
        <v>15.005100306018358</v>
      </c>
      <c r="V10" s="1">
        <f t="shared" si="4"/>
        <v>8.5547132827969659</v>
      </c>
      <c r="W10" s="1">
        <v>49.260599999999997</v>
      </c>
      <c r="X10" s="1">
        <v>56.257199999999997</v>
      </c>
      <c r="Y10" s="1">
        <v>69.917000000000002</v>
      </c>
      <c r="Z10" s="1">
        <v>42.271000000000001</v>
      </c>
      <c r="AA10" s="1">
        <v>39.854199999999999</v>
      </c>
      <c r="AB10" s="1">
        <v>46.833399999999997</v>
      </c>
      <c r="AC10" s="1">
        <v>41.058800000000012</v>
      </c>
      <c r="AD10" s="1">
        <v>45.109200000000001</v>
      </c>
      <c r="AE10" s="1">
        <v>45.118600000000001</v>
      </c>
      <c r="AF10" s="1">
        <v>37.232399999999998</v>
      </c>
      <c r="AG10" s="1"/>
      <c r="AH10" s="1">
        <f t="shared" si="7"/>
        <v>387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46</v>
      </c>
      <c r="B11" s="1" t="s">
        <v>36</v>
      </c>
      <c r="C11" s="1">
        <v>37.838000000000001</v>
      </c>
      <c r="D11" s="1">
        <v>17.102</v>
      </c>
      <c r="E11" s="1">
        <v>22.873000000000001</v>
      </c>
      <c r="F11" s="1">
        <v>22.553000000000001</v>
      </c>
      <c r="G11" s="7">
        <v>1</v>
      </c>
      <c r="H11" s="1">
        <v>120</v>
      </c>
      <c r="I11" s="1" t="s">
        <v>41</v>
      </c>
      <c r="J11" s="1"/>
      <c r="K11" s="1">
        <v>41.6</v>
      </c>
      <c r="L11" s="1">
        <f t="shared" si="2"/>
        <v>-18.727</v>
      </c>
      <c r="M11" s="1"/>
      <c r="N11" s="1"/>
      <c r="O11" s="1">
        <v>21</v>
      </c>
      <c r="P11" s="1">
        <v>124</v>
      </c>
      <c r="Q11" s="1">
        <f t="shared" si="3"/>
        <v>4.5746000000000002</v>
      </c>
      <c r="R11" s="5"/>
      <c r="S11" s="5">
        <f t="shared" si="5"/>
        <v>0</v>
      </c>
      <c r="T11" s="17"/>
      <c r="U11" s="1">
        <f t="shared" si="6"/>
        <v>36.626808901324701</v>
      </c>
      <c r="V11" s="1">
        <f t="shared" si="4"/>
        <v>36.626808901324701</v>
      </c>
      <c r="W11" s="1">
        <v>8.6004000000000005</v>
      </c>
      <c r="X11" s="1">
        <v>5.0928000000000004</v>
      </c>
      <c r="Y11" s="1">
        <v>2.7075999999999998</v>
      </c>
      <c r="Z11" s="1">
        <v>4.4042000000000003</v>
      </c>
      <c r="AA11" s="1">
        <v>2.8081999999999998</v>
      </c>
      <c r="AB11" s="1">
        <v>3.0775999999999999</v>
      </c>
      <c r="AC11" s="1">
        <v>3.7627999999999999</v>
      </c>
      <c r="AD11" s="1">
        <v>3.2604000000000002</v>
      </c>
      <c r="AE11" s="1">
        <v>4.3255999999999997</v>
      </c>
      <c r="AF11" s="1">
        <v>2.0802</v>
      </c>
      <c r="AG11" s="1" t="s">
        <v>43</v>
      </c>
      <c r="AH11" s="1">
        <f t="shared" si="7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47</v>
      </c>
      <c r="B12" s="1" t="s">
        <v>36</v>
      </c>
      <c r="C12" s="1">
        <v>107.726</v>
      </c>
      <c r="D12" s="1">
        <v>17.541</v>
      </c>
      <c r="E12" s="1">
        <v>20.077999999999999</v>
      </c>
      <c r="F12" s="1">
        <v>84.126999999999995</v>
      </c>
      <c r="G12" s="7">
        <v>1</v>
      </c>
      <c r="H12" s="1">
        <v>60</v>
      </c>
      <c r="I12" s="1" t="s">
        <v>41</v>
      </c>
      <c r="J12" s="1"/>
      <c r="K12" s="1">
        <v>69.400000000000006</v>
      </c>
      <c r="L12" s="1">
        <f t="shared" si="2"/>
        <v>-49.322000000000003</v>
      </c>
      <c r="M12" s="1"/>
      <c r="N12" s="1"/>
      <c r="O12" s="1">
        <v>0</v>
      </c>
      <c r="P12" s="1">
        <v>29</v>
      </c>
      <c r="Q12" s="1">
        <f t="shared" si="3"/>
        <v>4.0156000000000001</v>
      </c>
      <c r="R12" s="5"/>
      <c r="S12" s="5">
        <f t="shared" si="5"/>
        <v>0</v>
      </c>
      <c r="T12" s="17"/>
      <c r="U12" s="1">
        <f t="shared" si="6"/>
        <v>28.171879669289769</v>
      </c>
      <c r="V12" s="1">
        <f t="shared" si="4"/>
        <v>28.171879669289769</v>
      </c>
      <c r="W12" s="1">
        <v>8.7403999999999993</v>
      </c>
      <c r="X12" s="1">
        <v>3.5335999999999999</v>
      </c>
      <c r="Y12" s="1">
        <v>3.8138000000000001</v>
      </c>
      <c r="Z12" s="1">
        <v>0.81980000000000008</v>
      </c>
      <c r="AA12" s="1">
        <v>1.0762</v>
      </c>
      <c r="AB12" s="1">
        <v>3.2698</v>
      </c>
      <c r="AC12" s="1">
        <v>7.4385999999999992</v>
      </c>
      <c r="AD12" s="1">
        <v>9.5047999999999995</v>
      </c>
      <c r="AE12" s="1">
        <v>11.0764</v>
      </c>
      <c r="AF12" s="1">
        <v>9.4778000000000002</v>
      </c>
      <c r="AG12" s="12" t="s">
        <v>57</v>
      </c>
      <c r="AH12" s="1">
        <f t="shared" si="7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48</v>
      </c>
      <c r="B13" s="1" t="s">
        <v>36</v>
      </c>
      <c r="C13" s="1">
        <v>704.32399999999996</v>
      </c>
      <c r="D13" s="1">
        <v>417.20600000000002</v>
      </c>
      <c r="E13" s="1">
        <v>237.53899999999999</v>
      </c>
      <c r="F13" s="1">
        <v>464.79700000000003</v>
      </c>
      <c r="G13" s="7">
        <v>1</v>
      </c>
      <c r="H13" s="1">
        <v>60</v>
      </c>
      <c r="I13" s="1" t="s">
        <v>41</v>
      </c>
      <c r="J13" s="1"/>
      <c r="K13" s="1">
        <v>267.10000000000002</v>
      </c>
      <c r="L13" s="1">
        <f t="shared" si="2"/>
        <v>-29.561000000000035</v>
      </c>
      <c r="M13" s="1"/>
      <c r="N13" s="1"/>
      <c r="O13" s="1">
        <v>0</v>
      </c>
      <c r="P13" s="1">
        <v>270</v>
      </c>
      <c r="Q13" s="1">
        <f t="shared" si="3"/>
        <v>47.507799999999996</v>
      </c>
      <c r="R13" s="5"/>
      <c r="S13" s="5">
        <f t="shared" si="5"/>
        <v>0</v>
      </c>
      <c r="T13" s="17"/>
      <c r="U13" s="1">
        <f t="shared" si="6"/>
        <v>15.466870703337138</v>
      </c>
      <c r="V13" s="1">
        <f t="shared" si="4"/>
        <v>15.466870703337138</v>
      </c>
      <c r="W13" s="1">
        <v>63.072600000000001</v>
      </c>
      <c r="X13" s="1">
        <v>49.145600000000002</v>
      </c>
      <c r="Y13" s="1">
        <v>63.110400000000013</v>
      </c>
      <c r="Z13" s="1">
        <v>35.663600000000002</v>
      </c>
      <c r="AA13" s="1">
        <v>33.933800000000012</v>
      </c>
      <c r="AB13" s="1">
        <v>49.622399999999999</v>
      </c>
      <c r="AC13" s="1">
        <v>48.169400000000003</v>
      </c>
      <c r="AD13" s="1">
        <v>38.220799999999997</v>
      </c>
      <c r="AE13" s="1">
        <v>50.7136</v>
      </c>
      <c r="AF13" s="1">
        <v>32.896999999999998</v>
      </c>
      <c r="AG13" s="1"/>
      <c r="AH13" s="1">
        <f t="shared" si="7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49</v>
      </c>
      <c r="B14" s="1" t="s">
        <v>40</v>
      </c>
      <c r="C14" s="1">
        <v>870</v>
      </c>
      <c r="D14" s="1">
        <v>98</v>
      </c>
      <c r="E14" s="1">
        <v>185</v>
      </c>
      <c r="F14" s="1">
        <v>705</v>
      </c>
      <c r="G14" s="7">
        <v>0.25</v>
      </c>
      <c r="H14" s="1">
        <v>120</v>
      </c>
      <c r="I14" s="1" t="s">
        <v>41</v>
      </c>
      <c r="J14" s="1"/>
      <c r="K14" s="1">
        <v>221</v>
      </c>
      <c r="L14" s="1">
        <f t="shared" si="2"/>
        <v>-36</v>
      </c>
      <c r="M14" s="1"/>
      <c r="N14" s="1"/>
      <c r="O14" s="1">
        <v>0</v>
      </c>
      <c r="P14" s="1">
        <v>0</v>
      </c>
      <c r="Q14" s="1">
        <f t="shared" si="3"/>
        <v>37</v>
      </c>
      <c r="R14" s="5">
        <f>20*Q14-P14-O14-F14</f>
        <v>35</v>
      </c>
      <c r="S14" s="5">
        <f t="shared" si="5"/>
        <v>35</v>
      </c>
      <c r="T14" s="17"/>
      <c r="U14" s="1">
        <f t="shared" si="6"/>
        <v>20</v>
      </c>
      <c r="V14" s="1">
        <f t="shared" si="4"/>
        <v>19.054054054054053</v>
      </c>
      <c r="W14" s="1">
        <v>33</v>
      </c>
      <c r="X14" s="1">
        <v>47.4</v>
      </c>
      <c r="Y14" s="1">
        <v>53.6</v>
      </c>
      <c r="Z14" s="1">
        <v>24.2</v>
      </c>
      <c r="AA14" s="1">
        <v>21.4</v>
      </c>
      <c r="AB14" s="1">
        <v>43.8</v>
      </c>
      <c r="AC14" s="1">
        <v>21.4</v>
      </c>
      <c r="AD14" s="1">
        <v>28.2</v>
      </c>
      <c r="AE14" s="1">
        <v>28.2</v>
      </c>
      <c r="AF14" s="1">
        <v>22.6</v>
      </c>
      <c r="AG14" s="1" t="s">
        <v>43</v>
      </c>
      <c r="AH14" s="1">
        <f t="shared" si="7"/>
        <v>8.75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50</v>
      </c>
      <c r="B15" s="1" t="s">
        <v>36</v>
      </c>
      <c r="C15" s="1">
        <v>90.69</v>
      </c>
      <c r="D15" s="1">
        <v>113.185</v>
      </c>
      <c r="E15" s="1">
        <v>42.008000000000003</v>
      </c>
      <c r="F15" s="1">
        <v>47.82</v>
      </c>
      <c r="G15" s="7">
        <v>1</v>
      </c>
      <c r="H15" s="1">
        <v>60</v>
      </c>
      <c r="I15" s="1" t="s">
        <v>41</v>
      </c>
      <c r="J15" s="1"/>
      <c r="K15" s="1">
        <v>135.19999999999999</v>
      </c>
      <c r="L15" s="1">
        <f t="shared" si="2"/>
        <v>-93.191999999999979</v>
      </c>
      <c r="M15" s="1"/>
      <c r="N15" s="1"/>
      <c r="O15" s="1">
        <v>0</v>
      </c>
      <c r="P15" s="1">
        <v>253</v>
      </c>
      <c r="Q15" s="1">
        <f t="shared" si="3"/>
        <v>8.4016000000000002</v>
      </c>
      <c r="R15" s="5"/>
      <c r="S15" s="5">
        <f t="shared" si="5"/>
        <v>0</v>
      </c>
      <c r="T15" s="17"/>
      <c r="U15" s="1">
        <f t="shared" si="6"/>
        <v>35.805084745762713</v>
      </c>
      <c r="V15" s="1">
        <f t="shared" si="4"/>
        <v>35.805084745762713</v>
      </c>
      <c r="W15" s="1">
        <v>26.634799999999998</v>
      </c>
      <c r="X15" s="1">
        <v>14.544</v>
      </c>
      <c r="Y15" s="1">
        <v>9.7308000000000003</v>
      </c>
      <c r="Z15" s="1">
        <v>0.81180000000000008</v>
      </c>
      <c r="AA15" s="1">
        <v>3.512</v>
      </c>
      <c r="AB15" s="1">
        <v>11.567</v>
      </c>
      <c r="AC15" s="1">
        <v>18.520600000000002</v>
      </c>
      <c r="AD15" s="1">
        <v>24.869800000000001</v>
      </c>
      <c r="AE15" s="1">
        <v>20.437999999999999</v>
      </c>
      <c r="AF15" s="1">
        <v>13.4084</v>
      </c>
      <c r="AG15" s="1"/>
      <c r="AH15" s="1">
        <f t="shared" si="7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51</v>
      </c>
      <c r="B16" s="1" t="s">
        <v>40</v>
      </c>
      <c r="C16" s="1">
        <v>703</v>
      </c>
      <c r="D16" s="1">
        <v>128</v>
      </c>
      <c r="E16" s="1">
        <v>201</v>
      </c>
      <c r="F16" s="1">
        <v>487</v>
      </c>
      <c r="G16" s="7">
        <v>0.25</v>
      </c>
      <c r="H16" s="1">
        <v>120</v>
      </c>
      <c r="I16" s="1" t="s">
        <v>41</v>
      </c>
      <c r="J16" s="1"/>
      <c r="K16" s="1">
        <v>251</v>
      </c>
      <c r="L16" s="1">
        <f t="shared" si="2"/>
        <v>-50</v>
      </c>
      <c r="M16" s="1"/>
      <c r="N16" s="1"/>
      <c r="O16" s="1">
        <v>212</v>
      </c>
      <c r="P16" s="1">
        <v>0</v>
      </c>
      <c r="Q16" s="1">
        <f t="shared" si="3"/>
        <v>40.200000000000003</v>
      </c>
      <c r="R16" s="5">
        <f>20*Q16-P16-O16-F16</f>
        <v>105</v>
      </c>
      <c r="S16" s="5">
        <f t="shared" si="5"/>
        <v>105</v>
      </c>
      <c r="T16" s="17"/>
      <c r="U16" s="1">
        <f t="shared" si="6"/>
        <v>20</v>
      </c>
      <c r="V16" s="1">
        <f t="shared" si="4"/>
        <v>17.388059701492537</v>
      </c>
      <c r="W16" s="1">
        <v>40.4</v>
      </c>
      <c r="X16" s="1">
        <v>55.8</v>
      </c>
      <c r="Y16" s="1">
        <v>48.2</v>
      </c>
      <c r="Z16" s="1">
        <v>24.2</v>
      </c>
      <c r="AA16" s="1">
        <v>25.2</v>
      </c>
      <c r="AB16" s="1">
        <v>30.4</v>
      </c>
      <c r="AC16" s="1">
        <v>24.4</v>
      </c>
      <c r="AD16" s="1">
        <v>28.8</v>
      </c>
      <c r="AE16" s="1">
        <v>23.2</v>
      </c>
      <c r="AF16" s="1">
        <v>23</v>
      </c>
      <c r="AG16" s="1" t="s">
        <v>43</v>
      </c>
      <c r="AH16" s="1">
        <f t="shared" si="7"/>
        <v>26.25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52</v>
      </c>
      <c r="B17" s="1" t="s">
        <v>40</v>
      </c>
      <c r="C17" s="1">
        <v>351</v>
      </c>
      <c r="D17" s="1">
        <v>66</v>
      </c>
      <c r="E17" s="1">
        <v>123</v>
      </c>
      <c r="F17" s="1">
        <v>219</v>
      </c>
      <c r="G17" s="7">
        <v>0.4</v>
      </c>
      <c r="H17" s="1">
        <v>60</v>
      </c>
      <c r="I17" s="1" t="s">
        <v>41</v>
      </c>
      <c r="J17" s="1"/>
      <c r="K17" s="1">
        <v>154</v>
      </c>
      <c r="L17" s="1">
        <f t="shared" si="2"/>
        <v>-31</v>
      </c>
      <c r="M17" s="1"/>
      <c r="N17" s="1"/>
      <c r="O17" s="1">
        <v>82</v>
      </c>
      <c r="P17" s="1">
        <v>0</v>
      </c>
      <c r="Q17" s="1">
        <f t="shared" si="3"/>
        <v>24.6</v>
      </c>
      <c r="R17" s="5">
        <f t="shared" si="8"/>
        <v>68</v>
      </c>
      <c r="S17" s="5">
        <f t="shared" si="5"/>
        <v>68</v>
      </c>
      <c r="T17" s="17"/>
      <c r="U17" s="1">
        <f t="shared" si="6"/>
        <v>15</v>
      </c>
      <c r="V17" s="1">
        <f t="shared" si="4"/>
        <v>12.235772357723576</v>
      </c>
      <c r="W17" s="1">
        <v>22.8</v>
      </c>
      <c r="X17" s="1">
        <v>36.799999999999997</v>
      </c>
      <c r="Y17" s="1">
        <v>37</v>
      </c>
      <c r="Z17" s="1">
        <v>34.799999999999997</v>
      </c>
      <c r="AA17" s="1">
        <v>26.6</v>
      </c>
      <c r="AB17" s="1">
        <v>22.8</v>
      </c>
      <c r="AC17" s="1">
        <v>21.8</v>
      </c>
      <c r="AD17" s="1">
        <v>26.6</v>
      </c>
      <c r="AE17" s="1">
        <v>22.4</v>
      </c>
      <c r="AF17" s="1">
        <v>17.399999999999999</v>
      </c>
      <c r="AG17" s="1"/>
      <c r="AH17" s="1">
        <f t="shared" si="7"/>
        <v>27.200000000000003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53</v>
      </c>
      <c r="B18" s="1" t="s">
        <v>36</v>
      </c>
      <c r="C18" s="1">
        <v>187.471</v>
      </c>
      <c r="D18" s="1">
        <v>150.81800000000001</v>
      </c>
      <c r="E18" s="1">
        <v>155.869</v>
      </c>
      <c r="F18" s="1">
        <v>44.978000000000002</v>
      </c>
      <c r="G18" s="7">
        <v>1</v>
      </c>
      <c r="H18" s="1">
        <v>45</v>
      </c>
      <c r="I18" s="1" t="s">
        <v>41</v>
      </c>
      <c r="J18" s="1"/>
      <c r="K18" s="1">
        <v>164.61799999999999</v>
      </c>
      <c r="L18" s="1">
        <f t="shared" si="2"/>
        <v>-8.7489999999999952</v>
      </c>
      <c r="M18" s="1"/>
      <c r="N18" s="1"/>
      <c r="O18" s="1">
        <v>400</v>
      </c>
      <c r="P18" s="1">
        <v>0</v>
      </c>
      <c r="Q18" s="1">
        <f t="shared" si="3"/>
        <v>31.1738</v>
      </c>
      <c r="R18" s="5">
        <f t="shared" si="8"/>
        <v>22.628999999999969</v>
      </c>
      <c r="S18" s="5">
        <f t="shared" si="5"/>
        <v>23</v>
      </c>
      <c r="T18" s="17"/>
      <c r="U18" s="1">
        <f t="shared" si="6"/>
        <v>15.011901019445817</v>
      </c>
      <c r="V18" s="1">
        <f t="shared" si="4"/>
        <v>14.274101970244244</v>
      </c>
      <c r="W18" s="1">
        <v>36.706800000000001</v>
      </c>
      <c r="X18" s="1">
        <v>45.036999999999999</v>
      </c>
      <c r="Y18" s="1">
        <v>38.583599999999997</v>
      </c>
      <c r="Z18" s="1">
        <v>38.170400000000001</v>
      </c>
      <c r="AA18" s="1">
        <v>32.511000000000003</v>
      </c>
      <c r="AB18" s="1">
        <v>43.4754</v>
      </c>
      <c r="AC18" s="1">
        <v>43.322000000000003</v>
      </c>
      <c r="AD18" s="1">
        <v>39.813400000000001</v>
      </c>
      <c r="AE18" s="1">
        <v>48.798999999999999</v>
      </c>
      <c r="AF18" s="1">
        <v>31.7788</v>
      </c>
      <c r="AG18" s="1"/>
      <c r="AH18" s="1">
        <f t="shared" si="7"/>
        <v>23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9" t="s">
        <v>54</v>
      </c>
      <c r="B19" s="9" t="s">
        <v>40</v>
      </c>
      <c r="C19" s="9">
        <v>-1</v>
      </c>
      <c r="D19" s="9">
        <v>1</v>
      </c>
      <c r="E19" s="9"/>
      <c r="F19" s="9"/>
      <c r="G19" s="10">
        <v>0</v>
      </c>
      <c r="H19" s="9"/>
      <c r="I19" s="9" t="s">
        <v>37</v>
      </c>
      <c r="J19" s="9" t="s">
        <v>44</v>
      </c>
      <c r="K19" s="9"/>
      <c r="L19" s="9">
        <f t="shared" si="2"/>
        <v>0</v>
      </c>
      <c r="M19" s="9"/>
      <c r="N19" s="9"/>
      <c r="O19" s="9">
        <v>0</v>
      </c>
      <c r="P19" s="9">
        <v>0</v>
      </c>
      <c r="Q19" s="9">
        <f t="shared" si="3"/>
        <v>0</v>
      </c>
      <c r="R19" s="11"/>
      <c r="S19" s="5">
        <f t="shared" si="5"/>
        <v>0</v>
      </c>
      <c r="T19" s="16"/>
      <c r="U19" s="1" t="e">
        <f t="shared" si="6"/>
        <v>#DIV/0!</v>
      </c>
      <c r="V19" s="9" t="e">
        <f t="shared" si="4"/>
        <v>#DIV/0!</v>
      </c>
      <c r="W19" s="9">
        <v>-0.2</v>
      </c>
      <c r="X19" s="9">
        <v>0</v>
      </c>
      <c r="Y19" s="9">
        <v>-0.2</v>
      </c>
      <c r="Z19" s="9">
        <v>0.2</v>
      </c>
      <c r="AA19" s="9">
        <v>0.2</v>
      </c>
      <c r="AB19" s="9">
        <v>0.80239999999999989</v>
      </c>
      <c r="AC19" s="9">
        <v>0.2</v>
      </c>
      <c r="AD19" s="9">
        <v>0</v>
      </c>
      <c r="AE19" s="9">
        <v>-0.4</v>
      </c>
      <c r="AF19" s="9">
        <v>-0.2</v>
      </c>
      <c r="AG19" s="9"/>
      <c r="AH19" s="1">
        <f t="shared" si="7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55</v>
      </c>
      <c r="B20" s="1" t="s">
        <v>36</v>
      </c>
      <c r="C20" s="1">
        <v>77.272000000000006</v>
      </c>
      <c r="D20" s="1">
        <v>17.085000000000001</v>
      </c>
      <c r="E20" s="1">
        <v>13.576000000000001</v>
      </c>
      <c r="F20" s="1">
        <v>66.724999999999994</v>
      </c>
      <c r="G20" s="7">
        <v>1</v>
      </c>
      <c r="H20" s="1">
        <v>120</v>
      </c>
      <c r="I20" s="1" t="s">
        <v>41</v>
      </c>
      <c r="J20" s="1"/>
      <c r="K20" s="1">
        <v>18.600000000000001</v>
      </c>
      <c r="L20" s="1">
        <f t="shared" si="2"/>
        <v>-5.0240000000000009</v>
      </c>
      <c r="M20" s="1"/>
      <c r="N20" s="1"/>
      <c r="O20" s="1">
        <v>0</v>
      </c>
      <c r="P20" s="1">
        <v>26</v>
      </c>
      <c r="Q20" s="1">
        <f t="shared" si="3"/>
        <v>2.7152000000000003</v>
      </c>
      <c r="R20" s="5"/>
      <c r="S20" s="5">
        <f t="shared" si="5"/>
        <v>0</v>
      </c>
      <c r="T20" s="17"/>
      <c r="U20" s="1">
        <f t="shared" si="6"/>
        <v>34.150338833235118</v>
      </c>
      <c r="V20" s="1">
        <f t="shared" si="4"/>
        <v>34.150338833235118</v>
      </c>
      <c r="W20" s="1">
        <v>5.2648000000000001</v>
      </c>
      <c r="X20" s="1">
        <v>4.2115999999999998</v>
      </c>
      <c r="Y20" s="1">
        <v>3.5571999999999999</v>
      </c>
      <c r="Z20" s="1">
        <v>3.2544</v>
      </c>
      <c r="AA20" s="1">
        <v>1.6692</v>
      </c>
      <c r="AB20" s="1">
        <v>3.0581999999999998</v>
      </c>
      <c r="AC20" s="1">
        <v>1.0933999999999999</v>
      </c>
      <c r="AD20" s="1">
        <v>0.29680000000000001</v>
      </c>
      <c r="AE20" s="1">
        <v>3.2924000000000002</v>
      </c>
      <c r="AF20" s="1">
        <v>1.5960000000000001</v>
      </c>
      <c r="AG20" s="1" t="s">
        <v>43</v>
      </c>
      <c r="AH20" s="1">
        <f t="shared" si="7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56</v>
      </c>
      <c r="B21" s="1" t="s">
        <v>40</v>
      </c>
      <c r="C21" s="1">
        <v>222</v>
      </c>
      <c r="D21" s="1">
        <v>2</v>
      </c>
      <c r="E21" s="1">
        <v>-1</v>
      </c>
      <c r="F21" s="1">
        <v>224</v>
      </c>
      <c r="G21" s="7">
        <v>0.4</v>
      </c>
      <c r="H21" s="1">
        <v>45</v>
      </c>
      <c r="I21" s="1" t="s">
        <v>41</v>
      </c>
      <c r="J21" s="1"/>
      <c r="K21" s="1">
        <v>256</v>
      </c>
      <c r="L21" s="1">
        <f t="shared" si="2"/>
        <v>-257</v>
      </c>
      <c r="M21" s="1"/>
      <c r="N21" s="1"/>
      <c r="O21" s="1">
        <v>0</v>
      </c>
      <c r="P21" s="1">
        <v>0</v>
      </c>
      <c r="Q21" s="1">
        <f t="shared" si="3"/>
        <v>-0.2</v>
      </c>
      <c r="R21" s="5"/>
      <c r="S21" s="5">
        <f t="shared" si="5"/>
        <v>0</v>
      </c>
      <c r="T21" s="17"/>
      <c r="U21" s="1">
        <f t="shared" si="6"/>
        <v>-1120</v>
      </c>
      <c r="V21" s="1">
        <f t="shared" si="4"/>
        <v>-1120</v>
      </c>
      <c r="W21" s="1">
        <v>-3.8</v>
      </c>
      <c r="X21" s="1">
        <v>-0.2</v>
      </c>
      <c r="Y21" s="1">
        <v>5</v>
      </c>
      <c r="Z21" s="1">
        <v>9.6</v>
      </c>
      <c r="AA21" s="1">
        <v>3.8</v>
      </c>
      <c r="AB21" s="1">
        <v>22.2</v>
      </c>
      <c r="AC21" s="1">
        <v>17.399999999999999</v>
      </c>
      <c r="AD21" s="1">
        <v>16.8</v>
      </c>
      <c r="AE21" s="1">
        <v>27.8</v>
      </c>
      <c r="AF21" s="1">
        <v>39.6</v>
      </c>
      <c r="AG21" s="12" t="s">
        <v>57</v>
      </c>
      <c r="AH21" s="1">
        <f t="shared" si="7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58</v>
      </c>
      <c r="B22" s="1" t="s">
        <v>36</v>
      </c>
      <c r="C22" s="1">
        <v>522.53300000000002</v>
      </c>
      <c r="D22" s="1">
        <v>71.263000000000005</v>
      </c>
      <c r="E22" s="1">
        <v>113.07599999999999</v>
      </c>
      <c r="F22" s="1">
        <v>390.54399999999998</v>
      </c>
      <c r="G22" s="7">
        <v>1</v>
      </c>
      <c r="H22" s="1">
        <v>60</v>
      </c>
      <c r="I22" s="1" t="s">
        <v>41</v>
      </c>
      <c r="J22" s="1"/>
      <c r="K22" s="1">
        <v>124.3</v>
      </c>
      <c r="L22" s="1">
        <f t="shared" si="2"/>
        <v>-11.224000000000004</v>
      </c>
      <c r="M22" s="1"/>
      <c r="N22" s="1"/>
      <c r="O22" s="1">
        <v>0</v>
      </c>
      <c r="P22" s="1">
        <v>0</v>
      </c>
      <c r="Q22" s="1">
        <f t="shared" si="3"/>
        <v>22.615199999999998</v>
      </c>
      <c r="R22" s="5"/>
      <c r="S22" s="5">
        <f t="shared" si="5"/>
        <v>0</v>
      </c>
      <c r="T22" s="17"/>
      <c r="U22" s="1">
        <f t="shared" si="6"/>
        <v>17.26909335314302</v>
      </c>
      <c r="V22" s="1">
        <f t="shared" si="4"/>
        <v>17.26909335314302</v>
      </c>
      <c r="W22" s="1">
        <v>32.779600000000002</v>
      </c>
      <c r="X22" s="1">
        <v>30.880400000000002</v>
      </c>
      <c r="Y22" s="1">
        <v>43.971800000000002</v>
      </c>
      <c r="Z22" s="1">
        <v>24.540600000000001</v>
      </c>
      <c r="AA22" s="1">
        <v>24.433</v>
      </c>
      <c r="AB22" s="1">
        <v>26.175999999999998</v>
      </c>
      <c r="AC22" s="1">
        <v>27.4224</v>
      </c>
      <c r="AD22" s="1">
        <v>30.147200000000002</v>
      </c>
      <c r="AE22" s="1">
        <v>22.085999999999999</v>
      </c>
      <c r="AF22" s="1">
        <v>21.9102</v>
      </c>
      <c r="AG22" s="1"/>
      <c r="AH22" s="1">
        <f t="shared" si="7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59</v>
      </c>
      <c r="B23" s="1" t="s">
        <v>40</v>
      </c>
      <c r="C23" s="1">
        <v>351</v>
      </c>
      <c r="D23" s="1">
        <v>124</v>
      </c>
      <c r="E23" s="1">
        <v>317</v>
      </c>
      <c r="F23" s="1">
        <v>27</v>
      </c>
      <c r="G23" s="7">
        <v>0.22</v>
      </c>
      <c r="H23" s="1">
        <v>120</v>
      </c>
      <c r="I23" s="1" t="s">
        <v>41</v>
      </c>
      <c r="J23" s="1"/>
      <c r="K23" s="1">
        <v>435</v>
      </c>
      <c r="L23" s="1">
        <f t="shared" si="2"/>
        <v>-118</v>
      </c>
      <c r="M23" s="1"/>
      <c r="N23" s="1"/>
      <c r="O23" s="1">
        <v>950</v>
      </c>
      <c r="P23" s="1">
        <v>212</v>
      </c>
      <c r="Q23" s="1">
        <f t="shared" si="3"/>
        <v>63.4</v>
      </c>
      <c r="R23" s="5">
        <f>20*Q23-P23-O23-F23</f>
        <v>79</v>
      </c>
      <c r="S23" s="5">
        <f t="shared" si="5"/>
        <v>79</v>
      </c>
      <c r="T23" s="17"/>
      <c r="U23" s="1">
        <f t="shared" si="6"/>
        <v>20</v>
      </c>
      <c r="V23" s="1">
        <f t="shared" si="4"/>
        <v>18.753943217665615</v>
      </c>
      <c r="W23" s="1">
        <v>72.2</v>
      </c>
      <c r="X23" s="1">
        <v>83.4</v>
      </c>
      <c r="Y23" s="1">
        <v>44.2</v>
      </c>
      <c r="Z23" s="1">
        <v>39.6</v>
      </c>
      <c r="AA23" s="1">
        <v>29.2</v>
      </c>
      <c r="AB23" s="1">
        <v>39</v>
      </c>
      <c r="AC23" s="1">
        <v>36.200000000000003</v>
      </c>
      <c r="AD23" s="1">
        <v>34</v>
      </c>
      <c r="AE23" s="1">
        <v>39.200000000000003</v>
      </c>
      <c r="AF23" s="1">
        <v>22.6</v>
      </c>
      <c r="AG23" s="1" t="s">
        <v>43</v>
      </c>
      <c r="AH23" s="1">
        <f t="shared" si="7"/>
        <v>17.38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60</v>
      </c>
      <c r="B24" s="1" t="s">
        <v>36</v>
      </c>
      <c r="C24" s="1">
        <v>66.141999999999996</v>
      </c>
      <c r="D24" s="1">
        <v>1.21</v>
      </c>
      <c r="E24" s="1">
        <v>5.08</v>
      </c>
      <c r="F24" s="1">
        <v>58.926000000000002</v>
      </c>
      <c r="G24" s="7">
        <v>1</v>
      </c>
      <c r="H24" s="1">
        <v>40</v>
      </c>
      <c r="I24" s="1" t="s">
        <v>41</v>
      </c>
      <c r="J24" s="1"/>
      <c r="K24" s="1">
        <v>18.649999999999999</v>
      </c>
      <c r="L24" s="1">
        <f t="shared" si="2"/>
        <v>-13.569999999999999</v>
      </c>
      <c r="M24" s="1"/>
      <c r="N24" s="1"/>
      <c r="O24" s="1">
        <v>0</v>
      </c>
      <c r="P24" s="1">
        <v>0</v>
      </c>
      <c r="Q24" s="1">
        <f t="shared" si="3"/>
        <v>1.016</v>
      </c>
      <c r="R24" s="5"/>
      <c r="S24" s="5">
        <f t="shared" si="5"/>
        <v>0</v>
      </c>
      <c r="T24" s="17"/>
      <c r="U24" s="1">
        <f t="shared" si="6"/>
        <v>57.998031496062993</v>
      </c>
      <c r="V24" s="1">
        <f t="shared" si="4"/>
        <v>57.998031496062993</v>
      </c>
      <c r="W24" s="1">
        <v>0.62519999999999998</v>
      </c>
      <c r="X24" s="1">
        <v>3.5935999999999999</v>
      </c>
      <c r="Y24" s="1">
        <v>9.9719999999999995</v>
      </c>
      <c r="Z24" s="1">
        <v>8.8043999999999993</v>
      </c>
      <c r="AA24" s="1">
        <v>4.5223999999999993</v>
      </c>
      <c r="AB24" s="1">
        <v>2.25</v>
      </c>
      <c r="AC24" s="1">
        <v>2.5367999999999999</v>
      </c>
      <c r="AD24" s="1">
        <v>0</v>
      </c>
      <c r="AE24" s="1">
        <v>0</v>
      </c>
      <c r="AF24" s="1">
        <v>0</v>
      </c>
      <c r="AG24" s="12" t="s">
        <v>57</v>
      </c>
      <c r="AH24" s="1">
        <f t="shared" si="7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9" t="s">
        <v>61</v>
      </c>
      <c r="B25" s="9" t="s">
        <v>36</v>
      </c>
      <c r="C25" s="9">
        <v>69.405000000000001</v>
      </c>
      <c r="D25" s="9">
        <v>6</v>
      </c>
      <c r="E25" s="9"/>
      <c r="F25" s="9">
        <v>69.405000000000001</v>
      </c>
      <c r="G25" s="10">
        <v>0</v>
      </c>
      <c r="H25" s="9"/>
      <c r="I25" s="9" t="s">
        <v>37</v>
      </c>
      <c r="J25" s="9"/>
      <c r="K25" s="9">
        <v>23.3</v>
      </c>
      <c r="L25" s="9">
        <f t="shared" si="2"/>
        <v>-23.3</v>
      </c>
      <c r="M25" s="9"/>
      <c r="N25" s="9"/>
      <c r="O25" s="9">
        <v>0</v>
      </c>
      <c r="P25" s="9">
        <v>0</v>
      </c>
      <c r="Q25" s="9">
        <f t="shared" si="3"/>
        <v>0</v>
      </c>
      <c r="R25" s="11"/>
      <c r="S25" s="5">
        <f t="shared" si="5"/>
        <v>0</v>
      </c>
      <c r="T25" s="16"/>
      <c r="U25" s="1" t="e">
        <f t="shared" si="6"/>
        <v>#DIV/0!</v>
      </c>
      <c r="V25" s="9" t="e">
        <f t="shared" si="4"/>
        <v>#DIV/0!</v>
      </c>
      <c r="W25" s="9">
        <v>5.444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 t="s">
        <v>62</v>
      </c>
      <c r="AH25" s="1">
        <f t="shared" si="7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9" t="s">
        <v>63</v>
      </c>
      <c r="B26" s="9" t="s">
        <v>40</v>
      </c>
      <c r="C26" s="9">
        <v>1</v>
      </c>
      <c r="D26" s="9">
        <v>2</v>
      </c>
      <c r="E26" s="9"/>
      <c r="F26" s="9"/>
      <c r="G26" s="10">
        <v>0</v>
      </c>
      <c r="H26" s="9">
        <v>45</v>
      </c>
      <c r="I26" s="9" t="s">
        <v>37</v>
      </c>
      <c r="J26" s="9"/>
      <c r="K26" s="9">
        <v>4</v>
      </c>
      <c r="L26" s="9">
        <f t="shared" si="2"/>
        <v>-4</v>
      </c>
      <c r="M26" s="9"/>
      <c r="N26" s="9"/>
      <c r="O26" s="9">
        <v>0</v>
      </c>
      <c r="P26" s="9">
        <v>0</v>
      </c>
      <c r="Q26" s="9">
        <f t="shared" si="3"/>
        <v>0</v>
      </c>
      <c r="R26" s="11"/>
      <c r="S26" s="5">
        <f t="shared" si="5"/>
        <v>0</v>
      </c>
      <c r="T26" s="16"/>
      <c r="U26" s="1" t="e">
        <f t="shared" si="6"/>
        <v>#DIV/0!</v>
      </c>
      <c r="V26" s="9" t="e">
        <f t="shared" si="4"/>
        <v>#DIV/0!</v>
      </c>
      <c r="W26" s="9">
        <v>3</v>
      </c>
      <c r="X26" s="9">
        <v>2</v>
      </c>
      <c r="Y26" s="9">
        <v>2.4</v>
      </c>
      <c r="Z26" s="9">
        <v>1.8</v>
      </c>
      <c r="AA26" s="9">
        <v>1.8</v>
      </c>
      <c r="AB26" s="9">
        <v>1.4</v>
      </c>
      <c r="AC26" s="9">
        <v>1</v>
      </c>
      <c r="AD26" s="9">
        <v>0.4</v>
      </c>
      <c r="AE26" s="9">
        <v>1.6</v>
      </c>
      <c r="AF26" s="9">
        <v>1.4</v>
      </c>
      <c r="AG26" s="9"/>
      <c r="AH26" s="1">
        <f t="shared" si="7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64</v>
      </c>
      <c r="B27" s="1" t="s">
        <v>36</v>
      </c>
      <c r="C27" s="1">
        <v>14.089</v>
      </c>
      <c r="D27" s="1">
        <v>20.797999999999998</v>
      </c>
      <c r="E27" s="1">
        <v>12.12</v>
      </c>
      <c r="F27" s="1"/>
      <c r="G27" s="7">
        <v>1</v>
      </c>
      <c r="H27" s="1">
        <v>60</v>
      </c>
      <c r="I27" s="1" t="s">
        <v>41</v>
      </c>
      <c r="J27" s="1"/>
      <c r="K27" s="1">
        <v>128.9</v>
      </c>
      <c r="L27" s="1">
        <f t="shared" si="2"/>
        <v>-116.78</v>
      </c>
      <c r="M27" s="1"/>
      <c r="N27" s="1"/>
      <c r="O27" s="1">
        <v>152</v>
      </c>
      <c r="P27" s="1">
        <v>51</v>
      </c>
      <c r="Q27" s="1">
        <f t="shared" si="3"/>
        <v>2.4239999999999999</v>
      </c>
      <c r="R27" s="5"/>
      <c r="S27" s="5">
        <f t="shared" si="5"/>
        <v>0</v>
      </c>
      <c r="T27" s="17"/>
      <c r="U27" s="1">
        <f t="shared" si="6"/>
        <v>83.745874587458744</v>
      </c>
      <c r="V27" s="1">
        <f t="shared" si="4"/>
        <v>83.745874587458744</v>
      </c>
      <c r="W27" s="1">
        <v>13.7454</v>
      </c>
      <c r="X27" s="1">
        <v>15.651999999999999</v>
      </c>
      <c r="Y27" s="1">
        <v>11.1342</v>
      </c>
      <c r="Z27" s="1">
        <v>14.042400000000001</v>
      </c>
      <c r="AA27" s="1">
        <v>14.0364</v>
      </c>
      <c r="AB27" s="1">
        <v>10.058</v>
      </c>
      <c r="AC27" s="1">
        <v>11.2278</v>
      </c>
      <c r="AD27" s="1">
        <v>13.8606</v>
      </c>
      <c r="AE27" s="1">
        <v>11.16</v>
      </c>
      <c r="AF27" s="1">
        <v>10.001799999999999</v>
      </c>
      <c r="AG27" s="1"/>
      <c r="AH27" s="1">
        <f t="shared" si="7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65</v>
      </c>
      <c r="B28" s="1" t="s">
        <v>40</v>
      </c>
      <c r="C28" s="1">
        <v>249</v>
      </c>
      <c r="D28" s="1">
        <v>56</v>
      </c>
      <c r="E28" s="1">
        <v>194</v>
      </c>
      <c r="F28" s="1">
        <v>57</v>
      </c>
      <c r="G28" s="7">
        <v>0.09</v>
      </c>
      <c r="H28" s="1">
        <v>60</v>
      </c>
      <c r="I28" s="1" t="s">
        <v>41</v>
      </c>
      <c r="J28" s="1"/>
      <c r="K28" s="1">
        <v>223</v>
      </c>
      <c r="L28" s="1">
        <f t="shared" si="2"/>
        <v>-29</v>
      </c>
      <c r="M28" s="1"/>
      <c r="N28" s="1"/>
      <c r="O28" s="1">
        <v>500</v>
      </c>
      <c r="P28" s="1">
        <v>0</v>
      </c>
      <c r="Q28" s="1">
        <f t="shared" si="3"/>
        <v>38.799999999999997</v>
      </c>
      <c r="R28" s="5">
        <f t="shared" ref="R28" si="9">15*Q28-P28-O28-F28</f>
        <v>25</v>
      </c>
      <c r="S28" s="5">
        <f t="shared" si="5"/>
        <v>25</v>
      </c>
      <c r="T28" s="17"/>
      <c r="U28" s="1">
        <f t="shared" si="6"/>
        <v>15.000000000000002</v>
      </c>
      <c r="V28" s="1">
        <f t="shared" si="4"/>
        <v>14.355670103092784</v>
      </c>
      <c r="W28" s="1">
        <v>13.2</v>
      </c>
      <c r="X28" s="1">
        <v>47.8</v>
      </c>
      <c r="Y28" s="1">
        <v>38.799999999999997</v>
      </c>
      <c r="Z28" s="1">
        <v>20</v>
      </c>
      <c r="AA28" s="1">
        <v>34.4</v>
      </c>
      <c r="AB28" s="1">
        <v>30.6</v>
      </c>
      <c r="AC28" s="1">
        <v>34.4</v>
      </c>
      <c r="AD28" s="1">
        <v>23.8</v>
      </c>
      <c r="AE28" s="1">
        <v>23.8</v>
      </c>
      <c r="AF28" s="1">
        <v>28</v>
      </c>
      <c r="AG28" s="1"/>
      <c r="AH28" s="1">
        <f t="shared" si="7"/>
        <v>2.25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9" t="s">
        <v>66</v>
      </c>
      <c r="B29" s="9" t="s">
        <v>40</v>
      </c>
      <c r="C29" s="9">
        <v>99</v>
      </c>
      <c r="D29" s="9">
        <v>1</v>
      </c>
      <c r="E29" s="9"/>
      <c r="F29" s="9">
        <v>100</v>
      </c>
      <c r="G29" s="10">
        <v>0</v>
      </c>
      <c r="H29" s="9"/>
      <c r="I29" s="9" t="s">
        <v>37</v>
      </c>
      <c r="J29" s="9"/>
      <c r="K29" s="9"/>
      <c r="L29" s="9">
        <f t="shared" si="2"/>
        <v>0</v>
      </c>
      <c r="M29" s="9"/>
      <c r="N29" s="9"/>
      <c r="O29" s="9">
        <v>0</v>
      </c>
      <c r="P29" s="9">
        <v>0</v>
      </c>
      <c r="Q29" s="9">
        <f t="shared" si="3"/>
        <v>0</v>
      </c>
      <c r="R29" s="11"/>
      <c r="S29" s="5">
        <f t="shared" si="5"/>
        <v>0</v>
      </c>
      <c r="T29" s="16"/>
      <c r="U29" s="1" t="e">
        <f t="shared" si="6"/>
        <v>#DIV/0!</v>
      </c>
      <c r="V29" s="9" t="e">
        <f t="shared" si="4"/>
        <v>#DIV/0!</v>
      </c>
      <c r="W29" s="9">
        <v>4.2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12" t="s">
        <v>38</v>
      </c>
      <c r="AH29" s="1">
        <f t="shared" si="7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67</v>
      </c>
      <c r="B30" s="1" t="s">
        <v>40</v>
      </c>
      <c r="C30" s="1">
        <v>112</v>
      </c>
      <c r="D30" s="1">
        <v>6</v>
      </c>
      <c r="E30" s="1">
        <v>36</v>
      </c>
      <c r="F30" s="1">
        <v>73</v>
      </c>
      <c r="G30" s="7">
        <v>0.09</v>
      </c>
      <c r="H30" s="1">
        <v>45</v>
      </c>
      <c r="I30" s="1" t="s">
        <v>41</v>
      </c>
      <c r="J30" s="1"/>
      <c r="K30" s="1">
        <v>42</v>
      </c>
      <c r="L30" s="1">
        <f t="shared" si="2"/>
        <v>-6</v>
      </c>
      <c r="M30" s="1"/>
      <c r="N30" s="1"/>
      <c r="O30" s="1">
        <v>15</v>
      </c>
      <c r="P30" s="1">
        <v>0</v>
      </c>
      <c r="Q30" s="1">
        <f t="shared" si="3"/>
        <v>7.2</v>
      </c>
      <c r="R30" s="5">
        <f>15*Q30-P30-O30-F30</f>
        <v>20</v>
      </c>
      <c r="S30" s="5">
        <f t="shared" si="5"/>
        <v>20</v>
      </c>
      <c r="T30" s="17"/>
      <c r="U30" s="1">
        <f t="shared" si="6"/>
        <v>15</v>
      </c>
      <c r="V30" s="1">
        <f t="shared" si="4"/>
        <v>12.222222222222221</v>
      </c>
      <c r="W30" s="1">
        <v>6.2</v>
      </c>
      <c r="X30" s="1">
        <v>11</v>
      </c>
      <c r="Y30" s="1">
        <v>14.8</v>
      </c>
      <c r="Z30" s="1">
        <v>8.1999999999999993</v>
      </c>
      <c r="AA30" s="1">
        <v>11</v>
      </c>
      <c r="AB30" s="1">
        <v>22</v>
      </c>
      <c r="AC30" s="1">
        <v>18.8</v>
      </c>
      <c r="AD30" s="1">
        <v>7</v>
      </c>
      <c r="AE30" s="1">
        <v>14.6</v>
      </c>
      <c r="AF30" s="1">
        <v>10.6</v>
      </c>
      <c r="AG30" s="1"/>
      <c r="AH30" s="1">
        <f t="shared" si="7"/>
        <v>1.7999999999999998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9" t="s">
        <v>68</v>
      </c>
      <c r="B31" s="9" t="s">
        <v>40</v>
      </c>
      <c r="C31" s="9">
        <v>5</v>
      </c>
      <c r="D31" s="9"/>
      <c r="E31" s="9"/>
      <c r="F31" s="9"/>
      <c r="G31" s="10">
        <v>0</v>
      </c>
      <c r="H31" s="9"/>
      <c r="I31" s="9" t="s">
        <v>37</v>
      </c>
      <c r="J31" s="9" t="s">
        <v>69</v>
      </c>
      <c r="K31" s="9"/>
      <c r="L31" s="9">
        <f t="shared" si="2"/>
        <v>0</v>
      </c>
      <c r="M31" s="9"/>
      <c r="N31" s="9"/>
      <c r="O31" s="9">
        <v>0</v>
      </c>
      <c r="P31" s="9">
        <v>0</v>
      </c>
      <c r="Q31" s="9">
        <f t="shared" si="3"/>
        <v>0</v>
      </c>
      <c r="R31" s="11"/>
      <c r="S31" s="5">
        <f t="shared" si="5"/>
        <v>0</v>
      </c>
      <c r="T31" s="16"/>
      <c r="U31" s="1" t="e">
        <f t="shared" si="6"/>
        <v>#DIV/0!</v>
      </c>
      <c r="V31" s="9" t="e">
        <f t="shared" si="4"/>
        <v>#DIV/0!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-0.8</v>
      </c>
      <c r="AD31" s="9">
        <v>0</v>
      </c>
      <c r="AE31" s="9">
        <v>0.8</v>
      </c>
      <c r="AF31" s="9">
        <v>-0.2</v>
      </c>
      <c r="AG31" s="9"/>
      <c r="AH31" s="1">
        <f t="shared" si="7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70</v>
      </c>
      <c r="B32" s="1" t="s">
        <v>40</v>
      </c>
      <c r="C32" s="1">
        <v>92</v>
      </c>
      <c r="D32" s="1"/>
      <c r="E32" s="1">
        <v>10</v>
      </c>
      <c r="F32" s="1">
        <v>81</v>
      </c>
      <c r="G32" s="7">
        <v>0.15</v>
      </c>
      <c r="H32" s="1">
        <v>45</v>
      </c>
      <c r="I32" s="1" t="s">
        <v>41</v>
      </c>
      <c r="J32" s="1"/>
      <c r="K32" s="1">
        <v>65</v>
      </c>
      <c r="L32" s="1">
        <f t="shared" si="2"/>
        <v>-55</v>
      </c>
      <c r="M32" s="1"/>
      <c r="N32" s="1"/>
      <c r="O32" s="1">
        <v>0</v>
      </c>
      <c r="P32" s="1">
        <v>0</v>
      </c>
      <c r="Q32" s="1">
        <f t="shared" si="3"/>
        <v>2</v>
      </c>
      <c r="R32" s="5"/>
      <c r="S32" s="5">
        <f t="shared" si="5"/>
        <v>0</v>
      </c>
      <c r="T32" s="17"/>
      <c r="U32" s="1">
        <f t="shared" si="6"/>
        <v>40.5</v>
      </c>
      <c r="V32" s="1">
        <f t="shared" si="4"/>
        <v>40.5</v>
      </c>
      <c r="W32" s="1">
        <v>1.8</v>
      </c>
      <c r="X32" s="1">
        <v>2.2000000000000002</v>
      </c>
      <c r="Y32" s="1">
        <v>6</v>
      </c>
      <c r="Z32" s="1">
        <v>8.8000000000000007</v>
      </c>
      <c r="AA32" s="1">
        <v>7</v>
      </c>
      <c r="AB32" s="1">
        <v>9.8000000000000007</v>
      </c>
      <c r="AC32" s="1">
        <v>17.399999999999999</v>
      </c>
      <c r="AD32" s="1">
        <v>7.6</v>
      </c>
      <c r="AE32" s="1">
        <v>8.6</v>
      </c>
      <c r="AF32" s="1">
        <v>10</v>
      </c>
      <c r="AG32" s="12" t="s">
        <v>57</v>
      </c>
      <c r="AH32" s="1">
        <f t="shared" si="7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71</v>
      </c>
      <c r="B33" s="1" t="s">
        <v>36</v>
      </c>
      <c r="C33" s="1">
        <v>567.529</v>
      </c>
      <c r="D33" s="1">
        <v>236.053</v>
      </c>
      <c r="E33" s="1">
        <v>92.453999999999994</v>
      </c>
      <c r="F33" s="1">
        <v>353.83300000000003</v>
      </c>
      <c r="G33" s="7">
        <v>1</v>
      </c>
      <c r="H33" s="1">
        <v>45</v>
      </c>
      <c r="I33" s="1" t="s">
        <v>41</v>
      </c>
      <c r="J33" s="1"/>
      <c r="K33" s="1">
        <v>336.63099999999997</v>
      </c>
      <c r="L33" s="1">
        <f t="shared" si="2"/>
        <v>-244.17699999999996</v>
      </c>
      <c r="M33" s="1"/>
      <c r="N33" s="1"/>
      <c r="O33" s="1">
        <v>400</v>
      </c>
      <c r="P33" s="1">
        <v>190</v>
      </c>
      <c r="Q33" s="1">
        <f t="shared" si="3"/>
        <v>18.4908</v>
      </c>
      <c r="R33" s="5"/>
      <c r="S33" s="5">
        <f t="shared" si="5"/>
        <v>0</v>
      </c>
      <c r="T33" s="17"/>
      <c r="U33" s="1">
        <f t="shared" si="6"/>
        <v>51.043383736777216</v>
      </c>
      <c r="V33" s="1">
        <f t="shared" si="4"/>
        <v>51.043383736777216</v>
      </c>
      <c r="W33" s="1">
        <v>75.172600000000003</v>
      </c>
      <c r="X33" s="1">
        <v>78.514399999999995</v>
      </c>
      <c r="Y33" s="1">
        <v>67.384799999999998</v>
      </c>
      <c r="Z33" s="1">
        <v>59.207000000000008</v>
      </c>
      <c r="AA33" s="1">
        <v>31.207000000000001</v>
      </c>
      <c r="AB33" s="1">
        <v>62.066000000000003</v>
      </c>
      <c r="AC33" s="1">
        <v>56.630200000000002</v>
      </c>
      <c r="AD33" s="1">
        <v>33.6648</v>
      </c>
      <c r="AE33" s="1">
        <v>46.767800000000001</v>
      </c>
      <c r="AF33" s="1">
        <v>33.6068</v>
      </c>
      <c r="AG33" s="12" t="s">
        <v>57</v>
      </c>
      <c r="AH33" s="1">
        <f t="shared" si="7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72</v>
      </c>
      <c r="B34" s="1" t="s">
        <v>40</v>
      </c>
      <c r="C34" s="1">
        <v>40</v>
      </c>
      <c r="D34" s="1">
        <v>26</v>
      </c>
      <c r="E34" s="1">
        <v>37</v>
      </c>
      <c r="F34" s="1">
        <v>2</v>
      </c>
      <c r="G34" s="7">
        <v>0.4</v>
      </c>
      <c r="H34" s="1">
        <v>60</v>
      </c>
      <c r="I34" s="1" t="s">
        <v>41</v>
      </c>
      <c r="J34" s="1"/>
      <c r="K34" s="1">
        <v>101</v>
      </c>
      <c r="L34" s="1">
        <f t="shared" si="2"/>
        <v>-64</v>
      </c>
      <c r="M34" s="1"/>
      <c r="N34" s="1"/>
      <c r="O34" s="1">
        <v>258</v>
      </c>
      <c r="P34" s="1">
        <v>0</v>
      </c>
      <c r="Q34" s="1">
        <f t="shared" si="3"/>
        <v>7.4</v>
      </c>
      <c r="R34" s="5"/>
      <c r="S34" s="5">
        <f t="shared" si="5"/>
        <v>0</v>
      </c>
      <c r="T34" s="17"/>
      <c r="U34" s="1">
        <f t="shared" si="6"/>
        <v>35.135135135135137</v>
      </c>
      <c r="V34" s="1">
        <f t="shared" si="4"/>
        <v>35.135135135135137</v>
      </c>
      <c r="W34" s="1">
        <v>16</v>
      </c>
      <c r="X34" s="1">
        <v>24.8</v>
      </c>
      <c r="Y34" s="1">
        <v>16.600000000000001</v>
      </c>
      <c r="Z34" s="1">
        <v>16.600000000000001</v>
      </c>
      <c r="AA34" s="1">
        <v>14.2</v>
      </c>
      <c r="AB34" s="1">
        <v>22.4</v>
      </c>
      <c r="AC34" s="1">
        <v>17.8</v>
      </c>
      <c r="AD34" s="1">
        <v>11.6</v>
      </c>
      <c r="AE34" s="1">
        <v>18.2</v>
      </c>
      <c r="AF34" s="1">
        <v>23.4</v>
      </c>
      <c r="AG34" s="1"/>
      <c r="AH34" s="1">
        <f t="shared" si="7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73</v>
      </c>
      <c r="B35" s="1" t="s">
        <v>40</v>
      </c>
      <c r="C35" s="1">
        <v>946</v>
      </c>
      <c r="D35" s="1">
        <v>307</v>
      </c>
      <c r="E35" s="1">
        <v>412</v>
      </c>
      <c r="F35" s="1">
        <v>558</v>
      </c>
      <c r="G35" s="7">
        <v>0.4</v>
      </c>
      <c r="H35" s="1">
        <v>60</v>
      </c>
      <c r="I35" s="1" t="s">
        <v>41</v>
      </c>
      <c r="J35" s="1"/>
      <c r="K35" s="1">
        <v>528</v>
      </c>
      <c r="L35" s="1">
        <f t="shared" si="2"/>
        <v>-116</v>
      </c>
      <c r="M35" s="1"/>
      <c r="N35" s="1"/>
      <c r="O35" s="1">
        <v>451</v>
      </c>
      <c r="P35" s="1">
        <v>0</v>
      </c>
      <c r="Q35" s="1">
        <f t="shared" si="3"/>
        <v>82.4</v>
      </c>
      <c r="R35" s="5">
        <f t="shared" ref="R35" si="10">15*Q35-P35-O35-F35</f>
        <v>227</v>
      </c>
      <c r="S35" s="5">
        <f t="shared" si="5"/>
        <v>227</v>
      </c>
      <c r="T35" s="17"/>
      <c r="U35" s="1">
        <f t="shared" si="6"/>
        <v>14.999999999999998</v>
      </c>
      <c r="V35" s="1">
        <f t="shared" si="4"/>
        <v>12.24514563106796</v>
      </c>
      <c r="W35" s="1">
        <v>83.8</v>
      </c>
      <c r="X35" s="1">
        <v>120.6</v>
      </c>
      <c r="Y35" s="1">
        <v>106.6</v>
      </c>
      <c r="Z35" s="1">
        <v>74.8</v>
      </c>
      <c r="AA35" s="1">
        <v>84</v>
      </c>
      <c r="AB35" s="1">
        <v>80</v>
      </c>
      <c r="AC35" s="1">
        <v>95.8</v>
      </c>
      <c r="AD35" s="1">
        <v>83.4</v>
      </c>
      <c r="AE35" s="1">
        <v>98.6</v>
      </c>
      <c r="AF35" s="1">
        <v>90</v>
      </c>
      <c r="AG35" s="1"/>
      <c r="AH35" s="1">
        <f t="shared" si="7"/>
        <v>90.800000000000011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9" t="s">
        <v>74</v>
      </c>
      <c r="B36" s="9" t="s">
        <v>40</v>
      </c>
      <c r="C36" s="9">
        <v>-1</v>
      </c>
      <c r="D36" s="9"/>
      <c r="E36" s="9"/>
      <c r="F36" s="13">
        <v>-1</v>
      </c>
      <c r="G36" s="10">
        <v>0</v>
      </c>
      <c r="H36" s="9"/>
      <c r="I36" s="9" t="s">
        <v>37</v>
      </c>
      <c r="J36" s="9" t="s">
        <v>75</v>
      </c>
      <c r="K36" s="9"/>
      <c r="L36" s="9">
        <f t="shared" si="2"/>
        <v>0</v>
      </c>
      <c r="M36" s="9"/>
      <c r="N36" s="9"/>
      <c r="O36" s="9">
        <v>0</v>
      </c>
      <c r="P36" s="9">
        <v>0</v>
      </c>
      <c r="Q36" s="9">
        <f t="shared" si="3"/>
        <v>0</v>
      </c>
      <c r="R36" s="11"/>
      <c r="S36" s="5">
        <f t="shared" si="5"/>
        <v>0</v>
      </c>
      <c r="T36" s="16"/>
      <c r="U36" s="1" t="e">
        <f t="shared" si="6"/>
        <v>#DIV/0!</v>
      </c>
      <c r="V36" s="9" t="e">
        <f t="shared" si="4"/>
        <v>#DIV/0!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/>
      <c r="AH36" s="1">
        <f t="shared" si="7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76</v>
      </c>
      <c r="B37" s="1" t="s">
        <v>40</v>
      </c>
      <c r="C37" s="1">
        <v>1072</v>
      </c>
      <c r="D37" s="1">
        <v>520</v>
      </c>
      <c r="E37" s="1">
        <v>300</v>
      </c>
      <c r="F37" s="1">
        <v>701</v>
      </c>
      <c r="G37" s="7">
        <v>0.4</v>
      </c>
      <c r="H37" s="1">
        <v>60</v>
      </c>
      <c r="I37" s="1" t="s">
        <v>41</v>
      </c>
      <c r="J37" s="1"/>
      <c r="K37" s="1">
        <v>381</v>
      </c>
      <c r="L37" s="1">
        <f t="shared" si="2"/>
        <v>-81</v>
      </c>
      <c r="M37" s="1"/>
      <c r="N37" s="1"/>
      <c r="O37" s="1">
        <v>0</v>
      </c>
      <c r="P37" s="1">
        <v>378</v>
      </c>
      <c r="Q37" s="1">
        <f t="shared" si="3"/>
        <v>60</v>
      </c>
      <c r="R37" s="5"/>
      <c r="S37" s="5">
        <f t="shared" si="5"/>
        <v>0</v>
      </c>
      <c r="T37" s="17"/>
      <c r="U37" s="1">
        <f t="shared" si="6"/>
        <v>17.983333333333334</v>
      </c>
      <c r="V37" s="1">
        <f t="shared" si="4"/>
        <v>17.983333333333334</v>
      </c>
      <c r="W37" s="1">
        <v>94.2</v>
      </c>
      <c r="X37" s="1">
        <v>83.8</v>
      </c>
      <c r="Y37" s="1">
        <v>105</v>
      </c>
      <c r="Z37" s="1">
        <v>61.8</v>
      </c>
      <c r="AA37" s="1">
        <v>65.400000000000006</v>
      </c>
      <c r="AB37" s="1">
        <v>87.2</v>
      </c>
      <c r="AC37" s="1">
        <v>56.2</v>
      </c>
      <c r="AD37" s="1">
        <v>72.599999999999994</v>
      </c>
      <c r="AE37" s="1">
        <v>60.8</v>
      </c>
      <c r="AF37" s="1">
        <v>73.599999999999994</v>
      </c>
      <c r="AG37" s="1"/>
      <c r="AH37" s="1">
        <f t="shared" si="7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77</v>
      </c>
      <c r="B38" s="1" t="s">
        <v>40</v>
      </c>
      <c r="C38" s="1">
        <v>198</v>
      </c>
      <c r="D38" s="1"/>
      <c r="E38" s="1">
        <v>2</v>
      </c>
      <c r="F38" s="1">
        <v>196</v>
      </c>
      <c r="G38" s="7">
        <v>0.3</v>
      </c>
      <c r="H38" s="1">
        <v>45</v>
      </c>
      <c r="I38" s="1" t="s">
        <v>41</v>
      </c>
      <c r="J38" s="1"/>
      <c r="K38" s="1">
        <v>2</v>
      </c>
      <c r="L38" s="1">
        <f t="shared" ref="L38:L69" si="11">E38-K38</f>
        <v>0</v>
      </c>
      <c r="M38" s="1"/>
      <c r="N38" s="1"/>
      <c r="O38" s="1">
        <v>0</v>
      </c>
      <c r="P38" s="1">
        <v>0</v>
      </c>
      <c r="Q38" s="1">
        <f t="shared" ref="Q38:Q69" si="12">E38/5</f>
        <v>0.4</v>
      </c>
      <c r="R38" s="5"/>
      <c r="S38" s="5">
        <f t="shared" si="5"/>
        <v>0</v>
      </c>
      <c r="T38" s="17"/>
      <c r="U38" s="1">
        <f t="shared" si="6"/>
        <v>490</v>
      </c>
      <c r="V38" s="1">
        <f t="shared" ref="V38:V69" si="13">(F38+O38+P38)/Q38</f>
        <v>490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5" t="s">
        <v>169</v>
      </c>
      <c r="AH38" s="1">
        <f t="shared" si="7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9" t="s">
        <v>79</v>
      </c>
      <c r="B39" s="9" t="s">
        <v>40</v>
      </c>
      <c r="C39" s="9">
        <v>-1</v>
      </c>
      <c r="D39" s="9">
        <v>3</v>
      </c>
      <c r="E39" s="9"/>
      <c r="F39" s="13">
        <v>2</v>
      </c>
      <c r="G39" s="10">
        <v>0</v>
      </c>
      <c r="H39" s="9">
        <v>60</v>
      </c>
      <c r="I39" s="9" t="s">
        <v>37</v>
      </c>
      <c r="J39" s="9" t="s">
        <v>80</v>
      </c>
      <c r="K39" s="9"/>
      <c r="L39" s="9">
        <f t="shared" si="11"/>
        <v>0</v>
      </c>
      <c r="M39" s="9"/>
      <c r="N39" s="9"/>
      <c r="O39" s="9">
        <v>0</v>
      </c>
      <c r="P39" s="9">
        <v>0</v>
      </c>
      <c r="Q39" s="9">
        <f t="shared" si="12"/>
        <v>0</v>
      </c>
      <c r="R39" s="11"/>
      <c r="S39" s="5">
        <f t="shared" si="5"/>
        <v>0</v>
      </c>
      <c r="T39" s="16"/>
      <c r="U39" s="1" t="e">
        <f t="shared" si="6"/>
        <v>#DIV/0!</v>
      </c>
      <c r="V39" s="9" t="e">
        <f t="shared" si="13"/>
        <v>#DIV/0!</v>
      </c>
      <c r="W39" s="9">
        <v>0</v>
      </c>
      <c r="X39" s="9">
        <v>0.2</v>
      </c>
      <c r="Y39" s="9">
        <v>-0.4</v>
      </c>
      <c r="Z39" s="9">
        <v>20.6</v>
      </c>
      <c r="AA39" s="9">
        <v>34</v>
      </c>
      <c r="AB39" s="9">
        <v>49</v>
      </c>
      <c r="AC39" s="9">
        <v>32</v>
      </c>
      <c r="AD39" s="9">
        <v>33.4</v>
      </c>
      <c r="AE39" s="9">
        <v>31.2</v>
      </c>
      <c r="AF39" s="9">
        <v>32.799999999999997</v>
      </c>
      <c r="AG39" s="9" t="s">
        <v>81</v>
      </c>
      <c r="AH39" s="1">
        <f t="shared" si="7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9" t="s">
        <v>82</v>
      </c>
      <c r="B40" s="9" t="s">
        <v>40</v>
      </c>
      <c r="C40" s="9">
        <v>-76</v>
      </c>
      <c r="D40" s="9">
        <v>77</v>
      </c>
      <c r="E40" s="13">
        <v>1</v>
      </c>
      <c r="F40" s="9"/>
      <c r="G40" s="10">
        <v>0</v>
      </c>
      <c r="H40" s="9">
        <v>60</v>
      </c>
      <c r="I40" s="9" t="s">
        <v>37</v>
      </c>
      <c r="J40" s="9" t="s">
        <v>83</v>
      </c>
      <c r="K40" s="9">
        <v>191</v>
      </c>
      <c r="L40" s="9">
        <f t="shared" si="11"/>
        <v>-190</v>
      </c>
      <c r="M40" s="9"/>
      <c r="N40" s="9"/>
      <c r="O40" s="9">
        <v>0</v>
      </c>
      <c r="P40" s="9">
        <v>0</v>
      </c>
      <c r="Q40" s="9">
        <f t="shared" si="12"/>
        <v>0.2</v>
      </c>
      <c r="R40" s="11"/>
      <c r="S40" s="5">
        <f t="shared" si="5"/>
        <v>0</v>
      </c>
      <c r="T40" s="16"/>
      <c r="U40" s="1">
        <f t="shared" si="6"/>
        <v>0</v>
      </c>
      <c r="V40" s="9">
        <f t="shared" si="13"/>
        <v>0</v>
      </c>
      <c r="W40" s="9">
        <v>-0.2</v>
      </c>
      <c r="X40" s="9">
        <v>17</v>
      </c>
      <c r="Y40" s="9">
        <v>24.6</v>
      </c>
      <c r="Z40" s="9">
        <v>36.6</v>
      </c>
      <c r="AA40" s="9">
        <v>34.4</v>
      </c>
      <c r="AB40" s="9">
        <v>33.799999999999997</v>
      </c>
      <c r="AC40" s="9">
        <v>37.799999999999997</v>
      </c>
      <c r="AD40" s="9">
        <v>30</v>
      </c>
      <c r="AE40" s="9">
        <v>33.799999999999997</v>
      </c>
      <c r="AF40" s="9">
        <v>33</v>
      </c>
      <c r="AG40" s="9" t="s">
        <v>84</v>
      </c>
      <c r="AH40" s="1">
        <f t="shared" si="7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9" t="s">
        <v>85</v>
      </c>
      <c r="B41" s="9" t="s">
        <v>40</v>
      </c>
      <c r="C41" s="9">
        <v>-2</v>
      </c>
      <c r="D41" s="9">
        <v>2</v>
      </c>
      <c r="E41" s="9"/>
      <c r="F41" s="9"/>
      <c r="G41" s="10">
        <v>0</v>
      </c>
      <c r="H41" s="9">
        <v>45</v>
      </c>
      <c r="I41" s="9" t="s">
        <v>37</v>
      </c>
      <c r="J41" s="9" t="s">
        <v>86</v>
      </c>
      <c r="K41" s="9">
        <v>10</v>
      </c>
      <c r="L41" s="9">
        <f t="shared" si="11"/>
        <v>-10</v>
      </c>
      <c r="M41" s="9"/>
      <c r="N41" s="9"/>
      <c r="O41" s="9">
        <v>0</v>
      </c>
      <c r="P41" s="9">
        <v>0</v>
      </c>
      <c r="Q41" s="9">
        <f t="shared" si="12"/>
        <v>0</v>
      </c>
      <c r="R41" s="11"/>
      <c r="S41" s="5">
        <f t="shared" si="5"/>
        <v>0</v>
      </c>
      <c r="T41" s="16"/>
      <c r="U41" s="1" t="e">
        <f t="shared" si="6"/>
        <v>#DIV/0!</v>
      </c>
      <c r="V41" s="9" t="e">
        <f t="shared" si="13"/>
        <v>#DIV/0!</v>
      </c>
      <c r="W41" s="9">
        <v>0</v>
      </c>
      <c r="X41" s="9">
        <v>4</v>
      </c>
      <c r="Y41" s="9">
        <v>3.4</v>
      </c>
      <c r="Z41" s="9">
        <v>2.4</v>
      </c>
      <c r="AA41" s="9">
        <v>8.1999999999999993</v>
      </c>
      <c r="AB41" s="9">
        <v>2.8</v>
      </c>
      <c r="AC41" s="9">
        <v>-0.4</v>
      </c>
      <c r="AD41" s="9">
        <v>4.2</v>
      </c>
      <c r="AE41" s="9">
        <v>5.2</v>
      </c>
      <c r="AF41" s="9">
        <v>9.8000000000000007</v>
      </c>
      <c r="AG41" s="9" t="s">
        <v>87</v>
      </c>
      <c r="AH41" s="1">
        <f t="shared" si="7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9" t="s">
        <v>88</v>
      </c>
      <c r="B42" s="9" t="s">
        <v>36</v>
      </c>
      <c r="C42" s="9">
        <v>0.88</v>
      </c>
      <c r="D42" s="9">
        <v>4.0650000000000004</v>
      </c>
      <c r="E42" s="9"/>
      <c r="F42" s="9"/>
      <c r="G42" s="10">
        <v>0</v>
      </c>
      <c r="H42" s="9">
        <v>45</v>
      </c>
      <c r="I42" s="9" t="s">
        <v>37</v>
      </c>
      <c r="J42" s="9"/>
      <c r="K42" s="9">
        <v>72.599999999999994</v>
      </c>
      <c r="L42" s="9">
        <f t="shared" si="11"/>
        <v>-72.599999999999994</v>
      </c>
      <c r="M42" s="9"/>
      <c r="N42" s="9"/>
      <c r="O42" s="9">
        <v>0</v>
      </c>
      <c r="P42" s="9">
        <v>0</v>
      </c>
      <c r="Q42" s="9">
        <f t="shared" si="12"/>
        <v>0</v>
      </c>
      <c r="R42" s="11"/>
      <c r="S42" s="5">
        <f t="shared" si="5"/>
        <v>0</v>
      </c>
      <c r="T42" s="16"/>
      <c r="U42" s="1" t="e">
        <f t="shared" si="6"/>
        <v>#DIV/0!</v>
      </c>
      <c r="V42" s="9" t="e">
        <f t="shared" si="13"/>
        <v>#DIV/0!</v>
      </c>
      <c r="W42" s="9">
        <v>11.114000000000001</v>
      </c>
      <c r="X42" s="9">
        <v>13.551</v>
      </c>
      <c r="Y42" s="9">
        <v>8.1720000000000006</v>
      </c>
      <c r="Z42" s="9">
        <v>2.6469999999999998</v>
      </c>
      <c r="AA42" s="9">
        <v>0</v>
      </c>
      <c r="AB42" s="9">
        <v>1.4330000000000001</v>
      </c>
      <c r="AC42" s="9">
        <v>7.9530000000000003</v>
      </c>
      <c r="AD42" s="9">
        <v>1.4390000000000001</v>
      </c>
      <c r="AE42" s="9">
        <v>0</v>
      </c>
      <c r="AF42" s="9">
        <v>0</v>
      </c>
      <c r="AG42" s="9"/>
      <c r="AH42" s="1">
        <f t="shared" si="7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9" t="s">
        <v>89</v>
      </c>
      <c r="B43" s="9" t="s">
        <v>40</v>
      </c>
      <c r="C43" s="9">
        <v>27</v>
      </c>
      <c r="D43" s="9">
        <v>10</v>
      </c>
      <c r="E43" s="9">
        <v>-2</v>
      </c>
      <c r="F43" s="9"/>
      <c r="G43" s="10">
        <v>0</v>
      </c>
      <c r="H43" s="9">
        <v>45</v>
      </c>
      <c r="I43" s="9" t="s">
        <v>37</v>
      </c>
      <c r="J43" s="9"/>
      <c r="K43" s="9">
        <v>188</v>
      </c>
      <c r="L43" s="9">
        <f t="shared" si="11"/>
        <v>-190</v>
      </c>
      <c r="M43" s="9"/>
      <c r="N43" s="9"/>
      <c r="O43" s="9">
        <v>0</v>
      </c>
      <c r="P43" s="9">
        <v>0</v>
      </c>
      <c r="Q43" s="9">
        <f t="shared" si="12"/>
        <v>-0.4</v>
      </c>
      <c r="R43" s="11"/>
      <c r="S43" s="5">
        <f t="shared" si="5"/>
        <v>0</v>
      </c>
      <c r="T43" s="16"/>
      <c r="U43" s="1">
        <f t="shared" si="6"/>
        <v>0</v>
      </c>
      <c r="V43" s="9">
        <f t="shared" si="13"/>
        <v>0</v>
      </c>
      <c r="W43" s="9">
        <v>11</v>
      </c>
      <c r="X43" s="9">
        <v>29.2</v>
      </c>
      <c r="Y43" s="9">
        <v>17</v>
      </c>
      <c r="Z43" s="9">
        <v>20.8</v>
      </c>
      <c r="AA43" s="9">
        <v>24.8</v>
      </c>
      <c r="AB43" s="9">
        <v>13.6</v>
      </c>
      <c r="AC43" s="9">
        <v>27</v>
      </c>
      <c r="AD43" s="9">
        <v>24</v>
      </c>
      <c r="AE43" s="9">
        <v>19</v>
      </c>
      <c r="AF43" s="9">
        <v>27</v>
      </c>
      <c r="AG43" s="9" t="s">
        <v>90</v>
      </c>
      <c r="AH43" s="1">
        <f t="shared" si="7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91</v>
      </c>
      <c r="B44" s="1" t="s">
        <v>40</v>
      </c>
      <c r="C44" s="1">
        <v>288</v>
      </c>
      <c r="D44" s="1">
        <v>30</v>
      </c>
      <c r="E44" s="1">
        <v>129</v>
      </c>
      <c r="F44" s="1">
        <v>144</v>
      </c>
      <c r="G44" s="7">
        <v>0.3</v>
      </c>
      <c r="H44" s="1">
        <v>45</v>
      </c>
      <c r="I44" s="1" t="s">
        <v>41</v>
      </c>
      <c r="J44" s="1"/>
      <c r="K44" s="1">
        <v>197</v>
      </c>
      <c r="L44" s="1">
        <f t="shared" si="11"/>
        <v>-68</v>
      </c>
      <c r="M44" s="1"/>
      <c r="N44" s="1"/>
      <c r="O44" s="1">
        <v>0</v>
      </c>
      <c r="P44" s="1">
        <v>100</v>
      </c>
      <c r="Q44" s="1">
        <f t="shared" si="12"/>
        <v>25.8</v>
      </c>
      <c r="R44" s="5">
        <f t="shared" ref="R44:R48" si="14">15*Q44-P44-O44-F44</f>
        <v>143</v>
      </c>
      <c r="S44" s="5">
        <f t="shared" si="5"/>
        <v>143</v>
      </c>
      <c r="T44" s="17"/>
      <c r="U44" s="1">
        <f t="shared" si="6"/>
        <v>15</v>
      </c>
      <c r="V44" s="1">
        <f t="shared" si="13"/>
        <v>9.4573643410852704</v>
      </c>
      <c r="W44" s="1">
        <v>11.4</v>
      </c>
      <c r="X44" s="1">
        <v>21.2</v>
      </c>
      <c r="Y44" s="1">
        <v>45.2</v>
      </c>
      <c r="Z44" s="1">
        <v>22.6</v>
      </c>
      <c r="AA44" s="1">
        <v>12.4</v>
      </c>
      <c r="AB44" s="1">
        <v>1.4</v>
      </c>
      <c r="AC44" s="1">
        <v>37.6</v>
      </c>
      <c r="AD44" s="1">
        <v>10.4</v>
      </c>
      <c r="AE44" s="1">
        <v>0</v>
      </c>
      <c r="AF44" s="1">
        <v>0</v>
      </c>
      <c r="AG44" s="1"/>
      <c r="AH44" s="1">
        <f t="shared" si="7"/>
        <v>42.9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92</v>
      </c>
      <c r="B45" s="1" t="s">
        <v>36</v>
      </c>
      <c r="C45" s="1">
        <v>844.43100000000004</v>
      </c>
      <c r="D45" s="1">
        <v>419.69400000000002</v>
      </c>
      <c r="E45" s="1">
        <v>164.035</v>
      </c>
      <c r="F45" s="1">
        <v>683.48699999999997</v>
      </c>
      <c r="G45" s="7">
        <v>1</v>
      </c>
      <c r="H45" s="1">
        <v>60</v>
      </c>
      <c r="I45" s="1" t="s">
        <v>41</v>
      </c>
      <c r="J45" s="1"/>
      <c r="K45" s="1">
        <v>191.7</v>
      </c>
      <c r="L45" s="1">
        <f t="shared" si="11"/>
        <v>-27.664999999999992</v>
      </c>
      <c r="M45" s="1"/>
      <c r="N45" s="1"/>
      <c r="O45" s="1">
        <v>0</v>
      </c>
      <c r="P45" s="1">
        <v>0</v>
      </c>
      <c r="Q45" s="1">
        <f t="shared" si="12"/>
        <v>32.807000000000002</v>
      </c>
      <c r="R45" s="5"/>
      <c r="S45" s="5">
        <f t="shared" si="5"/>
        <v>0</v>
      </c>
      <c r="T45" s="17"/>
      <c r="U45" s="1">
        <f t="shared" si="6"/>
        <v>20.833572103514491</v>
      </c>
      <c r="V45" s="1">
        <f t="shared" si="13"/>
        <v>20.833572103514491</v>
      </c>
      <c r="W45" s="1">
        <v>36.681600000000003</v>
      </c>
      <c r="X45" s="1">
        <v>46.652000000000001</v>
      </c>
      <c r="Y45" s="1">
        <v>53.252200000000002</v>
      </c>
      <c r="Z45" s="1">
        <v>15.216799999999999</v>
      </c>
      <c r="AA45" s="1">
        <v>15.7242</v>
      </c>
      <c r="AB45" s="1">
        <v>31.8386</v>
      </c>
      <c r="AC45" s="1">
        <v>20.409600000000001</v>
      </c>
      <c r="AD45" s="1">
        <v>20.263400000000001</v>
      </c>
      <c r="AE45" s="1">
        <v>15.980399999999999</v>
      </c>
      <c r="AF45" s="1">
        <v>16.8432</v>
      </c>
      <c r="AG45" s="12" t="s">
        <v>57</v>
      </c>
      <c r="AH45" s="1">
        <f t="shared" si="7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93</v>
      </c>
      <c r="B46" s="1" t="s">
        <v>36</v>
      </c>
      <c r="C46" s="1">
        <v>118.83</v>
      </c>
      <c r="D46" s="1">
        <v>48.860999999999997</v>
      </c>
      <c r="E46" s="1">
        <v>78.247</v>
      </c>
      <c r="F46" s="1">
        <v>45.039000000000001</v>
      </c>
      <c r="G46" s="7">
        <v>1</v>
      </c>
      <c r="H46" s="1">
        <v>45</v>
      </c>
      <c r="I46" s="1" t="s">
        <v>41</v>
      </c>
      <c r="J46" s="1"/>
      <c r="K46" s="1">
        <v>89.382000000000005</v>
      </c>
      <c r="L46" s="1">
        <f t="shared" si="11"/>
        <v>-11.135000000000005</v>
      </c>
      <c r="M46" s="1"/>
      <c r="N46" s="1"/>
      <c r="O46" s="1">
        <v>68</v>
      </c>
      <c r="P46" s="1">
        <v>19</v>
      </c>
      <c r="Q46" s="1">
        <f t="shared" si="12"/>
        <v>15.6494</v>
      </c>
      <c r="R46" s="5">
        <f t="shared" si="14"/>
        <v>102.70199999999998</v>
      </c>
      <c r="S46" s="5">
        <f t="shared" si="5"/>
        <v>103</v>
      </c>
      <c r="T46" s="17"/>
      <c r="U46" s="1">
        <f t="shared" si="6"/>
        <v>15.019042263601159</v>
      </c>
      <c r="V46" s="1">
        <f t="shared" si="13"/>
        <v>8.437320280649736</v>
      </c>
      <c r="W46" s="1">
        <v>12.670999999999999</v>
      </c>
      <c r="X46" s="1">
        <v>16.613800000000001</v>
      </c>
      <c r="Y46" s="1">
        <v>17.702400000000001</v>
      </c>
      <c r="Z46" s="1">
        <v>10.339600000000001</v>
      </c>
      <c r="AA46" s="1">
        <v>13.245200000000001</v>
      </c>
      <c r="AB46" s="1">
        <v>13.090400000000001</v>
      </c>
      <c r="AC46" s="1">
        <v>11.298400000000001</v>
      </c>
      <c r="AD46" s="1">
        <v>4.6558000000000002</v>
      </c>
      <c r="AE46" s="1">
        <v>13.087199999999999</v>
      </c>
      <c r="AF46" s="1">
        <v>12.334199999999999</v>
      </c>
      <c r="AG46" s="1"/>
      <c r="AH46" s="1">
        <f t="shared" si="7"/>
        <v>103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94</v>
      </c>
      <c r="B47" s="1" t="s">
        <v>36</v>
      </c>
      <c r="C47" s="1">
        <v>139.417</v>
      </c>
      <c r="D47" s="1">
        <v>42.295999999999999</v>
      </c>
      <c r="E47" s="1">
        <v>60.387999999999998</v>
      </c>
      <c r="F47" s="1">
        <v>85.631</v>
      </c>
      <c r="G47" s="7">
        <v>1</v>
      </c>
      <c r="H47" s="1">
        <v>45</v>
      </c>
      <c r="I47" s="1" t="s">
        <v>41</v>
      </c>
      <c r="J47" s="1"/>
      <c r="K47" s="1">
        <v>76.2</v>
      </c>
      <c r="L47" s="1">
        <f t="shared" si="11"/>
        <v>-15.812000000000005</v>
      </c>
      <c r="M47" s="1"/>
      <c r="N47" s="1"/>
      <c r="O47" s="1">
        <v>86</v>
      </c>
      <c r="P47" s="1">
        <v>0</v>
      </c>
      <c r="Q47" s="1">
        <f t="shared" si="12"/>
        <v>12.0776</v>
      </c>
      <c r="R47" s="5">
        <f t="shared" si="14"/>
        <v>9.5330000000000155</v>
      </c>
      <c r="S47" s="5">
        <f t="shared" si="5"/>
        <v>10</v>
      </c>
      <c r="T47" s="17"/>
      <c r="U47" s="1">
        <f t="shared" si="6"/>
        <v>15.038666622507783</v>
      </c>
      <c r="V47" s="1">
        <f t="shared" si="13"/>
        <v>14.210687553818639</v>
      </c>
      <c r="W47" s="1">
        <v>13.896599999999999</v>
      </c>
      <c r="X47" s="1">
        <v>19.759399999999999</v>
      </c>
      <c r="Y47" s="1">
        <v>14.8596</v>
      </c>
      <c r="Z47" s="1">
        <v>11.2278</v>
      </c>
      <c r="AA47" s="1">
        <v>8.8872</v>
      </c>
      <c r="AB47" s="1">
        <v>4.9942000000000002</v>
      </c>
      <c r="AC47" s="1">
        <v>14.587400000000001</v>
      </c>
      <c r="AD47" s="1">
        <v>10.8218</v>
      </c>
      <c r="AE47" s="1">
        <v>7.1630000000000003</v>
      </c>
      <c r="AF47" s="1">
        <v>9.2463999999999995</v>
      </c>
      <c r="AG47" s="1"/>
      <c r="AH47" s="1">
        <f t="shared" si="7"/>
        <v>10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95</v>
      </c>
      <c r="B48" s="1" t="s">
        <v>36</v>
      </c>
      <c r="C48" s="1">
        <v>189.72399999999999</v>
      </c>
      <c r="D48" s="1">
        <v>38.381</v>
      </c>
      <c r="E48" s="1">
        <v>54.466000000000001</v>
      </c>
      <c r="F48" s="1">
        <v>128.666</v>
      </c>
      <c r="G48" s="7">
        <v>1</v>
      </c>
      <c r="H48" s="1">
        <v>45</v>
      </c>
      <c r="I48" s="1" t="s">
        <v>41</v>
      </c>
      <c r="J48" s="1"/>
      <c r="K48" s="1">
        <v>61</v>
      </c>
      <c r="L48" s="1">
        <f t="shared" si="11"/>
        <v>-6.5339999999999989</v>
      </c>
      <c r="M48" s="1"/>
      <c r="N48" s="1"/>
      <c r="O48" s="1">
        <v>0</v>
      </c>
      <c r="P48" s="1">
        <v>0</v>
      </c>
      <c r="Q48" s="1">
        <f t="shared" si="12"/>
        <v>10.8932</v>
      </c>
      <c r="R48" s="5">
        <f t="shared" si="14"/>
        <v>34.731999999999999</v>
      </c>
      <c r="S48" s="5">
        <f t="shared" si="5"/>
        <v>35</v>
      </c>
      <c r="T48" s="17"/>
      <c r="U48" s="1">
        <f t="shared" si="6"/>
        <v>15.024602504314618</v>
      </c>
      <c r="V48" s="1">
        <f t="shared" si="13"/>
        <v>11.811588881136856</v>
      </c>
      <c r="W48" s="1">
        <v>5.9122000000000003</v>
      </c>
      <c r="X48" s="1">
        <v>11.0404</v>
      </c>
      <c r="Y48" s="1">
        <v>17.397600000000001</v>
      </c>
      <c r="Z48" s="1">
        <v>6.0191999999999997</v>
      </c>
      <c r="AA48" s="1">
        <v>11.008599999999999</v>
      </c>
      <c r="AB48" s="1">
        <v>8.0839999999999996</v>
      </c>
      <c r="AC48" s="1">
        <v>12.8954</v>
      </c>
      <c r="AD48" s="1">
        <v>8.7932000000000006</v>
      </c>
      <c r="AE48" s="1">
        <v>8.6042000000000005</v>
      </c>
      <c r="AF48" s="1">
        <v>11.228199999999999</v>
      </c>
      <c r="AG48" s="1"/>
      <c r="AH48" s="1">
        <f t="shared" si="7"/>
        <v>35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96</v>
      </c>
      <c r="B49" s="1" t="s">
        <v>40</v>
      </c>
      <c r="C49" s="1">
        <v>188</v>
      </c>
      <c r="D49" s="1">
        <v>27</v>
      </c>
      <c r="E49" s="1">
        <v>179</v>
      </c>
      <c r="F49" s="1">
        <v>4</v>
      </c>
      <c r="G49" s="7">
        <v>0.3</v>
      </c>
      <c r="H49" s="1">
        <v>45</v>
      </c>
      <c r="I49" s="1" t="s">
        <v>41</v>
      </c>
      <c r="J49" s="1"/>
      <c r="K49" s="1">
        <v>324</v>
      </c>
      <c r="L49" s="1">
        <f t="shared" si="11"/>
        <v>-145</v>
      </c>
      <c r="M49" s="1"/>
      <c r="N49" s="1"/>
      <c r="O49" s="1">
        <v>490</v>
      </c>
      <c r="P49" s="1">
        <v>231</v>
      </c>
      <c r="Q49" s="1">
        <f t="shared" si="12"/>
        <v>35.799999999999997</v>
      </c>
      <c r="R49" s="5"/>
      <c r="S49" s="5">
        <f t="shared" si="5"/>
        <v>0</v>
      </c>
      <c r="T49" s="17"/>
      <c r="U49" s="1">
        <f t="shared" si="6"/>
        <v>20.251396648044693</v>
      </c>
      <c r="V49" s="1">
        <f t="shared" si="13"/>
        <v>20.251396648044693</v>
      </c>
      <c r="W49" s="1">
        <v>58.4</v>
      </c>
      <c r="X49" s="1">
        <v>64.8</v>
      </c>
      <c r="Y49" s="1">
        <v>52.8</v>
      </c>
      <c r="Z49" s="1">
        <v>58.8</v>
      </c>
      <c r="AA49" s="1">
        <v>86.4</v>
      </c>
      <c r="AB49" s="1">
        <v>56.2</v>
      </c>
      <c r="AC49" s="1">
        <v>68.400000000000006</v>
      </c>
      <c r="AD49" s="1">
        <v>71.2</v>
      </c>
      <c r="AE49" s="1">
        <v>74.400000000000006</v>
      </c>
      <c r="AF49" s="1">
        <v>63.6</v>
      </c>
      <c r="AG49" s="1"/>
      <c r="AH49" s="1">
        <f t="shared" si="7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9" t="s">
        <v>97</v>
      </c>
      <c r="B50" s="9" t="s">
        <v>36</v>
      </c>
      <c r="C50" s="9"/>
      <c r="D50" s="9"/>
      <c r="E50" s="9"/>
      <c r="F50" s="9"/>
      <c r="G50" s="10">
        <v>0</v>
      </c>
      <c r="H50" s="9"/>
      <c r="I50" s="9" t="s">
        <v>41</v>
      </c>
      <c r="J50" s="9"/>
      <c r="K50" s="9"/>
      <c r="L50" s="9">
        <f t="shared" si="11"/>
        <v>0</v>
      </c>
      <c r="M50" s="9"/>
      <c r="N50" s="9"/>
      <c r="O50" s="9">
        <v>0</v>
      </c>
      <c r="P50" s="9">
        <v>0</v>
      </c>
      <c r="Q50" s="9">
        <f t="shared" si="12"/>
        <v>0</v>
      </c>
      <c r="R50" s="11"/>
      <c r="S50" s="5">
        <f t="shared" si="5"/>
        <v>0</v>
      </c>
      <c r="T50" s="16"/>
      <c r="U50" s="1" t="e">
        <f t="shared" si="6"/>
        <v>#DIV/0!</v>
      </c>
      <c r="V50" s="9" t="e">
        <f t="shared" si="13"/>
        <v>#DIV/0!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 t="s">
        <v>98</v>
      </c>
      <c r="AH50" s="1">
        <f t="shared" si="7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99</v>
      </c>
      <c r="B51" s="1" t="s">
        <v>36</v>
      </c>
      <c r="C51" s="1">
        <v>59.218000000000004</v>
      </c>
      <c r="D51" s="1">
        <v>61.686</v>
      </c>
      <c r="E51" s="1">
        <v>21.702999999999999</v>
      </c>
      <c r="F51" s="1">
        <v>33.85</v>
      </c>
      <c r="G51" s="7">
        <v>1</v>
      </c>
      <c r="H51" s="1">
        <v>45</v>
      </c>
      <c r="I51" s="1" t="s">
        <v>41</v>
      </c>
      <c r="J51" s="1"/>
      <c r="K51" s="1">
        <v>45.5</v>
      </c>
      <c r="L51" s="1">
        <f t="shared" si="11"/>
        <v>-23.797000000000001</v>
      </c>
      <c r="M51" s="1"/>
      <c r="N51" s="1"/>
      <c r="O51" s="1">
        <v>0</v>
      </c>
      <c r="P51" s="1">
        <v>151</v>
      </c>
      <c r="Q51" s="1">
        <f t="shared" si="12"/>
        <v>4.3406000000000002</v>
      </c>
      <c r="R51" s="5"/>
      <c r="S51" s="5">
        <f t="shared" si="5"/>
        <v>0</v>
      </c>
      <c r="T51" s="17"/>
      <c r="U51" s="1">
        <f t="shared" si="6"/>
        <v>42.586278394691973</v>
      </c>
      <c r="V51" s="1">
        <f t="shared" si="13"/>
        <v>42.586278394691973</v>
      </c>
      <c r="W51" s="1">
        <v>15.939</v>
      </c>
      <c r="X51" s="1">
        <v>6.1928000000000001</v>
      </c>
      <c r="Y51" s="1">
        <v>6.7195999999999998</v>
      </c>
      <c r="Z51" s="1">
        <v>2.1467999999999998</v>
      </c>
      <c r="AA51" s="1">
        <v>2.1526000000000001</v>
      </c>
      <c r="AB51" s="1">
        <v>2.4722</v>
      </c>
      <c r="AC51" s="1">
        <v>1.8528</v>
      </c>
      <c r="AD51" s="1">
        <v>4.0805999999999996</v>
      </c>
      <c r="AE51" s="1">
        <v>3.7909999999999999</v>
      </c>
      <c r="AF51" s="1">
        <v>1.5278</v>
      </c>
      <c r="AG51" s="1"/>
      <c r="AH51" s="1">
        <f t="shared" si="7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100</v>
      </c>
      <c r="B52" s="1" t="s">
        <v>40</v>
      </c>
      <c r="C52" s="1">
        <v>1066</v>
      </c>
      <c r="D52" s="1">
        <v>508</v>
      </c>
      <c r="E52" s="1">
        <v>547</v>
      </c>
      <c r="F52" s="1">
        <v>493</v>
      </c>
      <c r="G52" s="7">
        <v>0.35</v>
      </c>
      <c r="H52" s="1">
        <v>45</v>
      </c>
      <c r="I52" s="1" t="s">
        <v>41</v>
      </c>
      <c r="J52" s="1"/>
      <c r="K52" s="1">
        <v>679</v>
      </c>
      <c r="L52" s="1">
        <f t="shared" si="11"/>
        <v>-132</v>
      </c>
      <c r="M52" s="1"/>
      <c r="N52" s="1"/>
      <c r="O52" s="1">
        <v>600</v>
      </c>
      <c r="P52" s="1">
        <v>0</v>
      </c>
      <c r="Q52" s="1">
        <f t="shared" si="12"/>
        <v>109.4</v>
      </c>
      <c r="R52" s="5">
        <f t="shared" ref="R52:R54" si="15">15*Q52-P52-O52-F52</f>
        <v>548</v>
      </c>
      <c r="S52" s="5">
        <f t="shared" si="5"/>
        <v>548</v>
      </c>
      <c r="T52" s="17"/>
      <c r="U52" s="1">
        <f t="shared" si="6"/>
        <v>15</v>
      </c>
      <c r="V52" s="1">
        <f t="shared" si="13"/>
        <v>9.9908592321755023</v>
      </c>
      <c r="W52" s="1">
        <v>94.4</v>
      </c>
      <c r="X52" s="1">
        <v>139</v>
      </c>
      <c r="Y52" s="1">
        <v>135.4</v>
      </c>
      <c r="Z52" s="1">
        <v>91.2</v>
      </c>
      <c r="AA52" s="1">
        <v>124.2</v>
      </c>
      <c r="AB52" s="1">
        <v>106.4</v>
      </c>
      <c r="AC52" s="1">
        <v>105.4</v>
      </c>
      <c r="AD52" s="1">
        <v>105</v>
      </c>
      <c r="AE52" s="1">
        <v>115.8</v>
      </c>
      <c r="AF52" s="1">
        <v>93.8</v>
      </c>
      <c r="AG52" s="1"/>
      <c r="AH52" s="1">
        <f t="shared" si="7"/>
        <v>191.79999999999998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101</v>
      </c>
      <c r="B53" s="1" t="s">
        <v>40</v>
      </c>
      <c r="C53" s="1">
        <v>798</v>
      </c>
      <c r="D53" s="1">
        <v>105</v>
      </c>
      <c r="E53" s="1">
        <v>195</v>
      </c>
      <c r="F53" s="1">
        <v>563</v>
      </c>
      <c r="G53" s="7">
        <v>0.41</v>
      </c>
      <c r="H53" s="1">
        <v>45</v>
      </c>
      <c r="I53" s="1" t="s">
        <v>41</v>
      </c>
      <c r="J53" s="1"/>
      <c r="K53" s="1">
        <v>354</v>
      </c>
      <c r="L53" s="1">
        <f t="shared" si="11"/>
        <v>-159</v>
      </c>
      <c r="M53" s="1"/>
      <c r="N53" s="1"/>
      <c r="O53" s="1">
        <v>0</v>
      </c>
      <c r="P53" s="1">
        <v>0</v>
      </c>
      <c r="Q53" s="1">
        <f t="shared" si="12"/>
        <v>39</v>
      </c>
      <c r="R53" s="5">
        <f t="shared" si="15"/>
        <v>22</v>
      </c>
      <c r="S53" s="5">
        <f t="shared" si="5"/>
        <v>22</v>
      </c>
      <c r="T53" s="17"/>
      <c r="U53" s="1">
        <f t="shared" si="6"/>
        <v>15</v>
      </c>
      <c r="V53" s="1">
        <f t="shared" si="13"/>
        <v>14.435897435897436</v>
      </c>
      <c r="W53" s="1">
        <v>41</v>
      </c>
      <c r="X53" s="1">
        <v>31</v>
      </c>
      <c r="Y53" s="1">
        <v>61.6</v>
      </c>
      <c r="Z53" s="1">
        <v>47</v>
      </c>
      <c r="AA53" s="1">
        <v>55.4</v>
      </c>
      <c r="AB53" s="1">
        <v>47.6</v>
      </c>
      <c r="AC53" s="1">
        <v>73.2</v>
      </c>
      <c r="AD53" s="1">
        <v>41.4</v>
      </c>
      <c r="AE53" s="1">
        <v>61.8</v>
      </c>
      <c r="AF53" s="1">
        <v>60.2</v>
      </c>
      <c r="AG53" s="1"/>
      <c r="AH53" s="1">
        <f t="shared" si="7"/>
        <v>9.02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102</v>
      </c>
      <c r="B54" s="1" t="s">
        <v>40</v>
      </c>
      <c r="C54" s="1">
        <v>293</v>
      </c>
      <c r="D54" s="1">
        <v>87</v>
      </c>
      <c r="E54" s="1">
        <v>178</v>
      </c>
      <c r="F54" s="1">
        <v>121</v>
      </c>
      <c r="G54" s="7">
        <v>0.41</v>
      </c>
      <c r="H54" s="1">
        <v>45</v>
      </c>
      <c r="I54" s="1" t="s">
        <v>41</v>
      </c>
      <c r="J54" s="1"/>
      <c r="K54" s="1">
        <v>306</v>
      </c>
      <c r="L54" s="1">
        <f t="shared" si="11"/>
        <v>-128</v>
      </c>
      <c r="M54" s="1"/>
      <c r="N54" s="1"/>
      <c r="O54" s="1">
        <v>57</v>
      </c>
      <c r="P54" s="1">
        <v>0</v>
      </c>
      <c r="Q54" s="1">
        <f t="shared" si="12"/>
        <v>35.6</v>
      </c>
      <c r="R54" s="5">
        <f t="shared" si="15"/>
        <v>356</v>
      </c>
      <c r="S54" s="5">
        <f t="shared" si="5"/>
        <v>356</v>
      </c>
      <c r="T54" s="17"/>
      <c r="U54" s="1">
        <f t="shared" si="6"/>
        <v>15</v>
      </c>
      <c r="V54" s="1">
        <f t="shared" si="13"/>
        <v>5</v>
      </c>
      <c r="W54" s="1">
        <v>12.4</v>
      </c>
      <c r="X54" s="1">
        <v>28</v>
      </c>
      <c r="Y54" s="1">
        <v>35</v>
      </c>
      <c r="Z54" s="1">
        <v>20.2</v>
      </c>
      <c r="AA54" s="1">
        <v>21.2</v>
      </c>
      <c r="AB54" s="1">
        <v>21.2</v>
      </c>
      <c r="AC54" s="1">
        <v>22.8</v>
      </c>
      <c r="AD54" s="1">
        <v>28.6</v>
      </c>
      <c r="AE54" s="1">
        <v>24</v>
      </c>
      <c r="AF54" s="1">
        <v>27.8</v>
      </c>
      <c r="AG54" s="1"/>
      <c r="AH54" s="1">
        <f t="shared" si="7"/>
        <v>145.95999999999998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9" t="s">
        <v>103</v>
      </c>
      <c r="B55" s="9" t="s">
        <v>36</v>
      </c>
      <c r="C55" s="9">
        <v>16.449000000000002</v>
      </c>
      <c r="D55" s="9"/>
      <c r="E55" s="9"/>
      <c r="F55" s="9">
        <v>16.449000000000002</v>
      </c>
      <c r="G55" s="10">
        <v>0</v>
      </c>
      <c r="H55" s="9">
        <v>30</v>
      </c>
      <c r="I55" s="9" t="s">
        <v>37</v>
      </c>
      <c r="J55" s="9"/>
      <c r="K55" s="9"/>
      <c r="L55" s="9">
        <f t="shared" si="11"/>
        <v>0</v>
      </c>
      <c r="M55" s="9"/>
      <c r="N55" s="9"/>
      <c r="O55" s="9">
        <v>0</v>
      </c>
      <c r="P55" s="9">
        <v>0</v>
      </c>
      <c r="Q55" s="9">
        <f t="shared" si="12"/>
        <v>0</v>
      </c>
      <c r="R55" s="11"/>
      <c r="S55" s="5">
        <f t="shared" si="5"/>
        <v>0</v>
      </c>
      <c r="T55" s="16"/>
      <c r="U55" s="1" t="e">
        <f t="shared" si="6"/>
        <v>#DIV/0!</v>
      </c>
      <c r="V55" s="9" t="e">
        <f t="shared" si="13"/>
        <v>#DIV/0!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12" t="s">
        <v>57</v>
      </c>
      <c r="AH55" s="1">
        <f t="shared" si="7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104</v>
      </c>
      <c r="B56" s="1" t="s">
        <v>40</v>
      </c>
      <c r="C56" s="1">
        <v>35</v>
      </c>
      <c r="D56" s="1">
        <v>2</v>
      </c>
      <c r="E56" s="1"/>
      <c r="F56" s="1"/>
      <c r="G56" s="7">
        <v>0.36</v>
      </c>
      <c r="H56" s="1">
        <v>45</v>
      </c>
      <c r="I56" s="1" t="s">
        <v>41</v>
      </c>
      <c r="J56" s="1"/>
      <c r="K56" s="1">
        <v>60</v>
      </c>
      <c r="L56" s="1">
        <f t="shared" si="11"/>
        <v>-60</v>
      </c>
      <c r="M56" s="1"/>
      <c r="N56" s="1"/>
      <c r="O56" s="1">
        <v>0</v>
      </c>
      <c r="P56" s="1">
        <v>0</v>
      </c>
      <c r="Q56" s="1">
        <f t="shared" si="12"/>
        <v>0</v>
      </c>
      <c r="R56" s="5">
        <v>36</v>
      </c>
      <c r="S56" s="5">
        <f t="shared" si="5"/>
        <v>36</v>
      </c>
      <c r="T56" s="17"/>
      <c r="U56" s="1" t="e">
        <f t="shared" si="6"/>
        <v>#DIV/0!</v>
      </c>
      <c r="V56" s="1" t="e">
        <f t="shared" si="13"/>
        <v>#DIV/0!</v>
      </c>
      <c r="W56" s="1">
        <v>-0.4</v>
      </c>
      <c r="X56" s="1">
        <v>0</v>
      </c>
      <c r="Y56" s="1">
        <v>-0.8</v>
      </c>
      <c r="Z56" s="1">
        <v>-1.4</v>
      </c>
      <c r="AA56" s="1">
        <v>-0.6</v>
      </c>
      <c r="AB56" s="1">
        <v>-1</v>
      </c>
      <c r="AC56" s="1">
        <v>-0.6</v>
      </c>
      <c r="AD56" s="1">
        <v>-2.4</v>
      </c>
      <c r="AE56" s="1">
        <v>5.2</v>
      </c>
      <c r="AF56" s="1">
        <v>4.2</v>
      </c>
      <c r="AG56" s="1"/>
      <c r="AH56" s="1">
        <f t="shared" si="7"/>
        <v>12.959999999999999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9" t="s">
        <v>105</v>
      </c>
      <c r="B57" s="9" t="s">
        <v>36</v>
      </c>
      <c r="C57" s="9">
        <v>41.893000000000001</v>
      </c>
      <c r="D57" s="9">
        <v>1.2270000000000001</v>
      </c>
      <c r="E57" s="9"/>
      <c r="F57" s="9">
        <v>43.12</v>
      </c>
      <c r="G57" s="10">
        <v>0</v>
      </c>
      <c r="H57" s="9">
        <v>45</v>
      </c>
      <c r="I57" s="9" t="s">
        <v>37</v>
      </c>
      <c r="J57" s="9"/>
      <c r="K57" s="9"/>
      <c r="L57" s="9">
        <f t="shared" si="11"/>
        <v>0</v>
      </c>
      <c r="M57" s="9"/>
      <c r="N57" s="9"/>
      <c r="O57" s="9">
        <v>0</v>
      </c>
      <c r="P57" s="9">
        <v>0</v>
      </c>
      <c r="Q57" s="9">
        <f t="shared" si="12"/>
        <v>0</v>
      </c>
      <c r="R57" s="11"/>
      <c r="S57" s="5">
        <f t="shared" si="5"/>
        <v>0</v>
      </c>
      <c r="T57" s="16"/>
      <c r="U57" s="1" t="e">
        <f t="shared" si="6"/>
        <v>#DIV/0!</v>
      </c>
      <c r="V57" s="9" t="e">
        <f t="shared" si="13"/>
        <v>#DIV/0!</v>
      </c>
      <c r="W57" s="9">
        <v>0</v>
      </c>
      <c r="X57" s="9">
        <v>0.21740000000000001</v>
      </c>
      <c r="Y57" s="9">
        <v>0.64660000000000006</v>
      </c>
      <c r="Z57" s="9">
        <v>0.2152</v>
      </c>
      <c r="AA57" s="9">
        <v>0.21940000000000001</v>
      </c>
      <c r="AB57" s="9">
        <v>0</v>
      </c>
      <c r="AC57" s="9">
        <v>0.21940000000000001</v>
      </c>
      <c r="AD57" s="9">
        <v>1.0768</v>
      </c>
      <c r="AE57" s="9">
        <v>0.21679999999999999</v>
      </c>
      <c r="AF57" s="9">
        <v>0</v>
      </c>
      <c r="AG57" s="12" t="s">
        <v>57</v>
      </c>
      <c r="AH57" s="1">
        <f t="shared" si="7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106</v>
      </c>
      <c r="B58" s="1" t="s">
        <v>40</v>
      </c>
      <c r="C58" s="1">
        <v>153</v>
      </c>
      <c r="D58" s="1">
        <v>8</v>
      </c>
      <c r="E58" s="1">
        <v>64</v>
      </c>
      <c r="F58" s="1">
        <v>81</v>
      </c>
      <c r="G58" s="7">
        <v>0.33</v>
      </c>
      <c r="H58" s="1">
        <v>45</v>
      </c>
      <c r="I58" s="1" t="s">
        <v>41</v>
      </c>
      <c r="J58" s="1"/>
      <c r="K58" s="1">
        <v>124</v>
      </c>
      <c r="L58" s="1">
        <f t="shared" si="11"/>
        <v>-60</v>
      </c>
      <c r="M58" s="1"/>
      <c r="N58" s="1"/>
      <c r="O58" s="1">
        <v>8</v>
      </c>
      <c r="P58" s="1">
        <v>0</v>
      </c>
      <c r="Q58" s="1">
        <f t="shared" si="12"/>
        <v>12.8</v>
      </c>
      <c r="R58" s="5">
        <f t="shared" ref="R58:R61" si="16">15*Q58-P58-O58-F58</f>
        <v>103</v>
      </c>
      <c r="S58" s="5">
        <f t="shared" si="5"/>
        <v>103</v>
      </c>
      <c r="T58" s="17"/>
      <c r="U58" s="1">
        <f t="shared" si="6"/>
        <v>15</v>
      </c>
      <c r="V58" s="1">
        <f t="shared" si="13"/>
        <v>6.953125</v>
      </c>
      <c r="W58" s="1">
        <v>2.2000000000000002</v>
      </c>
      <c r="X58" s="1">
        <v>11.4</v>
      </c>
      <c r="Y58" s="1">
        <v>17</v>
      </c>
      <c r="Z58" s="1">
        <v>0</v>
      </c>
      <c r="AA58" s="1">
        <v>15.8</v>
      </c>
      <c r="AB58" s="1">
        <v>7.8</v>
      </c>
      <c r="AC58" s="1">
        <v>4.2</v>
      </c>
      <c r="AD58" s="1">
        <v>11.8</v>
      </c>
      <c r="AE58" s="1">
        <v>12.6</v>
      </c>
      <c r="AF58" s="1">
        <v>6</v>
      </c>
      <c r="AG58" s="1" t="s">
        <v>107</v>
      </c>
      <c r="AH58" s="1">
        <f t="shared" si="7"/>
        <v>33.99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108</v>
      </c>
      <c r="B59" s="1" t="s">
        <v>40</v>
      </c>
      <c r="C59" s="1">
        <v>461</v>
      </c>
      <c r="D59" s="1">
        <v>37</v>
      </c>
      <c r="E59" s="1">
        <v>135</v>
      </c>
      <c r="F59" s="1">
        <v>320</v>
      </c>
      <c r="G59" s="7">
        <v>0.4</v>
      </c>
      <c r="H59" s="1">
        <v>60</v>
      </c>
      <c r="I59" s="1" t="s">
        <v>41</v>
      </c>
      <c r="J59" s="1"/>
      <c r="K59" s="1">
        <v>156</v>
      </c>
      <c r="L59" s="1">
        <f t="shared" si="11"/>
        <v>-21</v>
      </c>
      <c r="M59" s="1"/>
      <c r="N59" s="1"/>
      <c r="O59" s="1">
        <v>0</v>
      </c>
      <c r="P59" s="1">
        <v>0</v>
      </c>
      <c r="Q59" s="1">
        <f t="shared" si="12"/>
        <v>27</v>
      </c>
      <c r="R59" s="5">
        <f t="shared" si="16"/>
        <v>85</v>
      </c>
      <c r="S59" s="5">
        <f t="shared" si="5"/>
        <v>85</v>
      </c>
      <c r="T59" s="17"/>
      <c r="U59" s="1">
        <f t="shared" si="6"/>
        <v>15</v>
      </c>
      <c r="V59" s="1">
        <f t="shared" si="13"/>
        <v>11.851851851851851</v>
      </c>
      <c r="W59" s="1">
        <v>20.8</v>
      </c>
      <c r="X59" s="1">
        <v>30.2</v>
      </c>
      <c r="Y59" s="1">
        <v>34.6</v>
      </c>
      <c r="Z59" s="1">
        <v>33.799999999999997</v>
      </c>
      <c r="AA59" s="1">
        <v>24.2</v>
      </c>
      <c r="AB59" s="1">
        <v>14.6</v>
      </c>
      <c r="AC59" s="1">
        <v>28</v>
      </c>
      <c r="AD59" s="1">
        <v>41.8</v>
      </c>
      <c r="AE59" s="1">
        <v>2.8</v>
      </c>
      <c r="AF59" s="1">
        <v>0</v>
      </c>
      <c r="AG59" s="1"/>
      <c r="AH59" s="1">
        <f t="shared" si="7"/>
        <v>34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109</v>
      </c>
      <c r="B60" s="1" t="s">
        <v>40</v>
      </c>
      <c r="C60" s="1">
        <v>28</v>
      </c>
      <c r="D60" s="1"/>
      <c r="E60" s="1"/>
      <c r="F60" s="1">
        <v>28</v>
      </c>
      <c r="G60" s="7">
        <v>0.33</v>
      </c>
      <c r="H60" s="1">
        <v>45</v>
      </c>
      <c r="I60" s="1" t="s">
        <v>41</v>
      </c>
      <c r="J60" s="1"/>
      <c r="K60" s="1">
        <v>24</v>
      </c>
      <c r="L60" s="1">
        <f t="shared" si="11"/>
        <v>-24</v>
      </c>
      <c r="M60" s="1"/>
      <c r="N60" s="1"/>
      <c r="O60" s="1">
        <v>0</v>
      </c>
      <c r="P60" s="1">
        <v>0</v>
      </c>
      <c r="Q60" s="1">
        <f t="shared" si="12"/>
        <v>0</v>
      </c>
      <c r="R60" s="5"/>
      <c r="S60" s="5">
        <f t="shared" si="5"/>
        <v>0</v>
      </c>
      <c r="T60" s="17"/>
      <c r="U60" s="1" t="e">
        <f t="shared" si="6"/>
        <v>#DIV/0!</v>
      </c>
      <c r="V60" s="1" t="e">
        <f t="shared" si="13"/>
        <v>#DIV/0!</v>
      </c>
      <c r="W60" s="1">
        <v>0.8</v>
      </c>
      <c r="X60" s="1">
        <v>1.4</v>
      </c>
      <c r="Y60" s="1">
        <v>3.2</v>
      </c>
      <c r="Z60" s="1">
        <v>2.6</v>
      </c>
      <c r="AA60" s="1">
        <v>0.8</v>
      </c>
      <c r="AB60" s="1">
        <v>2.6</v>
      </c>
      <c r="AC60" s="1">
        <v>2</v>
      </c>
      <c r="AD60" s="1">
        <v>3</v>
      </c>
      <c r="AE60" s="1">
        <v>9.8000000000000007</v>
      </c>
      <c r="AF60" s="1">
        <v>9.8000000000000007</v>
      </c>
      <c r="AG60" s="12" t="s">
        <v>57</v>
      </c>
      <c r="AH60" s="1">
        <f t="shared" si="7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110</v>
      </c>
      <c r="B61" s="1" t="s">
        <v>36</v>
      </c>
      <c r="C61" s="1">
        <v>465.38</v>
      </c>
      <c r="D61" s="1">
        <v>109.623</v>
      </c>
      <c r="E61" s="1">
        <v>270.38499999999999</v>
      </c>
      <c r="F61" s="1">
        <v>206.642</v>
      </c>
      <c r="G61" s="7">
        <v>1</v>
      </c>
      <c r="H61" s="1">
        <v>45</v>
      </c>
      <c r="I61" s="1" t="s">
        <v>41</v>
      </c>
      <c r="J61" s="1"/>
      <c r="K61" s="1">
        <v>275.37599999999998</v>
      </c>
      <c r="L61" s="1">
        <f t="shared" si="11"/>
        <v>-4.9909999999999854</v>
      </c>
      <c r="M61" s="1"/>
      <c r="N61" s="1"/>
      <c r="O61" s="1">
        <v>406</v>
      </c>
      <c r="P61" s="1">
        <v>0</v>
      </c>
      <c r="Q61" s="1">
        <f t="shared" si="12"/>
        <v>54.076999999999998</v>
      </c>
      <c r="R61" s="5">
        <f t="shared" si="16"/>
        <v>198.51299999999998</v>
      </c>
      <c r="S61" s="5">
        <f t="shared" si="5"/>
        <v>199</v>
      </c>
      <c r="T61" s="17"/>
      <c r="U61" s="1">
        <f t="shared" si="6"/>
        <v>15.009005677090077</v>
      </c>
      <c r="V61" s="1">
        <f t="shared" si="13"/>
        <v>11.329067810714353</v>
      </c>
      <c r="W61" s="1">
        <v>13.7126</v>
      </c>
      <c r="X61" s="1">
        <v>63.340599999999988</v>
      </c>
      <c r="Y61" s="1">
        <v>57.431199999999997</v>
      </c>
      <c r="Z61" s="1">
        <v>38.247</v>
      </c>
      <c r="AA61" s="1">
        <v>48.421199999999999</v>
      </c>
      <c r="AB61" s="1">
        <v>35.937800000000003</v>
      </c>
      <c r="AC61" s="1">
        <v>37.403599999999997</v>
      </c>
      <c r="AD61" s="1">
        <v>36.323599999999999</v>
      </c>
      <c r="AE61" s="1">
        <v>40.341200000000001</v>
      </c>
      <c r="AF61" s="1">
        <v>31.178799999999999</v>
      </c>
      <c r="AG61" s="1"/>
      <c r="AH61" s="1">
        <f t="shared" si="7"/>
        <v>199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111</v>
      </c>
      <c r="B62" s="1" t="s">
        <v>40</v>
      </c>
      <c r="C62" s="1">
        <v>114</v>
      </c>
      <c r="D62" s="1"/>
      <c r="E62" s="1">
        <v>-2</v>
      </c>
      <c r="F62" s="1">
        <v>114</v>
      </c>
      <c r="G62" s="7">
        <v>0.4</v>
      </c>
      <c r="H62" s="1">
        <v>45</v>
      </c>
      <c r="I62" s="1" t="s">
        <v>41</v>
      </c>
      <c r="J62" s="1"/>
      <c r="K62" s="1">
        <v>101</v>
      </c>
      <c r="L62" s="1">
        <f t="shared" si="11"/>
        <v>-103</v>
      </c>
      <c r="M62" s="1"/>
      <c r="N62" s="1"/>
      <c r="O62" s="1">
        <v>0</v>
      </c>
      <c r="P62" s="1">
        <v>0</v>
      </c>
      <c r="Q62" s="1">
        <f t="shared" si="12"/>
        <v>-0.4</v>
      </c>
      <c r="R62" s="5"/>
      <c r="S62" s="5">
        <f t="shared" si="5"/>
        <v>0</v>
      </c>
      <c r="T62" s="17"/>
      <c r="U62" s="1">
        <f t="shared" si="6"/>
        <v>-285</v>
      </c>
      <c r="V62" s="1">
        <f t="shared" si="13"/>
        <v>-285</v>
      </c>
      <c r="W62" s="1">
        <v>-0.2</v>
      </c>
      <c r="X62" s="1">
        <v>-2.4</v>
      </c>
      <c r="Y62" s="1">
        <v>-3.4</v>
      </c>
      <c r="Z62" s="1">
        <v>1</v>
      </c>
      <c r="AA62" s="1">
        <v>-1.6</v>
      </c>
      <c r="AB62" s="1">
        <v>10.4</v>
      </c>
      <c r="AC62" s="1">
        <v>15.8</v>
      </c>
      <c r="AD62" s="1">
        <v>16</v>
      </c>
      <c r="AE62" s="1">
        <v>17.2</v>
      </c>
      <c r="AF62" s="1">
        <v>12.2</v>
      </c>
      <c r="AG62" s="12" t="s">
        <v>57</v>
      </c>
      <c r="AH62" s="1">
        <f t="shared" si="7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9" t="s">
        <v>112</v>
      </c>
      <c r="B63" s="9" t="s">
        <v>36</v>
      </c>
      <c r="C63" s="9"/>
      <c r="D63" s="9"/>
      <c r="E63" s="9"/>
      <c r="F63" s="9"/>
      <c r="G63" s="10">
        <v>0</v>
      </c>
      <c r="H63" s="9"/>
      <c r="I63" s="9" t="s">
        <v>41</v>
      </c>
      <c r="J63" s="9"/>
      <c r="K63" s="9"/>
      <c r="L63" s="9">
        <f t="shared" si="11"/>
        <v>0</v>
      </c>
      <c r="M63" s="9"/>
      <c r="N63" s="9"/>
      <c r="O63" s="9">
        <v>0</v>
      </c>
      <c r="P63" s="9">
        <v>0</v>
      </c>
      <c r="Q63" s="9">
        <f t="shared" si="12"/>
        <v>0</v>
      </c>
      <c r="R63" s="11"/>
      <c r="S63" s="5">
        <f t="shared" si="5"/>
        <v>0</v>
      </c>
      <c r="T63" s="16"/>
      <c r="U63" s="1" t="e">
        <f t="shared" si="6"/>
        <v>#DIV/0!</v>
      </c>
      <c r="V63" s="9" t="e">
        <f t="shared" si="13"/>
        <v>#DIV/0!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 t="s">
        <v>98</v>
      </c>
      <c r="AH63" s="1">
        <f t="shared" si="7"/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113</v>
      </c>
      <c r="B64" s="1" t="s">
        <v>36</v>
      </c>
      <c r="C64" s="1">
        <v>66.53</v>
      </c>
      <c r="D64" s="1"/>
      <c r="E64" s="1">
        <v>25.78</v>
      </c>
      <c r="F64" s="1">
        <v>38.85</v>
      </c>
      <c r="G64" s="7">
        <v>1</v>
      </c>
      <c r="H64" s="1">
        <v>60</v>
      </c>
      <c r="I64" s="1" t="s">
        <v>41</v>
      </c>
      <c r="J64" s="1"/>
      <c r="K64" s="1">
        <v>17.5</v>
      </c>
      <c r="L64" s="1">
        <f t="shared" si="11"/>
        <v>8.2800000000000011</v>
      </c>
      <c r="M64" s="1"/>
      <c r="N64" s="1"/>
      <c r="O64" s="1">
        <v>0</v>
      </c>
      <c r="P64" s="1">
        <v>51</v>
      </c>
      <c r="Q64" s="1">
        <f t="shared" si="12"/>
        <v>5.1560000000000006</v>
      </c>
      <c r="R64" s="5"/>
      <c r="S64" s="5">
        <f t="shared" si="5"/>
        <v>0</v>
      </c>
      <c r="T64" s="17"/>
      <c r="U64" s="1">
        <f t="shared" si="6"/>
        <v>17.426299456943365</v>
      </c>
      <c r="V64" s="1">
        <f t="shared" si="13"/>
        <v>17.426299456943365</v>
      </c>
      <c r="W64" s="1">
        <v>7.8439999999999994</v>
      </c>
      <c r="X64" s="1">
        <v>4.2359999999999998</v>
      </c>
      <c r="Y64" s="1">
        <v>5.14</v>
      </c>
      <c r="Z64" s="1">
        <v>2.649</v>
      </c>
      <c r="AA64" s="1">
        <v>1.7909999999999999</v>
      </c>
      <c r="AB64" s="1">
        <v>1.9</v>
      </c>
      <c r="AC64" s="1">
        <v>1.615</v>
      </c>
      <c r="AD64" s="1">
        <v>0.88800000000000001</v>
      </c>
      <c r="AE64" s="1">
        <v>2.411</v>
      </c>
      <c r="AF64" s="1">
        <v>1.518</v>
      </c>
      <c r="AG64" s="1"/>
      <c r="AH64" s="1">
        <f t="shared" si="7"/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114</v>
      </c>
      <c r="B65" s="1" t="s">
        <v>40</v>
      </c>
      <c r="C65" s="1">
        <v>45</v>
      </c>
      <c r="D65" s="1">
        <v>15</v>
      </c>
      <c r="E65" s="1">
        <v>38</v>
      </c>
      <c r="F65" s="1">
        <v>7</v>
      </c>
      <c r="G65" s="7">
        <v>0.6</v>
      </c>
      <c r="H65" s="1">
        <v>45</v>
      </c>
      <c r="I65" s="1" t="s">
        <v>41</v>
      </c>
      <c r="J65" s="1"/>
      <c r="K65" s="1">
        <v>42</v>
      </c>
      <c r="L65" s="1">
        <f t="shared" si="11"/>
        <v>-4</v>
      </c>
      <c r="M65" s="1"/>
      <c r="N65" s="1"/>
      <c r="O65" s="1">
        <v>98</v>
      </c>
      <c r="P65" s="1">
        <v>40</v>
      </c>
      <c r="Q65" s="1">
        <f t="shared" si="12"/>
        <v>7.6</v>
      </c>
      <c r="R65" s="5"/>
      <c r="S65" s="5">
        <f t="shared" si="5"/>
        <v>0</v>
      </c>
      <c r="T65" s="17"/>
      <c r="U65" s="1">
        <f t="shared" si="6"/>
        <v>19.078947368421055</v>
      </c>
      <c r="V65" s="1">
        <f t="shared" si="13"/>
        <v>19.078947368421055</v>
      </c>
      <c r="W65" s="1">
        <v>8.1999999999999993</v>
      </c>
      <c r="X65" s="1">
        <v>12.8</v>
      </c>
      <c r="Y65" s="1">
        <v>10.8</v>
      </c>
      <c r="Z65" s="1">
        <v>13.8</v>
      </c>
      <c r="AA65" s="1">
        <v>13</v>
      </c>
      <c r="AB65" s="1">
        <v>7.6</v>
      </c>
      <c r="AC65" s="1">
        <v>4.2</v>
      </c>
      <c r="AD65" s="1">
        <v>14.2</v>
      </c>
      <c r="AE65" s="1">
        <v>14.4</v>
      </c>
      <c r="AF65" s="1">
        <v>8.8000000000000007</v>
      </c>
      <c r="AG65" s="1"/>
      <c r="AH65" s="1">
        <f t="shared" si="7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9" t="s">
        <v>115</v>
      </c>
      <c r="B66" s="9" t="s">
        <v>40</v>
      </c>
      <c r="C66" s="9">
        <v>152</v>
      </c>
      <c r="D66" s="9">
        <v>16</v>
      </c>
      <c r="E66" s="9"/>
      <c r="F66" s="9">
        <v>160</v>
      </c>
      <c r="G66" s="10">
        <v>0</v>
      </c>
      <c r="H66" s="9"/>
      <c r="I66" s="9" t="s">
        <v>37</v>
      </c>
      <c r="J66" s="9"/>
      <c r="K66" s="9"/>
      <c r="L66" s="9">
        <f t="shared" si="11"/>
        <v>0</v>
      </c>
      <c r="M66" s="9"/>
      <c r="N66" s="9"/>
      <c r="O66" s="9">
        <v>0</v>
      </c>
      <c r="P66" s="9">
        <v>0</v>
      </c>
      <c r="Q66" s="9">
        <f t="shared" si="12"/>
        <v>0</v>
      </c>
      <c r="R66" s="11"/>
      <c r="S66" s="5">
        <f t="shared" si="5"/>
        <v>0</v>
      </c>
      <c r="T66" s="16"/>
      <c r="U66" s="1" t="e">
        <f t="shared" si="6"/>
        <v>#DIV/0!</v>
      </c>
      <c r="V66" s="9" t="e">
        <f t="shared" si="13"/>
        <v>#DIV/0!</v>
      </c>
      <c r="W66" s="9">
        <v>8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 t="s">
        <v>62</v>
      </c>
      <c r="AH66" s="1">
        <f t="shared" si="7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116</v>
      </c>
      <c r="B67" s="1" t="s">
        <v>40</v>
      </c>
      <c r="C67" s="1">
        <v>424</v>
      </c>
      <c r="D67" s="1">
        <v>35</v>
      </c>
      <c r="E67" s="1">
        <v>120</v>
      </c>
      <c r="F67" s="1">
        <v>301</v>
      </c>
      <c r="G67" s="7">
        <v>0.25</v>
      </c>
      <c r="H67" s="1">
        <v>120</v>
      </c>
      <c r="I67" s="1" t="s">
        <v>41</v>
      </c>
      <c r="J67" s="1"/>
      <c r="K67" s="1">
        <v>152</v>
      </c>
      <c r="L67" s="1">
        <f t="shared" si="11"/>
        <v>-32</v>
      </c>
      <c r="M67" s="1"/>
      <c r="N67" s="1"/>
      <c r="O67" s="1">
        <v>0</v>
      </c>
      <c r="P67" s="1">
        <v>0</v>
      </c>
      <c r="Q67" s="1">
        <f t="shared" si="12"/>
        <v>24</v>
      </c>
      <c r="R67" s="5">
        <f>20*Q67-P67-O67-F67</f>
        <v>179</v>
      </c>
      <c r="S67" s="5">
        <f t="shared" si="5"/>
        <v>179</v>
      </c>
      <c r="T67" s="17"/>
      <c r="U67" s="1">
        <f t="shared" si="6"/>
        <v>20</v>
      </c>
      <c r="V67" s="1">
        <f t="shared" si="13"/>
        <v>12.541666666666666</v>
      </c>
      <c r="W67" s="1">
        <v>14.4</v>
      </c>
      <c r="X67" s="1">
        <v>17.2</v>
      </c>
      <c r="Y67" s="1">
        <v>29.8</v>
      </c>
      <c r="Z67" s="1">
        <v>8.4</v>
      </c>
      <c r="AA67" s="1">
        <v>9.4</v>
      </c>
      <c r="AB67" s="1">
        <v>12.8</v>
      </c>
      <c r="AC67" s="1">
        <v>4.2</v>
      </c>
      <c r="AD67" s="1">
        <v>6.2</v>
      </c>
      <c r="AE67" s="1">
        <v>12</v>
      </c>
      <c r="AF67" s="1">
        <v>7.6</v>
      </c>
      <c r="AG67" s="1" t="s">
        <v>43</v>
      </c>
      <c r="AH67" s="1">
        <f t="shared" si="7"/>
        <v>44.75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117</v>
      </c>
      <c r="B68" s="1" t="s">
        <v>36</v>
      </c>
      <c r="C68" s="1">
        <v>7.875</v>
      </c>
      <c r="D68" s="1"/>
      <c r="E68" s="1">
        <v>-0.01</v>
      </c>
      <c r="F68" s="1">
        <v>3.129</v>
      </c>
      <c r="G68" s="7">
        <v>1</v>
      </c>
      <c r="H68" s="1">
        <v>45</v>
      </c>
      <c r="I68" s="1" t="s">
        <v>41</v>
      </c>
      <c r="J68" s="1"/>
      <c r="K68" s="1">
        <v>29</v>
      </c>
      <c r="L68" s="1">
        <f t="shared" si="11"/>
        <v>-29.01</v>
      </c>
      <c r="M68" s="1"/>
      <c r="N68" s="1"/>
      <c r="O68" s="1">
        <v>50</v>
      </c>
      <c r="P68" s="1">
        <v>0</v>
      </c>
      <c r="Q68" s="1">
        <f t="shared" si="12"/>
        <v>-2E-3</v>
      </c>
      <c r="R68" s="5"/>
      <c r="S68" s="5">
        <f t="shared" si="5"/>
        <v>0</v>
      </c>
      <c r="T68" s="17"/>
      <c r="U68" s="1">
        <f t="shared" si="6"/>
        <v>-26564.5</v>
      </c>
      <c r="V68" s="1">
        <f t="shared" si="13"/>
        <v>-26564.5</v>
      </c>
      <c r="W68" s="1">
        <v>3.0392000000000001</v>
      </c>
      <c r="X68" s="1">
        <v>5.0497999999999994</v>
      </c>
      <c r="Y68" s="1">
        <v>3.3026</v>
      </c>
      <c r="Z68" s="1">
        <v>2.3260000000000001</v>
      </c>
      <c r="AA68" s="1">
        <v>2.6434000000000002</v>
      </c>
      <c r="AB68" s="1">
        <v>2.0691999999999999</v>
      </c>
      <c r="AC68" s="1">
        <v>0.59420000000000006</v>
      </c>
      <c r="AD68" s="1">
        <v>5.7103999999999999</v>
      </c>
      <c r="AE68" s="1">
        <v>6.8785999999999996</v>
      </c>
      <c r="AF68" s="1">
        <v>3.8618000000000001</v>
      </c>
      <c r="AG68" s="1"/>
      <c r="AH68" s="1">
        <f t="shared" si="7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118</v>
      </c>
      <c r="B69" s="1" t="s">
        <v>40</v>
      </c>
      <c r="C69" s="1">
        <v>248</v>
      </c>
      <c r="D69" s="1">
        <v>8</v>
      </c>
      <c r="E69" s="1">
        <v>52</v>
      </c>
      <c r="F69" s="1">
        <v>199</v>
      </c>
      <c r="G69" s="7">
        <v>0.27</v>
      </c>
      <c r="H69" s="1"/>
      <c r="I69" s="1" t="s">
        <v>41</v>
      </c>
      <c r="J69" s="1"/>
      <c r="K69" s="1">
        <v>66</v>
      </c>
      <c r="L69" s="1">
        <f t="shared" si="11"/>
        <v>-14</v>
      </c>
      <c r="M69" s="1"/>
      <c r="N69" s="1"/>
      <c r="O69" s="1">
        <v>0</v>
      </c>
      <c r="P69" s="1">
        <v>0</v>
      </c>
      <c r="Q69" s="1">
        <f t="shared" si="12"/>
        <v>10.4</v>
      </c>
      <c r="R69" s="5"/>
      <c r="S69" s="5">
        <f t="shared" si="5"/>
        <v>0</v>
      </c>
      <c r="T69" s="17"/>
      <c r="U69" s="1">
        <f t="shared" si="6"/>
        <v>19.134615384615383</v>
      </c>
      <c r="V69" s="1">
        <f t="shared" si="13"/>
        <v>19.134615384615383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5" t="s">
        <v>170</v>
      </c>
      <c r="AH69" s="1">
        <f t="shared" si="7"/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119</v>
      </c>
      <c r="B70" s="1" t="s">
        <v>40</v>
      </c>
      <c r="C70" s="1">
        <v>342</v>
      </c>
      <c r="D70" s="1">
        <v>67</v>
      </c>
      <c r="E70" s="1">
        <v>148</v>
      </c>
      <c r="F70" s="1">
        <v>209</v>
      </c>
      <c r="G70" s="7">
        <v>0.3</v>
      </c>
      <c r="H70" s="1">
        <v>60</v>
      </c>
      <c r="I70" s="1" t="s">
        <v>41</v>
      </c>
      <c r="J70" s="1"/>
      <c r="K70" s="1">
        <v>161</v>
      </c>
      <c r="L70" s="1">
        <f t="shared" ref="L70:L101" si="17">E70-K70</f>
        <v>-13</v>
      </c>
      <c r="M70" s="1"/>
      <c r="N70" s="1"/>
      <c r="O70" s="1">
        <v>0</v>
      </c>
      <c r="P70" s="1">
        <v>100</v>
      </c>
      <c r="Q70" s="1">
        <f t="shared" ref="Q70:Q101" si="18">E70/5</f>
        <v>29.6</v>
      </c>
      <c r="R70" s="5">
        <f t="shared" ref="R70:R77" si="19">15*Q70-P70-O70-F70</f>
        <v>135</v>
      </c>
      <c r="S70" s="5">
        <f t="shared" si="5"/>
        <v>135</v>
      </c>
      <c r="T70" s="17"/>
      <c r="U70" s="1">
        <f t="shared" si="6"/>
        <v>15</v>
      </c>
      <c r="V70" s="1">
        <f t="shared" ref="V70:V101" si="20">(F70+O70+P70)/Q70</f>
        <v>10.439189189189189</v>
      </c>
      <c r="W70" s="1">
        <v>15.4</v>
      </c>
      <c r="X70" s="1">
        <v>26.8</v>
      </c>
      <c r="Y70" s="1">
        <v>44</v>
      </c>
      <c r="Z70" s="1">
        <v>30</v>
      </c>
      <c r="AA70" s="1">
        <v>34</v>
      </c>
      <c r="AB70" s="1">
        <v>25.4</v>
      </c>
      <c r="AC70" s="1">
        <v>37.799999999999997</v>
      </c>
      <c r="AD70" s="1">
        <v>31.8</v>
      </c>
      <c r="AE70" s="1">
        <v>37.200000000000003</v>
      </c>
      <c r="AF70" s="1">
        <v>12.8</v>
      </c>
      <c r="AG70" s="1"/>
      <c r="AH70" s="1">
        <f t="shared" si="7"/>
        <v>40.5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120</v>
      </c>
      <c r="B71" s="1" t="s">
        <v>40</v>
      </c>
      <c r="C71" s="1">
        <v>411</v>
      </c>
      <c r="D71" s="1">
        <v>510</v>
      </c>
      <c r="E71" s="1">
        <v>406</v>
      </c>
      <c r="F71" s="1">
        <v>10</v>
      </c>
      <c r="G71" s="7">
        <v>0.41</v>
      </c>
      <c r="H71" s="1">
        <v>50</v>
      </c>
      <c r="I71" s="1" t="s">
        <v>41</v>
      </c>
      <c r="J71" s="1"/>
      <c r="K71" s="1">
        <v>1196</v>
      </c>
      <c r="L71" s="1">
        <f t="shared" si="17"/>
        <v>-790</v>
      </c>
      <c r="M71" s="1"/>
      <c r="N71" s="1"/>
      <c r="O71" s="1">
        <v>1500</v>
      </c>
      <c r="P71" s="1">
        <v>1419</v>
      </c>
      <c r="Q71" s="1">
        <f t="shared" si="18"/>
        <v>81.2</v>
      </c>
      <c r="R71" s="5"/>
      <c r="S71" s="5">
        <f t="shared" ref="S71:S120" si="21">ROUND(R71,0)</f>
        <v>0</v>
      </c>
      <c r="T71" s="17"/>
      <c r="U71" s="1">
        <f t="shared" si="6"/>
        <v>36.071428571428569</v>
      </c>
      <c r="V71" s="1">
        <f t="shared" si="20"/>
        <v>36.071428571428569</v>
      </c>
      <c r="W71" s="1">
        <v>212.8</v>
      </c>
      <c r="X71" s="1">
        <v>266.8</v>
      </c>
      <c r="Y71" s="1">
        <v>172.2</v>
      </c>
      <c r="Z71" s="1">
        <v>150</v>
      </c>
      <c r="AA71" s="1">
        <v>221.2</v>
      </c>
      <c r="AB71" s="1">
        <v>150.80000000000001</v>
      </c>
      <c r="AC71" s="1">
        <v>190.8</v>
      </c>
      <c r="AD71" s="1">
        <v>154.6</v>
      </c>
      <c r="AE71" s="1">
        <v>201.6</v>
      </c>
      <c r="AF71" s="1">
        <v>171.6</v>
      </c>
      <c r="AG71" s="1"/>
      <c r="AH71" s="1">
        <f t="shared" si="7"/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121</v>
      </c>
      <c r="B72" s="1" t="s">
        <v>36</v>
      </c>
      <c r="C72" s="1">
        <v>449.78</v>
      </c>
      <c r="D72" s="1">
        <v>138.02500000000001</v>
      </c>
      <c r="E72" s="1">
        <v>154.65199999999999</v>
      </c>
      <c r="F72" s="1">
        <v>312.67399999999998</v>
      </c>
      <c r="G72" s="7">
        <v>1</v>
      </c>
      <c r="H72" s="1">
        <v>50</v>
      </c>
      <c r="I72" s="1" t="s">
        <v>41</v>
      </c>
      <c r="J72" s="1"/>
      <c r="K72" s="1">
        <v>180.24600000000001</v>
      </c>
      <c r="L72" s="1">
        <f t="shared" si="17"/>
        <v>-25.594000000000023</v>
      </c>
      <c r="M72" s="1"/>
      <c r="N72" s="1"/>
      <c r="O72" s="1">
        <v>0</v>
      </c>
      <c r="P72" s="1">
        <v>6</v>
      </c>
      <c r="Q72" s="1">
        <f t="shared" si="18"/>
        <v>30.930399999999999</v>
      </c>
      <c r="R72" s="5">
        <f t="shared" si="19"/>
        <v>145.28199999999998</v>
      </c>
      <c r="S72" s="5">
        <f t="shared" si="21"/>
        <v>145</v>
      </c>
      <c r="T72" s="17"/>
      <c r="U72" s="1">
        <f t="shared" ref="U72:U120" si="22">(F72+O72+P72+S72)/Q72</f>
        <v>14.990882756123426</v>
      </c>
      <c r="V72" s="1">
        <f t="shared" si="20"/>
        <v>10.302938209657812</v>
      </c>
      <c r="W72" s="1">
        <v>29.0246</v>
      </c>
      <c r="X72" s="1">
        <v>23.655999999999999</v>
      </c>
      <c r="Y72" s="1">
        <v>36.418599999999998</v>
      </c>
      <c r="Z72" s="1">
        <v>13.896000000000001</v>
      </c>
      <c r="AA72" s="1">
        <v>12.993399999999999</v>
      </c>
      <c r="AB72" s="1">
        <v>16.393599999999999</v>
      </c>
      <c r="AC72" s="1">
        <v>23.993600000000001</v>
      </c>
      <c r="AD72" s="1">
        <v>17.883800000000001</v>
      </c>
      <c r="AE72" s="1">
        <v>28.195399999999999</v>
      </c>
      <c r="AF72" s="1">
        <v>23.4</v>
      </c>
      <c r="AG72" s="1"/>
      <c r="AH72" s="1">
        <f t="shared" ref="AH72:AH120" si="23">G72*S72</f>
        <v>145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122</v>
      </c>
      <c r="B73" s="1" t="s">
        <v>40</v>
      </c>
      <c r="C73" s="1">
        <v>191</v>
      </c>
      <c r="D73" s="1">
        <v>48</v>
      </c>
      <c r="E73" s="1">
        <v>162</v>
      </c>
      <c r="F73" s="1">
        <v>19</v>
      </c>
      <c r="G73" s="7">
        <v>0.35</v>
      </c>
      <c r="H73" s="1">
        <v>50</v>
      </c>
      <c r="I73" s="1" t="s">
        <v>41</v>
      </c>
      <c r="J73" s="1"/>
      <c r="K73" s="1">
        <v>214</v>
      </c>
      <c r="L73" s="1">
        <f t="shared" si="17"/>
        <v>-52</v>
      </c>
      <c r="M73" s="1"/>
      <c r="N73" s="1"/>
      <c r="O73" s="1">
        <v>294</v>
      </c>
      <c r="P73" s="1">
        <v>16</v>
      </c>
      <c r="Q73" s="1">
        <f t="shared" si="18"/>
        <v>32.4</v>
      </c>
      <c r="R73" s="5">
        <f t="shared" si="19"/>
        <v>157</v>
      </c>
      <c r="S73" s="5">
        <f t="shared" si="21"/>
        <v>157</v>
      </c>
      <c r="T73" s="17"/>
      <c r="U73" s="1">
        <f t="shared" si="22"/>
        <v>15</v>
      </c>
      <c r="V73" s="1">
        <f t="shared" si="20"/>
        <v>10.154320987654321</v>
      </c>
      <c r="W73" s="1">
        <v>31</v>
      </c>
      <c r="X73" s="1">
        <v>41</v>
      </c>
      <c r="Y73" s="1">
        <v>31.2</v>
      </c>
      <c r="Z73" s="1">
        <v>33.799999999999997</v>
      </c>
      <c r="AA73" s="1">
        <v>31.2</v>
      </c>
      <c r="AB73" s="1">
        <v>27.8</v>
      </c>
      <c r="AC73" s="1">
        <v>32</v>
      </c>
      <c r="AD73" s="1">
        <v>11.2</v>
      </c>
      <c r="AE73" s="1">
        <v>26.4</v>
      </c>
      <c r="AF73" s="1">
        <v>26.8</v>
      </c>
      <c r="AG73" s="1"/>
      <c r="AH73" s="1">
        <f t="shared" si="23"/>
        <v>54.949999999999996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123</v>
      </c>
      <c r="B74" s="1" t="s">
        <v>36</v>
      </c>
      <c r="C74" s="1">
        <v>5.8289999999999997</v>
      </c>
      <c r="D74" s="1">
        <v>4.6059999999999999</v>
      </c>
      <c r="E74" s="1">
        <v>4.6859999999999999</v>
      </c>
      <c r="F74" s="1"/>
      <c r="G74" s="7">
        <v>1</v>
      </c>
      <c r="H74" s="1">
        <v>50</v>
      </c>
      <c r="I74" s="1" t="s">
        <v>41</v>
      </c>
      <c r="J74" s="1"/>
      <c r="K74" s="1">
        <v>36.5</v>
      </c>
      <c r="L74" s="1">
        <f t="shared" si="17"/>
        <v>-31.814</v>
      </c>
      <c r="M74" s="1"/>
      <c r="N74" s="1"/>
      <c r="O74" s="1">
        <v>38</v>
      </c>
      <c r="P74" s="1">
        <v>10</v>
      </c>
      <c r="Q74" s="1">
        <f t="shared" si="18"/>
        <v>0.93720000000000003</v>
      </c>
      <c r="R74" s="5"/>
      <c r="S74" s="5">
        <f t="shared" si="21"/>
        <v>0</v>
      </c>
      <c r="T74" s="17"/>
      <c r="U74" s="1">
        <f t="shared" si="22"/>
        <v>51.216389244558258</v>
      </c>
      <c r="V74" s="1">
        <f t="shared" si="20"/>
        <v>51.216389244558258</v>
      </c>
      <c r="W74" s="1">
        <v>2.504</v>
      </c>
      <c r="X74" s="1">
        <v>3.7235999999999998</v>
      </c>
      <c r="Y74" s="1">
        <v>1.5624</v>
      </c>
      <c r="Z74" s="1">
        <v>2.1745999999999999</v>
      </c>
      <c r="AA74" s="1">
        <v>2.2000000000000002</v>
      </c>
      <c r="AB74" s="1">
        <v>3.1534</v>
      </c>
      <c r="AC74" s="1">
        <v>0.312</v>
      </c>
      <c r="AD74" s="1">
        <v>2.4882</v>
      </c>
      <c r="AE74" s="1">
        <v>4.0224000000000002</v>
      </c>
      <c r="AF74" s="1">
        <v>1.2316</v>
      </c>
      <c r="AG74" s="1"/>
      <c r="AH74" s="1">
        <f t="shared" si="23"/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124</v>
      </c>
      <c r="B75" s="1" t="s">
        <v>40</v>
      </c>
      <c r="C75" s="1">
        <v>321</v>
      </c>
      <c r="D75" s="1">
        <v>442</v>
      </c>
      <c r="E75" s="1">
        <v>191</v>
      </c>
      <c r="F75" s="1">
        <v>125</v>
      </c>
      <c r="G75" s="7">
        <v>0.41</v>
      </c>
      <c r="H75" s="1">
        <v>50</v>
      </c>
      <c r="I75" s="1" t="s">
        <v>41</v>
      </c>
      <c r="J75" s="1"/>
      <c r="K75" s="1">
        <v>608</v>
      </c>
      <c r="L75" s="1">
        <f t="shared" si="17"/>
        <v>-417</v>
      </c>
      <c r="M75" s="1"/>
      <c r="N75" s="1"/>
      <c r="O75" s="1">
        <v>700</v>
      </c>
      <c r="P75" s="1">
        <v>992</v>
      </c>
      <c r="Q75" s="1">
        <f t="shared" si="18"/>
        <v>38.200000000000003</v>
      </c>
      <c r="R75" s="5"/>
      <c r="S75" s="5">
        <f t="shared" si="21"/>
        <v>0</v>
      </c>
      <c r="T75" s="17"/>
      <c r="U75" s="1">
        <f t="shared" si="22"/>
        <v>47.565445026178004</v>
      </c>
      <c r="V75" s="1">
        <f t="shared" si="20"/>
        <v>47.565445026178004</v>
      </c>
      <c r="W75" s="1">
        <v>129.4</v>
      </c>
      <c r="X75" s="1">
        <v>156.6</v>
      </c>
      <c r="Y75" s="1">
        <v>120.8</v>
      </c>
      <c r="Z75" s="1">
        <v>91.6</v>
      </c>
      <c r="AA75" s="1">
        <v>120.2</v>
      </c>
      <c r="AB75" s="1">
        <v>94.6</v>
      </c>
      <c r="AC75" s="1">
        <v>99</v>
      </c>
      <c r="AD75" s="1">
        <v>97.4</v>
      </c>
      <c r="AE75" s="1">
        <v>92.2</v>
      </c>
      <c r="AF75" s="1">
        <v>115.4</v>
      </c>
      <c r="AG75" s="1"/>
      <c r="AH75" s="1">
        <f t="shared" si="23"/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125</v>
      </c>
      <c r="B76" s="1" t="s">
        <v>36</v>
      </c>
      <c r="C76" s="1">
        <v>116.485</v>
      </c>
      <c r="D76" s="1">
        <v>43.386000000000003</v>
      </c>
      <c r="E76" s="1">
        <v>97.317999999999998</v>
      </c>
      <c r="F76" s="1">
        <v>29.666</v>
      </c>
      <c r="G76" s="7">
        <v>1</v>
      </c>
      <c r="H76" s="1">
        <v>50</v>
      </c>
      <c r="I76" s="1" t="s">
        <v>41</v>
      </c>
      <c r="J76" s="1"/>
      <c r="K76" s="1">
        <v>102.2</v>
      </c>
      <c r="L76" s="1">
        <f t="shared" si="17"/>
        <v>-4.882000000000005</v>
      </c>
      <c r="M76" s="1"/>
      <c r="N76" s="1"/>
      <c r="O76" s="1">
        <v>41</v>
      </c>
      <c r="P76" s="1">
        <v>20</v>
      </c>
      <c r="Q76" s="1">
        <f t="shared" si="18"/>
        <v>19.4636</v>
      </c>
      <c r="R76" s="5">
        <f t="shared" si="19"/>
        <v>201.28800000000001</v>
      </c>
      <c r="S76" s="5">
        <f t="shared" si="21"/>
        <v>201</v>
      </c>
      <c r="T76" s="17"/>
      <c r="U76" s="1">
        <f t="shared" si="22"/>
        <v>14.985203148441194</v>
      </c>
      <c r="V76" s="1">
        <f t="shared" si="20"/>
        <v>4.6582338313569949</v>
      </c>
      <c r="W76" s="1">
        <v>6.3722000000000003</v>
      </c>
      <c r="X76" s="1">
        <v>12.7166</v>
      </c>
      <c r="Y76" s="1">
        <v>14.8438</v>
      </c>
      <c r="Z76" s="1">
        <v>8.7585999999999995</v>
      </c>
      <c r="AA76" s="1">
        <v>10.333</v>
      </c>
      <c r="AB76" s="1">
        <v>10.343</v>
      </c>
      <c r="AC76" s="1">
        <v>12.386799999999999</v>
      </c>
      <c r="AD76" s="1">
        <v>6.1597999999999997</v>
      </c>
      <c r="AE76" s="1">
        <v>12.334199999999999</v>
      </c>
      <c r="AF76" s="1">
        <v>16.249199999999998</v>
      </c>
      <c r="AG76" s="1"/>
      <c r="AH76" s="1">
        <f t="shared" si="23"/>
        <v>201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126</v>
      </c>
      <c r="B77" s="1" t="s">
        <v>40</v>
      </c>
      <c r="C77" s="1">
        <v>478</v>
      </c>
      <c r="D77" s="1">
        <v>210</v>
      </c>
      <c r="E77" s="1">
        <v>148</v>
      </c>
      <c r="F77" s="1">
        <v>323</v>
      </c>
      <c r="G77" s="7">
        <v>0.3</v>
      </c>
      <c r="H77" s="1">
        <v>50</v>
      </c>
      <c r="I77" s="1" t="s">
        <v>41</v>
      </c>
      <c r="J77" s="1"/>
      <c r="K77" s="1">
        <v>178</v>
      </c>
      <c r="L77" s="1">
        <f t="shared" si="17"/>
        <v>-30</v>
      </c>
      <c r="M77" s="1"/>
      <c r="N77" s="1"/>
      <c r="O77" s="1">
        <v>0</v>
      </c>
      <c r="P77" s="1">
        <v>35</v>
      </c>
      <c r="Q77" s="1">
        <f t="shared" si="18"/>
        <v>29.6</v>
      </c>
      <c r="R77" s="5">
        <f t="shared" si="19"/>
        <v>86</v>
      </c>
      <c r="S77" s="5">
        <f t="shared" si="21"/>
        <v>86</v>
      </c>
      <c r="T77" s="17"/>
      <c r="U77" s="1">
        <f t="shared" si="22"/>
        <v>15</v>
      </c>
      <c r="V77" s="1">
        <f t="shared" si="20"/>
        <v>12.094594594594595</v>
      </c>
      <c r="W77" s="1">
        <v>32.799999999999997</v>
      </c>
      <c r="X77" s="1">
        <v>41</v>
      </c>
      <c r="Y77" s="1">
        <v>43.6</v>
      </c>
      <c r="Z77" s="1">
        <v>22.2</v>
      </c>
      <c r="AA77" s="1">
        <v>27.2</v>
      </c>
      <c r="AB77" s="1">
        <v>25</v>
      </c>
      <c r="AC77" s="1">
        <v>18.8</v>
      </c>
      <c r="AD77" s="1">
        <v>18.600000000000001</v>
      </c>
      <c r="AE77" s="1">
        <v>33.200000000000003</v>
      </c>
      <c r="AF77" s="1">
        <v>29.6</v>
      </c>
      <c r="AG77" s="1"/>
      <c r="AH77" s="1">
        <f t="shared" si="23"/>
        <v>25.8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127</v>
      </c>
      <c r="B78" s="1" t="s">
        <v>40</v>
      </c>
      <c r="C78" s="1">
        <v>202</v>
      </c>
      <c r="D78" s="1">
        <v>147</v>
      </c>
      <c r="E78" s="1">
        <v>48</v>
      </c>
      <c r="F78" s="1">
        <v>141</v>
      </c>
      <c r="G78" s="7">
        <v>0.18</v>
      </c>
      <c r="H78" s="1">
        <v>50</v>
      </c>
      <c r="I78" s="1" t="s">
        <v>41</v>
      </c>
      <c r="J78" s="1"/>
      <c r="K78" s="1">
        <v>225</v>
      </c>
      <c r="L78" s="1">
        <f t="shared" si="17"/>
        <v>-177</v>
      </c>
      <c r="M78" s="1"/>
      <c r="N78" s="1"/>
      <c r="O78" s="1">
        <v>245</v>
      </c>
      <c r="P78" s="1">
        <v>95</v>
      </c>
      <c r="Q78" s="1">
        <f t="shared" si="18"/>
        <v>9.6</v>
      </c>
      <c r="R78" s="5"/>
      <c r="S78" s="5">
        <f t="shared" si="21"/>
        <v>0</v>
      </c>
      <c r="T78" s="17"/>
      <c r="U78" s="1">
        <f t="shared" si="22"/>
        <v>50.104166666666671</v>
      </c>
      <c r="V78" s="1">
        <f t="shared" si="20"/>
        <v>50.104166666666671</v>
      </c>
      <c r="W78" s="1">
        <v>35.6</v>
      </c>
      <c r="X78" s="1">
        <v>42</v>
      </c>
      <c r="Y78" s="1">
        <v>28.4</v>
      </c>
      <c r="Z78" s="1">
        <v>15.8</v>
      </c>
      <c r="AA78" s="1">
        <v>6.4</v>
      </c>
      <c r="AB78" s="1">
        <v>20.399999999999999</v>
      </c>
      <c r="AC78" s="1">
        <v>13.6</v>
      </c>
      <c r="AD78" s="1">
        <v>9.4</v>
      </c>
      <c r="AE78" s="1">
        <v>21.8</v>
      </c>
      <c r="AF78" s="1">
        <v>11</v>
      </c>
      <c r="AG78" s="12" t="s">
        <v>57</v>
      </c>
      <c r="AH78" s="1">
        <f t="shared" si="23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9" t="s">
        <v>128</v>
      </c>
      <c r="B79" s="9" t="s">
        <v>36</v>
      </c>
      <c r="C79" s="9"/>
      <c r="D79" s="9"/>
      <c r="E79" s="9"/>
      <c r="F79" s="9"/>
      <c r="G79" s="10">
        <v>0</v>
      </c>
      <c r="H79" s="9"/>
      <c r="I79" s="9" t="s">
        <v>41</v>
      </c>
      <c r="J79" s="9"/>
      <c r="K79" s="9">
        <v>2</v>
      </c>
      <c r="L79" s="9">
        <f t="shared" si="17"/>
        <v>-2</v>
      </c>
      <c r="M79" s="9"/>
      <c r="N79" s="9"/>
      <c r="O79" s="9">
        <v>0</v>
      </c>
      <c r="P79" s="9">
        <v>0</v>
      </c>
      <c r="Q79" s="9">
        <f t="shared" si="18"/>
        <v>0</v>
      </c>
      <c r="R79" s="11"/>
      <c r="S79" s="5">
        <f t="shared" si="21"/>
        <v>0</v>
      </c>
      <c r="T79" s="16"/>
      <c r="U79" s="1" t="e">
        <f t="shared" si="22"/>
        <v>#DIV/0!</v>
      </c>
      <c r="V79" s="9" t="e">
        <f t="shared" si="20"/>
        <v>#DIV/0!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 t="s">
        <v>98</v>
      </c>
      <c r="AH79" s="1">
        <f t="shared" si="23"/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75</v>
      </c>
      <c r="B80" s="1" t="s">
        <v>40</v>
      </c>
      <c r="C80" s="1">
        <v>597</v>
      </c>
      <c r="D80" s="1">
        <v>413</v>
      </c>
      <c r="E80" s="1">
        <v>442</v>
      </c>
      <c r="F80" s="13">
        <f>176+F36</f>
        <v>175</v>
      </c>
      <c r="G80" s="7">
        <v>0.35</v>
      </c>
      <c r="H80" s="1">
        <v>50</v>
      </c>
      <c r="I80" s="1" t="s">
        <v>41</v>
      </c>
      <c r="J80" s="1"/>
      <c r="K80" s="1">
        <v>609</v>
      </c>
      <c r="L80" s="1">
        <f t="shared" si="17"/>
        <v>-167</v>
      </c>
      <c r="M80" s="1"/>
      <c r="N80" s="1"/>
      <c r="O80" s="1">
        <v>800</v>
      </c>
      <c r="P80" s="1">
        <v>300</v>
      </c>
      <c r="Q80" s="1">
        <f t="shared" si="18"/>
        <v>88.4</v>
      </c>
      <c r="R80" s="5">
        <f t="shared" ref="R80:R83" si="24">15*Q80-P80-O80-F80</f>
        <v>51</v>
      </c>
      <c r="S80" s="5">
        <f t="shared" si="21"/>
        <v>51</v>
      </c>
      <c r="T80" s="17"/>
      <c r="U80" s="1">
        <f t="shared" si="22"/>
        <v>14.999999999999998</v>
      </c>
      <c r="V80" s="1">
        <f t="shared" si="20"/>
        <v>14.423076923076922</v>
      </c>
      <c r="W80" s="1">
        <v>88.6</v>
      </c>
      <c r="X80" s="1">
        <v>163.19999999999999</v>
      </c>
      <c r="Y80" s="1">
        <v>117.6</v>
      </c>
      <c r="Z80" s="1">
        <v>85.6</v>
      </c>
      <c r="AA80" s="1">
        <v>104.4</v>
      </c>
      <c r="AB80" s="1">
        <v>62.8</v>
      </c>
      <c r="AC80" s="1">
        <v>93.2</v>
      </c>
      <c r="AD80" s="1">
        <v>91.6</v>
      </c>
      <c r="AE80" s="1">
        <v>70.8</v>
      </c>
      <c r="AF80" s="1">
        <v>82.8</v>
      </c>
      <c r="AG80" s="1"/>
      <c r="AH80" s="1">
        <f t="shared" si="23"/>
        <v>17.849999999999998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129</v>
      </c>
      <c r="B81" s="1" t="s">
        <v>36</v>
      </c>
      <c r="C81" s="1">
        <v>404.70299999999997</v>
      </c>
      <c r="D81" s="1">
        <v>95.006</v>
      </c>
      <c r="E81" s="1">
        <v>111.86199999999999</v>
      </c>
      <c r="F81" s="1">
        <v>295.084</v>
      </c>
      <c r="G81" s="7">
        <v>1</v>
      </c>
      <c r="H81" s="1">
        <v>50</v>
      </c>
      <c r="I81" s="1" t="s">
        <v>41</v>
      </c>
      <c r="J81" s="1"/>
      <c r="K81" s="1">
        <v>151.1</v>
      </c>
      <c r="L81" s="1">
        <f t="shared" si="17"/>
        <v>-39.238</v>
      </c>
      <c r="M81" s="1"/>
      <c r="N81" s="1"/>
      <c r="O81" s="1">
        <v>0</v>
      </c>
      <c r="P81" s="1">
        <v>196</v>
      </c>
      <c r="Q81" s="1">
        <f t="shared" si="18"/>
        <v>22.372399999999999</v>
      </c>
      <c r="R81" s="5"/>
      <c r="S81" s="5">
        <f t="shared" si="21"/>
        <v>0</v>
      </c>
      <c r="T81" s="17"/>
      <c r="U81" s="1">
        <f t="shared" si="22"/>
        <v>21.950438933686151</v>
      </c>
      <c r="V81" s="1">
        <f t="shared" si="20"/>
        <v>21.950438933686151</v>
      </c>
      <c r="W81" s="1">
        <v>38.507599999999996</v>
      </c>
      <c r="X81" s="1">
        <v>29.706199999999999</v>
      </c>
      <c r="Y81" s="1">
        <v>31.820399999999999</v>
      </c>
      <c r="Z81" s="1">
        <v>24.954999999999998</v>
      </c>
      <c r="AA81" s="1">
        <v>19.36</v>
      </c>
      <c r="AB81" s="1">
        <v>20.761800000000001</v>
      </c>
      <c r="AC81" s="1">
        <v>27.382000000000001</v>
      </c>
      <c r="AD81" s="1">
        <v>25.835999999999999</v>
      </c>
      <c r="AE81" s="1">
        <v>21.861799999999999</v>
      </c>
      <c r="AF81" s="1">
        <v>17.0016</v>
      </c>
      <c r="AG81" s="1"/>
      <c r="AH81" s="1">
        <f t="shared" si="23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130</v>
      </c>
      <c r="B82" s="1" t="s">
        <v>36</v>
      </c>
      <c r="C82" s="1">
        <v>593.35400000000004</v>
      </c>
      <c r="D82" s="1">
        <v>92.328999999999994</v>
      </c>
      <c r="E82" s="1">
        <v>201.697</v>
      </c>
      <c r="F82" s="1">
        <v>400.09800000000001</v>
      </c>
      <c r="G82" s="7">
        <v>1</v>
      </c>
      <c r="H82" s="1">
        <v>50</v>
      </c>
      <c r="I82" s="1" t="s">
        <v>41</v>
      </c>
      <c r="J82" s="1"/>
      <c r="K82" s="1">
        <v>224.1</v>
      </c>
      <c r="L82" s="1">
        <f t="shared" si="17"/>
        <v>-22.402999999999992</v>
      </c>
      <c r="M82" s="1"/>
      <c r="N82" s="1"/>
      <c r="O82" s="1">
        <v>62</v>
      </c>
      <c r="P82" s="1">
        <v>81</v>
      </c>
      <c r="Q82" s="1">
        <f t="shared" si="18"/>
        <v>40.339399999999998</v>
      </c>
      <c r="R82" s="5">
        <f t="shared" si="24"/>
        <v>61.992999999999995</v>
      </c>
      <c r="S82" s="5">
        <f t="shared" si="21"/>
        <v>62</v>
      </c>
      <c r="T82" s="17"/>
      <c r="U82" s="1">
        <f t="shared" si="22"/>
        <v>15.000173527618159</v>
      </c>
      <c r="V82" s="1">
        <f t="shared" si="20"/>
        <v>13.463214623916071</v>
      </c>
      <c r="W82" s="1">
        <v>47.528399999999998</v>
      </c>
      <c r="X82" s="1">
        <v>59.781599999999997</v>
      </c>
      <c r="Y82" s="1">
        <v>56.038800000000002</v>
      </c>
      <c r="Z82" s="1">
        <v>36.125599999999999</v>
      </c>
      <c r="AA82" s="1">
        <v>28.154199999999999</v>
      </c>
      <c r="AB82" s="1">
        <v>33.9756</v>
      </c>
      <c r="AC82" s="1">
        <v>30.172999999999998</v>
      </c>
      <c r="AD82" s="1">
        <v>18.625</v>
      </c>
      <c r="AE82" s="1">
        <v>37.547400000000003</v>
      </c>
      <c r="AF82" s="1">
        <v>32.890799999999999</v>
      </c>
      <c r="AG82" s="1"/>
      <c r="AH82" s="1">
        <f t="shared" si="23"/>
        <v>62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131</v>
      </c>
      <c r="B83" s="1" t="s">
        <v>40</v>
      </c>
      <c r="C83" s="1">
        <v>646</v>
      </c>
      <c r="D83" s="1">
        <v>589</v>
      </c>
      <c r="E83" s="1">
        <v>561</v>
      </c>
      <c r="F83" s="1">
        <v>78</v>
      </c>
      <c r="G83" s="7">
        <v>0.35</v>
      </c>
      <c r="H83" s="1">
        <v>50</v>
      </c>
      <c r="I83" s="1" t="s">
        <v>41</v>
      </c>
      <c r="J83" s="1"/>
      <c r="K83" s="1">
        <v>695</v>
      </c>
      <c r="L83" s="1">
        <f t="shared" si="17"/>
        <v>-134</v>
      </c>
      <c r="M83" s="1"/>
      <c r="N83" s="1"/>
      <c r="O83" s="1">
        <v>1000</v>
      </c>
      <c r="P83" s="1">
        <v>283</v>
      </c>
      <c r="Q83" s="1">
        <f t="shared" si="18"/>
        <v>112.2</v>
      </c>
      <c r="R83" s="5">
        <f t="shared" si="24"/>
        <v>322</v>
      </c>
      <c r="S83" s="5">
        <f t="shared" si="21"/>
        <v>322</v>
      </c>
      <c r="T83" s="17"/>
      <c r="U83" s="1">
        <f t="shared" si="22"/>
        <v>15</v>
      </c>
      <c r="V83" s="1">
        <f t="shared" si="20"/>
        <v>12.1301247771836</v>
      </c>
      <c r="W83" s="1">
        <v>124.6</v>
      </c>
      <c r="X83" s="1">
        <v>139</v>
      </c>
      <c r="Y83" s="1">
        <v>128</v>
      </c>
      <c r="Z83" s="1">
        <v>104.2</v>
      </c>
      <c r="AA83" s="1">
        <v>95.2</v>
      </c>
      <c r="AB83" s="1">
        <v>90</v>
      </c>
      <c r="AC83" s="1">
        <v>103.2</v>
      </c>
      <c r="AD83" s="1">
        <v>74.8</v>
      </c>
      <c r="AE83" s="1">
        <v>110.6</v>
      </c>
      <c r="AF83" s="1">
        <v>86.2</v>
      </c>
      <c r="AG83" s="1"/>
      <c r="AH83" s="1">
        <f t="shared" si="23"/>
        <v>112.69999999999999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9" t="s">
        <v>132</v>
      </c>
      <c r="B84" s="9" t="s">
        <v>40</v>
      </c>
      <c r="C84" s="9">
        <v>168</v>
      </c>
      <c r="D84" s="9">
        <v>16</v>
      </c>
      <c r="E84" s="9">
        <v>24</v>
      </c>
      <c r="F84" s="9">
        <v>144</v>
      </c>
      <c r="G84" s="10">
        <v>0</v>
      </c>
      <c r="H84" s="9"/>
      <c r="I84" s="9" t="s">
        <v>37</v>
      </c>
      <c r="J84" s="9"/>
      <c r="K84" s="9">
        <v>51</v>
      </c>
      <c r="L84" s="9">
        <f t="shared" si="17"/>
        <v>-27</v>
      </c>
      <c r="M84" s="9"/>
      <c r="N84" s="9"/>
      <c r="O84" s="9">
        <v>0</v>
      </c>
      <c r="P84" s="9">
        <v>0</v>
      </c>
      <c r="Q84" s="9">
        <f t="shared" si="18"/>
        <v>4.8</v>
      </c>
      <c r="R84" s="11"/>
      <c r="S84" s="5">
        <f t="shared" si="21"/>
        <v>0</v>
      </c>
      <c r="T84" s="16"/>
      <c r="U84" s="1">
        <f t="shared" si="22"/>
        <v>30</v>
      </c>
      <c r="V84" s="9">
        <f t="shared" si="20"/>
        <v>30</v>
      </c>
      <c r="W84" s="9">
        <v>6.4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12" t="s">
        <v>38</v>
      </c>
      <c r="AH84" s="1">
        <f t="shared" si="23"/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133</v>
      </c>
      <c r="B85" s="1" t="s">
        <v>40</v>
      </c>
      <c r="C85" s="1">
        <v>181</v>
      </c>
      <c r="D85" s="1">
        <v>23</v>
      </c>
      <c r="E85" s="1">
        <v>103</v>
      </c>
      <c r="F85" s="1">
        <v>66</v>
      </c>
      <c r="G85" s="7">
        <v>0.3</v>
      </c>
      <c r="H85" s="1">
        <v>50</v>
      </c>
      <c r="I85" s="1" t="s">
        <v>41</v>
      </c>
      <c r="J85" s="1"/>
      <c r="K85" s="1">
        <v>134</v>
      </c>
      <c r="L85" s="1">
        <f t="shared" si="17"/>
        <v>-31</v>
      </c>
      <c r="M85" s="1"/>
      <c r="N85" s="1"/>
      <c r="O85" s="1">
        <v>24</v>
      </c>
      <c r="P85" s="1">
        <v>156</v>
      </c>
      <c r="Q85" s="1">
        <f t="shared" si="18"/>
        <v>20.6</v>
      </c>
      <c r="R85" s="5">
        <f t="shared" ref="R85:R88" si="25">15*Q85-P85-O85-F85</f>
        <v>63</v>
      </c>
      <c r="S85" s="5">
        <f t="shared" si="21"/>
        <v>63</v>
      </c>
      <c r="T85" s="17"/>
      <c r="U85" s="1">
        <f t="shared" si="22"/>
        <v>14.999999999999998</v>
      </c>
      <c r="V85" s="1">
        <f t="shared" si="20"/>
        <v>11.941747572815533</v>
      </c>
      <c r="W85" s="1">
        <v>23</v>
      </c>
      <c r="X85" s="1">
        <v>20</v>
      </c>
      <c r="Y85" s="1">
        <v>27</v>
      </c>
      <c r="Z85" s="1">
        <v>28.2</v>
      </c>
      <c r="AA85" s="1">
        <v>19.2</v>
      </c>
      <c r="AB85" s="1">
        <v>21.6</v>
      </c>
      <c r="AC85" s="1">
        <v>18.399999999999999</v>
      </c>
      <c r="AD85" s="1">
        <v>12.4</v>
      </c>
      <c r="AE85" s="1">
        <v>21.4</v>
      </c>
      <c r="AF85" s="1">
        <v>15.8</v>
      </c>
      <c r="AG85" s="1"/>
      <c r="AH85" s="1">
        <f t="shared" si="23"/>
        <v>18.899999999999999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134</v>
      </c>
      <c r="B86" s="1" t="s">
        <v>40</v>
      </c>
      <c r="C86" s="1">
        <v>56</v>
      </c>
      <c r="D86" s="1">
        <v>16</v>
      </c>
      <c r="E86" s="1">
        <v>42</v>
      </c>
      <c r="F86" s="1">
        <v>13</v>
      </c>
      <c r="G86" s="7">
        <v>0.3</v>
      </c>
      <c r="H86" s="1">
        <v>60</v>
      </c>
      <c r="I86" s="1" t="s">
        <v>41</v>
      </c>
      <c r="J86" s="1"/>
      <c r="K86" s="1">
        <v>46</v>
      </c>
      <c r="L86" s="1">
        <f t="shared" si="17"/>
        <v>-4</v>
      </c>
      <c r="M86" s="1"/>
      <c r="N86" s="1"/>
      <c r="O86" s="1">
        <v>40</v>
      </c>
      <c r="P86" s="1">
        <v>16</v>
      </c>
      <c r="Q86" s="1">
        <f t="shared" si="18"/>
        <v>8.4</v>
      </c>
      <c r="R86" s="5">
        <f t="shared" si="25"/>
        <v>57</v>
      </c>
      <c r="S86" s="5">
        <f t="shared" si="21"/>
        <v>57</v>
      </c>
      <c r="T86" s="17"/>
      <c r="U86" s="1">
        <f t="shared" si="22"/>
        <v>15</v>
      </c>
      <c r="V86" s="1">
        <f t="shared" si="20"/>
        <v>8.2142857142857135</v>
      </c>
      <c r="W86" s="1">
        <v>4.5999999999999996</v>
      </c>
      <c r="X86" s="1">
        <v>4</v>
      </c>
      <c r="Y86" s="1">
        <v>7.8</v>
      </c>
      <c r="Z86" s="1">
        <v>5.8</v>
      </c>
      <c r="AA86" s="1">
        <v>9</v>
      </c>
      <c r="AB86" s="1">
        <v>6.4</v>
      </c>
      <c r="AC86" s="1">
        <v>3.4</v>
      </c>
      <c r="AD86" s="1">
        <v>4.8</v>
      </c>
      <c r="AE86" s="1">
        <v>6.2</v>
      </c>
      <c r="AF86" s="1">
        <v>4.4000000000000004</v>
      </c>
      <c r="AG86" s="1"/>
      <c r="AH86" s="1">
        <f t="shared" si="23"/>
        <v>17.099999999999998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135</v>
      </c>
      <c r="B87" s="1" t="s">
        <v>40</v>
      </c>
      <c r="C87" s="1">
        <v>570</v>
      </c>
      <c r="D87" s="1">
        <v>205</v>
      </c>
      <c r="E87" s="1">
        <v>263</v>
      </c>
      <c r="F87" s="1">
        <v>302</v>
      </c>
      <c r="G87" s="7">
        <v>0.28000000000000003</v>
      </c>
      <c r="H87" s="1">
        <v>50</v>
      </c>
      <c r="I87" s="1" t="s">
        <v>41</v>
      </c>
      <c r="J87" s="1"/>
      <c r="K87" s="1">
        <v>366</v>
      </c>
      <c r="L87" s="1">
        <f t="shared" si="17"/>
        <v>-103</v>
      </c>
      <c r="M87" s="1"/>
      <c r="N87" s="1"/>
      <c r="O87" s="1">
        <v>600</v>
      </c>
      <c r="P87" s="1">
        <v>0</v>
      </c>
      <c r="Q87" s="1">
        <f t="shared" si="18"/>
        <v>52.6</v>
      </c>
      <c r="R87" s="5"/>
      <c r="S87" s="5">
        <f t="shared" si="21"/>
        <v>0</v>
      </c>
      <c r="T87" s="17"/>
      <c r="U87" s="1">
        <f t="shared" si="22"/>
        <v>17.14828897338403</v>
      </c>
      <c r="V87" s="1">
        <f t="shared" si="20"/>
        <v>17.14828897338403</v>
      </c>
      <c r="W87" s="1">
        <v>55.4</v>
      </c>
      <c r="X87" s="1">
        <v>88.4</v>
      </c>
      <c r="Y87" s="1">
        <v>94.2</v>
      </c>
      <c r="Z87" s="1">
        <v>52.8</v>
      </c>
      <c r="AA87" s="1">
        <v>65.599999999999994</v>
      </c>
      <c r="AB87" s="1">
        <v>54.8</v>
      </c>
      <c r="AC87" s="1">
        <v>60.4</v>
      </c>
      <c r="AD87" s="1">
        <v>54.2</v>
      </c>
      <c r="AE87" s="1">
        <v>56.8</v>
      </c>
      <c r="AF87" s="1">
        <v>44.2</v>
      </c>
      <c r="AG87" s="1"/>
      <c r="AH87" s="1">
        <f t="shared" si="23"/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136</v>
      </c>
      <c r="B88" s="1" t="s">
        <v>40</v>
      </c>
      <c r="C88" s="1">
        <v>732</v>
      </c>
      <c r="D88" s="1">
        <v>349</v>
      </c>
      <c r="E88" s="1">
        <v>338</v>
      </c>
      <c r="F88" s="1">
        <v>400</v>
      </c>
      <c r="G88" s="7">
        <v>0.28000000000000003</v>
      </c>
      <c r="H88" s="1">
        <v>45</v>
      </c>
      <c r="I88" s="1" t="s">
        <v>41</v>
      </c>
      <c r="J88" s="1"/>
      <c r="K88" s="1">
        <v>400</v>
      </c>
      <c r="L88" s="1">
        <f t="shared" si="17"/>
        <v>-62</v>
      </c>
      <c r="M88" s="1"/>
      <c r="N88" s="1"/>
      <c r="O88" s="1">
        <v>181</v>
      </c>
      <c r="P88" s="1">
        <v>422</v>
      </c>
      <c r="Q88" s="1">
        <f t="shared" si="18"/>
        <v>67.599999999999994</v>
      </c>
      <c r="R88" s="5">
        <f t="shared" si="25"/>
        <v>10.999999999999886</v>
      </c>
      <c r="S88" s="5">
        <f t="shared" si="21"/>
        <v>11</v>
      </c>
      <c r="T88" s="17"/>
      <c r="U88" s="1">
        <f t="shared" si="22"/>
        <v>15.000000000000002</v>
      </c>
      <c r="V88" s="1">
        <f t="shared" si="20"/>
        <v>14.837278106508878</v>
      </c>
      <c r="W88" s="1">
        <v>86.6</v>
      </c>
      <c r="X88" s="1">
        <v>90.2</v>
      </c>
      <c r="Y88" s="1">
        <v>81.8</v>
      </c>
      <c r="Z88" s="1">
        <v>59.8</v>
      </c>
      <c r="AA88" s="1">
        <v>55.2</v>
      </c>
      <c r="AB88" s="1">
        <v>44.4</v>
      </c>
      <c r="AC88" s="1">
        <v>60.6</v>
      </c>
      <c r="AD88" s="1">
        <v>61</v>
      </c>
      <c r="AE88" s="1">
        <v>47</v>
      </c>
      <c r="AF88" s="1">
        <v>60.2</v>
      </c>
      <c r="AG88" s="1"/>
      <c r="AH88" s="1">
        <f t="shared" si="23"/>
        <v>3.08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9" t="s">
        <v>137</v>
      </c>
      <c r="B89" s="9" t="s">
        <v>40</v>
      </c>
      <c r="C89" s="9">
        <v>1</v>
      </c>
      <c r="D89" s="9">
        <v>11</v>
      </c>
      <c r="E89" s="9">
        <v>-5</v>
      </c>
      <c r="F89" s="9"/>
      <c r="G89" s="10">
        <v>0</v>
      </c>
      <c r="H89" s="9">
        <v>45</v>
      </c>
      <c r="I89" s="9" t="s">
        <v>37</v>
      </c>
      <c r="J89" s="9"/>
      <c r="K89" s="9">
        <v>150</v>
      </c>
      <c r="L89" s="9">
        <f t="shared" si="17"/>
        <v>-155</v>
      </c>
      <c r="M89" s="9"/>
      <c r="N89" s="9"/>
      <c r="O89" s="9">
        <v>0</v>
      </c>
      <c r="P89" s="9">
        <v>0</v>
      </c>
      <c r="Q89" s="9">
        <f t="shared" si="18"/>
        <v>-1</v>
      </c>
      <c r="R89" s="11"/>
      <c r="S89" s="5">
        <f t="shared" si="21"/>
        <v>0</v>
      </c>
      <c r="T89" s="16"/>
      <c r="U89" s="1">
        <f t="shared" si="22"/>
        <v>0</v>
      </c>
      <c r="V89" s="9">
        <f t="shared" si="20"/>
        <v>0</v>
      </c>
      <c r="W89" s="9">
        <v>0.4</v>
      </c>
      <c r="X89" s="9">
        <v>18.399999999999999</v>
      </c>
      <c r="Y89" s="9">
        <v>18.2</v>
      </c>
      <c r="Z89" s="9">
        <v>9.6</v>
      </c>
      <c r="AA89" s="9">
        <v>16</v>
      </c>
      <c r="AB89" s="9">
        <v>7.2</v>
      </c>
      <c r="AC89" s="9">
        <v>9.4</v>
      </c>
      <c r="AD89" s="9">
        <v>15.6</v>
      </c>
      <c r="AE89" s="9">
        <v>7.8</v>
      </c>
      <c r="AF89" s="9">
        <v>14</v>
      </c>
      <c r="AG89" s="9" t="s">
        <v>90</v>
      </c>
      <c r="AH89" s="1">
        <f t="shared" si="23"/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9" t="s">
        <v>138</v>
      </c>
      <c r="B90" s="9" t="s">
        <v>40</v>
      </c>
      <c r="C90" s="9">
        <v>176</v>
      </c>
      <c r="D90" s="9">
        <v>24</v>
      </c>
      <c r="E90" s="9"/>
      <c r="F90" s="9">
        <v>174</v>
      </c>
      <c r="G90" s="10">
        <v>0</v>
      </c>
      <c r="H90" s="9"/>
      <c r="I90" s="9" t="s">
        <v>37</v>
      </c>
      <c r="J90" s="9"/>
      <c r="K90" s="9">
        <v>1</v>
      </c>
      <c r="L90" s="9">
        <f t="shared" si="17"/>
        <v>-1</v>
      </c>
      <c r="M90" s="9"/>
      <c r="N90" s="9"/>
      <c r="O90" s="9">
        <v>0</v>
      </c>
      <c r="P90" s="9">
        <v>0</v>
      </c>
      <c r="Q90" s="9">
        <f t="shared" si="18"/>
        <v>0</v>
      </c>
      <c r="R90" s="11"/>
      <c r="S90" s="5">
        <f t="shared" si="21"/>
        <v>0</v>
      </c>
      <c r="T90" s="16"/>
      <c r="U90" s="1" t="e">
        <f t="shared" si="22"/>
        <v>#DIV/0!</v>
      </c>
      <c r="V90" s="9" t="e">
        <f t="shared" si="20"/>
        <v>#DIV/0!</v>
      </c>
      <c r="W90" s="9">
        <v>1.6</v>
      </c>
      <c r="X90" s="9">
        <v>3.2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12" t="s">
        <v>38</v>
      </c>
      <c r="AH90" s="1">
        <f t="shared" si="23"/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139</v>
      </c>
      <c r="B91" s="1" t="s">
        <v>40</v>
      </c>
      <c r="C91" s="1">
        <v>884</v>
      </c>
      <c r="D91" s="1">
        <v>389</v>
      </c>
      <c r="E91" s="1">
        <v>261</v>
      </c>
      <c r="F91" s="1">
        <v>628</v>
      </c>
      <c r="G91" s="7">
        <v>0.28000000000000003</v>
      </c>
      <c r="H91" s="1">
        <v>45</v>
      </c>
      <c r="I91" s="1" t="s">
        <v>41</v>
      </c>
      <c r="J91" s="1"/>
      <c r="K91" s="1">
        <v>310</v>
      </c>
      <c r="L91" s="1">
        <f t="shared" si="17"/>
        <v>-49</v>
      </c>
      <c r="M91" s="1"/>
      <c r="N91" s="1"/>
      <c r="O91" s="1">
        <v>0</v>
      </c>
      <c r="P91" s="1">
        <v>214</v>
      </c>
      <c r="Q91" s="1">
        <f t="shared" si="18"/>
        <v>52.2</v>
      </c>
      <c r="R91" s="5"/>
      <c r="S91" s="5">
        <f t="shared" si="21"/>
        <v>0</v>
      </c>
      <c r="T91" s="17"/>
      <c r="U91" s="1">
        <f t="shared" si="22"/>
        <v>16.130268199233715</v>
      </c>
      <c r="V91" s="1">
        <f t="shared" si="20"/>
        <v>16.130268199233715</v>
      </c>
      <c r="W91" s="1">
        <v>71.8</v>
      </c>
      <c r="X91" s="1">
        <v>70.8</v>
      </c>
      <c r="Y91" s="1">
        <v>74.2</v>
      </c>
      <c r="Z91" s="1">
        <v>48.8</v>
      </c>
      <c r="AA91" s="1">
        <v>44.4</v>
      </c>
      <c r="AB91" s="1">
        <v>43.2</v>
      </c>
      <c r="AC91" s="1">
        <v>40</v>
      </c>
      <c r="AD91" s="1">
        <v>44.6</v>
      </c>
      <c r="AE91" s="1">
        <v>35.799999999999997</v>
      </c>
      <c r="AF91" s="1">
        <v>31.2</v>
      </c>
      <c r="AG91" s="1"/>
      <c r="AH91" s="1">
        <f t="shared" si="23"/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140</v>
      </c>
      <c r="B92" s="1" t="s">
        <v>40</v>
      </c>
      <c r="C92" s="1">
        <v>857</v>
      </c>
      <c r="D92" s="1">
        <v>312</v>
      </c>
      <c r="E92" s="1">
        <v>682</v>
      </c>
      <c r="F92" s="1">
        <v>180</v>
      </c>
      <c r="G92" s="7">
        <v>0.4</v>
      </c>
      <c r="H92" s="1">
        <v>50</v>
      </c>
      <c r="I92" s="1" t="s">
        <v>41</v>
      </c>
      <c r="J92" s="1"/>
      <c r="K92" s="1">
        <v>764</v>
      </c>
      <c r="L92" s="1">
        <f t="shared" si="17"/>
        <v>-82</v>
      </c>
      <c r="M92" s="1"/>
      <c r="N92" s="1"/>
      <c r="O92" s="1">
        <v>800</v>
      </c>
      <c r="P92" s="1">
        <v>0</v>
      </c>
      <c r="Q92" s="1">
        <f t="shared" si="18"/>
        <v>136.4</v>
      </c>
      <c r="R92" s="5">
        <f t="shared" ref="R92" si="26">15*Q92-P92-O92-F92</f>
        <v>1066</v>
      </c>
      <c r="S92" s="5">
        <f t="shared" si="21"/>
        <v>1066</v>
      </c>
      <c r="T92" s="17"/>
      <c r="U92" s="1">
        <f t="shared" si="22"/>
        <v>15</v>
      </c>
      <c r="V92" s="1">
        <f t="shared" si="20"/>
        <v>7.1847507331378297</v>
      </c>
      <c r="W92" s="1">
        <v>73</v>
      </c>
      <c r="X92" s="1">
        <v>123.8</v>
      </c>
      <c r="Y92" s="1">
        <v>112.6</v>
      </c>
      <c r="Z92" s="1">
        <v>89.6</v>
      </c>
      <c r="AA92" s="1">
        <v>96</v>
      </c>
      <c r="AB92" s="1">
        <v>94.4</v>
      </c>
      <c r="AC92" s="1">
        <v>101.8</v>
      </c>
      <c r="AD92" s="1">
        <v>92.8</v>
      </c>
      <c r="AE92" s="1">
        <v>89</v>
      </c>
      <c r="AF92" s="1">
        <v>89.4</v>
      </c>
      <c r="AG92" s="1"/>
      <c r="AH92" s="1">
        <f t="shared" si="23"/>
        <v>426.40000000000003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9" t="s">
        <v>141</v>
      </c>
      <c r="B93" s="9" t="s">
        <v>40</v>
      </c>
      <c r="C93" s="9">
        <v>20</v>
      </c>
      <c r="D93" s="9">
        <v>4</v>
      </c>
      <c r="E93" s="9">
        <v>1</v>
      </c>
      <c r="F93" s="9"/>
      <c r="G93" s="10">
        <v>0</v>
      </c>
      <c r="H93" s="9">
        <v>30</v>
      </c>
      <c r="I93" s="9" t="s">
        <v>37</v>
      </c>
      <c r="J93" s="9"/>
      <c r="K93" s="9">
        <v>34</v>
      </c>
      <c r="L93" s="9">
        <f t="shared" si="17"/>
        <v>-33</v>
      </c>
      <c r="M93" s="9"/>
      <c r="N93" s="9"/>
      <c r="O93" s="9">
        <v>0</v>
      </c>
      <c r="P93" s="9">
        <v>0</v>
      </c>
      <c r="Q93" s="9">
        <f t="shared" si="18"/>
        <v>0.2</v>
      </c>
      <c r="R93" s="11"/>
      <c r="S93" s="5">
        <f t="shared" si="21"/>
        <v>0</v>
      </c>
      <c r="T93" s="16"/>
      <c r="U93" s="1">
        <f t="shared" si="22"/>
        <v>0</v>
      </c>
      <c r="V93" s="9">
        <f t="shared" si="20"/>
        <v>0</v>
      </c>
      <c r="W93" s="9">
        <v>0.8</v>
      </c>
      <c r="X93" s="9">
        <v>0.8</v>
      </c>
      <c r="Y93" s="9">
        <v>0</v>
      </c>
      <c r="Z93" s="9">
        <v>2</v>
      </c>
      <c r="AA93" s="9">
        <v>0.4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 t="s">
        <v>90</v>
      </c>
      <c r="AH93" s="1">
        <f t="shared" si="23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9" t="s">
        <v>142</v>
      </c>
      <c r="B94" s="9" t="s">
        <v>40</v>
      </c>
      <c r="C94" s="9">
        <v>-20</v>
      </c>
      <c r="D94" s="9">
        <v>20</v>
      </c>
      <c r="E94" s="9"/>
      <c r="F94" s="9"/>
      <c r="G94" s="10">
        <v>0</v>
      </c>
      <c r="H94" s="9">
        <v>60</v>
      </c>
      <c r="I94" s="9" t="s">
        <v>37</v>
      </c>
      <c r="J94" s="9" t="s">
        <v>143</v>
      </c>
      <c r="K94" s="9">
        <v>33</v>
      </c>
      <c r="L94" s="9">
        <f t="shared" si="17"/>
        <v>-33</v>
      </c>
      <c r="M94" s="9"/>
      <c r="N94" s="9"/>
      <c r="O94" s="9">
        <v>0</v>
      </c>
      <c r="P94" s="9">
        <v>0</v>
      </c>
      <c r="Q94" s="9">
        <f t="shared" si="18"/>
        <v>0</v>
      </c>
      <c r="R94" s="11"/>
      <c r="S94" s="5">
        <f t="shared" si="21"/>
        <v>0</v>
      </c>
      <c r="T94" s="16"/>
      <c r="U94" s="1" t="e">
        <f t="shared" si="22"/>
        <v>#DIV/0!</v>
      </c>
      <c r="V94" s="9" t="e">
        <f t="shared" si="20"/>
        <v>#DIV/0!</v>
      </c>
      <c r="W94" s="9">
        <v>-0.2</v>
      </c>
      <c r="X94" s="9">
        <v>4</v>
      </c>
      <c r="Y94" s="9">
        <v>0.6</v>
      </c>
      <c r="Z94" s="9">
        <v>8.6</v>
      </c>
      <c r="AA94" s="9">
        <v>4.2</v>
      </c>
      <c r="AB94" s="9">
        <v>2.6</v>
      </c>
      <c r="AC94" s="9">
        <v>8</v>
      </c>
      <c r="AD94" s="9">
        <v>6.4</v>
      </c>
      <c r="AE94" s="9">
        <v>5.8</v>
      </c>
      <c r="AF94" s="9">
        <v>7.8</v>
      </c>
      <c r="AG94" s="9" t="s">
        <v>144</v>
      </c>
      <c r="AH94" s="1">
        <f t="shared" si="23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145</v>
      </c>
      <c r="B95" s="1" t="s">
        <v>36</v>
      </c>
      <c r="C95" s="1">
        <v>18.818999999999999</v>
      </c>
      <c r="D95" s="1">
        <v>2.06</v>
      </c>
      <c r="E95" s="1">
        <v>15.170999999999999</v>
      </c>
      <c r="F95" s="1">
        <v>2.1280000000000001</v>
      </c>
      <c r="G95" s="7">
        <v>1</v>
      </c>
      <c r="H95" s="1">
        <v>30</v>
      </c>
      <c r="I95" s="1" t="s">
        <v>41</v>
      </c>
      <c r="J95" s="1"/>
      <c r="K95" s="1">
        <v>17.5</v>
      </c>
      <c r="L95" s="1">
        <f t="shared" si="17"/>
        <v>-2.3290000000000006</v>
      </c>
      <c r="M95" s="1"/>
      <c r="N95" s="1"/>
      <c r="O95" s="1">
        <v>0</v>
      </c>
      <c r="P95" s="1">
        <v>46</v>
      </c>
      <c r="Q95" s="1">
        <f t="shared" si="18"/>
        <v>3.0341999999999998</v>
      </c>
      <c r="R95" s="5"/>
      <c r="S95" s="5">
        <v>100</v>
      </c>
      <c r="T95" s="17">
        <v>200</v>
      </c>
      <c r="U95" s="1">
        <f t="shared" si="22"/>
        <v>48.819458176784657</v>
      </c>
      <c r="V95" s="1">
        <f t="shared" si="20"/>
        <v>15.861841671610311</v>
      </c>
      <c r="W95" s="1">
        <v>4.6256000000000004</v>
      </c>
      <c r="X95" s="1">
        <v>0.94879999999999998</v>
      </c>
      <c r="Y95" s="1">
        <v>0.78600000000000003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 t="s">
        <v>179</v>
      </c>
      <c r="AH95" s="1">
        <f t="shared" si="23"/>
        <v>100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146</v>
      </c>
      <c r="B96" s="1" t="s">
        <v>40</v>
      </c>
      <c r="C96" s="1">
        <v>34</v>
      </c>
      <c r="D96" s="1">
        <v>2</v>
      </c>
      <c r="E96" s="1">
        <v>27</v>
      </c>
      <c r="F96" s="1">
        <v>3</v>
      </c>
      <c r="G96" s="7">
        <v>0.28000000000000003</v>
      </c>
      <c r="H96" s="1">
        <v>50</v>
      </c>
      <c r="I96" s="1" t="s">
        <v>41</v>
      </c>
      <c r="J96" s="1"/>
      <c r="K96" s="1">
        <v>44</v>
      </c>
      <c r="L96" s="1">
        <f t="shared" si="17"/>
        <v>-17</v>
      </c>
      <c r="M96" s="1"/>
      <c r="N96" s="1"/>
      <c r="O96" s="1">
        <v>27</v>
      </c>
      <c r="P96" s="1">
        <v>20</v>
      </c>
      <c r="Q96" s="1">
        <f t="shared" si="18"/>
        <v>5.4</v>
      </c>
      <c r="R96" s="5">
        <f t="shared" ref="R96" si="27">15*Q96-P96-O96-F96</f>
        <v>31</v>
      </c>
      <c r="S96" s="5">
        <f t="shared" si="21"/>
        <v>31</v>
      </c>
      <c r="T96" s="17"/>
      <c r="U96" s="1">
        <f t="shared" si="22"/>
        <v>14.999999999999998</v>
      </c>
      <c r="V96" s="1">
        <f t="shared" si="20"/>
        <v>9.2592592592592595</v>
      </c>
      <c r="W96" s="1">
        <v>2.8</v>
      </c>
      <c r="X96" s="1">
        <v>5.2</v>
      </c>
      <c r="Y96" s="1">
        <v>5.6</v>
      </c>
      <c r="Z96" s="1">
        <v>4.4000000000000004</v>
      </c>
      <c r="AA96" s="1">
        <v>3.6</v>
      </c>
      <c r="AB96" s="1">
        <v>6.4</v>
      </c>
      <c r="AC96" s="1">
        <v>5.2</v>
      </c>
      <c r="AD96" s="1">
        <v>5.6</v>
      </c>
      <c r="AE96" s="1">
        <v>6.2</v>
      </c>
      <c r="AF96" s="1">
        <v>5.8</v>
      </c>
      <c r="AG96" s="1"/>
      <c r="AH96" s="1">
        <f t="shared" si="23"/>
        <v>8.6800000000000015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9" t="s">
        <v>147</v>
      </c>
      <c r="B97" s="9" t="s">
        <v>40</v>
      </c>
      <c r="C97" s="9">
        <v>3</v>
      </c>
      <c r="D97" s="9">
        <v>7</v>
      </c>
      <c r="E97" s="9">
        <v>6</v>
      </c>
      <c r="F97" s="9">
        <v>4</v>
      </c>
      <c r="G97" s="10">
        <v>0</v>
      </c>
      <c r="H97" s="9">
        <v>50</v>
      </c>
      <c r="I97" s="9" t="s">
        <v>37</v>
      </c>
      <c r="J97" s="9"/>
      <c r="K97" s="9">
        <v>12</v>
      </c>
      <c r="L97" s="9">
        <f t="shared" si="17"/>
        <v>-6</v>
      </c>
      <c r="M97" s="9"/>
      <c r="N97" s="9"/>
      <c r="O97" s="9">
        <v>0</v>
      </c>
      <c r="P97" s="9">
        <v>0</v>
      </c>
      <c r="Q97" s="9">
        <f t="shared" si="18"/>
        <v>1.2</v>
      </c>
      <c r="R97" s="11"/>
      <c r="S97" s="5">
        <f t="shared" si="21"/>
        <v>0</v>
      </c>
      <c r="T97" s="16"/>
      <c r="U97" s="1">
        <f t="shared" si="22"/>
        <v>3.3333333333333335</v>
      </c>
      <c r="V97" s="9">
        <f t="shared" si="20"/>
        <v>3.3333333333333335</v>
      </c>
      <c r="W97" s="9">
        <v>2.4</v>
      </c>
      <c r="X97" s="9">
        <v>2</v>
      </c>
      <c r="Y97" s="9">
        <v>1.4</v>
      </c>
      <c r="Z97" s="9">
        <v>0.4</v>
      </c>
      <c r="AA97" s="9">
        <v>0.2</v>
      </c>
      <c r="AB97" s="9">
        <v>0.6</v>
      </c>
      <c r="AC97" s="9">
        <v>0.2</v>
      </c>
      <c r="AD97" s="9">
        <v>0.6</v>
      </c>
      <c r="AE97" s="9">
        <v>0.4</v>
      </c>
      <c r="AF97" s="9">
        <v>0</v>
      </c>
      <c r="AG97" s="9"/>
      <c r="AH97" s="1">
        <f t="shared" si="23"/>
        <v>0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9" t="s">
        <v>148</v>
      </c>
      <c r="B98" s="9" t="s">
        <v>40</v>
      </c>
      <c r="C98" s="9">
        <v>240</v>
      </c>
      <c r="D98" s="9">
        <v>40</v>
      </c>
      <c r="E98" s="9"/>
      <c r="F98" s="9">
        <v>280</v>
      </c>
      <c r="G98" s="10">
        <v>0</v>
      </c>
      <c r="H98" s="9"/>
      <c r="I98" s="9" t="s">
        <v>37</v>
      </c>
      <c r="J98" s="9"/>
      <c r="K98" s="9"/>
      <c r="L98" s="9">
        <f t="shared" si="17"/>
        <v>0</v>
      </c>
      <c r="M98" s="9"/>
      <c r="N98" s="9"/>
      <c r="O98" s="9">
        <v>0</v>
      </c>
      <c r="P98" s="9">
        <v>0</v>
      </c>
      <c r="Q98" s="9">
        <f t="shared" si="18"/>
        <v>0</v>
      </c>
      <c r="R98" s="11"/>
      <c r="S98" s="5">
        <f t="shared" si="21"/>
        <v>0</v>
      </c>
      <c r="T98" s="16"/>
      <c r="U98" s="1" t="e">
        <f t="shared" si="22"/>
        <v>#DIV/0!</v>
      </c>
      <c r="V98" s="9" t="e">
        <f t="shared" si="20"/>
        <v>#DIV/0!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12" t="s">
        <v>38</v>
      </c>
      <c r="AH98" s="1">
        <f t="shared" si="23"/>
        <v>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9" t="s">
        <v>149</v>
      </c>
      <c r="B99" s="9" t="s">
        <v>40</v>
      </c>
      <c r="C99" s="9">
        <v>-8</v>
      </c>
      <c r="D99" s="9">
        <v>8</v>
      </c>
      <c r="E99" s="9"/>
      <c r="F99" s="9"/>
      <c r="G99" s="10">
        <v>0</v>
      </c>
      <c r="H99" s="9">
        <v>45</v>
      </c>
      <c r="I99" s="9" t="s">
        <v>37</v>
      </c>
      <c r="J99" s="9"/>
      <c r="K99" s="9">
        <v>54</v>
      </c>
      <c r="L99" s="9">
        <f t="shared" si="17"/>
        <v>-54</v>
      </c>
      <c r="M99" s="9"/>
      <c r="N99" s="9"/>
      <c r="O99" s="9">
        <v>0</v>
      </c>
      <c r="P99" s="9">
        <v>0</v>
      </c>
      <c r="Q99" s="9">
        <f t="shared" si="18"/>
        <v>0</v>
      </c>
      <c r="R99" s="11"/>
      <c r="S99" s="5">
        <f t="shared" si="21"/>
        <v>0</v>
      </c>
      <c r="T99" s="16"/>
      <c r="U99" s="1" t="e">
        <f t="shared" si="22"/>
        <v>#DIV/0!</v>
      </c>
      <c r="V99" s="9" t="e">
        <f t="shared" si="20"/>
        <v>#DIV/0!</v>
      </c>
      <c r="W99" s="9">
        <v>2.4</v>
      </c>
      <c r="X99" s="9">
        <v>1.8</v>
      </c>
      <c r="Y99" s="9">
        <v>30</v>
      </c>
      <c r="Z99" s="9">
        <v>31.6</v>
      </c>
      <c r="AA99" s="9">
        <v>25.8</v>
      </c>
      <c r="AB99" s="9">
        <v>16.399999999999999</v>
      </c>
      <c r="AC99" s="9">
        <v>39</v>
      </c>
      <c r="AD99" s="9">
        <v>22.2</v>
      </c>
      <c r="AE99" s="9">
        <v>37</v>
      </c>
      <c r="AF99" s="9">
        <v>35.799999999999997</v>
      </c>
      <c r="AG99" s="9" t="s">
        <v>90</v>
      </c>
      <c r="AH99" s="1">
        <f t="shared" si="23"/>
        <v>0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9" t="s">
        <v>150</v>
      </c>
      <c r="B100" s="9" t="s">
        <v>40</v>
      </c>
      <c r="C100" s="9">
        <v>96</v>
      </c>
      <c r="D100" s="9"/>
      <c r="E100" s="9"/>
      <c r="F100" s="9"/>
      <c r="G100" s="10">
        <v>0</v>
      </c>
      <c r="H100" s="9"/>
      <c r="I100" s="9" t="s">
        <v>37</v>
      </c>
      <c r="J100" s="9"/>
      <c r="K100" s="9"/>
      <c r="L100" s="9">
        <f t="shared" si="17"/>
        <v>0</v>
      </c>
      <c r="M100" s="9"/>
      <c r="N100" s="9"/>
      <c r="O100" s="9">
        <v>0</v>
      </c>
      <c r="P100" s="9">
        <v>0</v>
      </c>
      <c r="Q100" s="9">
        <f t="shared" si="18"/>
        <v>0</v>
      </c>
      <c r="R100" s="11"/>
      <c r="S100" s="5">
        <f t="shared" si="21"/>
        <v>0</v>
      </c>
      <c r="T100" s="16"/>
      <c r="U100" s="1" t="e">
        <f t="shared" si="22"/>
        <v>#DIV/0!</v>
      </c>
      <c r="V100" s="9" t="e">
        <f t="shared" si="20"/>
        <v>#DIV/0!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 t="s">
        <v>151</v>
      </c>
      <c r="AH100" s="1">
        <f t="shared" si="23"/>
        <v>0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152</v>
      </c>
      <c r="B101" s="1" t="s">
        <v>40</v>
      </c>
      <c r="C101" s="1">
        <v>395</v>
      </c>
      <c r="D101" s="1">
        <v>108</v>
      </c>
      <c r="E101" s="1">
        <v>274</v>
      </c>
      <c r="F101" s="1">
        <v>119</v>
      </c>
      <c r="G101" s="7">
        <v>0.12</v>
      </c>
      <c r="H101" s="1">
        <v>60</v>
      </c>
      <c r="I101" s="1" t="s">
        <v>41</v>
      </c>
      <c r="J101" s="1"/>
      <c r="K101" s="1">
        <v>308</v>
      </c>
      <c r="L101" s="1">
        <f t="shared" si="17"/>
        <v>-34</v>
      </c>
      <c r="M101" s="1"/>
      <c r="N101" s="1"/>
      <c r="O101" s="1">
        <v>291</v>
      </c>
      <c r="P101" s="1">
        <v>50</v>
      </c>
      <c r="Q101" s="1">
        <f t="shared" si="18"/>
        <v>54.8</v>
      </c>
      <c r="R101" s="5">
        <f>15*Q101-P101-O101-F101</f>
        <v>362</v>
      </c>
      <c r="S101" s="5">
        <f t="shared" si="21"/>
        <v>362</v>
      </c>
      <c r="T101" s="17"/>
      <c r="U101" s="1">
        <f t="shared" si="22"/>
        <v>15</v>
      </c>
      <c r="V101" s="1">
        <f t="shared" si="20"/>
        <v>8.3941605839416056</v>
      </c>
      <c r="W101" s="1">
        <v>35.6</v>
      </c>
      <c r="X101" s="1">
        <v>57.8</v>
      </c>
      <c r="Y101" s="1">
        <v>44.4</v>
      </c>
      <c r="Z101" s="1">
        <v>26.4</v>
      </c>
      <c r="AA101" s="1">
        <v>32.6</v>
      </c>
      <c r="AB101" s="1">
        <v>18.399999999999999</v>
      </c>
      <c r="AC101" s="1">
        <v>33.799999999999997</v>
      </c>
      <c r="AD101" s="1">
        <v>18.8</v>
      </c>
      <c r="AE101" s="1">
        <v>24.8</v>
      </c>
      <c r="AF101" s="1">
        <v>32</v>
      </c>
      <c r="AG101" s="1"/>
      <c r="AH101" s="1">
        <f t="shared" si="23"/>
        <v>43.44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9" t="s">
        <v>153</v>
      </c>
      <c r="B102" s="9" t="s">
        <v>40</v>
      </c>
      <c r="C102" s="9">
        <v>133</v>
      </c>
      <c r="D102" s="9">
        <v>38</v>
      </c>
      <c r="E102" s="9">
        <v>27</v>
      </c>
      <c r="F102" s="9">
        <v>116</v>
      </c>
      <c r="G102" s="10">
        <v>0</v>
      </c>
      <c r="H102" s="9"/>
      <c r="I102" s="9" t="s">
        <v>37</v>
      </c>
      <c r="J102" s="9"/>
      <c r="K102" s="9">
        <v>34</v>
      </c>
      <c r="L102" s="9">
        <f t="shared" ref="L102:L120" si="28">E102-K102</f>
        <v>-7</v>
      </c>
      <c r="M102" s="9"/>
      <c r="N102" s="9"/>
      <c r="O102" s="9">
        <v>0</v>
      </c>
      <c r="P102" s="9">
        <v>0</v>
      </c>
      <c r="Q102" s="9">
        <f t="shared" ref="Q102:Q120" si="29">E102/5</f>
        <v>5.4</v>
      </c>
      <c r="R102" s="11"/>
      <c r="S102" s="5">
        <f t="shared" si="21"/>
        <v>0</v>
      </c>
      <c r="T102" s="16"/>
      <c r="U102" s="1">
        <f t="shared" si="22"/>
        <v>21.481481481481481</v>
      </c>
      <c r="V102" s="9">
        <f t="shared" ref="V102:V120" si="30">(F102+O102+P102)/Q102</f>
        <v>21.481481481481481</v>
      </c>
      <c r="W102" s="9">
        <v>9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 t="s">
        <v>62</v>
      </c>
      <c r="AH102" s="1">
        <f t="shared" si="23"/>
        <v>0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154</v>
      </c>
      <c r="B103" s="1" t="s">
        <v>40</v>
      </c>
      <c r="C103" s="1">
        <v>-7</v>
      </c>
      <c r="D103" s="1">
        <v>24</v>
      </c>
      <c r="E103" s="1">
        <v>9</v>
      </c>
      <c r="F103" s="1"/>
      <c r="G103" s="7">
        <v>0.33</v>
      </c>
      <c r="H103" s="1">
        <v>30</v>
      </c>
      <c r="I103" s="1" t="s">
        <v>41</v>
      </c>
      <c r="J103" s="1"/>
      <c r="K103" s="1">
        <v>164</v>
      </c>
      <c r="L103" s="1">
        <f t="shared" si="28"/>
        <v>-155</v>
      </c>
      <c r="M103" s="1"/>
      <c r="N103" s="1"/>
      <c r="O103" s="1">
        <v>423</v>
      </c>
      <c r="P103" s="1">
        <v>161</v>
      </c>
      <c r="Q103" s="1">
        <f t="shared" si="29"/>
        <v>1.8</v>
      </c>
      <c r="R103" s="5"/>
      <c r="S103" s="5">
        <f t="shared" si="21"/>
        <v>0</v>
      </c>
      <c r="T103" s="17"/>
      <c r="U103" s="1">
        <f t="shared" si="22"/>
        <v>324.44444444444446</v>
      </c>
      <c r="V103" s="1">
        <f t="shared" si="30"/>
        <v>324.44444444444446</v>
      </c>
      <c r="W103" s="1">
        <v>37.799999999999997</v>
      </c>
      <c r="X103" s="1">
        <v>56</v>
      </c>
      <c r="Y103" s="1">
        <v>32.200000000000003</v>
      </c>
      <c r="Z103" s="1">
        <v>40</v>
      </c>
      <c r="AA103" s="1">
        <v>37.4</v>
      </c>
      <c r="AB103" s="1">
        <v>23</v>
      </c>
      <c r="AC103" s="1">
        <v>38</v>
      </c>
      <c r="AD103" s="1">
        <v>49.6</v>
      </c>
      <c r="AE103" s="1">
        <v>18</v>
      </c>
      <c r="AF103" s="1">
        <v>29.2</v>
      </c>
      <c r="AG103" s="1"/>
      <c r="AH103" s="1">
        <f t="shared" si="23"/>
        <v>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4" t="s">
        <v>155</v>
      </c>
      <c r="B104" s="1" t="s">
        <v>40</v>
      </c>
      <c r="C104" s="1"/>
      <c r="D104" s="1"/>
      <c r="E104" s="1"/>
      <c r="F104" s="1"/>
      <c r="G104" s="7">
        <v>0.15</v>
      </c>
      <c r="H104" s="1">
        <v>60</v>
      </c>
      <c r="I104" s="1" t="s">
        <v>41</v>
      </c>
      <c r="J104" s="1"/>
      <c r="K104" s="1"/>
      <c r="L104" s="1">
        <f t="shared" si="28"/>
        <v>0</v>
      </c>
      <c r="M104" s="1"/>
      <c r="N104" s="1"/>
      <c r="O104" s="1">
        <v>100</v>
      </c>
      <c r="P104" s="1">
        <v>0</v>
      </c>
      <c r="Q104" s="1">
        <f t="shared" si="29"/>
        <v>0</v>
      </c>
      <c r="R104" s="5"/>
      <c r="S104" s="5">
        <v>100</v>
      </c>
      <c r="T104" s="17">
        <v>150</v>
      </c>
      <c r="U104" s="1" t="e">
        <f t="shared" si="22"/>
        <v>#DIV/0!</v>
      </c>
      <c r="V104" s="1" t="e">
        <f t="shared" si="30"/>
        <v>#DIV/0!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 t="s">
        <v>180</v>
      </c>
      <c r="AH104" s="1">
        <f t="shared" si="23"/>
        <v>15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20" t="s">
        <v>156</v>
      </c>
      <c r="B105" s="20" t="s">
        <v>40</v>
      </c>
      <c r="C105" s="20">
        <v>1</v>
      </c>
      <c r="D105" s="20"/>
      <c r="E105" s="20">
        <v>-5</v>
      </c>
      <c r="F105" s="20"/>
      <c r="G105" s="21">
        <v>0</v>
      </c>
      <c r="H105" s="20">
        <v>45</v>
      </c>
      <c r="I105" s="20" t="s">
        <v>90</v>
      </c>
      <c r="J105" s="20"/>
      <c r="K105" s="20">
        <v>118</v>
      </c>
      <c r="L105" s="20">
        <f t="shared" si="28"/>
        <v>-123</v>
      </c>
      <c r="M105" s="20"/>
      <c r="N105" s="20"/>
      <c r="O105" s="20">
        <v>120</v>
      </c>
      <c r="P105" s="20">
        <v>0</v>
      </c>
      <c r="Q105" s="20">
        <f t="shared" si="29"/>
        <v>-1</v>
      </c>
      <c r="R105" s="22"/>
      <c r="S105" s="22"/>
      <c r="T105" s="23"/>
      <c r="U105" s="20">
        <f t="shared" si="22"/>
        <v>-120</v>
      </c>
      <c r="V105" s="20">
        <f t="shared" si="30"/>
        <v>-120</v>
      </c>
      <c r="W105" s="20">
        <v>-1</v>
      </c>
      <c r="X105" s="20">
        <v>-2</v>
      </c>
      <c r="Y105" s="20">
        <v>7.4</v>
      </c>
      <c r="Z105" s="20">
        <v>15.6</v>
      </c>
      <c r="AA105" s="20">
        <v>7.4</v>
      </c>
      <c r="AB105" s="20">
        <v>15.8</v>
      </c>
      <c r="AC105" s="20">
        <v>2.8</v>
      </c>
      <c r="AD105" s="20">
        <v>0</v>
      </c>
      <c r="AE105" s="20">
        <v>0</v>
      </c>
      <c r="AF105" s="20">
        <v>0</v>
      </c>
      <c r="AG105" s="24" t="s">
        <v>90</v>
      </c>
      <c r="AH105" s="20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4" t="s">
        <v>157</v>
      </c>
      <c r="B106" s="1" t="s">
        <v>40</v>
      </c>
      <c r="C106" s="1"/>
      <c r="D106" s="1"/>
      <c r="E106" s="1"/>
      <c r="F106" s="1"/>
      <c r="G106" s="7">
        <v>0.26</v>
      </c>
      <c r="H106" s="1">
        <v>45</v>
      </c>
      <c r="I106" s="1" t="s">
        <v>41</v>
      </c>
      <c r="J106" s="1"/>
      <c r="K106" s="1"/>
      <c r="L106" s="1">
        <f t="shared" si="28"/>
        <v>0</v>
      </c>
      <c r="M106" s="1"/>
      <c r="N106" s="1"/>
      <c r="O106" s="1">
        <v>30</v>
      </c>
      <c r="P106" s="1">
        <v>0</v>
      </c>
      <c r="Q106" s="1">
        <f t="shared" si="29"/>
        <v>0</v>
      </c>
      <c r="R106" s="5"/>
      <c r="S106" s="5">
        <v>80</v>
      </c>
      <c r="T106" s="17">
        <v>100</v>
      </c>
      <c r="U106" s="1" t="e">
        <f t="shared" si="22"/>
        <v>#DIV/0!</v>
      </c>
      <c r="V106" s="1" t="e">
        <f t="shared" si="30"/>
        <v>#DIV/0!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 t="s">
        <v>181</v>
      </c>
      <c r="AH106" s="1">
        <f t="shared" si="23"/>
        <v>20.8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4" t="s">
        <v>158</v>
      </c>
      <c r="B107" s="1" t="s">
        <v>40</v>
      </c>
      <c r="C107" s="1"/>
      <c r="D107" s="1"/>
      <c r="E107" s="1"/>
      <c r="F107" s="1"/>
      <c r="G107" s="7">
        <v>0.31</v>
      </c>
      <c r="H107" s="1">
        <v>45</v>
      </c>
      <c r="I107" s="1" t="s">
        <v>41</v>
      </c>
      <c r="J107" s="1"/>
      <c r="K107" s="1"/>
      <c r="L107" s="1">
        <f t="shared" si="28"/>
        <v>0</v>
      </c>
      <c r="M107" s="1"/>
      <c r="N107" s="1"/>
      <c r="O107" s="1">
        <v>30</v>
      </c>
      <c r="P107" s="1">
        <v>0</v>
      </c>
      <c r="Q107" s="1">
        <f t="shared" si="29"/>
        <v>0</v>
      </c>
      <c r="R107" s="5"/>
      <c r="S107" s="5">
        <v>80</v>
      </c>
      <c r="T107" s="17">
        <v>100</v>
      </c>
      <c r="U107" s="1" t="e">
        <f t="shared" si="22"/>
        <v>#DIV/0!</v>
      </c>
      <c r="V107" s="1" t="e">
        <f t="shared" si="30"/>
        <v>#DIV/0!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 t="s">
        <v>181</v>
      </c>
      <c r="AH107" s="1">
        <f t="shared" si="23"/>
        <v>24.8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69</v>
      </c>
      <c r="B108" s="1" t="s">
        <v>40</v>
      </c>
      <c r="C108" s="1">
        <v>387</v>
      </c>
      <c r="D108" s="1">
        <v>205</v>
      </c>
      <c r="E108" s="1">
        <v>160</v>
      </c>
      <c r="F108" s="1">
        <v>232</v>
      </c>
      <c r="G108" s="7">
        <v>0.4</v>
      </c>
      <c r="H108" s="1">
        <v>60</v>
      </c>
      <c r="I108" s="1" t="s">
        <v>41</v>
      </c>
      <c r="J108" s="1"/>
      <c r="K108" s="1">
        <v>187</v>
      </c>
      <c r="L108" s="1">
        <f t="shared" si="28"/>
        <v>-27</v>
      </c>
      <c r="M108" s="1"/>
      <c r="N108" s="1"/>
      <c r="O108" s="1">
        <v>86</v>
      </c>
      <c r="P108" s="1">
        <v>53</v>
      </c>
      <c r="Q108" s="1">
        <f t="shared" si="29"/>
        <v>32</v>
      </c>
      <c r="R108" s="5">
        <f t="shared" ref="R108" si="31">15*Q108-P108-O108-F108</f>
        <v>109</v>
      </c>
      <c r="S108" s="5">
        <f t="shared" si="21"/>
        <v>109</v>
      </c>
      <c r="T108" s="17"/>
      <c r="U108" s="1">
        <f t="shared" si="22"/>
        <v>15</v>
      </c>
      <c r="V108" s="1">
        <f t="shared" si="30"/>
        <v>11.59375</v>
      </c>
      <c r="W108" s="1">
        <v>33</v>
      </c>
      <c r="X108" s="1">
        <v>43</v>
      </c>
      <c r="Y108" s="1">
        <v>36.6</v>
      </c>
      <c r="Z108" s="1">
        <v>18.600000000000001</v>
      </c>
      <c r="AA108" s="1">
        <v>15.8</v>
      </c>
      <c r="AB108" s="1">
        <v>22.2</v>
      </c>
      <c r="AC108" s="1">
        <v>20.399999999999999</v>
      </c>
      <c r="AD108" s="1">
        <v>15.8</v>
      </c>
      <c r="AE108" s="1">
        <v>16</v>
      </c>
      <c r="AF108" s="1">
        <v>20</v>
      </c>
      <c r="AG108" s="1"/>
      <c r="AH108" s="1">
        <f t="shared" si="23"/>
        <v>43.6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4" t="s">
        <v>159</v>
      </c>
      <c r="B109" s="1" t="s">
        <v>40</v>
      </c>
      <c r="C109" s="1">
        <v>75</v>
      </c>
      <c r="D109" s="1"/>
      <c r="E109" s="1">
        <v>18</v>
      </c>
      <c r="F109" s="1">
        <v>57</v>
      </c>
      <c r="G109" s="7">
        <v>0.35</v>
      </c>
      <c r="H109" s="1">
        <v>60</v>
      </c>
      <c r="I109" s="1" t="s">
        <v>41</v>
      </c>
      <c r="J109" s="1"/>
      <c r="K109" s="1">
        <v>131</v>
      </c>
      <c r="L109" s="1">
        <f t="shared" si="28"/>
        <v>-113</v>
      </c>
      <c r="M109" s="1"/>
      <c r="N109" s="1"/>
      <c r="O109" s="1">
        <v>0</v>
      </c>
      <c r="P109" s="1">
        <v>0</v>
      </c>
      <c r="Q109" s="1">
        <f t="shared" si="29"/>
        <v>3.6</v>
      </c>
      <c r="R109" s="5"/>
      <c r="S109" s="5">
        <f t="shared" si="21"/>
        <v>0</v>
      </c>
      <c r="T109" s="17"/>
      <c r="U109" s="1">
        <f t="shared" si="22"/>
        <v>15.833333333333332</v>
      </c>
      <c r="V109" s="1">
        <f t="shared" si="30"/>
        <v>15.833333333333332</v>
      </c>
      <c r="W109" s="1">
        <v>1</v>
      </c>
      <c r="X109" s="1">
        <v>0.6</v>
      </c>
      <c r="Y109" s="1">
        <v>0.4</v>
      </c>
      <c r="Z109" s="1">
        <v>0.6</v>
      </c>
      <c r="AA109" s="1">
        <v>2.6</v>
      </c>
      <c r="AB109" s="1">
        <v>1.8</v>
      </c>
      <c r="AC109" s="1">
        <v>0.4</v>
      </c>
      <c r="AD109" s="1">
        <v>0.8</v>
      </c>
      <c r="AE109" s="1">
        <v>0.4</v>
      </c>
      <c r="AF109" s="1">
        <v>0</v>
      </c>
      <c r="AG109" s="15" t="s">
        <v>173</v>
      </c>
      <c r="AH109" s="1">
        <f t="shared" si="23"/>
        <v>0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4" t="s">
        <v>160</v>
      </c>
      <c r="B110" s="1" t="s">
        <v>36</v>
      </c>
      <c r="C110" s="1"/>
      <c r="D110" s="1"/>
      <c r="E110" s="1"/>
      <c r="F110" s="1"/>
      <c r="G110" s="7">
        <v>1</v>
      </c>
      <c r="H110" s="1">
        <v>45</v>
      </c>
      <c r="I110" s="1" t="s">
        <v>41</v>
      </c>
      <c r="J110" s="1"/>
      <c r="K110" s="1"/>
      <c r="L110" s="1">
        <f t="shared" si="28"/>
        <v>0</v>
      </c>
      <c r="M110" s="1"/>
      <c r="N110" s="1"/>
      <c r="O110" s="1">
        <v>10</v>
      </c>
      <c r="P110" s="1">
        <v>0</v>
      </c>
      <c r="Q110" s="1">
        <f t="shared" si="29"/>
        <v>0</v>
      </c>
      <c r="R110" s="5"/>
      <c r="S110" s="5">
        <v>80</v>
      </c>
      <c r="T110" s="17">
        <v>100</v>
      </c>
      <c r="U110" s="1" t="e">
        <f t="shared" si="22"/>
        <v>#DIV/0!</v>
      </c>
      <c r="V110" s="1" t="e">
        <f t="shared" si="30"/>
        <v>#DIV/0!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 t="s">
        <v>182</v>
      </c>
      <c r="AH110" s="1">
        <f t="shared" si="23"/>
        <v>80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161</v>
      </c>
      <c r="B111" s="1" t="s">
        <v>36</v>
      </c>
      <c r="C111" s="1">
        <v>6.2E-2</v>
      </c>
      <c r="D111" s="1">
        <v>4.2359999999999998</v>
      </c>
      <c r="E111" s="1">
        <v>2.5289999999999999</v>
      </c>
      <c r="F111" s="1"/>
      <c r="G111" s="7">
        <v>1</v>
      </c>
      <c r="H111" s="1">
        <v>45</v>
      </c>
      <c r="I111" s="1" t="s">
        <v>41</v>
      </c>
      <c r="J111" s="1"/>
      <c r="K111" s="1">
        <v>69.599999999999994</v>
      </c>
      <c r="L111" s="1">
        <f t="shared" si="28"/>
        <v>-67.070999999999998</v>
      </c>
      <c r="M111" s="1"/>
      <c r="N111" s="1"/>
      <c r="O111" s="1">
        <v>25</v>
      </c>
      <c r="P111" s="1">
        <v>96</v>
      </c>
      <c r="Q111" s="1">
        <f t="shared" si="29"/>
        <v>0.50580000000000003</v>
      </c>
      <c r="R111" s="5"/>
      <c r="S111" s="5">
        <f t="shared" si="21"/>
        <v>0</v>
      </c>
      <c r="T111" s="17"/>
      <c r="U111" s="1">
        <f t="shared" si="22"/>
        <v>239.22499011466982</v>
      </c>
      <c r="V111" s="1">
        <f t="shared" si="30"/>
        <v>239.22499011466982</v>
      </c>
      <c r="W111" s="1">
        <v>9.2891999999999992</v>
      </c>
      <c r="X111" s="1">
        <v>4.9366000000000003</v>
      </c>
      <c r="Y111" s="1">
        <v>0.85839999999999994</v>
      </c>
      <c r="Z111" s="1">
        <v>15.9528</v>
      </c>
      <c r="AA111" s="1">
        <v>3.9323999999999999</v>
      </c>
      <c r="AB111" s="1">
        <v>2.3767999999999998</v>
      </c>
      <c r="AC111" s="1">
        <v>0.50239999999999996</v>
      </c>
      <c r="AD111" s="1">
        <v>9.3881999999999994</v>
      </c>
      <c r="AE111" s="1">
        <v>0</v>
      </c>
      <c r="AF111" s="1">
        <v>0</v>
      </c>
      <c r="AG111" s="1"/>
      <c r="AH111" s="1">
        <f t="shared" si="23"/>
        <v>0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9" t="s">
        <v>162</v>
      </c>
      <c r="B112" s="9" t="s">
        <v>40</v>
      </c>
      <c r="C112" s="9">
        <v>198</v>
      </c>
      <c r="D112" s="9"/>
      <c r="E112" s="9">
        <v>5</v>
      </c>
      <c r="F112" s="9">
        <v>193</v>
      </c>
      <c r="G112" s="10">
        <v>0</v>
      </c>
      <c r="H112" s="9"/>
      <c r="I112" s="9" t="s">
        <v>37</v>
      </c>
      <c r="J112" s="9"/>
      <c r="K112" s="9">
        <v>5</v>
      </c>
      <c r="L112" s="9">
        <f t="shared" si="28"/>
        <v>0</v>
      </c>
      <c r="M112" s="9"/>
      <c r="N112" s="9"/>
      <c r="O112" s="9">
        <v>0</v>
      </c>
      <c r="P112" s="9">
        <v>0</v>
      </c>
      <c r="Q112" s="9">
        <f t="shared" si="29"/>
        <v>1</v>
      </c>
      <c r="R112" s="11"/>
      <c r="S112" s="5">
        <f t="shared" si="21"/>
        <v>0</v>
      </c>
      <c r="T112" s="16"/>
      <c r="U112" s="1">
        <f t="shared" si="22"/>
        <v>193</v>
      </c>
      <c r="V112" s="9">
        <f t="shared" si="30"/>
        <v>193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12" t="s">
        <v>151</v>
      </c>
      <c r="AH112" s="1">
        <f t="shared" si="23"/>
        <v>0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163</v>
      </c>
      <c r="B113" s="1" t="s">
        <v>40</v>
      </c>
      <c r="C113" s="1">
        <v>564</v>
      </c>
      <c r="D113" s="1">
        <v>100</v>
      </c>
      <c r="E113" s="1">
        <v>129</v>
      </c>
      <c r="F113" s="1">
        <v>428</v>
      </c>
      <c r="G113" s="7">
        <v>0.33</v>
      </c>
      <c r="H113" s="1">
        <v>45</v>
      </c>
      <c r="I113" s="1" t="s">
        <v>41</v>
      </c>
      <c r="J113" s="1"/>
      <c r="K113" s="1">
        <v>336</v>
      </c>
      <c r="L113" s="1">
        <f t="shared" si="28"/>
        <v>-207</v>
      </c>
      <c r="M113" s="1"/>
      <c r="N113" s="1"/>
      <c r="O113" s="1">
        <v>0</v>
      </c>
      <c r="P113" s="1">
        <v>0</v>
      </c>
      <c r="Q113" s="1">
        <f t="shared" si="29"/>
        <v>25.8</v>
      </c>
      <c r="R113" s="5"/>
      <c r="S113" s="5">
        <f t="shared" si="21"/>
        <v>0</v>
      </c>
      <c r="T113" s="17"/>
      <c r="U113" s="1">
        <f t="shared" si="22"/>
        <v>16.589147286821706</v>
      </c>
      <c r="V113" s="1">
        <f t="shared" si="30"/>
        <v>16.589147286821706</v>
      </c>
      <c r="W113" s="1">
        <v>35.200000000000003</v>
      </c>
      <c r="X113" s="1">
        <v>18.8</v>
      </c>
      <c r="Y113" s="1">
        <v>4.8</v>
      </c>
      <c r="Z113" s="1">
        <v>21.6</v>
      </c>
      <c r="AA113" s="1">
        <v>23.6</v>
      </c>
      <c r="AB113" s="1">
        <v>18</v>
      </c>
      <c r="AC113" s="1">
        <v>0.2</v>
      </c>
      <c r="AD113" s="1">
        <v>0.4</v>
      </c>
      <c r="AE113" s="1">
        <v>0</v>
      </c>
      <c r="AF113" s="1">
        <v>0</v>
      </c>
      <c r="AG113" s="12" t="s">
        <v>57</v>
      </c>
      <c r="AH113" s="1">
        <f t="shared" si="23"/>
        <v>0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86</v>
      </c>
      <c r="B114" s="1" t="s">
        <v>40</v>
      </c>
      <c r="C114" s="1">
        <v>57</v>
      </c>
      <c r="D114" s="1"/>
      <c r="E114" s="1">
        <v>3</v>
      </c>
      <c r="F114" s="1">
        <v>53</v>
      </c>
      <c r="G114" s="7">
        <v>0.1</v>
      </c>
      <c r="H114" s="1">
        <v>45</v>
      </c>
      <c r="I114" s="1" t="s">
        <v>41</v>
      </c>
      <c r="J114" s="1"/>
      <c r="K114" s="1">
        <v>3</v>
      </c>
      <c r="L114" s="1">
        <f t="shared" si="28"/>
        <v>0</v>
      </c>
      <c r="M114" s="1"/>
      <c r="N114" s="1"/>
      <c r="O114" s="1">
        <v>10</v>
      </c>
      <c r="P114" s="1">
        <v>0</v>
      </c>
      <c r="Q114" s="1">
        <f t="shared" si="29"/>
        <v>0.6</v>
      </c>
      <c r="R114" s="5"/>
      <c r="S114" s="5">
        <f t="shared" si="21"/>
        <v>0</v>
      </c>
      <c r="T114" s="17"/>
      <c r="U114" s="1">
        <f t="shared" si="22"/>
        <v>105</v>
      </c>
      <c r="V114" s="1">
        <f t="shared" si="30"/>
        <v>105</v>
      </c>
      <c r="W114" s="1">
        <v>0.4</v>
      </c>
      <c r="X114" s="1">
        <v>4.2</v>
      </c>
      <c r="Y114" s="1">
        <v>3.4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5" t="s">
        <v>171</v>
      </c>
      <c r="AH114" s="1">
        <f t="shared" si="23"/>
        <v>0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143</v>
      </c>
      <c r="B115" s="1" t="s">
        <v>40</v>
      </c>
      <c r="C115" s="1">
        <v>98</v>
      </c>
      <c r="D115" s="1"/>
      <c r="E115" s="1"/>
      <c r="F115" s="1">
        <v>66</v>
      </c>
      <c r="G115" s="7">
        <v>0.1</v>
      </c>
      <c r="H115" s="1">
        <v>60</v>
      </c>
      <c r="I115" s="1" t="s">
        <v>41</v>
      </c>
      <c r="J115" s="1"/>
      <c r="K115" s="1">
        <v>3</v>
      </c>
      <c r="L115" s="1">
        <f t="shared" si="28"/>
        <v>-3</v>
      </c>
      <c r="M115" s="1"/>
      <c r="N115" s="1"/>
      <c r="O115" s="1">
        <v>10</v>
      </c>
      <c r="P115" s="1">
        <v>0</v>
      </c>
      <c r="Q115" s="1">
        <f t="shared" si="29"/>
        <v>0</v>
      </c>
      <c r="R115" s="5"/>
      <c r="S115" s="5">
        <f t="shared" si="21"/>
        <v>0</v>
      </c>
      <c r="T115" s="17"/>
      <c r="U115" s="1" t="e">
        <f t="shared" si="22"/>
        <v>#DIV/0!</v>
      </c>
      <c r="V115" s="1" t="e">
        <f t="shared" si="30"/>
        <v>#DIV/0!</v>
      </c>
      <c r="W115" s="1">
        <v>0.4</v>
      </c>
      <c r="X115" s="1">
        <v>5.8</v>
      </c>
      <c r="Y115" s="1">
        <v>0.6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5" t="s">
        <v>174</v>
      </c>
      <c r="AH115" s="1">
        <f t="shared" si="23"/>
        <v>0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83</v>
      </c>
      <c r="B116" s="1" t="s">
        <v>40</v>
      </c>
      <c r="C116" s="1">
        <v>522</v>
      </c>
      <c r="D116" s="1">
        <v>22</v>
      </c>
      <c r="E116" s="13">
        <f>80+E40</f>
        <v>81</v>
      </c>
      <c r="F116" s="1">
        <v>441</v>
      </c>
      <c r="G116" s="7">
        <v>0.1</v>
      </c>
      <c r="H116" s="1">
        <v>60</v>
      </c>
      <c r="I116" s="1" t="s">
        <v>41</v>
      </c>
      <c r="J116" s="1"/>
      <c r="K116" s="1">
        <v>83</v>
      </c>
      <c r="L116" s="1">
        <f t="shared" si="28"/>
        <v>-2</v>
      </c>
      <c r="M116" s="1"/>
      <c r="N116" s="1"/>
      <c r="O116" s="1">
        <v>100</v>
      </c>
      <c r="P116" s="1">
        <v>0</v>
      </c>
      <c r="Q116" s="1">
        <f t="shared" si="29"/>
        <v>16.2</v>
      </c>
      <c r="R116" s="5"/>
      <c r="S116" s="5">
        <f t="shared" si="21"/>
        <v>0</v>
      </c>
      <c r="T116" s="17"/>
      <c r="U116" s="1">
        <f t="shared" si="22"/>
        <v>33.395061728395063</v>
      </c>
      <c r="V116" s="1">
        <f t="shared" si="30"/>
        <v>33.395061728395063</v>
      </c>
      <c r="W116" s="1">
        <v>1.4</v>
      </c>
      <c r="X116" s="1">
        <v>17</v>
      </c>
      <c r="Y116" s="1">
        <v>24.6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5" t="s">
        <v>172</v>
      </c>
      <c r="AH116" s="1">
        <f t="shared" si="23"/>
        <v>0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80</v>
      </c>
      <c r="B117" s="1" t="s">
        <v>40</v>
      </c>
      <c r="C117" s="1">
        <v>107</v>
      </c>
      <c r="D117" s="1">
        <v>131</v>
      </c>
      <c r="E117" s="1">
        <v>102</v>
      </c>
      <c r="F117" s="13">
        <f>2+F39</f>
        <v>4</v>
      </c>
      <c r="G117" s="7">
        <v>0.1</v>
      </c>
      <c r="H117" s="1">
        <v>60</v>
      </c>
      <c r="I117" s="1" t="s">
        <v>41</v>
      </c>
      <c r="J117" s="1"/>
      <c r="K117" s="1">
        <v>185</v>
      </c>
      <c r="L117" s="1">
        <f t="shared" si="28"/>
        <v>-83</v>
      </c>
      <c r="M117" s="1"/>
      <c r="N117" s="1"/>
      <c r="O117" s="1">
        <v>10</v>
      </c>
      <c r="P117" s="1">
        <v>407</v>
      </c>
      <c r="Q117" s="1">
        <f t="shared" si="29"/>
        <v>20.399999999999999</v>
      </c>
      <c r="R117" s="5"/>
      <c r="S117" s="5">
        <f t="shared" si="21"/>
        <v>0</v>
      </c>
      <c r="T117" s="17"/>
      <c r="U117" s="1">
        <f t="shared" si="22"/>
        <v>20.637254901960787</v>
      </c>
      <c r="V117" s="1">
        <f t="shared" si="30"/>
        <v>20.637254901960787</v>
      </c>
      <c r="W117" s="1">
        <v>38.799999999999997</v>
      </c>
      <c r="X117" s="1">
        <v>20</v>
      </c>
      <c r="Y117" s="1">
        <v>-0.4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 t="s">
        <v>164</v>
      </c>
      <c r="AH117" s="1">
        <f t="shared" si="23"/>
        <v>0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165</v>
      </c>
      <c r="B118" s="1" t="s">
        <v>40</v>
      </c>
      <c r="C118" s="1">
        <v>275</v>
      </c>
      <c r="D118" s="1">
        <v>148</v>
      </c>
      <c r="E118" s="1">
        <v>152</v>
      </c>
      <c r="F118" s="1">
        <v>122</v>
      </c>
      <c r="G118" s="7">
        <v>0.4</v>
      </c>
      <c r="H118" s="1">
        <v>60</v>
      </c>
      <c r="I118" s="1" t="s">
        <v>41</v>
      </c>
      <c r="J118" s="1"/>
      <c r="K118" s="1">
        <v>227</v>
      </c>
      <c r="L118" s="1">
        <f t="shared" si="28"/>
        <v>-75</v>
      </c>
      <c r="M118" s="1"/>
      <c r="N118" s="1"/>
      <c r="O118" s="1">
        <v>600</v>
      </c>
      <c r="P118" s="1">
        <v>0</v>
      </c>
      <c r="Q118" s="1">
        <f t="shared" si="29"/>
        <v>30.4</v>
      </c>
      <c r="R118" s="5"/>
      <c r="S118" s="5">
        <f t="shared" si="21"/>
        <v>0</v>
      </c>
      <c r="T118" s="17"/>
      <c r="U118" s="1">
        <f t="shared" si="22"/>
        <v>23.75</v>
      </c>
      <c r="V118" s="1">
        <f t="shared" si="30"/>
        <v>23.75</v>
      </c>
      <c r="W118" s="1">
        <v>47.8</v>
      </c>
      <c r="X118" s="1">
        <v>65.8</v>
      </c>
      <c r="Y118" s="1">
        <v>42</v>
      </c>
      <c r="Z118" s="1">
        <v>44.4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 t="s">
        <v>166</v>
      </c>
      <c r="AH118" s="1">
        <f t="shared" si="23"/>
        <v>0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 t="s">
        <v>167</v>
      </c>
      <c r="B119" s="1" t="s">
        <v>40</v>
      </c>
      <c r="C119" s="1">
        <v>87</v>
      </c>
      <c r="D119" s="1">
        <v>13</v>
      </c>
      <c r="E119" s="1">
        <v>80</v>
      </c>
      <c r="F119" s="1">
        <v>9</v>
      </c>
      <c r="G119" s="7">
        <v>0.1</v>
      </c>
      <c r="H119" s="1"/>
      <c r="I119" s="1" t="s">
        <v>41</v>
      </c>
      <c r="J119" s="1"/>
      <c r="K119" s="1">
        <v>98</v>
      </c>
      <c r="L119" s="1">
        <f t="shared" si="28"/>
        <v>-18</v>
      </c>
      <c r="M119" s="1"/>
      <c r="N119" s="1"/>
      <c r="O119" s="1">
        <v>0</v>
      </c>
      <c r="P119" s="1">
        <v>0</v>
      </c>
      <c r="Q119" s="1">
        <f t="shared" si="29"/>
        <v>16</v>
      </c>
      <c r="R119" s="5">
        <f>11*Q119-P119-O119-F119</f>
        <v>167</v>
      </c>
      <c r="S119" s="5">
        <f t="shared" si="21"/>
        <v>167</v>
      </c>
      <c r="T119" s="17"/>
      <c r="U119" s="1">
        <f t="shared" si="22"/>
        <v>11</v>
      </c>
      <c r="V119" s="1">
        <f t="shared" si="30"/>
        <v>0.5625</v>
      </c>
      <c r="W119" s="1">
        <v>1.8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 t="s">
        <v>78</v>
      </c>
      <c r="AH119" s="1">
        <f t="shared" si="23"/>
        <v>16.7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 t="s">
        <v>168</v>
      </c>
      <c r="B120" s="1" t="s">
        <v>40</v>
      </c>
      <c r="C120" s="1">
        <v>87</v>
      </c>
      <c r="D120" s="1">
        <v>14</v>
      </c>
      <c r="E120" s="1">
        <v>80</v>
      </c>
      <c r="F120" s="1">
        <v>9</v>
      </c>
      <c r="G120" s="7">
        <v>0.1</v>
      </c>
      <c r="H120" s="1"/>
      <c r="I120" s="1" t="s">
        <v>41</v>
      </c>
      <c r="J120" s="1"/>
      <c r="K120" s="1">
        <v>101</v>
      </c>
      <c r="L120" s="1">
        <f t="shared" si="28"/>
        <v>-21</v>
      </c>
      <c r="M120" s="1"/>
      <c r="N120" s="1"/>
      <c r="O120" s="1">
        <v>0</v>
      </c>
      <c r="P120" s="1">
        <v>0</v>
      </c>
      <c r="Q120" s="1">
        <f t="shared" si="29"/>
        <v>16</v>
      </c>
      <c r="R120" s="5">
        <f>11*Q120-P120-O120-F120</f>
        <v>167</v>
      </c>
      <c r="S120" s="5">
        <f t="shared" si="21"/>
        <v>167</v>
      </c>
      <c r="T120" s="17"/>
      <c r="U120" s="1">
        <f t="shared" si="22"/>
        <v>11</v>
      </c>
      <c r="V120" s="1">
        <f t="shared" si="30"/>
        <v>0.5625</v>
      </c>
      <c r="W120" s="1">
        <v>1.6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 t="s">
        <v>78</v>
      </c>
      <c r="AH120" s="1">
        <f t="shared" si="23"/>
        <v>16.7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9" t="s">
        <v>184</v>
      </c>
      <c r="B121" s="19" t="s">
        <v>40</v>
      </c>
      <c r="C121" s="9"/>
      <c r="D121" s="9"/>
      <c r="E121" s="9"/>
      <c r="F121" s="9"/>
      <c r="G121" s="10">
        <v>0</v>
      </c>
      <c r="H121" s="9"/>
      <c r="I121" s="9" t="s">
        <v>41</v>
      </c>
      <c r="J121" s="9"/>
      <c r="K121" s="9"/>
      <c r="L121" s="9"/>
      <c r="M121" s="9"/>
      <c r="N121" s="9"/>
      <c r="O121" s="9"/>
      <c r="P121" s="9"/>
      <c r="Q121" s="9">
        <f t="shared" ref="Q121:Q122" si="32">E121/5</f>
        <v>0</v>
      </c>
      <c r="R121" s="11"/>
      <c r="S121" s="11"/>
      <c r="T121" s="9"/>
      <c r="U121" s="9"/>
      <c r="V121" s="9"/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19" t="s">
        <v>98</v>
      </c>
      <c r="AH121" s="9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9" t="s">
        <v>183</v>
      </c>
      <c r="B122" s="19" t="s">
        <v>36</v>
      </c>
      <c r="C122" s="9"/>
      <c r="D122" s="9"/>
      <c r="E122" s="9"/>
      <c r="F122" s="9"/>
      <c r="G122" s="10">
        <v>0</v>
      </c>
      <c r="H122" s="9"/>
      <c r="I122" s="9" t="s">
        <v>41</v>
      </c>
      <c r="J122" s="9"/>
      <c r="K122" s="9"/>
      <c r="L122" s="9"/>
      <c r="M122" s="9"/>
      <c r="N122" s="9"/>
      <c r="O122" s="9"/>
      <c r="P122" s="9"/>
      <c r="Q122" s="9">
        <f t="shared" si="32"/>
        <v>0</v>
      </c>
      <c r="R122" s="11"/>
      <c r="S122" s="11"/>
      <c r="T122" s="9"/>
      <c r="U122" s="9"/>
      <c r="V122" s="9"/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19" t="s">
        <v>98</v>
      </c>
      <c r="AH122" s="9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H12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2026-08-10T09:33:29Z</dcterms:created>
  <dcterms:modified xsi:type="dcterms:W3CDTF">2026-08-12T12:17:42Z</dcterms:modified>
</cp:coreProperties>
</file>