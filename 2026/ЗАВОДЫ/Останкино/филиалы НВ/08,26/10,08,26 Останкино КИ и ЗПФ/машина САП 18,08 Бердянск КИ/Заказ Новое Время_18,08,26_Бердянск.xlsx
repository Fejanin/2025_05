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7"/>
  <sheetViews>
    <sheetView tabSelected="1" zoomScale="85" zoomScaleNormal="85" workbookViewId="0">
      <pane ySplit="9" topLeftCell="A130" activePane="bottomLeft" state="frozen"/>
      <selection pane="bottomLeft" activeCell="K9" sqref="K9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>
        <f>K1</f>
        <v/>
      </c>
      <c r="E1" s="138" t="inlineStr">
        <is>
          <t>ООО "НОВОЕ ВРЕМЯ"</t>
        </is>
      </c>
      <c r="F1" s="139" t="n"/>
      <c r="G1" s="139" t="n"/>
      <c r="H1" s="139" t="n"/>
      <c r="I1" s="139" t="n"/>
      <c r="J1" s="14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42" t="n">
        <v>46252</v>
      </c>
      <c r="E3" s="7" t="inlineStr">
        <is>
          <t xml:space="preserve">Доставка: </t>
        </is>
      </c>
      <c r="F3" s="142">
        <f>D3+3</f>
        <v/>
      </c>
      <c r="G3" s="142">
        <f>VLOOKUP(D1,K:L,2,0)</f>
        <v/>
      </c>
      <c r="H3" s="139" t="n"/>
      <c r="I3" s="139" t="n"/>
      <c r="J3" s="14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135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>
        <v>109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135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135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135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135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135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135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>
        <v>387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135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>
        <v>227</v>
      </c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135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/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135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/>
      <c r="F20" s="137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135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/>
      <c r="F21" s="137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135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/>
      <c r="F22" s="137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135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/>
      <c r="F23" s="137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135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135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135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135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135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137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135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137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135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>
        <v>85</v>
      </c>
      <c r="F30" s="137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135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>
        <v>57</v>
      </c>
      <c r="F31" s="137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135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137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135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137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135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/>
      <c r="F35" s="137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135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/>
      <c r="F36" s="137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135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>
        <v>199</v>
      </c>
      <c r="F37" s="137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135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/>
      <c r="F38" s="137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135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/>
      <c r="F39" s="137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135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>
        <v>157</v>
      </c>
      <c r="F40" s="137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135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>
        <v>356</v>
      </c>
      <c r="F41" s="137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135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/>
      <c r="F42" s="137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135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/>
      <c r="F43" s="137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135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>
        <v>1066</v>
      </c>
      <c r="F44" s="137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135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137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135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>
        <v>36</v>
      </c>
      <c r="F46" s="137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135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137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135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137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135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>
        <v>201</v>
      </c>
      <c r="F49" s="137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135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/>
      <c r="F50" s="137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135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137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135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/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135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>
        <v>145</v>
      </c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135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>
        <v>22</v>
      </c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135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/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135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/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135">
        <f>RIGHT(D58,4)</f>
        <v/>
      </c>
      <c r="B58" s="134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>
        <v>10</v>
      </c>
      <c r="F58" s="137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135">
        <f>RIGHT(D59,4)</f>
        <v/>
      </c>
      <c r="B59" s="134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>
        <v>35</v>
      </c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135">
        <f>RIGHT(D60,4)</f>
        <v/>
      </c>
      <c r="B60" s="134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/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135">
        <f>RIGHT(D61,4)</f>
        <v/>
      </c>
      <c r="B61" s="134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>
        <v>103</v>
      </c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>
      <c r="A62" s="135">
        <f>RIGHT(D62,4)</f>
        <v/>
      </c>
      <c r="B62" s="134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>
      <c r="A63" s="135">
        <f>RIGHT(D63,4)</f>
        <v/>
      </c>
      <c r="B63" s="134" t="inlineStr">
        <is>
          <t>ШПИКАЧКИ СОЧНЫЕ С БЕК. п/о мгс 0.3кг_60с</t>
        </is>
      </c>
      <c r="C63" s="55" t="inlineStr">
        <is>
          <t>ШТ</t>
        </is>
      </c>
      <c r="D63" s="69" t="n">
        <v>1001035277059</v>
      </c>
      <c r="E63" s="24" t="n">
        <v>135</v>
      </c>
      <c r="F63" s="23" t="n">
        <v>0.3</v>
      </c>
      <c r="G63" s="23">
        <f>E63*F63</f>
        <v/>
      </c>
      <c r="H63" s="14" t="n"/>
      <c r="I63" s="14" t="n"/>
      <c r="J63" s="59" t="n"/>
    </row>
    <row r="64" ht="16.5" customHeight="1" s="130" thickBot="1" thickTop="1">
      <c r="A64" s="47" t="inlineStr"/>
      <c r="B64" s="42" t="inlineStr">
        <is>
          <t>Полукопченые колбасы и Варенокопченые колбасы</t>
        </is>
      </c>
      <c r="C64" s="42" t="n"/>
      <c r="D64" s="42" t="n"/>
      <c r="E64" s="42" t="n"/>
      <c r="F64" s="41" t="n"/>
      <c r="G64" s="42" t="n"/>
      <c r="H64" s="42" t="n"/>
      <c r="I64" s="42" t="n"/>
      <c r="J64" s="43" t="n"/>
    </row>
    <row r="65" ht="16.5" customHeight="1" s="130" thickTop="1">
      <c r="A65" s="135">
        <f>RIGHT(D65,4)</f>
        <v/>
      </c>
      <c r="B65" s="66" t="inlineStr">
        <is>
          <t>БАЛЫКОВАЯ Останкино в/к в/у</t>
        </is>
      </c>
      <c r="C65" s="55" t="inlineStr">
        <is>
          <t>КГ</t>
        </is>
      </c>
      <c r="D65" s="69" t="n">
        <v>1001303637564</v>
      </c>
      <c r="E65" s="24" t="n"/>
      <c r="F65" s="23" t="n">
        <v>0.84</v>
      </c>
      <c r="G65" s="23">
        <f>E65</f>
        <v/>
      </c>
      <c r="H65" s="14" t="n">
        <v>5.04</v>
      </c>
      <c r="I65" s="14" t="n">
        <v>45</v>
      </c>
      <c r="J65" s="52" t="inlineStr">
        <is>
          <t>Ротация кода 7131</t>
        </is>
      </c>
    </row>
    <row r="66" ht="16.5" customHeight="1" s="130">
      <c r="A66" s="135">
        <f>RIGHT(D66,4)</f>
        <v/>
      </c>
      <c r="B66" s="66" t="inlineStr">
        <is>
          <t>БАЛЫКОВАЯ Останкино в/к в/у 0.33кг 8шт.</t>
        </is>
      </c>
      <c r="C66" s="55" t="inlineStr">
        <is>
          <t>ШТ</t>
        </is>
      </c>
      <c r="D66" s="69" t="n">
        <v>1001303637603</v>
      </c>
      <c r="E66" s="24" t="n"/>
      <c r="F66" s="23" t="n">
        <v>0.33</v>
      </c>
      <c r="G66" s="23">
        <f>E66*F66</f>
        <v/>
      </c>
      <c r="H66" s="14" t="n">
        <v>2.64</v>
      </c>
      <c r="I66" s="14" t="n">
        <v>45</v>
      </c>
      <c r="J66" s="52" t="inlineStr">
        <is>
          <t>Ротация кода 6793</t>
        </is>
      </c>
    </row>
    <row r="67" ht="16.5" customHeight="1" s="130">
      <c r="A67" s="135">
        <f>RIGHT(D67,4)</f>
        <v/>
      </c>
      <c r="B67" s="66" t="inlineStr">
        <is>
          <t>БАЛЫКОВАЯ Коровино п/к в/у 0.84кг_50с</t>
        </is>
      </c>
      <c r="C67" s="55" t="inlineStr">
        <is>
          <t>ШТ</t>
        </is>
      </c>
      <c r="D67" s="69" t="n">
        <v>1001303637149</v>
      </c>
      <c r="E67" s="24" t="n"/>
      <c r="F67" s="23" t="n">
        <v>0.84</v>
      </c>
      <c r="G67" s="23">
        <f>E67*F67</f>
        <v/>
      </c>
      <c r="H67" s="14" t="n">
        <v>5.04</v>
      </c>
      <c r="I67" s="14" t="n">
        <v>50</v>
      </c>
      <c r="J67" s="59" t="n"/>
    </row>
    <row r="68" ht="16.5" customHeight="1" s="130">
      <c r="A68" s="135">
        <f>RIGHT(D68,4)</f>
        <v/>
      </c>
      <c r="B68" s="66" t="inlineStr">
        <is>
          <t>БАЛЫКОВАЯ ПМ п/к в/у 0.31кг 8шт_209к</t>
        </is>
      </c>
      <c r="C68" s="55" t="inlineStr">
        <is>
          <t>ШТ</t>
        </is>
      </c>
      <c r="D68" s="69" t="n">
        <v>1001303637233</v>
      </c>
      <c r="E68" s="24" t="n"/>
      <c r="F68" s="137" t="n">
        <v>0.31</v>
      </c>
      <c r="G68" s="23">
        <f>E68*F68</f>
        <v/>
      </c>
      <c r="H68" s="59" t="n">
        <v>2.48</v>
      </c>
      <c r="I68" s="59" t="n">
        <v>45</v>
      </c>
      <c r="J68" s="59" t="n"/>
    </row>
    <row r="69" ht="16.5" customHeight="1" s="130">
      <c r="A69" s="135">
        <f>RIGHT(D69,4)</f>
        <v/>
      </c>
      <c r="B69" s="66" t="inlineStr">
        <is>
          <t>БОЯNСКАЯ ПМ п/к в/у 0.28кг 8шт_209к</t>
        </is>
      </c>
      <c r="C69" s="55" t="inlineStr">
        <is>
          <t>ШТ</t>
        </is>
      </c>
      <c r="D69" s="69" t="n">
        <v>1001302277232</v>
      </c>
      <c r="E69" s="24" t="n"/>
      <c r="F69" s="137" t="n">
        <v>0.28</v>
      </c>
      <c r="G69" s="23">
        <f>E69*F69</f>
        <v/>
      </c>
      <c r="H69" s="59" t="n">
        <v>2.24</v>
      </c>
      <c r="I69" s="59" t="n">
        <v>50</v>
      </c>
      <c r="J69" s="59" t="n"/>
    </row>
    <row r="70" ht="16.5" customHeight="1" s="130">
      <c r="A70" s="135">
        <f>RIGHT(D70,4)</f>
        <v/>
      </c>
      <c r="B70" s="66" t="inlineStr">
        <is>
          <t>САЛЯМИ Папа может п/к в/у 0.28кг_209к</t>
        </is>
      </c>
      <c r="C70" s="55" t="inlineStr">
        <is>
          <t>ШТ</t>
        </is>
      </c>
      <c r="D70" s="69" t="n">
        <v>1001303107241</v>
      </c>
      <c r="E70" s="24" t="n"/>
      <c r="F70" s="137" t="n">
        <v>0.28</v>
      </c>
      <c r="G70" s="23">
        <f>E70*F70</f>
        <v/>
      </c>
      <c r="H70" s="59" t="n">
        <v>2.24</v>
      </c>
      <c r="I70" s="59" t="n">
        <v>45</v>
      </c>
      <c r="J70" s="59" t="n"/>
    </row>
    <row r="71" ht="16.5" customHeight="1" s="130">
      <c r="A71" s="135">
        <f>RIGHT(D71,4)</f>
        <v/>
      </c>
      <c r="B71" s="66" t="inlineStr">
        <is>
          <t>СЕРВЕЛАТ КРЕМЛЕВСКИЙ в/к в/у 0.84кг</t>
        </is>
      </c>
      <c r="C71" s="55" t="inlineStr">
        <is>
          <t>КГ</t>
        </is>
      </c>
      <c r="D71" s="69" t="n">
        <v>1001300456946</v>
      </c>
      <c r="E71" s="24" t="n"/>
      <c r="F71" s="137" t="n"/>
      <c r="G71" s="23">
        <f>E71</f>
        <v/>
      </c>
      <c r="H71" s="59" t="n"/>
      <c r="I71" s="59" t="n"/>
      <c r="J71" s="131" t="inlineStr">
        <is>
          <t>Новинка</t>
        </is>
      </c>
    </row>
    <row r="72" ht="16.5" customHeight="1" s="130">
      <c r="A72" s="135">
        <f>RIGHT(D72,4)</f>
        <v/>
      </c>
      <c r="B72" s="66" t="inlineStr">
        <is>
          <t>СЕРВЕЛАТ ЕВРОПЕЙСКИЙ в/к в/у 0.33кг 8шт.</t>
        </is>
      </c>
      <c r="C72" s="55" t="inlineStr">
        <is>
          <t>ШТ</t>
        </is>
      </c>
      <c r="D72" s="69" t="n">
        <v>1001300366807</v>
      </c>
      <c r="E72" s="24" t="n"/>
      <c r="F72" s="137" t="n">
        <v>0.33</v>
      </c>
      <c r="G72" s="23">
        <f>E72*F72</f>
        <v/>
      </c>
      <c r="H72" s="59" t="n">
        <v>2.64</v>
      </c>
      <c r="I72" s="59" t="n">
        <v>45</v>
      </c>
      <c r="J72" s="59" t="n"/>
    </row>
    <row r="73" ht="16.5" customHeight="1" s="130">
      <c r="A73" s="135">
        <f>RIGHT(D73,4)</f>
        <v/>
      </c>
      <c r="B73" s="66" t="inlineStr">
        <is>
          <t>СЕРВЕЛАТ ЗЕРНИСТЫЙ ПМ в/к в/у 0.35кг_50с</t>
        </is>
      </c>
      <c r="C73" s="55" t="inlineStr">
        <is>
          <t>ШТ</t>
        </is>
      </c>
      <c r="D73" s="69" t="n">
        <v>1001300387154</v>
      </c>
      <c r="E73" s="24" t="n">
        <v>51</v>
      </c>
      <c r="F73" s="23" t="n">
        <v>0.35</v>
      </c>
      <c r="G73" s="23">
        <f>E73*F73</f>
        <v/>
      </c>
      <c r="H73" s="14" t="n">
        <v>2.8</v>
      </c>
      <c r="I73" s="14" t="n">
        <v>50</v>
      </c>
      <c r="J73" s="59" t="n"/>
    </row>
    <row r="74" ht="16.5" customHeight="1" s="130">
      <c r="A74" s="135">
        <f>RIGHT(D74,4)</f>
        <v/>
      </c>
      <c r="B74" s="66" t="inlineStr">
        <is>
          <t>СЕРВЕЛАТ ЗЕРНИСТЫЙ ПМ в/к в/у_50с</t>
        </is>
      </c>
      <c r="C74" s="55" t="inlineStr">
        <is>
          <t>КГ</t>
        </is>
      </c>
      <c r="D74" s="69" t="n">
        <v>1001300387157</v>
      </c>
      <c r="E74" s="24" t="n"/>
      <c r="F74" s="23" t="n">
        <v>0.63</v>
      </c>
      <c r="G74" s="23">
        <f>E74</f>
        <v/>
      </c>
      <c r="H74" s="14" t="n">
        <v>5.04</v>
      </c>
      <c r="I74" s="14" t="n">
        <v>50</v>
      </c>
      <c r="J74" s="59" t="n"/>
    </row>
    <row r="75" ht="16.5" customHeight="1" s="130">
      <c r="A75" s="135">
        <f>RIGHT(D75,4)</f>
        <v/>
      </c>
      <c r="B75" s="66" t="inlineStr">
        <is>
          <t>КРАКОВСКАЯ ГОСТ Останкино п/к н/о мгс</t>
        </is>
      </c>
      <c r="C75" s="55" t="inlineStr">
        <is>
          <t>КГ</t>
        </is>
      </c>
      <c r="D75" s="69" t="n">
        <v>1001307587562</v>
      </c>
      <c r="E75" s="24" t="n">
        <v>80</v>
      </c>
      <c r="F75" s="23" t="n"/>
      <c r="G75" s="23">
        <f>E75</f>
        <v/>
      </c>
      <c r="H75" s="14" t="n"/>
      <c r="I75" s="14" t="n"/>
      <c r="J75" s="131" t="inlineStr">
        <is>
          <t>Новинка</t>
        </is>
      </c>
    </row>
    <row r="76" ht="16.5" customHeight="1" s="130">
      <c r="A76" s="135">
        <f>RIGHT(D76,4)</f>
        <v/>
      </c>
      <c r="B76" s="66" t="inlineStr">
        <is>
          <t>СЕРВЕЛАТ КАРЕЛЬСКИЙ в/к в/у 0.28кг_209к</t>
        </is>
      </c>
      <c r="C76" s="55" t="inlineStr">
        <is>
          <t>ШТ</t>
        </is>
      </c>
      <c r="D76" s="69" t="n">
        <v>1001304507236</v>
      </c>
      <c r="E76" s="24" t="n">
        <v>11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59" t="n"/>
    </row>
    <row r="77" ht="16.5" customHeight="1" s="130">
      <c r="A77" s="135">
        <f>RIGHT(D77,4)</f>
        <v/>
      </c>
      <c r="B77" s="66" t="inlineStr">
        <is>
          <t>СЫРРРВЕЛАТ Папа может в/к в/у 0.28кг 8шт</t>
        </is>
      </c>
      <c r="C77" s="55" t="inlineStr">
        <is>
          <t>ШТ</t>
        </is>
      </c>
      <c r="D77" s="69" t="n">
        <v>1001307357489</v>
      </c>
      <c r="E77" s="24" t="n"/>
      <c r="F77" s="23" t="n">
        <v>0.28</v>
      </c>
      <c r="G77" s="23">
        <f>E77*F77</f>
        <v/>
      </c>
      <c r="H77" s="14" t="n"/>
      <c r="I77" s="14" t="n"/>
      <c r="J77" s="131" t="inlineStr">
        <is>
          <t>Новинка</t>
        </is>
      </c>
    </row>
    <row r="78" ht="16.5" customHeight="1" s="130">
      <c r="A78" s="135">
        <f>RIGHT(D78,4)</f>
        <v/>
      </c>
      <c r="B78" s="122" t="inlineStr">
        <is>
          <t>СЕРВЕЛАТ КРЕМЛЕВСКИЙ в/к в/у 0.33кг 8шт.</t>
        </is>
      </c>
      <c r="C78" s="55" t="inlineStr">
        <is>
          <t>ШТ</t>
        </is>
      </c>
      <c r="D78" s="69" t="n">
        <v>1001300456787</v>
      </c>
      <c r="E78" s="24" t="n">
        <v>103</v>
      </c>
      <c r="F78" s="23" t="n">
        <v>0.33</v>
      </c>
      <c r="G78" s="23">
        <f>E78*F78</f>
        <v/>
      </c>
      <c r="H78" s="14" t="n">
        <v>2.64</v>
      </c>
      <c r="I78" s="14" t="n">
        <v>45</v>
      </c>
      <c r="J78" s="59" t="n"/>
    </row>
    <row r="79" ht="16.5" customHeight="1" s="130">
      <c r="A79" s="135">
        <f>RIGHT(D79,4)</f>
        <v/>
      </c>
      <c r="B79" s="122" t="inlineStr">
        <is>
          <t>СЕРВЕЛАТ ОХОТНИЧИЙ ПМ в/к в/у_50с</t>
        </is>
      </c>
      <c r="C79" s="55" t="inlineStr">
        <is>
          <t>КГ</t>
        </is>
      </c>
      <c r="D79" s="69" t="n">
        <v>1001303987166</v>
      </c>
      <c r="E79" s="24" t="n">
        <v>62</v>
      </c>
      <c r="F79" s="23" t="n">
        <v>0.7</v>
      </c>
      <c r="G79" s="23">
        <f>E79</f>
        <v/>
      </c>
      <c r="H79" s="14" t="n">
        <v>5.6</v>
      </c>
      <c r="I79" s="14" t="n">
        <v>50</v>
      </c>
      <c r="J79" s="59" t="n"/>
    </row>
    <row r="80" ht="15.75" customHeight="1" s="130">
      <c r="A80" s="135">
        <f>RIGHT(D80,4)</f>
        <v/>
      </c>
      <c r="B80" s="66" t="inlineStr">
        <is>
          <t>СЕРВЕЛАТ ОХОТНИЧИЙ ПМ в/к в/у 0.35кг_50с</t>
        </is>
      </c>
      <c r="C80" s="55" t="inlineStr">
        <is>
          <t>ШТ</t>
        </is>
      </c>
      <c r="D80" s="69" t="n">
        <v>1001303987169</v>
      </c>
      <c r="E80" s="24" t="n">
        <v>322</v>
      </c>
      <c r="F80" s="23" t="n">
        <v>0.35</v>
      </c>
      <c r="G80" s="23">
        <f>E80*F80</f>
        <v/>
      </c>
      <c r="H80" s="14" t="n">
        <v>2.8</v>
      </c>
      <c r="I80" s="14" t="n">
        <v>50</v>
      </c>
      <c r="J80" s="59" t="n"/>
    </row>
    <row r="81" ht="15.75" customHeight="1" s="130">
      <c r="A81" s="135">
        <f>RIGHT(D81,4)</f>
        <v/>
      </c>
      <c r="B81" s="66" t="inlineStr">
        <is>
          <t>СЕРВЕЛАТ ФИНСКИЙ в/к в/у_45с</t>
        </is>
      </c>
      <c r="C81" s="55" t="inlineStr">
        <is>
          <t>КГ</t>
        </is>
      </c>
      <c r="D81" s="69" t="n">
        <v>1001051875544</v>
      </c>
      <c r="E81" s="24" t="n">
        <v>23</v>
      </c>
      <c r="F81" s="23" t="n">
        <v>0.8100000000000001</v>
      </c>
      <c r="G81" s="23">
        <f>E81</f>
        <v/>
      </c>
      <c r="H81" s="14" t="n">
        <v>4.86</v>
      </c>
      <c r="I81" s="14" t="n">
        <v>45</v>
      </c>
      <c r="J81" s="49" t="n"/>
    </row>
    <row r="82" ht="15.75" customHeight="1" s="130">
      <c r="A82" s="135">
        <f>RIGHT(D82,4)</f>
        <v/>
      </c>
      <c r="B82" s="66" t="inlineStr">
        <is>
          <t>СЕРВЕЛАТ ФИНСКИЙ ПМ в/к в/у 0.35кг 8шт.</t>
        </is>
      </c>
      <c r="C82" s="55" t="inlineStr">
        <is>
          <t>ШТ</t>
        </is>
      </c>
      <c r="D82" s="69" t="n">
        <v>1001301876697</v>
      </c>
      <c r="E82" s="24" t="n">
        <v>548</v>
      </c>
      <c r="F82" s="23" t="n">
        <v>0.35</v>
      </c>
      <c r="G82" s="23">
        <f>E82*F82</f>
        <v/>
      </c>
      <c r="H82" s="14" t="n">
        <v>2.8</v>
      </c>
      <c r="I82" s="14" t="n">
        <v>45</v>
      </c>
      <c r="J82" s="49" t="n"/>
    </row>
    <row r="83" ht="15.75" customHeight="1" s="130">
      <c r="A83" s="135">
        <f>RIGHT(D83,4)</f>
        <v/>
      </c>
      <c r="B83" s="66" t="inlineStr">
        <is>
          <t>НОВОМОСКОВСКАЯ в/к в/у срез 0.31кг</t>
        </is>
      </c>
      <c r="C83" s="55" t="inlineStr">
        <is>
          <t>ШТ</t>
        </is>
      </c>
      <c r="D83" s="69" t="n">
        <v>1001307107516</v>
      </c>
      <c r="E83" s="24" t="n">
        <v>80</v>
      </c>
      <c r="F83" s="23" t="n">
        <v>0.31</v>
      </c>
      <c r="G83" s="23">
        <f>E83*F83</f>
        <v/>
      </c>
      <c r="H83" s="14" t="n"/>
      <c r="I83" s="14" t="n"/>
      <c r="J83" s="131" t="inlineStr">
        <is>
          <t>Новинка</t>
        </is>
      </c>
    </row>
    <row r="84" ht="15.75" customHeight="1" s="130">
      <c r="A84" s="135">
        <f>RIGHT(D84,4)</f>
        <v/>
      </c>
      <c r="B84" s="66" t="inlineStr">
        <is>
          <t>БОЯРСКАЯ ПМ п/к в/у 0.28кг_СНГ</t>
        </is>
      </c>
      <c r="C84" s="55" t="inlineStr">
        <is>
          <t>ШТ</t>
        </is>
      </c>
      <c r="D84" s="69" t="n">
        <v>1001301777332</v>
      </c>
      <c r="E84" s="24" t="n">
        <v>31</v>
      </c>
      <c r="F84" s="23" t="n">
        <v>0.28</v>
      </c>
      <c r="G84" s="23">
        <f>E84*F84</f>
        <v/>
      </c>
      <c r="H84" s="14" t="n">
        <v>2.24</v>
      </c>
      <c r="I84" s="14" t="n">
        <v>50</v>
      </c>
      <c r="J84" s="49" t="n"/>
    </row>
    <row r="85" ht="15.75" customHeight="1" s="130">
      <c r="A85" s="135">
        <f>RIGHT(D85,4)</f>
        <v/>
      </c>
      <c r="B85" s="66" t="inlineStr">
        <is>
          <t>ВОСКРЕСЕНСКАЯ ВЯЛЕНАЯ в/к в/у срез 1/260</t>
        </is>
      </c>
      <c r="C85" s="55" t="inlineStr">
        <is>
          <t>ШТ</t>
        </is>
      </c>
      <c r="D85" s="69" t="n">
        <v>1001307077513</v>
      </c>
      <c r="E85" s="24" t="n">
        <v>80</v>
      </c>
      <c r="F85" s="23" t="n">
        <v>0.26</v>
      </c>
      <c r="G85" s="23">
        <f>E85*F85</f>
        <v/>
      </c>
      <c r="H85" s="14" t="n"/>
      <c r="I85" s="14" t="n"/>
      <c r="J85" s="131" t="inlineStr">
        <is>
          <t>Новинка</t>
        </is>
      </c>
    </row>
    <row r="86" ht="15.75" customHeight="1" s="130">
      <c r="A86" s="135">
        <f>RIGHT(D86,4)</f>
        <v/>
      </c>
      <c r="B86" s="66" t="inlineStr">
        <is>
          <t>СЕРВЕЛАТ ОХОТНИЧИЙ ПМ в/к в/у 0.28кг_СНГ</t>
        </is>
      </c>
      <c r="C86" s="55" t="inlineStr">
        <is>
          <t>ШТ</t>
        </is>
      </c>
      <c r="D86" s="69" t="n">
        <v>1001303987333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50</v>
      </c>
      <c r="J86" s="49" t="n"/>
    </row>
    <row r="87" ht="15.75" customHeight="1" s="130">
      <c r="A87" s="135">
        <f>RIGHT(D87,4)</f>
        <v/>
      </c>
      <c r="B87" s="66" t="inlineStr">
        <is>
          <t>СЕРВЕЛАТ ШВЕЙЦАРСК.в/к с/н в/у 1/100_Л11</t>
        </is>
      </c>
      <c r="C87" s="55" t="inlineStr">
        <is>
          <t>ШТ</t>
        </is>
      </c>
      <c r="D87" s="69" t="n">
        <v>1001304197608</v>
      </c>
      <c r="E87" s="24" t="n"/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6459</t>
        </is>
      </c>
    </row>
    <row r="88" ht="15.75" customHeight="1" s="130" thickBot="1">
      <c r="A88" s="135">
        <f>RIGHT(D88,4)</f>
        <v/>
      </c>
      <c r="B88" s="66" t="inlineStr">
        <is>
          <t>СЕРВЕЛАТ БАВАРСКИЙ в/к с/н в/у 1/100_Л11</t>
        </is>
      </c>
      <c r="C88" s="55" t="inlineStr">
        <is>
          <t>ШТ</t>
        </is>
      </c>
      <c r="D88" s="69" t="n">
        <v>1001306717610</v>
      </c>
      <c r="E88" s="24" t="n"/>
      <c r="F88" s="23" t="n">
        <v>0.1</v>
      </c>
      <c r="G88" s="23">
        <f>E88*F88</f>
        <v/>
      </c>
      <c r="H88" s="14" t="n">
        <v>1</v>
      </c>
      <c r="I88" s="14" t="n">
        <v>45</v>
      </c>
      <c r="J88" s="52" t="inlineStr">
        <is>
          <t>Ротация кода 7474</t>
        </is>
      </c>
    </row>
    <row r="89" ht="16.5" customHeight="1" s="130" thickBot="1" thickTop="1">
      <c r="A89" s="47" t="inlineStr"/>
      <c r="B89" s="42" t="inlineStr">
        <is>
          <t>Сырокопченые колбасы</t>
        </is>
      </c>
      <c r="C89" s="42" t="n"/>
      <c r="D89" s="42" t="n"/>
      <c r="E89" s="42" t="n"/>
      <c r="F89" s="41" t="n"/>
      <c r="G89" s="42" t="n"/>
      <c r="H89" s="42" t="n"/>
      <c r="I89" s="42" t="n"/>
      <c r="J89" s="43" t="n"/>
      <c r="K89" s="27" t="n"/>
    </row>
    <row r="90" ht="16.5" customHeight="1" s="130" thickTop="1">
      <c r="A90" s="135">
        <f>RIGHT(D90,4)</f>
        <v/>
      </c>
      <c r="B90" s="66" t="inlineStr">
        <is>
          <t>АРОМАТНАЯ с/к в/у 1/250 8шт.</t>
        </is>
      </c>
      <c r="C90" s="55" t="inlineStr">
        <is>
          <t>ШТ</t>
        </is>
      </c>
      <c r="D90" s="69" t="n">
        <v>1001061973986</v>
      </c>
      <c r="E90" s="24" t="n"/>
      <c r="F90" s="137" t="n">
        <v>0.25</v>
      </c>
      <c r="G90" s="23">
        <f>E90*F90</f>
        <v/>
      </c>
      <c r="H90" s="116" t="n">
        <v>2</v>
      </c>
      <c r="I90" s="115" t="n">
        <v>120</v>
      </c>
      <c r="J90" s="59" t="n"/>
      <c r="K90" s="27" t="n"/>
    </row>
    <row r="91" ht="16.5" customHeight="1" s="130">
      <c r="A91" s="135">
        <f>RIGHT(D91,4)</f>
        <v/>
      </c>
      <c r="B91" s="66" t="inlineStr">
        <is>
          <t>ОХОТНИЧЬЯ Папа может с/к в/у 1/220 8шт.</t>
        </is>
      </c>
      <c r="C91" s="55" t="inlineStr">
        <is>
          <t>ШТ</t>
        </is>
      </c>
      <c r="D91" s="69" t="n">
        <v>1001060755931</v>
      </c>
      <c r="E91" s="24" t="n">
        <v>79</v>
      </c>
      <c r="F91" s="23" t="n">
        <v>0.22</v>
      </c>
      <c r="G91" s="23">
        <f>E91*F91</f>
        <v/>
      </c>
      <c r="H91" s="114" t="n">
        <v>1.76</v>
      </c>
      <c r="I91" s="14" t="n">
        <v>120</v>
      </c>
      <c r="J91" s="59" t="n"/>
    </row>
    <row r="92" ht="16.5" customHeight="1" s="130">
      <c r="A92" s="135">
        <f>RIGHT(D92,4)</f>
        <v/>
      </c>
      <c r="B92" s="66" t="inlineStr">
        <is>
          <t>ПОСОЛЬСКАЯ Папа может с/к в/у</t>
        </is>
      </c>
      <c r="C92" s="55" t="inlineStr">
        <is>
          <t>КГ</t>
        </is>
      </c>
      <c r="D92" s="69" t="n">
        <v>1001063145708</v>
      </c>
      <c r="E92" s="24" t="n"/>
      <c r="F92" s="23" t="n">
        <v>0.5</v>
      </c>
      <c r="G92" s="23">
        <f>E92</f>
        <v/>
      </c>
      <c r="H92" s="14" t="n">
        <v>4</v>
      </c>
      <c r="I92" s="14" t="n">
        <v>120</v>
      </c>
      <c r="J92" s="59" t="n"/>
    </row>
    <row r="93" ht="16.5" customHeight="1" s="130">
      <c r="A93" s="135">
        <f>RIGHT(D93,4)</f>
        <v/>
      </c>
      <c r="B93" s="66" t="inlineStr">
        <is>
          <t>САЛЯМИ ИТАЛЬЯНСКАЯ с/к в/у</t>
        </is>
      </c>
      <c r="C93" s="55" t="inlineStr">
        <is>
          <t>КГ</t>
        </is>
      </c>
      <c r="D93" s="69" t="n">
        <v>1001060763287</v>
      </c>
      <c r="E93" s="24" t="n">
        <v>15</v>
      </c>
      <c r="F93" s="23" t="n">
        <v>0.488</v>
      </c>
      <c r="G93" s="23">
        <f>E93</f>
        <v/>
      </c>
      <c r="H93" s="14" t="n">
        <v>3.9</v>
      </c>
      <c r="I93" s="14" t="n">
        <v>120</v>
      </c>
      <c r="J93" s="59" t="n"/>
    </row>
    <row r="94" ht="16.5" customHeight="1" s="130">
      <c r="A94" s="135">
        <f>RIGHT(D94,4)</f>
        <v/>
      </c>
      <c r="B94" s="66" t="inlineStr">
        <is>
          <t>САЛЯМИ ИТАЛЬЯНСКАЯ с/к в/у 1/250*8_120с</t>
        </is>
      </c>
      <c r="C94" s="55" t="inlineStr">
        <is>
          <t>ШТ</t>
        </is>
      </c>
      <c r="D94" s="69" t="n">
        <v>1001060764993</v>
      </c>
      <c r="E94" s="24" t="n">
        <v>35</v>
      </c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135">
        <f>RIGHT(D95,4)</f>
        <v/>
      </c>
      <c r="B95" s="66" t="inlineStr">
        <is>
          <t>ЭКСТРА Папа может с/к в/у 1/250 8шт.</t>
        </is>
      </c>
      <c r="C95" s="55" t="inlineStr">
        <is>
          <t>ШТ</t>
        </is>
      </c>
      <c r="D95" s="69" t="n">
        <v>1001062505483</v>
      </c>
      <c r="E95" s="24" t="n">
        <v>105</v>
      </c>
      <c r="F95" s="23" t="n">
        <v>0.25</v>
      </c>
      <c r="G95" s="23">
        <f>E95*F95</f>
        <v/>
      </c>
      <c r="H95" s="14" t="n">
        <v>2</v>
      </c>
      <c r="I95" s="14" t="n">
        <v>120</v>
      </c>
      <c r="J95" s="59" t="n"/>
    </row>
    <row r="96" ht="16.5" customHeight="1" s="130">
      <c r="A96" s="135">
        <f>RIGHT(D96,4)</f>
        <v/>
      </c>
      <c r="B96" s="66" t="inlineStr">
        <is>
          <t>ЭКСТРА Папа может с/к в/у_Л</t>
        </is>
      </c>
      <c r="C96" s="55" t="inlineStr">
        <is>
          <t>КГ</t>
        </is>
      </c>
      <c r="D96" s="69" t="n">
        <v>1001062504117</v>
      </c>
      <c r="E96" s="24" t="n"/>
      <c r="F96" s="23" t="n">
        <v>0.494</v>
      </c>
      <c r="G96" s="23">
        <f>E96</f>
        <v/>
      </c>
      <c r="H96" s="14" t="n">
        <v>3.95</v>
      </c>
      <c r="I96" s="14" t="n">
        <v>120</v>
      </c>
      <c r="J96" s="59" t="n"/>
    </row>
    <row r="97" ht="16.5" customHeight="1" s="130">
      <c r="A97" s="135">
        <f>RIGHT(D97,4)</f>
        <v/>
      </c>
      <c r="B97" s="66" t="inlineStr">
        <is>
          <t>БУРГУНДИЯ Папа может с/к в/у 1/250 8шт.</t>
        </is>
      </c>
      <c r="C97" s="55" t="inlineStr">
        <is>
          <t>ШТ</t>
        </is>
      </c>
      <c r="D97" s="69" t="n">
        <v>1001063656967</v>
      </c>
      <c r="E97" s="24" t="n">
        <v>179</v>
      </c>
      <c r="F97" s="23" t="n">
        <v>0.25</v>
      </c>
      <c r="G97" s="23">
        <f>E97*F97</f>
        <v/>
      </c>
      <c r="H97" s="14" t="n">
        <v>2</v>
      </c>
      <c r="I97" s="14" t="n">
        <v>120</v>
      </c>
      <c r="J97" s="59" t="n"/>
    </row>
    <row r="98" ht="16.5" customHeight="1" s="130">
      <c r="A98" s="135">
        <f>RIGHT(D98,4)</f>
        <v/>
      </c>
      <c r="B98" s="66" t="inlineStr">
        <is>
          <t>САЛЬЧИЧОН Останкино с/к в/у 1/220 8шт.</t>
        </is>
      </c>
      <c r="C98" s="55" t="inlineStr">
        <is>
          <t>ШТ</t>
        </is>
      </c>
      <c r="D98" s="69" t="n">
        <v>1001063237147</v>
      </c>
      <c r="E98" s="24" t="n"/>
      <c r="F98" s="23" t="n">
        <v>0.22</v>
      </c>
      <c r="G98" s="23">
        <f>E98*F98</f>
        <v/>
      </c>
      <c r="H98" s="14" t="n">
        <v>1.76</v>
      </c>
      <c r="I98" s="14" t="n">
        <v>120</v>
      </c>
      <c r="J98" s="59" t="n"/>
    </row>
    <row r="99" ht="16.5" customHeight="1" s="130">
      <c r="A99" s="135">
        <f>RIGHT(D99,4)</f>
        <v/>
      </c>
      <c r="B99" s="66" t="inlineStr">
        <is>
          <t>АССОРТИ СЫРОКОПЧЕНЫХ КОЛБАС Коровино в/у</t>
        </is>
      </c>
      <c r="C99" s="55" t="inlineStr">
        <is>
          <t>КГ</t>
        </is>
      </c>
      <c r="D99" s="69" t="n">
        <v>1001065616832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135">
        <f>RIGHT(D100,4)</f>
        <v/>
      </c>
      <c r="B100" s="66" t="inlineStr">
        <is>
          <t>НАБОР ДЛЯ ПИЦЦЫ Папа Может с/к в/у</t>
        </is>
      </c>
      <c r="C100" s="55" t="inlineStr">
        <is>
          <t>КГ</t>
        </is>
      </c>
      <c r="D100" s="69" t="n">
        <v>1001060677299</v>
      </c>
      <c r="E100" s="24" t="n">
        <v>100</v>
      </c>
      <c r="F100" s="23" t="n">
        <v>0.215</v>
      </c>
      <c r="G100" s="23">
        <f>E100</f>
        <v/>
      </c>
      <c r="H100" s="14" t="n">
        <v>2.15</v>
      </c>
      <c r="I100" s="14" t="n">
        <v>30</v>
      </c>
      <c r="J100" s="59" t="n"/>
    </row>
    <row r="101" ht="16.5" customHeight="1" s="130">
      <c r="A101" s="135">
        <f>RIGHT(D101,4)</f>
        <v/>
      </c>
      <c r="B101" s="66" t="inlineStr">
        <is>
          <t>АРОМАТНАЯ с/к с/н в/у 1/100 10шт_Л10 (7613)</t>
        </is>
      </c>
      <c r="C101" s="55" t="inlineStr">
        <is>
          <t>ШТ</t>
        </is>
      </c>
      <c r="D101" s="69" t="n">
        <v>1001061977613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60</v>
      </c>
      <c r="J101" s="52" t="inlineStr">
        <is>
          <t>Ротация кода 6454</t>
        </is>
      </c>
    </row>
    <row r="102" ht="16.5" customHeight="1" s="130">
      <c r="A102" s="135">
        <f>RIGHT(D102,4)</f>
        <v/>
      </c>
      <c r="B102" s="66" t="inlineStr">
        <is>
          <t>САЛЯМИ МЕЛКОЗЕРНЕНАЯ с/к в/у 1/120 8шт.</t>
        </is>
      </c>
      <c r="C102" s="55" t="inlineStr">
        <is>
          <t>ШТ</t>
        </is>
      </c>
      <c r="D102" s="69" t="n">
        <v>1001203117382</v>
      </c>
      <c r="E102" s="24" t="n">
        <v>362</v>
      </c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59" t="n"/>
    </row>
    <row r="103" ht="16.5" customHeight="1" s="130">
      <c r="A103" s="135">
        <f>RIGHT(D103,4)</f>
        <v/>
      </c>
      <c r="B103" s="66" t="inlineStr">
        <is>
          <t>ЭКСТРА Папа может с/к с/н в/у 1/100_Л10</t>
        </is>
      </c>
      <c r="C103" s="55" t="inlineStr">
        <is>
          <t>ШТ</t>
        </is>
      </c>
      <c r="D103" s="69" t="n">
        <v>1001062507616</v>
      </c>
      <c r="E103" s="24" t="n"/>
      <c r="F103" s="23" t="n">
        <v>0.1</v>
      </c>
      <c r="G103" s="23">
        <f>E103*F103</f>
        <v/>
      </c>
      <c r="H103" s="14" t="n">
        <v>1.4</v>
      </c>
      <c r="I103" s="14" t="n">
        <v>60</v>
      </c>
      <c r="J103" s="52" t="inlineStr">
        <is>
          <t>Ротация кода 6453</t>
        </is>
      </c>
    </row>
    <row r="104" ht="16.5" customHeight="1" s="130">
      <c r="A104" s="135">
        <f>RIGHT(D104,4)</f>
        <v/>
      </c>
      <c r="B104" s="66" t="inlineStr">
        <is>
          <t>НЕАПОЛИТАНСКИЙ ДУЭТ с/к с/н мгс 1/90</t>
        </is>
      </c>
      <c r="C104" s="55" t="inlineStr">
        <is>
          <t>ШТ</t>
        </is>
      </c>
      <c r="D104" s="69" t="n">
        <v>1001205376221</v>
      </c>
      <c r="E104" s="24" t="n">
        <v>25</v>
      </c>
      <c r="F104" s="23" t="n">
        <v>0.09</v>
      </c>
      <c r="G104" s="23">
        <f>E104*F104</f>
        <v/>
      </c>
      <c r="H104" s="14" t="n">
        <v>0.9</v>
      </c>
      <c r="I104" s="14" t="n">
        <v>60</v>
      </c>
      <c r="J104" s="59" t="n"/>
    </row>
    <row r="105" ht="16.5" customHeight="1" s="130">
      <c r="A105" s="135">
        <f>RIGHT(D105,4)</f>
        <v/>
      </c>
      <c r="B105" s="66" t="inlineStr">
        <is>
          <t>САЛЯМИ ИТАЛЬЯНСКАЯ с/к в/у 1/150_60с</t>
        </is>
      </c>
      <c r="C105" s="55" t="inlineStr">
        <is>
          <t>ШТ</t>
        </is>
      </c>
      <c r="D105" s="69" t="n">
        <v>1001190765679</v>
      </c>
      <c r="E105" s="24" t="n"/>
      <c r="F105" s="23" t="n">
        <v>0.15</v>
      </c>
      <c r="G105" s="23">
        <f>E105*F105</f>
        <v/>
      </c>
      <c r="H105" s="14" t="n">
        <v>1.2</v>
      </c>
      <c r="I105" s="14" t="n">
        <v>60</v>
      </c>
      <c r="J105" s="59" t="n"/>
    </row>
    <row r="106" ht="16.5" customHeight="1" s="130" thickBot="1">
      <c r="A106" s="135">
        <f>RIGHT(D106,4)</f>
        <v/>
      </c>
      <c r="B106" s="66" t="inlineStr">
        <is>
          <t>БРАУНШВЕЙГСКАЯ с/к с/н мгс 1/100_Л10</t>
        </is>
      </c>
      <c r="C106" s="55" t="inlineStr">
        <is>
          <t>ШТ</t>
        </is>
      </c>
      <c r="D106" s="69" t="n">
        <v>1001066607626</v>
      </c>
      <c r="E106" s="24" t="n"/>
      <c r="F106" s="23" t="n">
        <v>0.1</v>
      </c>
      <c r="G106" s="23">
        <f>E106*F106</f>
        <v/>
      </c>
      <c r="H106" s="14" t="n">
        <v>1</v>
      </c>
      <c r="I106" s="14" t="n">
        <v>60</v>
      </c>
      <c r="J106" s="52" t="inlineStr">
        <is>
          <t>Ротация кода 5677</t>
        </is>
      </c>
    </row>
    <row r="107" ht="16.5" customHeight="1" s="130" thickBot="1" thickTop="1">
      <c r="A107" s="47" t="inlineStr"/>
      <c r="B107" s="42" t="inlineStr">
        <is>
          <t>Ветчины</t>
        </is>
      </c>
      <c r="C107" s="42" t="n"/>
      <c r="D107" s="42" t="n"/>
      <c r="E107" s="42" t="n"/>
      <c r="F107" s="41" t="n"/>
      <c r="G107" s="42" t="n"/>
      <c r="H107" s="42" t="n"/>
      <c r="I107" s="42" t="n"/>
      <c r="J107" s="43" t="n"/>
    </row>
    <row r="108" ht="16.15" customHeight="1" s="130" thickTop="1">
      <c r="A108" s="135">
        <f>RIGHT(D108,4)</f>
        <v/>
      </c>
      <c r="B108" s="121" t="inlineStr">
        <is>
          <t xml:space="preserve">ВЕТЧ.ИЗ ЛОПАТКИ Папа может п/о_HRC </t>
        </is>
      </c>
      <c r="C108" s="55" t="inlineStr">
        <is>
          <t>КГ</t>
        </is>
      </c>
      <c r="D108" s="119" t="n">
        <v>1001092674584</v>
      </c>
      <c r="E108" s="24" t="n"/>
      <c r="F108" s="23" t="n">
        <v>2.5</v>
      </c>
      <c r="G108" s="23">
        <f>E108</f>
        <v/>
      </c>
      <c r="H108" s="14" t="n">
        <v>7.5</v>
      </c>
      <c r="I108" s="14" t="n">
        <v>60</v>
      </c>
      <c r="J108" s="59" t="n"/>
    </row>
    <row r="109" ht="16.15" customHeight="1" s="130">
      <c r="A109" s="135">
        <f>RIGHT(D109,4)</f>
        <v/>
      </c>
      <c r="B109" s="121" t="inlineStr">
        <is>
          <t>ВЕТЧ.МРАМОРНАЯ в/у срез 0.3кг 6шт_45с</t>
        </is>
      </c>
      <c r="C109" s="55" t="inlineStr">
        <is>
          <t>ШТ</t>
        </is>
      </c>
      <c r="D109" s="69" t="n">
        <v>1001092436495</v>
      </c>
      <c r="E109" s="24" t="n">
        <v>143</v>
      </c>
      <c r="F109" s="137" t="n">
        <v>0.3</v>
      </c>
      <c r="G109" s="23">
        <f>E109*F109</f>
        <v/>
      </c>
      <c r="H109" s="59" t="n">
        <v>1.8</v>
      </c>
      <c r="I109" s="59" t="n">
        <v>45</v>
      </c>
      <c r="J109" s="59" t="n"/>
      <c r="K109" s="27" t="n"/>
    </row>
    <row r="110" ht="16.15" customHeight="1" s="130">
      <c r="A110" s="135">
        <f>RIGHT(D110,4)</f>
        <v/>
      </c>
      <c r="B110" s="117" t="inlineStr">
        <is>
          <t>ВЕТЧ.МРАМОРНАЯ в/у_45с</t>
        </is>
      </c>
      <c r="C110" s="55" t="inlineStr">
        <is>
          <t>КГ</t>
        </is>
      </c>
      <c r="D110" s="69" t="n">
        <v>1001092436470</v>
      </c>
      <c r="E110" s="24" t="n"/>
      <c r="F110" s="137" t="n">
        <v>1.2</v>
      </c>
      <c r="G110" s="23">
        <f>E110</f>
        <v/>
      </c>
      <c r="H110" s="59" t="n">
        <v>4.8</v>
      </c>
      <c r="I110" s="59" t="n">
        <v>45</v>
      </c>
      <c r="J110" s="59" t="n"/>
      <c r="K110" s="27" t="n"/>
    </row>
    <row r="111" ht="16.15" customHeight="1" s="130">
      <c r="A111" s="135">
        <f>RIGHT(D111,4)</f>
        <v/>
      </c>
      <c r="B111" s="117" t="inlineStr">
        <is>
          <t>ВЕТЧ.МЯСНАЯ Папа может п/о</t>
        </is>
      </c>
      <c r="C111" s="55" t="inlineStr">
        <is>
          <t>КГ</t>
        </is>
      </c>
      <c r="D111" s="69" t="n">
        <v>1001092485452</v>
      </c>
      <c r="E111" s="24" t="n"/>
      <c r="F111" s="137" t="n">
        <v>1.35</v>
      </c>
      <c r="G111" s="23">
        <f>E111</f>
        <v/>
      </c>
      <c r="H111" s="59" t="n">
        <v>4.05</v>
      </c>
      <c r="I111" s="59" t="n">
        <v>60</v>
      </c>
      <c r="J111" s="59" t="n"/>
      <c r="K111" s="27" t="n"/>
    </row>
    <row r="112" ht="16.15" customHeight="1" s="130">
      <c r="A112" s="135">
        <f>RIGHT(D112,4)</f>
        <v/>
      </c>
      <c r="B112" s="117" t="inlineStr">
        <is>
          <t>ВЕТЧ.МЯСНАЯ Папа может п/о 0.4кг 8шт.</t>
        </is>
      </c>
      <c r="C112" s="55" t="inlineStr">
        <is>
          <t>ШТ</t>
        </is>
      </c>
      <c r="D112" s="69" t="n">
        <v>1001094053215</v>
      </c>
      <c r="E112" s="24" t="n"/>
      <c r="F112" s="137" t="n">
        <v>0.4</v>
      </c>
      <c r="G112" s="23">
        <f>E112*F112</f>
        <v/>
      </c>
      <c r="H112" s="59" t="n">
        <v>3.2</v>
      </c>
      <c r="I112" s="59" t="n">
        <v>60</v>
      </c>
      <c r="J112" s="59" t="n"/>
      <c r="K112" s="27" t="n"/>
    </row>
    <row r="113" ht="16.15" customHeight="1" s="130">
      <c r="A113" s="135">
        <f>RIGHT(D113,4)</f>
        <v/>
      </c>
      <c r="B113" s="117" t="inlineStr">
        <is>
          <t>ВЕТЧ.НЕЖНАЯ Коровино п/о_Маяк</t>
        </is>
      </c>
      <c r="C113" s="55" t="inlineStr">
        <is>
          <t>КГ</t>
        </is>
      </c>
      <c r="D113" s="69" t="n">
        <v>1001095716866</v>
      </c>
      <c r="E113" s="24" t="n"/>
      <c r="F113" s="137" t="n">
        <v>1.5</v>
      </c>
      <c r="G113" s="23">
        <f>E113</f>
        <v/>
      </c>
      <c r="H113" s="59" t="n">
        <v>6</v>
      </c>
      <c r="I113" s="59" t="n">
        <v>60</v>
      </c>
      <c r="J113" s="59" t="n"/>
      <c r="K113" s="27" t="n"/>
    </row>
    <row r="114" ht="16.5" customHeight="1" s="130">
      <c r="A114" s="135">
        <f>RIGHT(D114,4)</f>
        <v/>
      </c>
      <c r="B114" s="66" t="inlineStr">
        <is>
          <t>ВЕТЧ.С ИНДЕЙКОЙ Папа может п/о 400*6</t>
        </is>
      </c>
      <c r="C114" s="55" t="inlineStr">
        <is>
          <t>ШТ</t>
        </is>
      </c>
      <c r="D114" s="136" t="n">
        <v>1001093345495</v>
      </c>
      <c r="E114" s="24" t="n">
        <v>68</v>
      </c>
      <c r="F114" s="137" t="n">
        <v>0.4</v>
      </c>
      <c r="G114" s="23">
        <f>E114*F114</f>
        <v/>
      </c>
      <c r="H114" s="59" t="n">
        <v>2.4</v>
      </c>
      <c r="I114" s="59" t="n">
        <v>60</v>
      </c>
      <c r="J114" s="59" t="n"/>
      <c r="K114" s="27" t="n"/>
    </row>
    <row r="115" ht="16.5" customHeight="1" s="130">
      <c r="A115" s="135">
        <f>RIGHT(D115,4)</f>
        <v/>
      </c>
      <c r="B115" s="66" t="inlineStr">
        <is>
          <t>ВЕТЧ.С ИНДЕЙКОЙ ПМ в/у срез 0.3кг 6шт.</t>
        </is>
      </c>
      <c r="C115" s="55" t="inlineStr">
        <is>
          <t>ШТ</t>
        </is>
      </c>
      <c r="D115" s="136" t="n">
        <v>1001095027377</v>
      </c>
      <c r="E115" s="24" t="n"/>
      <c r="F115" s="137" t="n">
        <v>0.3</v>
      </c>
      <c r="G115" s="23">
        <f>E115*F115</f>
        <v/>
      </c>
      <c r="H115" s="59" t="n">
        <v>1.8</v>
      </c>
      <c r="I115" s="59" t="n">
        <v>45</v>
      </c>
      <c r="J115" s="59" t="n"/>
      <c r="K115" s="27" t="n"/>
    </row>
    <row r="116" ht="16.5" customHeight="1" s="130">
      <c r="A116" s="135">
        <f>RIGHT(D116,4)</f>
        <v/>
      </c>
      <c r="B116" s="66" t="inlineStr">
        <is>
          <t>ВЕТЧ.РУБЛЕНАЯ ПМ в/у срез 0.3кг 6шт.</t>
        </is>
      </c>
      <c r="C116" s="55" t="inlineStr">
        <is>
          <t>ШТ</t>
        </is>
      </c>
      <c r="D116" s="136" t="n">
        <v>1001093316411</v>
      </c>
      <c r="E116" s="24" t="n"/>
      <c r="F116" s="137" t="n">
        <v>0.3</v>
      </c>
      <c r="G116" s="23">
        <f>E116*F116</f>
        <v/>
      </c>
      <c r="H116" s="59" t="n"/>
      <c r="I116" s="59" t="n"/>
      <c r="J116" s="59" t="n"/>
    </row>
    <row r="117" ht="16.5" customHeight="1" s="130">
      <c r="A117" s="135">
        <f>RIGHT(D117,4)</f>
        <v/>
      </c>
      <c r="B117" s="66" t="inlineStr">
        <is>
          <t xml:space="preserve">ВЕТЧ.КЛАССИЧЕСКАЯ в/у 0.6кг 8шт. </t>
        </is>
      </c>
      <c r="C117" s="55" t="inlineStr">
        <is>
          <t>ШТ</t>
        </is>
      </c>
      <c r="D117" s="136" t="n">
        <v>1001095226925</v>
      </c>
      <c r="E117" s="24" t="n"/>
      <c r="F117" s="137" t="n">
        <v>0.6</v>
      </c>
      <c r="G117" s="23">
        <f>E117*F117</f>
        <v/>
      </c>
      <c r="H117" s="59" t="n">
        <v>4.8</v>
      </c>
      <c r="I117" s="59" t="n">
        <v>45</v>
      </c>
      <c r="J117" s="59" t="n"/>
      <c r="K117" s="27" t="n"/>
    </row>
    <row r="118" ht="15.75" customHeight="1" s="130">
      <c r="A118" s="135">
        <f>RIGHT(D118,4)</f>
        <v/>
      </c>
      <c r="B118" s="66" t="inlineStr">
        <is>
          <t>ВЕТЧ.ФИРМЕННАЯ С ИНДЕЙКОЙ п/о</t>
        </is>
      </c>
      <c r="C118" s="55" t="inlineStr">
        <is>
          <t>КГ</t>
        </is>
      </c>
      <c r="D118" s="136" t="n">
        <v>1001094966025</v>
      </c>
      <c r="E118" s="24" t="n"/>
      <c r="F118" s="137" t="n">
        <v>3</v>
      </c>
      <c r="G118" s="23">
        <f>E118</f>
        <v/>
      </c>
      <c r="H118" s="59" t="n">
        <v>6</v>
      </c>
      <c r="I118" s="59" t="n">
        <v>60</v>
      </c>
      <c r="J118" s="59" t="n"/>
      <c r="K118" s="27" t="n"/>
    </row>
    <row r="119" ht="15.75" customHeight="1" s="130">
      <c r="A119" s="135">
        <f>RIGHT(D119,4)</f>
        <v/>
      </c>
      <c r="B119" s="66" t="inlineStr">
        <is>
          <t>РИЕТ МЯСНОЙ С ГРИБАМИ ПМ п/о 1/150</t>
        </is>
      </c>
      <c r="C119" s="55" t="inlineStr">
        <is>
          <t>ШТ</t>
        </is>
      </c>
      <c r="D119" s="136" t="n">
        <v>1001107397485</v>
      </c>
      <c r="E119" s="24" t="n">
        <v>100</v>
      </c>
      <c r="F119" s="137" t="n">
        <v>0.15</v>
      </c>
      <c r="G119" s="23">
        <f>F119*E119</f>
        <v/>
      </c>
      <c r="H119" s="59" t="n"/>
      <c r="I119" s="59" t="n"/>
      <c r="J119" s="131" t="inlineStr">
        <is>
          <t>Новинка</t>
        </is>
      </c>
      <c r="K119" s="27" t="n"/>
    </row>
    <row r="120" ht="15.75" customHeight="1" s="130">
      <c r="A120" s="135">
        <f>RIGHT(D120,4)</f>
        <v/>
      </c>
      <c r="B120" s="66" t="inlineStr">
        <is>
          <t>ХОЧУ ВЕТЧ. ИЗ СВИН.ОТРУБА с/н мгс 1/100</t>
        </is>
      </c>
      <c r="C120" s="55" t="inlineStr">
        <is>
          <t>ШТ</t>
        </is>
      </c>
      <c r="D120" s="136" t="n">
        <v>1001097747647</v>
      </c>
      <c r="E120" s="24" t="n">
        <v>167</v>
      </c>
      <c r="F120" s="137" t="n">
        <v>0.1</v>
      </c>
      <c r="G120" s="23">
        <f>E120*F120</f>
        <v/>
      </c>
      <c r="H120" s="59" t="n">
        <v>1</v>
      </c>
      <c r="I120" s="59" t="n">
        <v>30</v>
      </c>
      <c r="J120" s="131" t="inlineStr">
        <is>
          <t>Новинка</t>
        </is>
      </c>
      <c r="K120" s="27" t="n"/>
    </row>
    <row r="121" ht="15.75" customHeight="1" s="130" thickBot="1">
      <c r="A121" s="135">
        <f>RIGHT(D121,4)</f>
        <v/>
      </c>
      <c r="B121" s="66" t="inlineStr">
        <is>
          <t>ХОЧУ ВЕТЧ. МРАМОР. ПМ с/н мгс 1/100_Л11</t>
        </is>
      </c>
      <c r="C121" s="55" t="inlineStr">
        <is>
          <t>ШТ</t>
        </is>
      </c>
      <c r="D121" s="136" t="n">
        <v>1001097767651</v>
      </c>
      <c r="E121" s="24" t="n">
        <v>167</v>
      </c>
      <c r="F121" s="137" t="n">
        <v>0.1</v>
      </c>
      <c r="G121" s="23">
        <f>E121*F121</f>
        <v/>
      </c>
      <c r="H121" s="59" t="n">
        <v>1</v>
      </c>
      <c r="I121" s="59" t="n">
        <v>30</v>
      </c>
      <c r="J121" s="131" t="inlineStr">
        <is>
          <t>Новинка</t>
        </is>
      </c>
      <c r="K121" s="27" t="n"/>
    </row>
    <row r="122" ht="16.5" customHeight="1" s="130" thickBot="1" thickTop="1">
      <c r="A122" s="47" t="inlineStr"/>
      <c r="B122" s="42" t="inlineStr">
        <is>
          <t>Копчености варенокопченые</t>
        </is>
      </c>
      <c r="C122" s="42" t="n"/>
      <c r="D122" s="42" t="n"/>
      <c r="E122" s="42" t="n"/>
      <c r="F122" s="41" t="n"/>
      <c r="G122" s="42" t="n"/>
      <c r="H122" s="42" t="n"/>
      <c r="I122" s="42" t="n"/>
      <c r="J122" s="43" t="n"/>
    </row>
    <row r="123" ht="16.5" customHeight="1" s="130" thickTop="1">
      <c r="A123" s="135">
        <f>RIGHT(D123,4)</f>
        <v/>
      </c>
      <c r="B123" s="35" t="inlineStr">
        <is>
          <t>СВИНИНА ПО-ДОМ. к/в мл/к в/у 0.3кг_50с</t>
        </is>
      </c>
      <c r="C123" s="55" t="inlineStr">
        <is>
          <t>ШТ</t>
        </is>
      </c>
      <c r="D123" s="69" t="n">
        <v>1001084217090</v>
      </c>
      <c r="E123" s="24" t="n">
        <v>86</v>
      </c>
      <c r="F123" s="23" t="n">
        <v>0.3</v>
      </c>
      <c r="G123" s="23">
        <f>E123*F123</f>
        <v/>
      </c>
      <c r="H123" s="14" t="n">
        <v>1.8</v>
      </c>
      <c r="I123" s="14" t="n">
        <v>50</v>
      </c>
      <c r="J123" s="59" t="n"/>
    </row>
    <row r="124" ht="16.5" customHeight="1" s="130">
      <c r="A124" s="135">
        <f>RIGHT(D124,4)</f>
        <v/>
      </c>
      <c r="B124" s="35" t="inlineStr">
        <is>
          <t>ГРУДИНКА ПРЕМИУМ к/в мл/к в/у 0.3кг_50с</t>
        </is>
      </c>
      <c r="C124" s="55" t="inlineStr">
        <is>
          <t>ШТ</t>
        </is>
      </c>
      <c r="D124" s="69" t="n">
        <v>1001085637187</v>
      </c>
      <c r="E124" s="24" t="n">
        <v>63</v>
      </c>
      <c r="F124" s="23" t="n">
        <v>0.3</v>
      </c>
      <c r="G124" s="23">
        <f>E124*F124</f>
        <v/>
      </c>
      <c r="H124" s="14" t="n">
        <v>1.8</v>
      </c>
      <c r="I124" s="14" t="n">
        <v>50</v>
      </c>
      <c r="J124" s="59" t="n"/>
    </row>
    <row r="125" ht="16.5" customHeight="1" s="130">
      <c r="A125" s="135">
        <f>RIGHT(D125,4)</f>
        <v/>
      </c>
      <c r="B125" s="35" t="inlineStr">
        <is>
          <t>САЛО СОЛЕНОЕ С ЧЕРНЫМ ПЕРЦЕМ мл/к в/у</t>
        </is>
      </c>
      <c r="C125" s="55" t="inlineStr">
        <is>
          <t>КГ</t>
        </is>
      </c>
      <c r="D125" s="69" t="n">
        <v>1001084856008</v>
      </c>
      <c r="E125" s="24" t="n"/>
      <c r="F125" s="23" t="n">
        <v>0.3</v>
      </c>
      <c r="G125" s="23">
        <f>E125</f>
        <v/>
      </c>
      <c r="H125" s="14" t="n">
        <v>1.8</v>
      </c>
      <c r="I125" s="14" t="n">
        <v>40</v>
      </c>
      <c r="J125" s="131" t="inlineStr">
        <is>
          <t>Новинка</t>
        </is>
      </c>
    </row>
    <row r="126" ht="16.5" customHeight="1" s="130">
      <c r="A126" s="135">
        <f>RIGHT(D126,4)</f>
        <v/>
      </c>
      <c r="B126" s="35" t="inlineStr">
        <is>
          <t>РЕБРЫШКИ к/в в/у_30c</t>
        </is>
      </c>
      <c r="C126" s="55" t="inlineStr">
        <is>
          <t>КГ</t>
        </is>
      </c>
      <c r="D126" s="69" t="n">
        <v>1001081596620</v>
      </c>
      <c r="E126" s="24" t="n"/>
      <c r="F126" s="23" t="n">
        <v>1.05</v>
      </c>
      <c r="G126" s="23">
        <f>E126</f>
        <v/>
      </c>
      <c r="H126" s="14" t="n">
        <v>3.15</v>
      </c>
      <c r="I126" s="14" t="n">
        <v>30</v>
      </c>
      <c r="J126" s="59" t="n"/>
    </row>
    <row r="127" ht="16.5" customHeight="1" s="130">
      <c r="A127" s="135">
        <f>RIGHT(D127,4)</f>
        <v/>
      </c>
      <c r="B127" s="35" t="inlineStr">
        <is>
          <t>БЕКОН Останкино с/к с/н в/у 1/180_50с</t>
        </is>
      </c>
      <c r="C127" s="55" t="inlineStr">
        <is>
          <t>ШТ</t>
        </is>
      </c>
      <c r="D127" s="69" t="n">
        <v>1001223297103</v>
      </c>
      <c r="E127" s="24" t="n"/>
      <c r="F127" s="23" t="n">
        <v>0.18</v>
      </c>
      <c r="G127" s="23">
        <f>E127*F127</f>
        <v/>
      </c>
      <c r="H127" s="14" t="n">
        <v>1.8</v>
      </c>
      <c r="I127" s="14" t="n">
        <v>50</v>
      </c>
      <c r="J127" s="59" t="n"/>
    </row>
    <row r="128" ht="16.5" customHeight="1" s="130">
      <c r="A128" s="135">
        <f>RIGHT(D128,4)</f>
        <v/>
      </c>
      <c r="B128" s="35" t="inlineStr">
        <is>
          <t>БЕКОН Папа может с/к с/н в/у 1/140_50с</t>
        </is>
      </c>
      <c r="C128" s="55" t="inlineStr">
        <is>
          <t>ШТ</t>
        </is>
      </c>
      <c r="D128" s="69" t="n">
        <v>1001223297092</v>
      </c>
      <c r="E128" s="24" t="n"/>
      <c r="F128" s="23" t="n">
        <v>0.14</v>
      </c>
      <c r="G128" s="23">
        <f>E128*F128</f>
        <v/>
      </c>
      <c r="H128" s="14" t="n">
        <v>1.4</v>
      </c>
      <c r="I128" s="14" t="n">
        <v>50</v>
      </c>
      <c r="J128" s="59" t="n"/>
    </row>
    <row r="129" ht="16.5" customHeight="1" s="130">
      <c r="A129" s="135">
        <f>RIGHT(D129,4)</f>
        <v/>
      </c>
      <c r="B129" s="35" t="inlineStr">
        <is>
          <t>МЯСНОЕ АССОРТИ к/з с/н мгс 1/90 10шт.</t>
        </is>
      </c>
      <c r="C129" s="55" t="inlineStr">
        <is>
          <t>ШТ</t>
        </is>
      </c>
      <c r="D129" s="69" t="n">
        <v>1001225416228</v>
      </c>
      <c r="E129" s="24" t="n">
        <v>20</v>
      </c>
      <c r="F129" s="23" t="n">
        <v>0.09</v>
      </c>
      <c r="G129" s="23">
        <f>E129*F129</f>
        <v/>
      </c>
      <c r="H129" s="14" t="n">
        <v>0.9</v>
      </c>
      <c r="I129" s="14" t="n">
        <v>45</v>
      </c>
      <c r="J129" s="59" t="n"/>
    </row>
    <row r="130" ht="16.5" customHeight="1" s="130">
      <c r="A130" s="135">
        <f>RIGHT(D130,4)</f>
        <v/>
      </c>
      <c r="B130" s="35" t="inlineStr">
        <is>
          <t>ДЫМОВИЦА ИЗ ЛОПАТКИ ПМ к/в с/н в/у 1/150</t>
        </is>
      </c>
      <c r="C130" s="55" t="inlineStr">
        <is>
          <t>ШТ</t>
        </is>
      </c>
      <c r="D130" s="69" t="n">
        <v>1001220226208</v>
      </c>
      <c r="E130" s="24" t="n"/>
      <c r="F130" s="23" t="n">
        <v>0.15</v>
      </c>
      <c r="G130" s="23">
        <f>E130*F130</f>
        <v/>
      </c>
      <c r="H130" s="14" t="n">
        <v>1.5</v>
      </c>
      <c r="I130" s="14" t="n">
        <v>45</v>
      </c>
      <c r="J130" s="59" t="n"/>
    </row>
    <row r="131" ht="16.5" customHeight="1" s="130">
      <c r="A131" s="135">
        <f>RIGHT(D131,4)</f>
        <v/>
      </c>
      <c r="B131" s="35" t="inlineStr">
        <is>
          <t>КОРЕЙКА ПО-ОСТ.к/в в/с с/н в/у 1/150_45с</t>
        </is>
      </c>
      <c r="C131" s="55" t="inlineStr">
        <is>
          <t>ШТ</t>
        </is>
      </c>
      <c r="D131" s="69" t="n">
        <v>1001220286279</v>
      </c>
      <c r="E131" s="24" t="n"/>
      <c r="F131" s="23" t="n">
        <v>0.15</v>
      </c>
      <c r="G131" s="23">
        <f>E131*F131</f>
        <v/>
      </c>
      <c r="H131" s="14" t="n">
        <v>1.2</v>
      </c>
      <c r="I131" s="14" t="n">
        <v>45</v>
      </c>
      <c r="J131" s="59" t="n"/>
    </row>
    <row r="132" ht="16.5" customHeight="1" s="130" thickBot="1">
      <c r="A132" s="135">
        <f>RIGHT(D132,4)</f>
        <v/>
      </c>
      <c r="B132" s="35" t="inlineStr">
        <is>
          <t>БАЛЫК с/к с/н в/у 1/100 10шт_Л11</t>
        </is>
      </c>
      <c r="C132" s="55" t="inlineStr">
        <is>
          <t>ШТ</t>
        </is>
      </c>
      <c r="D132" s="69" t="n">
        <v>1001453907612</v>
      </c>
      <c r="E132" s="24" t="n"/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7288</t>
        </is>
      </c>
    </row>
    <row r="133" ht="16.5" customHeight="1" s="130" thickBot="1" thickTop="1">
      <c r="A133" s="48" t="n"/>
      <c r="B133" s="45" t="inlineStr">
        <is>
          <t>ВСЕГО:</t>
        </is>
      </c>
      <c r="C133" s="16" t="n"/>
      <c r="D133" s="36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s="130" thickTop="1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2" t="n"/>
      <c r="E140" s="63" t="n"/>
      <c r="F140" s="64" t="n"/>
      <c r="G140" s="64" t="n"/>
      <c r="H140" s="70" t="n"/>
      <c r="I140" s="70" t="n"/>
      <c r="J140" s="21" t="n"/>
    </row>
    <row r="141">
      <c r="B141" s="37" t="n"/>
      <c r="C141" s="61" t="n"/>
      <c r="D141" s="62" t="n"/>
      <c r="E141" s="63" t="n"/>
      <c r="F141" s="64" t="n"/>
      <c r="G141" s="64" t="n"/>
      <c r="H141" s="70" t="n"/>
      <c r="I141" s="70" t="n"/>
      <c r="J141" s="21" t="n"/>
    </row>
    <row r="142">
      <c r="B142" s="37" t="n"/>
      <c r="C142" s="61" t="n"/>
      <c r="D142" s="66" t="n"/>
      <c r="E142" s="67" t="n"/>
      <c r="F142" s="66" t="n"/>
      <c r="G142" s="68" t="n"/>
      <c r="H142" s="69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  <row r="1656">
      <c r="B1656" s="37" t="n"/>
      <c r="C1656" s="61" t="n"/>
      <c r="D1656" s="62" t="n"/>
      <c r="F1656" s="64" t="n"/>
      <c r="G1656" s="64" t="n"/>
      <c r="H1656" s="70" t="n"/>
      <c r="I1656" s="70" t="n"/>
      <c r="J1656" s="21" t="n"/>
    </row>
    <row r="1657">
      <c r="B1657" s="37" t="n"/>
      <c r="C1657" s="61" t="n"/>
      <c r="D1657" s="62" t="n"/>
      <c r="F1657" s="64" t="n"/>
      <c r="G1657" s="64" t="n"/>
      <c r="H1657" s="70" t="n"/>
      <c r="I1657" s="70" t="n"/>
      <c r="J1657" s="21" t="n"/>
    </row>
  </sheetData>
  <autoFilter ref="A9:J133"/>
  <mergeCells count="2">
    <mergeCell ref="E1:J1"/>
    <mergeCell ref="G3:J3"/>
  </mergeCells>
  <conditionalFormatting sqref="D142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2026-08-12T12:18:49Z</dcterms:modified>
  <cp:lastModifiedBy>Uaer4</cp:lastModifiedBy>
  <cp:lastPrinted>2015-01-13T07:32:10Z</cp:lastPrinted>
</cp:coreProperties>
</file>