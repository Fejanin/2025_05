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Бланк!$AC$3:$AC$569</definedName>
    <definedName name="номин.вес_нетто__кг">Бланк!$W$3:$W$569</definedName>
    <definedName name="_xlnm._FilterDatabase" localSheetId="0" hidden="1">'Бланк'!$A$9:$J$133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2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7"/>
  <sheetViews>
    <sheetView tabSelected="1" zoomScale="85" zoomScaleNormal="85" workbookViewId="0">
      <pane ySplit="9" topLeftCell="A154" activePane="bottomLeft" state="frozen"/>
      <selection pane="bottomLeft" activeCell="K7" sqref="K7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04" min="12" max="12"/>
    <col width="8.85546875" customWidth="1" style="104" min="13" max="14"/>
    <col width="8.85546875" customWidth="1" style="104" min="15" max="67"/>
  </cols>
  <sheetData>
    <row r="1" ht="27" customHeight="1" s="104" thickBot="1" thickTop="1">
      <c r="C1" s="1" t="inlineStr">
        <is>
          <t xml:space="preserve">Грузополучатель: </t>
        </is>
      </c>
      <c r="D1" s="107">
        <f>K3</f>
        <v/>
      </c>
      <c r="E1" s="118" t="inlineStr">
        <is>
          <t>ООО "НОВОЕ ВРЕМЯ"</t>
        </is>
      </c>
      <c r="F1" s="119" t="n"/>
      <c r="G1" s="119" t="n"/>
      <c r="H1" s="119" t="n"/>
      <c r="I1" s="119" t="n"/>
      <c r="J1" s="120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04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04" thickBot="1" thickTop="1">
      <c r="B3" s="32" t="n"/>
      <c r="C3" s="7" t="inlineStr">
        <is>
          <t xml:space="preserve">Дата отгрузки с ОМПК: </t>
        </is>
      </c>
      <c r="D3" s="122" t="n">
        <v>46257</v>
      </c>
      <c r="E3" s="7" t="inlineStr">
        <is>
          <t xml:space="preserve">Доставка: </t>
        </is>
      </c>
      <c r="F3" s="122">
        <f>D3+3</f>
        <v/>
      </c>
      <c r="G3" s="122">
        <f>VLOOKUP(D1,K:L,2,0)</f>
        <v/>
      </c>
      <c r="H3" s="119" t="n"/>
      <c r="I3" s="119" t="n"/>
      <c r="J3" s="120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04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0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0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0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0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09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>
        <v>143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09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>
        <v>357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09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09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>
        <v>20</v>
      </c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04">
      <c r="A15" s="109">
        <f>RIGHT(D15,4)</f>
        <v/>
      </c>
      <c r="B15" s="53" t="inlineStr">
        <is>
          <t>ДОМАШНИЙ РЕЦЕПТ Коровино вар п/о</t>
        </is>
      </c>
      <c r="C15" s="50" t="inlineStr">
        <is>
          <t>КГ</t>
        </is>
      </c>
      <c r="D15" s="51" t="n">
        <v>1001015646861</v>
      </c>
      <c r="E15" s="24" t="n">
        <v>37</v>
      </c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04">
      <c r="A16" s="109">
        <f>RIGHT(D16,4)</f>
        <v/>
      </c>
      <c r="B16" s="53" t="inlineStr">
        <is>
          <t>ДОМАШНИЙ РЕЦЕПТ СО ШПИК.Коровино вар п/о</t>
        </is>
      </c>
      <c r="C16" s="50" t="inlineStr">
        <is>
          <t>КГ</t>
        </is>
      </c>
      <c r="D16" s="51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04">
      <c r="A17" s="109">
        <f>RIGHT(D17,4)</f>
        <v/>
      </c>
      <c r="B17" s="53" t="inlineStr">
        <is>
          <t>МОЛОЧНАЯ Папа может вар п/о</t>
        </is>
      </c>
      <c r="C17" s="50" t="inlineStr">
        <is>
          <t>КГ</t>
        </is>
      </c>
      <c r="D17" s="51" t="n">
        <v>1001012456498</v>
      </c>
      <c r="E17" s="24" t="n">
        <v>128</v>
      </c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04">
      <c r="A18" s="109">
        <f>RIGHT(D18,4)</f>
        <v/>
      </c>
      <c r="B18" s="53" t="inlineStr">
        <is>
          <t>МЯСНАЯ Папа может вар п/о</t>
        </is>
      </c>
      <c r="C18" s="50" t="inlineStr">
        <is>
          <t>КГ</t>
        </is>
      </c>
      <c r="D18" s="51" t="n">
        <v>1001012484063</v>
      </c>
      <c r="E18" s="24" t="n">
        <v>1046</v>
      </c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04">
      <c r="A19" s="109">
        <f>RIGHT(D19,4)</f>
        <v/>
      </c>
      <c r="B19" s="53" t="inlineStr">
        <is>
          <t>МЯСНАЯ Папа может вар п/о 0.4кг 8шт.</t>
        </is>
      </c>
      <c r="C19" s="50" t="inlineStr">
        <is>
          <t>ШТ</t>
        </is>
      </c>
      <c r="D19" s="51" t="n">
        <v>1001012486333</v>
      </c>
      <c r="E19" s="24" t="n">
        <v>500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04">
      <c r="A20" s="109">
        <f>RIGHT(D20,4)</f>
        <v/>
      </c>
      <c r="B20" s="53" t="inlineStr">
        <is>
          <t>МЯСНАЯ СО ШПИКОМ Папа может вар п/о</t>
        </is>
      </c>
      <c r="C20" s="50" t="inlineStr">
        <is>
          <t>КГ</t>
        </is>
      </c>
      <c r="D20" s="51" t="n">
        <v>1001012634574</v>
      </c>
      <c r="E20" s="24" t="n"/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  <c r="K20" s="27" t="n"/>
    </row>
    <row r="21" ht="16.5" customHeight="1" s="104">
      <c r="A21" s="109">
        <f>RIGHT(D21,4)</f>
        <v/>
      </c>
      <c r="B21" s="53" t="inlineStr">
        <is>
          <t>МЯСНАЯ СО ШПИКОМ ПМ вар п/о 0.4кг 8шт.</t>
        </is>
      </c>
      <c r="C21" s="50" t="inlineStr">
        <is>
          <t>ШТ</t>
        </is>
      </c>
      <c r="D21" s="51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  <c r="K21" s="27" t="n"/>
    </row>
    <row r="22" ht="16.5" customHeight="1" s="104">
      <c r="A22" s="109">
        <f>RIGHT(D22,4)</f>
        <v/>
      </c>
      <c r="B22" s="53" t="inlineStr">
        <is>
          <t>ФИЛЕЙНАЯ Папа может вар п/о</t>
        </is>
      </c>
      <c r="C22" s="50" t="inlineStr">
        <is>
          <t>КГ</t>
        </is>
      </c>
      <c r="D22" s="51" t="n">
        <v>1001012564813</v>
      </c>
      <c r="E22" s="24" t="n">
        <v>474</v>
      </c>
      <c r="F22" s="111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04">
      <c r="A23" s="109">
        <f>RIGHT(D23,4)</f>
        <v/>
      </c>
      <c r="B23" s="53" t="inlineStr">
        <is>
          <t>ФИЛЕЙНАЯ Папа может вар п/о 0.4кг</t>
        </is>
      </c>
      <c r="C23" s="50" t="inlineStr">
        <is>
          <t>ШТ</t>
        </is>
      </c>
      <c r="D23" s="51" t="n">
        <v>1001012566392</v>
      </c>
      <c r="E23" s="24" t="n">
        <v>700</v>
      </c>
      <c r="F23" s="111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04">
      <c r="A24" s="109">
        <f>RIGHT(D24,4)</f>
        <v/>
      </c>
      <c r="B24" s="53" t="inlineStr">
        <is>
          <t>ЭКСТРА Папа может вар п/о</t>
        </is>
      </c>
      <c r="C24" s="50" t="inlineStr">
        <is>
          <t>КГ</t>
        </is>
      </c>
      <c r="D24" s="51" t="n">
        <v>1001012505851</v>
      </c>
      <c r="E24" s="24" t="n">
        <v>177</v>
      </c>
      <c r="F24" s="111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 s="104">
      <c r="A25" s="109">
        <f>RIGHT(D25,4)</f>
        <v/>
      </c>
      <c r="B25" s="53" t="inlineStr">
        <is>
          <t>ЭКСТРА Папа может вар п/о 0.4кг 8шт_195к</t>
        </is>
      </c>
      <c r="C25" s="50" t="inlineStr">
        <is>
          <t>ШТ</t>
        </is>
      </c>
      <c r="D25" s="51" t="n">
        <v>1001012507632</v>
      </c>
      <c r="E25" s="24" t="n">
        <v>355</v>
      </c>
      <c r="F25" s="111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04">
      <c r="A26" s="109">
        <f>RIGHT(D26,4)</f>
        <v/>
      </c>
      <c r="B26" s="53" t="inlineStr">
        <is>
          <t>ДОКТОРСКАЯ ГОСТ Папа может вар п/о</t>
        </is>
      </c>
      <c r="C26" s="50" t="inlineStr">
        <is>
          <t>КГ</t>
        </is>
      </c>
      <c r="D26" s="51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04">
      <c r="A27" s="109">
        <f>RIGHT(D27,4)</f>
        <v/>
      </c>
      <c r="B27" s="53" t="inlineStr">
        <is>
          <t>ДОКТОРСКАЯ ПРЕМИУМ вар п/о 0.4кг 8шт.</t>
        </is>
      </c>
      <c r="C27" s="50" t="inlineStr">
        <is>
          <t>ШТ</t>
        </is>
      </c>
      <c r="D27" s="51" t="n">
        <v>1001010106325</v>
      </c>
      <c r="E27" s="24" t="n"/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04">
      <c r="A28" s="109">
        <f>RIGHT(D28,4)</f>
        <v/>
      </c>
      <c r="B28" s="53" t="inlineStr">
        <is>
          <t>ДОКТОРСКАЯ ПРЕМИУМ п/о(п)</t>
        </is>
      </c>
      <c r="C28" s="50" t="inlineStr">
        <is>
          <t>КГ</t>
        </is>
      </c>
      <c r="D28" s="51" t="n">
        <v>1001010108014</v>
      </c>
      <c r="E28" s="24" t="n"/>
      <c r="F28" s="111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04">
      <c r="A29" s="109">
        <f>RIGHT(D29,4)</f>
        <v/>
      </c>
      <c r="B29" s="53" t="inlineStr">
        <is>
          <t>ЛЮБИТЕЛЬСКАЯ ОСТАНКИНСКАЯ вар ц/о в/у</t>
        </is>
      </c>
      <c r="C29" s="50" t="inlineStr">
        <is>
          <t>КГ</t>
        </is>
      </c>
      <c r="D29" s="51" t="n">
        <v>1001017557514</v>
      </c>
      <c r="E29" s="24" t="n">
        <v>20</v>
      </c>
      <c r="F29" s="111" t="n"/>
      <c r="G29" s="23">
        <f>E29</f>
        <v/>
      </c>
      <c r="H29" s="29" t="n"/>
      <c r="I29" s="29" t="n"/>
      <c r="J29" s="29" t="n"/>
      <c r="K29" s="27" t="n"/>
    </row>
    <row r="30" ht="16.5" customHeight="1" s="104">
      <c r="A30" s="109">
        <f>RIGHT(D30,4)</f>
        <v/>
      </c>
      <c r="B30" s="53" t="inlineStr">
        <is>
          <t>ТЕЛЯЧЬЯ ГОСТ Останкино вар н/о в/у</t>
        </is>
      </c>
      <c r="C30" s="50" t="inlineStr">
        <is>
          <t>КГ</t>
        </is>
      </c>
      <c r="D30" s="51" t="n">
        <v>1001017567518</v>
      </c>
      <c r="E30" s="24" t="n">
        <v>30</v>
      </c>
      <c r="F30" s="111" t="n"/>
      <c r="G30" s="23">
        <f>E30</f>
        <v/>
      </c>
      <c r="H30" s="29" t="n"/>
      <c r="I30" s="29" t="n"/>
      <c r="J30" s="29" t="n"/>
      <c r="K30" s="27" t="n"/>
    </row>
    <row r="31" ht="16.5" customHeight="1" s="104">
      <c r="A31" s="109">
        <f>RIGHT(D31,4)</f>
        <v/>
      </c>
      <c r="B31" s="53" t="inlineStr">
        <is>
          <t>СЕЙЧАС СЕЗОН ПМ вар п/о 0.4кг</t>
        </is>
      </c>
      <c r="C31" s="50" t="inlineStr">
        <is>
          <t>ШТ</t>
        </is>
      </c>
      <c r="D31" s="51" t="n">
        <v>1001016747343</v>
      </c>
      <c r="E31" s="24" t="n"/>
      <c r="F31" s="111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04">
      <c r="A32" s="109">
        <f>RIGHT(D32,4)</f>
        <v/>
      </c>
      <c r="B32" s="53" t="inlineStr">
        <is>
          <t>С ИНДЕЙКОЙ Папа может вар п/о 0.4кг 8шт.</t>
        </is>
      </c>
      <c r="C32" s="50" t="inlineStr">
        <is>
          <t>ШТ</t>
        </is>
      </c>
      <c r="D32" s="51" t="n">
        <v>1001015026797</v>
      </c>
      <c r="E32" s="24" t="n"/>
      <c r="F32" s="111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04" thickBot="1">
      <c r="A33" s="109">
        <f>RIGHT(D33,4)</f>
        <v/>
      </c>
      <c r="B33" s="53" t="inlineStr">
        <is>
          <t>КЛАССИЧЕСКАЯ ПМ вар п/о 0.3кг 8шт_209к</t>
        </is>
      </c>
      <c r="C33" s="50" t="inlineStr">
        <is>
          <t>ШТ</t>
        </is>
      </c>
      <c r="D33" s="51" t="n">
        <v>1001013957231</v>
      </c>
      <c r="E33" s="24" t="n"/>
      <c r="F33" s="111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0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04" thickTop="1">
      <c r="A35" s="109">
        <f>RIGHT(D35,4)</f>
        <v/>
      </c>
      <c r="B35" s="53" t="inlineStr">
        <is>
          <t>БАВАРСКИЕ ПМ сос ц/о мгс 0.35кг 8шт.</t>
        </is>
      </c>
      <c r="C35" s="50" t="inlineStr">
        <is>
          <t>ШТ</t>
        </is>
      </c>
      <c r="D35" s="51" t="n">
        <v>1001021966602</v>
      </c>
      <c r="E35" s="24" t="n"/>
      <c r="F35" s="111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04">
      <c r="A36" s="109">
        <f>RIGHT(D36,4)</f>
        <v/>
      </c>
      <c r="B36" s="53" t="inlineStr">
        <is>
          <t>ДЛЯ ДЕТЕЙ Папа может сос п/о мгс 0.264кг</t>
        </is>
      </c>
      <c r="C36" s="50" t="inlineStr">
        <is>
          <t>ШТ</t>
        </is>
      </c>
      <c r="D36" s="51" t="n">
        <v>1001025767601</v>
      </c>
      <c r="E36" s="24" t="n"/>
      <c r="F36" s="111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04">
      <c r="A37" s="109">
        <f>RIGHT(D37,4)</f>
        <v/>
      </c>
      <c r="B37" s="53" t="inlineStr">
        <is>
          <t>ДЛЯ ДЕТЕЙ Папа может сос п/о мгс 0.33кг</t>
        </is>
      </c>
      <c r="C37" s="50" t="inlineStr">
        <is>
          <t>ШТ</t>
        </is>
      </c>
      <c r="D37" s="51" t="n">
        <v>1001025767461</v>
      </c>
      <c r="E37" s="24" t="n">
        <v>155</v>
      </c>
      <c r="F37" s="111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04">
      <c r="A38" s="109">
        <f>RIGHT(D38,4)</f>
        <v/>
      </c>
      <c r="B38" s="53" t="inlineStr">
        <is>
          <t>С ИНДЕЙКОЙ ПМ сос ц/о в/у 1/270 8шт.</t>
        </is>
      </c>
      <c r="C38" s="50" t="inlineStr">
        <is>
          <t>ШТ</t>
        </is>
      </c>
      <c r="D38" s="51" t="n">
        <v>1001025027040</v>
      </c>
      <c r="E38" s="24" t="n">
        <v>34</v>
      </c>
      <c r="F38" s="111" t="n">
        <v>0.27</v>
      </c>
      <c r="G38" s="23">
        <f>E38*F38</f>
        <v/>
      </c>
      <c r="H38" s="29" t="n"/>
      <c r="I38" s="29" t="n"/>
      <c r="J38" s="105" t="inlineStr">
        <is>
          <t>Новинка</t>
        </is>
      </c>
      <c r="K38" s="27" t="n"/>
    </row>
    <row r="39" ht="16.5" customHeight="1" s="104">
      <c r="A39" s="109">
        <f>RIGHT(D39,4)</f>
        <v/>
      </c>
      <c r="B39" s="53" t="inlineStr">
        <is>
          <t>МОЛОЧНЫЕ ГОСТ сос ц/о мгс 0.4кг 7шт.</t>
        </is>
      </c>
      <c r="C39" s="50" t="inlineStr">
        <is>
          <t>ШТ</t>
        </is>
      </c>
      <c r="D39" s="51" t="n">
        <v>1001020836759</v>
      </c>
      <c r="E39" s="24" t="n"/>
      <c r="F39" s="111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04">
      <c r="A40" s="109">
        <f>RIGHT(D40,4)</f>
        <v/>
      </c>
      <c r="B40" s="53" t="inlineStr">
        <is>
          <t>МОЛОЧНЫЕ ГОСТ сос ц/о мгс 1*4</t>
        </is>
      </c>
      <c r="C40" s="50" t="inlineStr">
        <is>
          <t>КГ</t>
        </is>
      </c>
      <c r="D40" s="51" t="n">
        <v>1001020836761</v>
      </c>
      <c r="E40" s="24" t="n"/>
      <c r="F40" s="111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04">
      <c r="A41" s="109">
        <f>RIGHT(D41,4)</f>
        <v/>
      </c>
      <c r="B41" s="53" t="inlineStr">
        <is>
          <t>МОЛОЧНЫЕ КЛАССИЧЕСКИЕ сос п/о мгс 2*4_С</t>
        </is>
      </c>
      <c r="C41" s="50" t="inlineStr">
        <is>
          <t>КГ</t>
        </is>
      </c>
      <c r="D41" s="51" t="n">
        <v>1001024976829</v>
      </c>
      <c r="E41" s="24" t="n">
        <v>520</v>
      </c>
      <c r="F41" s="111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04">
      <c r="A42" s="109">
        <f>RIGHT(D42,4)</f>
        <v/>
      </c>
      <c r="B42" s="53" t="inlineStr">
        <is>
          <t>МОЛОЧНЫЕ КЛАССИЧЕСКИЕ сос п/о в/у 0.3кг</t>
        </is>
      </c>
      <c r="C42" s="50" t="inlineStr">
        <is>
          <t>ШТ</t>
        </is>
      </c>
      <c r="D42" s="51" t="n">
        <v>1001024976616</v>
      </c>
      <c r="E42" s="24" t="n">
        <v>200</v>
      </c>
      <c r="F42" s="111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04">
      <c r="A43" s="109">
        <f>RIGHT(D43,4)</f>
        <v/>
      </c>
      <c r="B43" s="53" t="inlineStr">
        <is>
          <t>МОЛОЧ.ПРЕМИУМ ПМ сос п/о мгс 1.5*4_О_50с</t>
        </is>
      </c>
      <c r="C43" s="50" t="inlineStr">
        <is>
          <t>КГ</t>
        </is>
      </c>
      <c r="D43" s="51" t="n">
        <v>1001022657075</v>
      </c>
      <c r="E43" s="24" t="n"/>
      <c r="F43" s="111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04">
      <c r="A44" s="109">
        <f>RIGHT(D44,4)</f>
        <v/>
      </c>
      <c r="B44" s="53" t="inlineStr">
        <is>
          <t>МОЛОЧ.ПРЕМИУМ ПМ сос п/о мгс 0.6кг_50с</t>
        </is>
      </c>
      <c r="C44" s="50" t="inlineStr">
        <is>
          <t>ШТ</t>
        </is>
      </c>
      <c r="D44" s="51" t="n">
        <v>1001022657074</v>
      </c>
      <c r="E44" s="24" t="n"/>
      <c r="F44" s="111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04">
      <c r="A45" s="109">
        <f>RIGHT(D45,4)</f>
        <v/>
      </c>
      <c r="B45" s="53" t="inlineStr">
        <is>
          <t>МОЛОЧ.ПРЕМИУМ ПМ сос п/о в/у 1/350_50с</t>
        </is>
      </c>
      <c r="C45" s="50" t="inlineStr">
        <is>
          <t>ШТ</t>
        </is>
      </c>
      <c r="D45" s="51" t="n">
        <v>1001022657073</v>
      </c>
      <c r="E45" s="24" t="n">
        <v>70</v>
      </c>
      <c r="F45" s="111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04">
      <c r="A46" s="109">
        <f>RIGHT(D46,4)</f>
        <v/>
      </c>
      <c r="B46" s="53" t="inlineStr">
        <is>
          <t>МОЛОЧНЫЕ ПМ сос п/о мгс 0.41кг 10шт.</t>
        </is>
      </c>
      <c r="C46" s="50" t="inlineStr">
        <is>
          <t>ШТ</t>
        </is>
      </c>
      <c r="D46" s="51" t="n">
        <v>1001020836724</v>
      </c>
      <c r="E46" s="24" t="n"/>
      <c r="F46" s="111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04">
      <c r="A47" s="109">
        <f>RIGHT(D47,4)</f>
        <v/>
      </c>
      <c r="B47" s="53" t="inlineStr">
        <is>
          <t>МЯСНЫЕ Папа может сос п/о в/у 0.4кг_45с</t>
        </is>
      </c>
      <c r="C47" s="50" t="inlineStr">
        <is>
          <t>ШТ</t>
        </is>
      </c>
      <c r="D47" s="51" t="n">
        <v>1001022725819</v>
      </c>
      <c r="E47" s="24" t="n">
        <v>144</v>
      </c>
      <c r="F47" s="111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04">
      <c r="A48" s="109">
        <f>RIGHT(D48,4)</f>
        <v/>
      </c>
      <c r="B48" s="53" t="inlineStr">
        <is>
          <t>МЯСНЫЕ Папа может сос п/о мгс 1.5*3</t>
        </is>
      </c>
      <c r="C48" s="50" t="inlineStr">
        <is>
          <t>КГ</t>
        </is>
      </c>
      <c r="D48" s="51" t="n">
        <v>1001022726303</v>
      </c>
      <c r="E48" s="24" t="n">
        <v>268</v>
      </c>
      <c r="F48" s="111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04">
      <c r="A49" s="109">
        <f>RIGHT(D49,4)</f>
        <v/>
      </c>
      <c r="B49" s="53" t="inlineStr">
        <is>
          <t>МЯСНЫЕ С ГОВЯД.ПМ сос п/о мгс 0.4кг 6шт.</t>
        </is>
      </c>
      <c r="C49" s="50" t="inlineStr">
        <is>
          <t>ШТ</t>
        </is>
      </c>
      <c r="D49" s="51" t="n">
        <v>1001025507255</v>
      </c>
      <c r="E49" s="24" t="n">
        <v>279</v>
      </c>
      <c r="F49" s="111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04">
      <c r="A50" s="109">
        <f>RIGHT(D50,4)</f>
        <v/>
      </c>
      <c r="B50" s="53" t="inlineStr">
        <is>
          <t>МЯСНЫЕ С ГОВЯДИНОЙ ПМ сос п/о мгс 1.5*4</t>
        </is>
      </c>
      <c r="C50" s="50" t="inlineStr">
        <is>
          <t>КГ</t>
        </is>
      </c>
      <c r="D50" s="51" t="n">
        <v>1001025507271</v>
      </c>
      <c r="E50" s="24" t="n"/>
      <c r="F50" s="111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04">
      <c r="A51" s="109">
        <f>RIGHT(D51,4)</f>
        <v/>
      </c>
      <c r="B51" s="53" t="inlineStr">
        <is>
          <t>РУБЛЕНЫЕ сос ц/о мгс 0.36кг 6шт.</t>
        </is>
      </c>
      <c r="C51" s="50" t="inlineStr">
        <is>
          <t>ШТ</t>
        </is>
      </c>
      <c r="D51" s="51" t="n">
        <v>1001023696765</v>
      </c>
      <c r="E51" s="24" t="n">
        <v>254</v>
      </c>
      <c r="F51" s="111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04">
      <c r="A52" s="109">
        <f>RIGHT(D52,4)</f>
        <v/>
      </c>
      <c r="B52" s="53" t="inlineStr">
        <is>
          <t>РУБЛЕНЫЕ сос ц/о мгс 1*4</t>
        </is>
      </c>
      <c r="C52" s="50" t="inlineStr">
        <is>
          <t>КГ</t>
        </is>
      </c>
      <c r="D52" s="51" t="n">
        <v>1001023696767</v>
      </c>
      <c r="E52" s="24" t="n"/>
      <c r="F52" s="111" t="n">
        <v>1.04</v>
      </c>
      <c r="G52" s="23">
        <f>E52</f>
        <v/>
      </c>
      <c r="H52" s="29" t="n">
        <v>4.16</v>
      </c>
      <c r="I52" s="29" t="n">
        <v>45</v>
      </c>
      <c r="J52" s="29" t="n"/>
    </row>
    <row r="53" ht="16.5" customHeight="1" s="104">
      <c r="A53" s="109">
        <f>RIGHT(D53,4)</f>
        <v/>
      </c>
      <c r="B53" s="53" t="inlineStr">
        <is>
          <t>С СЫРОМ Папа может сос ц/о мгс 0.4кг 6шт</t>
        </is>
      </c>
      <c r="C53" s="50" t="inlineStr">
        <is>
          <t>ШТ</t>
        </is>
      </c>
      <c r="D53" s="51" t="n">
        <v>1001025176475</v>
      </c>
      <c r="E53" s="24" t="n"/>
      <c r="F53" s="111" t="n">
        <v>0.4</v>
      </c>
      <c r="G53" s="23">
        <f>E53*F53</f>
        <v/>
      </c>
      <c r="H53" s="29" t="n">
        <v>2.4</v>
      </c>
      <c r="I53" s="29" t="n">
        <v>45</v>
      </c>
      <c r="J53" s="29" t="n"/>
    </row>
    <row r="54" ht="16.5" customHeight="1" s="104">
      <c r="A54" s="109">
        <f>RIGHT(D54,4)</f>
        <v/>
      </c>
      <c r="B54" s="53" t="inlineStr">
        <is>
          <t>СЛИВОЧНЫЕ ПМ сос п/о мгс 1.5*4_А_50с</t>
        </is>
      </c>
      <c r="C54" s="50" t="inlineStr">
        <is>
          <t>КГ</t>
        </is>
      </c>
      <c r="D54" s="51" t="n">
        <v>1001022467083</v>
      </c>
      <c r="E54" s="24" t="n">
        <v>102</v>
      </c>
      <c r="F54" s="111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 s="104">
      <c r="A55" s="109">
        <f>RIGHT(D55,4)</f>
        <v/>
      </c>
      <c r="B55" s="53" t="inlineStr">
        <is>
          <t>СЛИВОЧНЫЕ ПМ сос п/о мгс 0.41кг 10шт_50с</t>
        </is>
      </c>
      <c r="C55" s="50" t="inlineStr">
        <is>
          <t>ШТ</t>
        </is>
      </c>
      <c r="D55" s="51" t="n">
        <v>1001022467080</v>
      </c>
      <c r="E55" s="24" t="n">
        <v>700</v>
      </c>
      <c r="F55" s="111" t="n">
        <v>0.41</v>
      </c>
      <c r="G55" s="23">
        <f>E55*F55</f>
        <v/>
      </c>
      <c r="H55" s="29" t="n">
        <v>4.1</v>
      </c>
      <c r="I55" s="29" t="n">
        <v>50</v>
      </c>
      <c r="J55" s="29" t="n"/>
    </row>
    <row r="56" ht="16.5" customHeight="1" s="104">
      <c r="A56" s="109">
        <f>RIGHT(D56,4)</f>
        <v/>
      </c>
      <c r="B56" s="53" t="inlineStr">
        <is>
          <t>СЛИВОЧНЫЕ ПМ сос п/о мгс 0.3кг 7шт.</t>
        </is>
      </c>
      <c r="C56" s="50" t="inlineStr">
        <is>
          <t>ШТ</t>
        </is>
      </c>
      <c r="D56" s="51" t="n">
        <v>1001022467276</v>
      </c>
      <c r="E56" s="24" t="n"/>
      <c r="F56" s="111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04">
      <c r="A57" s="109">
        <f>RIGHT(D57,4)</f>
        <v/>
      </c>
      <c r="B57" s="53" t="inlineStr">
        <is>
          <t>СЛИВОЧНЫЕ сос ц/о мгс 0.41кг 8шт.</t>
        </is>
      </c>
      <c r="C57" s="50" t="inlineStr">
        <is>
          <t>ШТ</t>
        </is>
      </c>
      <c r="D57" s="51" t="n">
        <v>1001020846762</v>
      </c>
      <c r="E57" s="24" t="n"/>
      <c r="F57" s="111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04">
      <c r="A58" s="109">
        <f>RIGHT(D58,4)</f>
        <v/>
      </c>
      <c r="B58" s="53" t="inlineStr">
        <is>
          <t>СЛИВОЧНЫЕ сос ц/о мгс 1*4</t>
        </is>
      </c>
      <c r="C58" s="50" t="inlineStr">
        <is>
          <t>КГ</t>
        </is>
      </c>
      <c r="D58" s="51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04">
      <c r="A59" s="109">
        <f>RIGHT(D59,4)</f>
        <v/>
      </c>
      <c r="B59" s="53" t="inlineStr">
        <is>
          <t>СОЧНЫЕ ПМ сос п/о мгс 0.41кг 10шт_50с</t>
        </is>
      </c>
      <c r="C59" s="50" t="inlineStr">
        <is>
          <t>ШТ</t>
        </is>
      </c>
      <c r="D59" s="51" t="n">
        <v>1001022377066</v>
      </c>
      <c r="E59" s="24" t="n">
        <v>1184</v>
      </c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04">
      <c r="A60" s="109">
        <f>RIGHT(D60,4)</f>
        <v/>
      </c>
      <c r="B60" s="53" t="inlineStr">
        <is>
          <t>СОЧНЫЕ ПМ сос п/о мгс 1.5*4_А_50с</t>
        </is>
      </c>
      <c r="C60" s="50" t="inlineStr">
        <is>
          <t>КГ</t>
        </is>
      </c>
      <c r="D60" s="51" t="n">
        <v>1001022377070</v>
      </c>
      <c r="E60" s="24" t="n"/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04">
      <c r="A61" s="109">
        <f>RIGHT(D61,4)</f>
        <v/>
      </c>
      <c r="B61" s="53" t="inlineStr">
        <is>
          <t>СОЧНЫЙ ГРИЛЬ ПМ сос п/о мгс 0.41кг 8шт.</t>
        </is>
      </c>
      <c r="C61" s="50" t="inlineStr">
        <is>
          <t>ШТ</t>
        </is>
      </c>
      <c r="D61" s="51" t="n">
        <v>1001022246713</v>
      </c>
      <c r="E61" s="24" t="n"/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04">
      <c r="A62" s="109">
        <f>RIGHT(D62,4)</f>
        <v/>
      </c>
      <c r="B62" s="53" t="inlineStr">
        <is>
          <t>СОЧНЫЙ ГРИЛЬ ПМ сос п/о мгс 1.5*4_Маяк</t>
        </is>
      </c>
      <c r="C62" s="50" t="inlineStr">
        <is>
          <t>КГ</t>
        </is>
      </c>
      <c r="D62" s="51" t="n">
        <v>1001022246661</v>
      </c>
      <c r="E62" s="24" t="n"/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04">
      <c r="A63" s="109">
        <f>RIGHT(D63,4)</f>
        <v/>
      </c>
      <c r="B63" s="53" t="inlineStr">
        <is>
          <t>ФИЛЕЙНЫЕ Папа может сос ц/о мгс 1.5*2</t>
        </is>
      </c>
      <c r="C63" s="50" t="inlineStr">
        <is>
          <t>КГ</t>
        </is>
      </c>
      <c r="D63" s="51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04">
      <c r="A64" s="109">
        <f>RIGHT(D64,4)</f>
        <v/>
      </c>
      <c r="B64" s="53" t="inlineStr">
        <is>
          <t>ФИЛЕЙНЫЕ Папа Может сос ц/о мгс 0.4кг</t>
        </is>
      </c>
      <c r="C64" s="50" t="inlineStr">
        <is>
          <t>ШТ</t>
        </is>
      </c>
      <c r="D64" s="51" t="n">
        <v>1001022556837</v>
      </c>
      <c r="E64" s="24" t="n">
        <v>70</v>
      </c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04" thickBot="1">
      <c r="A65" s="109">
        <f>RIGHT(D65,4)</f>
        <v/>
      </c>
      <c r="B65" s="53" t="inlineStr">
        <is>
          <t>ХОТ-ДОГ Папа может сос б/о в/у 1/320 8шт</t>
        </is>
      </c>
      <c r="C65" s="50" t="inlineStr">
        <is>
          <t>ШТ</t>
        </is>
      </c>
      <c r="D65" s="51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0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04" thickTop="1">
      <c r="A67" s="109">
        <f>RIGHT(D67,4)</f>
        <v/>
      </c>
      <c r="B67" s="108" t="inlineStr">
        <is>
          <t>МЯСНЫЕ Папа может сар б/о мгс 1*3_О_45с</t>
        </is>
      </c>
      <c r="C67" s="112" t="inlineStr">
        <is>
          <t>КГ</t>
        </is>
      </c>
      <c r="D67" s="51" t="n">
        <v>1001032736550</v>
      </c>
      <c r="E67" s="24" t="n"/>
      <c r="F67" s="111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04">
      <c r="A68" s="109">
        <f>RIGHT(D68,4)</f>
        <v/>
      </c>
      <c r="B68" s="108" t="inlineStr">
        <is>
          <t>С ГОВЯДИНОЙ ОРИГИН. сар б/о мгс 1*3_45с</t>
        </is>
      </c>
      <c r="C68" s="50" t="inlineStr">
        <is>
          <t>КГ</t>
        </is>
      </c>
      <c r="D68" s="51" t="n">
        <v>1001033856608</v>
      </c>
      <c r="E68" s="24" t="n">
        <v>124</v>
      </c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04">
      <c r="A69" s="109">
        <f>RIGHT(D69,4)</f>
        <v/>
      </c>
      <c r="B69" s="108" t="inlineStr">
        <is>
          <t>КЛАССИЧЕСКИЕ Папа может сар б/о мгс 1*3</t>
        </is>
      </c>
      <c r="C69" s="50" t="inlineStr">
        <is>
          <t>КГ</t>
        </is>
      </c>
      <c r="D69" s="51" t="n">
        <v>1001035937001</v>
      </c>
      <c r="E69" s="24" t="n"/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04">
      <c r="A70" s="109">
        <f>RIGHT(D70,4)</f>
        <v/>
      </c>
      <c r="B70" s="108" t="inlineStr">
        <is>
          <t>ШПИКАЧКИ СОЧНЫЕ ПМ сар б/о мгс 1*3_45с</t>
        </is>
      </c>
      <c r="C70" s="50" t="inlineStr">
        <is>
          <t>КГ</t>
        </is>
      </c>
      <c r="D70" s="51" t="n">
        <v>1001031076527</v>
      </c>
      <c r="E70" s="24" t="n">
        <v>54</v>
      </c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04">
      <c r="A71" s="109">
        <f>RIGHT(D71,4)</f>
        <v/>
      </c>
      <c r="B71" s="108" t="inlineStr">
        <is>
          <t>С ГОВЯДИНОЙ ПМ сар б/о мгс 0.4кг_45с</t>
        </is>
      </c>
      <c r="C71" s="50" t="inlineStr">
        <is>
          <t>ШТ</t>
        </is>
      </c>
      <c r="D71" s="51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04" thickBot="1">
      <c r="A72" s="109">
        <f>RIGHT(D72,4)</f>
        <v/>
      </c>
      <c r="B72" s="108" t="inlineStr">
        <is>
          <t>ШПИКАЧКИ СОЧНЫЕ С БЕК. п/о мгс 0.3кг_60с</t>
        </is>
      </c>
      <c r="C72" s="50" t="inlineStr">
        <is>
          <t>ШТ</t>
        </is>
      </c>
      <c r="D72" s="51" t="n">
        <v>1001035277059</v>
      </c>
      <c r="E72" s="24" t="n">
        <v>169</v>
      </c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0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04" thickTop="1">
      <c r="A74" s="109">
        <f>RIGHT(D74,4)</f>
        <v/>
      </c>
      <c r="B74" s="53" t="inlineStr">
        <is>
          <t>БАЛЫКОВАЯ Останкино в/к в/у</t>
        </is>
      </c>
      <c r="C74" s="50" t="inlineStr">
        <is>
          <t>КГ</t>
        </is>
      </c>
      <c r="D74" s="51" t="n">
        <v>1001303637564</v>
      </c>
      <c r="E74" s="24" t="n">
        <v>34</v>
      </c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04">
      <c r="A75" s="109">
        <f>RIGHT(D75,4)</f>
        <v/>
      </c>
      <c r="B75" s="53" t="inlineStr">
        <is>
          <t>БАЛЫКОВАЯ Останкино в/к в/у 0.33кг 8шт.</t>
        </is>
      </c>
      <c r="C75" s="50" t="inlineStr">
        <is>
          <t>ШТ</t>
        </is>
      </c>
      <c r="D75" s="51" t="n">
        <v>1001303637603</v>
      </c>
      <c r="E75" s="24" t="n">
        <v>119</v>
      </c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04">
      <c r="A76" s="109">
        <f>RIGHT(D76,4)</f>
        <v/>
      </c>
      <c r="B76" s="53" t="inlineStr">
        <is>
          <t>БАЛЫКОВАЯ Коровино п/к в/у 0.84кг_50с</t>
        </is>
      </c>
      <c r="C76" s="50" t="inlineStr">
        <is>
          <t>ШТ</t>
        </is>
      </c>
      <c r="D76" s="51" t="n">
        <v>1001303637149</v>
      </c>
      <c r="E76" s="24" t="n"/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04">
      <c r="A77" s="109">
        <f>RIGHT(D77,4)</f>
        <v/>
      </c>
      <c r="B77" s="53" t="inlineStr">
        <is>
          <t>БАЛЫКОВАЯ ПМ п/к в/у 0.31кг 8шт_209к</t>
        </is>
      </c>
      <c r="C77" s="50" t="inlineStr">
        <is>
          <t>ШТ</t>
        </is>
      </c>
      <c r="D77" s="51" t="n">
        <v>1001303637233</v>
      </c>
      <c r="E77" s="24" t="n"/>
      <c r="F77" s="111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04">
      <c r="A78" s="109">
        <f>RIGHT(D78,4)</f>
        <v/>
      </c>
      <c r="B78" s="53" t="inlineStr">
        <is>
          <t>БОЯNСКАЯ ПМ п/к в/у 0.28кг 8шт_209к</t>
        </is>
      </c>
      <c r="C78" s="50" t="inlineStr">
        <is>
          <t>ШТ</t>
        </is>
      </c>
      <c r="D78" s="51" t="n">
        <v>1001302277232</v>
      </c>
      <c r="E78" s="24" t="n">
        <v>22</v>
      </c>
      <c r="F78" s="111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04">
      <c r="A79" s="109">
        <f>RIGHT(D79,4)</f>
        <v/>
      </c>
      <c r="B79" s="53" t="inlineStr">
        <is>
          <t>САЛЯМИ Папа может п/к в/у 0.28кг_209к</t>
        </is>
      </c>
      <c r="C79" s="50" t="inlineStr">
        <is>
          <t>ШТ</t>
        </is>
      </c>
      <c r="D79" s="51" t="n">
        <v>1001303107241</v>
      </c>
      <c r="E79" s="24" t="n">
        <v>141</v>
      </c>
      <c r="F79" s="111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5.75" customHeight="1" s="104">
      <c r="A80" s="109">
        <f>RIGHT(D80,4)</f>
        <v/>
      </c>
      <c r="B80" s="53" t="inlineStr">
        <is>
          <t>СЕРВЕЛАТ ЕВРОПЕЙСКИЙ в/к в/у 0.84кг</t>
        </is>
      </c>
      <c r="C80" s="50" t="inlineStr">
        <is>
          <t>КГ</t>
        </is>
      </c>
      <c r="D80" s="51" t="n">
        <v>1001300367133</v>
      </c>
      <c r="E80" s="24" t="n"/>
      <c r="F80" s="111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5.75" customHeight="1" s="104">
      <c r="A81" s="109">
        <f>RIGHT(D81,4)</f>
        <v/>
      </c>
      <c r="B81" s="53" t="inlineStr">
        <is>
          <t>СЕРВЕЛАТ КРЕМЛЕВСКИЙ в/к в/у 0.84кг</t>
        </is>
      </c>
      <c r="C81" s="50" t="inlineStr">
        <is>
          <t>КГ</t>
        </is>
      </c>
      <c r="D81" s="51" t="n">
        <v>1001300456946</v>
      </c>
      <c r="E81" s="24" t="n"/>
      <c r="F81" s="111" t="n"/>
      <c r="G81" s="23">
        <f>E81</f>
        <v/>
      </c>
      <c r="H81" s="29" t="n"/>
      <c r="I81" s="29" t="n"/>
      <c r="J81" s="29" t="n"/>
    </row>
    <row r="82" ht="15.75" customHeight="1" s="104">
      <c r="A82" s="109">
        <f>RIGHT(D82,4)</f>
        <v/>
      </c>
      <c r="B82" s="53" t="inlineStr">
        <is>
          <t>СЕРВЕЛАТ ЕВРОПЕЙСКИЙ в/к в/у 0.33кг 8шт.</t>
        </is>
      </c>
      <c r="C82" s="50" t="inlineStr">
        <is>
          <t>ШТ</t>
        </is>
      </c>
      <c r="D82" s="51" t="n">
        <v>1001300366807</v>
      </c>
      <c r="E82" s="24" t="n"/>
      <c r="F82" s="111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5.75" customHeight="1" s="104">
      <c r="A83" s="109">
        <f>RIGHT(D83,4)</f>
        <v/>
      </c>
      <c r="B83" s="53" t="inlineStr">
        <is>
          <t>СЕРВЕЛАТ ЗЕРНИСТЫЙ ПМ в/к в/у 0.35кг_50с</t>
        </is>
      </c>
      <c r="C83" s="50" t="inlineStr">
        <is>
          <t>ШТ</t>
        </is>
      </c>
      <c r="D83" s="51" t="n">
        <v>1001300387154</v>
      </c>
      <c r="E83" s="24" t="n">
        <v>463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5.75" customHeight="1" s="104">
      <c r="A84" s="109">
        <f>RIGHT(D84,4)</f>
        <v/>
      </c>
      <c r="B84" s="53" t="inlineStr">
        <is>
          <t>СЕРВЕЛАТ ЗЕРНИСТЫЙ ПМ в/к в/у_50с</t>
        </is>
      </c>
      <c r="C84" s="50" t="inlineStr">
        <is>
          <t>КГ</t>
        </is>
      </c>
      <c r="D84" s="51" t="n">
        <v>1001300387157</v>
      </c>
      <c r="E84" s="24" t="n">
        <v>28</v>
      </c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5.75" customHeight="1" s="104">
      <c r="A85" s="109">
        <f>RIGHT(D85,4)</f>
        <v/>
      </c>
      <c r="B85" s="53" t="inlineStr">
        <is>
          <t>СЕРВЕЛАТ КАРЕЛЬСКИЙ в/к в/у 0.28кг_209к</t>
        </is>
      </c>
      <c r="C85" s="50" t="inlineStr">
        <is>
          <t>ШТ</t>
        </is>
      </c>
      <c r="D85" s="51" t="n">
        <v>1001304507236</v>
      </c>
      <c r="E85" s="24" t="n">
        <v>450</v>
      </c>
      <c r="F85" s="23" t="n">
        <v>0.28</v>
      </c>
      <c r="G85" s="23">
        <f>E85*F85</f>
        <v/>
      </c>
      <c r="H85" s="14" t="n">
        <v>2.24</v>
      </c>
      <c r="I85" s="14" t="n">
        <v>45</v>
      </c>
      <c r="J85" s="29" t="n"/>
    </row>
    <row r="86" ht="15.75" customHeight="1" s="104">
      <c r="A86" s="109">
        <f>RIGHT(D86,4)</f>
        <v/>
      </c>
      <c r="B86" s="53" t="inlineStr">
        <is>
          <t>СЫРРРВЕЛАТ Папа может в/к в/у 0.28кг 8шт</t>
        </is>
      </c>
      <c r="C86" s="50" t="inlineStr">
        <is>
          <t>ШТ</t>
        </is>
      </c>
      <c r="D86" s="51" t="n">
        <v>1001307357489</v>
      </c>
      <c r="E86" s="24" t="n"/>
      <c r="F86" s="23" t="n">
        <v>0.28</v>
      </c>
      <c r="G86" s="23">
        <f>E86*F86</f>
        <v/>
      </c>
      <c r="H86" s="14" t="n"/>
      <c r="I86" s="14" t="n"/>
      <c r="J86" s="105" t="inlineStr">
        <is>
          <t>Новинка</t>
        </is>
      </c>
    </row>
    <row r="87" ht="15.75" customHeight="1" s="104">
      <c r="A87" s="109">
        <f>RIGHT(D87,4)</f>
        <v/>
      </c>
      <c r="B87" s="113" t="inlineStr">
        <is>
          <t>СЕРВЕЛАТ КРЕМЛЕВСКИЙ в/к в/у 0.33кг 8шт.</t>
        </is>
      </c>
      <c r="C87" s="50" t="inlineStr">
        <is>
          <t>ШТ</t>
        </is>
      </c>
      <c r="D87" s="51" t="n">
        <v>1001300456787</v>
      </c>
      <c r="E87" s="24" t="n"/>
      <c r="F87" s="23" t="n">
        <v>0.33</v>
      </c>
      <c r="G87" s="23">
        <f>E87*F87</f>
        <v/>
      </c>
      <c r="H87" s="14" t="n">
        <v>2.64</v>
      </c>
      <c r="I87" s="14" t="n">
        <v>45</v>
      </c>
      <c r="J87" s="29" t="n"/>
    </row>
    <row r="88" ht="15.75" customHeight="1" s="104">
      <c r="A88" s="109">
        <f>RIGHT(D88,4)</f>
        <v/>
      </c>
      <c r="B88" s="113" t="inlineStr">
        <is>
          <t>СЕРВЕЛАТ ОХОТНИЧИЙ ПМ в/к в/у_50с</t>
        </is>
      </c>
      <c r="C88" s="50" t="inlineStr">
        <is>
          <t>КГ</t>
        </is>
      </c>
      <c r="D88" s="51" t="n">
        <v>1001303987166</v>
      </c>
      <c r="E88" s="24" t="n">
        <v>49</v>
      </c>
      <c r="F88" s="23" t="n">
        <v>0.7</v>
      </c>
      <c r="G88" s="23">
        <f>E88</f>
        <v/>
      </c>
      <c r="H88" s="14" t="n">
        <v>5.6</v>
      </c>
      <c r="I88" s="14" t="n">
        <v>50</v>
      </c>
      <c r="J88" s="29" t="n"/>
    </row>
    <row r="89" ht="16.5" customHeight="1" s="104">
      <c r="A89" s="109">
        <f>RIGHT(D89,4)</f>
        <v/>
      </c>
      <c r="B89" s="53" t="inlineStr">
        <is>
          <t>СЕРВЕЛАТ ОХОТНИЧИЙ ПМ в/к в/у 0.35кг_50с</t>
        </is>
      </c>
      <c r="C89" s="50" t="inlineStr">
        <is>
          <t>ШТ</t>
        </is>
      </c>
      <c r="D89" s="51" t="n">
        <v>1001303987169</v>
      </c>
      <c r="E89" s="24" t="n">
        <v>208</v>
      </c>
      <c r="F89" s="23" t="n">
        <v>0.35</v>
      </c>
      <c r="G89" s="23">
        <f>E89*F89</f>
        <v/>
      </c>
      <c r="H89" s="14" t="n">
        <v>2.8</v>
      </c>
      <c r="I89" s="14" t="n">
        <v>50</v>
      </c>
      <c r="J89" s="29" t="n"/>
      <c r="K89" s="27" t="n"/>
    </row>
    <row r="90" ht="16.5" customHeight="1" s="104">
      <c r="A90" s="109">
        <f>RIGHT(D90,4)</f>
        <v/>
      </c>
      <c r="B90" s="53" t="inlineStr">
        <is>
          <t>СЕРВЕЛАТ КОПЧ.НА БУКЕ в/к в/у 0.35кг_50с</t>
        </is>
      </c>
      <c r="C90" s="50" t="inlineStr">
        <is>
          <t>ШТ</t>
        </is>
      </c>
      <c r="D90" s="51" t="n">
        <v>1001304237156</v>
      </c>
      <c r="E90" s="24" t="n">
        <v>70</v>
      </c>
      <c r="F90" s="23" t="n">
        <v>0.35</v>
      </c>
      <c r="G90" s="23">
        <f>E90*F90</f>
        <v/>
      </c>
      <c r="H90" s="14" t="n"/>
      <c r="I90" s="14" t="n"/>
      <c r="J90" s="49" t="n"/>
      <c r="K90" s="27" t="n"/>
    </row>
    <row r="91" ht="16.5" customHeight="1" s="104">
      <c r="A91" s="109">
        <f>RIGHT(D91,4)</f>
        <v/>
      </c>
      <c r="B91" s="53" t="inlineStr">
        <is>
          <t>СЕРВЕЛАТ ФИНСКИЙ в/к в/у_45с</t>
        </is>
      </c>
      <c r="C91" s="50" t="inlineStr">
        <is>
          <t>КГ</t>
        </is>
      </c>
      <c r="D91" s="51" t="n">
        <v>1001051875544</v>
      </c>
      <c r="E91" s="24" t="n">
        <v>4</v>
      </c>
      <c r="F91" s="23" t="n">
        <v>0.8100000000000001</v>
      </c>
      <c r="G91" s="23">
        <f>E91</f>
        <v/>
      </c>
      <c r="H91" s="14" t="n">
        <v>4.86</v>
      </c>
      <c r="I91" s="14" t="n">
        <v>45</v>
      </c>
      <c r="J91" s="49" t="n"/>
    </row>
    <row r="92" ht="16.5" customHeight="1" s="104">
      <c r="A92" s="109">
        <f>RIGHT(D92,4)</f>
        <v/>
      </c>
      <c r="B92" s="53" t="inlineStr">
        <is>
          <t>СЕРВЕЛАТ ФИНСКИЙ ПМ в/к в/у 0.35кг 8шт.</t>
        </is>
      </c>
      <c r="C92" s="50" t="inlineStr">
        <is>
          <t>ШТ</t>
        </is>
      </c>
      <c r="D92" s="51" t="n">
        <v>1001301876697</v>
      </c>
      <c r="E92" s="24" t="n">
        <v>849</v>
      </c>
      <c r="F92" s="23" t="n">
        <v>0.35</v>
      </c>
      <c r="G92" s="23">
        <f>E92*F92</f>
        <v/>
      </c>
      <c r="H92" s="14" t="n">
        <v>2.8</v>
      </c>
      <c r="I92" s="14" t="n">
        <v>45</v>
      </c>
      <c r="J92" s="49" t="n"/>
    </row>
    <row r="93" ht="16.5" customHeight="1" s="104">
      <c r="A93" s="109">
        <f>RIGHT(D93,4)</f>
        <v/>
      </c>
      <c r="B93" s="53" t="inlineStr">
        <is>
          <t>СЕРВЕЛАТ ОРЕХОВЫЙ в/к в/у 0.31кг_209к</t>
        </is>
      </c>
      <c r="C93" s="50" t="inlineStr">
        <is>
          <t>ШТ</t>
        </is>
      </c>
      <c r="D93" s="51" t="n">
        <v>1001305197238</v>
      </c>
      <c r="E93" s="24" t="n"/>
      <c r="F93" s="23" t="n">
        <v>0.31</v>
      </c>
      <c r="G93" s="23">
        <f>E93*F93</f>
        <v/>
      </c>
      <c r="H93" s="14" t="n">
        <v>2.48</v>
      </c>
      <c r="I93" s="14" t="n">
        <v>45</v>
      </c>
      <c r="J93" s="49" t="n"/>
    </row>
    <row r="94" ht="16.5" customHeight="1" s="104">
      <c r="A94" s="109">
        <f>RIGHT(D94,4)</f>
        <v/>
      </c>
      <c r="B94" s="53" t="inlineStr">
        <is>
          <t>НОВОМОСКОВСКАЯ в/к в/у срез 0.31кг</t>
        </is>
      </c>
      <c r="C94" s="50" t="inlineStr">
        <is>
          <t>ШТ</t>
        </is>
      </c>
      <c r="D94" s="51" t="n">
        <v>1001307107516</v>
      </c>
      <c r="E94" s="24" t="n">
        <v>40</v>
      </c>
      <c r="F94" s="23" t="n">
        <v>0.31</v>
      </c>
      <c r="G94" s="23">
        <f>E94*F94</f>
        <v/>
      </c>
      <c r="H94" s="14" t="n"/>
      <c r="I94" s="14" t="n"/>
      <c r="J94" s="49" t="n"/>
    </row>
    <row r="95" ht="16.5" customHeight="1" s="104">
      <c r="A95" s="109">
        <f>RIGHT(D95,4)</f>
        <v/>
      </c>
      <c r="B95" s="53" t="inlineStr">
        <is>
          <t>ВОСКРЕСЕНСКАЯ ВЯЛЕНАЯ в/к в/у срез 1/260</t>
        </is>
      </c>
      <c r="C95" s="50" t="inlineStr">
        <is>
          <t>ШТ</t>
        </is>
      </c>
      <c r="D95" s="51" t="n">
        <v>1001307077513</v>
      </c>
      <c r="E95" s="24" t="n">
        <v>40</v>
      </c>
      <c r="F95" s="23" t="n">
        <v>0.26</v>
      </c>
      <c r="G95" s="23">
        <f>E95*F95</f>
        <v/>
      </c>
      <c r="H95" s="14" t="n"/>
      <c r="I95" s="14" t="n"/>
      <c r="J95" s="49" t="n"/>
    </row>
    <row r="96" ht="16.5" customHeight="1" s="104">
      <c r="A96" s="109">
        <f>RIGHT(D96,4)</f>
        <v/>
      </c>
      <c r="B96" s="53" t="inlineStr">
        <is>
          <t>ЧЕСНОЧНАЯ ПМ п/к в/у 0.35кг 8шт_50с</t>
        </is>
      </c>
      <c r="C96" s="50" t="inlineStr">
        <is>
          <t>ШТ</t>
        </is>
      </c>
      <c r="D96" s="51" t="n">
        <v>1001302347177</v>
      </c>
      <c r="E96" s="24" t="n"/>
      <c r="F96" s="23" t="n">
        <v>0.35</v>
      </c>
      <c r="G96" s="23">
        <f>E96*F96</f>
        <v/>
      </c>
      <c r="H96" s="14" t="n">
        <v>2.8</v>
      </c>
      <c r="I96" s="14" t="n">
        <v>50</v>
      </c>
      <c r="J96" s="49" t="n"/>
    </row>
    <row r="97" ht="16.5" customHeight="1" s="104">
      <c r="A97" s="109">
        <f>RIGHT(D97,4)</f>
        <v/>
      </c>
      <c r="B97" s="53" t="inlineStr">
        <is>
          <t>БОЯРСКАЯ ПМ п/к в/у 0.28кг_СНГ</t>
        </is>
      </c>
      <c r="C97" s="50" t="inlineStr">
        <is>
          <t>ШТ</t>
        </is>
      </c>
      <c r="D97" s="51" t="n">
        <v>1001301777332</v>
      </c>
      <c r="E97" s="24" t="n"/>
      <c r="F97" s="23" t="n">
        <v>0.28</v>
      </c>
      <c r="G97" s="23">
        <f>E97*F97</f>
        <v/>
      </c>
      <c r="H97" s="14" t="n">
        <v>2.24</v>
      </c>
      <c r="I97" s="14" t="n">
        <v>50</v>
      </c>
      <c r="J97" s="49" t="n"/>
    </row>
    <row r="98" ht="16.5" customHeight="1" s="104">
      <c r="A98" s="109">
        <f>RIGHT(D98,4)</f>
        <v/>
      </c>
      <c r="B98" s="53" t="inlineStr">
        <is>
          <t>СЕРВЕЛАТ ОХОТНИЧИЙ ПМ в/к в/у 0.28кг_СНГ</t>
        </is>
      </c>
      <c r="C98" s="50" t="inlineStr">
        <is>
          <t>ШТ</t>
        </is>
      </c>
      <c r="D98" s="51" t="n">
        <v>1001303987333</v>
      </c>
      <c r="E98" s="24" t="n"/>
      <c r="F98" s="23" t="n">
        <v>0.28</v>
      </c>
      <c r="G98" s="23">
        <f>E98*F98</f>
        <v/>
      </c>
      <c r="H98" s="14" t="n">
        <v>2.24</v>
      </c>
      <c r="I98" s="14" t="n">
        <v>50</v>
      </c>
      <c r="J98" s="49" t="n"/>
    </row>
    <row r="99" ht="16.5" customHeight="1" s="104">
      <c r="A99" s="109">
        <f>RIGHT(D99,4)</f>
        <v/>
      </c>
      <c r="B99" s="53" t="inlineStr">
        <is>
          <t>СЕРВЕЛАТ ШВЕЙЦАРСК.в/к с/н в/у 1/100_Л11</t>
        </is>
      </c>
      <c r="C99" s="50" t="inlineStr">
        <is>
          <t>ШТ</t>
        </is>
      </c>
      <c r="D99" s="51" t="n">
        <v>1001304197608</v>
      </c>
      <c r="E99" s="24" t="n"/>
      <c r="F99" s="23" t="n">
        <v>0.1</v>
      </c>
      <c r="G99" s="23">
        <f>E99*F99</f>
        <v/>
      </c>
      <c r="H99" s="14" t="n">
        <v>1</v>
      </c>
      <c r="I99" s="14" t="n">
        <v>45</v>
      </c>
      <c r="J99" s="52" t="inlineStr">
        <is>
          <t>Ротация кода 6459</t>
        </is>
      </c>
    </row>
    <row r="100" ht="16.5" customHeight="1" s="104" thickBot="1">
      <c r="A100" s="109">
        <f>RIGHT(D100,4)</f>
        <v/>
      </c>
      <c r="B100" s="53" t="inlineStr">
        <is>
          <t>СЕРВЕЛАТ БАВАРСКИЙ в/к с/н в/у 1/100_Л11</t>
        </is>
      </c>
      <c r="C100" s="50" t="inlineStr">
        <is>
          <t>ШТ</t>
        </is>
      </c>
      <c r="D100" s="51" t="n">
        <v>1001306717610</v>
      </c>
      <c r="E100" s="24" t="n"/>
      <c r="F100" s="23" t="n">
        <v>0.1</v>
      </c>
      <c r="G100" s="23">
        <f>E100*F100</f>
        <v/>
      </c>
      <c r="H100" s="14" t="n">
        <v>1</v>
      </c>
      <c r="I100" s="14" t="n">
        <v>45</v>
      </c>
      <c r="J100" s="52" t="inlineStr">
        <is>
          <t>Ротация кода 7474</t>
        </is>
      </c>
    </row>
    <row r="101" ht="16.5" customHeight="1" s="104" thickBot="1" thickTop="1">
      <c r="A101" s="47" t="inlineStr"/>
      <c r="B101" s="42" t="inlineStr">
        <is>
          <t>Сырокопченые колбасы</t>
        </is>
      </c>
      <c r="C101" s="42" t="n"/>
      <c r="D101" s="42" t="n"/>
      <c r="E101" s="42" t="n"/>
      <c r="F101" s="41" t="n"/>
      <c r="G101" s="42" t="n"/>
      <c r="H101" s="42" t="n"/>
      <c r="I101" s="42" t="n"/>
      <c r="J101" s="43" t="n"/>
    </row>
    <row r="102" ht="16.5" customHeight="1" s="104" thickTop="1">
      <c r="A102" s="109">
        <f>RIGHT(D102,4)</f>
        <v/>
      </c>
      <c r="B102" s="53" t="inlineStr">
        <is>
          <t>АРОМАТНАЯ с/к в/у 1/250 8шт.</t>
        </is>
      </c>
      <c r="C102" s="50" t="inlineStr">
        <is>
          <t>ШТ</t>
        </is>
      </c>
      <c r="D102" s="51" t="n">
        <v>1001061973986</v>
      </c>
      <c r="E102" s="24" t="n"/>
      <c r="F102" s="111" t="n">
        <v>0.25</v>
      </c>
      <c r="G102" s="23">
        <f>E102*F102</f>
        <v/>
      </c>
      <c r="H102" s="114" t="n">
        <v>2</v>
      </c>
      <c r="I102" s="115" t="n">
        <v>120</v>
      </c>
      <c r="J102" s="29" t="n"/>
    </row>
    <row r="103" ht="16.5" customHeight="1" s="104">
      <c r="A103" s="109">
        <f>RIGHT(D103,4)</f>
        <v/>
      </c>
      <c r="B103" s="53" t="inlineStr">
        <is>
          <t>ОХОТНИЧЬЯ Папа может с/к в/у 1/220 8шт.</t>
        </is>
      </c>
      <c r="C103" s="50" t="inlineStr">
        <is>
          <t>ШТ</t>
        </is>
      </c>
      <c r="D103" s="51" t="n">
        <v>1001060755931</v>
      </c>
      <c r="E103" s="24" t="n">
        <v>321</v>
      </c>
      <c r="F103" s="23" t="n">
        <v>0.22</v>
      </c>
      <c r="G103" s="23">
        <f>E103*F103</f>
        <v/>
      </c>
      <c r="H103" s="97" t="n">
        <v>1.76</v>
      </c>
      <c r="I103" s="14" t="n">
        <v>120</v>
      </c>
      <c r="J103" s="29" t="n"/>
    </row>
    <row r="104" ht="16.5" customHeight="1" s="104">
      <c r="A104" s="109">
        <f>RIGHT(D104,4)</f>
        <v/>
      </c>
      <c r="B104" s="53" t="inlineStr">
        <is>
          <t>ПОСОЛЬСКАЯ Папа может с/к в/у</t>
        </is>
      </c>
      <c r="C104" s="50" t="inlineStr">
        <is>
          <t>КГ</t>
        </is>
      </c>
      <c r="D104" s="51" t="n">
        <v>1001063145708</v>
      </c>
      <c r="E104" s="24" t="n">
        <v>37</v>
      </c>
      <c r="F104" s="23" t="n">
        <v>0.5</v>
      </c>
      <c r="G104" s="23">
        <f>E104</f>
        <v/>
      </c>
      <c r="H104" s="14" t="n">
        <v>4</v>
      </c>
      <c r="I104" s="14" t="n">
        <v>120</v>
      </c>
      <c r="J104" s="29" t="n"/>
    </row>
    <row r="105" ht="16.5" customHeight="1" s="104">
      <c r="A105" s="109">
        <f>RIGHT(D105,4)</f>
        <v/>
      </c>
      <c r="B105" s="53" t="inlineStr">
        <is>
          <t>САЛЯМИ ИТАЛЬЯНСКАЯ с/к в/у</t>
        </is>
      </c>
      <c r="C105" s="50" t="inlineStr">
        <is>
          <t>КГ</t>
        </is>
      </c>
      <c r="D105" s="51" t="n">
        <v>1001060763287</v>
      </c>
      <c r="E105" s="24" t="n">
        <v>12</v>
      </c>
      <c r="F105" s="23" t="n">
        <v>0.488</v>
      </c>
      <c r="G105" s="23">
        <f>E105</f>
        <v/>
      </c>
      <c r="H105" s="14" t="n">
        <v>3.9</v>
      </c>
      <c r="I105" s="14" t="n">
        <v>120</v>
      </c>
      <c r="J105" s="29" t="n"/>
    </row>
    <row r="106" ht="16.5" customHeight="1" s="104">
      <c r="A106" s="109">
        <f>RIGHT(D106,4)</f>
        <v/>
      </c>
      <c r="B106" s="53" t="inlineStr">
        <is>
          <t>САЛЯМИ ИТАЛЬЯНСКАЯ с/к в/у 1/250*8_120с</t>
        </is>
      </c>
      <c r="C106" s="50" t="inlineStr">
        <is>
          <t>ШТ</t>
        </is>
      </c>
      <c r="D106" s="51" t="n">
        <v>1001060764993</v>
      </c>
      <c r="E106" s="24" t="n"/>
      <c r="F106" s="23" t="n">
        <v>0.25</v>
      </c>
      <c r="G106" s="23">
        <f>E106*F106</f>
        <v/>
      </c>
      <c r="H106" s="14" t="n">
        <v>2</v>
      </c>
      <c r="I106" s="14" t="n">
        <v>120</v>
      </c>
      <c r="J106" s="29" t="n"/>
    </row>
    <row r="107" ht="16.5" customHeight="1" s="104">
      <c r="A107" s="109">
        <f>RIGHT(D107,4)</f>
        <v/>
      </c>
      <c r="B107" s="53" t="inlineStr">
        <is>
          <t>ЭКСТРА Папа может с/к в/у 1/250 8шт.</t>
        </is>
      </c>
      <c r="C107" s="50" t="inlineStr">
        <is>
          <t>ШТ</t>
        </is>
      </c>
      <c r="D107" s="51" t="n">
        <v>1001062505483</v>
      </c>
      <c r="E107" s="24" t="n"/>
      <c r="F107" s="23" t="n">
        <v>0.25</v>
      </c>
      <c r="G107" s="23">
        <f>E107*F107</f>
        <v/>
      </c>
      <c r="H107" s="14" t="n">
        <v>2</v>
      </c>
      <c r="I107" s="14" t="n">
        <v>120</v>
      </c>
      <c r="J107" s="29" t="n"/>
    </row>
    <row r="108" ht="16.15" customHeight="1" s="104">
      <c r="A108" s="109">
        <f>RIGHT(D108,4)</f>
        <v/>
      </c>
      <c r="B108" s="53" t="inlineStr">
        <is>
          <t>ЭКСТРА Папа может с/к в/у_Л</t>
        </is>
      </c>
      <c r="C108" s="50" t="inlineStr">
        <is>
          <t>КГ</t>
        </is>
      </c>
      <c r="D108" s="51" t="n">
        <v>1001062504117</v>
      </c>
      <c r="E108" s="24" t="n"/>
      <c r="F108" s="23" t="n">
        <v>0.494</v>
      </c>
      <c r="G108" s="23">
        <f>E108</f>
        <v/>
      </c>
      <c r="H108" s="14" t="n">
        <v>3.95</v>
      </c>
      <c r="I108" s="14" t="n">
        <v>120</v>
      </c>
      <c r="J108" s="29" t="n"/>
    </row>
    <row r="109" ht="16.15" customHeight="1" s="104">
      <c r="A109" s="109">
        <f>RIGHT(D109,4)</f>
        <v/>
      </c>
      <c r="B109" s="53" t="inlineStr">
        <is>
          <t>ПРАЗДНИЧНАЯ с/к в/с дек.спец.мгс</t>
        </is>
      </c>
      <c r="C109" s="50" t="inlineStr">
        <is>
          <t>КГ</t>
        </is>
      </c>
      <c r="D109" s="51" t="n">
        <v>1001060720614</v>
      </c>
      <c r="E109" s="24" t="n">
        <v>25</v>
      </c>
      <c r="F109" s="23" t="n">
        <v>0.52</v>
      </c>
      <c r="G109" s="23">
        <f>E109</f>
        <v/>
      </c>
      <c r="H109" s="14" t="n">
        <v>3.64</v>
      </c>
      <c r="I109" s="14" t="n">
        <v>120</v>
      </c>
      <c r="J109" s="29" t="n"/>
      <c r="K109" s="27" t="n"/>
    </row>
    <row r="110" ht="16.15" customHeight="1" s="104">
      <c r="A110" s="109">
        <f>RIGHT(D110,4)</f>
        <v/>
      </c>
      <c r="B110" s="53" t="inlineStr">
        <is>
          <t>БУРГУНДИЯ Папа может с/к в/у 1/250 8шт.</t>
        </is>
      </c>
      <c r="C110" s="50" t="inlineStr">
        <is>
          <t>ШТ</t>
        </is>
      </c>
      <c r="D110" s="51" t="n">
        <v>1001063656967</v>
      </c>
      <c r="E110" s="24" t="n"/>
      <c r="F110" s="23" t="n">
        <v>0.25</v>
      </c>
      <c r="G110" s="23">
        <f>E110*F110</f>
        <v/>
      </c>
      <c r="H110" s="14" t="n">
        <v>2</v>
      </c>
      <c r="I110" s="14" t="n">
        <v>120</v>
      </c>
      <c r="J110" s="29" t="n"/>
      <c r="K110" s="27" t="n"/>
    </row>
    <row r="111" ht="16.15" customHeight="1" s="104">
      <c r="A111" s="109">
        <f>RIGHT(D111,4)</f>
        <v/>
      </c>
      <c r="B111" s="53" t="inlineStr">
        <is>
          <t>САЛЯМИ Папа может с/к в/у 1/250 8шт.</t>
        </is>
      </c>
      <c r="C111" s="50" t="inlineStr">
        <is>
          <t>ШТ</t>
        </is>
      </c>
      <c r="D111" s="51" t="n">
        <v>1001063106937</v>
      </c>
      <c r="E111" s="24" t="n"/>
      <c r="F111" s="23" t="n">
        <v>0.25</v>
      </c>
      <c r="G111" s="23">
        <f>E111*F111</f>
        <v/>
      </c>
      <c r="H111" s="14" t="n">
        <v>2</v>
      </c>
      <c r="I111" s="14" t="n">
        <v>120</v>
      </c>
      <c r="J111" s="29" t="n"/>
      <c r="K111" s="27" t="n"/>
    </row>
    <row r="112" ht="16.15" customHeight="1" s="104">
      <c r="A112" s="109">
        <f>RIGHT(D112,4)</f>
        <v/>
      </c>
      <c r="B112" s="53" t="inlineStr">
        <is>
          <t>БРАУНШВЕЙГСКАЯ ГОСТ с/к в/у 1/220 8шт.</t>
        </is>
      </c>
      <c r="C112" s="50" t="inlineStr">
        <is>
          <t>ШТ</t>
        </is>
      </c>
      <c r="D112" s="51" t="n">
        <v>1001060717143</v>
      </c>
      <c r="E112" s="24" t="n"/>
      <c r="F112" s="23" t="n">
        <v>0.22</v>
      </c>
      <c r="G112" s="23">
        <f>E112*F112</f>
        <v/>
      </c>
      <c r="H112" s="14" t="n">
        <v>1.76</v>
      </c>
      <c r="I112" s="14" t="n">
        <v>120</v>
      </c>
      <c r="J112" s="29" t="n"/>
      <c r="K112" s="27" t="n"/>
    </row>
    <row r="113" ht="16.15" customHeight="1" s="104">
      <c r="A113" s="109">
        <f>RIGHT(D113,4)</f>
        <v/>
      </c>
      <c r="B113" s="53" t="inlineStr">
        <is>
          <t>САЛЬЧИЧОН Останкино с/к в/у 1/220 8шт.</t>
        </is>
      </c>
      <c r="C113" s="50" t="inlineStr">
        <is>
          <t>ШТ</t>
        </is>
      </c>
      <c r="D113" s="51" t="n">
        <v>1001063237147</v>
      </c>
      <c r="E113" s="24" t="n"/>
      <c r="F113" s="23" t="n">
        <v>0.22</v>
      </c>
      <c r="G113" s="23">
        <f>E113*F113</f>
        <v/>
      </c>
      <c r="H113" s="14" t="n">
        <v>1.76</v>
      </c>
      <c r="I113" s="14" t="n">
        <v>120</v>
      </c>
      <c r="J113" s="29" t="n"/>
      <c r="K113" s="27" t="n"/>
    </row>
    <row r="114" ht="16.5" customHeight="1" s="104">
      <c r="A114" s="109">
        <f>RIGHT(D114,4)</f>
        <v/>
      </c>
      <c r="B114" s="53" t="inlineStr">
        <is>
          <t>САЛЯМИ ФИНСКАЯ Папа может с/к в/у 1/150</t>
        </is>
      </c>
      <c r="C114" s="50" t="inlineStr">
        <is>
          <t>ШТ</t>
        </is>
      </c>
      <c r="D114" s="51" t="n">
        <v>1001063097456</v>
      </c>
      <c r="E114" s="24" t="n"/>
      <c r="F114" s="23" t="n">
        <v>0.15</v>
      </c>
      <c r="G114" s="23">
        <f>E114*F114</f>
        <v/>
      </c>
      <c r="H114" s="14" t="n">
        <v>1.8</v>
      </c>
      <c r="I114" s="14" t="n">
        <v>90</v>
      </c>
      <c r="J114" s="29" t="n"/>
      <c r="K114" s="27" t="n"/>
    </row>
    <row r="115" ht="16.5" customHeight="1" s="104">
      <c r="A115" s="109">
        <f>RIGHT(D115,4)</f>
        <v/>
      </c>
      <c r="B115" s="53" t="inlineStr">
        <is>
          <t>ЧОРИЗО Останкино с/к в/у 1/220 8шт.</t>
        </is>
      </c>
      <c r="C115" s="50" t="inlineStr">
        <is>
          <t>ШТ</t>
        </is>
      </c>
      <c r="D115" s="51" t="n">
        <v>1001063217364</v>
      </c>
      <c r="E115" s="24" t="n"/>
      <c r="F115" s="23" t="n">
        <v>0.22</v>
      </c>
      <c r="G115" s="23">
        <f>E115*F115</f>
        <v/>
      </c>
      <c r="H115" s="14" t="n">
        <v>1.76</v>
      </c>
      <c r="I115" s="14" t="n">
        <v>90</v>
      </c>
      <c r="J115" s="29" t="n"/>
      <c r="K115" s="27" t="n"/>
    </row>
    <row r="116" ht="16.5" customHeight="1" s="104">
      <c r="A116" s="109">
        <f>RIGHT(D116,4)</f>
        <v/>
      </c>
      <c r="B116" s="53" t="inlineStr">
        <is>
          <t>САН-РЕМО Останкино с/в в/у 1/220 8шт.</t>
        </is>
      </c>
      <c r="C116" s="50" t="inlineStr">
        <is>
          <t>ШТ</t>
        </is>
      </c>
      <c r="D116" s="51" t="n">
        <v>1001065467383</v>
      </c>
      <c r="E116" s="24" t="n"/>
      <c r="F116" s="23" t="n">
        <v>0.22</v>
      </c>
      <c r="G116" s="23">
        <f>E116*F116</f>
        <v/>
      </c>
      <c r="H116" s="14" t="n">
        <v>1.76</v>
      </c>
      <c r="I116" s="14" t="n">
        <v>90</v>
      </c>
      <c r="J116" s="29" t="n"/>
    </row>
    <row r="117" ht="16.5" customHeight="1" s="104">
      <c r="A117" s="109">
        <f>RIGHT(D117,4)</f>
        <v/>
      </c>
      <c r="B117" s="53" t="inlineStr">
        <is>
          <t>ПРЕСИЖН с/к дек.спец. мгс 0.54кг</t>
        </is>
      </c>
      <c r="C117" s="50" t="inlineStr">
        <is>
          <t>ШТ</t>
        </is>
      </c>
      <c r="D117" s="51" t="n">
        <v>1001066567317</v>
      </c>
      <c r="E117" s="24" t="n"/>
      <c r="F117" s="23" t="n">
        <v>0.54</v>
      </c>
      <c r="G117" s="23">
        <f>E117*F117</f>
        <v/>
      </c>
      <c r="H117" s="14" t="n">
        <v>3.78</v>
      </c>
      <c r="I117" s="14" t="n">
        <v>120</v>
      </c>
      <c r="J117" s="29" t="n"/>
      <c r="K117" s="27" t="n"/>
    </row>
    <row r="118" ht="15.75" customHeight="1" s="104">
      <c r="A118" s="109">
        <f>RIGHT(D118,4)</f>
        <v/>
      </c>
      <c r="B118" s="53" t="inlineStr">
        <is>
          <t>ПРАЗДНИЧНАЯ с/к в/с дек.спец. мгс 1/270</t>
        </is>
      </c>
      <c r="C118" s="50" t="inlineStr">
        <is>
          <t>ШТ</t>
        </is>
      </c>
      <c r="D118" s="51" t="n">
        <v>1001060727318</v>
      </c>
      <c r="E118" s="24" t="n"/>
      <c r="F118" s="23" t="n">
        <v>0.27</v>
      </c>
      <c r="G118" s="23">
        <f>E118*F118</f>
        <v/>
      </c>
      <c r="H118" s="14" t="n">
        <v>2.16</v>
      </c>
      <c r="I118" s="14" t="n">
        <v>120</v>
      </c>
      <c r="J118" s="29" t="n"/>
      <c r="K118" s="27" t="n"/>
    </row>
    <row r="119" ht="15.75" customHeight="1" s="104">
      <c r="A119" s="109">
        <f>RIGHT(D119,4)</f>
        <v/>
      </c>
      <c r="B119" s="53" t="inlineStr">
        <is>
          <t>ПРАЗДНИЧНАЯ с/к в/с дек.спец. мгс 0.54кг</t>
        </is>
      </c>
      <c r="C119" s="50" t="inlineStr">
        <is>
          <t>ШТ</t>
        </is>
      </c>
      <c r="D119" s="51" t="n">
        <v>1001060727316</v>
      </c>
      <c r="E119" s="24" t="n"/>
      <c r="F119" s="23" t="n">
        <v>0.54</v>
      </c>
      <c r="G119" s="23">
        <f>E119*F119</f>
        <v/>
      </c>
      <c r="H119" s="14" t="n">
        <v>3.78</v>
      </c>
      <c r="I119" s="14" t="n">
        <v>120</v>
      </c>
      <c r="J119" s="29" t="n"/>
      <c r="K119" s="27" t="n"/>
    </row>
    <row r="120" ht="15.75" customHeight="1" s="104">
      <c r="A120" s="109">
        <f>RIGHT(D120,4)</f>
        <v/>
      </c>
      <c r="B120" s="53" t="inlineStr">
        <is>
          <t>АССОРТИ СЫРОКОПЧЕНЫХ КОЛБАС Коровино в/у</t>
        </is>
      </c>
      <c r="C120" s="50" t="inlineStr">
        <is>
          <t>КГ</t>
        </is>
      </c>
      <c r="D120" s="51" t="n">
        <v>1001065616832</v>
      </c>
      <c r="E120" s="24" t="n"/>
      <c r="F120" s="23" t="n">
        <v>0.215</v>
      </c>
      <c r="G120" s="23">
        <f>E120</f>
        <v/>
      </c>
      <c r="H120" s="14" t="n">
        <v>2.15</v>
      </c>
      <c r="I120" s="14" t="n">
        <v>30</v>
      </c>
      <c r="J120" s="29" t="n"/>
      <c r="K120" s="27" t="n"/>
    </row>
    <row r="121" ht="15.75" customHeight="1" s="104">
      <c r="A121" s="109">
        <f>RIGHT(D121,4)</f>
        <v/>
      </c>
      <c r="B121" s="53" t="inlineStr">
        <is>
          <t>НАБОР ДЛЯ ПИЦЦЫ Папа Может с/к в/у</t>
        </is>
      </c>
      <c r="C121" s="50" t="inlineStr">
        <is>
          <t>КГ</t>
        </is>
      </c>
      <c r="D121" s="51" t="n">
        <v>1001060677299</v>
      </c>
      <c r="E121" s="24" t="n"/>
      <c r="F121" s="23" t="n">
        <v>0.215</v>
      </c>
      <c r="G121" s="23">
        <f>E121</f>
        <v/>
      </c>
      <c r="H121" s="14" t="n">
        <v>2.15</v>
      </c>
      <c r="I121" s="14" t="n">
        <v>30</v>
      </c>
      <c r="J121" s="29" t="n"/>
      <c r="K121" s="27" t="n"/>
    </row>
    <row r="122" ht="16.5" customHeight="1" s="104">
      <c r="A122" s="109">
        <f>RIGHT(D122,4)</f>
        <v/>
      </c>
      <c r="B122" s="53" t="inlineStr">
        <is>
          <t>БАРСЕЛОНА ПМ с/к в/у 1/150</t>
        </is>
      </c>
      <c r="C122" s="50" t="inlineStr">
        <is>
          <t>ШТ</t>
        </is>
      </c>
      <c r="D122" s="51" t="n">
        <v>1001067017386</v>
      </c>
      <c r="E122" s="24" t="n"/>
      <c r="F122" s="23" t="n">
        <v>0.15</v>
      </c>
      <c r="G122" s="23">
        <f>E122*F122</f>
        <v/>
      </c>
      <c r="H122" s="14" t="n">
        <v>1.35</v>
      </c>
      <c r="I122" s="14" t="n">
        <v>90</v>
      </c>
      <c r="J122" s="29" t="n"/>
    </row>
    <row r="123" ht="16.5" customHeight="1" s="104">
      <c r="A123" s="109">
        <f>RIGHT(D123,4)</f>
        <v/>
      </c>
      <c r="B123" s="53" t="inlineStr">
        <is>
          <t>АРОМАТНАЯ с/к с/н в/у 1/100 10шт_Л10 (7613)</t>
        </is>
      </c>
      <c r="C123" s="50" t="inlineStr">
        <is>
          <t>ШТ</t>
        </is>
      </c>
      <c r="D123" s="51" t="n">
        <v>1001061977613</v>
      </c>
      <c r="E123" s="24" t="n"/>
      <c r="F123" s="23" t="n">
        <v>0.1</v>
      </c>
      <c r="G123" s="23">
        <f>E123*F123</f>
        <v/>
      </c>
      <c r="H123" s="14" t="n">
        <v>1</v>
      </c>
      <c r="I123" s="14" t="n">
        <v>60</v>
      </c>
      <c r="J123" s="52" t="inlineStr">
        <is>
          <t>Ротация кода 6454</t>
        </is>
      </c>
    </row>
    <row r="124" ht="16.5" customHeight="1" s="104">
      <c r="A124" s="109">
        <f>RIGHT(D124,4)</f>
        <v/>
      </c>
      <c r="B124" s="53" t="inlineStr">
        <is>
          <t>САЛЯМИ МЕЛКОЗЕРНЕНАЯ с/к в/у 1/120 8шт.</t>
        </is>
      </c>
      <c r="C124" s="50" t="inlineStr">
        <is>
          <t>ШТ</t>
        </is>
      </c>
      <c r="D124" s="51" t="n">
        <v>1001203117382</v>
      </c>
      <c r="E124" s="24" t="n">
        <v>112</v>
      </c>
      <c r="F124" s="23" t="n">
        <v>0.12</v>
      </c>
      <c r="G124" s="23">
        <f>E124*F124</f>
        <v/>
      </c>
      <c r="H124" s="14" t="n">
        <v>0.96</v>
      </c>
      <c r="I124" s="14" t="n">
        <v>60</v>
      </c>
      <c r="J124" s="29" t="n"/>
    </row>
    <row r="125" ht="16.5" customHeight="1" s="104">
      <c r="A125" s="109">
        <f>RIGHT(D125,4)</f>
        <v/>
      </c>
      <c r="B125" s="53" t="inlineStr">
        <is>
          <t>ЭКСТРА Папа может с/к с/н в/у 1/100_Л10</t>
        </is>
      </c>
      <c r="C125" s="50" t="inlineStr">
        <is>
          <t>ШТ</t>
        </is>
      </c>
      <c r="D125" s="51" t="n">
        <v>1001062507616</v>
      </c>
      <c r="E125" s="24" t="n">
        <v>237</v>
      </c>
      <c r="F125" s="23" t="n">
        <v>0.1</v>
      </c>
      <c r="G125" s="23">
        <f>E125*F125</f>
        <v/>
      </c>
      <c r="H125" s="14" t="n">
        <v>1.4</v>
      </c>
      <c r="I125" s="14" t="n">
        <v>60</v>
      </c>
      <c r="J125" s="52" t="inlineStr">
        <is>
          <t>Ротация кода 6453</t>
        </is>
      </c>
    </row>
    <row r="126" ht="16.5" customHeight="1" s="104">
      <c r="A126" s="109">
        <f>RIGHT(D126,4)</f>
        <v/>
      </c>
      <c r="B126" s="53" t="inlineStr">
        <is>
          <t>НЕАПОЛИТАНСКИЙ ДУЭТ с/к с/н мгс 1/90</t>
        </is>
      </c>
      <c r="C126" s="50" t="inlineStr">
        <is>
          <t>ШТ</t>
        </is>
      </c>
      <c r="D126" s="51" t="n">
        <v>1001205376221</v>
      </c>
      <c r="E126" s="24" t="n">
        <v>138</v>
      </c>
      <c r="F126" s="23" t="n">
        <v>0.09</v>
      </c>
      <c r="G126" s="23">
        <f>E126*F126</f>
        <v/>
      </c>
      <c r="H126" s="14" t="n">
        <v>0.9</v>
      </c>
      <c r="I126" s="14" t="n">
        <v>60</v>
      </c>
      <c r="J126" s="29" t="n"/>
    </row>
    <row r="127" ht="16.5" customHeight="1" s="104">
      <c r="A127" s="109">
        <f>RIGHT(D127,4)</f>
        <v/>
      </c>
      <c r="B127" s="53" t="inlineStr">
        <is>
          <t>ИТАЛЬЯНСКОЕ АССОРТИ с/в с/н мгс 1/90</t>
        </is>
      </c>
      <c r="C127" s="50" t="inlineStr">
        <is>
          <t>ШТ</t>
        </is>
      </c>
      <c r="D127" s="51" t="n">
        <v>1001205386222</v>
      </c>
      <c r="E127" s="24" t="n"/>
      <c r="F127" s="23" t="n">
        <v>0.09</v>
      </c>
      <c r="G127" s="23">
        <f>E127*F127</f>
        <v/>
      </c>
      <c r="H127" s="14" t="n">
        <v>0.9</v>
      </c>
      <c r="I127" s="14" t="n">
        <v>60</v>
      </c>
      <c r="J127" s="29" t="n"/>
    </row>
    <row r="128" ht="16.5" customHeight="1" s="104">
      <c r="A128" s="109">
        <f>RIGHT(D128,4)</f>
        <v/>
      </c>
      <c r="B128" s="53" t="inlineStr">
        <is>
          <t>САЛЯМИ ИТАЛЬЯНСКАЯ с/к в/у 1/150_60с</t>
        </is>
      </c>
      <c r="C128" s="50" t="inlineStr">
        <is>
          <t>ШТ</t>
        </is>
      </c>
      <c r="D128" s="51" t="n">
        <v>1001190765679</v>
      </c>
      <c r="E128" s="24" t="n"/>
      <c r="F128" s="23" t="n">
        <v>0.15</v>
      </c>
      <c r="G128" s="23">
        <f>E128*F128</f>
        <v/>
      </c>
      <c r="H128" s="14" t="n">
        <v>1.2</v>
      </c>
      <c r="I128" s="14" t="n">
        <v>60</v>
      </c>
      <c r="J128" s="29" t="n"/>
    </row>
    <row r="129" ht="16.5" customHeight="1" s="104" thickBot="1">
      <c r="A129" s="109">
        <f>RIGHT(D129,4)</f>
        <v/>
      </c>
      <c r="B129" s="53" t="inlineStr">
        <is>
          <t>БРАУНШВЕЙГСКАЯ с/к с/н мгс 1/100_Л10</t>
        </is>
      </c>
      <c r="C129" s="50" t="inlineStr">
        <is>
          <t>ШТ</t>
        </is>
      </c>
      <c r="D129" s="51" t="n">
        <v>1001066607626</v>
      </c>
      <c r="E129" s="24" t="n">
        <v>50</v>
      </c>
      <c r="F129" s="23" t="n">
        <v>0.1</v>
      </c>
      <c r="G129" s="23">
        <f>E129*F129</f>
        <v/>
      </c>
      <c r="H129" s="14" t="n">
        <v>1</v>
      </c>
      <c r="I129" s="14" t="n">
        <v>60</v>
      </c>
      <c r="J129" s="52" t="inlineStr">
        <is>
          <t>Ротация кода 5677</t>
        </is>
      </c>
    </row>
    <row r="130" ht="16.5" customHeight="1" s="104" thickBot="1" thickTop="1">
      <c r="A130" s="47" t="inlineStr"/>
      <c r="B130" s="42" t="inlineStr">
        <is>
          <t>Ветчины</t>
        </is>
      </c>
      <c r="C130" s="42" t="n"/>
      <c r="D130" s="42" t="n"/>
      <c r="E130" s="42" t="n"/>
      <c r="F130" s="41" t="n"/>
      <c r="G130" s="42" t="n"/>
      <c r="H130" s="42" t="n"/>
      <c r="I130" s="42" t="n"/>
      <c r="J130" s="43" t="n"/>
    </row>
    <row r="131" ht="16.5" customHeight="1" s="104" thickTop="1">
      <c r="A131" s="109">
        <f>RIGHT(D131,4)</f>
        <v/>
      </c>
      <c r="B131" s="98" t="inlineStr">
        <is>
          <t xml:space="preserve">ВЕТЧ.ИЗ ЛОПАТКИ Папа может п/о_HRC </t>
        </is>
      </c>
      <c r="C131" s="50" t="inlineStr">
        <is>
          <t>КГ</t>
        </is>
      </c>
      <c r="D131" s="116" t="n">
        <v>1001092674584</v>
      </c>
      <c r="E131" s="24" t="n"/>
      <c r="F131" s="23" t="n">
        <v>2.5</v>
      </c>
      <c r="G131" s="23">
        <f>E131</f>
        <v/>
      </c>
      <c r="H131" s="14" t="n">
        <v>7.5</v>
      </c>
      <c r="I131" s="14" t="n">
        <v>60</v>
      </c>
      <c r="J131" s="29" t="n"/>
    </row>
    <row r="132" ht="16.5" customHeight="1" s="104">
      <c r="A132" s="109">
        <f>RIGHT(D132,4)</f>
        <v/>
      </c>
      <c r="B132" s="98" t="inlineStr">
        <is>
          <t>ВЕТЧ.МРАМОРНАЯ в/у срез 0.3кг 6шт_45с</t>
        </is>
      </c>
      <c r="C132" s="50" t="inlineStr">
        <is>
          <t>ШТ</t>
        </is>
      </c>
      <c r="D132" s="51" t="n">
        <v>1001092436495</v>
      </c>
      <c r="E132" s="24" t="n">
        <v>190</v>
      </c>
      <c r="F132" s="111" t="n">
        <v>0.3</v>
      </c>
      <c r="G132" s="23">
        <f>E132*F132</f>
        <v/>
      </c>
      <c r="H132" s="29" t="n">
        <v>1.8</v>
      </c>
      <c r="I132" s="29" t="n">
        <v>45</v>
      </c>
      <c r="J132" s="29" t="n"/>
    </row>
    <row r="133" ht="16.5" customHeight="1" s="104">
      <c r="A133" s="109">
        <f>RIGHT(D133,4)</f>
        <v/>
      </c>
      <c r="B133" s="117" t="inlineStr">
        <is>
          <t>ВЕТЧ.МРАМОРНАЯ в/у_45с</t>
        </is>
      </c>
      <c r="C133" s="50" t="inlineStr">
        <is>
          <t>КГ</t>
        </is>
      </c>
      <c r="D133" s="51" t="n">
        <v>1001092436470</v>
      </c>
      <c r="E133" s="24" t="n"/>
      <c r="F133" s="111" t="n">
        <v>1.2</v>
      </c>
      <c r="G133" s="23">
        <f>E133</f>
        <v/>
      </c>
      <c r="H133" s="29" t="n">
        <v>4.8</v>
      </c>
      <c r="I133" s="29" t="n">
        <v>45</v>
      </c>
      <c r="J133" s="29" t="n"/>
    </row>
    <row r="134" ht="15.75" customHeight="1" s="104">
      <c r="A134" s="109">
        <f>RIGHT(D134,4)</f>
        <v/>
      </c>
      <c r="B134" s="117" t="inlineStr">
        <is>
          <t>ВЕТЧ.МЯСНАЯ Папа может п/о</t>
        </is>
      </c>
      <c r="C134" s="50" t="inlineStr">
        <is>
          <t>КГ</t>
        </is>
      </c>
      <c r="D134" s="51" t="n">
        <v>1001092485452</v>
      </c>
      <c r="E134" s="24" t="n">
        <v>129</v>
      </c>
      <c r="F134" s="111" t="n">
        <v>1.35</v>
      </c>
      <c r="G134" s="23">
        <f>E134</f>
        <v/>
      </c>
      <c r="H134" s="29" t="n">
        <v>4.05</v>
      </c>
      <c r="I134" s="29" t="n">
        <v>60</v>
      </c>
      <c r="J134" s="29" t="n"/>
    </row>
    <row r="135">
      <c r="A135" s="109">
        <f>RIGHT(D135,4)</f>
        <v/>
      </c>
      <c r="B135" s="117" t="inlineStr">
        <is>
          <t>ВЕТЧ.МЯСНАЯ Папа может п/о 0.4кг 8шт.</t>
        </is>
      </c>
      <c r="C135" s="50" t="inlineStr">
        <is>
          <t>ШТ</t>
        </is>
      </c>
      <c r="D135" s="51" t="n">
        <v>1001094053215</v>
      </c>
      <c r="E135" s="24" t="n">
        <v>169</v>
      </c>
      <c r="F135" s="111" t="n">
        <v>0.4</v>
      </c>
      <c r="G135" s="23">
        <f>E135*F135</f>
        <v/>
      </c>
      <c r="H135" s="29" t="n">
        <v>3.2</v>
      </c>
      <c r="I135" s="29" t="n">
        <v>60</v>
      </c>
      <c r="J135" s="29" t="n"/>
    </row>
    <row r="136">
      <c r="A136" s="109">
        <f>RIGHT(D136,4)</f>
        <v/>
      </c>
      <c r="B136" s="117" t="inlineStr">
        <is>
          <t>ВЕТЧ.НЕЖНАЯ Коровино п/о_Маяк</t>
        </is>
      </c>
      <c r="C136" s="50" t="inlineStr">
        <is>
          <t>КГ</t>
        </is>
      </c>
      <c r="D136" s="51" t="n">
        <v>1001095716866</v>
      </c>
      <c r="E136" s="24" t="n">
        <v>9</v>
      </c>
      <c r="F136" s="111" t="n">
        <v>1.5</v>
      </c>
      <c r="G136" s="23">
        <f>E136</f>
        <v/>
      </c>
      <c r="H136" s="29" t="n">
        <v>6</v>
      </c>
      <c r="I136" s="29" t="n">
        <v>60</v>
      </c>
      <c r="J136" s="29" t="n"/>
    </row>
    <row r="137">
      <c r="A137" s="109">
        <f>RIGHT(D137,4)</f>
        <v/>
      </c>
      <c r="B137" s="53" t="inlineStr">
        <is>
          <t>ВЕТЧ.С ИНДЕЙКОЙ Папа может п/о 400*6</t>
        </is>
      </c>
      <c r="C137" s="50" t="inlineStr">
        <is>
          <t>ШТ</t>
        </is>
      </c>
      <c r="D137" s="110" t="n">
        <v>1001093345495</v>
      </c>
      <c r="E137" s="24" t="n">
        <v>336</v>
      </c>
      <c r="F137" s="111" t="n">
        <v>0.4</v>
      </c>
      <c r="G137" s="23">
        <f>E137*F137</f>
        <v/>
      </c>
      <c r="H137" s="29" t="n">
        <v>2.4</v>
      </c>
      <c r="I137" s="29" t="n">
        <v>60</v>
      </c>
      <c r="J137" s="29" t="n"/>
    </row>
    <row r="138">
      <c r="A138" s="109">
        <f>RIGHT(D138,4)</f>
        <v/>
      </c>
      <c r="B138" s="53" t="inlineStr">
        <is>
          <t>ВЕТЧ.С ИНДЕЙКОЙ ПМ в/у срез 0.3кг 6шт.</t>
        </is>
      </c>
      <c r="C138" s="50" t="inlineStr">
        <is>
          <t>ШТ</t>
        </is>
      </c>
      <c r="D138" s="110" t="n">
        <v>1001095027377</v>
      </c>
      <c r="E138" s="24" t="n"/>
      <c r="F138" s="111" t="n">
        <v>0.3</v>
      </c>
      <c r="G138" s="23">
        <f>E138*F138</f>
        <v/>
      </c>
      <c r="H138" s="29" t="n">
        <v>1.8</v>
      </c>
      <c r="I138" s="29" t="n">
        <v>45</v>
      </c>
      <c r="J138" s="29" t="n"/>
    </row>
    <row r="139">
      <c r="A139" s="109">
        <f>RIGHT(D139,4)</f>
        <v/>
      </c>
      <c r="B139" s="53" t="inlineStr">
        <is>
          <t>ВЕТЧ.РУБЛЕНАЯ ПМ в/у срез 0.3кг 6шт.</t>
        </is>
      </c>
      <c r="C139" s="50" t="inlineStr">
        <is>
          <t>ШТ</t>
        </is>
      </c>
      <c r="D139" s="110" t="n">
        <v>1001093316411</v>
      </c>
      <c r="E139" s="24" t="n">
        <v>35</v>
      </c>
      <c r="F139" s="111" t="n">
        <v>0.3</v>
      </c>
      <c r="G139" s="23">
        <f>E139*F139</f>
        <v/>
      </c>
      <c r="H139" s="29" t="n"/>
      <c r="I139" s="29" t="n"/>
      <c r="J139" s="29" t="n"/>
    </row>
    <row r="140">
      <c r="A140" s="109">
        <f>RIGHT(D140,4)</f>
        <v/>
      </c>
      <c r="B140" s="53" t="inlineStr">
        <is>
          <t xml:space="preserve">ВЕТЧ.КЛАССИЧЕСКАЯ в/у 0.6кг 8шт. </t>
        </is>
      </c>
      <c r="C140" s="50" t="inlineStr">
        <is>
          <t>ШТ</t>
        </is>
      </c>
      <c r="D140" s="110" t="n">
        <v>1001095226925</v>
      </c>
      <c r="E140" s="24" t="n"/>
      <c r="F140" s="111" t="n">
        <v>0.6</v>
      </c>
      <c r="G140" s="23">
        <f>E140*F140</f>
        <v/>
      </c>
      <c r="H140" s="29" t="n">
        <v>4.8</v>
      </c>
      <c r="I140" s="29" t="n">
        <v>45</v>
      </c>
      <c r="J140" s="29" t="n"/>
    </row>
    <row r="141">
      <c r="A141" s="109">
        <f>RIGHT(D141,4)</f>
        <v/>
      </c>
      <c r="B141" s="53" t="inlineStr">
        <is>
          <t>ВЕТЧ.ФИРМЕННАЯ С ИНДЕЙКОЙ п/о</t>
        </is>
      </c>
      <c r="C141" s="50" t="inlineStr">
        <is>
          <t>КГ</t>
        </is>
      </c>
      <c r="D141" s="110" t="n">
        <v>1001094966025</v>
      </c>
      <c r="E141" s="24" t="n"/>
      <c r="F141" s="111" t="n">
        <v>3</v>
      </c>
      <c r="G141" s="23">
        <f>E141</f>
        <v/>
      </c>
      <c r="H141" s="29" t="n">
        <v>6</v>
      </c>
      <c r="I141" s="29" t="n">
        <v>60</v>
      </c>
      <c r="J141" s="29" t="n"/>
    </row>
    <row r="142">
      <c r="A142" s="109">
        <f>RIGHT(D142,4)</f>
        <v/>
      </c>
      <c r="B142" s="53" t="inlineStr">
        <is>
          <t>КАРБОНAД ДОМАШНИЙ ПМ к/в кр/к в/у</t>
        </is>
      </c>
      <c r="C142" s="50" t="inlineStr">
        <is>
          <t>КГ</t>
        </is>
      </c>
      <c r="D142" s="110" t="n">
        <v>1001085476929</v>
      </c>
      <c r="E142" s="24" t="n">
        <v>25</v>
      </c>
      <c r="F142" s="111" t="n"/>
      <c r="G142" s="23">
        <f>E142</f>
        <v/>
      </c>
      <c r="H142" s="29" t="n"/>
      <c r="I142" s="29" t="n"/>
      <c r="J142" s="29" t="n"/>
    </row>
    <row r="143">
      <c r="A143" s="109">
        <f>RIGHT(D143,4)</f>
        <v/>
      </c>
      <c r="B143" s="53" t="inlineStr">
        <is>
          <t>РИЕТ МЯСНОЙ С ГРИБАМИ ПМ п/о 1/150</t>
        </is>
      </c>
      <c r="C143" s="50" t="inlineStr">
        <is>
          <t>ШТ</t>
        </is>
      </c>
      <c r="D143" s="110" t="n">
        <v>1001107397485</v>
      </c>
      <c r="E143" s="24" t="n">
        <v>90</v>
      </c>
      <c r="F143" s="111" t="n">
        <v>0.15</v>
      </c>
      <c r="G143" s="23">
        <f>F143*E143</f>
        <v/>
      </c>
      <c r="H143" s="29" t="n"/>
      <c r="I143" s="29" t="n"/>
      <c r="J143" s="105" t="inlineStr">
        <is>
          <t>Новинка</t>
        </is>
      </c>
    </row>
    <row r="144">
      <c r="A144" s="109">
        <f>RIGHT(D144,4)</f>
        <v/>
      </c>
      <c r="B144" s="53" t="inlineStr">
        <is>
          <t>ХОЧУ ВЕТЧ. ИЗ СВИН.ОТРУБА с/н мгс 1/100</t>
        </is>
      </c>
      <c r="C144" s="50" t="inlineStr">
        <is>
          <t>ШТ</t>
        </is>
      </c>
      <c r="D144" s="110" t="n">
        <v>1001097747647</v>
      </c>
      <c r="E144" s="24" t="n">
        <v>40</v>
      </c>
      <c r="F144" s="111" t="n">
        <v>0.1</v>
      </c>
      <c r="G144" s="23">
        <f>E144*F144</f>
        <v/>
      </c>
      <c r="H144" s="29" t="n">
        <v>1</v>
      </c>
      <c r="I144" s="29" t="n">
        <v>30</v>
      </c>
      <c r="J144" s="105" t="inlineStr">
        <is>
          <t>Новинка</t>
        </is>
      </c>
    </row>
    <row r="145" ht="15.75" customHeight="1" s="104" thickBot="1">
      <c r="A145" s="109">
        <f>RIGHT(D145,4)</f>
        <v/>
      </c>
      <c r="B145" s="53" t="inlineStr">
        <is>
          <t>ХОЧУ ВЕТЧ. МРАМОР. ПМ с/н мгс 1/100_Л11</t>
        </is>
      </c>
      <c r="C145" s="50" t="inlineStr">
        <is>
          <t>ШТ</t>
        </is>
      </c>
      <c r="D145" s="110" t="n">
        <v>1001097767651</v>
      </c>
      <c r="E145" s="24" t="n">
        <v>40</v>
      </c>
      <c r="F145" s="111" t="n">
        <v>0.1</v>
      </c>
      <c r="G145" s="23">
        <f>E145*F145</f>
        <v/>
      </c>
      <c r="H145" s="29" t="n">
        <v>1</v>
      </c>
      <c r="I145" s="29" t="n">
        <v>30</v>
      </c>
      <c r="J145" s="105" t="inlineStr">
        <is>
          <t>Новинка</t>
        </is>
      </c>
    </row>
    <row r="146" ht="16.5" customHeight="1" s="104" thickBot="1" thickTop="1">
      <c r="A146" s="47" t="inlineStr"/>
      <c r="B146" s="42" t="inlineStr">
        <is>
          <t>Копчености варенокопченые</t>
        </is>
      </c>
      <c r="C146" s="42" t="n"/>
      <c r="D146" s="42" t="n"/>
      <c r="E146" s="42" t="n"/>
      <c r="F146" s="41" t="n"/>
      <c r="G146" s="42" t="n"/>
      <c r="H146" s="42" t="n"/>
      <c r="I146" s="42" t="n"/>
      <c r="J146" s="43" t="n"/>
    </row>
    <row r="147" ht="15.75" customHeight="1" s="104" thickTop="1">
      <c r="A147" s="109">
        <f>RIGHT(D147,4)</f>
        <v/>
      </c>
      <c r="B147" s="35" t="inlineStr">
        <is>
          <t>СВИНИНА ПО-ДОМ. к/в мл/к в/у 0.3кг_50с</t>
        </is>
      </c>
      <c r="C147" s="50" t="inlineStr">
        <is>
          <t>ШТ</t>
        </is>
      </c>
      <c r="D147" s="51" t="n">
        <v>1001084217090</v>
      </c>
      <c r="E147" s="24" t="n">
        <v>121</v>
      </c>
      <c r="F147" s="23" t="n">
        <v>0.3</v>
      </c>
      <c r="G147" s="23">
        <f>E147*F147</f>
        <v/>
      </c>
      <c r="H147" s="14" t="n">
        <v>1.8</v>
      </c>
      <c r="I147" s="14" t="n">
        <v>50</v>
      </c>
      <c r="J147" s="29" t="n"/>
    </row>
    <row r="148">
      <c r="A148" s="109">
        <f>RIGHT(D148,4)</f>
        <v/>
      </c>
      <c r="B148" s="35" t="inlineStr">
        <is>
          <t>ГРУДИНКА ПРЕМИУМ к/в мл/к в/у 0.3кг_50с</t>
        </is>
      </c>
      <c r="C148" s="50" t="inlineStr">
        <is>
          <t>ШТ</t>
        </is>
      </c>
      <c r="D148" s="51" t="n">
        <v>1001085637187</v>
      </c>
      <c r="E148" s="24" t="n">
        <v>137</v>
      </c>
      <c r="F148" s="23" t="n">
        <v>0.3</v>
      </c>
      <c r="G148" s="23">
        <f>E148*F148</f>
        <v/>
      </c>
      <c r="H148" s="14" t="n">
        <v>1.8</v>
      </c>
      <c r="I148" s="14" t="n">
        <v>50</v>
      </c>
      <c r="J148" s="29" t="n"/>
    </row>
    <row r="149">
      <c r="A149" s="109">
        <f>RIGHT(D149,4)</f>
        <v/>
      </c>
      <c r="B149" s="35" t="inlineStr">
        <is>
          <t>САЛО СОЛЕНОЕ С ЧЕРНЫМ ПЕРЦЕМ мл/к в/у</t>
        </is>
      </c>
      <c r="C149" s="50" t="inlineStr">
        <is>
          <t>КГ</t>
        </is>
      </c>
      <c r="D149" s="51" t="n">
        <v>1001084856008</v>
      </c>
      <c r="E149" s="24" t="n">
        <v>16</v>
      </c>
      <c r="F149" s="23" t="n">
        <v>0.3</v>
      </c>
      <c r="G149" s="23">
        <f>E149</f>
        <v/>
      </c>
      <c r="H149" s="14" t="n">
        <v>1.8</v>
      </c>
      <c r="I149" s="14" t="n">
        <v>40</v>
      </c>
      <c r="J149" s="105" t="inlineStr">
        <is>
          <t>Новинка</t>
        </is>
      </c>
    </row>
    <row r="150">
      <c r="A150" s="109">
        <f>RIGHT(D150,4)</f>
        <v/>
      </c>
      <c r="B150" s="35" t="inlineStr">
        <is>
          <t>РЕБРЫШКИ к/в в/у_30c</t>
        </is>
      </c>
      <c r="C150" s="50" t="inlineStr">
        <is>
          <t>КГ</t>
        </is>
      </c>
      <c r="D150" s="51" t="n">
        <v>1001081596620</v>
      </c>
      <c r="E150" s="24" t="n">
        <v>50</v>
      </c>
      <c r="F150" s="23" t="n">
        <v>1.05</v>
      </c>
      <c r="G150" s="23">
        <f>E150</f>
        <v/>
      </c>
      <c r="H150" s="14" t="n">
        <v>3.15</v>
      </c>
      <c r="I150" s="14" t="n">
        <v>30</v>
      </c>
      <c r="J150" s="29" t="n"/>
    </row>
    <row r="151">
      <c r="A151" s="109">
        <f>RIGHT(D151,4)</f>
        <v/>
      </c>
      <c r="B151" s="35" t="inlineStr">
        <is>
          <t>БЕКОН Останкино с/к с/н в/у 1/180_50с</t>
        </is>
      </c>
      <c r="C151" s="50" t="inlineStr">
        <is>
          <t>ШТ</t>
        </is>
      </c>
      <c r="D151" s="51" t="n">
        <v>1001223297103</v>
      </c>
      <c r="E151" s="24" t="n">
        <v>245</v>
      </c>
      <c r="F151" s="23" t="n">
        <v>0.18</v>
      </c>
      <c r="G151" s="23">
        <f>E151*F151</f>
        <v/>
      </c>
      <c r="H151" s="14" t="n">
        <v>1.8</v>
      </c>
      <c r="I151" s="14" t="n">
        <v>50</v>
      </c>
      <c r="J151" s="29" t="n"/>
    </row>
    <row r="152">
      <c r="A152" s="109">
        <f>RIGHT(D152,4)</f>
        <v/>
      </c>
      <c r="B152" s="35" t="inlineStr">
        <is>
          <t>БЕКОН Папа может с/к с/н в/у 1/140_50с</t>
        </is>
      </c>
      <c r="C152" s="50" t="inlineStr">
        <is>
          <t>ШТ</t>
        </is>
      </c>
      <c r="D152" s="51" t="n">
        <v>1001223297092</v>
      </c>
      <c r="E152" s="24" t="n"/>
      <c r="F152" s="23" t="n">
        <v>0.14</v>
      </c>
      <c r="G152" s="23">
        <f>E152*F152</f>
        <v/>
      </c>
      <c r="H152" s="14" t="n">
        <v>1.4</v>
      </c>
      <c r="I152" s="14" t="n">
        <v>50</v>
      </c>
      <c r="J152" s="29" t="n"/>
    </row>
    <row r="153">
      <c r="A153" s="109">
        <f>RIGHT(D153,4)</f>
        <v/>
      </c>
      <c r="B153" s="35" t="inlineStr">
        <is>
          <t>МЯСНОЕ АССОРТИ к/з с/н мгс 1/90 10шт.</t>
        </is>
      </c>
      <c r="C153" s="50" t="inlineStr">
        <is>
          <t>ШТ</t>
        </is>
      </c>
      <c r="D153" s="51" t="n">
        <v>1001225416228</v>
      </c>
      <c r="E153" s="24" t="n">
        <v>60</v>
      </c>
      <c r="F153" s="23" t="n">
        <v>0.09</v>
      </c>
      <c r="G153" s="23">
        <f>E153*F153</f>
        <v/>
      </c>
      <c r="H153" s="14" t="n">
        <v>0.9</v>
      </c>
      <c r="I153" s="14" t="n">
        <v>45</v>
      </c>
      <c r="J153" s="29" t="n"/>
    </row>
    <row r="154">
      <c r="A154" s="109">
        <f>RIGHT(D154,4)</f>
        <v/>
      </c>
      <c r="B154" s="35" t="inlineStr">
        <is>
          <t>СВИНИНА МАДЕРА с/к с/н в/у 1/100 10шт.</t>
        </is>
      </c>
      <c r="C154" s="50" t="inlineStr">
        <is>
          <t>ШТ</t>
        </is>
      </c>
      <c r="D154" s="51" t="n">
        <v>1001234146448</v>
      </c>
      <c r="E154" s="24" t="n"/>
      <c r="F154" s="23" t="n">
        <v>0.1</v>
      </c>
      <c r="G154" s="23">
        <f>E154*F154</f>
        <v/>
      </c>
      <c r="H154" s="14" t="n">
        <v>1</v>
      </c>
      <c r="I154" s="14" t="n">
        <v>45</v>
      </c>
      <c r="J154" s="29" t="n"/>
    </row>
    <row r="155">
      <c r="A155" s="109">
        <f>RIGHT(D155,4)</f>
        <v/>
      </c>
      <c r="B155" s="35" t="inlineStr">
        <is>
          <t>ДЫМОВИЦА ИЗ ЛОПАТКИ ПМ к/в с/н в/у 1/150</t>
        </is>
      </c>
      <c r="C155" s="50" t="inlineStr">
        <is>
          <t>ШТ</t>
        </is>
      </c>
      <c r="D155" s="51" t="n">
        <v>1001220226208</v>
      </c>
      <c r="E155" s="24" t="n"/>
      <c r="F155" s="23" t="n">
        <v>0.15</v>
      </c>
      <c r="G155" s="23">
        <f>E155*F155</f>
        <v/>
      </c>
      <c r="H155" s="14" t="n">
        <v>1.5</v>
      </c>
      <c r="I155" s="14" t="n">
        <v>45</v>
      </c>
      <c r="J155" s="29" t="n"/>
    </row>
    <row r="156">
      <c r="A156" s="109">
        <f>RIGHT(D156,4)</f>
        <v/>
      </c>
      <c r="B156" s="35" t="inlineStr">
        <is>
          <t>БАЛЫК И ШЕЙКА с/в с/н мгс 1/90 8шт.</t>
        </is>
      </c>
      <c r="C156" s="50" t="inlineStr">
        <is>
          <t>ШТ</t>
        </is>
      </c>
      <c r="D156" s="51" t="n">
        <v>1001225406754</v>
      </c>
      <c r="E156" s="24" t="n"/>
      <c r="F156" s="23" t="n">
        <v>0.09</v>
      </c>
      <c r="G156" s="23">
        <f>E156*F156</f>
        <v/>
      </c>
      <c r="H156" s="14" t="n">
        <v>0.72</v>
      </c>
      <c r="I156" s="14" t="n">
        <v>60</v>
      </c>
      <c r="J156" s="29" t="n"/>
    </row>
    <row r="157">
      <c r="A157" s="109">
        <f>RIGHT(D157,4)</f>
        <v/>
      </c>
      <c r="B157" s="35" t="inlineStr">
        <is>
          <t>КОРЕЙКА ПО-ОСТ.к/в в/с с/н в/у 1/150_45с</t>
        </is>
      </c>
      <c r="C157" s="50" t="inlineStr">
        <is>
          <t>ШТ</t>
        </is>
      </c>
      <c r="D157" s="51" t="n">
        <v>1001220286279</v>
      </c>
      <c r="E157" s="24" t="n">
        <v>85</v>
      </c>
      <c r="F157" s="23" t="n">
        <v>0.15</v>
      </c>
      <c r="G157" s="23">
        <f>E157*F157</f>
        <v/>
      </c>
      <c r="H157" s="14" t="n">
        <v>1.2</v>
      </c>
      <c r="I157" s="14" t="n">
        <v>45</v>
      </c>
      <c r="J157" s="29" t="n"/>
    </row>
    <row r="158" ht="15.75" customHeight="1" s="104" thickBot="1">
      <c r="A158" s="109">
        <f>RIGHT(D158,4)</f>
        <v/>
      </c>
      <c r="B158" s="35" t="inlineStr">
        <is>
          <t>БАЛЫК с/к с/н в/у 1/100 10шт_Л11</t>
        </is>
      </c>
      <c r="C158" s="50" t="inlineStr">
        <is>
          <t>ШТ</t>
        </is>
      </c>
      <c r="D158" s="51" t="n">
        <v>1001453907612</v>
      </c>
      <c r="E158" s="24" t="n"/>
      <c r="F158" s="23" t="n">
        <v>0.1</v>
      </c>
      <c r="G158" s="23">
        <f>E158*F158</f>
        <v/>
      </c>
      <c r="H158" s="14" t="n">
        <v>1</v>
      </c>
      <c r="I158" s="14" t="n">
        <v>60</v>
      </c>
      <c r="J158" s="52" t="inlineStr">
        <is>
          <t>Ротация кода 7288</t>
        </is>
      </c>
    </row>
    <row r="159" ht="16.5" customHeight="1" s="104" thickBot="1" thickTop="1">
      <c r="A159" s="48" t="n"/>
      <c r="B159" s="45" t="inlineStr">
        <is>
          <t>ВСЕГО:</t>
        </is>
      </c>
      <c r="C159" s="16" t="n"/>
      <c r="D159" s="36" t="n"/>
      <c r="E159" s="17">
        <f>SUM(E10:E158)</f>
        <v/>
      </c>
      <c r="F159" s="17" t="n"/>
      <c r="G159" s="17">
        <f>SUM(G11:G158)</f>
        <v/>
      </c>
      <c r="H159" s="17" t="n"/>
      <c r="I159" s="17" t="n"/>
      <c r="J159" s="17" t="n"/>
    </row>
    <row r="160" ht="15.75" customHeight="1" s="104" thickTop="1">
      <c r="B160" s="37" t="n"/>
      <c r="C160" s="18" t="n"/>
      <c r="D160" s="40" t="n"/>
      <c r="F160" s="19" t="n"/>
      <c r="G160" s="19" t="n"/>
      <c r="H160" s="20" t="n"/>
      <c r="I160" s="20" t="n"/>
      <c r="J160" s="21" t="n"/>
    </row>
    <row r="161">
      <c r="B161" s="37" t="n"/>
      <c r="C161" s="18" t="n"/>
      <c r="D161" s="40" t="n"/>
      <c r="F161" s="19" t="n"/>
      <c r="G161" s="19" t="n"/>
      <c r="H161" s="20" t="n"/>
      <c r="I161" s="20" t="n"/>
      <c r="J161" s="21" t="n"/>
    </row>
    <row r="162">
      <c r="B162" s="37" t="n"/>
      <c r="C162" s="18" t="n"/>
      <c r="D162" s="40" t="n"/>
      <c r="F162" s="19" t="n"/>
      <c r="G162" s="19" t="n"/>
      <c r="H162" s="20" t="n"/>
      <c r="I162" s="20" t="n"/>
      <c r="J162" s="21" t="n"/>
    </row>
    <row r="163">
      <c r="B163" s="37" t="n"/>
      <c r="C163" s="18" t="n"/>
      <c r="D163" s="40" t="n"/>
      <c r="F163" s="19" t="n"/>
      <c r="G163" s="19" t="n"/>
      <c r="H163" s="20" t="n"/>
      <c r="I163" s="20" t="n"/>
      <c r="J163" s="21" t="n"/>
    </row>
    <row r="164">
      <c r="B164" s="37" t="n"/>
      <c r="C164" s="18" t="n"/>
      <c r="D164" s="40" t="n"/>
      <c r="F164" s="19" t="n"/>
      <c r="G164" s="19" t="n"/>
      <c r="H164" s="20" t="n"/>
      <c r="I164" s="20" t="n"/>
      <c r="J164" s="21" t="n"/>
    </row>
    <row r="165">
      <c r="B165" s="37" t="n"/>
      <c r="C165" s="18" t="n"/>
      <c r="D165" s="40" t="n"/>
      <c r="F165" s="19" t="n"/>
      <c r="G165" s="19" t="n"/>
      <c r="H165" s="20" t="n"/>
      <c r="I165" s="20" t="n"/>
      <c r="J165" s="21" t="n"/>
    </row>
    <row r="166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40" t="n"/>
      <c r="F174" s="19" t="n"/>
      <c r="G174" s="19" t="n"/>
      <c r="H174" s="20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</sheetData>
  <autoFilter ref="A9:J133"/>
  <mergeCells count="2">
    <mergeCell ref="E1:J1"/>
    <mergeCell ref="G3:J3"/>
  </mergeCells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04" min="3" max="3"/>
    <col width="68.42578125" bestFit="1" customWidth="1" style="104" min="4" max="4"/>
    <col width="43.5703125" bestFit="1" customWidth="1" style="104" min="5" max="5"/>
  </cols>
  <sheetData>
    <row r="2" ht="21" customHeight="1" s="104">
      <c r="B2" s="75" t="n">
        <v>7523</v>
      </c>
      <c r="C2" s="58" t="n">
        <v>1001012427523</v>
      </c>
      <c r="D2" s="59" t="inlineStr">
        <is>
          <t>ГОВЯЖЬЯ Папа может вар п/о 0.4кг 6шт.</t>
        </is>
      </c>
      <c r="E2" s="74" t="inlineStr">
        <is>
          <t>Новинка, ротация</t>
        </is>
      </c>
      <c r="F2" s="72" t="inlineStr">
        <is>
          <t>ШТ</t>
        </is>
      </c>
      <c r="G2" s="73" t="n">
        <v>0.4</v>
      </c>
    </row>
    <row r="3" ht="21" customHeight="1" s="104">
      <c r="B3" s="75" t="n">
        <v>6220</v>
      </c>
      <c r="C3" s="60" t="n">
        <v>1001012426220</v>
      </c>
      <c r="D3" s="61" t="inlineStr">
        <is>
          <t>ГОВЯЖЬЯ Папа может вар п/о</t>
        </is>
      </c>
      <c r="E3" s="61" t="n"/>
      <c r="F3" s="72" t="inlineStr">
        <is>
          <t>КГ</t>
        </is>
      </c>
      <c r="G3" s="73" t="n">
        <v>1</v>
      </c>
    </row>
    <row r="4" ht="21" customHeight="1" s="104">
      <c r="B4" s="75" t="n">
        <v>7539</v>
      </c>
      <c r="C4" s="64" t="n">
        <v>1001010017539</v>
      </c>
      <c r="D4" s="59" t="inlineStr">
        <is>
          <t>ДОКТОРСКАЯ ГОСТ Останкино вар п/о 0.35кг</t>
        </is>
      </c>
      <c r="E4" s="74" t="inlineStr">
        <is>
          <t>Новинка, ротация</t>
        </is>
      </c>
      <c r="F4" s="75" t="inlineStr">
        <is>
          <t>ШТ</t>
        </is>
      </c>
      <c r="G4" s="76" t="n">
        <v>0.35</v>
      </c>
    </row>
    <row r="5" ht="21" customHeight="1" s="104">
      <c r="B5" s="75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4" t="inlineStr">
        <is>
          <t>Новинка, ротация</t>
        </is>
      </c>
      <c r="F5" s="75" t="inlineStr">
        <is>
          <t>КГ</t>
        </is>
      </c>
      <c r="G5" s="76" t="n">
        <v>1</v>
      </c>
    </row>
    <row r="6" ht="21" customHeight="1" s="104">
      <c r="B6" s="75" t="n">
        <v>6340</v>
      </c>
      <c r="C6" s="69" t="n">
        <v>1001012816340</v>
      </c>
      <c r="D6" s="61" t="inlineStr">
        <is>
          <t>ДОМАШНИЙ РЕЦЕПТ Коровино 0.5кг 8шт.</t>
        </is>
      </c>
      <c r="E6" s="61" t="n"/>
      <c r="F6" s="75" t="inlineStr">
        <is>
          <t>ШТ</t>
        </is>
      </c>
      <c r="G6" s="76" t="n">
        <v>0.5</v>
      </c>
    </row>
    <row r="7" ht="21" customHeight="1" s="104">
      <c r="B7" s="75" t="n">
        <v>6861</v>
      </c>
      <c r="C7" s="69" t="n">
        <v>1001015646861</v>
      </c>
      <c r="D7" s="61" t="inlineStr">
        <is>
          <t>ДОМАШНИЙ РЕЦЕПТ Коровино вар п/о</t>
        </is>
      </c>
      <c r="E7" s="61" t="n"/>
      <c r="F7" s="75" t="inlineStr">
        <is>
          <t>КГ</t>
        </is>
      </c>
      <c r="G7" s="76" t="n">
        <v>1</v>
      </c>
    </row>
    <row r="8" ht="21" customHeight="1" s="104">
      <c r="B8" s="75" t="n">
        <v>6862</v>
      </c>
      <c r="C8" s="69" t="n">
        <v>1001015706862</v>
      </c>
      <c r="D8" s="61" t="inlineStr">
        <is>
          <t>ДОМАШНИЙ РЕЦЕПТ СО ШПИК.Коровино вар п/о</t>
        </is>
      </c>
      <c r="E8" s="61" t="n"/>
      <c r="F8" s="75" t="inlineStr">
        <is>
          <t>КГ</t>
        </is>
      </c>
      <c r="G8" s="76" t="n">
        <v>1</v>
      </c>
    </row>
    <row r="9" ht="21" customHeight="1" s="104">
      <c r="B9" s="75" t="n">
        <v>6341</v>
      </c>
      <c r="C9" s="69" t="n">
        <v>1001012816341</v>
      </c>
      <c r="D9" s="61" t="inlineStr">
        <is>
          <t>ДОМАШНИЙ РЕЦЕПТ СО ШПИКОМ Коровино 0.5кг</t>
        </is>
      </c>
      <c r="E9" s="61" t="n"/>
      <c r="F9" s="75" t="inlineStr">
        <is>
          <t>ШТ</t>
        </is>
      </c>
      <c r="G9" s="76" t="n">
        <v>0.5</v>
      </c>
    </row>
    <row r="10" ht="21" customHeight="1" s="104">
      <c r="B10" s="75" t="n">
        <v>6498</v>
      </c>
      <c r="C10" s="69" t="n">
        <v>1001012456498</v>
      </c>
      <c r="D10" s="61" t="inlineStr">
        <is>
          <t>МОЛОЧНАЯ Папа может вар п/о</t>
        </is>
      </c>
      <c r="E10" s="61" t="n"/>
      <c r="F10" s="75" t="inlineStr">
        <is>
          <t>КГ</t>
        </is>
      </c>
      <c r="G10" s="76" t="n">
        <v>1</v>
      </c>
    </row>
    <row r="11" ht="21" customHeight="1" s="104">
      <c r="B11" s="75" t="n">
        <v>4063</v>
      </c>
      <c r="C11" s="69" t="n">
        <v>1001012484063</v>
      </c>
      <c r="D11" s="61" t="inlineStr">
        <is>
          <t>МЯСНАЯ Папа может вар п/о</t>
        </is>
      </c>
      <c r="E11" s="61" t="n"/>
      <c r="F11" s="75" t="inlineStr">
        <is>
          <t>КГ</t>
        </is>
      </c>
      <c r="G11" s="76" t="n">
        <v>1</v>
      </c>
    </row>
    <row r="12" ht="21" customHeight="1" s="104">
      <c r="B12" s="75" t="n">
        <v>6333</v>
      </c>
      <c r="C12" s="69" t="n">
        <v>1001012486333</v>
      </c>
      <c r="D12" s="61" t="inlineStr">
        <is>
          <t>МЯСНАЯ Папа может вар п/о 0.4кг 8шт.</t>
        </is>
      </c>
      <c r="E12" s="61" t="n"/>
      <c r="F12" s="75" t="inlineStr">
        <is>
          <t>ШТ</t>
        </is>
      </c>
      <c r="G12" s="76" t="n">
        <v>0.4</v>
      </c>
    </row>
    <row r="13" ht="21" customHeight="1" s="104">
      <c r="B13" s="75" t="n">
        <v>4574</v>
      </c>
      <c r="C13" s="69" t="n">
        <v>1001012634574</v>
      </c>
      <c r="D13" s="61" t="inlineStr">
        <is>
          <t>МЯСНАЯ СО ШПИКОМ Папа может вар п/о</t>
        </is>
      </c>
      <c r="E13" s="61" t="n"/>
      <c r="F13" s="75" t="inlineStr">
        <is>
          <t>КГ</t>
        </is>
      </c>
      <c r="G13" s="76" t="n">
        <v>1</v>
      </c>
    </row>
    <row r="14" ht="21" customHeight="1" s="104">
      <c r="B14" s="75" t="n">
        <v>7334</v>
      </c>
      <c r="C14" s="69" t="n">
        <v>1001012637334</v>
      </c>
      <c r="D14" s="61" t="inlineStr">
        <is>
          <t>МЯСНАЯ СО ШПИКОМ ПМ вар п/о 0.4кг 8шт.</t>
        </is>
      </c>
      <c r="E14" s="61" t="n"/>
      <c r="F14" s="75" t="inlineStr">
        <is>
          <t>ШТ</t>
        </is>
      </c>
      <c r="G14" s="76" t="n">
        <v>0.4</v>
      </c>
    </row>
    <row r="15" ht="21" customHeight="1" s="104">
      <c r="B15" s="75" t="n">
        <v>4813</v>
      </c>
      <c r="C15" s="69" t="n">
        <v>1001012564813</v>
      </c>
      <c r="D15" s="61" t="inlineStr">
        <is>
          <t>ФИЛЕЙНАЯ Папа может вар п/о</t>
        </is>
      </c>
      <c r="E15" s="61" t="n"/>
      <c r="F15" s="75" t="inlineStr">
        <is>
          <t>КГ</t>
        </is>
      </c>
      <c r="G15" s="76" t="n">
        <v>1</v>
      </c>
    </row>
    <row r="16" ht="21" customHeight="1" s="104">
      <c r="B16" s="75" t="n">
        <v>6392</v>
      </c>
      <c r="C16" s="69" t="n">
        <v>1001012566392</v>
      </c>
      <c r="D16" s="61" t="inlineStr">
        <is>
          <t>ФИЛЕЙНАЯ Папа может вар п/о 0.4кг</t>
        </is>
      </c>
      <c r="E16" s="61" t="n"/>
      <c r="F16" s="75" t="inlineStr">
        <is>
          <t>ШТ</t>
        </is>
      </c>
      <c r="G16" s="76" t="n">
        <v>0.4</v>
      </c>
    </row>
    <row r="17" ht="21" customHeight="1" s="104">
      <c r="B17" s="75" t="n">
        <v>5851</v>
      </c>
      <c r="C17" s="69" t="n">
        <v>1001012505851</v>
      </c>
      <c r="D17" s="61" t="inlineStr">
        <is>
          <t>ЭКСТРА Папа может вар п/о</t>
        </is>
      </c>
      <c r="E17" s="61" t="n"/>
      <c r="F17" s="75" t="inlineStr">
        <is>
          <t>КГ</t>
        </is>
      </c>
      <c r="G17" s="76" t="n">
        <v>1</v>
      </c>
    </row>
    <row r="18" ht="21" customHeight="1" s="104">
      <c r="B18" s="75" t="n">
        <v>6353</v>
      </c>
      <c r="C18" s="69" t="n">
        <v>1001012506353</v>
      </c>
      <c r="D18" s="61" t="inlineStr">
        <is>
          <t>ЭКСТРА Папа может вар п/о 0.4кг 8шт.</t>
        </is>
      </c>
      <c r="E18" s="71" t="inlineStr">
        <is>
          <t>Ротация на код 7632</t>
        </is>
      </c>
      <c r="F18" s="75" t="inlineStr">
        <is>
          <t>ШТ</t>
        </is>
      </c>
      <c r="G18" s="76" t="n">
        <v>0.4</v>
      </c>
    </row>
    <row r="19" ht="21" customHeight="1" s="104">
      <c r="B19" s="75" t="n">
        <v>4561</v>
      </c>
      <c r="C19" s="69" t="n">
        <v>1001010014561</v>
      </c>
      <c r="D19" s="61" t="inlineStr">
        <is>
          <t>ДОКТОРСКАЯ ГОСТ Папа может вар п/о</t>
        </is>
      </c>
      <c r="E19" s="61" t="n"/>
      <c r="F19" s="75" t="inlineStr">
        <is>
          <t>КГ</t>
        </is>
      </c>
      <c r="G19" s="76" t="n">
        <v>1</v>
      </c>
    </row>
    <row r="20" ht="21" customHeight="1" s="104">
      <c r="B20" s="75" t="n">
        <v>7555</v>
      </c>
      <c r="C20" s="64" t="n">
        <v>1001012497555</v>
      </c>
      <c r="D20" s="59" t="inlineStr">
        <is>
          <t>ДОКТОРСКАЯ ПО-ОСТАНКИНСКИ вар б/о в/у</t>
        </is>
      </c>
      <c r="E20" s="74" t="inlineStr">
        <is>
          <t>Новинка, ротация</t>
        </is>
      </c>
      <c r="F20" s="75" t="inlineStr">
        <is>
          <t>КГ</t>
        </is>
      </c>
      <c r="G20" s="76" t="n">
        <v>1</v>
      </c>
    </row>
    <row r="21" ht="21" customHeight="1" s="104">
      <c r="B21" s="75" t="n">
        <v>6325</v>
      </c>
      <c r="C21" s="69" t="n">
        <v>1001010106325</v>
      </c>
      <c r="D21" s="61" t="inlineStr">
        <is>
          <t>ДОКТОРСКАЯ ПРЕМИУМ вар п/о 0.4кг 8шт.</t>
        </is>
      </c>
      <c r="E21" s="61" t="n"/>
      <c r="F21" s="75" t="inlineStr">
        <is>
          <t>ШТ</t>
        </is>
      </c>
      <c r="G21" s="76" t="n">
        <v>0.4</v>
      </c>
    </row>
    <row r="22" ht="21" customHeight="1" s="104">
      <c r="B22" s="75" t="n">
        <v>7556</v>
      </c>
      <c r="C22" s="64" t="n">
        <v>1001017597556</v>
      </c>
      <c r="D22" s="59" t="inlineStr">
        <is>
          <t>РУССКАЯ ПО-ОСТАНКИНСКИ вар б/о в/у</t>
        </is>
      </c>
      <c r="E22" s="74" t="inlineStr">
        <is>
          <t>Новинка, ротация</t>
        </is>
      </c>
      <c r="F22" s="75" t="inlineStr">
        <is>
          <t>КГ</t>
        </is>
      </c>
      <c r="G22" s="76" t="n">
        <v>1</v>
      </c>
    </row>
    <row r="23" ht="21" customHeight="1" s="104">
      <c r="B23" s="75" t="n">
        <v>7303</v>
      </c>
      <c r="C23" s="69" t="n">
        <v>1001010857303</v>
      </c>
      <c r="D23" s="61" t="inlineStr">
        <is>
          <t>РУССКАЯ ПРЕМИУМ ПМ вар п/о</t>
        </is>
      </c>
      <c r="E23" s="61" t="n"/>
      <c r="F23" s="75" t="inlineStr">
        <is>
          <t>КГ</t>
        </is>
      </c>
      <c r="G23" s="76" t="n">
        <v>1</v>
      </c>
    </row>
    <row r="24" ht="21" customHeight="1" s="104">
      <c r="B24" s="75" t="n">
        <v>8014</v>
      </c>
      <c r="C24" s="69" t="n">
        <v>1001010108014</v>
      </c>
      <c r="D24" s="61" t="inlineStr">
        <is>
          <t>ДОКТОРСКАЯ ПРЕМИУМ вар п/о(п)</t>
        </is>
      </c>
      <c r="E24" s="61" t="n"/>
      <c r="F24" s="75" t="inlineStr">
        <is>
          <t>КГ</t>
        </is>
      </c>
      <c r="G24" s="76" t="n">
        <v>1</v>
      </c>
    </row>
    <row r="25" ht="21" customHeight="1" s="104">
      <c r="B25" s="75" t="n">
        <v>7343</v>
      </c>
      <c r="C25" s="69" t="n">
        <v>1001016747343</v>
      </c>
      <c r="D25" s="61" t="inlineStr">
        <is>
          <t>СЕЙЧАС СЕЗОН ПМ вар п/о 0.4кг</t>
        </is>
      </c>
      <c r="E25" s="61" t="n"/>
      <c r="F25" s="75" t="inlineStr">
        <is>
          <t>ШТ</t>
        </is>
      </c>
      <c r="G25" s="76" t="n">
        <v>0.4</v>
      </c>
    </row>
    <row r="26" ht="21" customHeight="1" s="104">
      <c r="B26" s="75" t="n">
        <v>6797</v>
      </c>
      <c r="C26" s="69" t="n">
        <v>1001015026797</v>
      </c>
      <c r="D26" s="61" t="inlineStr">
        <is>
          <t>С ИНДЕЙКОЙ Папа может вар п/о 0.4кг 8шт.</t>
        </is>
      </c>
      <c r="E26" s="61" t="n"/>
      <c r="F26" s="75" t="inlineStr">
        <is>
          <t>ШТ</t>
        </is>
      </c>
      <c r="G26" s="76" t="n">
        <v>0.4</v>
      </c>
    </row>
    <row r="27" ht="21" customHeight="1" s="104">
      <c r="B27" s="75" t="n">
        <v>7231</v>
      </c>
      <c r="C27" s="69" t="n">
        <v>1001013957231</v>
      </c>
      <c r="D27" s="61" t="inlineStr">
        <is>
          <t>КЛАССИЧЕСКАЯ ПМ вар п/о 0.3кг 8шт_209к</t>
        </is>
      </c>
      <c r="E27" s="61" t="n"/>
      <c r="F27" s="75" t="inlineStr">
        <is>
          <t>ШТ</t>
        </is>
      </c>
      <c r="G27" s="76" t="n">
        <v>0.3</v>
      </c>
    </row>
    <row r="28" ht="23.25" customHeight="1" s="104">
      <c r="B28" s="77" t="n"/>
      <c r="C28" s="77" t="n"/>
      <c r="D28" s="78" t="inlineStr">
        <is>
          <t>Ветчины</t>
        </is>
      </c>
      <c r="E28" s="78" t="n"/>
      <c r="F28" s="79" t="n"/>
      <c r="G28" s="80" t="n"/>
    </row>
    <row r="29" ht="21" customHeight="1" s="104">
      <c r="B29" s="69" t="n">
        <v>4584</v>
      </c>
      <c r="C29" s="69" t="n">
        <v>1001092674584</v>
      </c>
      <c r="D29" s="83" t="inlineStr">
        <is>
          <t xml:space="preserve">ВЕТЧ.ИЗ ЛОПАТКИ Папа может п/о_HRC </t>
        </is>
      </c>
      <c r="E29" s="83" t="n"/>
      <c r="F29" s="75" t="inlineStr">
        <is>
          <t>КГ</t>
        </is>
      </c>
      <c r="G29" s="76" t="n">
        <v>1</v>
      </c>
    </row>
    <row r="30" ht="21" customHeight="1" s="104">
      <c r="B30" s="75" t="n">
        <v>6495</v>
      </c>
      <c r="C30" s="69" t="n">
        <v>1001092436495</v>
      </c>
      <c r="D30" s="83" t="inlineStr">
        <is>
          <t>ВЕТЧ.МРАМОРНАЯ в/у срез 0.3кг 6шт_45с</t>
        </is>
      </c>
      <c r="E30" s="83" t="n"/>
      <c r="F30" s="75" t="inlineStr">
        <is>
          <t>ШТ</t>
        </is>
      </c>
      <c r="G30" s="76" t="n">
        <v>0.3</v>
      </c>
    </row>
    <row r="31" ht="21" customHeight="1" s="104">
      <c r="B31" s="82" t="n">
        <v>6470</v>
      </c>
      <c r="C31" s="85" t="n">
        <v>1001092436470</v>
      </c>
      <c r="D31" s="86" t="inlineStr">
        <is>
          <t>ВЕТЧ.МРАМОРНАЯ в/у_45с</t>
        </is>
      </c>
      <c r="E31" s="86" t="n"/>
      <c r="F31" s="75" t="inlineStr">
        <is>
          <t>КГ</t>
        </is>
      </c>
      <c r="G31" s="76" t="n">
        <v>1</v>
      </c>
    </row>
    <row r="32" ht="21" customHeight="1" s="104">
      <c r="B32" s="75" t="n">
        <v>5452</v>
      </c>
      <c r="C32" s="69" t="n">
        <v>1001092485452</v>
      </c>
      <c r="D32" s="83" t="inlineStr">
        <is>
          <t>ВЕТЧ.МЯСНАЯ Папа может п/о</t>
        </is>
      </c>
      <c r="E32" s="83" t="n"/>
      <c r="F32" s="75" t="inlineStr">
        <is>
          <t>КГ</t>
        </is>
      </c>
      <c r="G32" s="76" t="n">
        <v>1</v>
      </c>
    </row>
    <row r="33" ht="21" customHeight="1" s="104">
      <c r="B33" s="75" t="n">
        <v>3215</v>
      </c>
      <c r="C33" s="69" t="n">
        <v>1001094053215</v>
      </c>
      <c r="D33" s="83" t="inlineStr">
        <is>
          <t>ВЕТЧ.МЯСНАЯ Папа может п/о 0.4кг 8шт.</t>
        </is>
      </c>
      <c r="E33" s="83" t="n"/>
      <c r="F33" s="75" t="inlineStr">
        <is>
          <t>ШТ</t>
        </is>
      </c>
      <c r="G33" s="76" t="n">
        <v>0.4</v>
      </c>
    </row>
    <row r="34" ht="21" customHeight="1" s="104">
      <c r="B34" s="69" t="n">
        <v>6866</v>
      </c>
      <c r="C34" s="69" t="n">
        <v>1001095716866</v>
      </c>
      <c r="D34" s="83" t="inlineStr">
        <is>
          <t>ВЕТЧ.НЕЖНАЯ Коровино п/о_Маяк</t>
        </is>
      </c>
      <c r="E34" s="83" t="n"/>
      <c r="F34" s="75" t="inlineStr">
        <is>
          <t>КГ</t>
        </is>
      </c>
      <c r="G34" s="76" t="n">
        <v>1</v>
      </c>
    </row>
    <row r="35" ht="21" customHeight="1" s="104">
      <c r="B35" s="75" t="n">
        <v>5495</v>
      </c>
      <c r="C35" s="69" t="n">
        <v>1001093345495</v>
      </c>
      <c r="D35" s="83" t="inlineStr">
        <is>
          <t>ВЕТЧ.С ИНДЕЙКОЙ Папа может п/о 400*6</t>
        </is>
      </c>
      <c r="E35" s="83" t="n"/>
      <c r="F35" s="75" t="inlineStr">
        <is>
          <t>ШТ</t>
        </is>
      </c>
      <c r="G35" s="76" t="n">
        <v>0.4</v>
      </c>
    </row>
    <row r="36" ht="21" customHeight="1" s="104">
      <c r="B36" s="75" t="n">
        <v>7377</v>
      </c>
      <c r="C36" s="69" t="n">
        <v>1001095027377</v>
      </c>
      <c r="D36" s="83" t="inlineStr">
        <is>
          <t>ВЕТЧ.С ИНДЕЙКОЙ ПМ в/у срез 0.3кг 6шт.</t>
        </is>
      </c>
      <c r="E36" s="61" t="n"/>
      <c r="F36" s="75" t="inlineStr">
        <is>
          <t>ШТ</t>
        </is>
      </c>
      <c r="G36" s="76" t="n">
        <v>0.3</v>
      </c>
    </row>
    <row r="37" ht="21" customHeight="1" s="104">
      <c r="B37" s="75" t="n">
        <v>6925</v>
      </c>
      <c r="C37" s="69" t="n">
        <v>1001095226925</v>
      </c>
      <c r="D37" s="61" t="inlineStr">
        <is>
          <t xml:space="preserve">ВЕТЧ.КЛАССИЧЕСКАЯ в/у 0.6кг 8шт. </t>
        </is>
      </c>
      <c r="E37" s="84" t="n"/>
      <c r="F37" s="75" t="inlineStr">
        <is>
          <t>ШТ</t>
        </is>
      </c>
      <c r="G37" s="76" t="n">
        <v>0.6</v>
      </c>
    </row>
    <row r="38" ht="21" customHeight="1" s="104">
      <c r="B38" s="75" t="n">
        <v>6025</v>
      </c>
      <c r="C38" s="69" t="n">
        <v>1001094966025</v>
      </c>
      <c r="D38" s="83" t="inlineStr">
        <is>
          <t>ВЕТЧ.ФИРМЕННАЯ С ИНДЕЙКОЙ п/о</t>
        </is>
      </c>
      <c r="E38" s="83" t="n"/>
      <c r="F38" s="75" t="inlineStr">
        <is>
          <t>КГ</t>
        </is>
      </c>
      <c r="G38" s="76" t="n">
        <v>1</v>
      </c>
    </row>
    <row r="39" ht="23.25" customHeight="1" s="104">
      <c r="B39" s="77" t="n"/>
      <c r="C39" s="77" t="n"/>
      <c r="D39" s="78" t="inlineStr">
        <is>
          <t>Копчености в/к</t>
        </is>
      </c>
      <c r="E39" s="78" t="n"/>
      <c r="F39" s="79" t="n"/>
      <c r="G39" s="80" t="n"/>
    </row>
    <row r="40" ht="21" customHeight="1" s="104">
      <c r="B40" s="82" t="n">
        <v>7090</v>
      </c>
      <c r="C40" s="85" t="n">
        <v>1001084217090</v>
      </c>
      <c r="D40" s="86" t="inlineStr">
        <is>
          <t>СВИНИНА ПО-ДОМ. к/в мл/к в/у 0.3кг_50с</t>
        </is>
      </c>
      <c r="E40" s="86" t="n"/>
      <c r="F40" s="72" t="inlineStr">
        <is>
          <t>ШТ</t>
        </is>
      </c>
      <c r="G40" s="73" t="n">
        <v>0.3</v>
      </c>
    </row>
    <row r="41" ht="21" customHeight="1" s="104">
      <c r="B41" s="75" t="n">
        <v>7187</v>
      </c>
      <c r="C41" s="60" t="n">
        <v>1001085637187</v>
      </c>
      <c r="D41" s="61" t="inlineStr">
        <is>
          <t>ГРУДИНКА ПРЕМИУМ к/в мл/к в/у 0.3кг_50с</t>
        </is>
      </c>
      <c r="E41" s="61" t="n"/>
      <c r="F41" s="72" t="inlineStr">
        <is>
          <t>ШТ</t>
        </is>
      </c>
      <c r="G41" s="73" t="n">
        <v>0.3</v>
      </c>
    </row>
    <row r="42" ht="21" customHeight="1" s="104">
      <c r="B42" s="75" t="n">
        <v>6620</v>
      </c>
      <c r="C42" s="60" t="n">
        <v>1001081596620</v>
      </c>
      <c r="D42" s="61" t="inlineStr">
        <is>
          <t>РЕБРЫШКИ к/в в/у_30c</t>
        </is>
      </c>
      <c r="E42" s="61" t="n"/>
      <c r="F42" s="72" t="inlineStr">
        <is>
          <t>КГ</t>
        </is>
      </c>
      <c r="G42" s="73" t="n">
        <v>1</v>
      </c>
    </row>
    <row r="43" ht="23.25" customHeight="1" s="104">
      <c r="B43" s="87" t="n"/>
      <c r="C43" s="77" t="n"/>
      <c r="D43" s="78" t="inlineStr">
        <is>
          <t>Копченые колбасы</t>
        </is>
      </c>
      <c r="E43" s="78" t="n"/>
      <c r="F43" s="79" t="n"/>
      <c r="G43" s="80" t="n"/>
    </row>
    <row r="44" ht="21" customHeight="1" s="104">
      <c r="B44" s="75" t="n">
        <v>7564</v>
      </c>
      <c r="C44" s="69" t="n">
        <v>1001303637564</v>
      </c>
      <c r="D44" s="61" t="inlineStr">
        <is>
          <t>БАЛЫКОВАЯ Останкино в/к в/у</t>
        </is>
      </c>
      <c r="E44" s="74" t="inlineStr">
        <is>
          <t>Новинка, ротация</t>
        </is>
      </c>
      <c r="F44" s="75" t="inlineStr">
        <is>
          <t>КГ</t>
        </is>
      </c>
      <c r="G44" s="76" t="n">
        <v>1</v>
      </c>
    </row>
    <row r="45" ht="21" customHeight="1" s="104">
      <c r="B45" s="75" t="n">
        <v>7603</v>
      </c>
      <c r="C45" s="69" t="n">
        <v>1001303637603</v>
      </c>
      <c r="D45" s="61" t="inlineStr">
        <is>
          <t>БАЛЫКОВАЯ Останкино в/к в/у 0.33кг 8шт.</t>
        </is>
      </c>
      <c r="E45" s="74" t="inlineStr">
        <is>
          <t>Новинка, ротация</t>
        </is>
      </c>
      <c r="F45" s="75" t="inlineStr">
        <is>
          <t>ШТ</t>
        </is>
      </c>
      <c r="G45" s="76" t="n">
        <v>0.33</v>
      </c>
    </row>
    <row r="46" ht="21" customHeight="1" s="104">
      <c r="B46" s="75" t="n">
        <v>7149</v>
      </c>
      <c r="C46" s="60" t="n">
        <v>1001303637149</v>
      </c>
      <c r="D46" s="61" t="inlineStr">
        <is>
          <t>БАЛЫКОВАЯ Коровино п/к в/у 0.84кг_50с</t>
        </is>
      </c>
      <c r="E46" s="61" t="n"/>
      <c r="F46" s="75" t="inlineStr">
        <is>
          <t>ШТ</t>
        </is>
      </c>
      <c r="G46" s="76" t="n">
        <v>0.84</v>
      </c>
    </row>
    <row r="47" ht="21" customHeight="1" s="104">
      <c r="B47" s="82" t="n">
        <v>7233</v>
      </c>
      <c r="C47" s="85" t="n">
        <v>1001303637233</v>
      </c>
      <c r="D47" s="86" t="inlineStr">
        <is>
          <t>БАЛЫКОВАЯ ПМ п/к в/у 0.31кг 8шт_209к</t>
        </is>
      </c>
      <c r="E47" s="86" t="n"/>
      <c r="F47" s="75" t="inlineStr">
        <is>
          <t>ШТ</t>
        </is>
      </c>
      <c r="G47" s="76" t="n">
        <v>0.31</v>
      </c>
    </row>
    <row r="48" ht="21" customHeight="1" s="104">
      <c r="B48" s="82" t="n">
        <v>7232</v>
      </c>
      <c r="C48" s="85" t="n">
        <v>1001302277232</v>
      </c>
      <c r="D48" s="86" t="inlineStr">
        <is>
          <t>БОЯNСКАЯ ПМ п/к в/у 0.28кг 8шт_209к</t>
        </is>
      </c>
      <c r="E48" s="86" t="n"/>
      <c r="F48" s="75" t="inlineStr">
        <is>
          <t>ШТ</t>
        </is>
      </c>
      <c r="G48" s="76" t="n">
        <v>0.28</v>
      </c>
    </row>
    <row r="49" ht="21" customHeight="1" s="104">
      <c r="B49" s="82" t="n">
        <v>7241</v>
      </c>
      <c r="C49" s="85" t="n">
        <v>1001303107241</v>
      </c>
      <c r="D49" s="86" t="inlineStr">
        <is>
          <t>САЛЯМИ Папа может п/к в/у 0.28кг_209к</t>
        </is>
      </c>
      <c r="E49" s="86" t="n"/>
      <c r="F49" s="75" t="inlineStr">
        <is>
          <t>ШТ</t>
        </is>
      </c>
      <c r="G49" s="76" t="n">
        <v>0.28</v>
      </c>
    </row>
    <row r="50" ht="21" customHeight="1" s="104">
      <c r="B50" s="75" t="n">
        <v>7133</v>
      </c>
      <c r="C50" s="69" t="n">
        <v>1001300367133</v>
      </c>
      <c r="D50" s="61" t="inlineStr">
        <is>
          <t>СЕРВЕЛАТ ЕВРОПЕЙСКИЙ в/к в/у 0.84кг</t>
        </is>
      </c>
      <c r="E50" s="61" t="n"/>
      <c r="F50" s="75" t="inlineStr">
        <is>
          <t>КГ</t>
        </is>
      </c>
      <c r="G50" s="76" t="n">
        <v>1</v>
      </c>
    </row>
    <row r="51" ht="21" customHeight="1" s="104">
      <c r="B51" s="75" t="n">
        <v>6807</v>
      </c>
      <c r="C51" s="69" t="n">
        <v>1001300366807</v>
      </c>
      <c r="D51" s="61" t="inlineStr">
        <is>
          <t>СЕРВЕЛАТ ЕВРОПЕЙСКИЙ в/к в/у 0.33кг 8шт.</t>
        </is>
      </c>
      <c r="E51" s="61" t="n"/>
      <c r="F51" s="75" t="inlineStr">
        <is>
          <t>ШТ</t>
        </is>
      </c>
      <c r="G51" s="76" t="n">
        <v>0.33</v>
      </c>
    </row>
    <row r="52" ht="21" customHeight="1" s="104">
      <c r="B52" s="75" t="n">
        <v>7154</v>
      </c>
      <c r="C52" s="69" t="n">
        <v>1001300387154</v>
      </c>
      <c r="D52" s="61" t="inlineStr">
        <is>
          <t>СЕРВЕЛАТ ЗЕРНИСТЫЙ ПМ в/к в/у 0.35кг_50с</t>
        </is>
      </c>
      <c r="E52" s="61" t="n"/>
      <c r="F52" s="75" t="inlineStr">
        <is>
          <t>ШТ</t>
        </is>
      </c>
      <c r="G52" s="76" t="n">
        <v>0.35</v>
      </c>
    </row>
    <row r="53" ht="21" customHeight="1" s="104">
      <c r="B53" s="75" t="n">
        <v>7157</v>
      </c>
      <c r="C53" s="69" t="n">
        <v>1001300387157</v>
      </c>
      <c r="D53" s="61" t="inlineStr">
        <is>
          <t>СЕРВЕЛАТ ЗЕРНИСТЫЙ ПМ в/к в/у_50с</t>
        </is>
      </c>
      <c r="E53" s="61" t="n"/>
      <c r="F53" s="75" t="inlineStr">
        <is>
          <t>КГ</t>
        </is>
      </c>
      <c r="G53" s="76" t="n">
        <v>1</v>
      </c>
    </row>
    <row r="54" ht="21" customHeight="1" s="104">
      <c r="B54" s="82" t="n">
        <v>7236</v>
      </c>
      <c r="C54" s="85" t="n">
        <v>1001304507236</v>
      </c>
      <c r="D54" s="86" t="inlineStr">
        <is>
          <t>СЕРВЕЛАТ КАРЕЛЬСКИЙ в/к в/у 0.28кг_209к</t>
        </is>
      </c>
      <c r="E54" s="86" t="n"/>
      <c r="F54" s="75" t="inlineStr">
        <is>
          <t>ШТ</t>
        </is>
      </c>
      <c r="G54" s="76" t="n">
        <v>0.28</v>
      </c>
    </row>
    <row r="55" ht="21" customHeight="1" s="104">
      <c r="B55" s="75" t="n">
        <v>6787</v>
      </c>
      <c r="C55" s="69" t="n">
        <v>1001300456787</v>
      </c>
      <c r="D55" s="61" t="inlineStr">
        <is>
          <t>СЕРВЕЛАТ КРЕМЛЕВСКИЙ в/к в/у 0.33кг 8шт.</t>
        </is>
      </c>
      <c r="E55" s="61" t="n"/>
      <c r="F55" s="75" t="inlineStr">
        <is>
          <t>ШТ</t>
        </is>
      </c>
      <c r="G55" s="76" t="n">
        <v>0.33</v>
      </c>
    </row>
    <row r="56" ht="21" customHeight="1" s="104">
      <c r="B56" s="75" t="n">
        <v>7166</v>
      </c>
      <c r="C56" s="69" t="n">
        <v>1001303987166</v>
      </c>
      <c r="D56" s="61" t="inlineStr">
        <is>
          <t>СЕРВЕЛАТ ОХОТНИЧИЙ ПМ в/к в/у_50с</t>
        </is>
      </c>
      <c r="E56" s="61" t="n"/>
      <c r="F56" s="75" t="inlineStr">
        <is>
          <t>КГ</t>
        </is>
      </c>
      <c r="G56" s="76" t="n">
        <v>1</v>
      </c>
    </row>
    <row r="57" ht="21" customHeight="1" s="104">
      <c r="B57" s="75" t="n">
        <v>7169</v>
      </c>
      <c r="C57" s="60" t="n">
        <v>1001303987169</v>
      </c>
      <c r="D57" s="61" t="inlineStr">
        <is>
          <t>СЕРВЕЛАТ ОХОТНИЧИЙ ПМ в/к в/у 0.35кг_50с</t>
        </is>
      </c>
      <c r="E57" s="61" t="n"/>
      <c r="F57" s="75" t="inlineStr">
        <is>
          <t>ШТ</t>
        </is>
      </c>
      <c r="G57" s="76" t="n">
        <v>0.35</v>
      </c>
    </row>
    <row r="58" ht="21" customHeight="1" s="104">
      <c r="B58" s="75" t="n">
        <v>5544</v>
      </c>
      <c r="C58" s="69" t="n">
        <v>1001051875544</v>
      </c>
      <c r="D58" s="61" t="inlineStr">
        <is>
          <t>СЕРВЕЛАТ ФИНСКИЙ в/к в/у_45с</t>
        </is>
      </c>
      <c r="E58" s="61" t="n"/>
      <c r="F58" s="75" t="inlineStr">
        <is>
          <t>КГ</t>
        </is>
      </c>
      <c r="G58" s="76" t="n">
        <v>1</v>
      </c>
    </row>
    <row r="59" ht="21" customHeight="1" s="104">
      <c r="B59" s="75" t="n">
        <v>6697</v>
      </c>
      <c r="C59" s="69" t="n">
        <v>1001301876697</v>
      </c>
      <c r="D59" s="61" t="inlineStr">
        <is>
          <t>СЕРВЕЛАТ ФИНСКИЙ ПМ в/к в/у 0.35кг 8шт.</t>
        </is>
      </c>
      <c r="E59" s="61" t="n"/>
      <c r="F59" s="75" t="inlineStr">
        <is>
          <t>ШТ</t>
        </is>
      </c>
      <c r="G59" s="76" t="n">
        <v>0.35</v>
      </c>
    </row>
    <row r="60" ht="21" customHeight="1" s="104">
      <c r="B60" s="75" t="n">
        <v>7237</v>
      </c>
      <c r="C60" s="69" t="n">
        <v>1001304497237</v>
      </c>
      <c r="D60" s="61" t="inlineStr">
        <is>
          <t>СЕРВЕЛАТ ШВАРЦЕР ПМ в/к в/у 0.28кг_209к</t>
        </is>
      </c>
      <c r="E60" s="61" t="n"/>
      <c r="F60" s="75" t="inlineStr">
        <is>
          <t>ШТ</t>
        </is>
      </c>
      <c r="G60" s="76" t="n">
        <v>0.28</v>
      </c>
    </row>
    <row r="61" ht="21" customHeight="1" s="104">
      <c r="B61" s="75" t="n">
        <v>7238</v>
      </c>
      <c r="C61" s="69" t="n">
        <v>1001305197238</v>
      </c>
      <c r="D61" s="61" t="inlineStr">
        <is>
          <t>СЕРВЕЛАТ ОРЕХОВЫЙ в/к в/у 0.31кг_209к</t>
        </is>
      </c>
      <c r="E61" s="61" t="n"/>
      <c r="F61" s="75" t="inlineStr">
        <is>
          <t>ШТ</t>
        </is>
      </c>
      <c r="G61" s="76" t="n">
        <v>0.31</v>
      </c>
    </row>
    <row r="62" ht="21" customHeight="1" s="104">
      <c r="B62" s="75" t="n">
        <v>7177</v>
      </c>
      <c r="C62" s="69" t="n">
        <v>1001302347177</v>
      </c>
      <c r="D62" s="61" t="inlineStr">
        <is>
          <t>ЧЕСНОЧНАЯ ПМ п/к в/у 0.35кг 8шт_50с</t>
        </is>
      </c>
      <c r="E62" s="61" t="n"/>
      <c r="F62" s="75" t="inlineStr">
        <is>
          <t>ШТ</t>
        </is>
      </c>
      <c r="G62" s="76" t="n">
        <v>0.35</v>
      </c>
    </row>
    <row r="63" ht="21" customHeight="1" s="104">
      <c r="B63" s="82" t="n">
        <v>7332</v>
      </c>
      <c r="C63" s="85" t="n">
        <v>1001301777332</v>
      </c>
      <c r="D63" s="86" t="inlineStr">
        <is>
          <t>БОЯРСКАЯ ПМ п/к в/у 0.28кг_СНГ</t>
        </is>
      </c>
      <c r="E63" s="88" t="n"/>
      <c r="F63" s="72" t="inlineStr">
        <is>
          <t>ШТ</t>
        </is>
      </c>
      <c r="G63" s="73" t="n">
        <v>0.28</v>
      </c>
    </row>
    <row r="64" ht="21" customHeight="1" s="104">
      <c r="B64" s="82" t="n">
        <v>7333</v>
      </c>
      <c r="C64" s="85" t="n">
        <v>1001303987333</v>
      </c>
      <c r="D64" s="86" t="inlineStr">
        <is>
          <t>СЕРВЕЛАТ ОХОТНИЧИЙ ПМ в/к в/у 0.28кг_СНГ</t>
        </is>
      </c>
      <c r="E64" s="88" t="n"/>
      <c r="F64" s="72" t="inlineStr">
        <is>
          <t>ШТ</t>
        </is>
      </c>
      <c r="G64" s="73" t="n">
        <v>0.28</v>
      </c>
    </row>
    <row r="65" ht="23.25" customHeight="1" s="104">
      <c r="B65" s="87" t="n"/>
      <c r="C65" s="77" t="n"/>
      <c r="D65" s="78" t="inlineStr">
        <is>
          <t>Нарезка в/к колбас</t>
        </is>
      </c>
      <c r="E65" s="78" t="n"/>
      <c r="F65" s="79" t="n"/>
      <c r="G65" s="80" t="n"/>
    </row>
    <row r="66" ht="21" customHeight="1" s="104">
      <c r="B66" s="75" t="n">
        <v>6459</v>
      </c>
      <c r="C66" s="69" t="n">
        <v>1001214196459</v>
      </c>
      <c r="D66" s="61" t="inlineStr">
        <is>
          <t>СЕРВЕЛАТ ШВЕЙЦАРСК. в/к с/н в/у 1/100*10</t>
        </is>
      </c>
      <c r="E66" s="71" t="inlineStr">
        <is>
          <t>Ротация на код 7608</t>
        </is>
      </c>
      <c r="F66" s="75" t="inlineStr">
        <is>
          <t>ШТ</t>
        </is>
      </c>
      <c r="G66" s="76" t="n">
        <v>0.1</v>
      </c>
    </row>
    <row r="67" ht="21" customHeight="1" s="104">
      <c r="B67" s="75" t="n">
        <v>7474</v>
      </c>
      <c r="C67" s="69" t="n">
        <v>1001216717474</v>
      </c>
      <c r="D67" s="61" t="inlineStr">
        <is>
          <t>СЕРВЕЛАТ БАВАРСКИЙ в/к с/н в/у 1/100*10</t>
        </is>
      </c>
      <c r="E67" s="71" t="inlineStr">
        <is>
          <t>Ротация на код 7610</t>
        </is>
      </c>
      <c r="F67" s="75" t="inlineStr">
        <is>
          <t>ШТ</t>
        </is>
      </c>
      <c r="G67" s="76" t="n">
        <v>0.1</v>
      </c>
    </row>
    <row r="68" ht="23.25" customHeight="1" s="104">
      <c r="B68" s="87" t="n"/>
      <c r="C68" s="77" t="n"/>
      <c r="D68" s="78" t="inlineStr">
        <is>
          <t>Нарезка копченостей</t>
        </is>
      </c>
      <c r="E68" s="78" t="n"/>
      <c r="F68" s="79" t="n"/>
      <c r="G68" s="80" t="n"/>
    </row>
    <row r="69" ht="21" customHeight="1" s="104">
      <c r="B69" s="75" t="n">
        <v>7103</v>
      </c>
      <c r="C69" s="69" t="n">
        <v>1001223297103</v>
      </c>
      <c r="D69" s="61" t="inlineStr">
        <is>
          <t>БЕКОН Останкино с/к с/н в/у 1/180_50с</t>
        </is>
      </c>
      <c r="E69" s="61" t="n"/>
      <c r="F69" s="75" t="inlineStr">
        <is>
          <t>ШТ</t>
        </is>
      </c>
      <c r="G69" s="76" t="n">
        <v>0.18</v>
      </c>
    </row>
    <row r="70" ht="21" customHeight="1" s="104">
      <c r="B70" s="75" t="n">
        <v>7092</v>
      </c>
      <c r="C70" s="69" t="n">
        <v>1001223297092</v>
      </c>
      <c r="D70" s="61" t="inlineStr">
        <is>
          <t>БЕКОН Папа может с/к с/н в/у 1/140_50с</t>
        </is>
      </c>
      <c r="E70" s="61" t="n"/>
      <c r="F70" s="75" t="inlineStr">
        <is>
          <t>ШТ</t>
        </is>
      </c>
      <c r="G70" s="76" t="n">
        <v>0.14</v>
      </c>
    </row>
    <row r="71" ht="21" customHeight="1" s="104">
      <c r="B71" s="75" t="n">
        <v>6228</v>
      </c>
      <c r="C71" s="69" t="n">
        <v>1001225416228</v>
      </c>
      <c r="D71" s="61" t="inlineStr">
        <is>
          <t>МЯСНОЕ АССОРТИ к/з с/н мгс 1/90 10шт.</t>
        </is>
      </c>
      <c r="E71" s="61" t="n"/>
      <c r="F71" s="75" t="inlineStr">
        <is>
          <t>ШТ</t>
        </is>
      </c>
      <c r="G71" s="76" t="n">
        <v>0.09</v>
      </c>
    </row>
    <row r="72" ht="21" customHeight="1" s="104">
      <c r="B72" s="75" t="n">
        <v>6448</v>
      </c>
      <c r="C72" s="69" t="n">
        <v>1001234146448</v>
      </c>
      <c r="D72" s="61" t="inlineStr">
        <is>
          <t>СВИНИНА МАДЕРА с/к с/н в/у 1/100 10шт.</t>
        </is>
      </c>
      <c r="E72" s="61" t="n"/>
      <c r="F72" s="75" t="inlineStr">
        <is>
          <t>ШТ</t>
        </is>
      </c>
      <c r="G72" s="76" t="n">
        <v>0.1</v>
      </c>
    </row>
    <row r="73" ht="21" customHeight="1" s="104">
      <c r="B73" s="75" t="n">
        <v>6208</v>
      </c>
      <c r="C73" s="69" t="n">
        <v>1001220226208</v>
      </c>
      <c r="D73" s="61" t="inlineStr">
        <is>
          <t>ДЫМОВИЦА ИЗ ЛОПАТКИ ПМ к/в с/н в/у 1/150</t>
        </is>
      </c>
      <c r="E73" s="61" t="n"/>
      <c r="F73" s="75" t="inlineStr">
        <is>
          <t>ШТ</t>
        </is>
      </c>
      <c r="G73" s="76" t="n">
        <v>0.15</v>
      </c>
    </row>
    <row r="74" ht="21" customHeight="1" s="104">
      <c r="B74" s="75" t="n">
        <v>6754</v>
      </c>
      <c r="C74" s="69" t="n">
        <v>1001225406754</v>
      </c>
      <c r="D74" s="61" t="inlineStr">
        <is>
          <t>БАЛЫК И ШЕЙКА с/в с/н мгс 1/90 8шт.</t>
        </is>
      </c>
      <c r="E74" s="61" t="n"/>
      <c r="F74" s="75" t="inlineStr">
        <is>
          <t>ШТ</t>
        </is>
      </c>
      <c r="G74" s="76" t="n">
        <v>0.09</v>
      </c>
    </row>
    <row r="75" ht="21" customHeight="1" s="104">
      <c r="B75" s="75" t="n">
        <v>6279</v>
      </c>
      <c r="C75" s="60" t="n">
        <v>1001220286279</v>
      </c>
      <c r="D75" s="61" t="inlineStr">
        <is>
          <t>КОРЕЙКА ПО-ОСТ.к/в в/с с/н в/у 1/150_45с</t>
        </is>
      </c>
      <c r="E75" s="61" t="n"/>
      <c r="F75" s="72" t="inlineStr">
        <is>
          <t>ШТ</t>
        </is>
      </c>
      <c r="G75" s="73" t="n">
        <v>0.15</v>
      </c>
    </row>
    <row r="76" ht="21" customHeight="1" s="104">
      <c r="B76" s="75" t="n">
        <v>7288</v>
      </c>
      <c r="C76" s="69" t="n">
        <v>1001223907288</v>
      </c>
      <c r="D76" s="61" t="inlineStr">
        <is>
          <t>БАЛЫК с/к с/н в/у 1/100 10шт. (7288)</t>
        </is>
      </c>
      <c r="E76" s="71" t="inlineStr">
        <is>
          <t>Ротация на код 7612</t>
        </is>
      </c>
      <c r="F76" s="75" t="inlineStr">
        <is>
          <t>ШТ</t>
        </is>
      </c>
      <c r="G76" s="76" t="n">
        <v>0.1</v>
      </c>
    </row>
    <row r="77" ht="21" customHeight="1" s="104">
      <c r="B77" s="75" t="n">
        <v>7612</v>
      </c>
      <c r="C77" s="69" t="n">
        <v>1001453907612</v>
      </c>
      <c r="D77" s="70" t="inlineStr">
        <is>
          <t>БАЛЫК с/к с/н в/у 1/100 10шт_Л11</t>
        </is>
      </c>
      <c r="E77" s="70" t="inlineStr">
        <is>
          <t>260654543581 (с 03.06 по 30.06)</t>
        </is>
      </c>
      <c r="F77" s="75" t="inlineStr">
        <is>
          <t>ШТ</t>
        </is>
      </c>
      <c r="G77" s="76" t="n">
        <v>0.1</v>
      </c>
    </row>
    <row r="78" ht="23.25" customHeight="1" s="104">
      <c r="B78" s="87" t="n"/>
      <c r="C78" s="77" t="n"/>
      <c r="D78" s="78" t="inlineStr">
        <is>
          <t>Нарезка с/к колбас</t>
        </is>
      </c>
      <c r="E78" s="78" t="n"/>
      <c r="F78" s="79" t="n"/>
      <c r="G78" s="80" t="n"/>
    </row>
    <row r="79" ht="21" customHeight="1" s="104">
      <c r="B79" s="75" t="n">
        <v>6454</v>
      </c>
      <c r="C79" s="69" t="n">
        <v>1001201976454</v>
      </c>
      <c r="D79" s="61" t="inlineStr">
        <is>
          <t>АРОМАТНАЯ с/к с/н в/у 1/100 10шт.</t>
        </is>
      </c>
      <c r="E79" s="71" t="inlineStr">
        <is>
          <t>Ротация на код 7613</t>
        </is>
      </c>
      <c r="F79" s="75" t="inlineStr">
        <is>
          <t>ШТ</t>
        </is>
      </c>
      <c r="G79" s="76" t="n">
        <v>0.1</v>
      </c>
    </row>
    <row r="80" ht="21" customHeight="1" s="104">
      <c r="B80" s="75" t="n">
        <v>6834</v>
      </c>
      <c r="C80" s="69" t="n">
        <v>1001203146834</v>
      </c>
      <c r="D80" s="61" t="inlineStr">
        <is>
          <t>ПОСОЛЬСКАЯ ПМ с/к с/н в/у 1/100 10шт.</t>
        </is>
      </c>
      <c r="E80" s="61" t="n"/>
      <c r="F80" s="75" t="inlineStr">
        <is>
          <t>ШТ</t>
        </is>
      </c>
      <c r="G80" s="76" t="n">
        <v>0.1</v>
      </c>
    </row>
    <row r="81" ht="21" customHeight="1" s="104">
      <c r="B81" s="75" t="n">
        <v>7382</v>
      </c>
      <c r="C81" s="69" t="n">
        <v>1001203117382</v>
      </c>
      <c r="D81" s="61" t="inlineStr">
        <is>
          <t>САЛЯМИ МЕЛКОЗЕРНЕНАЯ с/к в/у 1/120 8шт.</t>
        </is>
      </c>
      <c r="E81" s="71" t="inlineStr">
        <is>
          <t>Ротация на код 7607</t>
        </is>
      </c>
      <c r="F81" s="75" t="inlineStr">
        <is>
          <t>ШТ</t>
        </is>
      </c>
      <c r="G81" s="76" t="n">
        <v>0.12</v>
      </c>
    </row>
    <row r="82" ht="21" customHeight="1" s="104">
      <c r="B82" s="75" t="n">
        <v>6453</v>
      </c>
      <c r="C82" s="69" t="n">
        <v>1001202506453</v>
      </c>
      <c r="D82" s="61" t="inlineStr">
        <is>
          <t>ЭКСТРА Папа может с/к с/н в/у 1/100 14шт</t>
        </is>
      </c>
      <c r="E82" s="71" t="inlineStr">
        <is>
          <t>Ротация на код 7616</t>
        </is>
      </c>
      <c r="F82" s="75" t="inlineStr">
        <is>
          <t>ШТ</t>
        </is>
      </c>
      <c r="G82" s="76" t="n">
        <v>0.1</v>
      </c>
    </row>
    <row r="83" ht="21" customHeight="1" s="104">
      <c r="B83" s="75" t="n">
        <v>6221</v>
      </c>
      <c r="C83" s="69" t="n">
        <v>1001205376221</v>
      </c>
      <c r="D83" s="61" t="inlineStr">
        <is>
          <t>НЕАПОЛИТАНСКИЙ ДУЭТ с/к с/н мгс 1/90</t>
        </is>
      </c>
      <c r="E83" s="61" t="n"/>
      <c r="F83" s="75" t="inlineStr">
        <is>
          <t>ШТ</t>
        </is>
      </c>
      <c r="G83" s="76" t="n">
        <v>0.09</v>
      </c>
    </row>
    <row r="84" ht="21" customHeight="1" s="104">
      <c r="B84" s="75" t="n">
        <v>6222</v>
      </c>
      <c r="C84" s="69" t="n">
        <v>1001205386222</v>
      </c>
      <c r="D84" s="61" t="inlineStr">
        <is>
          <t>ИТАЛЬЯНСКОЕ АССОРТИ с/в с/н мгс 1/90</t>
        </is>
      </c>
      <c r="E84" s="61" t="n"/>
      <c r="F84" s="75" t="inlineStr">
        <is>
          <t>ШТ</t>
        </is>
      </c>
      <c r="G84" s="76" t="n">
        <v>0.09</v>
      </c>
    </row>
    <row r="85" ht="21" customHeight="1" s="104">
      <c r="B85" s="82" t="n">
        <v>6965</v>
      </c>
      <c r="C85" s="85" t="n">
        <v>1001206356965</v>
      </c>
      <c r="D85" s="86" t="inlineStr">
        <is>
          <t>САЛЬЧИЧОН ПРЕМИУМ с/к с/н мгс 1/70 14шт.</t>
        </is>
      </c>
      <c r="E85" s="86" t="n"/>
      <c r="F85" s="75" t="inlineStr">
        <is>
          <t>ШТ</t>
        </is>
      </c>
      <c r="G85" s="76" t="n">
        <v>0.07000000000000001</v>
      </c>
    </row>
    <row r="86" ht="21" customHeight="1" s="104">
      <c r="B86" s="75" t="n">
        <v>6557</v>
      </c>
      <c r="C86" s="69" t="n">
        <v>1001200756557</v>
      </c>
      <c r="D86" s="61" t="inlineStr">
        <is>
          <t>ОХОТНИЧЬЯ ПМ с/к с/н в/у 1/100 10шт.</t>
        </is>
      </c>
      <c r="E86" s="61" t="n"/>
      <c r="F86" s="75" t="inlineStr">
        <is>
          <t>ШТ</t>
        </is>
      </c>
      <c r="G86" s="76" t="n">
        <v>0.1</v>
      </c>
    </row>
    <row r="87" ht="21" customHeight="1" s="104">
      <c r="B87" s="75" t="n">
        <v>5679</v>
      </c>
      <c r="C87" s="69" t="n">
        <v>1001190765679</v>
      </c>
      <c r="D87" s="61" t="inlineStr">
        <is>
          <t>САЛЯМИ ИТАЛЬЯНСКАЯ с/к в/у 1/150_60с</t>
        </is>
      </c>
      <c r="E87" s="61" t="n"/>
      <c r="F87" s="75" t="inlineStr">
        <is>
          <t>ШТ</t>
        </is>
      </c>
      <c r="G87" s="76" t="n">
        <v>0.15</v>
      </c>
    </row>
    <row r="88" ht="21" customHeight="1" s="104">
      <c r="B88" s="75" t="n">
        <v>5677</v>
      </c>
      <c r="C88" s="69" t="n">
        <v>1001190715677</v>
      </c>
      <c r="D88" s="61" t="inlineStr">
        <is>
          <t>БРАУНШВЕЙГСКАЯ полусухая с/к в/у 1/100</t>
        </is>
      </c>
      <c r="E88" s="71" t="inlineStr">
        <is>
          <t>Ротация на код 7626</t>
        </is>
      </c>
      <c r="F88" s="75" t="inlineStr">
        <is>
          <t>ШТ</t>
        </is>
      </c>
      <c r="G88" s="76" t="n">
        <v>0.1</v>
      </c>
    </row>
    <row r="89" ht="21" customHeight="1" s="104">
      <c r="B89" s="75" t="n">
        <v>7414</v>
      </c>
      <c r="C89" s="69" t="n">
        <v>1001204447414</v>
      </c>
      <c r="D89" s="61" t="inlineStr">
        <is>
          <t>ПЕППЕРОНИ с/к с/н мгс 1*8_HRC</t>
        </is>
      </c>
      <c r="E89" s="84" t="n"/>
      <c r="F89" s="75" t="inlineStr">
        <is>
          <t>КГ</t>
        </is>
      </c>
      <c r="G89" s="76" t="n">
        <v>1</v>
      </c>
    </row>
    <row r="90" ht="23.25" customHeight="1" s="104">
      <c r="B90" s="87" t="n"/>
      <c r="C90" s="77" t="n"/>
      <c r="D90" s="78" t="inlineStr">
        <is>
          <t>С/к колбасы</t>
        </is>
      </c>
      <c r="E90" s="78" t="n"/>
      <c r="F90" s="79" t="n"/>
      <c r="G90" s="80" t="n"/>
    </row>
    <row r="91" ht="21" customHeight="1" s="104">
      <c r="B91" s="75" t="n">
        <v>3582</v>
      </c>
      <c r="C91" s="69" t="n">
        <v>1001061973582</v>
      </c>
      <c r="D91" s="61" t="inlineStr">
        <is>
          <t>АРОМАТНАЯ с/к в/у_А</t>
        </is>
      </c>
      <c r="E91" s="61" t="n"/>
      <c r="F91" s="75" t="inlineStr">
        <is>
          <t>КГ</t>
        </is>
      </c>
      <c r="G91" s="76" t="n">
        <v>1</v>
      </c>
    </row>
    <row r="92" ht="21" customHeight="1" s="104">
      <c r="B92" s="75" t="n">
        <v>3986</v>
      </c>
      <c r="C92" s="69" t="n">
        <v>1001061973986</v>
      </c>
      <c r="D92" s="61" t="inlineStr">
        <is>
          <t>АРОМАТНАЯ с/к в/у 1/250 8шт.</t>
        </is>
      </c>
      <c r="E92" s="61" t="n"/>
      <c r="F92" s="75" t="inlineStr">
        <is>
          <t>ШТ</t>
        </is>
      </c>
      <c r="G92" s="76" t="n">
        <v>0.25</v>
      </c>
    </row>
    <row r="93" ht="21" customHeight="1" s="104">
      <c r="B93" s="75" t="n">
        <v>5931</v>
      </c>
      <c r="C93" s="69" t="n">
        <v>1001060755931</v>
      </c>
      <c r="D93" s="61" t="inlineStr">
        <is>
          <t>ОХОТНИЧЬЯ Папа может с/к в/у 1/220 8шт.</t>
        </is>
      </c>
      <c r="E93" s="61" t="n"/>
      <c r="F93" s="75" t="inlineStr">
        <is>
          <t>ШТ</t>
        </is>
      </c>
      <c r="G93" s="76" t="n">
        <v>0.22</v>
      </c>
    </row>
    <row r="94" ht="21" customHeight="1" s="104">
      <c r="B94" s="75" t="n">
        <v>5708</v>
      </c>
      <c r="C94" s="69" t="n">
        <v>1001063145708</v>
      </c>
      <c r="D94" s="61" t="inlineStr">
        <is>
          <t>ПОСОЛЬСКАЯ Папа может с/к в/у</t>
        </is>
      </c>
      <c r="E94" s="61" t="n"/>
      <c r="F94" s="75" t="inlineStr">
        <is>
          <t>КГ</t>
        </is>
      </c>
      <c r="G94" s="76" t="n">
        <v>1</v>
      </c>
    </row>
    <row r="95" ht="21" customHeight="1" s="104">
      <c r="B95" s="75" t="n">
        <v>3287</v>
      </c>
      <c r="C95" s="69" t="n">
        <v>1001060763287</v>
      </c>
      <c r="D95" s="61" t="inlineStr">
        <is>
          <t>САЛЯМИ ИТАЛЬЯНСКАЯ с/к в/у</t>
        </is>
      </c>
      <c r="E95" s="61" t="n"/>
      <c r="F95" s="75" t="inlineStr">
        <is>
          <t>КГ</t>
        </is>
      </c>
      <c r="G95" s="76" t="n">
        <v>1</v>
      </c>
    </row>
    <row r="96" ht="21" customHeight="1" s="104">
      <c r="B96" s="75" t="n">
        <v>4993</v>
      </c>
      <c r="C96" s="69" t="n">
        <v>1001060764993</v>
      </c>
      <c r="D96" s="61" t="inlineStr">
        <is>
          <t>САЛЯМИ ИТАЛЬЯНСКАЯ с/к в/у 1/250*8_120с</t>
        </is>
      </c>
      <c r="E96" s="61" t="n"/>
      <c r="F96" s="75" t="inlineStr">
        <is>
          <t>ШТ</t>
        </is>
      </c>
      <c r="G96" s="76" t="n">
        <v>0.25</v>
      </c>
    </row>
    <row r="97" ht="21" customHeight="1" s="104">
      <c r="B97" s="75" t="n">
        <v>5483</v>
      </c>
      <c r="C97" s="69" t="n">
        <v>1001062505483</v>
      </c>
      <c r="D97" s="61" t="inlineStr">
        <is>
          <t>ЭКСТРА Папа может с/к в/у 1/250 8шт.</t>
        </is>
      </c>
      <c r="E97" s="61" t="n"/>
      <c r="F97" s="75" t="inlineStr">
        <is>
          <t>ШТ</t>
        </is>
      </c>
      <c r="G97" s="76" t="n">
        <v>0.25</v>
      </c>
    </row>
    <row r="98" ht="21" customHeight="1" s="104">
      <c r="B98" s="75" t="n">
        <v>4117</v>
      </c>
      <c r="C98" s="69" t="n">
        <v>1001062504117</v>
      </c>
      <c r="D98" s="61" t="inlineStr">
        <is>
          <t>ЭКСТРА Папа может с/к в/у_Л</t>
        </is>
      </c>
      <c r="E98" s="61" t="n"/>
      <c r="F98" s="75" t="inlineStr">
        <is>
          <t>КГ</t>
        </is>
      </c>
      <c r="G98" s="76" t="n">
        <v>1</v>
      </c>
    </row>
    <row r="99" ht="21" customHeight="1" s="104">
      <c r="B99" s="75" t="n">
        <v>614</v>
      </c>
      <c r="C99" s="69" t="n">
        <v>1001060720614</v>
      </c>
      <c r="D99" s="61" t="inlineStr">
        <is>
          <t>ПРАЗДНИЧНАЯ с/к в/с дек.спец.мгс</t>
        </is>
      </c>
      <c r="E99" s="61" t="n"/>
      <c r="F99" s="75" t="inlineStr">
        <is>
          <t>КГ</t>
        </is>
      </c>
      <c r="G99" s="76" t="n">
        <v>1</v>
      </c>
    </row>
    <row r="100" ht="21" customHeight="1" s="104">
      <c r="B100" s="75" t="n">
        <v>6967</v>
      </c>
      <c r="C100" s="69" t="n">
        <v>1001063656967</v>
      </c>
      <c r="D100" s="61" t="inlineStr">
        <is>
          <t>БУРГУНДИЯ Папа может с/к в/у 1/250 8шт.</t>
        </is>
      </c>
      <c r="E100" s="61" t="n"/>
      <c r="F100" s="75" t="inlineStr">
        <is>
          <t>ШТ</t>
        </is>
      </c>
      <c r="G100" s="76" t="n">
        <v>0.25</v>
      </c>
    </row>
    <row r="101" ht="21" customHeight="1" s="104">
      <c r="B101" s="75" t="n">
        <v>6937</v>
      </c>
      <c r="C101" s="69" t="n">
        <v>1001063106937</v>
      </c>
      <c r="D101" s="61" t="inlineStr">
        <is>
          <t>САЛЯМИ Папа может с/к в/у 1/250 8шт.</t>
        </is>
      </c>
      <c r="E101" s="61" t="n"/>
      <c r="F101" s="75" t="inlineStr">
        <is>
          <t>ШТ</t>
        </is>
      </c>
      <c r="G101" s="76" t="n">
        <v>0.25</v>
      </c>
    </row>
    <row r="102" ht="21" customHeight="1" s="104">
      <c r="B102" s="75" t="n">
        <v>7143</v>
      </c>
      <c r="C102" s="69" t="n">
        <v>1001060717143</v>
      </c>
      <c r="D102" s="61" t="inlineStr">
        <is>
          <t>БРАУНШВЕЙГСКАЯ ГОСТ с/к в/у 1/220 8шт.</t>
        </is>
      </c>
      <c r="E102" s="61" t="n"/>
      <c r="F102" s="75" t="inlineStr">
        <is>
          <t>ШТ</t>
        </is>
      </c>
      <c r="G102" s="76" t="n">
        <v>0.22</v>
      </c>
    </row>
    <row r="103" ht="21" customHeight="1" s="104">
      <c r="B103" s="75" t="n">
        <v>7147</v>
      </c>
      <c r="C103" s="69" t="n">
        <v>1001063237147</v>
      </c>
      <c r="D103" s="61" t="inlineStr">
        <is>
          <t>САЛЬЧИЧОН Останкино с/к в/у 1/220 8шт.</t>
        </is>
      </c>
      <c r="E103" s="61" t="n"/>
      <c r="F103" s="75" t="inlineStr">
        <is>
          <t>ШТ</t>
        </is>
      </c>
      <c r="G103" s="76" t="n">
        <v>0.22</v>
      </c>
    </row>
    <row r="104" ht="21" customHeight="1" s="104">
      <c r="B104" s="75" t="n">
        <v>7456</v>
      </c>
      <c r="C104" s="69" t="n">
        <v>1001063097456</v>
      </c>
      <c r="D104" s="61" t="inlineStr">
        <is>
          <t>САЛЯМИ ФИНСКАЯ Папа может с/к в/у 1/150</t>
        </is>
      </c>
      <c r="E104" s="61" t="n"/>
      <c r="F104" s="75" t="inlineStr">
        <is>
          <t>ШТ</t>
        </is>
      </c>
      <c r="G104" s="76" t="n">
        <v>0.15</v>
      </c>
    </row>
    <row r="105" ht="21" customHeight="1" s="104">
      <c r="B105" s="75" t="n">
        <v>7364</v>
      </c>
      <c r="C105" s="69" t="n">
        <v>1001063217364</v>
      </c>
      <c r="D105" s="61" t="inlineStr">
        <is>
          <t>ЧОРИЗО Останкино с/к в/у 1/220 8шт.</t>
        </is>
      </c>
      <c r="E105" s="84" t="n"/>
      <c r="F105" s="75" t="inlineStr">
        <is>
          <t>ШТ</t>
        </is>
      </c>
      <c r="G105" s="76" t="n">
        <v>0.22</v>
      </c>
    </row>
    <row r="106" ht="21" customHeight="1" s="104">
      <c r="B106" s="75" t="n">
        <v>7383</v>
      </c>
      <c r="C106" s="69" t="n">
        <v>1001065467383</v>
      </c>
      <c r="D106" s="61" t="inlineStr">
        <is>
          <t>САН-РЕМО Останкино с/в в/у 1/220 8шт.</t>
        </is>
      </c>
      <c r="E106" s="84" t="n"/>
      <c r="F106" s="75" t="inlineStr">
        <is>
          <t>ШТ</t>
        </is>
      </c>
      <c r="G106" s="76" t="n">
        <v>0.22</v>
      </c>
    </row>
    <row r="107" ht="21" customHeight="1" s="104">
      <c r="B107" s="75" t="n">
        <v>7317</v>
      </c>
      <c r="C107" s="69" t="n">
        <v>1001066567317</v>
      </c>
      <c r="D107" s="61" t="inlineStr">
        <is>
          <t>ПРЕСИЖН с/к дек.спец. мгс 0.54кг</t>
        </is>
      </c>
      <c r="E107" s="61" t="n"/>
      <c r="F107" s="75" t="inlineStr">
        <is>
          <t>ШТ</t>
        </is>
      </c>
      <c r="G107" s="76" t="n">
        <v>0.54</v>
      </c>
    </row>
    <row r="108" ht="21" customHeight="1" s="104">
      <c r="B108" s="75" t="n">
        <v>7318</v>
      </c>
      <c r="C108" s="69" t="n">
        <v>1001060727318</v>
      </c>
      <c r="D108" s="61" t="inlineStr">
        <is>
          <t>ПРАЗДНИЧНАЯ с/к в/с дек.спец. мгс 1/270</t>
        </is>
      </c>
      <c r="E108" s="61" t="n"/>
      <c r="F108" s="75" t="inlineStr">
        <is>
          <t>ШТ</t>
        </is>
      </c>
      <c r="G108" s="76" t="n">
        <v>0.27</v>
      </c>
    </row>
    <row r="109" ht="21" customHeight="1" s="104">
      <c r="B109" s="75" t="n">
        <v>7316</v>
      </c>
      <c r="C109" s="69" t="n">
        <v>1001060727316</v>
      </c>
      <c r="D109" s="61" t="inlineStr">
        <is>
          <t>ПРАЗДНИЧНАЯ с/к в/с дек.спец. мгс 0.54кг</t>
        </is>
      </c>
      <c r="E109" s="61" t="n"/>
      <c r="F109" s="75" t="inlineStr">
        <is>
          <t>ШТ</t>
        </is>
      </c>
      <c r="G109" s="76" t="n">
        <v>0.54</v>
      </c>
    </row>
    <row r="110" ht="21" customHeight="1" s="104">
      <c r="B110" s="75" t="n">
        <v>7417</v>
      </c>
      <c r="C110" s="69" t="n">
        <v>1001307147417</v>
      </c>
      <c r="D110" s="61" t="inlineStr">
        <is>
          <t>АССОРТИ САЛЬЧИЧОН И ЧОРИЗО с/к в/у 1/440</t>
        </is>
      </c>
      <c r="E110" s="84" t="n"/>
      <c r="F110" s="75" t="inlineStr">
        <is>
          <t>ШТ</t>
        </is>
      </c>
      <c r="G110" s="76" t="n">
        <v>0.44</v>
      </c>
    </row>
    <row r="111" ht="21" customHeight="1" s="104">
      <c r="B111" s="75" t="n">
        <v>6832</v>
      </c>
      <c r="C111" s="69" t="n">
        <v>1001065616832</v>
      </c>
      <c r="D111" s="61" t="inlineStr">
        <is>
          <t>АССОРТИ СЫРОКОПЧЕНЫХ КОЛБАС Коровино в/у</t>
        </is>
      </c>
      <c r="E111" s="61" t="n"/>
      <c r="F111" s="75" t="inlineStr">
        <is>
          <t>КГ</t>
        </is>
      </c>
      <c r="G111" s="76" t="n">
        <v>1</v>
      </c>
    </row>
    <row r="112" ht="21" customHeight="1" s="104">
      <c r="B112" s="75" t="n">
        <v>7299</v>
      </c>
      <c r="C112" s="69" t="n">
        <v>1001060677299</v>
      </c>
      <c r="D112" s="61" t="inlineStr">
        <is>
          <t>НАБОР ДЛЯ ПИЦЦЫ Папа Может с/к в/у</t>
        </is>
      </c>
      <c r="E112" s="61" t="n"/>
      <c r="F112" s="75" t="inlineStr">
        <is>
          <t>КГ</t>
        </is>
      </c>
      <c r="G112" s="76" t="n">
        <v>1</v>
      </c>
    </row>
    <row r="113" ht="21" customHeight="1" s="104">
      <c r="B113" s="75" t="n">
        <v>7386</v>
      </c>
      <c r="C113" s="69" t="n">
        <v>1001067017386</v>
      </c>
      <c r="D113" s="61" t="inlineStr">
        <is>
          <t>БАРСЕЛОНА ПМ с/к в/у 1/150</t>
        </is>
      </c>
      <c r="E113" s="89" t="n"/>
      <c r="F113" s="75" t="inlineStr">
        <is>
          <t>ШТ</t>
        </is>
      </c>
      <c r="G113" s="76" t="n">
        <v>0.15</v>
      </c>
    </row>
    <row r="114" ht="23.25" customHeight="1" s="104">
      <c r="B114" s="87" t="n"/>
      <c r="C114" s="77" t="n"/>
      <c r="D114" s="78" t="inlineStr">
        <is>
          <t>Сардельки</t>
        </is>
      </c>
      <c r="E114" s="78" t="n"/>
      <c r="F114" s="79" t="n"/>
      <c r="G114" s="80" t="n"/>
    </row>
    <row r="115" ht="21" customHeight="1" s="104">
      <c r="B115" s="75" t="n">
        <v>6550</v>
      </c>
      <c r="C115" s="69" t="n">
        <v>1001032736550</v>
      </c>
      <c r="D115" s="61" t="inlineStr">
        <is>
          <t>МЯСНЫЕ Папа может сар б/о мгс 1*3_О_45с</t>
        </is>
      </c>
      <c r="E115" s="61" t="n"/>
      <c r="F115" s="75" t="inlineStr">
        <is>
          <t>КГ</t>
        </is>
      </c>
      <c r="G115" s="76" t="n">
        <v>1</v>
      </c>
    </row>
    <row r="116" ht="21" customHeight="1" s="104">
      <c r="B116" s="75" t="n">
        <v>6608</v>
      </c>
      <c r="C116" s="69" t="n">
        <v>1001033856608</v>
      </c>
      <c r="D116" s="61" t="inlineStr">
        <is>
          <t>С ГОВЯДИНОЙ ОРИГИН. сар б/о мгс 1*3_45с</t>
        </is>
      </c>
      <c r="E116" s="61" t="n"/>
      <c r="F116" s="75" t="inlineStr">
        <is>
          <t>КГ</t>
        </is>
      </c>
      <c r="G116" s="76" t="n">
        <v>1</v>
      </c>
    </row>
    <row r="117" ht="21" customHeight="1" s="104">
      <c r="B117" s="75" t="n">
        <v>7001</v>
      </c>
      <c r="C117" s="60" t="n">
        <v>1001035937001</v>
      </c>
      <c r="D117" s="61" t="inlineStr">
        <is>
          <t>КЛАССИЧЕСКИЕ Папа может сар б/о мгс 1*3</t>
        </is>
      </c>
      <c r="E117" s="61" t="n"/>
      <c r="F117" s="75" t="inlineStr">
        <is>
          <t>КГ</t>
        </is>
      </c>
      <c r="G117" s="76" t="n">
        <v>1</v>
      </c>
    </row>
    <row r="118" ht="21" customHeight="1" s="104">
      <c r="B118" s="75" t="n">
        <v>6527</v>
      </c>
      <c r="C118" s="92" t="n">
        <v>1001031076527</v>
      </c>
      <c r="D118" s="91" t="inlineStr">
        <is>
          <t>ШПИКАЧКИ СОЧНЫЕ ПМ сар б/о мгс 1*3_45с</t>
        </is>
      </c>
      <c r="E118" s="91" t="n"/>
      <c r="F118" s="75" t="inlineStr">
        <is>
          <t>КГ</t>
        </is>
      </c>
      <c r="G118" s="76" t="n">
        <v>1</v>
      </c>
    </row>
    <row r="119" ht="21" customHeight="1" s="104">
      <c r="B119" s="75" t="n">
        <v>6609</v>
      </c>
      <c r="C119" s="69" t="n">
        <v>1001033856609</v>
      </c>
      <c r="D119" s="61" t="inlineStr">
        <is>
          <t>С ГОВЯДИНОЙ ПМ сар б/о мгс 0.4кг_45с</t>
        </is>
      </c>
      <c r="E119" s="61" t="n"/>
      <c r="F119" s="75" t="inlineStr">
        <is>
          <t>ШТ</t>
        </is>
      </c>
      <c r="G119" s="76" t="n">
        <v>0.4</v>
      </c>
    </row>
    <row r="120" ht="21" customHeight="1" s="104">
      <c r="B120" s="75" t="n">
        <v>7059</v>
      </c>
      <c r="C120" s="92" t="n">
        <v>1001035277059</v>
      </c>
      <c r="D120" s="61" t="inlineStr">
        <is>
          <t>ШПИКАЧКИ СОЧНЫЕ С БЕК. п/о мгс 0.3кг_60с</t>
        </is>
      </c>
      <c r="E120" s="89" t="n"/>
      <c r="F120" s="75" t="inlineStr">
        <is>
          <t>ШТ</t>
        </is>
      </c>
      <c r="G120" s="76" t="n">
        <v>0.3</v>
      </c>
    </row>
    <row r="121" ht="21" customHeight="1" s="104">
      <c r="B121" s="75" t="n">
        <v>6528</v>
      </c>
      <c r="C121" s="69" t="n">
        <v>1001031076528</v>
      </c>
      <c r="D121" s="61" t="inlineStr">
        <is>
          <t>ШПИКАЧКИ СОЧНЫЕ ПМ сар б/о мгс 0.4кг_45с</t>
        </is>
      </c>
      <c r="E121" s="89" t="n"/>
      <c r="F121" s="75" t="inlineStr">
        <is>
          <t>ШТ</t>
        </is>
      </c>
      <c r="G121" s="76" t="n">
        <v>0.4</v>
      </c>
    </row>
    <row r="122" ht="23.25" customHeight="1" s="104">
      <c r="B122" s="87" t="n"/>
      <c r="C122" s="77" t="n"/>
      <c r="D122" s="78" t="inlineStr">
        <is>
          <t>Сосиски</t>
        </is>
      </c>
      <c r="E122" s="78" t="n"/>
      <c r="F122" s="79" t="n"/>
      <c r="G122" s="80" t="n"/>
    </row>
    <row r="123" ht="21" customHeight="1" s="104">
      <c r="B123" s="75" t="n">
        <v>6602</v>
      </c>
      <c r="C123" s="69" t="n">
        <v>1001021966602</v>
      </c>
      <c r="D123" s="61" t="inlineStr">
        <is>
          <t>БАВАРСКИЕ ПМ сос ц/о мгс 0.35кг 8шт.</t>
        </is>
      </c>
      <c r="E123" s="61" t="n"/>
      <c r="F123" s="75" t="inlineStr">
        <is>
          <t>ШТ</t>
        </is>
      </c>
      <c r="G123" s="76" t="n">
        <v>0.35</v>
      </c>
    </row>
    <row r="124" ht="21" customHeight="1" s="104">
      <c r="B124" s="75" t="n">
        <v>7284</v>
      </c>
      <c r="C124" s="69" t="n">
        <v>1001025767284</v>
      </c>
      <c r="D124" s="61" t="inlineStr">
        <is>
          <t>ДЛЯ ДЕТЕЙ сос п/о мгс 0.33кг 6шт.</t>
        </is>
      </c>
      <c r="E124" s="61" t="n"/>
      <c r="F124" s="75" t="inlineStr">
        <is>
          <t>ШТ</t>
        </is>
      </c>
      <c r="G124" s="76" t="n">
        <v>0.33</v>
      </c>
    </row>
    <row r="125" ht="21" customHeight="1" s="104">
      <c r="B125" s="75" t="n">
        <v>7601</v>
      </c>
      <c r="C125" s="69" t="n">
        <v>1001025767601</v>
      </c>
      <c r="D125" s="61" t="inlineStr">
        <is>
          <t>ДЛЯ ДЕТЕЙ Папа может сос п/о мгс 0.264кг</t>
        </is>
      </c>
      <c r="E125" s="89" t="n"/>
      <c r="F125" s="75" t="inlineStr">
        <is>
          <t>ШТ</t>
        </is>
      </c>
      <c r="G125" s="76" t="n">
        <v>0.26</v>
      </c>
    </row>
    <row r="126" ht="21" customHeight="1" s="104">
      <c r="B126" s="75" t="n">
        <v>7461</v>
      </c>
      <c r="C126" s="69" t="n">
        <v>1001025767461</v>
      </c>
      <c r="D126" s="61" t="inlineStr">
        <is>
          <t xml:space="preserve">ДЛЯ ДЕТЕЙ Папа может сос п/о мгс 0.33кг </t>
        </is>
      </c>
      <c r="E126" s="84" t="n"/>
      <c r="F126" s="75" t="inlineStr">
        <is>
          <t>ШТ</t>
        </is>
      </c>
      <c r="G126" s="76" t="n">
        <v>0.33</v>
      </c>
    </row>
    <row r="127" ht="21" customHeight="1" s="104">
      <c r="B127" s="75" t="n">
        <v>7371</v>
      </c>
      <c r="C127" s="69" t="n">
        <v>1001026947371</v>
      </c>
      <c r="D127" s="61" t="inlineStr">
        <is>
          <t>БРЕСТСКИЕ сос п/о в/у 0.3кг 8шт.</t>
        </is>
      </c>
      <c r="E127" s="84" t="n"/>
      <c r="F127" s="75" t="inlineStr">
        <is>
          <t>ШТ</t>
        </is>
      </c>
      <c r="G127" s="76" t="n">
        <v>0.3</v>
      </c>
    </row>
    <row r="128" ht="21" customHeight="1" s="104">
      <c r="B128" s="75" t="n">
        <v>6759</v>
      </c>
      <c r="C128" s="69" t="n">
        <v>1001020836759</v>
      </c>
      <c r="D128" s="61" t="inlineStr">
        <is>
          <t>МОЛОЧНЫЕ ГОСТ сос ц/о мгс 0.4кг 7шт.</t>
        </is>
      </c>
      <c r="E128" s="61" t="n"/>
      <c r="F128" s="75" t="inlineStr">
        <is>
          <t>ШТ</t>
        </is>
      </c>
      <c r="G128" s="76" t="n">
        <v>0.4</v>
      </c>
    </row>
    <row r="129" ht="21" customHeight="1" s="104">
      <c r="B129" s="75" t="n">
        <v>6761</v>
      </c>
      <c r="C129" s="69" t="n">
        <v>1001020836761</v>
      </c>
      <c r="D129" s="61" t="inlineStr">
        <is>
          <t>МОЛОЧНЫЕ ГОСТ сос ц/о мгс 1*4</t>
        </is>
      </c>
      <c r="E129" s="61" t="n"/>
      <c r="F129" s="75" t="inlineStr">
        <is>
          <t>КГ</t>
        </is>
      </c>
      <c r="G129" s="76" t="n">
        <v>1</v>
      </c>
    </row>
    <row r="130" ht="21" customHeight="1" s="104">
      <c r="B130" s="75" t="n">
        <v>6829</v>
      </c>
      <c r="C130" s="69" t="n">
        <v>1001024976829</v>
      </c>
      <c r="D130" s="61" t="inlineStr">
        <is>
          <t>МОЛОЧНЫЕ КЛАССИЧЕСКИЕ сос п/о мгс 2*4_С</t>
        </is>
      </c>
      <c r="E130" s="61" t="n"/>
      <c r="F130" s="75" t="inlineStr">
        <is>
          <t>КГ</t>
        </is>
      </c>
      <c r="G130" s="76" t="n">
        <v>1</v>
      </c>
    </row>
    <row r="131" ht="21" customHeight="1" s="104">
      <c r="B131" s="75" t="n">
        <v>6616</v>
      </c>
      <c r="C131" s="69" t="n">
        <v>1001024976616</v>
      </c>
      <c r="D131" s="61" t="inlineStr">
        <is>
          <t>МОЛОЧНЫЕ КЛАССИЧЕСКИЕ сос п/о в/у 0.3кг</t>
        </is>
      </c>
      <c r="E131" s="61" t="n"/>
      <c r="F131" s="75" t="inlineStr">
        <is>
          <t>ШТ</t>
        </is>
      </c>
      <c r="G131" s="76" t="n">
        <v>0.3</v>
      </c>
    </row>
    <row r="132" ht="21" customHeight="1" s="104">
      <c r="B132" s="75" t="n">
        <v>7075</v>
      </c>
      <c r="C132" s="69" t="n">
        <v>1001022657075</v>
      </c>
      <c r="D132" s="61" t="inlineStr">
        <is>
          <t>МОЛОЧ.ПРЕМИУМ ПМ сос п/о мгс 1.5*4_О_50с</t>
        </is>
      </c>
      <c r="E132" s="61" t="n"/>
      <c r="F132" s="75" t="inlineStr">
        <is>
          <t>КГ</t>
        </is>
      </c>
      <c r="G132" s="76" t="n">
        <v>1</v>
      </c>
    </row>
    <row r="133" ht="21" customHeight="1" s="104">
      <c r="B133" s="75" t="n">
        <v>7074</v>
      </c>
      <c r="C133" s="69" t="n">
        <v>1001022657074</v>
      </c>
      <c r="D133" s="61" t="inlineStr">
        <is>
          <t>МОЛОЧ.ПРЕМИУМ ПМ сос п/о мгс 0.6кг_50с</t>
        </is>
      </c>
      <c r="E133" s="61" t="n"/>
      <c r="F133" s="75" t="inlineStr">
        <is>
          <t>ШТ</t>
        </is>
      </c>
      <c r="G133" s="76" t="n">
        <v>0.6</v>
      </c>
    </row>
    <row r="134" ht="21" customHeight="1" s="104">
      <c r="B134" s="75" t="n">
        <v>7073</v>
      </c>
      <c r="C134" s="69" t="n">
        <v>1001022657073</v>
      </c>
      <c r="D134" s="61" t="inlineStr">
        <is>
          <t>МОЛОЧ.ПРЕМИУМ ПМ сос п/о в/у 1/350_50с</t>
        </is>
      </c>
      <c r="E134" s="61" t="n"/>
      <c r="F134" s="75" t="inlineStr">
        <is>
          <t>ШТ</t>
        </is>
      </c>
      <c r="G134" s="76" t="n">
        <v>0.35</v>
      </c>
    </row>
    <row r="135" ht="21" customHeight="1" s="104">
      <c r="B135" s="75" t="n">
        <v>6724</v>
      </c>
      <c r="C135" s="69" t="n">
        <v>1001020836724</v>
      </c>
      <c r="D135" s="61" t="inlineStr">
        <is>
          <t>МОЛОЧНЫЕ ПМ сос п/о мгс 0.41кг 10шт.</t>
        </is>
      </c>
      <c r="E135" s="61" t="n"/>
      <c r="F135" s="75" t="inlineStr">
        <is>
          <t>ШТ</t>
        </is>
      </c>
      <c r="G135" s="76" t="n">
        <v>0.41</v>
      </c>
    </row>
    <row r="136" ht="21" customHeight="1" s="104">
      <c r="B136" s="75" t="n">
        <v>5819</v>
      </c>
      <c r="C136" s="69" t="n">
        <v>1001022725819</v>
      </c>
      <c r="D136" s="61" t="inlineStr">
        <is>
          <t>МЯСНЫЕ Папа может сос п/о в/у 0.4кг_45с</t>
        </is>
      </c>
      <c r="E136" s="61" t="n"/>
      <c r="F136" s="75" t="inlineStr">
        <is>
          <t>ШТ</t>
        </is>
      </c>
      <c r="G136" s="76" t="n">
        <v>0.4</v>
      </c>
    </row>
    <row r="137" ht="21" customHeight="1" s="104">
      <c r="B137" s="75" t="n">
        <v>6303</v>
      </c>
      <c r="C137" s="69" t="n">
        <v>1001022726303</v>
      </c>
      <c r="D137" s="61" t="inlineStr">
        <is>
          <t>МЯСНЫЕ Папа может сос п/о мгс 1.5*3</t>
        </is>
      </c>
      <c r="E137" s="61" t="n"/>
      <c r="F137" s="75" t="inlineStr">
        <is>
          <t>КГ</t>
        </is>
      </c>
      <c r="G137" s="76" t="n">
        <v>1</v>
      </c>
    </row>
    <row r="138" ht="21" customHeight="1" s="104">
      <c r="B138" s="75" t="n">
        <v>7255</v>
      </c>
      <c r="C138" s="69" t="n">
        <v>1001025507255</v>
      </c>
      <c r="D138" s="61" t="inlineStr">
        <is>
          <t>МЯСНЫЕ С ГОВЯД.ПМ сос п/о мгс 0.4кг 6шт.</t>
        </is>
      </c>
      <c r="E138" s="61" t="n"/>
      <c r="F138" s="75" t="inlineStr">
        <is>
          <t>ШТ</t>
        </is>
      </c>
      <c r="G138" s="76" t="n">
        <v>0.4</v>
      </c>
    </row>
    <row r="139" ht="21" customHeight="1" s="104">
      <c r="B139" s="75" t="n">
        <v>7271</v>
      </c>
      <c r="C139" s="69" t="n">
        <v>1001025507271</v>
      </c>
      <c r="D139" s="61" t="inlineStr">
        <is>
          <t>МЯСНЫЕ С ГОВЯДИНОЙ ПМ сос п/о мгс 1.5*4</t>
        </is>
      </c>
      <c r="E139" s="61" t="n"/>
      <c r="F139" s="75" t="inlineStr">
        <is>
          <t>КГ</t>
        </is>
      </c>
      <c r="G139" s="76" t="n">
        <v>1</v>
      </c>
    </row>
    <row r="140" ht="21" customHeight="1" s="104">
      <c r="B140" s="75" t="n">
        <v>6765</v>
      </c>
      <c r="C140" s="69" t="n">
        <v>1001023696765</v>
      </c>
      <c r="D140" s="61" t="inlineStr">
        <is>
          <t>РУБЛЕНЫЕ сос ц/о мгс 0.36кг 6шт.</t>
        </is>
      </c>
      <c r="E140" s="61" t="n"/>
      <c r="F140" s="75" t="inlineStr">
        <is>
          <t>ШТ</t>
        </is>
      </c>
      <c r="G140" s="76" t="n">
        <v>0.36</v>
      </c>
    </row>
    <row r="141" ht="21" customHeight="1" s="104">
      <c r="B141" s="75" t="n">
        <v>6767</v>
      </c>
      <c r="C141" s="69" t="n">
        <v>1001023696767</v>
      </c>
      <c r="D141" s="61" t="inlineStr">
        <is>
          <t>РУБЛЕНЫЕ сос ц/о мгс 1*4</t>
        </is>
      </c>
      <c r="E141" s="61" t="n"/>
      <c r="F141" s="75" t="inlineStr">
        <is>
          <t>КГ</t>
        </is>
      </c>
      <c r="G141" s="76" t="n">
        <v>1</v>
      </c>
    </row>
    <row r="142" ht="21" customHeight="1" s="104">
      <c r="B142" s="75" t="n">
        <v>6475</v>
      </c>
      <c r="C142" s="69" t="n">
        <v>1001025176475</v>
      </c>
      <c r="D142" s="61" t="inlineStr">
        <is>
          <t>С СЫРОМ Папа может сос ц/о мгс 0.4кг 6шт</t>
        </is>
      </c>
      <c r="E142" s="61" t="n"/>
      <c r="F142" s="75" t="inlineStr">
        <is>
          <t>ШТ</t>
        </is>
      </c>
      <c r="G142" s="76" t="n">
        <v>0.4</v>
      </c>
    </row>
    <row r="143" ht="21" customHeight="1" s="104">
      <c r="B143" s="75" t="n">
        <v>7083</v>
      </c>
      <c r="C143" s="69" t="n">
        <v>1001022467083</v>
      </c>
      <c r="D143" s="61" t="inlineStr">
        <is>
          <t>СЛИВОЧНЫЕ ПМ сос п/о мгс 1.5*4_А_50с</t>
        </is>
      </c>
      <c r="E143" s="61" t="n"/>
      <c r="F143" s="75" t="inlineStr">
        <is>
          <t>КГ</t>
        </is>
      </c>
      <c r="G143" s="76" t="n">
        <v>1</v>
      </c>
    </row>
    <row r="144" ht="21" customHeight="1" s="104">
      <c r="B144" s="75" t="n">
        <v>7080</v>
      </c>
      <c r="C144" s="69" t="n">
        <v>1001022467080</v>
      </c>
      <c r="D144" s="84" t="inlineStr">
        <is>
          <t>СЛИВОЧНЫЕ ПМ сос п/о мгс 0.41кг 10шт_50с</t>
        </is>
      </c>
      <c r="E144" s="84" t="n"/>
      <c r="F144" s="75" t="inlineStr">
        <is>
          <t>ШТ</t>
        </is>
      </c>
      <c r="G144" s="76" t="n">
        <v>0.41</v>
      </c>
    </row>
    <row r="145" ht="21" customHeight="1" s="104">
      <c r="B145" s="75" t="n">
        <v>7276</v>
      </c>
      <c r="C145" s="69" t="n">
        <v>1001022467276</v>
      </c>
      <c r="D145" s="84" t="inlineStr">
        <is>
          <t>СЛИВОЧНЫЕ ПМ сос п/о мгс 0.3кг 7шт.</t>
        </is>
      </c>
      <c r="E145" s="84" t="n"/>
      <c r="F145" s="75" t="inlineStr">
        <is>
          <t>ШТ</t>
        </is>
      </c>
      <c r="G145" s="76" t="n">
        <v>0.3</v>
      </c>
    </row>
    <row r="146" ht="21" customHeight="1" s="104">
      <c r="B146" s="75" t="n">
        <v>6762</v>
      </c>
      <c r="C146" s="69" t="n">
        <v>1001020846762</v>
      </c>
      <c r="D146" s="61" t="inlineStr">
        <is>
          <t>СЛИВОЧНЫЕ сос ц/о мгс 0.41кг 8шт.</t>
        </is>
      </c>
      <c r="E146" s="61" t="n"/>
      <c r="F146" s="75" t="inlineStr">
        <is>
          <t>ШТ</t>
        </is>
      </c>
      <c r="G146" s="76" t="n">
        <v>0.41</v>
      </c>
    </row>
    <row r="147" ht="21" customHeight="1" s="104">
      <c r="B147" s="75" t="n">
        <v>6764</v>
      </c>
      <c r="C147" s="69" t="n">
        <v>1001020846764</v>
      </c>
      <c r="D147" s="61" t="inlineStr">
        <is>
          <t>СЛИВОЧНЫЕ сос ц/о мгс 1*4</t>
        </is>
      </c>
      <c r="E147" s="61" t="n"/>
      <c r="F147" s="75" t="inlineStr">
        <is>
          <t>КГ</t>
        </is>
      </c>
      <c r="G147" s="76" t="n">
        <v>1</v>
      </c>
    </row>
    <row r="148" ht="21" customHeight="1" s="104">
      <c r="B148" s="75" t="n">
        <v>7066</v>
      </c>
      <c r="C148" s="69" t="n">
        <v>1001022377066</v>
      </c>
      <c r="D148" s="61" t="inlineStr">
        <is>
          <t>СОЧНЫЕ ПМ сос п/о мгс 0.41кг 10шт_50с</t>
        </is>
      </c>
      <c r="E148" s="61" t="n"/>
      <c r="F148" s="75" t="inlineStr">
        <is>
          <t>ШТ</t>
        </is>
      </c>
      <c r="G148" s="76" t="n">
        <v>0.41</v>
      </c>
    </row>
    <row r="149" ht="21" customHeight="1" s="104">
      <c r="B149" s="75" t="n">
        <v>7070</v>
      </c>
      <c r="C149" s="69" t="n">
        <v>1001022377070</v>
      </c>
      <c r="D149" s="61" t="inlineStr">
        <is>
          <t>СОЧНЫЕ ПМ сос п/о мгс 1.5*4_А_50с</t>
        </is>
      </c>
      <c r="E149" s="61" t="n"/>
      <c r="F149" s="75" t="inlineStr">
        <is>
          <t>КГ</t>
        </is>
      </c>
      <c r="G149" s="76" t="n">
        <v>1</v>
      </c>
    </row>
    <row r="150" ht="21" customHeight="1" s="104">
      <c r="B150" s="75" t="n">
        <v>6713</v>
      </c>
      <c r="C150" s="69" t="n">
        <v>1001022246713</v>
      </c>
      <c r="D150" s="61" t="inlineStr">
        <is>
          <t>СОЧНЫЙ ГРИЛЬ ПМ сос п/о мгс 0.41кг 8шт.</t>
        </is>
      </c>
      <c r="E150" s="61" t="n"/>
      <c r="F150" s="75" t="inlineStr">
        <is>
          <t>ШТ</t>
        </is>
      </c>
      <c r="G150" s="76" t="n">
        <v>0.41</v>
      </c>
    </row>
    <row r="151" ht="21" customHeight="1" s="104">
      <c r="B151" s="75" t="n">
        <v>6661</v>
      </c>
      <c r="C151" s="69" t="n">
        <v>1001022246661</v>
      </c>
      <c r="D151" s="61" t="inlineStr">
        <is>
          <t>СОЧНЫЙ ГРИЛЬ ПМ сос п/о мгс 1.5*4_Маяк</t>
        </is>
      </c>
      <c r="E151" s="61" t="n"/>
      <c r="F151" s="75" t="inlineStr">
        <is>
          <t>КГ</t>
        </is>
      </c>
      <c r="G151" s="76" t="n">
        <v>1</v>
      </c>
    </row>
    <row r="152" ht="21" customHeight="1" s="104">
      <c r="B152" s="82" t="n">
        <v>6254</v>
      </c>
      <c r="C152" s="85" t="n">
        <v>1001022556254</v>
      </c>
      <c r="D152" s="86" t="inlineStr">
        <is>
          <t>ФИЛЕЙНЫЕ Папа может сос ц/о мгс 1.5*2</t>
        </is>
      </c>
      <c r="E152" s="61" t="n"/>
      <c r="F152" s="72" t="inlineStr">
        <is>
          <t>КГ</t>
        </is>
      </c>
      <c r="G152" s="73" t="n">
        <v>1</v>
      </c>
    </row>
    <row r="153" ht="21" customHeight="1" s="104">
      <c r="B153" s="75" t="n">
        <v>6837</v>
      </c>
      <c r="C153" s="69" t="n">
        <v>1001022556837</v>
      </c>
      <c r="D153" s="61" t="inlineStr">
        <is>
          <t>ФИЛЕЙНЫЕ Папа Может сос ц/о мгс 0.4кг</t>
        </is>
      </c>
      <c r="E153" s="61" t="n"/>
      <c r="F153" s="75" t="inlineStr">
        <is>
          <t>ШТ</t>
        </is>
      </c>
      <c r="G153" s="76" t="n">
        <v>0.4</v>
      </c>
    </row>
    <row r="154" ht="21" customHeight="1" s="104">
      <c r="B154" s="75" t="n">
        <v>7385</v>
      </c>
      <c r="C154" s="69" t="n">
        <v>1001027067385</v>
      </c>
      <c r="D154" s="84" t="inlineStr">
        <is>
          <t>ЧИКЕН КАРРИ Папа может сос п/о мгс 1/330</t>
        </is>
      </c>
      <c r="E154" s="61" t="n"/>
      <c r="F154" s="75" t="inlineStr">
        <is>
          <t>ШТ</t>
        </is>
      </c>
      <c r="G154" s="76" t="n">
        <v>0.33</v>
      </c>
    </row>
    <row r="155" ht="21" customHeight="1" s="104">
      <c r="B155" s="9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89" t="n"/>
      <c r="F155" s="75" t="inlineStr">
        <is>
          <t>ШТ</t>
        </is>
      </c>
      <c r="G155" s="96" t="n">
        <v>0.32</v>
      </c>
    </row>
    <row r="156" ht="21" customHeight="1" s="104">
      <c r="B156" s="9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89" t="n"/>
      <c r="F156" s="75" t="inlineStr">
        <is>
          <t>ШТ</t>
        </is>
      </c>
      <c r="G156" s="96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2026-08-19T11:36:14Z</dcterms:modified>
  <cp:lastModifiedBy>Uaer4</cp:lastModifiedBy>
  <cp:lastPrinted>2015-01-13T07:32:10Z</cp:lastPrinted>
</cp:coreProperties>
</file>