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7,08,26 Останкино КИ и ЗПФ\машина САП 23,08 Донецк_Малахутин_ПРС КИ\"/>
    </mc:Choice>
  </mc:AlternateContent>
  <xr:revisionPtr revIDLastSave="0" documentId="13_ncr:1_{F4782C44-8FA8-44E3-B5A2-094436EAD8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<sst xmlns="http://schemas.openxmlformats.org/spreadsheetml/2006/main" count="677" uniqueCount="221">
  <si>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</si>
  <si>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</si>
  <si>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</si>
  <si>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</si>
  <si>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</si>
  <si>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</si>
  <si>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</si>
  <si>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</si>
  <si>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</si>
  <si>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</si>
  <si>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</si>
  <si>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</si>
  <si>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</si>
  <si>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</si>
  <si>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</si>
  <si>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</si>
  <si>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</si>
  <si>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</si>
  <si>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</si>
  <si>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</si>
  <si>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</si>
  <si>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</si>
  <si>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</si>
  <si>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</si>
  <si>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</si>
  <si>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</si>
  <si>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</si>
  <si>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</si>
  <si>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</si>
  <si>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</si>
  <si>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</si>
  <si>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</si>
  <si>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</si>
  <si>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</si>
  <si>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</si>
  <si>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</si>
  <si>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</si>
  <si>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</si>
  <si>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</si>
  <si>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</si>
  <si>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</si>
  <si>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</si>
  <si>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</si>
  <si>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</si>
  <si>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</si>
  <si>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</si>
  <si>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</si>
  <si>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</si>
  <si>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</si>
  <si>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</si>
  <si>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</si>
  <si>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</si>
  <si>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</si>
  <si>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</si>
  <si>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</si>
  <si>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</si>
  <si>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</si>
  <si>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</si>
  <si>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</si>
  <si>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</si>
  <si>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</si>
  <si>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</si>
  <si>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</si>
  <si>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</si>
  <si>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</si>
  <si>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</si>
  <si>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</si>
  <si>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</si>
  <si>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</si>
  <si>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</si>
  <si>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</si>
  <si>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</si>
  <si>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</si>
  <si>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</si>
  <si>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</si>
  <si>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</si>
  <si>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</si>
  <si>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</si>
  <si>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</si>
  <si>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</si>
  <si>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</si>
  <si>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</si>
  <si>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</si>
  <si>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</si>
  <si>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</si>
  <si>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</si>
  <si>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</si>
  <si>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</si>
  <si>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</si>
  <si>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</si>
  <si>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</si>
  <si>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</si>
  <si>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</si>
  <si>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</si>
  <si>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</si>
  <si>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</si>
  <si>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</si>
  <si>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</si>
  <si>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</si>
  <si>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</si>
  <si>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</si>
  <si>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</si>
  <si>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</si>
  <si>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</si>
  <si>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</si>
  <si>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</si>
  <si>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</si>
  <si>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</si>
  <si>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</si>
  <si>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</si>
  <si>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</si>
  <si>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</si>
  <si>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</si>
  <si>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</si>
  <si>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</si>
  <si>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</si>
  <si>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</si>
  <si>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</si>
  <si>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</si>
  <si>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</si>
  <si>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</si>
  <si>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</si>
  <si>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</si>
  <si>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</si>
  <si>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</si>
  <si>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</si>
  <si>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</si>
  <si>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</si>
  <si>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</si>
  <si>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</si>
  <si>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</si>
  <si>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</si>
  <si>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</si>
  <si>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</si>
  <si>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</si>
  <si>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</si>
  <si>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</si>
  <si>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</si>
  <si>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</si>
  <si>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</si>
  <si>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</si>
  <si>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</si>
  <si>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</si>
  <si>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</si>
  <si>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</si>
  <si>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</si>
  <si>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</si>
  <si>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</si>
  <si>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</si>
  <si>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</si>
  <si>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</si>
  <si>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</si>
  <si>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</si>
  <si>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</si>
  <si>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</si>
  <si>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</si>
  <si>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</si>
  <si>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</si>
  <si>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</si>
  <si>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</si>
  <si>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</si>
  <si>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</si>
  <si>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</si>
  <si>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</si>
  <si>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</si>
  <si>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</si>
  <si>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</si>
  <si>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</si>
  <si>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</si>
  <si>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</si>
  <si>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</si>
  <si>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</si>
  <si>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</si>
  <si>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</si>
  <si>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</si>
  <si>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</si>
  <si>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</si>
  <si>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</si>
  <si>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</si>
  <si>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</si>
  <si>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</si>
  <si>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</si>
  <si>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</si>
  <si>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</si>
  <si>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</si>
  <si>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</si>
  <si>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</si>
  <si>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</si>
  <si>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</si>
  <si>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</si>
  <si>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</si>
  <si>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</si>
  <si>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</si>
  <si>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</si>
  <si>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</si>
  <si>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</si>
  <si>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</si>
  <si>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</si>
  <si>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</si>
  <si>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</si>
  <si>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</si>
  <si>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</si>
  <si>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</si>
  <si>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</si>
  <si>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</si>
  <si>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</si>
  <si>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</si>
  <si>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</si>
  <si>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</si>
  <si>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</si>
  <si>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</si>
  <si>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</si>
  <si>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</si>
  <si>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</si>
  <si>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</si>
  <si>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</si>
  <si>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</si>
  <si>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</si>
  <si>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</si>
  <si>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</si>
  <si>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партнер"ПРС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</si>
</sst>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Normal="100" workbookViewId="0">
      <pane ySplit="9" topLeftCell="A10" activePane="bottomLeft" state="frozen"/>
      <selection pane="bottomLeft" activeCell="J23" sqref="J2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46257</v>
      </c>
      <c r="E3" s="7" t="s">
        <v>2</v>
      </c>
      <c r="F3" s="55">
        <f>D3+3</f>
        <v>46260</v>
      </c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185</v>
      </c>
      <c r="F23" s="23">
        <v>0.4</v>
      </c>
      <c r="G23" s="23">
        <f t="shared" si="2"/>
        <v>74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74</v>
      </c>
      <c r="F29" s="23">
        <v>0.4</v>
      </c>
      <c r="G29" s="23">
        <f t="shared" si="4"/>
        <v>29.6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173</v>
      </c>
      <c r="F30" s="23">
        <v>0.4</v>
      </c>
      <c r="G30" s="23">
        <f t="shared" si="4"/>
        <v>69.2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>
        <v>115</v>
      </c>
      <c r="F31" s="23">
        <v>0.4</v>
      </c>
      <c r="G31" s="23">
        <f t="shared" si="4"/>
        <v>46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170</v>
      </c>
      <c r="F33" s="60">
        <v>0.3</v>
      </c>
      <c r="G33" s="23">
        <f t="shared" si="4"/>
        <v>51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94</v>
      </c>
      <c r="F49" s="60">
        <v>0.36</v>
      </c>
      <c r="G49" s="23">
        <f t="shared" si="6"/>
        <v>33.839999999999996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74</v>
      </c>
      <c r="F52" s="60">
        <v>0.4</v>
      </c>
      <c r="G52" s="23">
        <f t="shared" si="6"/>
        <v>29.6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44</v>
      </c>
      <c r="F55" s="60">
        <v>0.33</v>
      </c>
      <c r="G55" s="23">
        <f>E55*F55</f>
        <v>14.520000000000001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173</v>
      </c>
      <c r="F58" s="60">
        <v>0.4</v>
      </c>
      <c r="G58" s="23">
        <f t="shared" si="6"/>
        <v>69.2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41</v>
      </c>
      <c r="F59" s="23">
        <v>0.41</v>
      </c>
      <c r="G59" s="23">
        <f t="shared" si="6"/>
        <v>16.809999999999999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141</v>
      </c>
      <c r="F61" s="23">
        <v>0.41</v>
      </c>
      <c r="G61" s="23">
        <f t="shared" si="6"/>
        <v>57.809999999999995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15</v>
      </c>
      <c r="F62" s="23">
        <v>0.41</v>
      </c>
      <c r="G62" s="23">
        <f t="shared" si="6"/>
        <v>6.1499999999999995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159</v>
      </c>
      <c r="F63" s="23">
        <v>0.4</v>
      </c>
      <c r="G63" s="23">
        <f t="shared" si="6"/>
        <v>63.6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46</v>
      </c>
      <c r="F68" s="23">
        <v>0.3</v>
      </c>
      <c r="G68" s="23">
        <f t="shared" si="6"/>
        <v>13.799999999999999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92</v>
      </c>
      <c r="F69" s="23">
        <v>0.3</v>
      </c>
      <c r="G69" s="23">
        <f t="shared" si="6"/>
        <v>27.599999999999998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151</v>
      </c>
      <c r="F94" s="23">
        <v>0.35</v>
      </c>
      <c r="G94" s="23">
        <f t="shared" si="11"/>
        <v>52.849999999999994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117</v>
      </c>
      <c r="F95" s="23">
        <v>0.35</v>
      </c>
      <c r="G95" s="23">
        <f t="shared" si="11"/>
        <v>40.949999999999996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104</v>
      </c>
      <c r="F97" s="23">
        <v>0.28000000000000003</v>
      </c>
      <c r="G97" s="23">
        <f t="shared" si="11"/>
        <v>29.120000000000005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108</v>
      </c>
      <c r="F98" s="23">
        <v>0.35</v>
      </c>
      <c r="G98" s="23">
        <f t="shared" si="11"/>
        <v>37.799999999999997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110</v>
      </c>
      <c r="F100" s="23">
        <v>0.35</v>
      </c>
      <c r="G100" s="23">
        <f t="shared" si="11"/>
        <v>38.5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86</v>
      </c>
      <c r="F103" s="23">
        <v>0.28000000000000003</v>
      </c>
      <c r="G103" s="23">
        <f t="shared" si="11"/>
        <v>24.080000000000002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2</v>
      </c>
      <c r="F119" s="23">
        <v>0.25</v>
      </c>
      <c r="G119" s="23">
        <f t="shared" si="13"/>
        <v>0.5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28</v>
      </c>
      <c r="F122" s="23">
        <v>0.25</v>
      </c>
      <c r="G122" s="23">
        <f t="shared" si="13"/>
        <v>7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40</v>
      </c>
      <c r="F123" s="23">
        <v>0.25</v>
      </c>
      <c r="G123" s="23">
        <f t="shared" si="13"/>
        <v>10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>
        <v>40</v>
      </c>
      <c r="F124" s="23">
        <v>0.25</v>
      </c>
      <c r="G124" s="23">
        <f t="shared" si="13"/>
        <v>10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193</v>
      </c>
      <c r="F125" s="23">
        <v>0.25</v>
      </c>
      <c r="G125" s="23">
        <f t="shared" si="13"/>
        <v>48.25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222</v>
      </c>
      <c r="F126" s="23">
        <v>0.22</v>
      </c>
      <c r="G126" s="23">
        <f t="shared" si="13"/>
        <v>48.84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200</v>
      </c>
      <c r="F130" s="23">
        <v>0.15</v>
      </c>
      <c r="G130" s="23">
        <f t="shared" si="15"/>
        <v>30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174</v>
      </c>
      <c r="F131" s="23">
        <v>0.12</v>
      </c>
      <c r="G131" s="23">
        <f t="shared" si="15"/>
        <v>20.88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89</v>
      </c>
      <c r="F133" s="23">
        <v>0.1</v>
      </c>
      <c r="G133" s="23">
        <f t="shared" si="15"/>
        <v>8.9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124</v>
      </c>
      <c r="F134" s="23">
        <v>0.09</v>
      </c>
      <c r="G134" s="23">
        <f t="shared" si="15"/>
        <v>11.16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76</v>
      </c>
      <c r="F135" s="23">
        <v>0.09</v>
      </c>
      <c r="G135" s="23">
        <f t="shared" si="15"/>
        <v>6.84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8</v>
      </c>
      <c r="F147" s="60">
        <v>0.4</v>
      </c>
      <c r="G147" s="23">
        <f t="shared" ref="G147:G150" si="17">E147*F147</f>
        <v>3.2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32</v>
      </c>
      <c r="F148" s="60">
        <v>0.4</v>
      </c>
      <c r="G148" s="23">
        <f t="shared" si="17"/>
        <v>12.8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150</v>
      </c>
      <c r="F151" s="60">
        <v>0.1</v>
      </c>
      <c r="G151" s="23">
        <f>E151*F151</f>
        <v>15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>
        <v>150</v>
      </c>
      <c r="F152" s="60">
        <v>0.1</v>
      </c>
      <c r="G152" s="23">
        <f>E152*F152</f>
        <v>15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127</v>
      </c>
      <c r="F159" s="23">
        <v>0.3</v>
      </c>
      <c r="G159" s="23">
        <f t="shared" si="18"/>
        <v>38.1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</v>
      </c>
      <c r="F160" s="23">
        <v>0.18</v>
      </c>
      <c r="G160" s="23">
        <f t="shared" si="18"/>
        <v>0.72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166</v>
      </c>
      <c r="F161" s="23">
        <v>0.15</v>
      </c>
      <c r="G161" s="23">
        <f t="shared" si="18"/>
        <v>24.9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126</v>
      </c>
      <c r="F163" s="23">
        <v>0.1</v>
      </c>
      <c r="G163" s="23">
        <f t="shared" si="18"/>
        <v>12.600000000000001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20</v>
      </c>
      <c r="F164" s="23">
        <v>0.09</v>
      </c>
      <c r="G164" s="23">
        <f t="shared" si="18"/>
        <v>1.7999999999999998</v>
      </c>
      <c r="H164" s="14">
        <v>0.72</v>
      </c>
      <c r="I164" s="14">
        <v>60</v>
      </c>
      <c r="J164" s="29"/>
      <c r="L164" s="122"/>
    </row>
    <row r="165" spans="1:12" ht="16.5" customHeight="1" thickBo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25</v>
      </c>
      <c r="F165" s="23">
        <v>0.15</v>
      </c>
      <c r="G165" s="23">
        <f t="shared" si="18"/>
        <v>3.75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4268</v>
      </c>
      <c r="F168" s="17"/>
      <c r="G168" s="17">
        <f>SUM(G11:G167)</f>
        <v>1156.2699999999998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2026-08-24T12:50:50Z</dcterms:modified>
</cp:coreProperties>
</file>