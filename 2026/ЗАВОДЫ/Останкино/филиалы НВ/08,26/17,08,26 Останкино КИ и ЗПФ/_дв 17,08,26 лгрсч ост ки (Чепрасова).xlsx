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BF5B96BB-2D50-491C-8D9A-8E2BF05896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4" i="1" l="1"/>
  <c r="Q104" i="1"/>
  <c r="T104" i="1" s="1"/>
  <c r="M104" i="1"/>
  <c r="Q103" i="1"/>
  <c r="AF103" i="1" s="1"/>
  <c r="M103" i="1"/>
  <c r="Q102" i="1"/>
  <c r="M102" i="1"/>
  <c r="F102" i="1"/>
  <c r="Q101" i="1"/>
  <c r="M101" i="1"/>
  <c r="F101" i="1"/>
  <c r="F100" i="1"/>
  <c r="E100" i="1"/>
  <c r="M100" i="1" s="1"/>
  <c r="F99" i="1"/>
  <c r="E99" i="1"/>
  <c r="Q99" i="1" s="1"/>
  <c r="Q98" i="1"/>
  <c r="T98" i="1" s="1"/>
  <c r="M98" i="1"/>
  <c r="Q97" i="1"/>
  <c r="R97" i="1" s="1"/>
  <c r="AF97" i="1" s="1"/>
  <c r="M97" i="1"/>
  <c r="Q96" i="1"/>
  <c r="S96" i="1" s="1"/>
  <c r="M96" i="1"/>
  <c r="Q95" i="1"/>
  <c r="T95" i="1" s="1"/>
  <c r="M95" i="1"/>
  <c r="Q94" i="1"/>
  <c r="M94" i="1"/>
  <c r="Q93" i="1"/>
  <c r="M93" i="1"/>
  <c r="Q92" i="1"/>
  <c r="S92" i="1" s="1"/>
  <c r="M92" i="1"/>
  <c r="Q91" i="1"/>
  <c r="T91" i="1" s="1"/>
  <c r="M91" i="1"/>
  <c r="Q90" i="1"/>
  <c r="S90" i="1" s="1"/>
  <c r="M90" i="1"/>
  <c r="Q89" i="1"/>
  <c r="T89" i="1" s="1"/>
  <c r="M89" i="1"/>
  <c r="Q88" i="1"/>
  <c r="M88" i="1"/>
  <c r="Q87" i="1"/>
  <c r="T87" i="1" s="1"/>
  <c r="M87" i="1"/>
  <c r="Q86" i="1"/>
  <c r="S86" i="1" s="1"/>
  <c r="M86" i="1"/>
  <c r="Q85" i="1"/>
  <c r="S85" i="1" s="1"/>
  <c r="M85" i="1"/>
  <c r="Q84" i="1"/>
  <c r="M84" i="1"/>
  <c r="Q83" i="1"/>
  <c r="T83" i="1" s="1"/>
  <c r="M83" i="1"/>
  <c r="Q82" i="1"/>
  <c r="T82" i="1" s="1"/>
  <c r="M82" i="1"/>
  <c r="Q81" i="1"/>
  <c r="T81" i="1" s="1"/>
  <c r="M81" i="1"/>
  <c r="Q80" i="1"/>
  <c r="R80" i="1" s="1"/>
  <c r="M80" i="1"/>
  <c r="Q79" i="1"/>
  <c r="T79" i="1" s="1"/>
  <c r="M79" i="1"/>
  <c r="Q78" i="1"/>
  <c r="T78" i="1" s="1"/>
  <c r="M78" i="1"/>
  <c r="Q77" i="1"/>
  <c r="T77" i="1" s="1"/>
  <c r="M77" i="1"/>
  <c r="Q76" i="1"/>
  <c r="T76" i="1" s="1"/>
  <c r="M76" i="1"/>
  <c r="Q75" i="1"/>
  <c r="T75" i="1" s="1"/>
  <c r="M75" i="1"/>
  <c r="Q74" i="1"/>
  <c r="T74" i="1" s="1"/>
  <c r="M74" i="1"/>
  <c r="Q73" i="1"/>
  <c r="T73" i="1" s="1"/>
  <c r="M73" i="1"/>
  <c r="Q72" i="1"/>
  <c r="T72" i="1" s="1"/>
  <c r="M72" i="1"/>
  <c r="Q71" i="1"/>
  <c r="T71" i="1" s="1"/>
  <c r="M71" i="1"/>
  <c r="Q70" i="1"/>
  <c r="T70" i="1" s="1"/>
  <c r="M70" i="1"/>
  <c r="Q69" i="1"/>
  <c r="T69" i="1" s="1"/>
  <c r="M69" i="1"/>
  <c r="Q68" i="1"/>
  <c r="R68" i="1" s="1"/>
  <c r="AF68" i="1" s="1"/>
  <c r="M68" i="1"/>
  <c r="Q67" i="1"/>
  <c r="AF67" i="1" s="1"/>
  <c r="M67" i="1"/>
  <c r="Q66" i="1"/>
  <c r="T66" i="1" s="1"/>
  <c r="M66" i="1"/>
  <c r="Q65" i="1"/>
  <c r="T65" i="1" s="1"/>
  <c r="M65" i="1"/>
  <c r="Q64" i="1"/>
  <c r="R64" i="1" s="1"/>
  <c r="M64" i="1"/>
  <c r="Q63" i="1"/>
  <c r="T63" i="1" s="1"/>
  <c r="M63" i="1"/>
  <c r="Q62" i="1"/>
  <c r="M62" i="1"/>
  <c r="F62" i="1"/>
  <c r="Q61" i="1"/>
  <c r="T61" i="1" s="1"/>
  <c r="M61" i="1"/>
  <c r="Q60" i="1"/>
  <c r="M60" i="1"/>
  <c r="Q59" i="1"/>
  <c r="T59" i="1" s="1"/>
  <c r="M59" i="1"/>
  <c r="Q58" i="1"/>
  <c r="T58" i="1" s="1"/>
  <c r="M58" i="1"/>
  <c r="Q57" i="1"/>
  <c r="S57" i="1" s="1"/>
  <c r="M57" i="1"/>
  <c r="Q56" i="1"/>
  <c r="S56" i="1" s="1"/>
  <c r="M56" i="1"/>
  <c r="Q55" i="1"/>
  <c r="AF55" i="1" s="1"/>
  <c r="M55" i="1"/>
  <c r="Q54" i="1"/>
  <c r="T54" i="1" s="1"/>
  <c r="M54" i="1"/>
  <c r="Q53" i="1"/>
  <c r="M53" i="1"/>
  <c r="Q52" i="1"/>
  <c r="T52" i="1" s="1"/>
  <c r="M52" i="1"/>
  <c r="Q51" i="1"/>
  <c r="M51" i="1"/>
  <c r="Q50" i="1"/>
  <c r="T50" i="1" s="1"/>
  <c r="M50" i="1"/>
  <c r="Q49" i="1"/>
  <c r="M49" i="1"/>
  <c r="Q48" i="1"/>
  <c r="T48" i="1" s="1"/>
  <c r="M48" i="1"/>
  <c r="Q47" i="1"/>
  <c r="M47" i="1"/>
  <c r="Q46" i="1"/>
  <c r="T46" i="1" s="1"/>
  <c r="M46" i="1"/>
  <c r="Q45" i="1"/>
  <c r="R45" i="1" s="1"/>
  <c r="M45" i="1"/>
  <c r="Q44" i="1"/>
  <c r="R44" i="1" s="1"/>
  <c r="M44" i="1"/>
  <c r="Q43" i="1"/>
  <c r="R43" i="1" s="1"/>
  <c r="M43" i="1"/>
  <c r="Q42" i="1"/>
  <c r="T42" i="1" s="1"/>
  <c r="M42" i="1"/>
  <c r="Q41" i="1"/>
  <c r="M41" i="1"/>
  <c r="Q40" i="1"/>
  <c r="T40" i="1" s="1"/>
  <c r="M40" i="1"/>
  <c r="Q39" i="1"/>
  <c r="R39" i="1" s="1"/>
  <c r="AF39" i="1" s="1"/>
  <c r="M39" i="1"/>
  <c r="Q38" i="1"/>
  <c r="T38" i="1" s="1"/>
  <c r="M38" i="1"/>
  <c r="Q37" i="1"/>
  <c r="T37" i="1" s="1"/>
  <c r="M37" i="1"/>
  <c r="Q36" i="1"/>
  <c r="T36" i="1" s="1"/>
  <c r="M36" i="1"/>
  <c r="Q35" i="1"/>
  <c r="S35" i="1" s="1"/>
  <c r="M35" i="1"/>
  <c r="Q34" i="1"/>
  <c r="S34" i="1" s="1"/>
  <c r="M34" i="1"/>
  <c r="Q33" i="1"/>
  <c r="T33" i="1" s="1"/>
  <c r="M33" i="1"/>
  <c r="Q32" i="1"/>
  <c r="S32" i="1" s="1"/>
  <c r="M32" i="1"/>
  <c r="Q31" i="1"/>
  <c r="T31" i="1" s="1"/>
  <c r="M31" i="1"/>
  <c r="Q30" i="1"/>
  <c r="T30" i="1" s="1"/>
  <c r="M30" i="1"/>
  <c r="Q29" i="1"/>
  <c r="T29" i="1" s="1"/>
  <c r="M29" i="1"/>
  <c r="Q28" i="1"/>
  <c r="T28" i="1" s="1"/>
  <c r="M28" i="1"/>
  <c r="Q27" i="1"/>
  <c r="T27" i="1" s="1"/>
  <c r="M27" i="1"/>
  <c r="Q26" i="1"/>
  <c r="T26" i="1" s="1"/>
  <c r="M26" i="1"/>
  <c r="Q25" i="1"/>
  <c r="T25" i="1" s="1"/>
  <c r="M25" i="1"/>
  <c r="Q24" i="1"/>
  <c r="R24" i="1" s="1"/>
  <c r="M24" i="1"/>
  <c r="Q23" i="1"/>
  <c r="T23" i="1" s="1"/>
  <c r="M23" i="1"/>
  <c r="Q22" i="1"/>
  <c r="T22" i="1" s="1"/>
  <c r="M22" i="1"/>
  <c r="Q21" i="1"/>
  <c r="T21" i="1" s="1"/>
  <c r="M21" i="1"/>
  <c r="Q20" i="1"/>
  <c r="T20" i="1" s="1"/>
  <c r="M20" i="1"/>
  <c r="Q19" i="1"/>
  <c r="T19" i="1" s="1"/>
  <c r="M19" i="1"/>
  <c r="Q18" i="1"/>
  <c r="R18" i="1" s="1"/>
  <c r="M18" i="1"/>
  <c r="Q17" i="1"/>
  <c r="T17" i="1" s="1"/>
  <c r="M17" i="1"/>
  <c r="Q16" i="1"/>
  <c r="T16" i="1" s="1"/>
  <c r="M16" i="1"/>
  <c r="Q15" i="1"/>
  <c r="T15" i="1" s="1"/>
  <c r="M15" i="1"/>
  <c r="Q14" i="1"/>
  <c r="R14" i="1" s="1"/>
  <c r="AF14" i="1" s="1"/>
  <c r="M14" i="1"/>
  <c r="Q13" i="1"/>
  <c r="T13" i="1" s="1"/>
  <c r="M13" i="1"/>
  <c r="Q12" i="1"/>
  <c r="R12" i="1" s="1"/>
  <c r="M12" i="1"/>
  <c r="Q11" i="1"/>
  <c r="T11" i="1" s="1"/>
  <c r="M11" i="1"/>
  <c r="Q10" i="1"/>
  <c r="R10" i="1" s="1"/>
  <c r="M10" i="1"/>
  <c r="Q9" i="1"/>
  <c r="T9" i="1" s="1"/>
  <c r="M9" i="1"/>
  <c r="Q8" i="1"/>
  <c r="R8" i="1" s="1"/>
  <c r="M8" i="1"/>
  <c r="Q7" i="1"/>
  <c r="M7" i="1"/>
  <c r="Q6" i="1"/>
  <c r="M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L5" i="1"/>
  <c r="T102" i="1" l="1"/>
  <c r="AF12" i="1"/>
  <c r="R38" i="1"/>
  <c r="AF38" i="1" s="1"/>
  <c r="R40" i="1"/>
  <c r="AF40" i="1" s="1"/>
  <c r="R47" i="1"/>
  <c r="AF47" i="1" s="1"/>
  <c r="R52" i="1"/>
  <c r="AF52" i="1" s="1"/>
  <c r="R72" i="1"/>
  <c r="AF72" i="1" s="1"/>
  <c r="T62" i="1"/>
  <c r="AF10" i="1"/>
  <c r="AF80" i="1"/>
  <c r="AF41" i="1"/>
  <c r="R11" i="1"/>
  <c r="AF11" i="1" s="1"/>
  <c r="AF18" i="1"/>
  <c r="R51" i="1"/>
  <c r="AF51" i="1" s="1"/>
  <c r="R74" i="1"/>
  <c r="AF74" i="1" s="1"/>
  <c r="R88" i="1"/>
  <c r="AF88" i="1" s="1"/>
  <c r="AF43" i="1"/>
  <c r="R69" i="1"/>
  <c r="AF69" i="1" s="1"/>
  <c r="R75" i="1"/>
  <c r="AF75" i="1" s="1"/>
  <c r="R76" i="1"/>
  <c r="AF76" i="1" s="1"/>
  <c r="R84" i="1"/>
  <c r="AF84" i="1" s="1"/>
  <c r="R22" i="1"/>
  <c r="AF22" i="1" s="1"/>
  <c r="R60" i="1"/>
  <c r="AF60" i="1" s="1"/>
  <c r="R89" i="1"/>
  <c r="AF89" i="1" s="1"/>
  <c r="T68" i="1"/>
  <c r="T60" i="1"/>
  <c r="AF102" i="1"/>
  <c r="R81" i="1"/>
  <c r="AF81" i="1" s="1"/>
  <c r="T86" i="1"/>
  <c r="R9" i="1"/>
  <c r="AF9" i="1" s="1"/>
  <c r="AF30" i="1"/>
  <c r="T41" i="1"/>
  <c r="R59" i="1"/>
  <c r="AF59" i="1" s="1"/>
  <c r="AF61" i="1"/>
  <c r="F5" i="1"/>
  <c r="AF73" i="1"/>
  <c r="T32" i="1"/>
  <c r="R77" i="1"/>
  <c r="AF77" i="1" s="1"/>
  <c r="R79" i="1"/>
  <c r="AF79" i="1" s="1"/>
  <c r="S64" i="1"/>
  <c r="AF64" i="1"/>
  <c r="T99" i="1"/>
  <c r="AF31" i="1"/>
  <c r="R78" i="1"/>
  <c r="AF78" i="1" s="1"/>
  <c r="S14" i="1"/>
  <c r="AF33" i="1"/>
  <c r="R58" i="1"/>
  <c r="AF58" i="1" s="1"/>
  <c r="T64" i="1"/>
  <c r="R37" i="1"/>
  <c r="AF37" i="1" s="1"/>
  <c r="R13" i="1"/>
  <c r="AF13" i="1" s="1"/>
  <c r="R82" i="1"/>
  <c r="AF82" i="1" s="1"/>
  <c r="AF15" i="1"/>
  <c r="AF62" i="1"/>
  <c r="AF16" i="1"/>
  <c r="R87" i="1"/>
  <c r="AF87" i="1" s="1"/>
  <c r="R17" i="1"/>
  <c r="AF17" i="1" s="1"/>
  <c r="AF42" i="1"/>
  <c r="AF65" i="1"/>
  <c r="AF66" i="1"/>
  <c r="S80" i="1"/>
  <c r="S95" i="1"/>
  <c r="AF20" i="1"/>
  <c r="AF44" i="1"/>
  <c r="AF93" i="1"/>
  <c r="T24" i="1"/>
  <c r="AF21" i="1"/>
  <c r="AF45" i="1"/>
  <c r="AF94" i="1"/>
  <c r="S67" i="1"/>
  <c r="AF46" i="1"/>
  <c r="S18" i="1"/>
  <c r="AF23" i="1"/>
  <c r="R70" i="1"/>
  <c r="AF70" i="1" s="1"/>
  <c r="R98" i="1"/>
  <c r="AF98" i="1" s="1"/>
  <c r="S97" i="1"/>
  <c r="AF24" i="1"/>
  <c r="AF48" i="1"/>
  <c r="AF71" i="1"/>
  <c r="AF99" i="1"/>
  <c r="S68" i="1"/>
  <c r="R25" i="1"/>
  <c r="AF25" i="1" s="1"/>
  <c r="R49" i="1"/>
  <c r="AF49" i="1" s="1"/>
  <c r="R26" i="1"/>
  <c r="AF26" i="1" s="1"/>
  <c r="R50" i="1"/>
  <c r="AF50" i="1" s="1"/>
  <c r="R101" i="1"/>
  <c r="AF101" i="1" s="1"/>
  <c r="T90" i="1"/>
  <c r="AF6" i="1"/>
  <c r="AF27" i="1"/>
  <c r="S12" i="1"/>
  <c r="T12" i="1"/>
  <c r="S41" i="1"/>
  <c r="R7" i="1"/>
  <c r="AF7" i="1" s="1"/>
  <c r="R28" i="1"/>
  <c r="E5" i="1"/>
  <c r="AF8" i="1"/>
  <c r="R29" i="1"/>
  <c r="AF29" i="1" s="1"/>
  <c r="R53" i="1"/>
  <c r="AF53" i="1" s="1"/>
  <c r="R104" i="1"/>
  <c r="AF104" i="1" s="1"/>
  <c r="S55" i="1"/>
  <c r="S10" i="1"/>
  <c r="S103" i="1"/>
  <c r="S16" i="1"/>
  <c r="S39" i="1"/>
  <c r="Q100" i="1"/>
  <c r="Q5" i="1" s="1"/>
  <c r="T57" i="1"/>
  <c r="T45" i="1"/>
  <c r="T8" i="1"/>
  <c r="T101" i="1"/>
  <c r="T80" i="1"/>
  <c r="T53" i="1"/>
  <c r="T49" i="1"/>
  <c r="M99" i="1"/>
  <c r="M5" i="1" s="1"/>
  <c r="T103" i="1"/>
  <c r="S63" i="1"/>
  <c r="T92" i="1"/>
  <c r="T6" i="1"/>
  <c r="T14" i="1"/>
  <c r="T43" i="1"/>
  <c r="T55" i="1"/>
  <c r="S31" i="1"/>
  <c r="T7" i="1"/>
  <c r="T44" i="1"/>
  <c r="T56" i="1"/>
  <c r="S73" i="1"/>
  <c r="T85" i="1"/>
  <c r="T94" i="1"/>
  <c r="S83" i="1"/>
  <c r="T34" i="1"/>
  <c r="T67" i="1"/>
  <c r="T10" i="1"/>
  <c r="T18" i="1"/>
  <c r="T39" i="1"/>
  <c r="T51" i="1"/>
  <c r="T97" i="1"/>
  <c r="T35" i="1"/>
  <c r="T84" i="1"/>
  <c r="S19" i="1"/>
  <c r="S36" i="1"/>
  <c r="T96" i="1"/>
  <c r="T47" i="1"/>
  <c r="T88" i="1"/>
  <c r="T93" i="1"/>
  <c r="S91" i="1"/>
  <c r="S54" i="1"/>
  <c r="S38" i="1" l="1"/>
  <c r="S47" i="1"/>
  <c r="S60" i="1"/>
  <c r="S26" i="1"/>
  <c r="S84" i="1"/>
  <c r="S88" i="1"/>
  <c r="S43" i="1"/>
  <c r="S51" i="1"/>
  <c r="S102" i="1"/>
  <c r="S9" i="1"/>
  <c r="S72" i="1"/>
  <c r="S13" i="1"/>
  <c r="S104" i="1"/>
  <c r="S29" i="1"/>
  <c r="S81" i="1"/>
  <c r="S62" i="1"/>
  <c r="S59" i="1"/>
  <c r="S21" i="1"/>
  <c r="S25" i="1"/>
  <c r="S74" i="1"/>
  <c r="S30" i="1"/>
  <c r="S77" i="1"/>
  <c r="S76" i="1"/>
  <c r="S53" i="1"/>
  <c r="S23" i="1"/>
  <c r="S79" i="1"/>
  <c r="S61" i="1"/>
  <c r="S40" i="1"/>
  <c r="S78" i="1"/>
  <c r="S69" i="1"/>
  <c r="S65" i="1"/>
  <c r="S87" i="1"/>
  <c r="S50" i="1"/>
  <c r="S46" i="1"/>
  <c r="S42" i="1"/>
  <c r="S49" i="1"/>
  <c r="S94" i="1"/>
  <c r="S27" i="1"/>
  <c r="S17" i="1"/>
  <c r="S7" i="1"/>
  <c r="S93" i="1"/>
  <c r="S20" i="1"/>
  <c r="S24" i="1"/>
  <c r="T100" i="1"/>
  <c r="R100" i="1"/>
  <c r="R5" i="1" s="1"/>
  <c r="S99" i="1"/>
  <c r="S98" i="1"/>
  <c r="S37" i="1"/>
  <c r="S75" i="1"/>
  <c r="S82" i="1"/>
  <c r="S89" i="1"/>
  <c r="S71" i="1"/>
  <c r="S44" i="1"/>
  <c r="AF28" i="1"/>
  <c r="S28" i="1"/>
  <c r="S52" i="1"/>
  <c r="S48" i="1"/>
  <c r="S70" i="1"/>
  <c r="S8" i="1"/>
  <c r="S6" i="1"/>
  <c r="S66" i="1"/>
  <c r="S58" i="1"/>
  <c r="S22" i="1"/>
  <c r="S11" i="1"/>
  <c r="S45" i="1"/>
  <c r="S15" i="1"/>
  <c r="S33" i="1"/>
  <c r="S101" i="1"/>
  <c r="AF100" i="1" l="1"/>
  <c r="AF5" i="1" s="1"/>
  <c r="S100" i="1"/>
</calcChain>
</file>

<file path=xl/sharedStrings.xml><?xml version="1.0" encoding="utf-8"?>
<sst xmlns="http://schemas.openxmlformats.org/spreadsheetml/2006/main" count="403" uniqueCount="170">
  <si>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</si>
  <si>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</si>
  <si>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</si>
  <si>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</si>
  <si>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</si>
  <si>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</si>
  <si>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</si>
  <si>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</si>
  <si>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</si>
  <si>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</si>
  <si>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</si>
  <si>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</si>
  <si>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</si>
  <si>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</si>
  <si>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</si>
  <si>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</si>
  <si>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</si>
  <si>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</si>
  <si>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</si>
  <si>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</si>
  <si>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</si>
  <si>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</si>
  <si>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</si>
  <si>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</si>
  <si>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</si>
  <si>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</si>
  <si>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</si>
  <si>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</si>
  <si>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</si>
  <si>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</si>
  <si>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</si>
  <si>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</si>
  <si>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</si>
  <si>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кг</t>
  </si>
  <si>
    <t>матрица</t>
  </si>
  <si>
    <t>новинка / Главторг (нет артикула)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</si>
  <si>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</si>
  <si>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</si>
  <si>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</si>
  <si>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</si>
  <si>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</si>
  <si>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</si>
  <si>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</si>
  <si>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</si>
  <si>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</si>
  <si>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</si>
  <si>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</si>
  <si>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</si>
  <si>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</si>
  <si>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</si>
  <si>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 / 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</si>
  <si>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</si>
  <si>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</si>
  <si>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нужно увеличить продажи</t>
  </si>
  <si>
    <t>5675 АРОМАТНАЯ с/к с/н в/у 1/100*8_60с  ОСТАНКИНО</t>
  </si>
  <si>
    <t>не в матрице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</si>
  <si>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</si>
  <si>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</si>
  <si>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</si>
  <si>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</si>
  <si>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</si>
  <si>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</si>
  <si>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</si>
  <si>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</si>
  <si>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</si>
  <si>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</si>
  <si>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</si>
  <si>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</si>
  <si>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</si>
  <si>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</si>
  <si>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</si>
  <si>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</si>
  <si>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</si>
  <si>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</si>
  <si>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</si>
  <si>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</si>
  <si>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</si>
  <si>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</si>
  <si>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</si>
  <si>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</si>
  <si>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ротация на 7613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</si>
  <si>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</si>
  <si>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</si>
  <si>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</si>
  <si>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</si>
  <si>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</si>
  <si>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</si>
  <si>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</si>
  <si>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</si>
  <si>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</si>
  <si>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</si>
  <si>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</si>
  <si>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</si>
  <si>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</si>
  <si>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</si>
  <si>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</si>
  <si>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</si>
  <si>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</si>
  <si>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</si>
  <si>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</si>
  <si>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</si>
  <si>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</si>
  <si>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</si>
  <si>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</si>
  <si>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</si>
  <si>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</si>
  <si>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</si>
  <si>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</si>
  <si>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</si>
  <si>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</si>
  <si>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</si>
  <si>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</si>
  <si>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</si>
  <si>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</si>
  <si>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</si>
  <si>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</si>
  <si>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</si>
  <si>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</si>
  <si>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</si>
  <si>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нужно увеличить продажи!!!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</si>
  <si>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</si>
  <si>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</si>
  <si>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</si>
  <si>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</si>
  <si>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</si>
  <si>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</si>
  <si>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</si>
  <si>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</si>
  <si>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</si>
  <si>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</si>
  <si>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</si>
  <si>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</si>
  <si>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</si>
  <si>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</si>
  <si>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</si>
  <si>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</si>
  <si>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</si>
  <si>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</si>
  <si>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</si>
  <si>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</si>
  <si>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</si>
  <si>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</si>
  <si>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</si>
  <si>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</si>
  <si>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</si>
  <si>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</si>
  <si>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убрать из заказа (03,08,26 Чепрасова) / 93шт в уценку (24,07,26) / вместо 6324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</si>
  <si>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</si>
  <si>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</si>
  <si>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</si>
  <si>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</si>
  <si>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</si>
  <si>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</si>
  <si>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</si>
  <si>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</si>
  <si>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</si>
  <si>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</si>
  <si>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</si>
  <si>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 xml:space="preserve">Потребность нет на остатке на 18.08 увеличить ТЗ </t>
  </si>
  <si>
    <t xml:space="preserve">плюсом 5 дней. Продажи за неделю 53 кг, остаток на 18.08 29 кг, увеличить ТЗ </t>
  </si>
  <si>
    <t xml:space="preserve">Нет на остатке, увеличить ТЗ </t>
  </si>
  <si>
    <t xml:space="preserve">плюсом 5 дней. Нет потребности в таком объёме, на остатках 590, продажи за неделю 110 кг </t>
  </si>
  <si>
    <t xml:space="preserve">Главторг </t>
  </si>
  <si>
    <t xml:space="preserve">нет потребности, продажи за неделю 247 кг, на 18.08 остаток 246 кг </t>
  </si>
  <si>
    <t xml:space="preserve">на 18.08 нет на остатке, увеличить тз </t>
  </si>
  <si>
    <t xml:space="preserve">Главторг,нет  на остатке 18.08, недогруз 100кг </t>
  </si>
  <si>
    <t xml:space="preserve">есть потребность, не достаточно ТЗ </t>
  </si>
  <si>
    <t>6602 БАВАРСКИЕ ПМ сос ц/о мгс 0.35кг 8шт.</t>
  </si>
  <si>
    <t>8014 ДОКТОРСКАЯ ПРЕМИУМ вар п/о(п)</t>
  </si>
  <si>
    <t>Главторг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</si>
</sst>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7" borderId="2" xfId="1" applyNumberFormat="1" applyFill="1" applyBorder="1"/>
    <xf numFmtId="164" fontId="1" fillId="0" borderId="4" xfId="1" applyNumberFormat="1" applyBorder="1"/>
    <xf numFmtId="164" fontId="1" fillId="5" borderId="3" xfId="1" applyNumberFormat="1" applyFill="1" applyBorder="1"/>
    <xf numFmtId="164" fontId="1" fillId="5" borderId="2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7" sqref="AI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1.85546875" customWidth="1"/>
    <col min="10" max="10" width="11.85546875" style="21" customWidth="1"/>
    <col min="11" max="11" width="1" customWidth="1"/>
    <col min="12" max="13" width="7" customWidth="1"/>
    <col min="14" max="15" width="0.28515625" customWidth="1"/>
    <col min="16" max="18" width="7" customWidth="1"/>
    <col min="19" max="19" width="6" customWidth="1"/>
    <col min="20" max="20" width="5" customWidth="1"/>
    <col min="21" max="30" width="6" customWidth="1"/>
    <col min="31" max="31" width="33.42578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/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/>
      <c r="P4" s="1" t="s">
        <v>22</v>
      </c>
      <c r="Q4" s="1" t="s">
        <v>22</v>
      </c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SUM(E6:E496)</f>
        <v>15663.924999999999</v>
      </c>
      <c r="F5" s="4">
        <f>SUM(F6:F496)</f>
        <v>10280.037</v>
      </c>
      <c r="G5" s="7"/>
      <c r="H5" s="1"/>
      <c r="I5" s="1"/>
      <c r="J5" s="1"/>
      <c r="K5" s="1"/>
      <c r="L5" s="4">
        <f t="shared" ref="L5:R5" si="0">SUM(L6:L496)</f>
        <v>16546.214</v>
      </c>
      <c r="M5" s="4">
        <f t="shared" si="0"/>
        <v>-882.28899999999999</v>
      </c>
      <c r="N5" s="4">
        <f t="shared" si="0"/>
        <v>0</v>
      </c>
      <c r="O5" s="4">
        <f t="shared" si="0"/>
        <v>0</v>
      </c>
      <c r="P5" s="4">
        <f t="shared" si="0"/>
        <v>12507</v>
      </c>
      <c r="Q5" s="4">
        <f t="shared" si="0"/>
        <v>3132.7850000000003</v>
      </c>
      <c r="R5" s="4">
        <f t="shared" si="0"/>
        <v>23805.943800000008</v>
      </c>
      <c r="S5" s="1"/>
      <c r="T5" s="1"/>
      <c r="U5" s="4">
        <f t="shared" ref="U5:AD5" si="1">SUM(U6:U496)</f>
        <v>2501.5754000000006</v>
      </c>
      <c r="V5" s="4">
        <f t="shared" si="1"/>
        <v>2490.3054000000002</v>
      </c>
      <c r="W5" s="4">
        <f t="shared" si="1"/>
        <v>2766.8539999999998</v>
      </c>
      <c r="X5" s="4">
        <f t="shared" si="1"/>
        <v>2317.1965999999998</v>
      </c>
      <c r="Y5" s="4">
        <f t="shared" si="1"/>
        <v>2342.6428000000001</v>
      </c>
      <c r="Z5" s="4">
        <f t="shared" si="1"/>
        <v>2526.3990000000008</v>
      </c>
      <c r="AA5" s="4">
        <f t="shared" si="1"/>
        <v>2451.4038000000005</v>
      </c>
      <c r="AB5" s="4">
        <f t="shared" si="1"/>
        <v>2386.7381999999993</v>
      </c>
      <c r="AC5" s="4">
        <f t="shared" si="1"/>
        <v>1715.5342000000005</v>
      </c>
      <c r="AD5" s="4">
        <f t="shared" si="1"/>
        <v>2137.7319999999991</v>
      </c>
      <c r="AE5" s="1"/>
      <c r="AF5" s="4">
        <f>SUM(AF6:AF496)</f>
        <v>14267.197800000002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2" t="s">
        <v>168</v>
      </c>
      <c r="B6" s="1" t="s">
        <v>33</v>
      </c>
      <c r="C6" s="1"/>
      <c r="D6" s="1"/>
      <c r="E6" s="1"/>
      <c r="F6" s="1"/>
      <c r="G6" s="7">
        <v>1</v>
      </c>
      <c r="H6" s="1"/>
      <c r="I6" s="1" t="s">
        <v>34</v>
      </c>
      <c r="J6" s="1"/>
      <c r="K6" s="1"/>
      <c r="L6" s="1"/>
      <c r="M6" s="1">
        <f t="shared" ref="M6:M37" si="2">E6-L6</f>
        <v>0</v>
      </c>
      <c r="N6" s="1"/>
      <c r="O6" s="1"/>
      <c r="P6" s="1">
        <v>0</v>
      </c>
      <c r="Q6" s="1">
        <f t="shared" ref="Q6:Q37" si="3">E6/5</f>
        <v>0</v>
      </c>
      <c r="R6" s="12">
        <v>100</v>
      </c>
      <c r="S6" s="1" t="e">
        <f t="shared" ref="S6:S37" si="4">(F6+P6+R6)/Q6</f>
        <v>#DIV/0!</v>
      </c>
      <c r="T6" s="1" t="e">
        <f t="shared" ref="T6:T37" si="5">(F6+P6)/Q6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3" t="s">
        <v>35</v>
      </c>
      <c r="AF6" s="1">
        <f t="shared" ref="AF6:AF18" si="6">G6*R6</f>
        <v>100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285</v>
      </c>
      <c r="D7" s="1">
        <v>8</v>
      </c>
      <c r="E7" s="1">
        <v>113</v>
      </c>
      <c r="F7" s="1">
        <v>133</v>
      </c>
      <c r="G7" s="7">
        <v>0.4</v>
      </c>
      <c r="H7" s="1">
        <v>60</v>
      </c>
      <c r="I7" s="1" t="s">
        <v>34</v>
      </c>
      <c r="J7" s="1"/>
      <c r="K7" s="1"/>
      <c r="L7" s="1">
        <v>115</v>
      </c>
      <c r="M7" s="1">
        <f t="shared" si="2"/>
        <v>-2</v>
      </c>
      <c r="N7" s="1"/>
      <c r="O7" s="1"/>
      <c r="P7" s="1">
        <v>60</v>
      </c>
      <c r="Q7" s="1">
        <f t="shared" si="3"/>
        <v>22.6</v>
      </c>
      <c r="R7" s="5">
        <f t="shared" ref="R7:R17" si="7">15*Q7-P7-F7</f>
        <v>146</v>
      </c>
      <c r="S7" s="1">
        <f t="shared" si="4"/>
        <v>14.999999999999998</v>
      </c>
      <c r="T7" s="1">
        <f t="shared" si="5"/>
        <v>8.5398230088495577</v>
      </c>
      <c r="U7" s="1">
        <v>23.2</v>
      </c>
      <c r="V7" s="1">
        <v>21.8</v>
      </c>
      <c r="W7" s="1">
        <v>34.4</v>
      </c>
      <c r="X7" s="1">
        <v>33.4</v>
      </c>
      <c r="Y7" s="1">
        <v>17.2</v>
      </c>
      <c r="Z7" s="1">
        <v>43.6</v>
      </c>
      <c r="AA7" s="1">
        <v>24.8</v>
      </c>
      <c r="AB7" s="1">
        <v>43.4</v>
      </c>
      <c r="AC7" s="1">
        <v>17.600000000000001</v>
      </c>
      <c r="AD7" s="1">
        <v>27.6</v>
      </c>
      <c r="AE7" s="1"/>
      <c r="AF7" s="1">
        <f t="shared" si="6"/>
        <v>58.400000000000006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33</v>
      </c>
      <c r="C8" s="1">
        <v>5.9260000000000002</v>
      </c>
      <c r="D8" s="1">
        <v>43.944000000000003</v>
      </c>
      <c r="E8" s="1">
        <v>22.003</v>
      </c>
      <c r="F8" s="1">
        <v>23.835000000000001</v>
      </c>
      <c r="G8" s="7">
        <v>1</v>
      </c>
      <c r="H8" s="1">
        <v>120</v>
      </c>
      <c r="I8" s="1" t="s">
        <v>34</v>
      </c>
      <c r="J8" s="1"/>
      <c r="K8" s="1"/>
      <c r="L8" s="1">
        <v>22</v>
      </c>
      <c r="M8" s="1">
        <f t="shared" si="2"/>
        <v>3.0000000000001137E-3</v>
      </c>
      <c r="N8" s="1"/>
      <c r="O8" s="1"/>
      <c r="P8" s="1">
        <v>0</v>
      </c>
      <c r="Q8" s="1">
        <f t="shared" si="3"/>
        <v>4.4005999999999998</v>
      </c>
      <c r="R8" s="5">
        <f>14*Q8-P8-F8</f>
        <v>37.773399999999995</v>
      </c>
      <c r="S8" s="1">
        <f t="shared" si="4"/>
        <v>14</v>
      </c>
      <c r="T8" s="1">
        <f t="shared" si="5"/>
        <v>5.4163068672453756</v>
      </c>
      <c r="U8" s="1">
        <v>1.4883999999999999</v>
      </c>
      <c r="V8" s="1">
        <v>3.4176000000000002</v>
      </c>
      <c r="W8" s="1">
        <v>1.4923999999999999</v>
      </c>
      <c r="X8" s="1">
        <v>1.8888</v>
      </c>
      <c r="Y8" s="1">
        <v>1.8835999999999999</v>
      </c>
      <c r="Z8" s="1">
        <v>1.478</v>
      </c>
      <c r="AA8" s="1">
        <v>0.86699999999999999</v>
      </c>
      <c r="AB8" s="1">
        <v>1.7609999999999999</v>
      </c>
      <c r="AC8" s="1">
        <v>0.69940000000000002</v>
      </c>
      <c r="AD8" s="1">
        <v>0.79620000000000002</v>
      </c>
      <c r="AE8" s="1" t="s">
        <v>39</v>
      </c>
      <c r="AF8" s="1">
        <f t="shared" si="6"/>
        <v>37.773399999999995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37</v>
      </c>
      <c r="C9" s="1">
        <v>165</v>
      </c>
      <c r="D9" s="1">
        <v>16</v>
      </c>
      <c r="E9" s="1">
        <v>63</v>
      </c>
      <c r="F9" s="1">
        <v>110</v>
      </c>
      <c r="G9" s="7">
        <v>0.25</v>
      </c>
      <c r="H9" s="1">
        <v>120</v>
      </c>
      <c r="I9" s="1" t="s">
        <v>34</v>
      </c>
      <c r="J9" s="1"/>
      <c r="K9" s="1"/>
      <c r="L9" s="1">
        <v>61</v>
      </c>
      <c r="M9" s="1">
        <f t="shared" si="2"/>
        <v>2</v>
      </c>
      <c r="N9" s="1"/>
      <c r="O9" s="1"/>
      <c r="P9" s="1">
        <v>0</v>
      </c>
      <c r="Q9" s="1">
        <f t="shared" si="3"/>
        <v>12.6</v>
      </c>
      <c r="R9" s="5">
        <f t="shared" si="7"/>
        <v>79</v>
      </c>
      <c r="S9" s="1">
        <f t="shared" si="4"/>
        <v>15</v>
      </c>
      <c r="T9" s="1">
        <f t="shared" si="5"/>
        <v>8.7301587301587311</v>
      </c>
      <c r="U9" s="1">
        <v>8.4</v>
      </c>
      <c r="V9" s="1">
        <v>11.4</v>
      </c>
      <c r="W9" s="1">
        <v>13.6</v>
      </c>
      <c r="X9" s="1">
        <v>8.1999999999999993</v>
      </c>
      <c r="Y9" s="1">
        <v>10.199999999999999</v>
      </c>
      <c r="Z9" s="1">
        <v>7</v>
      </c>
      <c r="AA9" s="1">
        <v>11.4</v>
      </c>
      <c r="AB9" s="1">
        <v>10.199999999999999</v>
      </c>
      <c r="AC9" s="1">
        <v>7.8</v>
      </c>
      <c r="AD9" s="1">
        <v>11</v>
      </c>
      <c r="AE9" s="1" t="s">
        <v>39</v>
      </c>
      <c r="AF9" s="1">
        <f t="shared" si="6"/>
        <v>19.75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33</v>
      </c>
      <c r="C10" s="1">
        <v>787.93</v>
      </c>
      <c r="D10" s="1">
        <v>817.66800000000001</v>
      </c>
      <c r="E10" s="1">
        <v>989.07500000000005</v>
      </c>
      <c r="F10" s="1">
        <v>327.47699999999998</v>
      </c>
      <c r="G10" s="7">
        <v>1</v>
      </c>
      <c r="H10" s="1">
        <v>60</v>
      </c>
      <c r="I10" s="1" t="s">
        <v>34</v>
      </c>
      <c r="J10" s="1"/>
      <c r="K10" s="1"/>
      <c r="L10" s="1">
        <v>970.8</v>
      </c>
      <c r="M10" s="1">
        <f t="shared" si="2"/>
        <v>18.275000000000091</v>
      </c>
      <c r="N10" s="1"/>
      <c r="O10" s="1"/>
      <c r="P10" s="1">
        <v>587</v>
      </c>
      <c r="Q10" s="1">
        <f t="shared" si="3"/>
        <v>197.815</v>
      </c>
      <c r="R10" s="5">
        <f>14*Q10-P10-F10</f>
        <v>1854.933</v>
      </c>
      <c r="S10" s="1">
        <f t="shared" si="4"/>
        <v>14</v>
      </c>
      <c r="T10" s="1">
        <f t="shared" si="5"/>
        <v>4.6228900740590957</v>
      </c>
      <c r="U10" s="1">
        <v>137.0042</v>
      </c>
      <c r="V10" s="1">
        <v>134.93719999999999</v>
      </c>
      <c r="W10" s="1">
        <v>131.2398</v>
      </c>
      <c r="X10" s="1">
        <v>130.73500000000001</v>
      </c>
      <c r="Y10" s="1">
        <v>106.291</v>
      </c>
      <c r="Z10" s="1">
        <v>127.9742</v>
      </c>
      <c r="AA10" s="1">
        <v>158.0384</v>
      </c>
      <c r="AB10" s="1">
        <v>114.2396</v>
      </c>
      <c r="AC10" s="1">
        <v>81.876400000000004</v>
      </c>
      <c r="AD10" s="1">
        <v>131.26580000000001</v>
      </c>
      <c r="AE10" s="1"/>
      <c r="AF10" s="1">
        <f t="shared" si="6"/>
        <v>1854.933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33</v>
      </c>
      <c r="C11" s="1">
        <v>85.222999999999999</v>
      </c>
      <c r="D11" s="1">
        <v>27.803999999999998</v>
      </c>
      <c r="E11" s="1">
        <v>62.843000000000004</v>
      </c>
      <c r="F11" s="1">
        <v>45.661000000000001</v>
      </c>
      <c r="G11" s="7">
        <v>1</v>
      </c>
      <c r="H11" s="1">
        <v>120</v>
      </c>
      <c r="I11" s="1" t="s">
        <v>34</v>
      </c>
      <c r="J11" s="1"/>
      <c r="K11" s="1"/>
      <c r="L11" s="1">
        <v>62.2</v>
      </c>
      <c r="M11" s="1">
        <f t="shared" si="2"/>
        <v>0.64300000000000068</v>
      </c>
      <c r="N11" s="1"/>
      <c r="O11" s="1"/>
      <c r="P11" s="1">
        <v>0</v>
      </c>
      <c r="Q11" s="1">
        <f t="shared" si="3"/>
        <v>12.5686</v>
      </c>
      <c r="R11" s="5">
        <f>13*Q11-P11-F11</f>
        <v>117.73079999999999</v>
      </c>
      <c r="S11" s="1">
        <f t="shared" si="4"/>
        <v>13</v>
      </c>
      <c r="T11" s="1">
        <f t="shared" si="5"/>
        <v>3.6329424120427096</v>
      </c>
      <c r="U11" s="1">
        <v>1.1908000000000001</v>
      </c>
      <c r="V11" s="1">
        <v>6.0011999999999999</v>
      </c>
      <c r="W11" s="1">
        <v>5.9808000000000003</v>
      </c>
      <c r="X11" s="1">
        <v>1.9032</v>
      </c>
      <c r="Y11" s="1">
        <v>4.1360000000000001</v>
      </c>
      <c r="Z11" s="1">
        <v>5.2065999999999999</v>
      </c>
      <c r="AA11" s="1">
        <v>5.0554000000000006</v>
      </c>
      <c r="AB11" s="1">
        <v>3.4813999999999998</v>
      </c>
      <c r="AC11" s="1">
        <v>2.581</v>
      </c>
      <c r="AD11" s="1">
        <v>2.4817999999999998</v>
      </c>
      <c r="AE11" s="1" t="s">
        <v>39</v>
      </c>
      <c r="AF11" s="1">
        <f t="shared" si="6"/>
        <v>117.73079999999999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33</v>
      </c>
      <c r="C12" s="1">
        <v>184.06700000000001</v>
      </c>
      <c r="D12" s="1">
        <v>270.89800000000002</v>
      </c>
      <c r="E12" s="1">
        <v>293.721</v>
      </c>
      <c r="F12" s="1">
        <v>99.39</v>
      </c>
      <c r="G12" s="7">
        <v>1</v>
      </c>
      <c r="H12" s="1">
        <v>60</v>
      </c>
      <c r="I12" s="12" t="s">
        <v>44</v>
      </c>
      <c r="J12" s="12"/>
      <c r="K12" s="1"/>
      <c r="L12" s="1">
        <v>292.3</v>
      </c>
      <c r="M12" s="1">
        <f t="shared" si="2"/>
        <v>1.4209999999999923</v>
      </c>
      <c r="N12" s="1"/>
      <c r="O12" s="1"/>
      <c r="P12" s="1">
        <v>220</v>
      </c>
      <c r="Q12" s="1">
        <f t="shared" si="3"/>
        <v>58.744199999999999</v>
      </c>
      <c r="R12" s="5">
        <f>12*Q12-P12-F12</f>
        <v>385.54039999999998</v>
      </c>
      <c r="S12" s="1">
        <f t="shared" si="4"/>
        <v>12</v>
      </c>
      <c r="T12" s="1">
        <f t="shared" si="5"/>
        <v>5.4369622873407071</v>
      </c>
      <c r="U12" s="1">
        <v>34.620800000000003</v>
      </c>
      <c r="V12" s="1">
        <v>39.8292</v>
      </c>
      <c r="W12" s="1">
        <v>35.140799999999999</v>
      </c>
      <c r="X12" s="1">
        <v>33.511200000000002</v>
      </c>
      <c r="Y12" s="1">
        <v>35.875999999999998</v>
      </c>
      <c r="Z12" s="1">
        <v>29.587199999999999</v>
      </c>
      <c r="AA12" s="1">
        <v>41.221200000000003</v>
      </c>
      <c r="AB12" s="1">
        <v>41.714599999999997</v>
      </c>
      <c r="AC12" s="1">
        <v>32.321800000000003</v>
      </c>
      <c r="AD12" s="1">
        <v>31.227</v>
      </c>
      <c r="AE12" s="1" t="s">
        <v>45</v>
      </c>
      <c r="AF12" s="1">
        <f t="shared" si="6"/>
        <v>385.54039999999998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33</v>
      </c>
      <c r="C13" s="1">
        <v>258.625</v>
      </c>
      <c r="D13" s="1">
        <v>460.89499999999998</v>
      </c>
      <c r="E13" s="1">
        <v>273.88</v>
      </c>
      <c r="F13" s="1">
        <v>358.75099999999998</v>
      </c>
      <c r="G13" s="7">
        <v>1</v>
      </c>
      <c r="H13" s="1">
        <v>60</v>
      </c>
      <c r="I13" s="1" t="s">
        <v>34</v>
      </c>
      <c r="J13" s="1"/>
      <c r="K13" s="1"/>
      <c r="L13" s="1">
        <v>272.8</v>
      </c>
      <c r="M13" s="1">
        <f t="shared" si="2"/>
        <v>1.0799999999999841</v>
      </c>
      <c r="N13" s="1"/>
      <c r="O13" s="1"/>
      <c r="P13" s="1">
        <v>132</v>
      </c>
      <c r="Q13" s="1">
        <f t="shared" si="3"/>
        <v>54.775999999999996</v>
      </c>
      <c r="R13" s="5">
        <f t="shared" si="7"/>
        <v>330.88900000000001</v>
      </c>
      <c r="S13" s="1">
        <f t="shared" si="4"/>
        <v>15</v>
      </c>
      <c r="T13" s="1">
        <f t="shared" si="5"/>
        <v>8.9592339710822255</v>
      </c>
      <c r="U13" s="1">
        <v>52.153200000000012</v>
      </c>
      <c r="V13" s="1">
        <v>61.439399999999999</v>
      </c>
      <c r="W13" s="1">
        <v>52.1158</v>
      </c>
      <c r="X13" s="1">
        <v>47.906799999999997</v>
      </c>
      <c r="Y13" s="1">
        <v>52.508600000000001</v>
      </c>
      <c r="Z13" s="1">
        <v>44.505399999999987</v>
      </c>
      <c r="AA13" s="1">
        <v>67.460999999999999</v>
      </c>
      <c r="AB13" s="1">
        <v>68.896199999999993</v>
      </c>
      <c r="AC13" s="1">
        <v>59.059800000000003</v>
      </c>
      <c r="AD13" s="1">
        <v>42.698599999999999</v>
      </c>
      <c r="AE13" s="1"/>
      <c r="AF13" s="1">
        <f t="shared" si="6"/>
        <v>330.88900000000001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37</v>
      </c>
      <c r="C14" s="1">
        <v>145</v>
      </c>
      <c r="D14" s="1">
        <v>24</v>
      </c>
      <c r="E14" s="1">
        <v>59</v>
      </c>
      <c r="F14" s="1">
        <v>103</v>
      </c>
      <c r="G14" s="7">
        <v>0.25</v>
      </c>
      <c r="H14" s="1">
        <v>120</v>
      </c>
      <c r="I14" s="1" t="s">
        <v>34</v>
      </c>
      <c r="J14" s="1"/>
      <c r="K14" s="1"/>
      <c r="L14" s="1">
        <v>65</v>
      </c>
      <c r="M14" s="1">
        <f t="shared" si="2"/>
        <v>-6</v>
      </c>
      <c r="N14" s="1"/>
      <c r="O14" s="1"/>
      <c r="P14" s="1">
        <v>0</v>
      </c>
      <c r="Q14" s="1">
        <f t="shared" si="3"/>
        <v>11.8</v>
      </c>
      <c r="R14" s="5">
        <f t="shared" si="7"/>
        <v>74</v>
      </c>
      <c r="S14" s="1">
        <f t="shared" si="4"/>
        <v>14.999999999999998</v>
      </c>
      <c r="T14" s="1">
        <f t="shared" si="5"/>
        <v>8.7288135593220328</v>
      </c>
      <c r="U14" s="1">
        <v>8.6</v>
      </c>
      <c r="V14" s="1">
        <v>10.6</v>
      </c>
      <c r="W14" s="1">
        <v>12.4</v>
      </c>
      <c r="X14" s="1">
        <v>14.4</v>
      </c>
      <c r="Y14" s="1">
        <v>15.4</v>
      </c>
      <c r="Z14" s="1">
        <v>17.399999999999999</v>
      </c>
      <c r="AA14" s="1">
        <v>15.8</v>
      </c>
      <c r="AB14" s="1">
        <v>8.8000000000000007</v>
      </c>
      <c r="AC14" s="1">
        <v>11.6</v>
      </c>
      <c r="AD14" s="1">
        <v>14</v>
      </c>
      <c r="AE14" s="1" t="s">
        <v>39</v>
      </c>
      <c r="AF14" s="1">
        <f t="shared" si="6"/>
        <v>18.5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33</v>
      </c>
      <c r="C15" s="1">
        <v>9.0850000000000009</v>
      </c>
      <c r="D15" s="1">
        <v>73.716999999999999</v>
      </c>
      <c r="E15" s="1">
        <v>72.23</v>
      </c>
      <c r="F15" s="1">
        <v>-0.33300000000000002</v>
      </c>
      <c r="G15" s="7">
        <v>1</v>
      </c>
      <c r="H15" s="1">
        <v>60</v>
      </c>
      <c r="I15" s="1" t="s">
        <v>34</v>
      </c>
      <c r="J15" s="1"/>
      <c r="K15" s="1"/>
      <c r="L15" s="1">
        <v>119.45</v>
      </c>
      <c r="M15" s="1">
        <f t="shared" si="2"/>
        <v>-47.22</v>
      </c>
      <c r="N15" s="1"/>
      <c r="O15" s="1"/>
      <c r="P15" s="1">
        <v>114</v>
      </c>
      <c r="Q15" s="1">
        <f t="shared" si="3"/>
        <v>14.446000000000002</v>
      </c>
      <c r="R15" s="17">
        <v>140</v>
      </c>
      <c r="S15" s="1">
        <f t="shared" si="4"/>
        <v>17.559670497023397</v>
      </c>
      <c r="T15" s="1">
        <f t="shared" si="5"/>
        <v>7.8684064793022284</v>
      </c>
      <c r="U15" s="1">
        <v>12.6616</v>
      </c>
      <c r="V15" s="1">
        <v>8.7745999999999995</v>
      </c>
      <c r="W15" s="1">
        <v>7.3464</v>
      </c>
      <c r="X15" s="1">
        <v>9.1446000000000005</v>
      </c>
      <c r="Y15" s="1">
        <v>6.1369999999999996</v>
      </c>
      <c r="Z15" s="1">
        <v>15.6576</v>
      </c>
      <c r="AA15" s="1">
        <v>16.722799999999999</v>
      </c>
      <c r="AB15" s="1">
        <v>16.991</v>
      </c>
      <c r="AC15" s="1">
        <v>7.2417999999999996</v>
      </c>
      <c r="AD15" s="1">
        <v>17.0852</v>
      </c>
      <c r="AE15" s="1" t="s">
        <v>158</v>
      </c>
      <c r="AF15" s="1">
        <f t="shared" si="6"/>
        <v>140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37</v>
      </c>
      <c r="C16" s="1">
        <v>232</v>
      </c>
      <c r="D16" s="1">
        <v>304</v>
      </c>
      <c r="E16" s="1">
        <v>121</v>
      </c>
      <c r="F16" s="1">
        <v>376</v>
      </c>
      <c r="G16" s="7">
        <v>0.25</v>
      </c>
      <c r="H16" s="1">
        <v>120</v>
      </c>
      <c r="I16" s="12" t="s">
        <v>44</v>
      </c>
      <c r="J16" s="12"/>
      <c r="K16" s="1"/>
      <c r="L16" s="1">
        <v>124</v>
      </c>
      <c r="M16" s="1">
        <f t="shared" si="2"/>
        <v>-3</v>
      </c>
      <c r="N16" s="1"/>
      <c r="O16" s="1"/>
      <c r="P16" s="1">
        <v>250</v>
      </c>
      <c r="Q16" s="1">
        <f t="shared" si="3"/>
        <v>24.2</v>
      </c>
      <c r="R16" s="5"/>
      <c r="S16" s="1">
        <f t="shared" si="4"/>
        <v>25.867768595041323</v>
      </c>
      <c r="T16" s="1">
        <f t="shared" si="5"/>
        <v>25.867768595041323</v>
      </c>
      <c r="U16" s="1">
        <v>15.6</v>
      </c>
      <c r="V16" s="1">
        <v>29.6</v>
      </c>
      <c r="W16" s="1">
        <v>22.2</v>
      </c>
      <c r="X16" s="1">
        <v>26.8</v>
      </c>
      <c r="Y16" s="1">
        <v>19.600000000000001</v>
      </c>
      <c r="Z16" s="1">
        <v>19.8</v>
      </c>
      <c r="AA16" s="1">
        <v>15.4</v>
      </c>
      <c r="AB16" s="1">
        <v>22.2</v>
      </c>
      <c r="AC16" s="1">
        <v>16.2</v>
      </c>
      <c r="AD16" s="1">
        <v>23.4</v>
      </c>
      <c r="AE16" s="15" t="s">
        <v>50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37</v>
      </c>
      <c r="C17" s="1">
        <v>209</v>
      </c>
      <c r="D17" s="1">
        <v>192</v>
      </c>
      <c r="E17" s="1">
        <v>112</v>
      </c>
      <c r="F17" s="1">
        <v>268</v>
      </c>
      <c r="G17" s="7">
        <v>0.4</v>
      </c>
      <c r="H17" s="1">
        <v>60</v>
      </c>
      <c r="I17" s="1" t="s">
        <v>34</v>
      </c>
      <c r="J17" s="1"/>
      <c r="K17" s="1"/>
      <c r="L17" s="1">
        <v>120</v>
      </c>
      <c r="M17" s="1">
        <f t="shared" si="2"/>
        <v>-8</v>
      </c>
      <c r="N17" s="1"/>
      <c r="O17" s="1"/>
      <c r="P17" s="1">
        <v>0</v>
      </c>
      <c r="Q17" s="1">
        <f t="shared" si="3"/>
        <v>22.4</v>
      </c>
      <c r="R17" s="5">
        <f t="shared" si="7"/>
        <v>68</v>
      </c>
      <c r="S17" s="1">
        <f t="shared" si="4"/>
        <v>15.000000000000002</v>
      </c>
      <c r="T17" s="1">
        <f t="shared" si="5"/>
        <v>11.964285714285715</v>
      </c>
      <c r="U17" s="1">
        <v>16.399999999999999</v>
      </c>
      <c r="V17" s="1">
        <v>31.4</v>
      </c>
      <c r="W17" s="1">
        <v>28.8</v>
      </c>
      <c r="X17" s="1">
        <v>21</v>
      </c>
      <c r="Y17" s="1">
        <v>22.2</v>
      </c>
      <c r="Z17" s="1">
        <v>24.8</v>
      </c>
      <c r="AA17" s="1">
        <v>28.4</v>
      </c>
      <c r="AB17" s="1">
        <v>25.2</v>
      </c>
      <c r="AC17" s="1">
        <v>23.4</v>
      </c>
      <c r="AD17" s="1">
        <v>27.8</v>
      </c>
      <c r="AE17" s="1"/>
      <c r="AF17" s="1">
        <f t="shared" si="6"/>
        <v>27.200000000000003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33</v>
      </c>
      <c r="C18" s="1">
        <v>304.447</v>
      </c>
      <c r="D18" s="1">
        <v>506.93900000000002</v>
      </c>
      <c r="E18" s="1">
        <v>395.745</v>
      </c>
      <c r="F18" s="1">
        <v>324.863</v>
      </c>
      <c r="G18" s="7">
        <v>1</v>
      </c>
      <c r="H18" s="1">
        <v>45</v>
      </c>
      <c r="I18" s="1" t="s">
        <v>34</v>
      </c>
      <c r="J18" s="1"/>
      <c r="K18" s="1"/>
      <c r="L18" s="1">
        <v>390.55399999999997</v>
      </c>
      <c r="M18" s="1">
        <f t="shared" si="2"/>
        <v>5.1910000000000309</v>
      </c>
      <c r="N18" s="1"/>
      <c r="O18" s="1"/>
      <c r="P18" s="1">
        <v>0</v>
      </c>
      <c r="Q18" s="1">
        <f t="shared" si="3"/>
        <v>79.149000000000001</v>
      </c>
      <c r="R18" s="5">
        <f>13*Q18-P18-F18</f>
        <v>704.07399999999984</v>
      </c>
      <c r="S18" s="1">
        <f t="shared" si="4"/>
        <v>12.999999999999998</v>
      </c>
      <c r="T18" s="1">
        <f t="shared" si="5"/>
        <v>4.1044485716812593</v>
      </c>
      <c r="U18" s="1">
        <v>31.593</v>
      </c>
      <c r="V18" s="1">
        <v>57.8962</v>
      </c>
      <c r="W18" s="1">
        <v>45.760599999999997</v>
      </c>
      <c r="X18" s="1">
        <v>39.785200000000003</v>
      </c>
      <c r="Y18" s="1">
        <v>38.865600000000001</v>
      </c>
      <c r="Z18" s="1">
        <v>68.392799999999994</v>
      </c>
      <c r="AA18" s="1">
        <v>51.933999999999997</v>
      </c>
      <c r="AB18" s="1">
        <v>60.9788</v>
      </c>
      <c r="AC18" s="1">
        <v>39.086200000000012</v>
      </c>
      <c r="AD18" s="1">
        <v>50.156999999999996</v>
      </c>
      <c r="AE18" s="1"/>
      <c r="AF18" s="1">
        <f t="shared" si="6"/>
        <v>704.07399999999984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9" t="s">
        <v>54</v>
      </c>
      <c r="B19" s="9" t="s">
        <v>37</v>
      </c>
      <c r="C19" s="9"/>
      <c r="D19" s="9"/>
      <c r="E19" s="14">
        <v>1</v>
      </c>
      <c r="F19" s="14">
        <v>-1</v>
      </c>
      <c r="G19" s="10">
        <v>0</v>
      </c>
      <c r="H19" s="9">
        <v>60</v>
      </c>
      <c r="I19" s="9" t="s">
        <v>55</v>
      </c>
      <c r="J19" s="9"/>
      <c r="K19" s="9" t="s">
        <v>56</v>
      </c>
      <c r="L19" s="9">
        <v>1</v>
      </c>
      <c r="M19" s="9">
        <f t="shared" si="2"/>
        <v>0</v>
      </c>
      <c r="N19" s="9"/>
      <c r="O19" s="9"/>
      <c r="P19" s="9"/>
      <c r="Q19" s="9">
        <f t="shared" si="3"/>
        <v>0.2</v>
      </c>
      <c r="R19" s="11"/>
      <c r="S19" s="9">
        <f t="shared" si="4"/>
        <v>-5</v>
      </c>
      <c r="T19" s="9">
        <f t="shared" si="5"/>
        <v>-5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/>
      <c r="AF19" s="9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57</v>
      </c>
      <c r="B20" s="1" t="s">
        <v>33</v>
      </c>
      <c r="C20" s="1">
        <v>56.536999999999999</v>
      </c>
      <c r="D20" s="1">
        <v>32.732999999999997</v>
      </c>
      <c r="E20" s="1">
        <v>51.94</v>
      </c>
      <c r="F20" s="1">
        <v>29.603000000000002</v>
      </c>
      <c r="G20" s="7">
        <v>1</v>
      </c>
      <c r="H20" s="1">
        <v>120</v>
      </c>
      <c r="I20" s="1" t="s">
        <v>34</v>
      </c>
      <c r="J20" s="1"/>
      <c r="K20" s="1"/>
      <c r="L20" s="1">
        <v>52</v>
      </c>
      <c r="M20" s="1">
        <f t="shared" si="2"/>
        <v>-6.0000000000002274E-2</v>
      </c>
      <c r="N20" s="1"/>
      <c r="O20" s="1"/>
      <c r="P20" s="1">
        <v>56</v>
      </c>
      <c r="Q20" s="1">
        <f t="shared" si="3"/>
        <v>10.388</v>
      </c>
      <c r="R20" s="17">
        <v>90</v>
      </c>
      <c r="S20" s="1">
        <f t="shared" si="4"/>
        <v>16.904408933384676</v>
      </c>
      <c r="T20" s="1">
        <f t="shared" si="5"/>
        <v>8.2405660377358494</v>
      </c>
      <c r="U20" s="1">
        <v>6.5549999999999997</v>
      </c>
      <c r="V20" s="1">
        <v>6.0965999999999996</v>
      </c>
      <c r="W20" s="1">
        <v>6.2720000000000002</v>
      </c>
      <c r="X20" s="1">
        <v>2.3835999999999999</v>
      </c>
      <c r="Y20" s="1">
        <v>3.8856000000000002</v>
      </c>
      <c r="Z20" s="1">
        <v>5.7060000000000004</v>
      </c>
      <c r="AA20" s="1">
        <v>6.0518000000000001</v>
      </c>
      <c r="AB20" s="1">
        <v>3.9136000000000002</v>
      </c>
      <c r="AC20" s="1">
        <v>2.1107999999999998</v>
      </c>
      <c r="AD20" s="1">
        <v>4.2176</v>
      </c>
      <c r="AE20" s="1" t="s">
        <v>159</v>
      </c>
      <c r="AF20" s="1">
        <f t="shared" ref="AF20:AF31" si="8">G20*R20</f>
        <v>90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58</v>
      </c>
      <c r="B21" s="1" t="s">
        <v>37</v>
      </c>
      <c r="C21" s="1">
        <v>37</v>
      </c>
      <c r="D21" s="1">
        <v>32</v>
      </c>
      <c r="E21" s="1">
        <v>60</v>
      </c>
      <c r="F21" s="1"/>
      <c r="G21" s="7">
        <v>0.4</v>
      </c>
      <c r="H21" s="1">
        <v>45</v>
      </c>
      <c r="I21" s="1" t="s">
        <v>34</v>
      </c>
      <c r="J21" s="1"/>
      <c r="K21" s="1"/>
      <c r="L21" s="1">
        <v>88</v>
      </c>
      <c r="M21" s="1">
        <f t="shared" si="2"/>
        <v>-28</v>
      </c>
      <c r="N21" s="1"/>
      <c r="O21" s="1"/>
      <c r="P21" s="1">
        <v>132</v>
      </c>
      <c r="Q21" s="1">
        <f t="shared" si="3"/>
        <v>12</v>
      </c>
      <c r="R21" s="17">
        <v>170</v>
      </c>
      <c r="S21" s="1">
        <f t="shared" si="4"/>
        <v>25.166666666666668</v>
      </c>
      <c r="T21" s="1">
        <f t="shared" si="5"/>
        <v>11</v>
      </c>
      <c r="U21" s="1">
        <v>13.4</v>
      </c>
      <c r="V21" s="1">
        <v>8.4</v>
      </c>
      <c r="W21" s="1">
        <v>10.8</v>
      </c>
      <c r="X21" s="1">
        <v>9.1999999999999993</v>
      </c>
      <c r="Y21" s="1">
        <v>16.600000000000001</v>
      </c>
      <c r="Z21" s="1">
        <v>12.8</v>
      </c>
      <c r="AA21" s="1">
        <v>17.600000000000001</v>
      </c>
      <c r="AB21" s="1">
        <v>10.8</v>
      </c>
      <c r="AC21" s="1">
        <v>15.2</v>
      </c>
      <c r="AD21" s="1">
        <v>20</v>
      </c>
      <c r="AE21" s="1" t="s">
        <v>160</v>
      </c>
      <c r="AF21" s="1">
        <f t="shared" si="8"/>
        <v>68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33</v>
      </c>
      <c r="C22" s="1">
        <v>348.11</v>
      </c>
      <c r="D22" s="1">
        <v>138.33600000000001</v>
      </c>
      <c r="E22" s="1">
        <v>267.04899999999998</v>
      </c>
      <c r="F22" s="1">
        <v>90.352999999999994</v>
      </c>
      <c r="G22" s="7">
        <v>1</v>
      </c>
      <c r="H22" s="1">
        <v>60</v>
      </c>
      <c r="I22" s="1" t="s">
        <v>34</v>
      </c>
      <c r="J22" s="1"/>
      <c r="K22" s="1"/>
      <c r="L22" s="1">
        <v>263.8</v>
      </c>
      <c r="M22" s="1">
        <f t="shared" si="2"/>
        <v>3.2489999999999668</v>
      </c>
      <c r="N22" s="1"/>
      <c r="O22" s="1"/>
      <c r="P22" s="1">
        <v>8</v>
      </c>
      <c r="Q22" s="1">
        <f t="shared" si="3"/>
        <v>53.409799999999997</v>
      </c>
      <c r="R22" s="5">
        <f>11*Q22-P22-F22</f>
        <v>489.15479999999997</v>
      </c>
      <c r="S22" s="1">
        <f t="shared" si="4"/>
        <v>11</v>
      </c>
      <c r="T22" s="1">
        <f t="shared" si="5"/>
        <v>1.8414785301573868</v>
      </c>
      <c r="U22" s="1">
        <v>29.607600000000001</v>
      </c>
      <c r="V22" s="1">
        <v>39.871600000000001</v>
      </c>
      <c r="W22" s="1">
        <v>43.782400000000003</v>
      </c>
      <c r="X22" s="1">
        <v>35.393999999999998</v>
      </c>
      <c r="Y22" s="1">
        <v>51.526599999999988</v>
      </c>
      <c r="Z22" s="1">
        <v>31.503599999999999</v>
      </c>
      <c r="AA22" s="1">
        <v>52.622599999999998</v>
      </c>
      <c r="AB22" s="1">
        <v>44.615600000000001</v>
      </c>
      <c r="AC22" s="1">
        <v>46.076799999999999</v>
      </c>
      <c r="AD22" s="1">
        <v>37.865400000000001</v>
      </c>
      <c r="AE22" s="1"/>
      <c r="AF22" s="1">
        <f t="shared" si="8"/>
        <v>489.15479999999997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37</v>
      </c>
      <c r="C23" s="1">
        <v>1064</v>
      </c>
      <c r="D23" s="1">
        <v>304</v>
      </c>
      <c r="E23" s="1">
        <v>487</v>
      </c>
      <c r="F23" s="1">
        <v>590</v>
      </c>
      <c r="G23" s="7">
        <v>0.22</v>
      </c>
      <c r="H23" s="1">
        <v>120</v>
      </c>
      <c r="I23" s="1" t="s">
        <v>34</v>
      </c>
      <c r="J23" s="1"/>
      <c r="K23" s="1"/>
      <c r="L23" s="1">
        <v>506</v>
      </c>
      <c r="M23" s="1">
        <f t="shared" si="2"/>
        <v>-19</v>
      </c>
      <c r="N23" s="1"/>
      <c r="O23" s="1"/>
      <c r="P23" s="1">
        <v>263</v>
      </c>
      <c r="Q23" s="1">
        <f t="shared" si="3"/>
        <v>97.4</v>
      </c>
      <c r="R23" s="17">
        <v>200</v>
      </c>
      <c r="S23" s="1">
        <f t="shared" si="4"/>
        <v>10.811088295687885</v>
      </c>
      <c r="T23" s="1">
        <f t="shared" si="5"/>
        <v>8.7577002053388089</v>
      </c>
      <c r="U23" s="1">
        <v>81.8</v>
      </c>
      <c r="V23" s="1">
        <v>78.400000000000006</v>
      </c>
      <c r="W23" s="1">
        <v>92.2</v>
      </c>
      <c r="X23" s="1">
        <v>66.2</v>
      </c>
      <c r="Y23" s="1">
        <v>109.8</v>
      </c>
      <c r="Z23" s="1">
        <v>89.8</v>
      </c>
      <c r="AA23" s="1">
        <v>30.6</v>
      </c>
      <c r="AB23" s="1">
        <v>80.599999999999994</v>
      </c>
      <c r="AC23" s="1">
        <v>37.799999999999997</v>
      </c>
      <c r="AD23" s="1">
        <v>40.6</v>
      </c>
      <c r="AE23" s="1" t="s">
        <v>161</v>
      </c>
      <c r="AF23" s="1">
        <f t="shared" si="8"/>
        <v>44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33</v>
      </c>
      <c r="C24" s="1">
        <v>42.564</v>
      </c>
      <c r="D24" s="1"/>
      <c r="E24" s="1">
        <v>36.543999999999997</v>
      </c>
      <c r="F24" s="1">
        <v>-0.122</v>
      </c>
      <c r="G24" s="7">
        <v>1</v>
      </c>
      <c r="H24" s="1">
        <v>40</v>
      </c>
      <c r="I24" s="1" t="s">
        <v>34</v>
      </c>
      <c r="J24" s="1"/>
      <c r="K24" s="1"/>
      <c r="L24" s="1">
        <v>35.409999999999997</v>
      </c>
      <c r="M24" s="1">
        <f t="shared" si="2"/>
        <v>1.1340000000000003</v>
      </c>
      <c r="N24" s="1"/>
      <c r="O24" s="1"/>
      <c r="P24" s="1">
        <v>36</v>
      </c>
      <c r="Q24" s="1">
        <f t="shared" si="3"/>
        <v>7.3087999999999997</v>
      </c>
      <c r="R24" s="5">
        <f>14*Q24-P24-F24</f>
        <v>66.4452</v>
      </c>
      <c r="S24" s="1">
        <f t="shared" si="4"/>
        <v>14</v>
      </c>
      <c r="T24" s="1">
        <f t="shared" si="5"/>
        <v>4.9088769702276709</v>
      </c>
      <c r="U24" s="1">
        <v>5.0584000000000007</v>
      </c>
      <c r="V24" s="1">
        <v>-0.33040000000000003</v>
      </c>
      <c r="W24" s="1">
        <v>8.4344000000000001</v>
      </c>
      <c r="X24" s="1">
        <v>6.0996000000000006</v>
      </c>
      <c r="Y24" s="1">
        <v>4.2107999999999999</v>
      </c>
      <c r="Z24" s="1">
        <v>8.4651999999999994</v>
      </c>
      <c r="AA24" s="1">
        <v>2.464</v>
      </c>
      <c r="AB24" s="1">
        <v>0</v>
      </c>
      <c r="AC24" s="1">
        <v>0</v>
      </c>
      <c r="AD24" s="1">
        <v>0</v>
      </c>
      <c r="AE24" s="1" t="s">
        <v>62</v>
      </c>
      <c r="AF24" s="1">
        <f t="shared" si="8"/>
        <v>66.4452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63</v>
      </c>
      <c r="B25" s="1" t="s">
        <v>33</v>
      </c>
      <c r="C25" s="1">
        <v>183.39400000000001</v>
      </c>
      <c r="D25" s="1">
        <v>271.60000000000002</v>
      </c>
      <c r="E25" s="1">
        <v>151.91200000000001</v>
      </c>
      <c r="F25" s="1">
        <v>262.55</v>
      </c>
      <c r="G25" s="7">
        <v>1</v>
      </c>
      <c r="H25" s="1">
        <v>60</v>
      </c>
      <c r="I25" s="1" t="s">
        <v>34</v>
      </c>
      <c r="J25" s="1"/>
      <c r="K25" s="1"/>
      <c r="L25" s="1">
        <v>156.94999999999999</v>
      </c>
      <c r="M25" s="1">
        <f t="shared" si="2"/>
        <v>-5.0379999999999825</v>
      </c>
      <c r="N25" s="1"/>
      <c r="O25" s="1"/>
      <c r="P25" s="1">
        <v>0</v>
      </c>
      <c r="Q25" s="1">
        <f t="shared" si="3"/>
        <v>30.382400000000001</v>
      </c>
      <c r="R25" s="5">
        <f t="shared" ref="R25:R29" si="9">15*Q25-P25-F25</f>
        <v>193.18599999999998</v>
      </c>
      <c r="S25" s="1">
        <f t="shared" si="4"/>
        <v>15</v>
      </c>
      <c r="T25" s="1">
        <f t="shared" si="5"/>
        <v>8.6415161409236934</v>
      </c>
      <c r="U25" s="1">
        <v>12.019399999999999</v>
      </c>
      <c r="V25" s="1">
        <v>32.415799999999997</v>
      </c>
      <c r="W25" s="1">
        <v>26.765599999999999</v>
      </c>
      <c r="X25" s="1">
        <v>20.123799999999999</v>
      </c>
      <c r="Y25" s="1">
        <v>23.693999999999999</v>
      </c>
      <c r="Z25" s="1">
        <v>38.83</v>
      </c>
      <c r="AA25" s="1">
        <v>48.142600000000002</v>
      </c>
      <c r="AB25" s="1">
        <v>29.606400000000001</v>
      </c>
      <c r="AC25" s="1">
        <v>15.874000000000001</v>
      </c>
      <c r="AD25" s="1">
        <v>38.290199999999999</v>
      </c>
      <c r="AE25" s="1"/>
      <c r="AF25" s="1">
        <f t="shared" si="8"/>
        <v>193.18599999999998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64</v>
      </c>
      <c r="B26" s="1" t="s">
        <v>37</v>
      </c>
      <c r="C26" s="1">
        <v>373</v>
      </c>
      <c r="D26" s="1">
        <v>110</v>
      </c>
      <c r="E26" s="1">
        <v>328</v>
      </c>
      <c r="F26" s="1">
        <v>90</v>
      </c>
      <c r="G26" s="7">
        <v>0.09</v>
      </c>
      <c r="H26" s="1">
        <v>60</v>
      </c>
      <c r="I26" s="1" t="s">
        <v>34</v>
      </c>
      <c r="J26" s="1"/>
      <c r="K26" s="1"/>
      <c r="L26" s="1">
        <v>333</v>
      </c>
      <c r="M26" s="1">
        <f t="shared" si="2"/>
        <v>-5</v>
      </c>
      <c r="N26" s="1"/>
      <c r="O26" s="1"/>
      <c r="P26" s="1">
        <v>592</v>
      </c>
      <c r="Q26" s="1">
        <f t="shared" si="3"/>
        <v>65.599999999999994</v>
      </c>
      <c r="R26" s="5">
        <f t="shared" si="9"/>
        <v>301.99999999999989</v>
      </c>
      <c r="S26" s="1">
        <f t="shared" si="4"/>
        <v>15</v>
      </c>
      <c r="T26" s="1">
        <f t="shared" si="5"/>
        <v>10.396341463414634</v>
      </c>
      <c r="U26" s="1">
        <v>69</v>
      </c>
      <c r="V26" s="1">
        <v>42.2</v>
      </c>
      <c r="W26" s="1">
        <v>62</v>
      </c>
      <c r="X26" s="1">
        <v>41.8</v>
      </c>
      <c r="Y26" s="1">
        <v>53.6</v>
      </c>
      <c r="Z26" s="1">
        <v>55.6</v>
      </c>
      <c r="AA26" s="1">
        <v>39.799999999999997</v>
      </c>
      <c r="AB26" s="1">
        <v>53.8</v>
      </c>
      <c r="AC26" s="1">
        <v>30.6</v>
      </c>
      <c r="AD26" s="1">
        <v>55.2</v>
      </c>
      <c r="AE26" s="1"/>
      <c r="AF26" s="1">
        <f t="shared" si="8"/>
        <v>27.179999999999989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37</v>
      </c>
      <c r="C27" s="1">
        <v>212</v>
      </c>
      <c r="D27" s="1">
        <v>120</v>
      </c>
      <c r="E27" s="1">
        <v>154</v>
      </c>
      <c r="F27" s="1">
        <v>125</v>
      </c>
      <c r="G27" s="7">
        <v>0.09</v>
      </c>
      <c r="H27" s="1">
        <v>45</v>
      </c>
      <c r="I27" s="12" t="s">
        <v>44</v>
      </c>
      <c r="J27" s="12"/>
      <c r="K27" s="1"/>
      <c r="L27" s="1">
        <v>158</v>
      </c>
      <c r="M27" s="1">
        <f t="shared" si="2"/>
        <v>-4</v>
      </c>
      <c r="N27" s="1"/>
      <c r="O27" s="1"/>
      <c r="P27" s="1">
        <v>240</v>
      </c>
      <c r="Q27" s="1">
        <f t="shared" si="3"/>
        <v>30.8</v>
      </c>
      <c r="R27" s="17">
        <v>170</v>
      </c>
      <c r="S27" s="1">
        <f t="shared" si="4"/>
        <v>17.370129870129869</v>
      </c>
      <c r="T27" s="1">
        <f t="shared" si="5"/>
        <v>11.85064935064935</v>
      </c>
      <c r="U27" s="1">
        <v>20.6</v>
      </c>
      <c r="V27" s="1">
        <v>27.4</v>
      </c>
      <c r="W27" s="1">
        <v>31.8</v>
      </c>
      <c r="X27" s="1">
        <v>26.2</v>
      </c>
      <c r="Y27" s="1">
        <v>23.6</v>
      </c>
      <c r="Z27" s="1">
        <v>24.4</v>
      </c>
      <c r="AA27" s="1">
        <v>24.8</v>
      </c>
      <c r="AB27" s="1">
        <v>20</v>
      </c>
      <c r="AC27" s="1">
        <v>22.8</v>
      </c>
      <c r="AD27" s="1">
        <v>31.2</v>
      </c>
      <c r="AE27" s="1" t="s">
        <v>45</v>
      </c>
      <c r="AF27" s="1">
        <f t="shared" si="8"/>
        <v>15.299999999999999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37</v>
      </c>
      <c r="C28" s="1">
        <v>175</v>
      </c>
      <c r="D28" s="1">
        <v>56</v>
      </c>
      <c r="E28" s="1">
        <v>123</v>
      </c>
      <c r="F28" s="1">
        <v>20</v>
      </c>
      <c r="G28" s="7">
        <v>0.15</v>
      </c>
      <c r="H28" s="1">
        <v>45</v>
      </c>
      <c r="I28" s="1" t="s">
        <v>34</v>
      </c>
      <c r="J28" s="1"/>
      <c r="K28" s="1"/>
      <c r="L28" s="1">
        <v>125</v>
      </c>
      <c r="M28" s="1">
        <f t="shared" si="2"/>
        <v>-2</v>
      </c>
      <c r="N28" s="1"/>
      <c r="O28" s="1"/>
      <c r="P28" s="1">
        <v>170</v>
      </c>
      <c r="Q28" s="1">
        <f t="shared" si="3"/>
        <v>24.6</v>
      </c>
      <c r="R28" s="5">
        <f t="shared" si="9"/>
        <v>179</v>
      </c>
      <c r="S28" s="1">
        <f t="shared" si="4"/>
        <v>15</v>
      </c>
      <c r="T28" s="1">
        <f t="shared" si="5"/>
        <v>7.7235772357723569</v>
      </c>
      <c r="U28" s="1">
        <v>26.2</v>
      </c>
      <c r="V28" s="1">
        <v>19.600000000000001</v>
      </c>
      <c r="W28" s="1">
        <v>27.4</v>
      </c>
      <c r="X28" s="1">
        <v>33.6</v>
      </c>
      <c r="Y28" s="1">
        <v>20.399999999999999</v>
      </c>
      <c r="Z28" s="1">
        <v>21.2</v>
      </c>
      <c r="AA28" s="1">
        <v>31.4</v>
      </c>
      <c r="AB28" s="1">
        <v>18.600000000000001</v>
      </c>
      <c r="AC28" s="1">
        <v>22.6</v>
      </c>
      <c r="AD28" s="1">
        <v>17.8</v>
      </c>
      <c r="AE28" s="1"/>
      <c r="AF28" s="1">
        <f t="shared" si="8"/>
        <v>26.849999999999998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33</v>
      </c>
      <c r="C29" s="1">
        <v>449.34699999999998</v>
      </c>
      <c r="D29" s="1">
        <v>409.65199999999999</v>
      </c>
      <c r="E29" s="1">
        <v>505.738</v>
      </c>
      <c r="F29" s="1">
        <v>234.536</v>
      </c>
      <c r="G29" s="7">
        <v>1</v>
      </c>
      <c r="H29" s="1">
        <v>45</v>
      </c>
      <c r="I29" s="1" t="s">
        <v>34</v>
      </c>
      <c r="J29" s="1"/>
      <c r="K29" s="1"/>
      <c r="L29" s="1">
        <v>472.3</v>
      </c>
      <c r="M29" s="1">
        <f t="shared" si="2"/>
        <v>33.437999999999988</v>
      </c>
      <c r="N29" s="1"/>
      <c r="O29" s="1"/>
      <c r="P29" s="1">
        <v>397</v>
      </c>
      <c r="Q29" s="1">
        <f t="shared" si="3"/>
        <v>101.1476</v>
      </c>
      <c r="R29" s="5">
        <f t="shared" si="9"/>
        <v>885.67799999999988</v>
      </c>
      <c r="S29" s="1">
        <f t="shared" si="4"/>
        <v>15</v>
      </c>
      <c r="T29" s="1">
        <f t="shared" si="5"/>
        <v>6.2437072159893079</v>
      </c>
      <c r="U29" s="1">
        <v>72.8874</v>
      </c>
      <c r="V29" s="1">
        <v>74.640999999999991</v>
      </c>
      <c r="W29" s="1">
        <v>69.128200000000007</v>
      </c>
      <c r="X29" s="1">
        <v>44.8872</v>
      </c>
      <c r="Y29" s="1">
        <v>61.028599999999997</v>
      </c>
      <c r="Z29" s="1">
        <v>80.06280000000001</v>
      </c>
      <c r="AA29" s="1">
        <v>71.776199999999989</v>
      </c>
      <c r="AB29" s="1">
        <v>53.404999999999987</v>
      </c>
      <c r="AC29" s="1">
        <v>45.937600000000003</v>
      </c>
      <c r="AD29" s="1">
        <v>65.234200000000001</v>
      </c>
      <c r="AE29" s="1"/>
      <c r="AF29" s="1">
        <f t="shared" si="8"/>
        <v>885.67799999999988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68</v>
      </c>
      <c r="B30" s="1" t="s">
        <v>37</v>
      </c>
      <c r="C30" s="1">
        <v>305</v>
      </c>
      <c r="D30" s="1">
        <v>144</v>
      </c>
      <c r="E30" s="1">
        <v>216</v>
      </c>
      <c r="F30" s="1">
        <v>81</v>
      </c>
      <c r="G30" s="7">
        <v>0.4</v>
      </c>
      <c r="H30" s="1">
        <v>60</v>
      </c>
      <c r="I30" s="1" t="s">
        <v>34</v>
      </c>
      <c r="J30" s="1"/>
      <c r="K30" s="1"/>
      <c r="L30" s="1">
        <v>219</v>
      </c>
      <c r="M30" s="1">
        <f t="shared" si="2"/>
        <v>-3</v>
      </c>
      <c r="N30" s="1"/>
      <c r="O30" s="1"/>
      <c r="P30" s="1">
        <v>212</v>
      </c>
      <c r="Q30" s="1">
        <f t="shared" si="3"/>
        <v>43.2</v>
      </c>
      <c r="R30" s="17">
        <v>450</v>
      </c>
      <c r="S30" s="1">
        <f t="shared" si="4"/>
        <v>17.199074074074073</v>
      </c>
      <c r="T30" s="1">
        <f t="shared" si="5"/>
        <v>6.7824074074074066</v>
      </c>
      <c r="U30" s="1">
        <v>44.2</v>
      </c>
      <c r="V30" s="1">
        <v>37.4</v>
      </c>
      <c r="W30" s="1">
        <v>47.6</v>
      </c>
      <c r="X30" s="1">
        <v>25.8</v>
      </c>
      <c r="Y30" s="1">
        <v>56.8</v>
      </c>
      <c r="Z30" s="1">
        <v>29.8</v>
      </c>
      <c r="AA30" s="1">
        <v>17.2</v>
      </c>
      <c r="AB30" s="1">
        <v>27</v>
      </c>
      <c r="AC30" s="1">
        <v>13</v>
      </c>
      <c r="AD30" s="1">
        <v>18.600000000000001</v>
      </c>
      <c r="AE30" s="1" t="s">
        <v>162</v>
      </c>
      <c r="AF30" s="1">
        <f t="shared" si="8"/>
        <v>180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37</v>
      </c>
      <c r="C31" s="1">
        <v>313</v>
      </c>
      <c r="D31" s="1">
        <v>8</v>
      </c>
      <c r="E31" s="1">
        <v>160</v>
      </c>
      <c r="F31" s="1">
        <v>99</v>
      </c>
      <c r="G31" s="7">
        <v>0.4</v>
      </c>
      <c r="H31" s="1">
        <v>60</v>
      </c>
      <c r="I31" s="12" t="s">
        <v>44</v>
      </c>
      <c r="J31" s="12"/>
      <c r="K31" s="1"/>
      <c r="L31" s="1">
        <v>174</v>
      </c>
      <c r="M31" s="1">
        <f t="shared" si="2"/>
        <v>-14</v>
      </c>
      <c r="N31" s="1"/>
      <c r="O31" s="1"/>
      <c r="P31" s="1">
        <v>650</v>
      </c>
      <c r="Q31" s="1">
        <f t="shared" si="3"/>
        <v>32</v>
      </c>
      <c r="R31" s="17">
        <v>200</v>
      </c>
      <c r="S31" s="1">
        <f t="shared" si="4"/>
        <v>29.65625</v>
      </c>
      <c r="T31" s="1">
        <f t="shared" si="5"/>
        <v>23.40625</v>
      </c>
      <c r="U31" s="1">
        <v>37.200000000000003</v>
      </c>
      <c r="V31" s="1">
        <v>30.4</v>
      </c>
      <c r="W31" s="1">
        <v>43</v>
      </c>
      <c r="X31" s="1">
        <v>48</v>
      </c>
      <c r="Y31" s="1">
        <v>44.6</v>
      </c>
      <c r="Z31" s="1">
        <v>38.799999999999997</v>
      </c>
      <c r="AA31" s="1">
        <v>49.6</v>
      </c>
      <c r="AB31" s="1">
        <v>47.6</v>
      </c>
      <c r="AC31" s="1">
        <v>41.6</v>
      </c>
      <c r="AD31" s="1">
        <v>39.4</v>
      </c>
      <c r="AE31" s="1" t="s">
        <v>45</v>
      </c>
      <c r="AF31" s="1">
        <f t="shared" si="8"/>
        <v>80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9" t="s">
        <v>70</v>
      </c>
      <c r="B32" s="9" t="s">
        <v>37</v>
      </c>
      <c r="C32" s="9">
        <v>-104</v>
      </c>
      <c r="D32" s="9"/>
      <c r="E32" s="9"/>
      <c r="F32" s="14">
        <v>-104</v>
      </c>
      <c r="G32" s="10">
        <v>0</v>
      </c>
      <c r="H32" s="9">
        <v>60</v>
      </c>
      <c r="I32" s="9" t="s">
        <v>55</v>
      </c>
      <c r="J32" s="9"/>
      <c r="K32" s="9" t="s">
        <v>71</v>
      </c>
      <c r="L32" s="9">
        <v>2</v>
      </c>
      <c r="M32" s="9">
        <f t="shared" si="2"/>
        <v>-2</v>
      </c>
      <c r="N32" s="9"/>
      <c r="O32" s="9"/>
      <c r="P32" s="9">
        <v>0</v>
      </c>
      <c r="Q32" s="9">
        <f t="shared" si="3"/>
        <v>0</v>
      </c>
      <c r="R32" s="11"/>
      <c r="S32" s="9" t="e">
        <f t="shared" si="4"/>
        <v>#DIV/0!</v>
      </c>
      <c r="T32" s="9" t="e">
        <f t="shared" si="5"/>
        <v>#DIV/0!</v>
      </c>
      <c r="U32" s="9">
        <v>20.8</v>
      </c>
      <c r="V32" s="9">
        <v>-0.2</v>
      </c>
      <c r="W32" s="9">
        <v>-0.6</v>
      </c>
      <c r="X32" s="9">
        <v>14</v>
      </c>
      <c r="Y32" s="9">
        <v>25.2</v>
      </c>
      <c r="Z32" s="9">
        <v>36</v>
      </c>
      <c r="AA32" s="9">
        <v>37.799999999999997</v>
      </c>
      <c r="AB32" s="9">
        <v>33</v>
      </c>
      <c r="AC32" s="9">
        <v>1.4</v>
      </c>
      <c r="AD32" s="9">
        <v>39.200000000000003</v>
      </c>
      <c r="AE32" s="9" t="s">
        <v>72</v>
      </c>
      <c r="AF32" s="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73</v>
      </c>
      <c r="B33" s="1" t="s">
        <v>37</v>
      </c>
      <c r="C33" s="1">
        <v>391</v>
      </c>
      <c r="D33" s="1">
        <v>40</v>
      </c>
      <c r="E33" s="1">
        <v>137</v>
      </c>
      <c r="F33" s="1">
        <v>238</v>
      </c>
      <c r="G33" s="7">
        <v>0.4</v>
      </c>
      <c r="H33" s="1">
        <v>60</v>
      </c>
      <c r="I33" s="12" t="s">
        <v>44</v>
      </c>
      <c r="J33" s="12"/>
      <c r="K33" s="1"/>
      <c r="L33" s="1">
        <v>143</v>
      </c>
      <c r="M33" s="1">
        <f t="shared" si="2"/>
        <v>-6</v>
      </c>
      <c r="N33" s="1"/>
      <c r="O33" s="1"/>
      <c r="P33" s="1">
        <v>400</v>
      </c>
      <c r="Q33" s="1">
        <f t="shared" si="3"/>
        <v>27.4</v>
      </c>
      <c r="R33" s="17">
        <v>150</v>
      </c>
      <c r="S33" s="1">
        <f t="shared" si="4"/>
        <v>28.759124087591243</v>
      </c>
      <c r="T33" s="1">
        <f t="shared" si="5"/>
        <v>23.284671532846716</v>
      </c>
      <c r="U33" s="1">
        <v>24.2</v>
      </c>
      <c r="V33" s="1">
        <v>34.799999999999997</v>
      </c>
      <c r="W33" s="1">
        <v>44.6</v>
      </c>
      <c r="X33" s="1">
        <v>41.4</v>
      </c>
      <c r="Y33" s="1">
        <v>37.799999999999997</v>
      </c>
      <c r="Z33" s="1">
        <v>59.2</v>
      </c>
      <c r="AA33" s="1">
        <v>34.6</v>
      </c>
      <c r="AB33" s="1">
        <v>46.2</v>
      </c>
      <c r="AC33" s="1">
        <v>34.200000000000003</v>
      </c>
      <c r="AD33" s="1">
        <v>37</v>
      </c>
      <c r="AE33" s="1" t="s">
        <v>45</v>
      </c>
      <c r="AF33" s="1">
        <f>G33*R33</f>
        <v>60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9" t="s">
        <v>74</v>
      </c>
      <c r="B34" s="9" t="s">
        <v>37</v>
      </c>
      <c r="C34" s="9"/>
      <c r="D34" s="9"/>
      <c r="E34" s="9"/>
      <c r="F34" s="9"/>
      <c r="G34" s="10">
        <v>0</v>
      </c>
      <c r="H34" s="9">
        <v>45</v>
      </c>
      <c r="I34" s="9" t="s">
        <v>34</v>
      </c>
      <c r="J34" s="9"/>
      <c r="K34" s="9"/>
      <c r="L34" s="9"/>
      <c r="M34" s="9">
        <f t="shared" si="2"/>
        <v>0</v>
      </c>
      <c r="N34" s="9"/>
      <c r="O34" s="9"/>
      <c r="P34" s="9">
        <v>0</v>
      </c>
      <c r="Q34" s="9">
        <f t="shared" si="3"/>
        <v>0</v>
      </c>
      <c r="R34" s="11"/>
      <c r="S34" s="9" t="e">
        <f t="shared" si="4"/>
        <v>#DIV/0!</v>
      </c>
      <c r="T34" s="9" t="e">
        <f t="shared" si="5"/>
        <v>#DIV/0!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 t="s">
        <v>75</v>
      </c>
      <c r="AF34" s="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9" t="s">
        <v>76</v>
      </c>
      <c r="B35" s="9" t="s">
        <v>37</v>
      </c>
      <c r="C35" s="9">
        <v>-104</v>
      </c>
      <c r="D35" s="9"/>
      <c r="E35" s="9"/>
      <c r="F35" s="14">
        <v>-104</v>
      </c>
      <c r="G35" s="10">
        <v>0</v>
      </c>
      <c r="H35" s="9">
        <v>60</v>
      </c>
      <c r="I35" s="9" t="s">
        <v>55</v>
      </c>
      <c r="J35" s="9"/>
      <c r="K35" s="9" t="s">
        <v>77</v>
      </c>
      <c r="L35" s="9"/>
      <c r="M35" s="9">
        <f t="shared" si="2"/>
        <v>0</v>
      </c>
      <c r="N35" s="9"/>
      <c r="O35" s="9"/>
      <c r="P35" s="9">
        <v>0</v>
      </c>
      <c r="Q35" s="9">
        <f t="shared" si="3"/>
        <v>0</v>
      </c>
      <c r="R35" s="11"/>
      <c r="S35" s="9" t="e">
        <f t="shared" si="4"/>
        <v>#DIV/0!</v>
      </c>
      <c r="T35" s="9" t="e">
        <f t="shared" si="5"/>
        <v>#DIV/0!</v>
      </c>
      <c r="U35" s="9">
        <v>20.8</v>
      </c>
      <c r="V35" s="9">
        <v>0</v>
      </c>
      <c r="W35" s="9">
        <v>0</v>
      </c>
      <c r="X35" s="9">
        <v>31.8</v>
      </c>
      <c r="Y35" s="9">
        <v>36</v>
      </c>
      <c r="Z35" s="9">
        <v>78.599999999999994</v>
      </c>
      <c r="AA35" s="9">
        <v>62.2</v>
      </c>
      <c r="AB35" s="9">
        <v>54.6</v>
      </c>
      <c r="AC35" s="9">
        <v>20.8</v>
      </c>
      <c r="AD35" s="9">
        <v>60</v>
      </c>
      <c r="AE35" s="9" t="s">
        <v>78</v>
      </c>
      <c r="AF35" s="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9" t="s">
        <v>79</v>
      </c>
      <c r="B36" s="9" t="s">
        <v>37</v>
      </c>
      <c r="C36" s="9">
        <v>248</v>
      </c>
      <c r="D36" s="9"/>
      <c r="E36" s="14">
        <v>227</v>
      </c>
      <c r="F36" s="14">
        <v>-26</v>
      </c>
      <c r="G36" s="10">
        <v>0</v>
      </c>
      <c r="H36" s="9">
        <v>60</v>
      </c>
      <c r="I36" s="9" t="s">
        <v>55</v>
      </c>
      <c r="J36" s="9"/>
      <c r="K36" s="9" t="s">
        <v>56</v>
      </c>
      <c r="L36" s="9">
        <v>240</v>
      </c>
      <c r="M36" s="9">
        <f t="shared" si="2"/>
        <v>-13</v>
      </c>
      <c r="N36" s="9"/>
      <c r="O36" s="9"/>
      <c r="P36" s="9">
        <v>0</v>
      </c>
      <c r="Q36" s="9">
        <f t="shared" si="3"/>
        <v>45.4</v>
      </c>
      <c r="R36" s="11"/>
      <c r="S36" s="9">
        <f t="shared" si="4"/>
        <v>-0.57268722466960353</v>
      </c>
      <c r="T36" s="9">
        <f t="shared" si="5"/>
        <v>-0.57268722466960353</v>
      </c>
      <c r="U36" s="9">
        <v>40.6</v>
      </c>
      <c r="V36" s="9">
        <v>28.2</v>
      </c>
      <c r="W36" s="9">
        <v>64</v>
      </c>
      <c r="X36" s="9">
        <v>40.200000000000003</v>
      </c>
      <c r="Y36" s="9">
        <v>52.8</v>
      </c>
      <c r="Z36" s="9">
        <v>55.8</v>
      </c>
      <c r="AA36" s="9">
        <v>66.599999999999994</v>
      </c>
      <c r="AB36" s="9">
        <v>54.6</v>
      </c>
      <c r="AC36" s="9">
        <v>49.4</v>
      </c>
      <c r="AD36" s="9">
        <v>52</v>
      </c>
      <c r="AE36" s="9" t="s">
        <v>80</v>
      </c>
      <c r="AF36" s="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81</v>
      </c>
      <c r="B37" s="1" t="s">
        <v>37</v>
      </c>
      <c r="C37" s="1">
        <v>119</v>
      </c>
      <c r="D37" s="1">
        <v>98</v>
      </c>
      <c r="E37" s="1">
        <v>180</v>
      </c>
      <c r="F37" s="1">
        <v>1</v>
      </c>
      <c r="G37" s="7">
        <v>0.3</v>
      </c>
      <c r="H37" s="1">
        <v>45</v>
      </c>
      <c r="I37" s="1" t="s">
        <v>34</v>
      </c>
      <c r="J37" s="1"/>
      <c r="K37" s="1"/>
      <c r="L37" s="1">
        <v>203</v>
      </c>
      <c r="M37" s="1">
        <f t="shared" si="2"/>
        <v>-23</v>
      </c>
      <c r="N37" s="1"/>
      <c r="O37" s="1"/>
      <c r="P37" s="1">
        <v>202</v>
      </c>
      <c r="Q37" s="1">
        <f t="shared" si="3"/>
        <v>36</v>
      </c>
      <c r="R37" s="5">
        <f t="shared" ref="R37:R53" si="10">15*Q37-P37-F37</f>
        <v>337</v>
      </c>
      <c r="S37" s="1">
        <f t="shared" si="4"/>
        <v>15</v>
      </c>
      <c r="T37" s="1">
        <f t="shared" si="5"/>
        <v>5.6388888888888893</v>
      </c>
      <c r="U37" s="1">
        <v>27.2</v>
      </c>
      <c r="V37" s="1">
        <v>20.2</v>
      </c>
      <c r="W37" s="1">
        <v>26.8</v>
      </c>
      <c r="X37" s="1">
        <v>20.399999999999999</v>
      </c>
      <c r="Y37" s="1">
        <v>27</v>
      </c>
      <c r="Z37" s="1">
        <v>11.8</v>
      </c>
      <c r="AA37" s="1">
        <v>16</v>
      </c>
      <c r="AB37" s="1">
        <v>33.200000000000003</v>
      </c>
      <c r="AC37" s="1">
        <v>17.600000000000001</v>
      </c>
      <c r="AD37" s="1">
        <v>2.4</v>
      </c>
      <c r="AE37" s="1"/>
      <c r="AF37" s="1">
        <f t="shared" ref="AF37:AF55" si="11">G37*R37</f>
        <v>101.1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82</v>
      </c>
      <c r="B38" s="1" t="s">
        <v>33</v>
      </c>
      <c r="C38" s="1">
        <v>131.209</v>
      </c>
      <c r="D38" s="1">
        <v>71.855999999999995</v>
      </c>
      <c r="E38" s="1">
        <v>107.366</v>
      </c>
      <c r="F38" s="1">
        <v>64.421999999999997</v>
      </c>
      <c r="G38" s="7">
        <v>1</v>
      </c>
      <c r="H38" s="1">
        <v>60</v>
      </c>
      <c r="I38" s="1" t="s">
        <v>34</v>
      </c>
      <c r="J38" s="1"/>
      <c r="K38" s="1"/>
      <c r="L38" s="1">
        <v>114.6</v>
      </c>
      <c r="M38" s="1">
        <f t="shared" ref="M38:M69" si="12">E38-L38</f>
        <v>-7.2339999999999947</v>
      </c>
      <c r="N38" s="1"/>
      <c r="O38" s="1"/>
      <c r="P38" s="1">
        <v>51</v>
      </c>
      <c r="Q38" s="1">
        <f t="shared" ref="Q38:Q69" si="13">E38/5</f>
        <v>21.473199999999999</v>
      </c>
      <c r="R38" s="5">
        <f>14*Q38-P38-F38</f>
        <v>185.2028</v>
      </c>
      <c r="S38" s="1">
        <f t="shared" ref="S38:S69" si="14">(F38+P38+R38)/Q38</f>
        <v>14</v>
      </c>
      <c r="T38" s="1">
        <f t="shared" ref="T38:T69" si="15">(F38+P38)/Q38</f>
        <v>5.3751653223553086</v>
      </c>
      <c r="U38" s="1">
        <v>16.648800000000001</v>
      </c>
      <c r="V38" s="1">
        <v>18.3598</v>
      </c>
      <c r="W38" s="1">
        <v>19.619599999999998</v>
      </c>
      <c r="X38" s="1">
        <v>17.6358</v>
      </c>
      <c r="Y38" s="1">
        <v>18.295000000000002</v>
      </c>
      <c r="Z38" s="1">
        <v>17.577000000000002</v>
      </c>
      <c r="AA38" s="1">
        <v>25.6296</v>
      </c>
      <c r="AB38" s="1">
        <v>19.367000000000001</v>
      </c>
      <c r="AC38" s="1">
        <v>17.390799999999999</v>
      </c>
      <c r="AD38" s="1">
        <v>21.085999999999999</v>
      </c>
      <c r="AE38" s="1"/>
      <c r="AF38" s="1">
        <f t="shared" si="11"/>
        <v>185.2028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83</v>
      </c>
      <c r="B39" s="1" t="s">
        <v>33</v>
      </c>
      <c r="C39" s="1">
        <v>49.201999999999998</v>
      </c>
      <c r="D39" s="1">
        <v>185.42400000000001</v>
      </c>
      <c r="E39" s="1">
        <v>87.459000000000003</v>
      </c>
      <c r="F39" s="1">
        <v>117.759</v>
      </c>
      <c r="G39" s="7">
        <v>1</v>
      </c>
      <c r="H39" s="1">
        <v>45</v>
      </c>
      <c r="I39" s="1" t="s">
        <v>34</v>
      </c>
      <c r="J39" s="1"/>
      <c r="K39" s="1"/>
      <c r="L39" s="1">
        <v>91.7</v>
      </c>
      <c r="M39" s="1">
        <f t="shared" si="12"/>
        <v>-4.2409999999999997</v>
      </c>
      <c r="N39" s="1"/>
      <c r="O39" s="1"/>
      <c r="P39" s="1">
        <v>0</v>
      </c>
      <c r="Q39" s="1">
        <f t="shared" si="13"/>
        <v>17.491800000000001</v>
      </c>
      <c r="R39" s="5">
        <f t="shared" si="10"/>
        <v>144.61799999999999</v>
      </c>
      <c r="S39" s="1">
        <f t="shared" si="14"/>
        <v>15</v>
      </c>
      <c r="T39" s="1">
        <f t="shared" si="15"/>
        <v>6.7322402497170097</v>
      </c>
      <c r="U39" s="1">
        <v>8.7322000000000006</v>
      </c>
      <c r="V39" s="1">
        <v>19.025200000000002</v>
      </c>
      <c r="W39" s="1">
        <v>11.681800000000001</v>
      </c>
      <c r="X39" s="1">
        <v>9.6796000000000006</v>
      </c>
      <c r="Y39" s="1">
        <v>10.3604</v>
      </c>
      <c r="Z39" s="1">
        <v>23.97</v>
      </c>
      <c r="AA39" s="1">
        <v>23.713999999999999</v>
      </c>
      <c r="AB39" s="1">
        <v>19.515799999999999</v>
      </c>
      <c r="AC39" s="1">
        <v>14.1944</v>
      </c>
      <c r="AD39" s="1">
        <v>18.4634</v>
      </c>
      <c r="AE39" s="1"/>
      <c r="AF39" s="1">
        <f t="shared" si="11"/>
        <v>144.61799999999999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84</v>
      </c>
      <c r="B40" s="1" t="s">
        <v>33</v>
      </c>
      <c r="C40" s="1">
        <v>18.369</v>
      </c>
      <c r="D40" s="1">
        <v>243.727</v>
      </c>
      <c r="E40" s="1">
        <v>131.10599999999999</v>
      </c>
      <c r="F40" s="1">
        <v>93.882000000000005</v>
      </c>
      <c r="G40" s="7">
        <v>1</v>
      </c>
      <c r="H40" s="1">
        <v>45</v>
      </c>
      <c r="I40" s="1" t="s">
        <v>34</v>
      </c>
      <c r="J40" s="1"/>
      <c r="K40" s="1"/>
      <c r="L40" s="1">
        <v>179.2</v>
      </c>
      <c r="M40" s="1">
        <f t="shared" si="12"/>
        <v>-48.093999999999994</v>
      </c>
      <c r="N40" s="1"/>
      <c r="O40" s="1"/>
      <c r="P40" s="1">
        <v>37</v>
      </c>
      <c r="Q40" s="1">
        <f t="shared" si="13"/>
        <v>26.2212</v>
      </c>
      <c r="R40" s="5">
        <f t="shared" ref="R40" si="16">14*Q40-P40-F40</f>
        <v>236.21479999999997</v>
      </c>
      <c r="S40" s="1">
        <f t="shared" si="14"/>
        <v>14</v>
      </c>
      <c r="T40" s="1">
        <f t="shared" si="15"/>
        <v>4.9914572940979056</v>
      </c>
      <c r="U40" s="1">
        <v>18.284400000000002</v>
      </c>
      <c r="V40" s="1">
        <v>23.627800000000001</v>
      </c>
      <c r="W40" s="1">
        <v>16.767800000000001</v>
      </c>
      <c r="X40" s="1">
        <v>13.041600000000001</v>
      </c>
      <c r="Y40" s="1">
        <v>26.402999999999999</v>
      </c>
      <c r="Z40" s="1">
        <v>21.489599999999999</v>
      </c>
      <c r="AA40" s="1">
        <v>29.615600000000001</v>
      </c>
      <c r="AB40" s="1">
        <v>34.425600000000003</v>
      </c>
      <c r="AC40" s="1">
        <v>21.269600000000001</v>
      </c>
      <c r="AD40" s="1">
        <v>21.2666</v>
      </c>
      <c r="AE40" s="1"/>
      <c r="AF40" s="1">
        <f t="shared" si="11"/>
        <v>236.21479999999997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85</v>
      </c>
      <c r="B41" s="1" t="s">
        <v>33</v>
      </c>
      <c r="C41" s="1">
        <v>307.94900000000001</v>
      </c>
      <c r="D41" s="1">
        <v>228.417</v>
      </c>
      <c r="E41" s="1">
        <v>248.49100000000001</v>
      </c>
      <c r="F41" s="1">
        <v>246.13200000000001</v>
      </c>
      <c r="G41" s="7">
        <v>1</v>
      </c>
      <c r="H41" s="1">
        <v>45</v>
      </c>
      <c r="I41" s="1" t="s">
        <v>34</v>
      </c>
      <c r="J41" s="1"/>
      <c r="K41" s="1"/>
      <c r="L41" s="1">
        <v>246.3</v>
      </c>
      <c r="M41" s="1">
        <f t="shared" si="12"/>
        <v>2.1910000000000025</v>
      </c>
      <c r="N41" s="1"/>
      <c r="O41" s="1"/>
      <c r="P41" s="1">
        <v>0</v>
      </c>
      <c r="Q41" s="1">
        <f t="shared" si="13"/>
        <v>49.6982</v>
      </c>
      <c r="R41" s="17">
        <v>300</v>
      </c>
      <c r="S41" s="1">
        <f t="shared" si="14"/>
        <v>10.988969419415593</v>
      </c>
      <c r="T41" s="1">
        <f t="shared" si="15"/>
        <v>4.9525334921586701</v>
      </c>
      <c r="U41" s="1">
        <v>26.753799999999998</v>
      </c>
      <c r="V41" s="1">
        <v>42.905999999999999</v>
      </c>
      <c r="W41" s="1">
        <v>40.457599999999999</v>
      </c>
      <c r="X41" s="1">
        <v>38.383400000000002</v>
      </c>
      <c r="Y41" s="1">
        <v>37.244999999999997</v>
      </c>
      <c r="Z41" s="1">
        <v>34.216999999999999</v>
      </c>
      <c r="AA41" s="1">
        <v>44.957999999999998</v>
      </c>
      <c r="AB41" s="1">
        <v>38.369199999999999</v>
      </c>
      <c r="AC41" s="1">
        <v>34.367400000000004</v>
      </c>
      <c r="AD41" s="1">
        <v>40.723599999999998</v>
      </c>
      <c r="AE41" s="1" t="s">
        <v>163</v>
      </c>
      <c r="AF41" s="1">
        <f t="shared" si="11"/>
        <v>300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86</v>
      </c>
      <c r="B42" s="1" t="s">
        <v>37</v>
      </c>
      <c r="C42" s="1">
        <v>79</v>
      </c>
      <c r="D42" s="1">
        <v>376</v>
      </c>
      <c r="E42" s="1">
        <v>351</v>
      </c>
      <c r="F42" s="1">
        <v>1</v>
      </c>
      <c r="G42" s="7">
        <v>0.3</v>
      </c>
      <c r="H42" s="1">
        <v>45</v>
      </c>
      <c r="I42" s="1" t="s">
        <v>34</v>
      </c>
      <c r="J42" s="1"/>
      <c r="K42" s="1"/>
      <c r="L42" s="1">
        <v>434</v>
      </c>
      <c r="M42" s="1">
        <f t="shared" si="12"/>
        <v>-83</v>
      </c>
      <c r="N42" s="1"/>
      <c r="O42" s="1"/>
      <c r="P42" s="1">
        <v>616</v>
      </c>
      <c r="Q42" s="1">
        <f t="shared" si="13"/>
        <v>70.2</v>
      </c>
      <c r="R42" s="17">
        <v>680</v>
      </c>
      <c r="S42" s="1">
        <f t="shared" si="14"/>
        <v>18.475783475783476</v>
      </c>
      <c r="T42" s="1">
        <f t="shared" si="15"/>
        <v>8.7891737891737893</v>
      </c>
      <c r="U42" s="1">
        <v>69.8</v>
      </c>
      <c r="V42" s="1">
        <v>41.6</v>
      </c>
      <c r="W42" s="1">
        <v>43.2</v>
      </c>
      <c r="X42" s="1">
        <v>18.8</v>
      </c>
      <c r="Y42" s="1">
        <v>58</v>
      </c>
      <c r="Z42" s="1">
        <v>42.8</v>
      </c>
      <c r="AA42" s="1">
        <v>21.2</v>
      </c>
      <c r="AB42" s="1">
        <v>22.8</v>
      </c>
      <c r="AC42" s="1">
        <v>28</v>
      </c>
      <c r="AD42" s="1">
        <v>19.2</v>
      </c>
      <c r="AE42" s="1" t="s">
        <v>164</v>
      </c>
      <c r="AF42" s="1">
        <f t="shared" si="11"/>
        <v>204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87</v>
      </c>
      <c r="B43" s="1" t="s">
        <v>33</v>
      </c>
      <c r="C43" s="1">
        <v>204.27199999999999</v>
      </c>
      <c r="D43" s="1"/>
      <c r="E43" s="1">
        <v>184.47800000000001</v>
      </c>
      <c r="F43" s="1">
        <v>8.49</v>
      </c>
      <c r="G43" s="7">
        <v>1</v>
      </c>
      <c r="H43" s="1">
        <v>30</v>
      </c>
      <c r="I43" s="1" t="s">
        <v>34</v>
      </c>
      <c r="J43" s="1"/>
      <c r="K43" s="1"/>
      <c r="L43" s="1">
        <v>177.3</v>
      </c>
      <c r="M43" s="1">
        <f t="shared" si="12"/>
        <v>7.1779999999999973</v>
      </c>
      <c r="N43" s="1"/>
      <c r="O43" s="1"/>
      <c r="P43" s="1">
        <v>95</v>
      </c>
      <c r="Q43" s="1">
        <f t="shared" si="13"/>
        <v>36.895600000000002</v>
      </c>
      <c r="R43" s="5">
        <f>10*Q43-P43-F43</f>
        <v>265.46600000000001</v>
      </c>
      <c r="S43" s="1">
        <f t="shared" si="14"/>
        <v>10</v>
      </c>
      <c r="T43" s="1">
        <f t="shared" si="15"/>
        <v>2.8049415106408349</v>
      </c>
      <c r="U43" s="1">
        <v>16.045200000000001</v>
      </c>
      <c r="V43" s="1">
        <v>14.3528</v>
      </c>
      <c r="W43" s="1">
        <v>22.1236</v>
      </c>
      <c r="X43" s="1">
        <v>20.263999999999999</v>
      </c>
      <c r="Y43" s="1">
        <v>18.549600000000002</v>
      </c>
      <c r="Z43" s="1">
        <v>16.238800000000001</v>
      </c>
      <c r="AA43" s="1">
        <v>13.000400000000001</v>
      </c>
      <c r="AB43" s="1">
        <v>23.759599999999999</v>
      </c>
      <c r="AC43" s="1">
        <v>5.3927999999999994</v>
      </c>
      <c r="AD43" s="1">
        <v>30.8232</v>
      </c>
      <c r="AE43" s="1"/>
      <c r="AF43" s="1">
        <f t="shared" si="11"/>
        <v>265.46600000000001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88</v>
      </c>
      <c r="B44" s="1" t="s">
        <v>33</v>
      </c>
      <c r="C44" s="1">
        <v>412.81799999999998</v>
      </c>
      <c r="D44" s="1">
        <v>116.34399999999999</v>
      </c>
      <c r="E44" s="1">
        <v>275.19600000000003</v>
      </c>
      <c r="F44" s="1">
        <v>114.55500000000001</v>
      </c>
      <c r="G44" s="7">
        <v>1</v>
      </c>
      <c r="H44" s="1">
        <v>45</v>
      </c>
      <c r="I44" s="1" t="s">
        <v>34</v>
      </c>
      <c r="J44" s="1"/>
      <c r="K44" s="1"/>
      <c r="L44" s="1">
        <v>271</v>
      </c>
      <c r="M44" s="1">
        <f t="shared" si="12"/>
        <v>4.1960000000000264</v>
      </c>
      <c r="N44" s="1"/>
      <c r="O44" s="1"/>
      <c r="P44" s="1">
        <v>127</v>
      </c>
      <c r="Q44" s="1">
        <f t="shared" si="13"/>
        <v>55.039200000000008</v>
      </c>
      <c r="R44" s="5">
        <f>13*Q44-P44-F44</f>
        <v>473.95460000000008</v>
      </c>
      <c r="S44" s="1">
        <f t="shared" si="14"/>
        <v>13</v>
      </c>
      <c r="T44" s="1">
        <f t="shared" si="15"/>
        <v>4.3887810869344026</v>
      </c>
      <c r="U44" s="1">
        <v>42.236199999999997</v>
      </c>
      <c r="V44" s="1">
        <v>44.667000000000002</v>
      </c>
      <c r="W44" s="1">
        <v>51.484200000000001</v>
      </c>
      <c r="X44" s="1">
        <v>34.043199999999999</v>
      </c>
      <c r="Y44" s="1">
        <v>46.182600000000001</v>
      </c>
      <c r="Z44" s="1">
        <v>36.746600000000001</v>
      </c>
      <c r="AA44" s="1">
        <v>52.787799999999997</v>
      </c>
      <c r="AB44" s="1">
        <v>34.78</v>
      </c>
      <c r="AC44" s="1">
        <v>33.724800000000002</v>
      </c>
      <c r="AD44" s="1">
        <v>37.8416</v>
      </c>
      <c r="AE44" s="1"/>
      <c r="AF44" s="1">
        <f t="shared" si="11"/>
        <v>473.95460000000008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89</v>
      </c>
      <c r="B45" s="1" t="s">
        <v>37</v>
      </c>
      <c r="C45" s="1">
        <v>571</v>
      </c>
      <c r="D45" s="1">
        <v>152</v>
      </c>
      <c r="E45" s="1">
        <v>469</v>
      </c>
      <c r="F45" s="1">
        <v>168</v>
      </c>
      <c r="G45" s="7">
        <v>0.35</v>
      </c>
      <c r="H45" s="1">
        <v>45</v>
      </c>
      <c r="I45" s="1" t="s">
        <v>34</v>
      </c>
      <c r="J45" s="1"/>
      <c r="K45" s="1"/>
      <c r="L45" s="1">
        <v>485</v>
      </c>
      <c r="M45" s="1">
        <f t="shared" si="12"/>
        <v>-16</v>
      </c>
      <c r="N45" s="1"/>
      <c r="O45" s="1"/>
      <c r="P45" s="1">
        <v>90</v>
      </c>
      <c r="Q45" s="1">
        <f t="shared" si="13"/>
        <v>93.8</v>
      </c>
      <c r="R45" s="5">
        <f>12*Q45-P45-F45</f>
        <v>867.59999999999991</v>
      </c>
      <c r="S45" s="1">
        <f t="shared" si="14"/>
        <v>12</v>
      </c>
      <c r="T45" s="1">
        <f t="shared" si="15"/>
        <v>2.750533049040512</v>
      </c>
      <c r="U45" s="1">
        <v>49.2</v>
      </c>
      <c r="V45" s="1">
        <v>60.4</v>
      </c>
      <c r="W45" s="1">
        <v>73</v>
      </c>
      <c r="X45" s="1">
        <v>57.2</v>
      </c>
      <c r="Y45" s="1">
        <v>63.4</v>
      </c>
      <c r="Z45" s="1">
        <v>62.2</v>
      </c>
      <c r="AA45" s="1">
        <v>65.8</v>
      </c>
      <c r="AB45" s="1">
        <v>59.4</v>
      </c>
      <c r="AC45" s="1">
        <v>66.400000000000006</v>
      </c>
      <c r="AD45" s="1">
        <v>74.8</v>
      </c>
      <c r="AE45" s="1"/>
      <c r="AF45" s="1">
        <f t="shared" si="11"/>
        <v>303.65999999999997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90</v>
      </c>
      <c r="B46" s="1" t="s">
        <v>37</v>
      </c>
      <c r="C46" s="1">
        <v>356</v>
      </c>
      <c r="D46" s="1"/>
      <c r="E46" s="1">
        <v>224</v>
      </c>
      <c r="F46" s="1">
        <v>3</v>
      </c>
      <c r="G46" s="7">
        <v>0.41</v>
      </c>
      <c r="H46" s="1">
        <v>45</v>
      </c>
      <c r="I46" s="1" t="s">
        <v>34</v>
      </c>
      <c r="J46" s="1"/>
      <c r="K46" s="1"/>
      <c r="L46" s="1">
        <v>247</v>
      </c>
      <c r="M46" s="1">
        <f t="shared" si="12"/>
        <v>-23</v>
      </c>
      <c r="N46" s="1"/>
      <c r="O46" s="1"/>
      <c r="P46" s="1">
        <v>435</v>
      </c>
      <c r="Q46" s="1">
        <f t="shared" si="13"/>
        <v>44.8</v>
      </c>
      <c r="R46" s="17">
        <v>350</v>
      </c>
      <c r="S46" s="1">
        <f t="shared" si="14"/>
        <v>17.589285714285715</v>
      </c>
      <c r="T46" s="1">
        <f t="shared" si="15"/>
        <v>9.7767857142857153</v>
      </c>
      <c r="U46" s="1">
        <v>56</v>
      </c>
      <c r="V46" s="1">
        <v>48.8</v>
      </c>
      <c r="W46" s="1">
        <v>61</v>
      </c>
      <c r="X46" s="1">
        <v>55.8</v>
      </c>
      <c r="Y46" s="1">
        <v>52.6</v>
      </c>
      <c r="Z46" s="1">
        <v>57.2</v>
      </c>
      <c r="AA46" s="1">
        <v>41.4</v>
      </c>
      <c r="AB46" s="1">
        <v>37.6</v>
      </c>
      <c r="AC46" s="1">
        <v>6.2</v>
      </c>
      <c r="AD46" s="1">
        <v>55.4</v>
      </c>
      <c r="AE46" s="1" t="s">
        <v>164</v>
      </c>
      <c r="AF46" s="1">
        <f t="shared" si="11"/>
        <v>143.5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91</v>
      </c>
      <c r="B47" s="1" t="s">
        <v>37</v>
      </c>
      <c r="C47" s="1">
        <v>298</v>
      </c>
      <c r="D47" s="1">
        <v>120</v>
      </c>
      <c r="E47" s="1">
        <v>203</v>
      </c>
      <c r="F47" s="1">
        <v>164</v>
      </c>
      <c r="G47" s="7">
        <v>0.41</v>
      </c>
      <c r="H47" s="1">
        <v>45</v>
      </c>
      <c r="I47" s="1" t="s">
        <v>34</v>
      </c>
      <c r="J47" s="1"/>
      <c r="K47" s="1"/>
      <c r="L47" s="1">
        <v>213</v>
      </c>
      <c r="M47" s="1">
        <f t="shared" si="12"/>
        <v>-10</v>
      </c>
      <c r="N47" s="1"/>
      <c r="O47" s="1"/>
      <c r="P47" s="1">
        <v>50</v>
      </c>
      <c r="Q47" s="1">
        <f t="shared" si="13"/>
        <v>40.6</v>
      </c>
      <c r="R47" s="5">
        <f>14*Q47-P47-F47</f>
        <v>354.4</v>
      </c>
      <c r="S47" s="1">
        <f t="shared" si="14"/>
        <v>13.999999999999998</v>
      </c>
      <c r="T47" s="1">
        <f t="shared" si="15"/>
        <v>5.2709359605911326</v>
      </c>
      <c r="U47" s="1">
        <v>30.6</v>
      </c>
      <c r="V47" s="1">
        <v>36.200000000000003</v>
      </c>
      <c r="W47" s="1">
        <v>42.6</v>
      </c>
      <c r="X47" s="1">
        <v>41.4</v>
      </c>
      <c r="Y47" s="1">
        <v>27.4</v>
      </c>
      <c r="Z47" s="1">
        <v>42.4</v>
      </c>
      <c r="AA47" s="1">
        <v>35.799999999999997</v>
      </c>
      <c r="AB47" s="1">
        <v>25.4</v>
      </c>
      <c r="AC47" s="1">
        <v>22.2</v>
      </c>
      <c r="AD47" s="1">
        <v>38.6</v>
      </c>
      <c r="AE47" s="1"/>
      <c r="AF47" s="1">
        <f t="shared" si="11"/>
        <v>145.30399999999997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92</v>
      </c>
      <c r="B48" s="1" t="s">
        <v>37</v>
      </c>
      <c r="C48" s="1">
        <v>278</v>
      </c>
      <c r="D48" s="1"/>
      <c r="E48" s="1">
        <v>271</v>
      </c>
      <c r="F48" s="1">
        <v>2</v>
      </c>
      <c r="G48" s="7">
        <v>0.36</v>
      </c>
      <c r="H48" s="1">
        <v>45</v>
      </c>
      <c r="I48" s="1" t="s">
        <v>34</v>
      </c>
      <c r="J48" s="1"/>
      <c r="K48" s="1"/>
      <c r="L48" s="1">
        <v>328</v>
      </c>
      <c r="M48" s="1">
        <f t="shared" si="12"/>
        <v>-57</v>
      </c>
      <c r="N48" s="1"/>
      <c r="O48" s="1"/>
      <c r="P48" s="1">
        <v>476</v>
      </c>
      <c r="Q48" s="1">
        <f t="shared" si="13"/>
        <v>54.2</v>
      </c>
      <c r="R48" s="17">
        <v>600</v>
      </c>
      <c r="S48" s="1">
        <f t="shared" si="14"/>
        <v>19.889298892988929</v>
      </c>
      <c r="T48" s="1">
        <f t="shared" si="15"/>
        <v>8.8191881918819188</v>
      </c>
      <c r="U48" s="1">
        <v>49</v>
      </c>
      <c r="V48" s="1">
        <v>25.4</v>
      </c>
      <c r="W48" s="1">
        <v>43.4</v>
      </c>
      <c r="X48" s="1">
        <v>59</v>
      </c>
      <c r="Y48" s="1">
        <v>28.8</v>
      </c>
      <c r="Z48" s="1">
        <v>43.8</v>
      </c>
      <c r="AA48" s="1">
        <v>41.6</v>
      </c>
      <c r="AB48" s="1">
        <v>39.200000000000003</v>
      </c>
      <c r="AC48" s="1">
        <v>2.6</v>
      </c>
      <c r="AD48" s="1">
        <v>41.8</v>
      </c>
      <c r="AE48" s="1" t="s">
        <v>165</v>
      </c>
      <c r="AF48" s="1">
        <f t="shared" si="11"/>
        <v>216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93</v>
      </c>
      <c r="B49" s="1" t="s">
        <v>37</v>
      </c>
      <c r="C49" s="1">
        <v>83</v>
      </c>
      <c r="D49" s="1">
        <v>48</v>
      </c>
      <c r="E49" s="1">
        <v>45</v>
      </c>
      <c r="F49" s="1">
        <v>62</v>
      </c>
      <c r="G49" s="7">
        <v>0.33</v>
      </c>
      <c r="H49" s="1">
        <v>45</v>
      </c>
      <c r="I49" s="1" t="s">
        <v>34</v>
      </c>
      <c r="J49" s="1"/>
      <c r="K49" s="1"/>
      <c r="L49" s="1">
        <v>48</v>
      </c>
      <c r="M49" s="1">
        <f t="shared" si="12"/>
        <v>-3</v>
      </c>
      <c r="N49" s="1"/>
      <c r="O49" s="1"/>
      <c r="P49" s="1">
        <v>0</v>
      </c>
      <c r="Q49" s="1">
        <f t="shared" si="13"/>
        <v>9</v>
      </c>
      <c r="R49" s="5">
        <f t="shared" si="10"/>
        <v>73</v>
      </c>
      <c r="S49" s="1">
        <f t="shared" si="14"/>
        <v>15</v>
      </c>
      <c r="T49" s="1">
        <f t="shared" si="15"/>
        <v>6.8888888888888893</v>
      </c>
      <c r="U49" s="1">
        <v>5.4</v>
      </c>
      <c r="V49" s="1">
        <v>11.4</v>
      </c>
      <c r="W49" s="1">
        <v>12.8</v>
      </c>
      <c r="X49" s="1">
        <v>17.2</v>
      </c>
      <c r="Y49" s="1">
        <v>11.2</v>
      </c>
      <c r="Z49" s="1">
        <v>12.8</v>
      </c>
      <c r="AA49" s="1">
        <v>16</v>
      </c>
      <c r="AB49" s="1">
        <v>12.6</v>
      </c>
      <c r="AC49" s="1">
        <v>10.199999999999999</v>
      </c>
      <c r="AD49" s="1">
        <v>26.4</v>
      </c>
      <c r="AE49" s="1"/>
      <c r="AF49" s="1">
        <f t="shared" si="11"/>
        <v>24.09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94</v>
      </c>
      <c r="B50" s="1" t="s">
        <v>37</v>
      </c>
      <c r="C50" s="1">
        <v>160</v>
      </c>
      <c r="D50" s="1"/>
      <c r="E50" s="1">
        <v>76</v>
      </c>
      <c r="F50" s="1">
        <v>56</v>
      </c>
      <c r="G50" s="7">
        <v>0.4</v>
      </c>
      <c r="H50" s="1">
        <v>60</v>
      </c>
      <c r="I50" s="1" t="s">
        <v>34</v>
      </c>
      <c r="J50" s="1"/>
      <c r="K50" s="1"/>
      <c r="L50" s="1">
        <v>81</v>
      </c>
      <c r="M50" s="1">
        <f t="shared" si="12"/>
        <v>-5</v>
      </c>
      <c r="N50" s="1"/>
      <c r="O50" s="1"/>
      <c r="P50" s="1">
        <v>40</v>
      </c>
      <c r="Q50" s="1">
        <f t="shared" si="13"/>
        <v>15.2</v>
      </c>
      <c r="R50" s="5">
        <f t="shared" si="10"/>
        <v>132</v>
      </c>
      <c r="S50" s="1">
        <f t="shared" si="14"/>
        <v>15</v>
      </c>
      <c r="T50" s="1">
        <f t="shared" si="15"/>
        <v>6.3157894736842106</v>
      </c>
      <c r="U50" s="1">
        <v>13.2</v>
      </c>
      <c r="V50" s="1">
        <v>14.6</v>
      </c>
      <c r="W50" s="1">
        <v>18.399999999999999</v>
      </c>
      <c r="X50" s="1">
        <v>13.4</v>
      </c>
      <c r="Y50" s="1">
        <v>21.4</v>
      </c>
      <c r="Z50" s="1">
        <v>21.6</v>
      </c>
      <c r="AA50" s="1">
        <v>10</v>
      </c>
      <c r="AB50" s="1">
        <v>25</v>
      </c>
      <c r="AC50" s="1">
        <v>35.6</v>
      </c>
      <c r="AD50" s="1">
        <v>19.8</v>
      </c>
      <c r="AE50" s="1"/>
      <c r="AF50" s="1">
        <f t="shared" si="11"/>
        <v>52.800000000000004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95</v>
      </c>
      <c r="B51" s="1" t="s">
        <v>37</v>
      </c>
      <c r="C51" s="1">
        <v>50</v>
      </c>
      <c r="D51" s="1"/>
      <c r="E51" s="1">
        <v>35</v>
      </c>
      <c r="F51" s="1">
        <v>6</v>
      </c>
      <c r="G51" s="7">
        <v>0.33</v>
      </c>
      <c r="H51" s="1">
        <v>45</v>
      </c>
      <c r="I51" s="1" t="s">
        <v>34</v>
      </c>
      <c r="J51" s="1"/>
      <c r="K51" s="1"/>
      <c r="L51" s="1">
        <v>37</v>
      </c>
      <c r="M51" s="1">
        <f t="shared" si="12"/>
        <v>-2</v>
      </c>
      <c r="N51" s="1"/>
      <c r="O51" s="1"/>
      <c r="P51" s="1">
        <v>19</v>
      </c>
      <c r="Q51" s="1">
        <f t="shared" si="13"/>
        <v>7</v>
      </c>
      <c r="R51" s="5">
        <f>13*Q51-P51-F51</f>
        <v>66</v>
      </c>
      <c r="S51" s="1">
        <f t="shared" si="14"/>
        <v>13</v>
      </c>
      <c r="T51" s="1">
        <f t="shared" si="15"/>
        <v>3.5714285714285716</v>
      </c>
      <c r="U51" s="1">
        <v>4.4000000000000004</v>
      </c>
      <c r="V51" s="1">
        <v>3.2</v>
      </c>
      <c r="W51" s="1">
        <v>6.8</v>
      </c>
      <c r="X51" s="1">
        <v>4.5999999999999996</v>
      </c>
      <c r="Y51" s="1">
        <v>5.4</v>
      </c>
      <c r="Z51" s="1">
        <v>8</v>
      </c>
      <c r="AA51" s="1">
        <v>4.5999999999999996</v>
      </c>
      <c r="AB51" s="1">
        <v>8.1999999999999993</v>
      </c>
      <c r="AC51" s="1">
        <v>11</v>
      </c>
      <c r="AD51" s="1">
        <v>13.4</v>
      </c>
      <c r="AE51" s="1"/>
      <c r="AF51" s="1">
        <f t="shared" si="11"/>
        <v>21.78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96</v>
      </c>
      <c r="B52" s="1" t="s">
        <v>33</v>
      </c>
      <c r="C52" s="1">
        <v>472.15499999999997</v>
      </c>
      <c r="D52" s="1">
        <v>398.78500000000003</v>
      </c>
      <c r="E52" s="1">
        <v>382.01799999999997</v>
      </c>
      <c r="F52" s="1">
        <v>348.55099999999999</v>
      </c>
      <c r="G52" s="7">
        <v>1</v>
      </c>
      <c r="H52" s="1">
        <v>45</v>
      </c>
      <c r="I52" s="1" t="s">
        <v>34</v>
      </c>
      <c r="J52" s="1"/>
      <c r="K52" s="1"/>
      <c r="L52" s="1">
        <v>343.7</v>
      </c>
      <c r="M52" s="1">
        <f t="shared" si="12"/>
        <v>38.317999999999984</v>
      </c>
      <c r="N52" s="1"/>
      <c r="O52" s="1"/>
      <c r="P52" s="1">
        <v>0</v>
      </c>
      <c r="Q52" s="1">
        <f t="shared" si="13"/>
        <v>76.403599999999997</v>
      </c>
      <c r="R52" s="5">
        <f>14*Q52-P52-F52</f>
        <v>721.09940000000006</v>
      </c>
      <c r="S52" s="1">
        <f t="shared" si="14"/>
        <v>14</v>
      </c>
      <c r="T52" s="1">
        <f t="shared" si="15"/>
        <v>4.561970901894675</v>
      </c>
      <c r="U52" s="1">
        <v>34.4542</v>
      </c>
      <c r="V52" s="1">
        <v>59.198400000000007</v>
      </c>
      <c r="W52" s="1">
        <v>63.107399999999998</v>
      </c>
      <c r="X52" s="1">
        <v>32.2164</v>
      </c>
      <c r="Y52" s="1">
        <v>50.428199999999997</v>
      </c>
      <c r="Z52" s="1">
        <v>56.484000000000002</v>
      </c>
      <c r="AA52" s="1">
        <v>47.937399999999997</v>
      </c>
      <c r="AB52" s="1">
        <v>73.170199999999994</v>
      </c>
      <c r="AC52" s="1">
        <v>43.623600000000003</v>
      </c>
      <c r="AD52" s="1">
        <v>22.008600000000001</v>
      </c>
      <c r="AE52" s="1"/>
      <c r="AF52" s="1">
        <f t="shared" si="11"/>
        <v>721.09940000000006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97</v>
      </c>
      <c r="B53" s="1" t="s">
        <v>37</v>
      </c>
      <c r="C53" s="1">
        <v>149</v>
      </c>
      <c r="D53" s="1">
        <v>108</v>
      </c>
      <c r="E53" s="1">
        <v>127</v>
      </c>
      <c r="F53" s="1">
        <v>83</v>
      </c>
      <c r="G53" s="7">
        <v>0.4</v>
      </c>
      <c r="H53" s="1">
        <v>45</v>
      </c>
      <c r="I53" s="1" t="s">
        <v>34</v>
      </c>
      <c r="J53" s="1"/>
      <c r="K53" s="1"/>
      <c r="L53" s="1">
        <v>154</v>
      </c>
      <c r="M53" s="1">
        <f t="shared" si="12"/>
        <v>-27</v>
      </c>
      <c r="N53" s="1"/>
      <c r="O53" s="1"/>
      <c r="P53" s="1">
        <v>57</v>
      </c>
      <c r="Q53" s="1">
        <f t="shared" si="13"/>
        <v>25.4</v>
      </c>
      <c r="R53" s="5">
        <f t="shared" si="10"/>
        <v>241</v>
      </c>
      <c r="S53" s="1">
        <f t="shared" si="14"/>
        <v>15</v>
      </c>
      <c r="T53" s="1">
        <f t="shared" si="15"/>
        <v>5.5118110236220472</v>
      </c>
      <c r="U53" s="1">
        <v>20.6</v>
      </c>
      <c r="V53" s="1">
        <v>20.6</v>
      </c>
      <c r="W53" s="1">
        <v>20.6</v>
      </c>
      <c r="X53" s="1">
        <v>11</v>
      </c>
      <c r="Y53" s="1">
        <v>34.4</v>
      </c>
      <c r="Z53" s="1">
        <v>7.2</v>
      </c>
      <c r="AA53" s="1">
        <v>21.4</v>
      </c>
      <c r="AB53" s="1">
        <v>20.2</v>
      </c>
      <c r="AC53" s="1">
        <v>13.8</v>
      </c>
      <c r="AD53" s="1">
        <v>-1.4</v>
      </c>
      <c r="AE53" s="1"/>
      <c r="AF53" s="1">
        <f t="shared" si="11"/>
        <v>96.4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98</v>
      </c>
      <c r="B54" s="1" t="s">
        <v>33</v>
      </c>
      <c r="C54" s="1">
        <v>47.133000000000003</v>
      </c>
      <c r="D54" s="1"/>
      <c r="E54" s="1">
        <v>11.824</v>
      </c>
      <c r="F54" s="1">
        <v>29.399000000000001</v>
      </c>
      <c r="G54" s="7">
        <v>1</v>
      </c>
      <c r="H54" s="1">
        <v>60</v>
      </c>
      <c r="I54" s="1" t="s">
        <v>34</v>
      </c>
      <c r="J54" s="1"/>
      <c r="K54" s="1"/>
      <c r="L54" s="1">
        <v>10.3</v>
      </c>
      <c r="M54" s="1">
        <f t="shared" si="12"/>
        <v>1.5239999999999991</v>
      </c>
      <c r="N54" s="1"/>
      <c r="O54" s="1"/>
      <c r="P54" s="1">
        <v>23</v>
      </c>
      <c r="Q54" s="1">
        <f t="shared" si="13"/>
        <v>2.3647999999999998</v>
      </c>
      <c r="R54" s="5"/>
      <c r="S54" s="1">
        <f t="shared" si="14"/>
        <v>22.157899188092017</v>
      </c>
      <c r="T54" s="1">
        <f t="shared" si="15"/>
        <v>22.157899188092017</v>
      </c>
      <c r="U54" s="1">
        <v>4.6563999999999997</v>
      </c>
      <c r="V54" s="1">
        <v>0.64419999999999999</v>
      </c>
      <c r="W54" s="1">
        <v>4.7759999999999998</v>
      </c>
      <c r="X54" s="1">
        <v>3.1307999999999998</v>
      </c>
      <c r="Y54" s="1">
        <v>0.29899999999999999</v>
      </c>
      <c r="Z54" s="1">
        <v>4.3317999999999994</v>
      </c>
      <c r="AA54" s="1">
        <v>6.2573999999999996</v>
      </c>
      <c r="AB54" s="1">
        <v>3.1316000000000002</v>
      </c>
      <c r="AC54" s="1">
        <v>4.6974</v>
      </c>
      <c r="AD54" s="1">
        <v>1.5696000000000001</v>
      </c>
      <c r="AE54" s="1" t="s">
        <v>99</v>
      </c>
      <c r="AF54" s="1">
        <f t="shared" si="11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100</v>
      </c>
      <c r="B55" s="1" t="s">
        <v>33</v>
      </c>
      <c r="C55" s="1">
        <v>10.545</v>
      </c>
      <c r="D55" s="1">
        <v>6.0960000000000001</v>
      </c>
      <c r="E55" s="1">
        <v>16.640999999999998</v>
      </c>
      <c r="F55" s="1"/>
      <c r="G55" s="7">
        <v>1</v>
      </c>
      <c r="H55" s="1">
        <v>60</v>
      </c>
      <c r="I55" s="1" t="s">
        <v>34</v>
      </c>
      <c r="J55" s="1"/>
      <c r="K55" s="1"/>
      <c r="L55" s="1">
        <v>107.7</v>
      </c>
      <c r="M55" s="1">
        <f t="shared" si="12"/>
        <v>-91.058999999999997</v>
      </c>
      <c r="N55" s="1"/>
      <c r="O55" s="1"/>
      <c r="P55" s="1">
        <v>53</v>
      </c>
      <c r="Q55" s="1">
        <f t="shared" si="13"/>
        <v>3.3281999999999998</v>
      </c>
      <c r="R55" s="17">
        <v>70</v>
      </c>
      <c r="S55" s="1">
        <f t="shared" si="14"/>
        <v>36.956913647016407</v>
      </c>
      <c r="T55" s="1">
        <f t="shared" si="15"/>
        <v>15.924523766600565</v>
      </c>
      <c r="U55" s="1">
        <v>5.4710000000000001</v>
      </c>
      <c r="V55" s="1">
        <v>2.6920000000000002</v>
      </c>
      <c r="W55" s="1">
        <v>3.8879999999999999</v>
      </c>
      <c r="X55" s="1">
        <v>3.302</v>
      </c>
      <c r="Y55" s="1">
        <v>1.486</v>
      </c>
      <c r="Z55" s="1">
        <v>0</v>
      </c>
      <c r="AA55" s="1">
        <v>6.0140000000000002</v>
      </c>
      <c r="AB55" s="1">
        <v>2.7010000000000001</v>
      </c>
      <c r="AC55" s="1">
        <v>3.5880000000000001</v>
      </c>
      <c r="AD55" s="1">
        <v>3.887</v>
      </c>
      <c r="AE55" s="1"/>
      <c r="AF55" s="1">
        <f t="shared" si="11"/>
        <v>70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9" t="s">
        <v>101</v>
      </c>
      <c r="B56" s="9" t="s">
        <v>37</v>
      </c>
      <c r="C56" s="9"/>
      <c r="D56" s="9"/>
      <c r="E56" s="9"/>
      <c r="F56" s="9"/>
      <c r="G56" s="10">
        <v>0</v>
      </c>
      <c r="H56" s="9"/>
      <c r="I56" s="9" t="s">
        <v>34</v>
      </c>
      <c r="J56" s="9"/>
      <c r="K56" s="9"/>
      <c r="L56" s="9"/>
      <c r="M56" s="9">
        <f t="shared" si="12"/>
        <v>0</v>
      </c>
      <c r="N56" s="9"/>
      <c r="O56" s="9"/>
      <c r="P56" s="9">
        <v>0</v>
      </c>
      <c r="Q56" s="9">
        <f t="shared" si="13"/>
        <v>0</v>
      </c>
      <c r="R56" s="11"/>
      <c r="S56" s="9" t="e">
        <f t="shared" si="14"/>
        <v>#DIV/0!</v>
      </c>
      <c r="T56" s="9" t="e">
        <f t="shared" si="15"/>
        <v>#DIV/0!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 t="s">
        <v>75</v>
      </c>
      <c r="AF56" s="9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9" t="s">
        <v>102</v>
      </c>
      <c r="B57" s="9" t="s">
        <v>33</v>
      </c>
      <c r="C57" s="9">
        <v>9.7000000000000003E-2</v>
      </c>
      <c r="D57" s="9"/>
      <c r="E57" s="9">
        <v>-1.7010000000000001</v>
      </c>
      <c r="F57" s="9">
        <v>9.7000000000000003E-2</v>
      </c>
      <c r="G57" s="10">
        <v>0</v>
      </c>
      <c r="H57" s="9">
        <v>45</v>
      </c>
      <c r="I57" s="9" t="s">
        <v>55</v>
      </c>
      <c r="J57" s="9"/>
      <c r="K57" s="9"/>
      <c r="L57" s="9">
        <v>12.02</v>
      </c>
      <c r="M57" s="9">
        <f t="shared" si="12"/>
        <v>-13.721</v>
      </c>
      <c r="N57" s="9"/>
      <c r="O57" s="9"/>
      <c r="P57" s="9">
        <v>0</v>
      </c>
      <c r="Q57" s="9">
        <f t="shared" si="13"/>
        <v>-0.3402</v>
      </c>
      <c r="R57" s="11"/>
      <c r="S57" s="9">
        <f t="shared" si="14"/>
        <v>-0.28512639623750735</v>
      </c>
      <c r="T57" s="9">
        <f t="shared" si="15"/>
        <v>-0.28512639623750735</v>
      </c>
      <c r="U57" s="9">
        <v>5.6259999999999986</v>
      </c>
      <c r="V57" s="9">
        <v>5.7907999999999999</v>
      </c>
      <c r="W57" s="9">
        <v>6.1466000000000003</v>
      </c>
      <c r="X57" s="9">
        <v>6.798</v>
      </c>
      <c r="Y57" s="9">
        <v>9.2099999999999991</v>
      </c>
      <c r="Z57" s="9">
        <v>5.6738</v>
      </c>
      <c r="AA57" s="9">
        <v>0</v>
      </c>
      <c r="AB57" s="9">
        <v>0</v>
      </c>
      <c r="AC57" s="9">
        <v>0.17219999999999999</v>
      </c>
      <c r="AD57" s="9">
        <v>0.69100000000000006</v>
      </c>
      <c r="AE57" s="9"/>
      <c r="AF57" s="9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103</v>
      </c>
      <c r="B58" s="1" t="s">
        <v>37</v>
      </c>
      <c r="C58" s="1">
        <v>34</v>
      </c>
      <c r="D58" s="1">
        <v>96</v>
      </c>
      <c r="E58" s="1">
        <v>35</v>
      </c>
      <c r="F58" s="1">
        <v>86</v>
      </c>
      <c r="G58" s="7">
        <v>0.25</v>
      </c>
      <c r="H58" s="1">
        <v>120</v>
      </c>
      <c r="I58" s="1" t="s">
        <v>34</v>
      </c>
      <c r="J58" s="1"/>
      <c r="K58" s="1"/>
      <c r="L58" s="1">
        <v>35</v>
      </c>
      <c r="M58" s="1">
        <f t="shared" si="12"/>
        <v>0</v>
      </c>
      <c r="N58" s="1"/>
      <c r="O58" s="1"/>
      <c r="P58" s="1">
        <v>0</v>
      </c>
      <c r="Q58" s="1">
        <f t="shared" si="13"/>
        <v>7</v>
      </c>
      <c r="R58" s="5">
        <f t="shared" ref="R58:R59" si="17">15*Q58-P58-F58</f>
        <v>19</v>
      </c>
      <c r="S58" s="1">
        <f t="shared" si="14"/>
        <v>15</v>
      </c>
      <c r="T58" s="1">
        <f t="shared" si="15"/>
        <v>12.285714285714286</v>
      </c>
      <c r="U58" s="1">
        <v>5.8</v>
      </c>
      <c r="V58" s="1">
        <v>8.1999999999999993</v>
      </c>
      <c r="W58" s="1">
        <v>4.8</v>
      </c>
      <c r="X58" s="1">
        <v>4.5999999999999996</v>
      </c>
      <c r="Y58" s="1">
        <v>7.8</v>
      </c>
      <c r="Z58" s="1">
        <v>5.6</v>
      </c>
      <c r="AA58" s="1">
        <v>6.2</v>
      </c>
      <c r="AB58" s="1">
        <v>3.8</v>
      </c>
      <c r="AC58" s="1">
        <v>4</v>
      </c>
      <c r="AD58" s="1">
        <v>3.6</v>
      </c>
      <c r="AE58" s="1" t="s">
        <v>39</v>
      </c>
      <c r="AF58" s="1">
        <f>G58*R58</f>
        <v>4.75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104</v>
      </c>
      <c r="B59" s="1" t="s">
        <v>33</v>
      </c>
      <c r="C59" s="1">
        <v>53.378</v>
      </c>
      <c r="D59" s="1">
        <v>62.829000000000001</v>
      </c>
      <c r="E59" s="1">
        <v>44.24</v>
      </c>
      <c r="F59" s="1">
        <v>51.628</v>
      </c>
      <c r="G59" s="7">
        <v>1</v>
      </c>
      <c r="H59" s="1">
        <v>45</v>
      </c>
      <c r="I59" s="1" t="s">
        <v>34</v>
      </c>
      <c r="J59" s="1"/>
      <c r="K59" s="1"/>
      <c r="L59" s="1">
        <v>48.1</v>
      </c>
      <c r="M59" s="1">
        <f t="shared" si="12"/>
        <v>-3.8599999999999994</v>
      </c>
      <c r="N59" s="1"/>
      <c r="O59" s="1"/>
      <c r="P59" s="1">
        <v>27</v>
      </c>
      <c r="Q59" s="1">
        <f t="shared" si="13"/>
        <v>8.8480000000000008</v>
      </c>
      <c r="R59" s="5">
        <f t="shared" si="17"/>
        <v>54.091999999999999</v>
      </c>
      <c r="S59" s="1">
        <f t="shared" si="14"/>
        <v>14.999999999999998</v>
      </c>
      <c r="T59" s="1">
        <f t="shared" si="15"/>
        <v>8.8865280289330908</v>
      </c>
      <c r="U59" s="1">
        <v>9.2843999999999998</v>
      </c>
      <c r="V59" s="1">
        <v>10.0526</v>
      </c>
      <c r="W59" s="1">
        <v>9.6641999999999992</v>
      </c>
      <c r="X59" s="1">
        <v>9.517199999999999</v>
      </c>
      <c r="Y59" s="1">
        <v>8.8352000000000004</v>
      </c>
      <c r="Z59" s="1">
        <v>8.5221999999999998</v>
      </c>
      <c r="AA59" s="1">
        <v>10.96</v>
      </c>
      <c r="AB59" s="1">
        <v>7.5292000000000003</v>
      </c>
      <c r="AC59" s="1">
        <v>9.4152000000000005</v>
      </c>
      <c r="AD59" s="1">
        <v>9.1852</v>
      </c>
      <c r="AE59" s="1"/>
      <c r="AF59" s="1">
        <f>G59*R59</f>
        <v>54.091999999999999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105</v>
      </c>
      <c r="B60" s="1" t="s">
        <v>37</v>
      </c>
      <c r="C60" s="1"/>
      <c r="D60" s="1">
        <v>192</v>
      </c>
      <c r="E60" s="1">
        <v>101</v>
      </c>
      <c r="F60" s="1">
        <v>42</v>
      </c>
      <c r="G60" s="7">
        <v>0.27</v>
      </c>
      <c r="H60" s="1"/>
      <c r="I60" s="1" t="s">
        <v>34</v>
      </c>
      <c r="J60" s="1"/>
      <c r="K60" s="1"/>
      <c r="L60" s="1">
        <v>170</v>
      </c>
      <c r="M60" s="1">
        <f t="shared" si="12"/>
        <v>-69</v>
      </c>
      <c r="N60" s="1"/>
      <c r="O60" s="1"/>
      <c r="P60" s="1">
        <v>0</v>
      </c>
      <c r="Q60" s="1">
        <f t="shared" si="13"/>
        <v>20.2</v>
      </c>
      <c r="R60" s="5">
        <f>11*Q60-P60-F60</f>
        <v>180.2</v>
      </c>
      <c r="S60" s="1">
        <f t="shared" si="14"/>
        <v>11</v>
      </c>
      <c r="T60" s="1">
        <f t="shared" si="15"/>
        <v>2.0792079207920793</v>
      </c>
      <c r="U60" s="1">
        <v>-0.2</v>
      </c>
      <c r="V60" s="1">
        <v>19.2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 t="s">
        <v>106</v>
      </c>
      <c r="AF60" s="1">
        <f>G60*R60</f>
        <v>48.654000000000003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107</v>
      </c>
      <c r="B61" s="1" t="s">
        <v>37</v>
      </c>
      <c r="C61" s="1">
        <v>69</v>
      </c>
      <c r="D61" s="1">
        <v>224</v>
      </c>
      <c r="E61" s="1">
        <v>216</v>
      </c>
      <c r="F61" s="1">
        <v>22</v>
      </c>
      <c r="G61" s="7">
        <v>0.3</v>
      </c>
      <c r="H61" s="1">
        <v>60</v>
      </c>
      <c r="I61" s="1" t="s">
        <v>34</v>
      </c>
      <c r="J61" s="1"/>
      <c r="K61" s="1"/>
      <c r="L61" s="1">
        <v>268</v>
      </c>
      <c r="M61" s="1">
        <f t="shared" si="12"/>
        <v>-52</v>
      </c>
      <c r="N61" s="1"/>
      <c r="O61" s="1"/>
      <c r="P61" s="1">
        <v>506</v>
      </c>
      <c r="Q61" s="1">
        <f t="shared" si="13"/>
        <v>43.2</v>
      </c>
      <c r="R61" s="17">
        <v>300</v>
      </c>
      <c r="S61" s="1">
        <f t="shared" si="14"/>
        <v>19.166666666666664</v>
      </c>
      <c r="T61" s="1">
        <f t="shared" si="15"/>
        <v>12.222222222222221</v>
      </c>
      <c r="U61" s="1">
        <v>52.8</v>
      </c>
      <c r="V61" s="1">
        <v>25.6</v>
      </c>
      <c r="W61" s="1">
        <v>31</v>
      </c>
      <c r="X61" s="1">
        <v>31.8</v>
      </c>
      <c r="Y61" s="1">
        <v>25.4</v>
      </c>
      <c r="Z61" s="1">
        <v>38.799999999999997</v>
      </c>
      <c r="AA61" s="1">
        <v>37.200000000000003</v>
      </c>
      <c r="AB61" s="1">
        <v>39.799999999999997</v>
      </c>
      <c r="AC61" s="1">
        <v>16.600000000000001</v>
      </c>
      <c r="AD61" s="1">
        <v>34.200000000000003</v>
      </c>
      <c r="AE61" s="1" t="s">
        <v>45</v>
      </c>
      <c r="AF61" s="1">
        <f>G61*R61</f>
        <v>90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108</v>
      </c>
      <c r="B62" s="1" t="s">
        <v>37</v>
      </c>
      <c r="C62" s="1">
        <v>406</v>
      </c>
      <c r="D62" s="1">
        <v>620</v>
      </c>
      <c r="E62" s="1">
        <v>515</v>
      </c>
      <c r="F62" s="14">
        <f>314+F63</f>
        <v>364</v>
      </c>
      <c r="G62" s="7">
        <v>0.41</v>
      </c>
      <c r="H62" s="1">
        <v>50</v>
      </c>
      <c r="I62" s="12" t="s">
        <v>44</v>
      </c>
      <c r="J62" s="12"/>
      <c r="K62" s="1"/>
      <c r="L62" s="1">
        <v>528</v>
      </c>
      <c r="M62" s="1">
        <f t="shared" si="12"/>
        <v>-13</v>
      </c>
      <c r="N62" s="1"/>
      <c r="O62" s="1"/>
      <c r="P62" s="1">
        <v>538</v>
      </c>
      <c r="Q62" s="1">
        <f t="shared" si="13"/>
        <v>103</v>
      </c>
      <c r="R62" s="17">
        <v>700</v>
      </c>
      <c r="S62" s="1">
        <f t="shared" si="14"/>
        <v>15.553398058252426</v>
      </c>
      <c r="T62" s="1">
        <f t="shared" si="15"/>
        <v>8.7572815533980588</v>
      </c>
      <c r="U62" s="1">
        <v>73</v>
      </c>
      <c r="V62" s="1">
        <v>87.4</v>
      </c>
      <c r="W62" s="1">
        <v>83.2</v>
      </c>
      <c r="X62" s="1">
        <v>100.8</v>
      </c>
      <c r="Y62" s="1">
        <v>87</v>
      </c>
      <c r="Z62" s="1">
        <v>90.4</v>
      </c>
      <c r="AA62" s="1">
        <v>84</v>
      </c>
      <c r="AB62" s="1">
        <v>77.2</v>
      </c>
      <c r="AC62" s="1">
        <v>68.2</v>
      </c>
      <c r="AD62" s="1">
        <v>47.2</v>
      </c>
      <c r="AE62" s="1" t="s">
        <v>45</v>
      </c>
      <c r="AF62" s="1">
        <f>G62*R62</f>
        <v>287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9" t="s">
        <v>109</v>
      </c>
      <c r="B63" s="9" t="s">
        <v>37</v>
      </c>
      <c r="C63" s="9">
        <v>50</v>
      </c>
      <c r="D63" s="9"/>
      <c r="E63" s="9"/>
      <c r="F63" s="14">
        <v>50</v>
      </c>
      <c r="G63" s="10">
        <v>0</v>
      </c>
      <c r="H63" s="9"/>
      <c r="I63" s="9" t="s">
        <v>110</v>
      </c>
      <c r="J63" s="9"/>
      <c r="K63" s="9" t="s">
        <v>108</v>
      </c>
      <c r="L63" s="9">
        <v>22</v>
      </c>
      <c r="M63" s="9">
        <f t="shared" si="12"/>
        <v>-22</v>
      </c>
      <c r="N63" s="9"/>
      <c r="O63" s="9"/>
      <c r="P63" s="9">
        <v>0</v>
      </c>
      <c r="Q63" s="9">
        <f t="shared" si="13"/>
        <v>0</v>
      </c>
      <c r="R63" s="11"/>
      <c r="S63" s="9" t="e">
        <f t="shared" si="14"/>
        <v>#DIV/0!</v>
      </c>
      <c r="T63" s="9" t="e">
        <f t="shared" si="15"/>
        <v>#DIV/0!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 t="s">
        <v>53</v>
      </c>
      <c r="AF63" s="9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111</v>
      </c>
      <c r="B64" s="1" t="s">
        <v>33</v>
      </c>
      <c r="C64" s="1">
        <v>557.61199999999997</v>
      </c>
      <c r="D64" s="1">
        <v>1159.96</v>
      </c>
      <c r="E64" s="1">
        <v>494.14100000000002</v>
      </c>
      <c r="F64" s="1">
        <v>779.24900000000002</v>
      </c>
      <c r="G64" s="7">
        <v>1</v>
      </c>
      <c r="H64" s="1">
        <v>50</v>
      </c>
      <c r="I64" s="1" t="s">
        <v>34</v>
      </c>
      <c r="J64" s="1"/>
      <c r="K64" s="1"/>
      <c r="L64" s="1">
        <v>483.9</v>
      </c>
      <c r="M64" s="1">
        <f t="shared" si="12"/>
        <v>10.241000000000042</v>
      </c>
      <c r="N64" s="1"/>
      <c r="O64" s="1"/>
      <c r="P64" s="1">
        <v>202</v>
      </c>
      <c r="Q64" s="1">
        <f t="shared" si="13"/>
        <v>98.82820000000001</v>
      </c>
      <c r="R64" s="5">
        <f t="shared" ref="R64:R82" si="18">15*Q64-P64-F64</f>
        <v>501.17400000000021</v>
      </c>
      <c r="S64" s="1">
        <f t="shared" si="14"/>
        <v>15</v>
      </c>
      <c r="T64" s="1">
        <f t="shared" si="15"/>
        <v>9.9288361014366338</v>
      </c>
      <c r="U64" s="1">
        <v>121.4474</v>
      </c>
      <c r="V64" s="1">
        <v>124.7012</v>
      </c>
      <c r="W64" s="1">
        <v>114.2328</v>
      </c>
      <c r="X64" s="1">
        <v>69.064999999999998</v>
      </c>
      <c r="Y64" s="1">
        <v>43.75</v>
      </c>
      <c r="Z64" s="1">
        <v>103.5904</v>
      </c>
      <c r="AA64" s="1">
        <v>84.347999999999999</v>
      </c>
      <c r="AB64" s="1">
        <v>76.303599999999989</v>
      </c>
      <c r="AC64" s="1">
        <v>43.255000000000003</v>
      </c>
      <c r="AD64" s="1">
        <v>91.377800000000008</v>
      </c>
      <c r="AE64" s="1"/>
      <c r="AF64" s="1">
        <f t="shared" ref="AF64:AF82" si="19">G64*R64</f>
        <v>501.17400000000021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112</v>
      </c>
      <c r="B65" s="1" t="s">
        <v>37</v>
      </c>
      <c r="C65" s="1">
        <v>41</v>
      </c>
      <c r="D65" s="1"/>
      <c r="E65" s="1">
        <v>30</v>
      </c>
      <c r="F65" s="1">
        <v>1</v>
      </c>
      <c r="G65" s="7">
        <v>0.35</v>
      </c>
      <c r="H65" s="1">
        <v>50</v>
      </c>
      <c r="I65" s="1" t="s">
        <v>34</v>
      </c>
      <c r="J65" s="1"/>
      <c r="K65" s="1"/>
      <c r="L65" s="1">
        <v>31</v>
      </c>
      <c r="M65" s="1">
        <f t="shared" si="12"/>
        <v>-1</v>
      </c>
      <c r="N65" s="1"/>
      <c r="O65" s="1"/>
      <c r="P65" s="1">
        <v>83</v>
      </c>
      <c r="Q65" s="1">
        <f t="shared" si="13"/>
        <v>6</v>
      </c>
      <c r="R65" s="17">
        <v>70</v>
      </c>
      <c r="S65" s="1">
        <f t="shared" si="14"/>
        <v>25.666666666666668</v>
      </c>
      <c r="T65" s="1">
        <f t="shared" si="15"/>
        <v>14</v>
      </c>
      <c r="U65" s="1">
        <v>8.1999999999999993</v>
      </c>
      <c r="V65" s="1">
        <v>4.2</v>
      </c>
      <c r="W65" s="1">
        <v>7.8</v>
      </c>
      <c r="X65" s="1">
        <v>5.6</v>
      </c>
      <c r="Y65" s="1">
        <v>10.199999999999999</v>
      </c>
      <c r="Z65" s="1">
        <v>9.6</v>
      </c>
      <c r="AA65" s="1">
        <v>12.6</v>
      </c>
      <c r="AB65" s="1">
        <v>10.6</v>
      </c>
      <c r="AC65" s="1">
        <v>13.4</v>
      </c>
      <c r="AD65" s="1">
        <v>9.6</v>
      </c>
      <c r="AE65" s="1" t="s">
        <v>166</v>
      </c>
      <c r="AF65" s="1">
        <f t="shared" si="19"/>
        <v>24.5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113</v>
      </c>
      <c r="B66" s="1" t="s">
        <v>33</v>
      </c>
      <c r="C66" s="1">
        <v>96.123999999999995</v>
      </c>
      <c r="D66" s="1"/>
      <c r="E66" s="1">
        <v>59.975999999999999</v>
      </c>
      <c r="F66" s="1">
        <v>30.989000000000001</v>
      </c>
      <c r="G66" s="7">
        <v>1</v>
      </c>
      <c r="H66" s="1">
        <v>50</v>
      </c>
      <c r="I66" s="1" t="s">
        <v>34</v>
      </c>
      <c r="J66" s="1"/>
      <c r="K66" s="1"/>
      <c r="L66" s="1">
        <v>61.5</v>
      </c>
      <c r="M66" s="1">
        <f t="shared" si="12"/>
        <v>-1.5240000000000009</v>
      </c>
      <c r="N66" s="1"/>
      <c r="O66" s="1"/>
      <c r="P66" s="1">
        <v>96</v>
      </c>
      <c r="Q66" s="1">
        <f t="shared" si="13"/>
        <v>11.995200000000001</v>
      </c>
      <c r="R66" s="17">
        <v>70</v>
      </c>
      <c r="S66" s="1">
        <f t="shared" si="14"/>
        <v>16.422318927571027</v>
      </c>
      <c r="T66" s="1">
        <f t="shared" si="15"/>
        <v>10.586651327197545</v>
      </c>
      <c r="U66" s="1">
        <v>12.410600000000001</v>
      </c>
      <c r="V66" s="1">
        <v>8.0703999999999994</v>
      </c>
      <c r="W66" s="1">
        <v>14.8842</v>
      </c>
      <c r="X66" s="1">
        <v>5.8064</v>
      </c>
      <c r="Y66" s="1">
        <v>5.6052</v>
      </c>
      <c r="Z66" s="1">
        <v>12.7126</v>
      </c>
      <c r="AA66" s="1">
        <v>15.461600000000001</v>
      </c>
      <c r="AB66" s="1">
        <v>11.281599999999999</v>
      </c>
      <c r="AC66" s="1">
        <v>18.711600000000001</v>
      </c>
      <c r="AD66" s="1">
        <v>16.959199999999999</v>
      </c>
      <c r="AE66" s="1"/>
      <c r="AF66" s="1">
        <f t="shared" si="19"/>
        <v>70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114</v>
      </c>
      <c r="B67" s="1" t="s">
        <v>37</v>
      </c>
      <c r="C67" s="1">
        <v>142</v>
      </c>
      <c r="D67" s="1">
        <v>510</v>
      </c>
      <c r="E67" s="1">
        <v>262</v>
      </c>
      <c r="F67" s="1">
        <v>289</v>
      </c>
      <c r="G67" s="7">
        <v>0.41</v>
      </c>
      <c r="H67" s="1">
        <v>50</v>
      </c>
      <c r="I67" s="12" t="s">
        <v>44</v>
      </c>
      <c r="J67" s="12"/>
      <c r="K67" s="1"/>
      <c r="L67" s="1">
        <v>265</v>
      </c>
      <c r="M67" s="1">
        <f t="shared" si="12"/>
        <v>-3</v>
      </c>
      <c r="N67" s="1"/>
      <c r="O67" s="1"/>
      <c r="P67" s="1">
        <v>511</v>
      </c>
      <c r="Q67" s="1">
        <f t="shared" si="13"/>
        <v>52.4</v>
      </c>
      <c r="R67" s="17">
        <v>200</v>
      </c>
      <c r="S67" s="1">
        <f t="shared" si="14"/>
        <v>19.083969465648856</v>
      </c>
      <c r="T67" s="1">
        <f t="shared" si="15"/>
        <v>15.267175572519085</v>
      </c>
      <c r="U67" s="1">
        <v>50.2</v>
      </c>
      <c r="V67" s="1">
        <v>55</v>
      </c>
      <c r="W67" s="1">
        <v>45.2</v>
      </c>
      <c r="X67" s="1">
        <v>48.8</v>
      </c>
      <c r="Y67" s="1">
        <v>35.200000000000003</v>
      </c>
      <c r="Z67" s="1">
        <v>51.4</v>
      </c>
      <c r="AA67" s="1">
        <v>56.6</v>
      </c>
      <c r="AB67" s="1">
        <v>45.8</v>
      </c>
      <c r="AC67" s="1">
        <v>48.4</v>
      </c>
      <c r="AD67" s="1">
        <v>49.8</v>
      </c>
      <c r="AE67" s="1" t="s">
        <v>45</v>
      </c>
      <c r="AF67" s="1">
        <f t="shared" si="19"/>
        <v>82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115</v>
      </c>
      <c r="B68" s="1" t="s">
        <v>33</v>
      </c>
      <c r="C68" s="1">
        <v>163.411</v>
      </c>
      <c r="D68" s="1">
        <v>441.952</v>
      </c>
      <c r="E68" s="1">
        <v>221.07599999999999</v>
      </c>
      <c r="F68" s="1">
        <v>328.09300000000002</v>
      </c>
      <c r="G68" s="7">
        <v>1</v>
      </c>
      <c r="H68" s="1">
        <v>50</v>
      </c>
      <c r="I68" s="1" t="s">
        <v>34</v>
      </c>
      <c r="J68" s="1"/>
      <c r="K68" s="1"/>
      <c r="L68" s="1">
        <v>211</v>
      </c>
      <c r="M68" s="1">
        <f t="shared" si="12"/>
        <v>10.075999999999993</v>
      </c>
      <c r="N68" s="1"/>
      <c r="O68" s="1"/>
      <c r="P68" s="1">
        <v>0</v>
      </c>
      <c r="Q68" s="1">
        <f t="shared" si="13"/>
        <v>44.215199999999996</v>
      </c>
      <c r="R68" s="5">
        <f t="shared" si="18"/>
        <v>335.13499999999993</v>
      </c>
      <c r="S68" s="1">
        <f t="shared" si="14"/>
        <v>15</v>
      </c>
      <c r="T68" s="1">
        <f t="shared" si="15"/>
        <v>7.4203667517052967</v>
      </c>
      <c r="U68" s="1">
        <v>23.197399999999998</v>
      </c>
      <c r="V68" s="1">
        <v>44.723799999999997</v>
      </c>
      <c r="W68" s="1">
        <v>29.232600000000001</v>
      </c>
      <c r="X68" s="1">
        <v>14.500999999999999</v>
      </c>
      <c r="Y68" s="1">
        <v>26.771000000000001</v>
      </c>
      <c r="Z68" s="1">
        <v>37.538600000000002</v>
      </c>
      <c r="AA68" s="1">
        <v>40.284599999999998</v>
      </c>
      <c r="AB68" s="1">
        <v>27.845199999999998</v>
      </c>
      <c r="AC68" s="1">
        <v>4.649</v>
      </c>
      <c r="AD68" s="1">
        <v>35.567799999999998</v>
      </c>
      <c r="AE68" s="1"/>
      <c r="AF68" s="1">
        <f t="shared" si="19"/>
        <v>335.13499999999993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116</v>
      </c>
      <c r="B69" s="1" t="s">
        <v>37</v>
      </c>
      <c r="C69" s="1">
        <v>184</v>
      </c>
      <c r="D69" s="1"/>
      <c r="E69" s="1">
        <v>93</v>
      </c>
      <c r="F69" s="1">
        <v>55</v>
      </c>
      <c r="G69" s="7">
        <v>0.3</v>
      </c>
      <c r="H69" s="1">
        <v>50</v>
      </c>
      <c r="I69" s="1" t="s">
        <v>34</v>
      </c>
      <c r="J69" s="1"/>
      <c r="K69" s="1"/>
      <c r="L69" s="1">
        <v>100</v>
      </c>
      <c r="M69" s="1">
        <f t="shared" si="12"/>
        <v>-7</v>
      </c>
      <c r="N69" s="1"/>
      <c r="O69" s="1"/>
      <c r="P69" s="1">
        <v>0</v>
      </c>
      <c r="Q69" s="1">
        <f t="shared" si="13"/>
        <v>18.600000000000001</v>
      </c>
      <c r="R69" s="5">
        <f>12*Q69-P69-F69</f>
        <v>168.20000000000002</v>
      </c>
      <c r="S69" s="1">
        <f t="shared" si="14"/>
        <v>12</v>
      </c>
      <c r="T69" s="1">
        <f t="shared" si="15"/>
        <v>2.9569892473118276</v>
      </c>
      <c r="U69" s="1">
        <v>11.2</v>
      </c>
      <c r="V69" s="1">
        <v>10.199999999999999</v>
      </c>
      <c r="W69" s="1">
        <v>19.600000000000001</v>
      </c>
      <c r="X69" s="1">
        <v>12.6</v>
      </c>
      <c r="Y69" s="1">
        <v>11.4</v>
      </c>
      <c r="Z69" s="1">
        <v>12.4</v>
      </c>
      <c r="AA69" s="1">
        <v>19.2</v>
      </c>
      <c r="AB69" s="1">
        <v>19.600000000000001</v>
      </c>
      <c r="AC69" s="1">
        <v>25.4</v>
      </c>
      <c r="AD69" s="1">
        <v>23.8</v>
      </c>
      <c r="AE69" s="1"/>
      <c r="AF69" s="1">
        <f t="shared" si="19"/>
        <v>50.46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117</v>
      </c>
      <c r="B70" s="1" t="s">
        <v>37</v>
      </c>
      <c r="C70" s="1">
        <v>500</v>
      </c>
      <c r="D70" s="1"/>
      <c r="E70" s="1">
        <v>310</v>
      </c>
      <c r="F70" s="1">
        <v>84</v>
      </c>
      <c r="G70" s="7">
        <v>0.18</v>
      </c>
      <c r="H70" s="1">
        <v>50</v>
      </c>
      <c r="I70" s="1" t="s">
        <v>34</v>
      </c>
      <c r="J70" s="1"/>
      <c r="K70" s="1"/>
      <c r="L70" s="1">
        <v>314</v>
      </c>
      <c r="M70" s="1">
        <f t="shared" ref="M70:M101" si="20">E70-L70</f>
        <v>-4</v>
      </c>
      <c r="N70" s="1"/>
      <c r="O70" s="1"/>
      <c r="P70" s="1">
        <v>530</v>
      </c>
      <c r="Q70" s="1">
        <f t="shared" ref="Q70:Q104" si="21">E70/5</f>
        <v>62</v>
      </c>
      <c r="R70" s="5">
        <f t="shared" si="18"/>
        <v>316</v>
      </c>
      <c r="S70" s="1">
        <f t="shared" ref="S70:S101" si="22">(F70+P70+R70)/Q70</f>
        <v>15</v>
      </c>
      <c r="T70" s="1">
        <f t="shared" ref="T70:T104" si="23">(F70+P70)/Q70</f>
        <v>9.9032258064516121</v>
      </c>
      <c r="U70" s="1">
        <v>67.8</v>
      </c>
      <c r="V70" s="1">
        <v>38.6</v>
      </c>
      <c r="W70" s="1">
        <v>70</v>
      </c>
      <c r="X70" s="1">
        <v>55.8</v>
      </c>
      <c r="Y70" s="1">
        <v>40.6</v>
      </c>
      <c r="Z70" s="1">
        <v>79.400000000000006</v>
      </c>
      <c r="AA70" s="1">
        <v>54.4</v>
      </c>
      <c r="AB70" s="1">
        <v>59.4</v>
      </c>
      <c r="AC70" s="1">
        <v>21.4</v>
      </c>
      <c r="AD70" s="1">
        <v>49.6</v>
      </c>
      <c r="AE70" s="1"/>
      <c r="AF70" s="1">
        <f t="shared" si="19"/>
        <v>56.879999999999995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118</v>
      </c>
      <c r="B71" s="1" t="s">
        <v>37</v>
      </c>
      <c r="C71" s="1">
        <v>38</v>
      </c>
      <c r="D71" s="1">
        <v>114</v>
      </c>
      <c r="E71" s="1">
        <v>23</v>
      </c>
      <c r="F71" s="1">
        <v>110</v>
      </c>
      <c r="G71" s="7">
        <v>0.84</v>
      </c>
      <c r="H71" s="1">
        <v>50</v>
      </c>
      <c r="I71" s="1" t="s">
        <v>34</v>
      </c>
      <c r="J71" s="1"/>
      <c r="K71" s="1"/>
      <c r="L71" s="1">
        <v>25</v>
      </c>
      <c r="M71" s="1">
        <f t="shared" si="20"/>
        <v>-2</v>
      </c>
      <c r="N71" s="1"/>
      <c r="O71" s="1"/>
      <c r="P71" s="1">
        <v>0</v>
      </c>
      <c r="Q71" s="1">
        <f t="shared" si="21"/>
        <v>4.5999999999999996</v>
      </c>
      <c r="R71" s="5"/>
      <c r="S71" s="1">
        <f t="shared" si="22"/>
        <v>23.913043478260871</v>
      </c>
      <c r="T71" s="1">
        <f t="shared" si="23"/>
        <v>23.913043478260871</v>
      </c>
      <c r="U71" s="1">
        <v>1.6</v>
      </c>
      <c r="V71" s="1">
        <v>11.4</v>
      </c>
      <c r="W71" s="1">
        <v>7</v>
      </c>
      <c r="X71" s="1">
        <v>7.4</v>
      </c>
      <c r="Y71" s="1">
        <v>9.6</v>
      </c>
      <c r="Z71" s="1">
        <v>11.6</v>
      </c>
      <c r="AA71" s="1">
        <v>12.2</v>
      </c>
      <c r="AB71" s="1">
        <v>16</v>
      </c>
      <c r="AC71" s="1">
        <v>4</v>
      </c>
      <c r="AD71" s="1">
        <v>9.4</v>
      </c>
      <c r="AE71" s="16" t="s">
        <v>119</v>
      </c>
      <c r="AF71" s="1">
        <f t="shared" si="19"/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120</v>
      </c>
      <c r="B72" s="1" t="s">
        <v>37</v>
      </c>
      <c r="C72" s="1">
        <v>579</v>
      </c>
      <c r="D72" s="1">
        <v>640</v>
      </c>
      <c r="E72" s="1">
        <v>528</v>
      </c>
      <c r="F72" s="1">
        <v>472</v>
      </c>
      <c r="G72" s="7">
        <v>0.35</v>
      </c>
      <c r="H72" s="1">
        <v>50</v>
      </c>
      <c r="I72" s="1" t="s">
        <v>34</v>
      </c>
      <c r="J72" s="1"/>
      <c r="K72" s="1"/>
      <c r="L72" s="1">
        <v>537</v>
      </c>
      <c r="M72" s="1">
        <f t="shared" si="20"/>
        <v>-9</v>
      </c>
      <c r="N72" s="1"/>
      <c r="O72" s="1"/>
      <c r="P72" s="1">
        <v>63</v>
      </c>
      <c r="Q72" s="1">
        <f t="shared" si="21"/>
        <v>105.6</v>
      </c>
      <c r="R72" s="5">
        <f>14*Q72-P72-F72</f>
        <v>943.39999999999986</v>
      </c>
      <c r="S72" s="1">
        <f t="shared" si="22"/>
        <v>14</v>
      </c>
      <c r="T72" s="1">
        <f t="shared" si="23"/>
        <v>5.0662878787878789</v>
      </c>
      <c r="U72" s="1">
        <v>81.599999999999994</v>
      </c>
      <c r="V72" s="1">
        <v>96</v>
      </c>
      <c r="W72" s="1">
        <v>93</v>
      </c>
      <c r="X72" s="1">
        <v>73.400000000000006</v>
      </c>
      <c r="Y72" s="1">
        <v>90</v>
      </c>
      <c r="Z72" s="1">
        <v>64.8</v>
      </c>
      <c r="AA72" s="1">
        <v>43.8</v>
      </c>
      <c r="AB72" s="1">
        <v>96</v>
      </c>
      <c r="AC72" s="1">
        <v>50.4</v>
      </c>
      <c r="AD72" s="1">
        <v>8.4</v>
      </c>
      <c r="AE72" s="1"/>
      <c r="AF72" s="1">
        <f t="shared" si="19"/>
        <v>330.18999999999994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2" t="s">
        <v>121</v>
      </c>
      <c r="B73" s="1" t="s">
        <v>37</v>
      </c>
      <c r="C73" s="1"/>
      <c r="D73" s="1"/>
      <c r="E73" s="1"/>
      <c r="F73" s="1"/>
      <c r="G73" s="7">
        <v>0.35</v>
      </c>
      <c r="H73" s="1"/>
      <c r="I73" s="1" t="s">
        <v>34</v>
      </c>
      <c r="J73" s="1"/>
      <c r="K73" s="1"/>
      <c r="L73" s="1"/>
      <c r="M73" s="1">
        <f t="shared" si="20"/>
        <v>0</v>
      </c>
      <c r="N73" s="1"/>
      <c r="O73" s="1"/>
      <c r="P73" s="1">
        <v>0</v>
      </c>
      <c r="Q73" s="1">
        <f t="shared" si="21"/>
        <v>0</v>
      </c>
      <c r="R73" s="20">
        <v>300</v>
      </c>
      <c r="S73" s="1" t="e">
        <f t="shared" si="22"/>
        <v>#DIV/0!</v>
      </c>
      <c r="T73" s="1" t="e">
        <f t="shared" si="23"/>
        <v>#DIV/0!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3" t="s">
        <v>35</v>
      </c>
      <c r="AF73" s="1">
        <f t="shared" si="19"/>
        <v>105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122</v>
      </c>
      <c r="B74" s="1" t="s">
        <v>33</v>
      </c>
      <c r="C74" s="1">
        <v>106.55200000000001</v>
      </c>
      <c r="D74" s="1">
        <v>564.274</v>
      </c>
      <c r="E74" s="1">
        <v>336.84</v>
      </c>
      <c r="F74" s="1">
        <v>271.51900000000001</v>
      </c>
      <c r="G74" s="7">
        <v>1</v>
      </c>
      <c r="H74" s="1">
        <v>50</v>
      </c>
      <c r="I74" s="1" t="s">
        <v>34</v>
      </c>
      <c r="J74" s="1"/>
      <c r="K74" s="1"/>
      <c r="L74" s="1">
        <v>331.13</v>
      </c>
      <c r="M74" s="1">
        <f t="shared" si="20"/>
        <v>5.7099999999999795</v>
      </c>
      <c r="N74" s="1"/>
      <c r="O74" s="1"/>
      <c r="P74" s="1">
        <v>0</v>
      </c>
      <c r="Q74" s="1">
        <f t="shared" si="21"/>
        <v>67.367999999999995</v>
      </c>
      <c r="R74" s="5">
        <f>13*Q74-P74-F74</f>
        <v>604.26499999999987</v>
      </c>
      <c r="S74" s="1">
        <f t="shared" si="22"/>
        <v>13</v>
      </c>
      <c r="T74" s="1">
        <f t="shared" si="23"/>
        <v>4.0303853461584138</v>
      </c>
      <c r="U74" s="1">
        <v>35.150799999999997</v>
      </c>
      <c r="V74" s="1">
        <v>52.886000000000003</v>
      </c>
      <c r="W74" s="1">
        <v>31.279</v>
      </c>
      <c r="X74" s="1">
        <v>28.452000000000002</v>
      </c>
      <c r="Y74" s="1">
        <v>33.644199999999998</v>
      </c>
      <c r="Z74" s="1">
        <v>35.037400000000012</v>
      </c>
      <c r="AA74" s="1">
        <v>33.808399999999999</v>
      </c>
      <c r="AB74" s="1">
        <v>32.193199999999997</v>
      </c>
      <c r="AC74" s="1">
        <v>26.458200000000001</v>
      </c>
      <c r="AD74" s="1">
        <v>22.396000000000001</v>
      </c>
      <c r="AE74" s="1"/>
      <c r="AF74" s="1">
        <f t="shared" si="19"/>
        <v>604.26499999999987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123</v>
      </c>
      <c r="B75" s="1" t="s">
        <v>33</v>
      </c>
      <c r="C75" s="1">
        <v>393.029</v>
      </c>
      <c r="D75" s="1">
        <v>330.14499999999998</v>
      </c>
      <c r="E75" s="1">
        <v>389.09199999999998</v>
      </c>
      <c r="F75" s="1">
        <v>230.17</v>
      </c>
      <c r="G75" s="7">
        <v>1</v>
      </c>
      <c r="H75" s="1">
        <v>50</v>
      </c>
      <c r="I75" s="1" t="s">
        <v>34</v>
      </c>
      <c r="J75" s="1"/>
      <c r="K75" s="1"/>
      <c r="L75" s="1">
        <v>371</v>
      </c>
      <c r="M75" s="1">
        <f t="shared" si="20"/>
        <v>18.091999999999985</v>
      </c>
      <c r="N75" s="1"/>
      <c r="O75" s="1"/>
      <c r="P75" s="1">
        <v>0</v>
      </c>
      <c r="Q75" s="1">
        <f t="shared" si="21"/>
        <v>77.818399999999997</v>
      </c>
      <c r="R75" s="5">
        <f t="shared" ref="R75:R76" si="24">12*Q75-P75-F75</f>
        <v>703.6508</v>
      </c>
      <c r="S75" s="1">
        <f t="shared" si="22"/>
        <v>12</v>
      </c>
      <c r="T75" s="1">
        <f t="shared" si="23"/>
        <v>2.9577837632230937</v>
      </c>
      <c r="U75" s="1">
        <v>32.770200000000003</v>
      </c>
      <c r="V75" s="1">
        <v>55.198</v>
      </c>
      <c r="W75" s="1">
        <v>53.136600000000001</v>
      </c>
      <c r="X75" s="1">
        <v>30.6296</v>
      </c>
      <c r="Y75" s="1">
        <v>26.934999999999999</v>
      </c>
      <c r="Z75" s="1">
        <v>48.299799999999998</v>
      </c>
      <c r="AA75" s="1">
        <v>57.070000000000007</v>
      </c>
      <c r="AB75" s="1">
        <v>45.7622</v>
      </c>
      <c r="AC75" s="1">
        <v>39.1586</v>
      </c>
      <c r="AD75" s="1">
        <v>45.9664</v>
      </c>
      <c r="AE75" s="1"/>
      <c r="AF75" s="1">
        <f t="shared" si="19"/>
        <v>703.6508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124</v>
      </c>
      <c r="B76" s="1" t="s">
        <v>37</v>
      </c>
      <c r="C76" s="1">
        <v>613</v>
      </c>
      <c r="D76" s="1"/>
      <c r="E76" s="1">
        <v>328</v>
      </c>
      <c r="F76" s="1">
        <v>218</v>
      </c>
      <c r="G76" s="7">
        <v>0.35</v>
      </c>
      <c r="H76" s="1">
        <v>50</v>
      </c>
      <c r="I76" s="1" t="s">
        <v>34</v>
      </c>
      <c r="J76" s="1"/>
      <c r="K76" s="1"/>
      <c r="L76" s="1">
        <v>342</v>
      </c>
      <c r="M76" s="1">
        <f t="shared" si="20"/>
        <v>-14</v>
      </c>
      <c r="N76" s="1"/>
      <c r="O76" s="1"/>
      <c r="P76" s="1">
        <v>0</v>
      </c>
      <c r="Q76" s="1">
        <f t="shared" si="21"/>
        <v>65.599999999999994</v>
      </c>
      <c r="R76" s="5">
        <f t="shared" si="24"/>
        <v>569.19999999999993</v>
      </c>
      <c r="S76" s="1">
        <f t="shared" si="22"/>
        <v>12</v>
      </c>
      <c r="T76" s="1">
        <f t="shared" si="23"/>
        <v>3.3231707317073176</v>
      </c>
      <c r="U76" s="1">
        <v>34.200000000000003</v>
      </c>
      <c r="V76" s="1">
        <v>34.4</v>
      </c>
      <c r="W76" s="1">
        <v>63.8</v>
      </c>
      <c r="X76" s="1">
        <v>44.2</v>
      </c>
      <c r="Y76" s="1">
        <v>39.200000000000003</v>
      </c>
      <c r="Z76" s="1">
        <v>50.6</v>
      </c>
      <c r="AA76" s="1">
        <v>56.2</v>
      </c>
      <c r="AB76" s="1">
        <v>35.6</v>
      </c>
      <c r="AC76" s="1">
        <v>12.6</v>
      </c>
      <c r="AD76" s="1">
        <v>53</v>
      </c>
      <c r="AE76" s="1"/>
      <c r="AF76" s="1">
        <f t="shared" si="19"/>
        <v>199.21999999999997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125</v>
      </c>
      <c r="B77" s="1" t="s">
        <v>37</v>
      </c>
      <c r="C77" s="1">
        <v>94</v>
      </c>
      <c r="D77" s="1">
        <v>12</v>
      </c>
      <c r="E77" s="1">
        <v>67</v>
      </c>
      <c r="F77" s="1">
        <v>20</v>
      </c>
      <c r="G77" s="7">
        <v>0.3</v>
      </c>
      <c r="H77" s="1">
        <v>50</v>
      </c>
      <c r="I77" s="1" t="s">
        <v>34</v>
      </c>
      <c r="J77" s="1"/>
      <c r="K77" s="1"/>
      <c r="L77" s="1">
        <v>69</v>
      </c>
      <c r="M77" s="1">
        <f t="shared" si="20"/>
        <v>-2</v>
      </c>
      <c r="N77" s="1"/>
      <c r="O77" s="1"/>
      <c r="P77" s="1">
        <v>91</v>
      </c>
      <c r="Q77" s="1">
        <f t="shared" si="21"/>
        <v>13.4</v>
      </c>
      <c r="R77" s="5">
        <f t="shared" si="18"/>
        <v>90</v>
      </c>
      <c r="S77" s="1">
        <f t="shared" si="22"/>
        <v>15</v>
      </c>
      <c r="T77" s="1">
        <f t="shared" si="23"/>
        <v>8.2835820895522385</v>
      </c>
      <c r="U77" s="1">
        <v>12.4</v>
      </c>
      <c r="V77" s="1">
        <v>9</v>
      </c>
      <c r="W77" s="1">
        <v>14.2</v>
      </c>
      <c r="X77" s="1">
        <v>17.600000000000001</v>
      </c>
      <c r="Y77" s="1">
        <v>9.6</v>
      </c>
      <c r="Z77" s="1">
        <v>13.8</v>
      </c>
      <c r="AA77" s="1">
        <v>7.4</v>
      </c>
      <c r="AB77" s="1">
        <v>16.8</v>
      </c>
      <c r="AC77" s="1">
        <v>10.199999999999999</v>
      </c>
      <c r="AD77" s="1">
        <v>9.8000000000000007</v>
      </c>
      <c r="AE77" s="1"/>
      <c r="AF77" s="1">
        <f t="shared" si="19"/>
        <v>27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126</v>
      </c>
      <c r="B78" s="1" t="s">
        <v>37</v>
      </c>
      <c r="C78" s="1">
        <v>116</v>
      </c>
      <c r="D78" s="1">
        <v>80</v>
      </c>
      <c r="E78" s="1">
        <v>86</v>
      </c>
      <c r="F78" s="1">
        <v>86</v>
      </c>
      <c r="G78" s="7">
        <v>0.3</v>
      </c>
      <c r="H78" s="1">
        <v>60</v>
      </c>
      <c r="I78" s="1" t="s">
        <v>34</v>
      </c>
      <c r="J78" s="1"/>
      <c r="K78" s="1"/>
      <c r="L78" s="1">
        <v>95</v>
      </c>
      <c r="M78" s="1">
        <f t="shared" si="20"/>
        <v>-9</v>
      </c>
      <c r="N78" s="1"/>
      <c r="O78" s="1"/>
      <c r="P78" s="1">
        <v>56</v>
      </c>
      <c r="Q78" s="1">
        <f t="shared" si="21"/>
        <v>17.2</v>
      </c>
      <c r="R78" s="5">
        <f t="shared" si="18"/>
        <v>116</v>
      </c>
      <c r="S78" s="1">
        <f t="shared" si="22"/>
        <v>15</v>
      </c>
      <c r="T78" s="1">
        <f t="shared" si="23"/>
        <v>8.2558139534883725</v>
      </c>
      <c r="U78" s="1">
        <v>16.600000000000001</v>
      </c>
      <c r="V78" s="1">
        <v>17</v>
      </c>
      <c r="W78" s="1">
        <v>19.600000000000001</v>
      </c>
      <c r="X78" s="1">
        <v>15.6</v>
      </c>
      <c r="Y78" s="1">
        <v>14.8</v>
      </c>
      <c r="Z78" s="1">
        <v>13.4</v>
      </c>
      <c r="AA78" s="1">
        <v>6.6</v>
      </c>
      <c r="AB78" s="1">
        <v>13.6</v>
      </c>
      <c r="AC78" s="1">
        <v>13.8</v>
      </c>
      <c r="AD78" s="1">
        <v>9.1999999999999993</v>
      </c>
      <c r="AE78" s="1"/>
      <c r="AF78" s="1">
        <f t="shared" si="19"/>
        <v>34.799999999999997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127</v>
      </c>
      <c r="B79" s="1" t="s">
        <v>37</v>
      </c>
      <c r="C79" s="1">
        <v>273</v>
      </c>
      <c r="D79" s="1">
        <v>104</v>
      </c>
      <c r="E79" s="1">
        <v>143</v>
      </c>
      <c r="F79" s="1">
        <v>180</v>
      </c>
      <c r="G79" s="7">
        <v>0.28000000000000003</v>
      </c>
      <c r="H79" s="1">
        <v>50</v>
      </c>
      <c r="I79" s="1" t="s">
        <v>34</v>
      </c>
      <c r="J79" s="1"/>
      <c r="K79" s="1"/>
      <c r="L79" s="1">
        <v>163</v>
      </c>
      <c r="M79" s="1">
        <f t="shared" si="20"/>
        <v>-20</v>
      </c>
      <c r="N79" s="1"/>
      <c r="O79" s="1"/>
      <c r="P79" s="1">
        <v>105</v>
      </c>
      <c r="Q79" s="1">
        <f t="shared" si="21"/>
        <v>28.6</v>
      </c>
      <c r="R79" s="5">
        <f t="shared" si="18"/>
        <v>144</v>
      </c>
      <c r="S79" s="1">
        <f t="shared" si="22"/>
        <v>15</v>
      </c>
      <c r="T79" s="1">
        <f t="shared" si="23"/>
        <v>9.965034965034965</v>
      </c>
      <c r="U79" s="1">
        <v>31</v>
      </c>
      <c r="V79" s="1">
        <v>33.799999999999997</v>
      </c>
      <c r="W79" s="1">
        <v>38.6</v>
      </c>
      <c r="X79" s="1">
        <v>27.8</v>
      </c>
      <c r="Y79" s="1">
        <v>31.2</v>
      </c>
      <c r="Z79" s="1">
        <v>27.4</v>
      </c>
      <c r="AA79" s="1">
        <v>42.8</v>
      </c>
      <c r="AB79" s="1">
        <v>29.6</v>
      </c>
      <c r="AC79" s="1">
        <v>22</v>
      </c>
      <c r="AD79" s="1">
        <v>32</v>
      </c>
      <c r="AE79" s="1"/>
      <c r="AF79" s="1">
        <f t="shared" si="19"/>
        <v>40.320000000000007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128</v>
      </c>
      <c r="B80" s="1" t="s">
        <v>37</v>
      </c>
      <c r="C80" s="1">
        <v>343</v>
      </c>
      <c r="D80" s="1">
        <v>40</v>
      </c>
      <c r="E80" s="1">
        <v>214</v>
      </c>
      <c r="F80" s="1">
        <v>122</v>
      </c>
      <c r="G80" s="7">
        <v>0.28000000000000003</v>
      </c>
      <c r="H80" s="1">
        <v>45</v>
      </c>
      <c r="I80" s="1" t="s">
        <v>34</v>
      </c>
      <c r="J80" s="1"/>
      <c r="K80" s="1"/>
      <c r="L80" s="1">
        <v>224</v>
      </c>
      <c r="M80" s="1">
        <f t="shared" si="20"/>
        <v>-10</v>
      </c>
      <c r="N80" s="1"/>
      <c r="O80" s="1"/>
      <c r="P80" s="1">
        <v>101</v>
      </c>
      <c r="Q80" s="1">
        <f t="shared" si="21"/>
        <v>42.8</v>
      </c>
      <c r="R80" s="5">
        <f>14*Q80-P80-F80</f>
        <v>376.19999999999993</v>
      </c>
      <c r="S80" s="1">
        <f t="shared" si="22"/>
        <v>14</v>
      </c>
      <c r="T80" s="1">
        <f t="shared" si="23"/>
        <v>5.2102803738317762</v>
      </c>
      <c r="U80" s="1">
        <v>31.2</v>
      </c>
      <c r="V80" s="1">
        <v>33.6</v>
      </c>
      <c r="W80" s="1">
        <v>43.8</v>
      </c>
      <c r="X80" s="1">
        <v>38</v>
      </c>
      <c r="Y80" s="1">
        <v>34.4</v>
      </c>
      <c r="Z80" s="1">
        <v>35.6</v>
      </c>
      <c r="AA80" s="1">
        <v>30.2</v>
      </c>
      <c r="AB80" s="1">
        <v>39.799999999999997</v>
      </c>
      <c r="AC80" s="1">
        <v>29</v>
      </c>
      <c r="AD80" s="1">
        <v>27.6</v>
      </c>
      <c r="AE80" s="1"/>
      <c r="AF80" s="1">
        <f t="shared" si="19"/>
        <v>105.33599999999998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129</v>
      </c>
      <c r="B81" s="1" t="s">
        <v>37</v>
      </c>
      <c r="C81" s="1">
        <v>648</v>
      </c>
      <c r="D81" s="1">
        <v>405</v>
      </c>
      <c r="E81" s="1">
        <v>412</v>
      </c>
      <c r="F81" s="1">
        <v>385</v>
      </c>
      <c r="G81" s="7">
        <v>0.28000000000000003</v>
      </c>
      <c r="H81" s="1">
        <v>45</v>
      </c>
      <c r="I81" s="1" t="s">
        <v>34</v>
      </c>
      <c r="J81" s="1"/>
      <c r="K81" s="1"/>
      <c r="L81" s="1">
        <v>427</v>
      </c>
      <c r="M81" s="1">
        <f t="shared" si="20"/>
        <v>-15</v>
      </c>
      <c r="N81" s="1"/>
      <c r="O81" s="1"/>
      <c r="P81" s="1">
        <v>342</v>
      </c>
      <c r="Q81" s="1">
        <f t="shared" si="21"/>
        <v>82.4</v>
      </c>
      <c r="R81" s="5">
        <f t="shared" si="18"/>
        <v>509</v>
      </c>
      <c r="S81" s="1">
        <f t="shared" si="22"/>
        <v>14.999999999999998</v>
      </c>
      <c r="T81" s="1">
        <f t="shared" si="23"/>
        <v>8.8228155339805827</v>
      </c>
      <c r="U81" s="1">
        <v>91.8</v>
      </c>
      <c r="V81" s="1">
        <v>89.8</v>
      </c>
      <c r="W81" s="1">
        <v>101</v>
      </c>
      <c r="X81" s="1">
        <v>72.400000000000006</v>
      </c>
      <c r="Y81" s="1">
        <v>66.8</v>
      </c>
      <c r="Z81" s="1">
        <v>49.4</v>
      </c>
      <c r="AA81" s="1">
        <v>83</v>
      </c>
      <c r="AB81" s="1">
        <v>47.2</v>
      </c>
      <c r="AC81" s="1">
        <v>55.6</v>
      </c>
      <c r="AD81" s="1">
        <v>58.2</v>
      </c>
      <c r="AE81" s="1"/>
      <c r="AF81" s="1">
        <f t="shared" si="19"/>
        <v>142.52000000000001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130</v>
      </c>
      <c r="B82" s="1" t="s">
        <v>37</v>
      </c>
      <c r="C82" s="1">
        <v>95</v>
      </c>
      <c r="D82" s="1">
        <v>180</v>
      </c>
      <c r="E82" s="1">
        <v>181</v>
      </c>
      <c r="F82" s="1">
        <v>20</v>
      </c>
      <c r="G82" s="7">
        <v>0.4</v>
      </c>
      <c r="H82" s="1">
        <v>50</v>
      </c>
      <c r="I82" s="1" t="s">
        <v>34</v>
      </c>
      <c r="J82" s="1"/>
      <c r="K82" s="1"/>
      <c r="L82" s="1">
        <v>186</v>
      </c>
      <c r="M82" s="1">
        <f t="shared" si="20"/>
        <v>-5</v>
      </c>
      <c r="N82" s="1"/>
      <c r="O82" s="1"/>
      <c r="P82" s="1">
        <v>294</v>
      </c>
      <c r="Q82" s="1">
        <f t="shared" si="21"/>
        <v>36.200000000000003</v>
      </c>
      <c r="R82" s="5">
        <f t="shared" si="18"/>
        <v>229</v>
      </c>
      <c r="S82" s="1">
        <f t="shared" si="22"/>
        <v>14.999999999999998</v>
      </c>
      <c r="T82" s="1">
        <f t="shared" si="23"/>
        <v>8.6740331491712706</v>
      </c>
      <c r="U82" s="1">
        <v>36.799999999999997</v>
      </c>
      <c r="V82" s="1">
        <v>26.6</v>
      </c>
      <c r="W82" s="1">
        <v>27.8</v>
      </c>
      <c r="X82" s="1">
        <v>37.4</v>
      </c>
      <c r="Y82" s="1">
        <v>28.2</v>
      </c>
      <c r="Z82" s="1">
        <v>30.4</v>
      </c>
      <c r="AA82" s="1">
        <v>43.6</v>
      </c>
      <c r="AB82" s="1">
        <v>34.200000000000003</v>
      </c>
      <c r="AC82" s="1">
        <v>31.2</v>
      </c>
      <c r="AD82" s="1">
        <v>22.6</v>
      </c>
      <c r="AE82" s="1"/>
      <c r="AF82" s="1">
        <f t="shared" si="19"/>
        <v>91.600000000000009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9" t="s">
        <v>131</v>
      </c>
      <c r="B83" s="9" t="s">
        <v>37</v>
      </c>
      <c r="C83" s="9">
        <v>2</v>
      </c>
      <c r="D83" s="9"/>
      <c r="E83" s="14">
        <v>3</v>
      </c>
      <c r="F83" s="14">
        <v>-1</v>
      </c>
      <c r="G83" s="10">
        <v>0</v>
      </c>
      <c r="H83" s="9">
        <v>60</v>
      </c>
      <c r="I83" s="9" t="s">
        <v>55</v>
      </c>
      <c r="J83" s="9"/>
      <c r="K83" s="9" t="s">
        <v>132</v>
      </c>
      <c r="L83" s="9">
        <v>30</v>
      </c>
      <c r="M83" s="9">
        <f t="shared" si="20"/>
        <v>-27</v>
      </c>
      <c r="N83" s="9"/>
      <c r="O83" s="9"/>
      <c r="P83" s="9">
        <v>0</v>
      </c>
      <c r="Q83" s="9">
        <f t="shared" si="21"/>
        <v>0.6</v>
      </c>
      <c r="R83" s="11"/>
      <c r="S83" s="9">
        <f t="shared" si="22"/>
        <v>-1.6666666666666667</v>
      </c>
      <c r="T83" s="9">
        <f t="shared" si="23"/>
        <v>-1.6666666666666667</v>
      </c>
      <c r="U83" s="9">
        <v>8.4</v>
      </c>
      <c r="V83" s="9">
        <v>3.6</v>
      </c>
      <c r="W83" s="9">
        <v>6.4</v>
      </c>
      <c r="X83" s="9">
        <v>6.4</v>
      </c>
      <c r="Y83" s="9">
        <v>5.2</v>
      </c>
      <c r="Z83" s="9">
        <v>6.2</v>
      </c>
      <c r="AA83" s="9">
        <v>8</v>
      </c>
      <c r="AB83" s="9">
        <v>6</v>
      </c>
      <c r="AC83" s="9">
        <v>12.4</v>
      </c>
      <c r="AD83" s="9">
        <v>7.2</v>
      </c>
      <c r="AE83" s="9" t="s">
        <v>133</v>
      </c>
      <c r="AF83" s="9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134</v>
      </c>
      <c r="B84" s="1" t="s">
        <v>33</v>
      </c>
      <c r="C84" s="1">
        <v>68.070999999999998</v>
      </c>
      <c r="D84" s="1">
        <v>29.87</v>
      </c>
      <c r="E84" s="1">
        <v>74.001999999999995</v>
      </c>
      <c r="F84" s="1">
        <v>12.538</v>
      </c>
      <c r="G84" s="7">
        <v>1</v>
      </c>
      <c r="H84" s="1">
        <v>30</v>
      </c>
      <c r="I84" s="1" t="s">
        <v>34</v>
      </c>
      <c r="J84" s="1"/>
      <c r="K84" s="1"/>
      <c r="L84" s="1">
        <v>79.2</v>
      </c>
      <c r="M84" s="1">
        <f t="shared" si="20"/>
        <v>-5.1980000000000075</v>
      </c>
      <c r="N84" s="1"/>
      <c r="O84" s="1"/>
      <c r="P84" s="1">
        <v>37</v>
      </c>
      <c r="Q84" s="1">
        <f t="shared" si="21"/>
        <v>14.8004</v>
      </c>
      <c r="R84" s="5">
        <f>12*Q84-P84-F84</f>
        <v>128.0668</v>
      </c>
      <c r="S84" s="1">
        <f t="shared" si="22"/>
        <v>12.000000000000002</v>
      </c>
      <c r="T84" s="1">
        <f t="shared" si="23"/>
        <v>3.3470717007648441</v>
      </c>
      <c r="U84" s="1">
        <v>8.9665999999999997</v>
      </c>
      <c r="V84" s="1">
        <v>8.8193999999999999</v>
      </c>
      <c r="W84" s="1">
        <v>10.5128</v>
      </c>
      <c r="X84" s="1">
        <v>9.5676000000000005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 t="s">
        <v>106</v>
      </c>
      <c r="AF84" s="1">
        <f>G84*R84</f>
        <v>128.0668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9" t="s">
        <v>135</v>
      </c>
      <c r="B85" s="9" t="s">
        <v>37</v>
      </c>
      <c r="C85" s="9"/>
      <c r="D85" s="9"/>
      <c r="E85" s="9"/>
      <c r="F85" s="9"/>
      <c r="G85" s="10">
        <v>0</v>
      </c>
      <c r="H85" s="9"/>
      <c r="I85" s="9" t="s">
        <v>34</v>
      </c>
      <c r="J85" s="9"/>
      <c r="K85" s="9"/>
      <c r="L85" s="9">
        <v>5</v>
      </c>
      <c r="M85" s="9">
        <f t="shared" si="20"/>
        <v>-5</v>
      </c>
      <c r="N85" s="9"/>
      <c r="O85" s="9"/>
      <c r="P85" s="9">
        <v>0</v>
      </c>
      <c r="Q85" s="9">
        <f t="shared" si="21"/>
        <v>0</v>
      </c>
      <c r="R85" s="11"/>
      <c r="S85" s="9" t="e">
        <f t="shared" si="22"/>
        <v>#DIV/0!</v>
      </c>
      <c r="T85" s="9" t="e">
        <f t="shared" si="23"/>
        <v>#DIV/0!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 t="s">
        <v>75</v>
      </c>
      <c r="AF85" s="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9" t="s">
        <v>136</v>
      </c>
      <c r="B86" s="9" t="s">
        <v>37</v>
      </c>
      <c r="C86" s="9">
        <v>1</v>
      </c>
      <c r="D86" s="9"/>
      <c r="E86" s="9">
        <v>-6</v>
      </c>
      <c r="F86" s="9">
        <v>1</v>
      </c>
      <c r="G86" s="10">
        <v>0</v>
      </c>
      <c r="H86" s="9">
        <v>60</v>
      </c>
      <c r="I86" s="9" t="s">
        <v>55</v>
      </c>
      <c r="J86" s="9"/>
      <c r="K86" s="9"/>
      <c r="L86" s="9">
        <v>69</v>
      </c>
      <c r="M86" s="9">
        <f t="shared" si="20"/>
        <v>-75</v>
      </c>
      <c r="N86" s="9"/>
      <c r="O86" s="9"/>
      <c r="P86" s="9">
        <v>0</v>
      </c>
      <c r="Q86" s="9">
        <f t="shared" si="21"/>
        <v>-1.2</v>
      </c>
      <c r="R86" s="11"/>
      <c r="S86" s="9">
        <f t="shared" si="22"/>
        <v>-0.83333333333333337</v>
      </c>
      <c r="T86" s="9">
        <f t="shared" si="23"/>
        <v>-0.83333333333333337</v>
      </c>
      <c r="U86" s="9">
        <v>0.6</v>
      </c>
      <c r="V86" s="9">
        <v>5.4</v>
      </c>
      <c r="W86" s="9">
        <v>11.6</v>
      </c>
      <c r="X86" s="9">
        <v>9.4</v>
      </c>
      <c r="Y86" s="9">
        <v>8.8000000000000007</v>
      </c>
      <c r="Z86" s="9">
        <v>6.4</v>
      </c>
      <c r="AA86" s="9">
        <v>8.4</v>
      </c>
      <c r="AB86" s="9">
        <v>9.6</v>
      </c>
      <c r="AC86" s="9">
        <v>4.4000000000000004</v>
      </c>
      <c r="AD86" s="9">
        <v>3.2</v>
      </c>
      <c r="AE86" s="9"/>
      <c r="AF86" s="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137</v>
      </c>
      <c r="B87" s="1" t="s">
        <v>37</v>
      </c>
      <c r="C87" s="1">
        <v>203</v>
      </c>
      <c r="D87" s="1">
        <v>80</v>
      </c>
      <c r="E87" s="1">
        <v>141</v>
      </c>
      <c r="F87" s="1">
        <v>94</v>
      </c>
      <c r="G87" s="7">
        <v>0.12</v>
      </c>
      <c r="H87" s="1">
        <v>60</v>
      </c>
      <c r="I87" s="1" t="s">
        <v>34</v>
      </c>
      <c r="J87" s="1"/>
      <c r="K87" s="1"/>
      <c r="L87" s="1">
        <v>152</v>
      </c>
      <c r="M87" s="1">
        <f t="shared" si="20"/>
        <v>-11</v>
      </c>
      <c r="N87" s="1"/>
      <c r="O87" s="1"/>
      <c r="P87" s="1">
        <v>65</v>
      </c>
      <c r="Q87" s="1">
        <f t="shared" si="21"/>
        <v>28.2</v>
      </c>
      <c r="R87" s="5">
        <f t="shared" ref="R87" si="25">15*Q87-P87-F87</f>
        <v>264</v>
      </c>
      <c r="S87" s="1">
        <f t="shared" si="22"/>
        <v>15</v>
      </c>
      <c r="T87" s="1">
        <f t="shared" si="23"/>
        <v>5.6382978723404253</v>
      </c>
      <c r="U87" s="1">
        <v>22.2</v>
      </c>
      <c r="V87" s="1">
        <v>25</v>
      </c>
      <c r="W87" s="1">
        <v>29</v>
      </c>
      <c r="X87" s="1">
        <v>27.4</v>
      </c>
      <c r="Y87" s="1">
        <v>27</v>
      </c>
      <c r="Z87" s="1">
        <v>17.399999999999999</v>
      </c>
      <c r="AA87" s="1">
        <v>24.4</v>
      </c>
      <c r="AB87" s="1">
        <v>19.2</v>
      </c>
      <c r="AC87" s="1">
        <v>23</v>
      </c>
      <c r="AD87" s="1">
        <v>11.6</v>
      </c>
      <c r="AE87" s="1"/>
      <c r="AF87" s="1">
        <f>G87*R87</f>
        <v>31.68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138</v>
      </c>
      <c r="B88" s="1" t="s">
        <v>37</v>
      </c>
      <c r="C88" s="1">
        <v>115</v>
      </c>
      <c r="D88" s="1"/>
      <c r="E88" s="1">
        <v>85</v>
      </c>
      <c r="F88" s="1">
        <v>13</v>
      </c>
      <c r="G88" s="7">
        <v>0.33</v>
      </c>
      <c r="H88" s="1">
        <v>30</v>
      </c>
      <c r="I88" s="1" t="s">
        <v>34</v>
      </c>
      <c r="J88" s="1"/>
      <c r="K88" s="1"/>
      <c r="L88" s="1">
        <v>89</v>
      </c>
      <c r="M88" s="1">
        <f t="shared" si="20"/>
        <v>-4</v>
      </c>
      <c r="N88" s="1"/>
      <c r="O88" s="1"/>
      <c r="P88" s="1">
        <v>48</v>
      </c>
      <c r="Q88" s="1">
        <f t="shared" si="21"/>
        <v>17</v>
      </c>
      <c r="R88" s="5">
        <f>13*Q88-P88-F88</f>
        <v>160</v>
      </c>
      <c r="S88" s="1">
        <f t="shared" si="22"/>
        <v>13</v>
      </c>
      <c r="T88" s="1">
        <f t="shared" si="23"/>
        <v>3.5882352941176472</v>
      </c>
      <c r="U88" s="1">
        <v>9.8000000000000007</v>
      </c>
      <c r="V88" s="1">
        <v>5</v>
      </c>
      <c r="W88" s="1">
        <v>13</v>
      </c>
      <c r="X88" s="1">
        <v>9.4</v>
      </c>
      <c r="Y88" s="1">
        <v>-1</v>
      </c>
      <c r="Z88" s="1">
        <v>-0.8</v>
      </c>
      <c r="AA88" s="1">
        <v>2</v>
      </c>
      <c r="AB88" s="1">
        <v>15.6</v>
      </c>
      <c r="AC88" s="1">
        <v>16.399999999999999</v>
      </c>
      <c r="AD88" s="1">
        <v>12.6</v>
      </c>
      <c r="AE88" s="1"/>
      <c r="AF88" s="1">
        <f>G88*R88</f>
        <v>52.800000000000004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139</v>
      </c>
      <c r="B89" s="1" t="s">
        <v>37</v>
      </c>
      <c r="C89" s="1"/>
      <c r="D89" s="1">
        <v>240</v>
      </c>
      <c r="E89" s="1">
        <v>237</v>
      </c>
      <c r="F89" s="1">
        <v>-1</v>
      </c>
      <c r="G89" s="7">
        <v>0.15</v>
      </c>
      <c r="H89" s="1">
        <v>60</v>
      </c>
      <c r="I89" s="1" t="s">
        <v>34</v>
      </c>
      <c r="J89" s="1"/>
      <c r="K89" s="1"/>
      <c r="L89" s="1">
        <v>259</v>
      </c>
      <c r="M89" s="1">
        <f t="shared" si="20"/>
        <v>-22</v>
      </c>
      <c r="N89" s="1"/>
      <c r="O89" s="1"/>
      <c r="P89" s="1">
        <v>100</v>
      </c>
      <c r="Q89" s="1">
        <f t="shared" si="21"/>
        <v>47.4</v>
      </c>
      <c r="R89" s="5">
        <f>11*Q89-P89-F89</f>
        <v>422.4</v>
      </c>
      <c r="S89" s="1">
        <f t="shared" si="22"/>
        <v>11</v>
      </c>
      <c r="T89" s="1">
        <f t="shared" si="23"/>
        <v>2.0886075949367089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 t="s">
        <v>106</v>
      </c>
      <c r="AF89" s="1">
        <f>G89*R89</f>
        <v>63.359999999999992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9" t="s">
        <v>140</v>
      </c>
      <c r="B90" s="9" t="s">
        <v>37</v>
      </c>
      <c r="C90" s="9">
        <v>20</v>
      </c>
      <c r="D90" s="9"/>
      <c r="E90" s="9">
        <v>1</v>
      </c>
      <c r="F90" s="9"/>
      <c r="G90" s="10">
        <v>0</v>
      </c>
      <c r="H90" s="9">
        <v>45</v>
      </c>
      <c r="I90" s="9" t="s">
        <v>141</v>
      </c>
      <c r="J90" s="9"/>
      <c r="K90" s="9"/>
      <c r="L90" s="9">
        <v>53</v>
      </c>
      <c r="M90" s="9">
        <f t="shared" si="20"/>
        <v>-52</v>
      </c>
      <c r="N90" s="9"/>
      <c r="O90" s="9"/>
      <c r="P90" s="9">
        <v>0</v>
      </c>
      <c r="Q90" s="9">
        <f t="shared" si="21"/>
        <v>0.2</v>
      </c>
      <c r="R90" s="11"/>
      <c r="S90" s="9">
        <f t="shared" si="22"/>
        <v>0</v>
      </c>
      <c r="T90" s="9">
        <f t="shared" si="23"/>
        <v>0</v>
      </c>
      <c r="U90" s="9">
        <v>10.8</v>
      </c>
      <c r="V90" s="9">
        <v>13.4</v>
      </c>
      <c r="W90" s="9">
        <v>25.2</v>
      </c>
      <c r="X90" s="9">
        <v>13.2</v>
      </c>
      <c r="Y90" s="9">
        <v>15</v>
      </c>
      <c r="Z90" s="9">
        <v>28.2</v>
      </c>
      <c r="AA90" s="9">
        <v>7</v>
      </c>
      <c r="AB90" s="9">
        <v>0</v>
      </c>
      <c r="AC90" s="9">
        <v>0</v>
      </c>
      <c r="AD90" s="9">
        <v>0</v>
      </c>
      <c r="AE90" s="9" t="s">
        <v>141</v>
      </c>
      <c r="AF90" s="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9" t="s">
        <v>142</v>
      </c>
      <c r="B91" s="9" t="s">
        <v>37</v>
      </c>
      <c r="C91" s="9"/>
      <c r="D91" s="9"/>
      <c r="E91" s="9"/>
      <c r="F91" s="9"/>
      <c r="G91" s="10">
        <v>0</v>
      </c>
      <c r="H91" s="9">
        <v>45</v>
      </c>
      <c r="I91" s="9" t="s">
        <v>34</v>
      </c>
      <c r="J91" s="9"/>
      <c r="K91" s="9"/>
      <c r="L91" s="9"/>
      <c r="M91" s="9">
        <f t="shared" si="20"/>
        <v>0</v>
      </c>
      <c r="N91" s="9"/>
      <c r="O91" s="9"/>
      <c r="P91" s="9">
        <v>0</v>
      </c>
      <c r="Q91" s="9">
        <f t="shared" si="21"/>
        <v>0</v>
      </c>
      <c r="R91" s="11"/>
      <c r="S91" s="9" t="e">
        <f t="shared" si="22"/>
        <v>#DIV/0!</v>
      </c>
      <c r="T91" s="9" t="e">
        <f t="shared" si="23"/>
        <v>#DIV/0!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 t="s">
        <v>75</v>
      </c>
      <c r="AF91" s="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9" t="s">
        <v>143</v>
      </c>
      <c r="B92" s="9" t="s">
        <v>37</v>
      </c>
      <c r="C92" s="9"/>
      <c r="D92" s="9"/>
      <c r="E92" s="9"/>
      <c r="F92" s="9"/>
      <c r="G92" s="10">
        <v>0</v>
      </c>
      <c r="H92" s="9">
        <v>45</v>
      </c>
      <c r="I92" s="9" t="s">
        <v>34</v>
      </c>
      <c r="J92" s="9"/>
      <c r="K92" s="9"/>
      <c r="L92" s="9"/>
      <c r="M92" s="9">
        <f t="shared" si="20"/>
        <v>0</v>
      </c>
      <c r="N92" s="9"/>
      <c r="O92" s="9"/>
      <c r="P92" s="9">
        <v>0</v>
      </c>
      <c r="Q92" s="9">
        <f t="shared" si="21"/>
        <v>0</v>
      </c>
      <c r="R92" s="11"/>
      <c r="S92" s="9" t="e">
        <f t="shared" si="22"/>
        <v>#DIV/0!</v>
      </c>
      <c r="T92" s="9" t="e">
        <f t="shared" si="23"/>
        <v>#DIV/0!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 t="s">
        <v>75</v>
      </c>
      <c r="AF92" s="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144</v>
      </c>
      <c r="B93" s="1" t="s">
        <v>37</v>
      </c>
      <c r="C93" s="1">
        <v>43</v>
      </c>
      <c r="D93" s="1">
        <v>144</v>
      </c>
      <c r="E93" s="1">
        <v>99</v>
      </c>
      <c r="F93" s="1">
        <v>28</v>
      </c>
      <c r="G93" s="7">
        <v>0.4</v>
      </c>
      <c r="H93" s="1">
        <v>60</v>
      </c>
      <c r="I93" s="1" t="s">
        <v>34</v>
      </c>
      <c r="J93" s="1"/>
      <c r="K93" s="1"/>
      <c r="L93" s="1">
        <v>156</v>
      </c>
      <c r="M93" s="1">
        <f t="shared" si="20"/>
        <v>-57</v>
      </c>
      <c r="N93" s="1"/>
      <c r="O93" s="1"/>
      <c r="P93" s="1">
        <v>240</v>
      </c>
      <c r="Q93" s="1">
        <f t="shared" si="21"/>
        <v>19.8</v>
      </c>
      <c r="R93" s="17">
        <v>100</v>
      </c>
      <c r="S93" s="1">
        <f t="shared" si="22"/>
        <v>18.585858585858585</v>
      </c>
      <c r="T93" s="1">
        <f t="shared" si="23"/>
        <v>13.535353535353535</v>
      </c>
      <c r="U93" s="1">
        <v>28.6</v>
      </c>
      <c r="V93" s="1">
        <v>18.600000000000001</v>
      </c>
      <c r="W93" s="1">
        <v>18.8</v>
      </c>
      <c r="X93" s="1">
        <v>19.600000000000001</v>
      </c>
      <c r="Y93" s="1">
        <v>23.8</v>
      </c>
      <c r="Z93" s="1">
        <v>19.399999999999999</v>
      </c>
      <c r="AA93" s="1">
        <v>2.4</v>
      </c>
      <c r="AB93" s="1">
        <v>16.8</v>
      </c>
      <c r="AC93" s="1">
        <v>0.2</v>
      </c>
      <c r="AD93" s="1">
        <v>7</v>
      </c>
      <c r="AE93" s="1" t="s">
        <v>162</v>
      </c>
      <c r="AF93" s="1">
        <f>G93*R93</f>
        <v>40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145</v>
      </c>
      <c r="B94" s="1" t="s">
        <v>37</v>
      </c>
      <c r="C94" s="1">
        <v>4</v>
      </c>
      <c r="D94" s="1">
        <v>13</v>
      </c>
      <c r="E94" s="1">
        <v>12</v>
      </c>
      <c r="F94" s="1"/>
      <c r="G94" s="7">
        <v>0.35</v>
      </c>
      <c r="H94" s="1">
        <v>60</v>
      </c>
      <c r="I94" s="1" t="s">
        <v>34</v>
      </c>
      <c r="J94" s="1"/>
      <c r="K94" s="1"/>
      <c r="L94" s="1">
        <v>28</v>
      </c>
      <c r="M94" s="1">
        <f t="shared" si="20"/>
        <v>-16</v>
      </c>
      <c r="N94" s="1"/>
      <c r="O94" s="1"/>
      <c r="P94" s="1">
        <v>20</v>
      </c>
      <c r="Q94" s="1">
        <f t="shared" si="21"/>
        <v>2.4</v>
      </c>
      <c r="R94" s="5"/>
      <c r="S94" s="1">
        <f t="shared" si="22"/>
        <v>8.3333333333333339</v>
      </c>
      <c r="T94" s="1">
        <f t="shared" si="23"/>
        <v>8.3333333333333339</v>
      </c>
      <c r="U94" s="1">
        <v>2.8</v>
      </c>
      <c r="V94" s="1">
        <v>2</v>
      </c>
      <c r="W94" s="1">
        <v>3.8</v>
      </c>
      <c r="X94" s="1">
        <v>4.2</v>
      </c>
      <c r="Y94" s="1">
        <v>8.6</v>
      </c>
      <c r="Z94" s="1">
        <v>8.8000000000000007</v>
      </c>
      <c r="AA94" s="1">
        <v>3.8</v>
      </c>
      <c r="AB94" s="1">
        <v>3</v>
      </c>
      <c r="AC94" s="1">
        <v>0.4</v>
      </c>
      <c r="AD94" s="1">
        <v>1.8</v>
      </c>
      <c r="AE94" s="1" t="s">
        <v>146</v>
      </c>
      <c r="AF94" s="1">
        <f>G94*R94</f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9" t="s">
        <v>147</v>
      </c>
      <c r="B95" s="9" t="s">
        <v>33</v>
      </c>
      <c r="C95" s="9"/>
      <c r="D95" s="9"/>
      <c r="E95" s="9"/>
      <c r="F95" s="9"/>
      <c r="G95" s="10">
        <v>0</v>
      </c>
      <c r="H95" s="9">
        <v>45</v>
      </c>
      <c r="I95" s="9" t="s">
        <v>34</v>
      </c>
      <c r="J95" s="9"/>
      <c r="K95" s="9"/>
      <c r="L95" s="9"/>
      <c r="M95" s="9">
        <f t="shared" si="20"/>
        <v>0</v>
      </c>
      <c r="N95" s="9"/>
      <c r="O95" s="9"/>
      <c r="P95" s="9">
        <v>0</v>
      </c>
      <c r="Q95" s="9">
        <f t="shared" si="21"/>
        <v>0</v>
      </c>
      <c r="R95" s="11"/>
      <c r="S95" s="9" t="e">
        <f t="shared" si="22"/>
        <v>#DIV/0!</v>
      </c>
      <c r="T95" s="9" t="e">
        <f t="shared" si="23"/>
        <v>#DIV/0!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 t="s">
        <v>75</v>
      </c>
      <c r="AF95" s="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9" t="s">
        <v>148</v>
      </c>
      <c r="B96" s="9" t="s">
        <v>33</v>
      </c>
      <c r="C96" s="9"/>
      <c r="D96" s="9"/>
      <c r="E96" s="9"/>
      <c r="F96" s="9"/>
      <c r="G96" s="10">
        <v>0</v>
      </c>
      <c r="H96" s="9"/>
      <c r="I96" s="9" t="s">
        <v>34</v>
      </c>
      <c r="J96" s="9"/>
      <c r="K96" s="9"/>
      <c r="L96" s="9"/>
      <c r="M96" s="9">
        <f t="shared" si="20"/>
        <v>0</v>
      </c>
      <c r="N96" s="9"/>
      <c r="O96" s="9"/>
      <c r="P96" s="9">
        <v>0</v>
      </c>
      <c r="Q96" s="9">
        <f t="shared" si="21"/>
        <v>0</v>
      </c>
      <c r="R96" s="11"/>
      <c r="S96" s="9" t="e">
        <f t="shared" si="22"/>
        <v>#DIV/0!</v>
      </c>
      <c r="T96" s="9" t="e">
        <f t="shared" si="23"/>
        <v>#DIV/0!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 t="s">
        <v>75</v>
      </c>
      <c r="AF96" s="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149</v>
      </c>
      <c r="B97" s="1" t="s">
        <v>37</v>
      </c>
      <c r="C97" s="1">
        <v>81</v>
      </c>
      <c r="D97" s="1">
        <v>40</v>
      </c>
      <c r="E97" s="1">
        <v>90</v>
      </c>
      <c r="F97" s="1">
        <v>3</v>
      </c>
      <c r="G97" s="7">
        <v>0.33</v>
      </c>
      <c r="H97" s="1">
        <v>45</v>
      </c>
      <c r="I97" s="1" t="s">
        <v>34</v>
      </c>
      <c r="J97" s="1"/>
      <c r="K97" s="1"/>
      <c r="L97" s="1">
        <v>95</v>
      </c>
      <c r="M97" s="1">
        <f t="shared" si="20"/>
        <v>-5</v>
      </c>
      <c r="N97" s="1"/>
      <c r="O97" s="1"/>
      <c r="P97" s="1">
        <v>98</v>
      </c>
      <c r="Q97" s="1">
        <f t="shared" si="21"/>
        <v>18</v>
      </c>
      <c r="R97" s="5">
        <f t="shared" ref="R97:R104" si="26">15*Q97-P97-F97</f>
        <v>169</v>
      </c>
      <c r="S97" s="1">
        <f t="shared" si="22"/>
        <v>15</v>
      </c>
      <c r="T97" s="1">
        <f t="shared" si="23"/>
        <v>5.6111111111111107</v>
      </c>
      <c r="U97" s="1">
        <v>14.6</v>
      </c>
      <c r="V97" s="1">
        <v>12</v>
      </c>
      <c r="W97" s="1">
        <v>15.6</v>
      </c>
      <c r="X97" s="1">
        <v>10.8</v>
      </c>
      <c r="Y97" s="1">
        <v>2</v>
      </c>
      <c r="Z97" s="1">
        <v>12</v>
      </c>
      <c r="AA97" s="1">
        <v>3.4</v>
      </c>
      <c r="AB97" s="1">
        <v>1.6</v>
      </c>
      <c r="AC97" s="1">
        <v>0</v>
      </c>
      <c r="AD97" s="1">
        <v>0</v>
      </c>
      <c r="AE97" s="1"/>
      <c r="AF97" s="1">
        <f t="shared" ref="AF97:AF104" si="27">G97*R97</f>
        <v>55.77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150</v>
      </c>
      <c r="B98" s="1" t="s">
        <v>37</v>
      </c>
      <c r="C98" s="1">
        <v>40</v>
      </c>
      <c r="D98" s="1"/>
      <c r="E98" s="1">
        <v>16</v>
      </c>
      <c r="F98" s="1">
        <v>16</v>
      </c>
      <c r="G98" s="7">
        <v>0.1</v>
      </c>
      <c r="H98" s="1">
        <v>45</v>
      </c>
      <c r="I98" s="1" t="s">
        <v>34</v>
      </c>
      <c r="J98" s="1"/>
      <c r="K98" s="1"/>
      <c r="L98" s="1">
        <v>18</v>
      </c>
      <c r="M98" s="1">
        <f t="shared" si="20"/>
        <v>-2</v>
      </c>
      <c r="N98" s="1"/>
      <c r="O98" s="1"/>
      <c r="P98" s="1">
        <v>16</v>
      </c>
      <c r="Q98" s="1">
        <f t="shared" si="21"/>
        <v>3.2</v>
      </c>
      <c r="R98" s="5">
        <f t="shared" si="26"/>
        <v>16</v>
      </c>
      <c r="S98" s="1">
        <f t="shared" si="22"/>
        <v>15</v>
      </c>
      <c r="T98" s="1">
        <f t="shared" si="23"/>
        <v>10</v>
      </c>
      <c r="U98" s="1">
        <v>3.6</v>
      </c>
      <c r="V98" s="1">
        <v>0.4</v>
      </c>
      <c r="W98" s="1">
        <v>3.4</v>
      </c>
      <c r="X98" s="1">
        <v>7.2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 t="s">
        <v>151</v>
      </c>
      <c r="AF98" s="1">
        <f t="shared" si="27"/>
        <v>1.6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132</v>
      </c>
      <c r="B99" s="1" t="s">
        <v>37</v>
      </c>
      <c r="C99" s="1">
        <v>30</v>
      </c>
      <c r="D99" s="1"/>
      <c r="E99" s="14">
        <f>4+E83</f>
        <v>7</v>
      </c>
      <c r="F99" s="14">
        <f>14+F83</f>
        <v>13</v>
      </c>
      <c r="G99" s="7">
        <v>0.1</v>
      </c>
      <c r="H99" s="1">
        <v>60</v>
      </c>
      <c r="I99" s="1" t="s">
        <v>34</v>
      </c>
      <c r="J99" s="1"/>
      <c r="K99" s="1"/>
      <c r="L99" s="1">
        <v>4</v>
      </c>
      <c r="M99" s="1">
        <f t="shared" si="20"/>
        <v>3</v>
      </c>
      <c r="N99" s="1"/>
      <c r="O99" s="1"/>
      <c r="P99" s="1">
        <v>86</v>
      </c>
      <c r="Q99" s="1">
        <f t="shared" si="21"/>
        <v>1.4</v>
      </c>
      <c r="R99" s="5"/>
      <c r="S99" s="1">
        <f t="shared" si="22"/>
        <v>70.714285714285722</v>
      </c>
      <c r="T99" s="1">
        <f t="shared" si="23"/>
        <v>70.714285714285722</v>
      </c>
      <c r="U99" s="1">
        <v>8.4</v>
      </c>
      <c r="V99" s="1">
        <v>3.6</v>
      </c>
      <c r="W99" s="1">
        <v>6.4</v>
      </c>
      <c r="X99" s="1">
        <v>6.4</v>
      </c>
      <c r="Y99" s="1">
        <v>5.2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 t="s">
        <v>152</v>
      </c>
      <c r="AF99" s="1">
        <f t="shared" si="27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56</v>
      </c>
      <c r="B100" s="1" t="s">
        <v>37</v>
      </c>
      <c r="C100" s="1">
        <v>338</v>
      </c>
      <c r="D100" s="1"/>
      <c r="E100" s="14">
        <f>41+E19+E36</f>
        <v>269</v>
      </c>
      <c r="F100" s="14">
        <f>293+F19+F36</f>
        <v>266</v>
      </c>
      <c r="G100" s="7">
        <v>0.1</v>
      </c>
      <c r="H100" s="1">
        <v>60</v>
      </c>
      <c r="I100" s="1" t="s">
        <v>34</v>
      </c>
      <c r="J100" s="1"/>
      <c r="K100" s="1"/>
      <c r="L100" s="1">
        <v>45</v>
      </c>
      <c r="M100" s="1">
        <f t="shared" si="20"/>
        <v>224</v>
      </c>
      <c r="N100" s="1"/>
      <c r="O100" s="1"/>
      <c r="P100" s="1">
        <v>138</v>
      </c>
      <c r="Q100" s="1">
        <f t="shared" si="21"/>
        <v>53.8</v>
      </c>
      <c r="R100" s="5">
        <f t="shared" si="26"/>
        <v>403</v>
      </c>
      <c r="S100" s="1">
        <f t="shared" si="22"/>
        <v>15</v>
      </c>
      <c r="T100" s="1">
        <f t="shared" si="23"/>
        <v>7.5092936802973984</v>
      </c>
      <c r="U100" s="1">
        <v>47</v>
      </c>
      <c r="V100" s="1">
        <v>28.2</v>
      </c>
      <c r="W100" s="1">
        <v>64</v>
      </c>
      <c r="X100" s="1">
        <v>40.200000000000003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 t="s">
        <v>153</v>
      </c>
      <c r="AF100" s="1">
        <f t="shared" si="27"/>
        <v>40.300000000000004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77</v>
      </c>
      <c r="B101" s="1" t="s">
        <v>37</v>
      </c>
      <c r="C101" s="1">
        <v>262</v>
      </c>
      <c r="D101" s="1">
        <v>160</v>
      </c>
      <c r="E101" s="1">
        <v>318</v>
      </c>
      <c r="F101" s="14">
        <f>104+F35</f>
        <v>0</v>
      </c>
      <c r="G101" s="7">
        <v>0.1</v>
      </c>
      <c r="H101" s="1">
        <v>60</v>
      </c>
      <c r="I101" s="1" t="s">
        <v>34</v>
      </c>
      <c r="J101" s="1"/>
      <c r="K101" s="1"/>
      <c r="L101" s="1">
        <v>401</v>
      </c>
      <c r="M101" s="1">
        <f t="shared" si="20"/>
        <v>-83</v>
      </c>
      <c r="N101" s="1"/>
      <c r="O101" s="1"/>
      <c r="P101" s="1">
        <v>738</v>
      </c>
      <c r="Q101" s="1">
        <f t="shared" si="21"/>
        <v>63.6</v>
      </c>
      <c r="R101" s="5">
        <f t="shared" si="26"/>
        <v>216</v>
      </c>
      <c r="S101" s="1">
        <f t="shared" si="22"/>
        <v>15</v>
      </c>
      <c r="T101" s="1">
        <f t="shared" si="23"/>
        <v>11.60377358490566</v>
      </c>
      <c r="U101" s="1">
        <v>73.599999999999994</v>
      </c>
      <c r="V101" s="1">
        <v>36.200000000000003</v>
      </c>
      <c r="W101" s="1">
        <v>50</v>
      </c>
      <c r="X101" s="1">
        <v>47.8</v>
      </c>
      <c r="Y101" s="1">
        <v>36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 t="s">
        <v>154</v>
      </c>
      <c r="AF101" s="1">
        <f t="shared" si="27"/>
        <v>21.6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71</v>
      </c>
      <c r="B102" s="1" t="s">
        <v>37</v>
      </c>
      <c r="C102" s="1">
        <v>278</v>
      </c>
      <c r="D102" s="1">
        <v>56</v>
      </c>
      <c r="E102" s="1">
        <v>144</v>
      </c>
      <c r="F102" s="14">
        <f>107+F32</f>
        <v>3</v>
      </c>
      <c r="G102" s="7">
        <v>0.4</v>
      </c>
      <c r="H102" s="1">
        <v>60</v>
      </c>
      <c r="I102" s="1" t="s">
        <v>34</v>
      </c>
      <c r="J102" s="1"/>
      <c r="K102" s="1"/>
      <c r="L102" s="1">
        <v>148</v>
      </c>
      <c r="M102" s="1">
        <f t="shared" ref="M102:M104" si="28">E102-L102</f>
        <v>-4</v>
      </c>
      <c r="N102" s="1"/>
      <c r="O102" s="1"/>
      <c r="P102" s="1">
        <v>286</v>
      </c>
      <c r="Q102" s="1">
        <f t="shared" si="21"/>
        <v>28.8</v>
      </c>
      <c r="R102" s="17">
        <v>243</v>
      </c>
      <c r="S102" s="1">
        <f t="shared" ref="S102:S104" si="29">(F102+P102+R102)/Q102</f>
        <v>18.472222222222221</v>
      </c>
      <c r="T102" s="1">
        <f t="shared" si="23"/>
        <v>10.034722222222221</v>
      </c>
      <c r="U102" s="1">
        <v>34.4</v>
      </c>
      <c r="V102" s="1">
        <v>19.8</v>
      </c>
      <c r="W102" s="1">
        <v>30</v>
      </c>
      <c r="X102" s="1">
        <v>20.8</v>
      </c>
      <c r="Y102" s="1">
        <v>25.2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 t="s">
        <v>155</v>
      </c>
      <c r="AF102" s="1">
        <f t="shared" si="27"/>
        <v>97.2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156</v>
      </c>
      <c r="B103" s="1" t="s">
        <v>37</v>
      </c>
      <c r="C103" s="1"/>
      <c r="D103" s="1">
        <v>200</v>
      </c>
      <c r="E103" s="1">
        <v>77</v>
      </c>
      <c r="F103" s="1">
        <v>96</v>
      </c>
      <c r="G103" s="7">
        <v>0.1</v>
      </c>
      <c r="H103" s="1"/>
      <c r="I103" s="1" t="s">
        <v>34</v>
      </c>
      <c r="J103" s="1"/>
      <c r="K103" s="1"/>
      <c r="L103" s="1">
        <v>115</v>
      </c>
      <c r="M103" s="1">
        <f t="shared" si="28"/>
        <v>-38</v>
      </c>
      <c r="N103" s="1"/>
      <c r="O103" s="1"/>
      <c r="P103" s="1">
        <v>100</v>
      </c>
      <c r="Q103" s="1">
        <f t="shared" si="21"/>
        <v>15.4</v>
      </c>
      <c r="R103" s="17">
        <v>80</v>
      </c>
      <c r="S103" s="1">
        <f t="shared" si="29"/>
        <v>17.922077922077921</v>
      </c>
      <c r="T103" s="1">
        <f t="shared" si="23"/>
        <v>12.727272727272727</v>
      </c>
      <c r="U103" s="1">
        <v>8.4</v>
      </c>
      <c r="V103" s="1">
        <v>10.8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 t="s">
        <v>106</v>
      </c>
      <c r="AF103" s="1">
        <f t="shared" si="27"/>
        <v>8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157</v>
      </c>
      <c r="B104" s="1" t="s">
        <v>37</v>
      </c>
      <c r="C104" s="1">
        <v>2</v>
      </c>
      <c r="D104" s="1">
        <v>200</v>
      </c>
      <c r="E104" s="1">
        <v>100</v>
      </c>
      <c r="F104" s="1">
        <v>75</v>
      </c>
      <c r="G104" s="7">
        <v>0.1</v>
      </c>
      <c r="H104" s="1"/>
      <c r="I104" s="1" t="s">
        <v>34</v>
      </c>
      <c r="J104" s="1"/>
      <c r="K104" s="1"/>
      <c r="L104" s="1">
        <v>124</v>
      </c>
      <c r="M104" s="1">
        <f t="shared" si="28"/>
        <v>-24</v>
      </c>
      <c r="N104" s="1"/>
      <c r="O104" s="1"/>
      <c r="P104" s="1">
        <v>100</v>
      </c>
      <c r="Q104" s="1">
        <f t="shared" si="21"/>
        <v>20</v>
      </c>
      <c r="R104" s="18">
        <f t="shared" si="26"/>
        <v>125</v>
      </c>
      <c r="S104" s="1">
        <f t="shared" si="29"/>
        <v>15</v>
      </c>
      <c r="T104" s="1">
        <f t="shared" si="23"/>
        <v>8.75</v>
      </c>
      <c r="U104" s="1">
        <v>7</v>
      </c>
      <c r="V104" s="1">
        <v>11.8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 t="s">
        <v>106</v>
      </c>
      <c r="AF104" s="1">
        <f t="shared" si="27"/>
        <v>12.5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2" t="s">
        <v>167</v>
      </c>
      <c r="B105" s="1" t="s">
        <v>37</v>
      </c>
      <c r="C105" s="1"/>
      <c r="D105" s="1"/>
      <c r="E105" s="1"/>
      <c r="F105" s="1"/>
      <c r="G105" s="7"/>
      <c r="H105" s="1"/>
      <c r="I105" s="1" t="s">
        <v>34</v>
      </c>
      <c r="J105" s="1"/>
      <c r="K105" s="1"/>
      <c r="L105" s="1"/>
      <c r="M105" s="1"/>
      <c r="N105" s="1"/>
      <c r="O105" s="1"/>
      <c r="P105" s="1"/>
      <c r="Q105" s="1"/>
      <c r="R105" s="19">
        <v>300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 t="s">
        <v>169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</sheetData>
  <autoFilter ref="A3:AF10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2026-08-17T15:57:04Z</dcterms:created>
  <dcterms:modified xsi:type="dcterms:W3CDTF">2026-08-19T07:17:23Z</dcterms:modified>
</cp:coreProperties>
</file>