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7"/>
  <sheetViews>
    <sheetView tabSelected="1" zoomScale="85" zoomScaleNormal="85" workbookViewId="0">
      <pane ySplit="9" topLeftCell="A154" activePane="bottomLeft" state="frozen"/>
      <selection pane="bottomLeft" activeCell="M159" sqref="M159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K2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46258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>
        <v>183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>
        <v>6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25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204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77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353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/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221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>
        <v>185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>
        <v>232</v>
      </c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>
        <v>188</v>
      </c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23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/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/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245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>
        <v>68</v>
      </c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189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295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174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280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109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179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307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300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/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251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67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/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>
        <v>108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174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/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467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289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383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/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СЕРВЕЛАТ КАРЕЛЬСКИЙ в/к в/у 0.28кг_209к</t>
        </is>
      </c>
      <c r="C85" s="50" t="inlineStr">
        <is>
          <t>ШТ</t>
        </is>
      </c>
      <c r="D85" s="51" t="n">
        <v>1001304507236</v>
      </c>
      <c r="E85" s="24" t="n">
        <v>332</v>
      </c>
      <c r="F85" s="23" t="n">
        <v>0.28</v>
      </c>
      <c r="G85" s="23">
        <f>E85*F85</f>
        <v/>
      </c>
      <c r="H85" s="14" t="n">
        <v>2.24</v>
      </c>
      <c r="I85" s="14" t="n">
        <v>45</v>
      </c>
      <c r="J85" s="29" t="n"/>
    </row>
    <row r="86" ht="15.75" customHeight="1" s="104">
      <c r="A86" s="109">
        <f>RIGHT(D86,4)</f>
        <v/>
      </c>
      <c r="B86" s="53" t="inlineStr">
        <is>
          <t>СЫРРРВЕЛАТ Папа может в/к в/у 0.28кг 8шт</t>
        </is>
      </c>
      <c r="C86" s="50" t="inlineStr">
        <is>
          <t>ШТ</t>
        </is>
      </c>
      <c r="D86" s="51" t="n">
        <v>1001307357489</v>
      </c>
      <c r="E86" s="24" t="n"/>
      <c r="F86" s="23" t="n">
        <v>0.28</v>
      </c>
      <c r="G86" s="23">
        <f>E86*F86</f>
        <v/>
      </c>
      <c r="H86" s="14" t="n"/>
      <c r="I86" s="14" t="n"/>
      <c r="J86" s="105" t="inlineStr">
        <is>
          <t>Новинка</t>
        </is>
      </c>
    </row>
    <row r="87" ht="15.75" customHeight="1" s="104">
      <c r="A87" s="109">
        <f>RIGHT(D87,4)</f>
        <v/>
      </c>
      <c r="B87" s="113" t="inlineStr">
        <is>
          <t>СЕРВЕЛАТ КРЕМЛЕВСКИЙ в/к в/у 0.33кг 8шт.</t>
        </is>
      </c>
      <c r="C87" s="50" t="inlineStr">
        <is>
          <t>ШТ</t>
        </is>
      </c>
      <c r="D87" s="51" t="n">
        <v>1001300456787</v>
      </c>
      <c r="E87" s="24" t="n">
        <v>104</v>
      </c>
      <c r="F87" s="23" t="n">
        <v>0.33</v>
      </c>
      <c r="G87" s="23">
        <f>E87*F87</f>
        <v/>
      </c>
      <c r="H87" s="14" t="n">
        <v>2.64</v>
      </c>
      <c r="I87" s="14" t="n">
        <v>45</v>
      </c>
      <c r="J87" s="29" t="n"/>
    </row>
    <row r="88" ht="15.75" customHeight="1" s="104">
      <c r="A88" s="109">
        <f>RIGHT(D88,4)</f>
        <v/>
      </c>
      <c r="B88" s="113" t="inlineStr">
        <is>
          <t>СЕРВЕЛАТ ОХОТНИЧИЙ ПМ в/к в/у_50с</t>
        </is>
      </c>
      <c r="C88" s="50" t="inlineStr">
        <is>
          <t>КГ</t>
        </is>
      </c>
      <c r="D88" s="51" t="n">
        <v>1001303987166</v>
      </c>
      <c r="E88" s="24" t="n"/>
      <c r="F88" s="23" t="n">
        <v>0.7</v>
      </c>
      <c r="G88" s="23">
        <f>E88</f>
        <v/>
      </c>
      <c r="H88" s="14" t="n">
        <v>5.6</v>
      </c>
      <c r="I88" s="14" t="n">
        <v>50</v>
      </c>
      <c r="J88" s="29" t="n"/>
    </row>
    <row r="89" ht="16.5" customHeight="1" s="104">
      <c r="A89" s="109">
        <f>RIGHT(D89,4)</f>
        <v/>
      </c>
      <c r="B89" s="53" t="inlineStr">
        <is>
          <t>СЕРВЕЛАТ ОХОТНИЧИЙ ПМ в/к в/у 0.35кг_50с</t>
        </is>
      </c>
      <c r="C89" s="50" t="inlineStr">
        <is>
          <t>ШТ</t>
        </is>
      </c>
      <c r="D89" s="51" t="n">
        <v>1001303987169</v>
      </c>
      <c r="E89" s="24" t="n">
        <v>37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  <c r="K89" s="27" t="n"/>
    </row>
    <row r="90" ht="16.5" customHeight="1" s="104">
      <c r="A90" s="109">
        <f>RIGHT(D90,4)</f>
        <v/>
      </c>
      <c r="B90" s="53" t="inlineStr">
        <is>
          <t>СЕРВЕЛАТ КОПЧ.НА БУКЕ в/к в/у 0.35кг_50с</t>
        </is>
      </c>
      <c r="C90" s="50" t="inlineStr">
        <is>
          <t>ШТ</t>
        </is>
      </c>
      <c r="D90" s="51" t="n">
        <v>1001304237156</v>
      </c>
      <c r="E90" s="24" t="n"/>
      <c r="F90" s="23" t="n">
        <v>0.35</v>
      </c>
      <c r="G90" s="23">
        <f>E90*F90</f>
        <v/>
      </c>
      <c r="H90" s="14" t="n"/>
      <c r="I90" s="14" t="n"/>
      <c r="J90" s="49" t="n"/>
      <c r="K90" s="27" t="n"/>
    </row>
    <row r="91" ht="16.5" customHeight="1" s="104">
      <c r="A91" s="109">
        <f>RIGHT(D91,4)</f>
        <v/>
      </c>
      <c r="B91" s="53" t="inlineStr">
        <is>
          <t>СЕРВЕЛАТ ФИНСКИЙ в/к в/у_45с</t>
        </is>
      </c>
      <c r="C91" s="50" t="inlineStr">
        <is>
          <t>КГ</t>
        </is>
      </c>
      <c r="D91" s="51" t="n">
        <v>1001051875544</v>
      </c>
      <c r="E91" s="24" t="n">
        <v>69</v>
      </c>
      <c r="F91" s="23" t="n">
        <v>0.8100000000000001</v>
      </c>
      <c r="G91" s="23">
        <f>E91</f>
        <v/>
      </c>
      <c r="H91" s="14" t="n">
        <v>4.86</v>
      </c>
      <c r="I91" s="14" t="n">
        <v>45</v>
      </c>
      <c r="J91" s="49" t="n"/>
    </row>
    <row r="92" ht="16.5" customHeight="1" s="104">
      <c r="A92" s="109">
        <f>RIGHT(D92,4)</f>
        <v/>
      </c>
      <c r="B92" s="53" t="inlineStr">
        <is>
          <t>СЕРВЕЛАТ ФИНСКИЙ ПМ в/к в/у 0.35кг 8шт.</t>
        </is>
      </c>
      <c r="C92" s="50" t="inlineStr">
        <is>
          <t>ШТ</t>
        </is>
      </c>
      <c r="D92" s="51" t="n">
        <v>1001301876697</v>
      </c>
      <c r="E92" s="24" t="n">
        <v>489</v>
      </c>
      <c r="F92" s="23" t="n">
        <v>0.35</v>
      </c>
      <c r="G92" s="23">
        <f>E92*F92</f>
        <v/>
      </c>
      <c r="H92" s="14" t="n">
        <v>2.8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ОРЕХОВЫЙ в/к в/у 0.31кг_209к</t>
        </is>
      </c>
      <c r="C93" s="50" t="inlineStr">
        <is>
          <t>ШТ</t>
        </is>
      </c>
      <c r="D93" s="51" t="n">
        <v>1001305197238</v>
      </c>
      <c r="E93" s="24" t="n"/>
      <c r="F93" s="23" t="n">
        <v>0.31</v>
      </c>
      <c r="G93" s="23">
        <f>E93*F93</f>
        <v/>
      </c>
      <c r="H93" s="14" t="n">
        <v>2.48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НОВОМОСКОВСКАЯ в/к в/у срез 0.31кг</t>
        </is>
      </c>
      <c r="C94" s="50" t="inlineStr">
        <is>
          <t>ШТ</t>
        </is>
      </c>
      <c r="D94" s="51" t="n">
        <v>1001307107516</v>
      </c>
      <c r="E94" s="24" t="n"/>
      <c r="F94" s="23" t="n">
        <v>0.31</v>
      </c>
      <c r="G94" s="23">
        <f>E94*F94</f>
        <v/>
      </c>
      <c r="H94" s="14" t="n"/>
      <c r="I94" s="14" t="n"/>
      <c r="J94" s="49" t="n"/>
    </row>
    <row r="95" ht="16.5" customHeight="1" s="104">
      <c r="A95" s="109">
        <f>RIGHT(D95,4)</f>
        <v/>
      </c>
      <c r="B95" s="53" t="inlineStr">
        <is>
          <t>ВОСКРЕСЕНСКАЯ ВЯЛЕНАЯ в/к в/у срез 1/260</t>
        </is>
      </c>
      <c r="C95" s="50" t="inlineStr">
        <is>
          <t>ШТ</t>
        </is>
      </c>
      <c r="D95" s="51" t="n">
        <v>1001307077513</v>
      </c>
      <c r="E95" s="24" t="n"/>
      <c r="F95" s="23" t="n">
        <v>0.26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ЧЕСНОЧНАЯ ПМ п/к в/у 0.35кг 8шт_50с</t>
        </is>
      </c>
      <c r="C96" s="50" t="inlineStr">
        <is>
          <t>ШТ</t>
        </is>
      </c>
      <c r="D96" s="51" t="n">
        <v>1001302347177</v>
      </c>
      <c r="E96" s="24" t="n"/>
      <c r="F96" s="23" t="n">
        <v>0.35</v>
      </c>
      <c r="G96" s="23">
        <f>E96*F96</f>
        <v/>
      </c>
      <c r="H96" s="14" t="n">
        <v>2.8</v>
      </c>
      <c r="I96" s="14" t="n">
        <v>50</v>
      </c>
      <c r="J96" s="49" t="n"/>
    </row>
    <row r="97" ht="16.5" customHeight="1" s="104">
      <c r="A97" s="109">
        <f>RIGHT(D97,4)</f>
        <v/>
      </c>
      <c r="B97" s="53" t="inlineStr">
        <is>
          <t>БОЯРСКАЯ ПМ п/к в/у 0.28кг_СНГ</t>
        </is>
      </c>
      <c r="C97" s="50" t="inlineStr">
        <is>
          <t>ШТ</t>
        </is>
      </c>
      <c r="D97" s="51" t="n">
        <v>1001301777332</v>
      </c>
      <c r="E97" s="24" t="n">
        <v>279</v>
      </c>
      <c r="F97" s="23" t="n">
        <v>0.28</v>
      </c>
      <c r="G97" s="23">
        <f>E97*F97</f>
        <v/>
      </c>
      <c r="H97" s="14" t="n">
        <v>2.24</v>
      </c>
      <c r="I97" s="14" t="n">
        <v>50</v>
      </c>
      <c r="J97" s="49" t="n"/>
    </row>
    <row r="98" ht="16.5" customHeight="1" s="104">
      <c r="A98" s="109">
        <f>RIGHT(D98,4)</f>
        <v/>
      </c>
      <c r="B98" s="53" t="inlineStr">
        <is>
          <t>СЕРВЕЛАТ ОХОТНИЧИЙ ПМ в/к в/у 0.28кг_СНГ</t>
        </is>
      </c>
      <c r="C98" s="50" t="inlineStr">
        <is>
          <t>ШТ</t>
        </is>
      </c>
      <c r="D98" s="51" t="n">
        <v>1001303987333</v>
      </c>
      <c r="E98" s="24" t="n"/>
      <c r="F98" s="23" t="n">
        <v>0.28</v>
      </c>
      <c r="G98" s="23">
        <f>E98*F98</f>
        <v/>
      </c>
      <c r="H98" s="14" t="n">
        <v>2.24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СЕРВЕЛАТ ШВЕЙЦАРСК.в/к с/н в/у 1/100_Л11</t>
        </is>
      </c>
      <c r="C99" s="50" t="inlineStr">
        <is>
          <t>ШТ</t>
        </is>
      </c>
      <c r="D99" s="51" t="n">
        <v>1001304197608</v>
      </c>
      <c r="E99" s="24" t="n">
        <v>52</v>
      </c>
      <c r="F99" s="23" t="n">
        <v>0.1</v>
      </c>
      <c r="G99" s="23">
        <f>E99*F99</f>
        <v/>
      </c>
      <c r="H99" s="14" t="n">
        <v>1</v>
      </c>
      <c r="I99" s="14" t="n">
        <v>45</v>
      </c>
      <c r="J99" s="52" t="inlineStr">
        <is>
          <t>Ротация кода 6459</t>
        </is>
      </c>
    </row>
    <row r="100" ht="16.5" customHeight="1" s="104" thickBot="1">
      <c r="A100" s="109">
        <f>RIGHT(D100,4)</f>
        <v/>
      </c>
      <c r="B100" s="53" t="inlineStr">
        <is>
          <t>СЕРВЕЛАТ БАВАРСКИЙ в/к с/н в/у 1/100_Л11</t>
        </is>
      </c>
      <c r="C100" s="50" t="inlineStr">
        <is>
          <t>ШТ</t>
        </is>
      </c>
      <c r="D100" s="51" t="n">
        <v>1001306717610</v>
      </c>
      <c r="E100" s="24" t="n"/>
      <c r="F100" s="23" t="n">
        <v>0.1</v>
      </c>
      <c r="G100" s="23">
        <f>E100*F100</f>
        <v/>
      </c>
      <c r="H100" s="14" t="n">
        <v>1</v>
      </c>
      <c r="I100" s="14" t="n">
        <v>45</v>
      </c>
      <c r="J100" s="52" t="inlineStr">
        <is>
          <t>Ротация кода 7474</t>
        </is>
      </c>
    </row>
    <row r="101" ht="16.5" customHeight="1" s="104" thickBot="1" thickTop="1">
      <c r="A101" s="47" t="inlineStr"/>
      <c r="B101" s="42" t="inlineStr">
        <is>
          <t>Сырокопченые колбасы</t>
        </is>
      </c>
      <c r="C101" s="42" t="n"/>
      <c r="D101" s="42" t="n"/>
      <c r="E101" s="42" t="n"/>
      <c r="F101" s="41" t="n"/>
      <c r="G101" s="42" t="n"/>
      <c r="H101" s="42" t="n"/>
      <c r="I101" s="42" t="n"/>
      <c r="J101" s="43" t="n"/>
    </row>
    <row r="102" ht="16.5" customHeight="1" s="104" thickTop="1">
      <c r="A102" s="109">
        <f>RIGHT(D102,4)</f>
        <v/>
      </c>
      <c r="B102" s="53" t="inlineStr">
        <is>
          <t>АРОМАТНАЯ с/к в/у 1/250 8шт.</t>
        </is>
      </c>
      <c r="C102" s="50" t="inlineStr">
        <is>
          <t>ШТ</t>
        </is>
      </c>
      <c r="D102" s="51" t="n">
        <v>1001061973986</v>
      </c>
      <c r="E102" s="24" t="n">
        <v>22</v>
      </c>
      <c r="F102" s="111" t="n">
        <v>0.25</v>
      </c>
      <c r="G102" s="23">
        <f>E102*F102</f>
        <v/>
      </c>
      <c r="H102" s="114" t="n">
        <v>2</v>
      </c>
      <c r="I102" s="115" t="n">
        <v>120</v>
      </c>
      <c r="J102" s="29" t="n"/>
    </row>
    <row r="103" ht="16.5" customHeight="1" s="104">
      <c r="A103" s="109">
        <f>RIGHT(D103,4)</f>
        <v/>
      </c>
      <c r="B103" s="53" t="inlineStr">
        <is>
          <t>ОХОТНИЧЬЯ Папа может с/к в/у 1/220 8шт.</t>
        </is>
      </c>
      <c r="C103" s="50" t="inlineStr">
        <is>
          <t>ШТ</t>
        </is>
      </c>
      <c r="D103" s="51" t="n">
        <v>1001060755931</v>
      </c>
      <c r="E103" s="24" t="n"/>
      <c r="F103" s="23" t="n">
        <v>0.22</v>
      </c>
      <c r="G103" s="23">
        <f>E103*F103</f>
        <v/>
      </c>
      <c r="H103" s="97" t="n">
        <v>1.76</v>
      </c>
      <c r="I103" s="14" t="n">
        <v>120</v>
      </c>
      <c r="J103" s="29" t="n"/>
    </row>
    <row r="104" ht="16.5" customHeight="1" s="104">
      <c r="A104" s="109">
        <f>RIGHT(D104,4)</f>
        <v/>
      </c>
      <c r="B104" s="53" t="inlineStr">
        <is>
          <t>ПОСОЛЬСКАЯ Папа может с/к в/у</t>
        </is>
      </c>
      <c r="C104" s="50" t="inlineStr">
        <is>
          <t>КГ</t>
        </is>
      </c>
      <c r="D104" s="51" t="n">
        <v>1001063145708</v>
      </c>
      <c r="E104" s="24" t="n"/>
      <c r="F104" s="23" t="n">
        <v>0.5</v>
      </c>
      <c r="G104" s="23">
        <f>E104</f>
        <v/>
      </c>
      <c r="H104" s="14" t="n">
        <v>4</v>
      </c>
      <c r="I104" s="14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САЛЯМИ ИТАЛЬЯНСКАЯ с/к в/у</t>
        </is>
      </c>
      <c r="C105" s="50" t="inlineStr">
        <is>
          <t>КГ</t>
        </is>
      </c>
      <c r="D105" s="51" t="n">
        <v>1001060763287</v>
      </c>
      <c r="E105" s="24" t="n"/>
      <c r="F105" s="23" t="n">
        <v>0.488</v>
      </c>
      <c r="G105" s="23">
        <f>E105</f>
        <v/>
      </c>
      <c r="H105" s="14" t="n">
        <v>3.9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САЛЯМИ ИТАЛЬЯНСКАЯ с/к в/у 1/250*8_120с</t>
        </is>
      </c>
      <c r="C106" s="50" t="inlineStr">
        <is>
          <t>ШТ</t>
        </is>
      </c>
      <c r="D106" s="51" t="n">
        <v>1001060764993</v>
      </c>
      <c r="E106" s="24" t="n"/>
      <c r="F106" s="23" t="n">
        <v>0.25</v>
      </c>
      <c r="G106" s="23">
        <f>E106*F106</f>
        <v/>
      </c>
      <c r="H106" s="14" t="n">
        <v>2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ЭКСТРА Папа может с/к в/у 1/250 8шт.</t>
        </is>
      </c>
      <c r="C107" s="50" t="inlineStr">
        <is>
          <t>ШТ</t>
        </is>
      </c>
      <c r="D107" s="51" t="n">
        <v>1001062505483</v>
      </c>
      <c r="E107" s="24" t="n"/>
      <c r="F107" s="23" t="n">
        <v>0.25</v>
      </c>
      <c r="G107" s="23">
        <f>E107*F107</f>
        <v/>
      </c>
      <c r="H107" s="14" t="n">
        <v>2</v>
      </c>
      <c r="I107" s="14" t="n">
        <v>120</v>
      </c>
      <c r="J107" s="29" t="n"/>
    </row>
    <row r="108" ht="16.15" customHeight="1" s="104">
      <c r="A108" s="109">
        <f>RIGHT(D108,4)</f>
        <v/>
      </c>
      <c r="B108" s="53" t="inlineStr">
        <is>
          <t>ЭКСТРА Папа может с/к в/у_Л</t>
        </is>
      </c>
      <c r="C108" s="50" t="inlineStr">
        <is>
          <t>КГ</t>
        </is>
      </c>
      <c r="D108" s="51" t="n">
        <v>1001062504117</v>
      </c>
      <c r="E108" s="24" t="n"/>
      <c r="F108" s="23" t="n">
        <v>0.494</v>
      </c>
      <c r="G108" s="23">
        <f>E108</f>
        <v/>
      </c>
      <c r="H108" s="14" t="n">
        <v>3.95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ПРАЗДНИЧНАЯ с/к в/с дек.спец.мгс</t>
        </is>
      </c>
      <c r="C109" s="50" t="inlineStr">
        <is>
          <t>КГ</t>
        </is>
      </c>
      <c r="D109" s="51" t="n">
        <v>1001060720614</v>
      </c>
      <c r="E109" s="24" t="n"/>
      <c r="F109" s="23" t="n">
        <v>0.52</v>
      </c>
      <c r="G109" s="23">
        <f>E109</f>
        <v/>
      </c>
      <c r="H109" s="14" t="n">
        <v>3.64</v>
      </c>
      <c r="I109" s="14" t="n">
        <v>120</v>
      </c>
      <c r="J109" s="29" t="n"/>
      <c r="K109" s="27" t="n"/>
    </row>
    <row r="110" ht="16.15" customHeight="1" s="104">
      <c r="A110" s="109">
        <f>RIGHT(D110,4)</f>
        <v/>
      </c>
      <c r="B110" s="53" t="inlineStr">
        <is>
          <t>БУРГУНДИЯ Папа может с/к в/у 1/250 8шт.</t>
        </is>
      </c>
      <c r="C110" s="50" t="inlineStr">
        <is>
          <t>ШТ</t>
        </is>
      </c>
      <c r="D110" s="51" t="n">
        <v>1001063656967</v>
      </c>
      <c r="E110" s="24" t="n">
        <v>65</v>
      </c>
      <c r="F110" s="23" t="n">
        <v>0.25</v>
      </c>
      <c r="G110" s="23">
        <f>E110*F110</f>
        <v/>
      </c>
      <c r="H110" s="14" t="n">
        <v>2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САЛЯМИ Папа может с/к в/у 1/250 8шт.</t>
        </is>
      </c>
      <c r="C111" s="50" t="inlineStr">
        <is>
          <t>ШТ</t>
        </is>
      </c>
      <c r="D111" s="51" t="n">
        <v>1001063106937</v>
      </c>
      <c r="E111" s="24" t="n"/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БРАУНШВЕЙГСКАЯ ГОСТ с/к в/у 1/220 8шт.</t>
        </is>
      </c>
      <c r="C112" s="50" t="inlineStr">
        <is>
          <t>ШТ</t>
        </is>
      </c>
      <c r="D112" s="51" t="n">
        <v>1001060717143</v>
      </c>
      <c r="E112" s="24" t="n"/>
      <c r="F112" s="23" t="n">
        <v>0.22</v>
      </c>
      <c r="G112" s="23">
        <f>E112*F112</f>
        <v/>
      </c>
      <c r="H112" s="14" t="n">
        <v>1.76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САЛЬЧИЧОН Останкино с/к в/у 1/220 8шт.</t>
        </is>
      </c>
      <c r="C113" s="50" t="inlineStr">
        <is>
          <t>ШТ</t>
        </is>
      </c>
      <c r="D113" s="51" t="n">
        <v>1001063237147</v>
      </c>
      <c r="E113" s="24" t="n"/>
      <c r="F113" s="23" t="n">
        <v>0.22</v>
      </c>
      <c r="G113" s="23">
        <f>E113*F113</f>
        <v/>
      </c>
      <c r="H113" s="14" t="n">
        <v>1.76</v>
      </c>
      <c r="I113" s="14" t="n">
        <v>120</v>
      </c>
      <c r="J113" s="29" t="n"/>
      <c r="K113" s="27" t="n"/>
    </row>
    <row r="114" ht="16.5" customHeight="1" s="104">
      <c r="A114" s="109">
        <f>RIGHT(D114,4)</f>
        <v/>
      </c>
      <c r="B114" s="53" t="inlineStr">
        <is>
          <t>САЛЯМИ ФИНСКАЯ Папа может с/к в/у 1/150</t>
        </is>
      </c>
      <c r="C114" s="50" t="inlineStr">
        <is>
          <t>ШТ</t>
        </is>
      </c>
      <c r="D114" s="51" t="n">
        <v>1001063097456</v>
      </c>
      <c r="E114" s="24" t="n"/>
      <c r="F114" s="23" t="n">
        <v>0.15</v>
      </c>
      <c r="G114" s="23">
        <f>E114*F114</f>
        <v/>
      </c>
      <c r="H114" s="14" t="n">
        <v>1.8</v>
      </c>
      <c r="I114" s="14" t="n">
        <v>90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ЧОРИЗО Останкино с/к в/у 1/220 8шт.</t>
        </is>
      </c>
      <c r="C115" s="50" t="inlineStr">
        <is>
          <t>ШТ</t>
        </is>
      </c>
      <c r="D115" s="51" t="n">
        <v>1001063217364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90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САН-РЕМО Останкино с/в в/у 1/220 8шт.</t>
        </is>
      </c>
      <c r="C116" s="50" t="inlineStr">
        <is>
          <t>ШТ</t>
        </is>
      </c>
      <c r="D116" s="51" t="n">
        <v>1001065467383</v>
      </c>
      <c r="E116" s="24" t="n"/>
      <c r="F116" s="23" t="n">
        <v>0.22</v>
      </c>
      <c r="G116" s="23">
        <f>E116*F116</f>
        <v/>
      </c>
      <c r="H116" s="14" t="n">
        <v>1.76</v>
      </c>
      <c r="I116" s="14" t="n">
        <v>90</v>
      </c>
      <c r="J116" s="29" t="n"/>
    </row>
    <row r="117" ht="16.5" customHeight="1" s="104">
      <c r="A117" s="109">
        <f>RIGHT(D117,4)</f>
        <v/>
      </c>
      <c r="B117" s="53" t="inlineStr">
        <is>
          <t>ПРЕСИЖН с/к дек.спец. мгс 0.54кг</t>
        </is>
      </c>
      <c r="C117" s="50" t="inlineStr">
        <is>
          <t>ШТ</t>
        </is>
      </c>
      <c r="D117" s="51" t="n">
        <v>1001066567317</v>
      </c>
      <c r="E117" s="24" t="n"/>
      <c r="F117" s="23" t="n">
        <v>0.54</v>
      </c>
      <c r="G117" s="23">
        <f>E117*F117</f>
        <v/>
      </c>
      <c r="H117" s="14" t="n">
        <v>3.78</v>
      </c>
      <c r="I117" s="14" t="n">
        <v>120</v>
      </c>
      <c r="J117" s="29" t="n"/>
      <c r="K117" s="27" t="n"/>
    </row>
    <row r="118" ht="15.75" customHeight="1" s="104">
      <c r="A118" s="109">
        <f>RIGHT(D118,4)</f>
        <v/>
      </c>
      <c r="B118" s="53" t="inlineStr">
        <is>
          <t>ПРАЗДНИЧНАЯ с/к в/с дек.спец. мгс 1/270</t>
        </is>
      </c>
      <c r="C118" s="50" t="inlineStr">
        <is>
          <t>ШТ</t>
        </is>
      </c>
      <c r="D118" s="51" t="n">
        <v>1001060727318</v>
      </c>
      <c r="E118" s="24" t="n"/>
      <c r="F118" s="23" t="n">
        <v>0.27</v>
      </c>
      <c r="G118" s="23">
        <f>E118*F118</f>
        <v/>
      </c>
      <c r="H118" s="14" t="n">
        <v>2.16</v>
      </c>
      <c r="I118" s="14" t="n">
        <v>120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ПРАЗДНИЧНАЯ с/к в/с дек.спец. мгс 0.54кг</t>
        </is>
      </c>
      <c r="C119" s="50" t="inlineStr">
        <is>
          <t>ШТ</t>
        </is>
      </c>
      <c r="D119" s="51" t="n">
        <v>1001060727316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АССОРТИ СЫРОКОПЧЕНЫХ КОЛБАС Коровино в/у</t>
        </is>
      </c>
      <c r="C120" s="50" t="inlineStr">
        <is>
          <t>КГ</t>
        </is>
      </c>
      <c r="D120" s="51" t="n">
        <v>1001065616832</v>
      </c>
      <c r="E120" s="24" t="n"/>
      <c r="F120" s="23" t="n">
        <v>0.215</v>
      </c>
      <c r="G120" s="23">
        <f>E120</f>
        <v/>
      </c>
      <c r="H120" s="14" t="n">
        <v>2.15</v>
      </c>
      <c r="I120" s="14" t="n">
        <v>30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НАБОР ДЛЯ ПИЦЦЫ Папа Может с/к в/у</t>
        </is>
      </c>
      <c r="C121" s="50" t="inlineStr">
        <is>
          <t>КГ</t>
        </is>
      </c>
      <c r="D121" s="51" t="n">
        <v>1001060677299</v>
      </c>
      <c r="E121" s="24" t="n"/>
      <c r="F121" s="23" t="n">
        <v>0.215</v>
      </c>
      <c r="G121" s="23">
        <f>E121</f>
        <v/>
      </c>
      <c r="H121" s="14" t="n">
        <v>2.15</v>
      </c>
      <c r="I121" s="14" t="n">
        <v>30</v>
      </c>
      <c r="J121" s="29" t="n"/>
      <c r="K121" s="27" t="n"/>
    </row>
    <row r="122" ht="16.5" customHeight="1" s="104">
      <c r="A122" s="109">
        <f>RIGHT(D122,4)</f>
        <v/>
      </c>
      <c r="B122" s="53" t="inlineStr">
        <is>
          <t>БАРСЕЛОНА ПМ с/к в/у 1/150</t>
        </is>
      </c>
      <c r="C122" s="50" t="inlineStr">
        <is>
          <t>ШТ</t>
        </is>
      </c>
      <c r="D122" s="51" t="n">
        <v>1001067017386</v>
      </c>
      <c r="E122" s="24" t="n"/>
      <c r="F122" s="23" t="n">
        <v>0.15</v>
      </c>
      <c r="G122" s="23">
        <f>E122*F122</f>
        <v/>
      </c>
      <c r="H122" s="14" t="n">
        <v>1.35</v>
      </c>
      <c r="I122" s="14" t="n">
        <v>90</v>
      </c>
      <c r="J122" s="29" t="n"/>
    </row>
    <row r="123" ht="16.5" customHeight="1" s="104">
      <c r="A123" s="109">
        <f>RIGHT(D123,4)</f>
        <v/>
      </c>
      <c r="B123" s="53" t="inlineStr">
        <is>
          <t>АРОМАТНАЯ с/к с/н в/у 1/100 10шт_Л10 (7613)</t>
        </is>
      </c>
      <c r="C123" s="50" t="inlineStr">
        <is>
          <t>ШТ</t>
        </is>
      </c>
      <c r="D123" s="51" t="n">
        <v>1001061977613</v>
      </c>
      <c r="E123" s="24" t="n">
        <v>83</v>
      </c>
      <c r="F123" s="23" t="n">
        <v>0.1</v>
      </c>
      <c r="G123" s="23">
        <f>E123*F123</f>
        <v/>
      </c>
      <c r="H123" s="14" t="n">
        <v>1</v>
      </c>
      <c r="I123" s="14" t="n">
        <v>60</v>
      </c>
      <c r="J123" s="52" t="inlineStr">
        <is>
          <t>Ротация кода 6454</t>
        </is>
      </c>
    </row>
    <row r="124" ht="16.5" customHeight="1" s="104">
      <c r="A124" s="109">
        <f>RIGHT(D124,4)</f>
        <v/>
      </c>
      <c r="B124" s="53" t="inlineStr">
        <is>
          <t>САЛЯМИ МЕЛКОЗЕРНЕНАЯ с/к в/у 1/120 8шт.</t>
        </is>
      </c>
      <c r="C124" s="50" t="inlineStr">
        <is>
          <t>ШТ</t>
        </is>
      </c>
      <c r="D124" s="51" t="n">
        <v>1001203117382</v>
      </c>
      <c r="E124" s="24" t="n"/>
      <c r="F124" s="23" t="n">
        <v>0.12</v>
      </c>
      <c r="G124" s="23">
        <f>E124*F124</f>
        <v/>
      </c>
      <c r="H124" s="14" t="n">
        <v>0.96</v>
      </c>
      <c r="I124" s="14" t="n">
        <v>60</v>
      </c>
      <c r="J124" s="29" t="n"/>
    </row>
    <row r="125" ht="16.5" customHeight="1" s="104">
      <c r="A125" s="109">
        <f>RIGHT(D125,4)</f>
        <v/>
      </c>
      <c r="B125" s="53" t="inlineStr">
        <is>
          <t>ЭКСТРА Папа может с/к с/н в/у 1/100_Л10</t>
        </is>
      </c>
      <c r="C125" s="50" t="inlineStr">
        <is>
          <t>ШТ</t>
        </is>
      </c>
      <c r="D125" s="51" t="n">
        <v>1001062507616</v>
      </c>
      <c r="E125" s="24" t="n">
        <v>127</v>
      </c>
      <c r="F125" s="23" t="n">
        <v>0.1</v>
      </c>
      <c r="G125" s="23">
        <f>E125*F125</f>
        <v/>
      </c>
      <c r="H125" s="14" t="n">
        <v>1.4</v>
      </c>
      <c r="I125" s="14" t="n">
        <v>60</v>
      </c>
      <c r="J125" s="52" t="inlineStr">
        <is>
          <t>Ротация кода 6453</t>
        </is>
      </c>
    </row>
    <row r="126" ht="16.5" customHeight="1" s="104">
      <c r="A126" s="109">
        <f>RIGHT(D126,4)</f>
        <v/>
      </c>
      <c r="B126" s="53" t="inlineStr">
        <is>
          <t>НЕАПОЛИТАНСКИЙ ДУЭТ с/к с/н мгс 1/90</t>
        </is>
      </c>
      <c r="C126" s="50" t="inlineStr">
        <is>
          <t>ШТ</t>
        </is>
      </c>
      <c r="D126" s="51" t="n">
        <v>1001205376221</v>
      </c>
      <c r="E126" s="24" t="n">
        <v>91</v>
      </c>
      <c r="F126" s="23" t="n">
        <v>0.09</v>
      </c>
      <c r="G126" s="23">
        <f>E126*F126</f>
        <v/>
      </c>
      <c r="H126" s="14" t="n">
        <v>0.9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ИТАЛЬЯНСКОЕ АССОРТИ с/в с/н мгс 1/90</t>
        </is>
      </c>
      <c r="C127" s="50" t="inlineStr">
        <is>
          <t>ШТ</t>
        </is>
      </c>
      <c r="D127" s="51" t="n">
        <v>1001205386222</v>
      </c>
      <c r="E127" s="24" t="n"/>
      <c r="F127" s="23" t="n">
        <v>0.09</v>
      </c>
      <c r="G127" s="23">
        <f>E127*F127</f>
        <v/>
      </c>
      <c r="H127" s="14" t="n">
        <v>0.9</v>
      </c>
      <c r="I127" s="14" t="n">
        <v>60</v>
      </c>
      <c r="J127" s="29" t="n"/>
    </row>
    <row r="128" ht="16.5" customHeight="1" s="104">
      <c r="A128" s="109">
        <f>RIGHT(D128,4)</f>
        <v/>
      </c>
      <c r="B128" s="53" t="inlineStr">
        <is>
          <t>САЛЯМИ ИТАЛЬЯНСКАЯ с/к в/у 1/150_60с</t>
        </is>
      </c>
      <c r="C128" s="50" t="inlineStr">
        <is>
          <t>ШТ</t>
        </is>
      </c>
      <c r="D128" s="51" t="n">
        <v>1001190765679</v>
      </c>
      <c r="E128" s="24" t="n"/>
      <c r="F128" s="23" t="n">
        <v>0.15</v>
      </c>
      <c r="G128" s="23">
        <f>E128*F128</f>
        <v/>
      </c>
      <c r="H128" s="14" t="n">
        <v>1.2</v>
      </c>
      <c r="I128" s="14" t="n">
        <v>60</v>
      </c>
      <c r="J128" s="29" t="n"/>
    </row>
    <row r="129" ht="16.5" customHeight="1" s="104" thickBot="1">
      <c r="A129" s="109">
        <f>RIGHT(D129,4)</f>
        <v/>
      </c>
      <c r="B129" s="53" t="inlineStr">
        <is>
          <t>БРАУНШВЕЙГСКАЯ с/к с/н мгс 1/100_Л10</t>
        </is>
      </c>
      <c r="C129" s="50" t="inlineStr">
        <is>
          <t>ШТ</t>
        </is>
      </c>
      <c r="D129" s="51" t="n">
        <v>1001066607626</v>
      </c>
      <c r="E129" s="24" t="n"/>
      <c r="F129" s="23" t="n">
        <v>0.1</v>
      </c>
      <c r="G129" s="23">
        <f>E129*F129</f>
        <v/>
      </c>
      <c r="H129" s="14" t="n">
        <v>1</v>
      </c>
      <c r="I129" s="14" t="n">
        <v>60</v>
      </c>
      <c r="J129" s="52" t="inlineStr">
        <is>
          <t>Ротация кода 5677</t>
        </is>
      </c>
    </row>
    <row r="130" ht="16.5" customHeight="1" s="104" thickBot="1" thickTop="1">
      <c r="A130" s="47" t="inlineStr"/>
      <c r="B130" s="42" t="inlineStr">
        <is>
          <t>Ветчины</t>
        </is>
      </c>
      <c r="C130" s="42" t="n"/>
      <c r="D130" s="42" t="n"/>
      <c r="E130" s="42" t="n"/>
      <c r="F130" s="41" t="n"/>
      <c r="G130" s="42" t="n"/>
      <c r="H130" s="42" t="n"/>
      <c r="I130" s="42" t="n"/>
      <c r="J130" s="43" t="n"/>
    </row>
    <row r="131" ht="16.5" customHeight="1" s="104" thickTop="1">
      <c r="A131" s="109">
        <f>RIGHT(D131,4)</f>
        <v/>
      </c>
      <c r="B131" s="98" t="inlineStr">
        <is>
          <t xml:space="preserve">ВЕТЧ.ИЗ ЛОПАТКИ Папа может п/о_HRC </t>
        </is>
      </c>
      <c r="C131" s="50" t="inlineStr">
        <is>
          <t>КГ</t>
        </is>
      </c>
      <c r="D131" s="116" t="n">
        <v>1001092674584</v>
      </c>
      <c r="E131" s="24" t="n"/>
      <c r="F131" s="23" t="n">
        <v>2.5</v>
      </c>
      <c r="G131" s="23">
        <f>E131</f>
        <v/>
      </c>
      <c r="H131" s="14" t="n">
        <v>7.5</v>
      </c>
      <c r="I131" s="14" t="n">
        <v>60</v>
      </c>
      <c r="J131" s="29" t="n"/>
    </row>
    <row r="132" ht="16.5" customHeight="1" s="104">
      <c r="A132" s="109">
        <f>RIGHT(D132,4)</f>
        <v/>
      </c>
      <c r="B132" s="98" t="inlineStr">
        <is>
          <t>ВЕТЧ.МРАМОРНАЯ в/у срез 0.3кг 6шт_45с</t>
        </is>
      </c>
      <c r="C132" s="50" t="inlineStr">
        <is>
          <t>ШТ</t>
        </is>
      </c>
      <c r="D132" s="51" t="n">
        <v>1001092436495</v>
      </c>
      <c r="E132" s="24" t="n"/>
      <c r="F132" s="111" t="n">
        <v>0.3</v>
      </c>
      <c r="G132" s="23">
        <f>E132*F132</f>
        <v/>
      </c>
      <c r="H132" s="29" t="n">
        <v>1.8</v>
      </c>
      <c r="I132" s="29" t="n">
        <v>45</v>
      </c>
      <c r="J132" s="29" t="n"/>
    </row>
    <row r="133" ht="16.5" customHeight="1" s="104">
      <c r="A133" s="109">
        <f>RIGHT(D133,4)</f>
        <v/>
      </c>
      <c r="B133" s="117" t="inlineStr">
        <is>
          <t>ВЕТЧ.МРАМОРНАЯ в/у_45с</t>
        </is>
      </c>
      <c r="C133" s="50" t="inlineStr">
        <is>
          <t>КГ</t>
        </is>
      </c>
      <c r="D133" s="51" t="n">
        <v>1001092436470</v>
      </c>
      <c r="E133" s="24" t="n"/>
      <c r="F133" s="111" t="n">
        <v>1.2</v>
      </c>
      <c r="G133" s="23">
        <f>E133</f>
        <v/>
      </c>
      <c r="H133" s="29" t="n">
        <v>4.8</v>
      </c>
      <c r="I133" s="29" t="n">
        <v>45</v>
      </c>
      <c r="J133" s="29" t="n"/>
    </row>
    <row r="134" ht="15.75" customHeight="1" s="104">
      <c r="A134" s="109">
        <f>RIGHT(D134,4)</f>
        <v/>
      </c>
      <c r="B134" s="117" t="inlineStr">
        <is>
          <t>ВЕТЧ.МЯСНАЯ Папа может п/о</t>
        </is>
      </c>
      <c r="C134" s="50" t="inlineStr">
        <is>
          <t>КГ</t>
        </is>
      </c>
      <c r="D134" s="51" t="n">
        <v>1001092485452</v>
      </c>
      <c r="E134" s="24" t="n">
        <v>87</v>
      </c>
      <c r="F134" s="111" t="n">
        <v>1.35</v>
      </c>
      <c r="G134" s="23">
        <f>E134</f>
        <v/>
      </c>
      <c r="H134" s="29" t="n">
        <v>4.05</v>
      </c>
      <c r="I134" s="29" t="n">
        <v>60</v>
      </c>
      <c r="J134" s="29" t="n"/>
    </row>
    <row r="135">
      <c r="A135" s="109">
        <f>RIGHT(D135,4)</f>
        <v/>
      </c>
      <c r="B135" s="117" t="inlineStr">
        <is>
          <t>ВЕТЧ.МЯСНАЯ Папа может п/о 0.4кг 8шт.</t>
        </is>
      </c>
      <c r="C135" s="50" t="inlineStr">
        <is>
          <t>ШТ</t>
        </is>
      </c>
      <c r="D135" s="51" t="n">
        <v>1001094053215</v>
      </c>
      <c r="E135" s="24" t="n">
        <v>234</v>
      </c>
      <c r="F135" s="111" t="n">
        <v>0.4</v>
      </c>
      <c r="G135" s="23">
        <f>E135*F135</f>
        <v/>
      </c>
      <c r="H135" s="29" t="n">
        <v>3.2</v>
      </c>
      <c r="I135" s="29" t="n">
        <v>60</v>
      </c>
      <c r="J135" s="29" t="n"/>
    </row>
    <row r="136">
      <c r="A136" s="109">
        <f>RIGHT(D136,4)</f>
        <v/>
      </c>
      <c r="B136" s="117" t="inlineStr">
        <is>
          <t>ВЕТЧ.НЕЖНАЯ Коровино п/о_Маяк</t>
        </is>
      </c>
      <c r="C136" s="50" t="inlineStr">
        <is>
          <t>КГ</t>
        </is>
      </c>
      <c r="D136" s="51" t="n">
        <v>1001095716866</v>
      </c>
      <c r="E136" s="24" t="n">
        <v>88</v>
      </c>
      <c r="F136" s="111" t="n">
        <v>1.5</v>
      </c>
      <c r="G136" s="23">
        <f>E136</f>
        <v/>
      </c>
      <c r="H136" s="29" t="n">
        <v>6</v>
      </c>
      <c r="I136" s="29" t="n">
        <v>60</v>
      </c>
      <c r="J136" s="29" t="n"/>
    </row>
    <row r="137">
      <c r="A137" s="109">
        <f>RIGHT(D137,4)</f>
        <v/>
      </c>
      <c r="B137" s="53" t="inlineStr">
        <is>
          <t>ВЕТЧ.С ИНДЕЙКОЙ Папа может п/о 400*6</t>
        </is>
      </c>
      <c r="C137" s="50" t="inlineStr">
        <is>
          <t>ШТ</t>
        </is>
      </c>
      <c r="D137" s="110" t="n">
        <v>1001093345495</v>
      </c>
      <c r="E137" s="24" t="n">
        <v>229</v>
      </c>
      <c r="F137" s="111" t="n">
        <v>0.4</v>
      </c>
      <c r="G137" s="23">
        <f>E137*F137</f>
        <v/>
      </c>
      <c r="H137" s="29" t="n">
        <v>2.4</v>
      </c>
      <c r="I137" s="29" t="n">
        <v>60</v>
      </c>
      <c r="J137" s="29" t="n"/>
    </row>
    <row r="138">
      <c r="A138" s="109">
        <f>RIGHT(D138,4)</f>
        <v/>
      </c>
      <c r="B138" s="53" t="inlineStr">
        <is>
          <t>ВЕТЧ.С ИНДЕЙКОЙ ПМ в/у срез 0.3кг 6шт.</t>
        </is>
      </c>
      <c r="C138" s="50" t="inlineStr">
        <is>
          <t>ШТ</t>
        </is>
      </c>
      <c r="D138" s="110" t="n">
        <v>1001095027377</v>
      </c>
      <c r="E138" s="24" t="n"/>
      <c r="F138" s="111" t="n">
        <v>0.3</v>
      </c>
      <c r="G138" s="23">
        <f>E138*F138</f>
        <v/>
      </c>
      <c r="H138" s="29" t="n">
        <v>1.8</v>
      </c>
      <c r="I138" s="29" t="n">
        <v>45</v>
      </c>
      <c r="J138" s="29" t="n"/>
    </row>
    <row r="139">
      <c r="A139" s="109">
        <f>RIGHT(D139,4)</f>
        <v/>
      </c>
      <c r="B139" s="53" t="inlineStr">
        <is>
          <t>ВЕТЧ.РУБЛЕНАЯ ПМ в/у срез 0.3кг 6шт.</t>
        </is>
      </c>
      <c r="C139" s="50" t="inlineStr">
        <is>
          <t>ШТ</t>
        </is>
      </c>
      <c r="D139" s="110" t="n">
        <v>1001093316411</v>
      </c>
      <c r="E139" s="24" t="n"/>
      <c r="F139" s="111" t="n">
        <v>0.3</v>
      </c>
      <c r="G139" s="23">
        <f>E139*F139</f>
        <v/>
      </c>
      <c r="H139" s="29" t="n"/>
      <c r="I139" s="29" t="n"/>
      <c r="J139" s="29" t="n"/>
    </row>
    <row r="140">
      <c r="A140" s="109">
        <f>RIGHT(D140,4)</f>
        <v/>
      </c>
      <c r="B140" s="53" t="inlineStr">
        <is>
          <t xml:space="preserve">ВЕТЧ.КЛАССИЧЕСКАЯ в/у 0.6кг 8шт. </t>
        </is>
      </c>
      <c r="C140" s="50" t="inlineStr">
        <is>
          <t>ШТ</t>
        </is>
      </c>
      <c r="D140" s="110" t="n">
        <v>1001095226925</v>
      </c>
      <c r="E140" s="24" t="n"/>
      <c r="F140" s="111" t="n">
        <v>0.6</v>
      </c>
      <c r="G140" s="23">
        <f>E140*F140</f>
        <v/>
      </c>
      <c r="H140" s="29" t="n">
        <v>4.8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ВЕТЧ.ФИРМЕННАЯ С ИНДЕЙКОЙ п/о</t>
        </is>
      </c>
      <c r="C141" s="50" t="inlineStr">
        <is>
          <t>КГ</t>
        </is>
      </c>
      <c r="D141" s="110" t="n">
        <v>1001094966025</v>
      </c>
      <c r="E141" s="24" t="n"/>
      <c r="F141" s="111" t="n">
        <v>3</v>
      </c>
      <c r="G141" s="23">
        <f>E141</f>
        <v/>
      </c>
      <c r="H141" s="29" t="n">
        <v>6</v>
      </c>
      <c r="I141" s="29" t="n">
        <v>60</v>
      </c>
      <c r="J141" s="29" t="n"/>
    </row>
    <row r="142">
      <c r="A142" s="109">
        <f>RIGHT(D142,4)</f>
        <v/>
      </c>
      <c r="B142" s="53" t="inlineStr">
        <is>
          <t>КАРБОНAД ДОМАШНИЙ ПМ к/в кр/к в/у</t>
        </is>
      </c>
      <c r="C142" s="50" t="inlineStr">
        <is>
          <t>КГ</t>
        </is>
      </c>
      <c r="D142" s="110" t="n">
        <v>1001085476929</v>
      </c>
      <c r="E142" s="24" t="n"/>
      <c r="F142" s="111" t="n"/>
      <c r="G142" s="23">
        <f>E142</f>
        <v/>
      </c>
      <c r="H142" s="29" t="n"/>
      <c r="I142" s="29" t="n"/>
      <c r="J142" s="29" t="n"/>
    </row>
    <row r="143">
      <c r="A143" s="109">
        <f>RIGHT(D143,4)</f>
        <v/>
      </c>
      <c r="B143" s="53" t="inlineStr">
        <is>
          <t>РИЕТ МЯСНОЙ С ГРИБАМИ ПМ п/о 1/150</t>
        </is>
      </c>
      <c r="C143" s="50" t="inlineStr">
        <is>
          <t>ШТ</t>
        </is>
      </c>
      <c r="D143" s="110" t="n">
        <v>1001107397485</v>
      </c>
      <c r="E143" s="24" t="n"/>
      <c r="F143" s="111" t="n">
        <v>0.15</v>
      </c>
      <c r="G143" s="23">
        <f>F143*E143</f>
        <v/>
      </c>
      <c r="H143" s="29" t="n"/>
      <c r="I143" s="29" t="n"/>
      <c r="J143" s="105" t="inlineStr">
        <is>
          <t>Новинка</t>
        </is>
      </c>
    </row>
    <row r="144">
      <c r="A144" s="109">
        <f>RIGHT(D144,4)</f>
        <v/>
      </c>
      <c r="B144" s="53" t="inlineStr">
        <is>
          <t>ХОЧУ ВЕТЧ. ИЗ СВИН.ОТРУБА с/н мгс 1/100</t>
        </is>
      </c>
      <c r="C144" s="50" t="inlineStr">
        <is>
          <t>ШТ</t>
        </is>
      </c>
      <c r="D144" s="110" t="n">
        <v>1001097747647</v>
      </c>
      <c r="E144" s="24" t="n"/>
      <c r="F144" s="111" t="n">
        <v>0.1</v>
      </c>
      <c r="G144" s="23">
        <f>E144*F144</f>
        <v/>
      </c>
      <c r="H144" s="29" t="n">
        <v>1</v>
      </c>
      <c r="I144" s="29" t="n">
        <v>30</v>
      </c>
      <c r="J144" s="105" t="inlineStr">
        <is>
          <t>Новинка</t>
        </is>
      </c>
    </row>
    <row r="145" ht="15.75" customHeight="1" s="104" thickBot="1">
      <c r="A145" s="109">
        <f>RIGHT(D145,4)</f>
        <v/>
      </c>
      <c r="B145" s="53" t="inlineStr">
        <is>
          <t>ХОЧУ ВЕТЧ. МРАМОР. ПМ с/н мгс 1/100_Л11</t>
        </is>
      </c>
      <c r="C145" s="50" t="inlineStr">
        <is>
          <t>ШТ</t>
        </is>
      </c>
      <c r="D145" s="110" t="n">
        <v>1001097767651</v>
      </c>
      <c r="E145" s="24" t="n"/>
      <c r="F145" s="111" t="n">
        <v>0.1</v>
      </c>
      <c r="G145" s="23">
        <f>E145*F145</f>
        <v/>
      </c>
      <c r="H145" s="29" t="n">
        <v>1</v>
      </c>
      <c r="I145" s="29" t="n">
        <v>30</v>
      </c>
      <c r="J145" s="105" t="inlineStr">
        <is>
          <t>Новинка</t>
        </is>
      </c>
    </row>
    <row r="146" ht="16.5" customHeight="1" s="104" thickBot="1" thickTop="1">
      <c r="A146" s="47" t="inlineStr"/>
      <c r="B146" s="42" t="inlineStr">
        <is>
          <t>Копчености варенокопченые</t>
        </is>
      </c>
      <c r="C146" s="42" t="n"/>
      <c r="D146" s="42" t="n"/>
      <c r="E146" s="42" t="n"/>
      <c r="F146" s="41" t="n"/>
      <c r="G146" s="42" t="n"/>
      <c r="H146" s="42" t="n"/>
      <c r="I146" s="42" t="n"/>
      <c r="J146" s="43" t="n"/>
    </row>
    <row r="147" ht="15.75" customHeight="1" s="104" thickTop="1">
      <c r="A147" s="109">
        <f>RIGHT(D147,4)</f>
        <v/>
      </c>
      <c r="B147" s="35" t="inlineStr">
        <is>
          <t>СВИНИНА ПО-ДОМ. к/в мл/к в/у 0.3кг_50с</t>
        </is>
      </c>
      <c r="C147" s="50" t="inlineStr">
        <is>
          <t>ШТ</t>
        </is>
      </c>
      <c r="D147" s="51" t="n">
        <v>1001084217090</v>
      </c>
      <c r="E147" s="24" t="n">
        <v>161</v>
      </c>
      <c r="F147" s="23" t="n">
        <v>0.3</v>
      </c>
      <c r="G147" s="23">
        <f>E147*F147</f>
        <v/>
      </c>
      <c r="H147" s="14" t="n">
        <v>1.8</v>
      </c>
      <c r="I147" s="14" t="n">
        <v>50</v>
      </c>
      <c r="J147" s="29" t="n"/>
    </row>
    <row r="148">
      <c r="A148" s="109">
        <f>RIGHT(D148,4)</f>
        <v/>
      </c>
      <c r="B148" s="35" t="inlineStr">
        <is>
          <t>ГРУДИНКА ПРЕМИУМ к/в мл/к в/у 0.3кг_50с</t>
        </is>
      </c>
      <c r="C148" s="50" t="inlineStr">
        <is>
          <t>ШТ</t>
        </is>
      </c>
      <c r="D148" s="51" t="n">
        <v>1001085637187</v>
      </c>
      <c r="E148" s="24" t="n">
        <v>121</v>
      </c>
      <c r="F148" s="23" t="n">
        <v>0.3</v>
      </c>
      <c r="G148" s="23">
        <f>E148*F148</f>
        <v/>
      </c>
      <c r="H148" s="14" t="n">
        <v>1.8</v>
      </c>
      <c r="I148" s="14" t="n">
        <v>50</v>
      </c>
      <c r="J148" s="29" t="n"/>
    </row>
    <row r="149">
      <c r="A149" s="109">
        <f>RIGHT(D149,4)</f>
        <v/>
      </c>
      <c r="B149" s="35" t="inlineStr">
        <is>
          <t>САЛО СОЛЕНОЕ С ЧЕРНЫМ ПЕРЦЕМ мл/к в/у</t>
        </is>
      </c>
      <c r="C149" s="50" t="inlineStr">
        <is>
          <t>КГ</t>
        </is>
      </c>
      <c r="D149" s="51" t="n">
        <v>1001084856008</v>
      </c>
      <c r="E149" s="24" t="n"/>
      <c r="F149" s="23" t="n">
        <v>0.3</v>
      </c>
      <c r="G149" s="23">
        <f>E149</f>
        <v/>
      </c>
      <c r="H149" s="14" t="n">
        <v>1.8</v>
      </c>
      <c r="I149" s="14" t="n">
        <v>40</v>
      </c>
      <c r="J149" s="105" t="inlineStr">
        <is>
          <t>Новинка</t>
        </is>
      </c>
    </row>
    <row r="150">
      <c r="A150" s="109">
        <f>RIGHT(D150,4)</f>
        <v/>
      </c>
      <c r="B150" s="35" t="inlineStr">
        <is>
          <t>РЕБРЫШКИ к/в в/у_30c</t>
        </is>
      </c>
      <c r="C150" s="50" t="inlineStr">
        <is>
          <t>КГ</t>
        </is>
      </c>
      <c r="D150" s="51" t="n">
        <v>1001081596620</v>
      </c>
      <c r="E150" s="24" t="n"/>
      <c r="F150" s="23" t="n">
        <v>1.05</v>
      </c>
      <c r="G150" s="23">
        <f>E150</f>
        <v/>
      </c>
      <c r="H150" s="14" t="n">
        <v>3.15</v>
      </c>
      <c r="I150" s="14" t="n">
        <v>30</v>
      </c>
      <c r="J150" s="29" t="n"/>
    </row>
    <row r="151">
      <c r="A151" s="109">
        <f>RIGHT(D151,4)</f>
        <v/>
      </c>
      <c r="B151" s="35" t="inlineStr">
        <is>
          <t>БЕКОН Останкино с/к с/н в/у 1/180_50с</t>
        </is>
      </c>
      <c r="C151" s="50" t="inlineStr">
        <is>
          <t>ШТ</t>
        </is>
      </c>
      <c r="D151" s="51" t="n">
        <v>1001223297103</v>
      </c>
      <c r="E151" s="24" t="n"/>
      <c r="F151" s="23" t="n">
        <v>0.18</v>
      </c>
      <c r="G151" s="23">
        <f>E151*F151</f>
        <v/>
      </c>
      <c r="H151" s="14" t="n">
        <v>1.8</v>
      </c>
      <c r="I151" s="14" t="n">
        <v>50</v>
      </c>
      <c r="J151" s="29" t="n"/>
    </row>
    <row r="152">
      <c r="A152" s="109">
        <f>RIGHT(D152,4)</f>
        <v/>
      </c>
      <c r="B152" s="35" t="inlineStr">
        <is>
          <t>БЕКОН Папа может с/к с/н в/у 1/140_50с</t>
        </is>
      </c>
      <c r="C152" s="50" t="inlineStr">
        <is>
          <t>ШТ</t>
        </is>
      </c>
      <c r="D152" s="51" t="n">
        <v>1001223297092</v>
      </c>
      <c r="E152" s="24" t="n"/>
      <c r="F152" s="23" t="n">
        <v>0.14</v>
      </c>
      <c r="G152" s="23">
        <f>E152*F152</f>
        <v/>
      </c>
      <c r="H152" s="14" t="n">
        <v>1.4</v>
      </c>
      <c r="I152" s="14" t="n">
        <v>50</v>
      </c>
      <c r="J152" s="29" t="n"/>
    </row>
    <row r="153">
      <c r="A153" s="109">
        <f>RIGHT(D153,4)</f>
        <v/>
      </c>
      <c r="B153" s="35" t="inlineStr">
        <is>
          <t>МЯСНОЕ АССОРТИ к/з с/н мгс 1/90 10шт.</t>
        </is>
      </c>
      <c r="C153" s="50" t="inlineStr">
        <is>
          <t>ШТ</t>
        </is>
      </c>
      <c r="D153" s="51" t="n">
        <v>1001225416228</v>
      </c>
      <c r="E153" s="24" t="n">
        <v>63</v>
      </c>
      <c r="F153" s="23" t="n">
        <v>0.09</v>
      </c>
      <c r="G153" s="23">
        <f>E153*F153</f>
        <v/>
      </c>
      <c r="H153" s="14" t="n">
        <v>0.9</v>
      </c>
      <c r="I153" s="14" t="n">
        <v>45</v>
      </c>
      <c r="J153" s="29" t="n"/>
    </row>
    <row r="154">
      <c r="A154" s="109">
        <f>RIGHT(D154,4)</f>
        <v/>
      </c>
      <c r="B154" s="35" t="inlineStr">
        <is>
          <t>СВИНИНА МАДЕРА с/к с/н в/у 1/100 10шт.</t>
        </is>
      </c>
      <c r="C154" s="50" t="inlineStr">
        <is>
          <t>ШТ</t>
        </is>
      </c>
      <c r="D154" s="51" t="n">
        <v>1001234146448</v>
      </c>
      <c r="E154" s="24" t="n"/>
      <c r="F154" s="23" t="n">
        <v>0.1</v>
      </c>
      <c r="G154" s="23">
        <f>E154*F154</f>
        <v/>
      </c>
      <c r="H154" s="14" t="n">
        <v>1</v>
      </c>
      <c r="I154" s="14" t="n">
        <v>45</v>
      </c>
      <c r="J154" s="29" t="n"/>
    </row>
    <row r="155">
      <c r="A155" s="109">
        <f>RIGHT(D155,4)</f>
        <v/>
      </c>
      <c r="B155" s="35" t="inlineStr">
        <is>
          <t>ДЫМОВИЦА ИЗ ЛОПАТКИ ПМ к/в с/н в/у 1/150</t>
        </is>
      </c>
      <c r="C155" s="50" t="inlineStr">
        <is>
          <t>ШТ</t>
        </is>
      </c>
      <c r="D155" s="51" t="n">
        <v>1001220226208</v>
      </c>
      <c r="E155" s="24" t="n"/>
      <c r="F155" s="23" t="n">
        <v>0.15</v>
      </c>
      <c r="G155" s="23">
        <f>E155*F155</f>
        <v/>
      </c>
      <c r="H155" s="14" t="n">
        <v>1.5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БАЛЫК И ШЕЙКА с/в с/н мгс 1/90 8шт.</t>
        </is>
      </c>
      <c r="C156" s="50" t="inlineStr">
        <is>
          <t>ШТ</t>
        </is>
      </c>
      <c r="D156" s="51" t="n">
        <v>1001225406754</v>
      </c>
      <c r="E156" s="24" t="n"/>
      <c r="F156" s="23" t="n">
        <v>0.09</v>
      </c>
      <c r="G156" s="23">
        <f>E156*F156</f>
        <v/>
      </c>
      <c r="H156" s="14" t="n">
        <v>0.72</v>
      </c>
      <c r="I156" s="14" t="n">
        <v>60</v>
      </c>
      <c r="J156" s="29" t="n"/>
    </row>
    <row r="157">
      <c r="A157" s="109">
        <f>RIGHT(D157,4)</f>
        <v/>
      </c>
      <c r="B157" s="35" t="inlineStr">
        <is>
          <t>КОРЕЙКА ПО-ОСТ.к/в в/с с/н в/у 1/150_45с</t>
        </is>
      </c>
      <c r="C157" s="50" t="inlineStr">
        <is>
          <t>ШТ</t>
        </is>
      </c>
      <c r="D157" s="51" t="n">
        <v>1001220286279</v>
      </c>
      <c r="E157" s="24" t="n"/>
      <c r="F157" s="23" t="n">
        <v>0.15</v>
      </c>
      <c r="G157" s="23">
        <f>E157*F157</f>
        <v/>
      </c>
      <c r="H157" s="14" t="n">
        <v>1.2</v>
      </c>
      <c r="I157" s="14" t="n">
        <v>45</v>
      </c>
      <c r="J157" s="29" t="n"/>
    </row>
    <row r="158" ht="15.75" customHeight="1" s="104" thickBot="1">
      <c r="A158" s="109">
        <f>RIGHT(D158,4)</f>
        <v/>
      </c>
      <c r="B158" s="35" t="inlineStr">
        <is>
          <t>БАЛЫК с/к с/н в/у 1/100 10шт_Л11</t>
        </is>
      </c>
      <c r="C158" s="50" t="inlineStr">
        <is>
          <t>ШТ</t>
        </is>
      </c>
      <c r="D158" s="51" t="n">
        <v>1001453907612</v>
      </c>
      <c r="E158" s="24" t="n">
        <v>58</v>
      </c>
      <c r="F158" s="23" t="n">
        <v>0.1</v>
      </c>
      <c r="G158" s="23">
        <f>E158*F158</f>
        <v/>
      </c>
      <c r="H158" s="14" t="n">
        <v>1</v>
      </c>
      <c r="I158" s="14" t="n">
        <v>60</v>
      </c>
      <c r="J158" s="52" t="inlineStr">
        <is>
          <t>Ротация кода 7288</t>
        </is>
      </c>
    </row>
    <row r="159" ht="16.5" customHeight="1" s="104" thickBot="1" thickTop="1">
      <c r="A159" s="48" t="n"/>
      <c r="B159" s="45" t="inlineStr">
        <is>
          <t>ВСЕГО:</t>
        </is>
      </c>
      <c r="C159" s="16" t="n"/>
      <c r="D159" s="36" t="n"/>
      <c r="E159" s="17">
        <f>SUM(E10:E158)</f>
        <v/>
      </c>
      <c r="F159" s="17" t="n"/>
      <c r="G159" s="17">
        <f>SUM(G11:G158)</f>
        <v/>
      </c>
      <c r="H159" s="17" t="n"/>
      <c r="I159" s="17" t="n"/>
      <c r="J159" s="17" t="n"/>
    </row>
    <row r="160" ht="15.75" customHeight="1" s="104" thickTop="1">
      <c r="B160" s="37" t="n"/>
      <c r="C160" s="18" t="n"/>
      <c r="D160" s="40" t="n"/>
      <c r="F160" s="19" t="n"/>
      <c r="G160" s="19" t="n"/>
      <c r="H160" s="20" t="n"/>
      <c r="I160" s="20" t="n"/>
      <c r="J160" s="21" t="n"/>
    </row>
    <row r="161">
      <c r="B161" s="37" t="n"/>
      <c r="C161" s="18" t="n"/>
      <c r="D161" s="40" t="n"/>
      <c r="F161" s="19" t="n"/>
      <c r="G161" s="19" t="n"/>
      <c r="H161" s="20" t="n"/>
      <c r="I161" s="20" t="n"/>
      <c r="J161" s="21" t="n"/>
    </row>
    <row r="162">
      <c r="B162" s="37" t="n"/>
      <c r="C162" s="18" t="n"/>
      <c r="D162" s="40" t="n"/>
      <c r="F162" s="19" t="n"/>
      <c r="G162" s="19" t="n"/>
      <c r="H162" s="20" t="n"/>
      <c r="I162" s="20" t="n"/>
      <c r="J162" s="21" t="n"/>
    </row>
    <row r="163">
      <c r="B163" s="37" t="n"/>
      <c r="C163" s="18" t="n"/>
      <c r="D163" s="40" t="n"/>
      <c r="F163" s="19" t="n"/>
      <c r="G163" s="19" t="n"/>
      <c r="H163" s="20" t="n"/>
      <c r="I163" s="20" t="n"/>
      <c r="J163" s="21" t="n"/>
    </row>
    <row r="164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</sheetData>
  <autoFilter ref="A9:J133"/>
  <mergeCells count="2">
    <mergeCell ref="E1:J1"/>
    <mergeCell ref="G3:J3"/>
  </mergeCells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2026-08-19T11:44:39Z</dcterms:modified>
  <cp:lastModifiedBy>Uaer4</cp:lastModifiedBy>
  <cp:lastPrinted>2015-01-13T07:32:10Z</cp:lastPrinted>
</cp:coreProperties>
</file>