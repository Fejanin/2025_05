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8,08 ПРС ЛП\"/>
    </mc:Choice>
  </mc:AlternateContent>
  <xr:revisionPtr revIDLastSave="0" documentId="13_ncr:1_{0C350371-F317-474C-BB40-AB0BD62564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<sst xmlns="http://schemas.openxmlformats.org/spreadsheetml/2006/main" count="677" uniqueCount="221">
  <si>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</si>
  <si>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</si>
  <si>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</si>
  <si>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</si>
  <si>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</si>
  <si>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</si>
  <si>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</si>
  <si>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</si>
  <si>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</si>
  <si>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</si>
  <si>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</si>
  <si>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</si>
  <si>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</si>
  <si>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</si>
  <si>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</si>
  <si>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</si>
  <si>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</si>
  <si>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</si>
  <si>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</si>
  <si>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</si>
  <si>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</si>
  <si>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</si>
  <si>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</si>
  <si>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</si>
  <si>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</si>
  <si>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</si>
  <si>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</si>
  <si>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</si>
  <si>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</si>
  <si>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</si>
  <si>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</si>
  <si>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</si>
  <si>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</si>
  <si>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</si>
  <si>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</si>
  <si>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</si>
  <si>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</si>
  <si>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</si>
  <si>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</si>
  <si>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</si>
  <si>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</si>
  <si>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</si>
  <si>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</si>
  <si>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</si>
  <si>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</si>
  <si>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</si>
  <si>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</si>
  <si>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</si>
  <si>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</si>
  <si>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</si>
  <si>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</si>
  <si>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</si>
  <si>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</si>
  <si>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</si>
  <si>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</si>
  <si>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</si>
  <si>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</si>
  <si>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</si>
  <si>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</si>
  <si>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</si>
  <si>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</si>
  <si>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</si>
  <si>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</si>
  <si>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</si>
  <si>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</si>
  <si>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</si>
  <si>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</si>
  <si>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</si>
  <si>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</si>
  <si>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</si>
  <si>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</si>
  <si>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</si>
  <si>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</si>
  <si>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</si>
  <si>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</si>
  <si>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</si>
  <si>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</si>
  <si>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</si>
  <si>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</si>
  <si>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</si>
  <si>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</si>
  <si>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</si>
  <si>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</si>
  <si>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</si>
  <si>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</si>
  <si>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</si>
  <si>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</si>
  <si>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</si>
  <si>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</si>
  <si>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</si>
  <si>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</si>
  <si>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</si>
  <si>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</si>
  <si>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</si>
  <si>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</si>
  <si>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</si>
  <si>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</si>
  <si>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</si>
  <si>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</si>
  <si>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</si>
  <si>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</si>
  <si>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</si>
  <si>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</si>
  <si>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</si>
  <si>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</si>
  <si>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</si>
  <si>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</si>
  <si>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</si>
  <si>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</si>
  <si>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</si>
  <si>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</si>
  <si>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</si>
  <si>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</si>
  <si>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</si>
  <si>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</si>
  <si>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</si>
  <si>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</si>
  <si>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</si>
  <si>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</si>
  <si>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</si>
  <si>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</si>
  <si>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</si>
  <si>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</si>
  <si>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</si>
  <si>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</si>
  <si>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</si>
  <si>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</si>
  <si>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</si>
  <si>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</si>
  <si>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</si>
  <si>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</si>
  <si>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</si>
  <si>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</si>
  <si>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</si>
  <si>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</si>
  <si>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</si>
  <si>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</si>
  <si>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</si>
  <si>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</si>
  <si>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</si>
  <si>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</si>
  <si>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</si>
  <si>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</si>
  <si>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</si>
  <si>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</si>
  <si>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</si>
  <si>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</si>
  <si>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</si>
  <si>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</si>
  <si>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</si>
  <si>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</si>
  <si>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</si>
  <si>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</si>
  <si>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</si>
  <si>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</si>
  <si>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</si>
  <si>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</si>
  <si>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</si>
  <si>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</si>
  <si>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</si>
  <si>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</si>
  <si>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</si>
  <si>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</si>
  <si>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</si>
  <si>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</si>
  <si>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</si>
  <si>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</si>
  <si>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</si>
  <si>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</si>
  <si>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</si>
  <si>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</si>
  <si>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</si>
  <si>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</si>
  <si>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</si>
  <si>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</si>
  <si>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</si>
  <si>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</si>
  <si>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</si>
  <si>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</si>
  <si>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</si>
  <si>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</si>
  <si>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</si>
  <si>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</si>
  <si>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</si>
  <si>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</si>
  <si>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</si>
  <si>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</si>
  <si>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</si>
  <si>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</si>
  <si>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</si>
  <si>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</si>
  <si>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</si>
  <si>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</si>
  <si>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</si>
  <si>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</si>
  <si>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</si>
  <si>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</si>
  <si>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</si>
  <si>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</si>
  <si>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</si>
  <si>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</si>
  <si>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</si>
  <si>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</si>
  <si>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</si>
  <si>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</si>
  <si>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</si>
  <si>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</si>
  <si>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</si>
  <si>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</si>
  <si>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</si>
  <si>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</si>
  <si>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</si>
  <si>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</si>
  <si>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</si>
  <si>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</si>
  <si>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</si>
  <si>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</si>
  <si>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</si>
  <si>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</si>
  <si>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г. Донецк ул. Чаадаева 1</t>
  </si>
  <si>
    <t>ООО "Логистический партнер"ПРС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</si>
</sst>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92"/>
  <sheetViews>
    <sheetView tabSelected="1" zoomScaleNormal="100" workbookViewId="0">
      <pane ySplit="9" topLeftCell="A154" activePane="bottomLeft" state="frozen"/>
      <selection pane="bottomLeft" activeCell="J172" sqref="J172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130438384</v>
      </c>
      <c r="E1" s="155" t="s">
        <v>220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/>
      <c r="E3" s="7" t="s">
        <v>2</v>
      </c>
      <c r="F3" s="55">
        <f>D3+3</f>
        <v>3</v>
      </c>
      <c r="G3" s="158" t="s">
        <v>219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22"/>
    </row>
    <row r="19" spans="1:67" ht="16.5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185</v>
      </c>
      <c r="F23" s="23">
        <v>0.4</v>
      </c>
      <c r="G23" s="23">
        <f t="shared" si="2"/>
        <v>74</v>
      </c>
      <c r="H23" s="14">
        <v>3.2</v>
      </c>
      <c r="I23" s="14">
        <v>60</v>
      </c>
      <c r="J23" s="29"/>
      <c r="L23" s="122"/>
    </row>
    <row r="24" spans="1:67" s="63" customFormat="1" ht="16.5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4">E25*F25</f>
        <v>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4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>
        <v>74</v>
      </c>
      <c r="F29" s="23">
        <v>0.4</v>
      </c>
      <c r="G29" s="23">
        <f t="shared" si="4"/>
        <v>29.6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173</v>
      </c>
      <c r="F30" s="23">
        <v>0.4</v>
      </c>
      <c r="G30" s="23">
        <f t="shared" si="4"/>
        <v>69.2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>
        <v>115</v>
      </c>
      <c r="F31" s="23">
        <v>0.4</v>
      </c>
      <c r="G31" s="23">
        <f t="shared" si="4"/>
        <v>46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>
        <v>7231</v>
      </c>
      <c r="B33" s="56" t="s">
        <v>33</v>
      </c>
      <c r="C33" s="57" t="s">
        <v>20</v>
      </c>
      <c r="D33" s="72">
        <v>1001013957231</v>
      </c>
      <c r="E33" s="24">
        <v>170</v>
      </c>
      <c r="F33" s="60">
        <v>0.3</v>
      </c>
      <c r="G33" s="23">
        <f t="shared" si="4"/>
        <v>51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5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5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/>
      <c r="F45" s="60">
        <v>1.5</v>
      </c>
      <c r="G45" s="23">
        <f t="shared" si="5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5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6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>
        <v>94</v>
      </c>
      <c r="F49" s="60">
        <v>0.36</v>
      </c>
      <c r="G49" s="23">
        <f t="shared" si="6"/>
        <v>33.839999999999996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>
        <v>74</v>
      </c>
      <c r="F52" s="60">
        <v>0.4</v>
      </c>
      <c r="G52" s="23">
        <f t="shared" si="6"/>
        <v>29.6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44</v>
      </c>
      <c r="F55" s="60">
        <v>0.33</v>
      </c>
      <c r="G55" s="23">
        <f>E55*F55</f>
        <v>14.520000000000001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>
        <v>173</v>
      </c>
      <c r="F58" s="60">
        <v>0.4</v>
      </c>
      <c r="G58" s="23">
        <f t="shared" si="6"/>
        <v>69.2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>
        <v>41</v>
      </c>
      <c r="F59" s="23">
        <v>0.41</v>
      </c>
      <c r="G59" s="23">
        <f t="shared" si="6"/>
        <v>16.809999999999999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141</v>
      </c>
      <c r="F61" s="23">
        <v>0.41</v>
      </c>
      <c r="G61" s="23">
        <f t="shared" si="6"/>
        <v>57.809999999999995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>
        <v>15</v>
      </c>
      <c r="F62" s="23">
        <v>0.41</v>
      </c>
      <c r="G62" s="23">
        <f t="shared" si="6"/>
        <v>6.1499999999999995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159</v>
      </c>
      <c r="F63" s="23">
        <v>0.4</v>
      </c>
      <c r="G63" s="23">
        <f t="shared" si="6"/>
        <v>63.6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>
        <v>46</v>
      </c>
      <c r="F68" s="23">
        <v>0.3</v>
      </c>
      <c r="G68" s="23">
        <f t="shared" si="6"/>
        <v>13.799999999999999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>
        <v>92</v>
      </c>
      <c r="F69" s="23">
        <v>0.3</v>
      </c>
      <c r="G69" s="23">
        <f t="shared" si="6"/>
        <v>27.599999999999998</v>
      </c>
      <c r="H69" s="14">
        <v>2.4</v>
      </c>
      <c r="I69" s="14">
        <v>45</v>
      </c>
      <c r="J69" s="29"/>
      <c r="L69" s="122"/>
    </row>
    <row r="70" spans="1:12" ht="16.5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customHeight="1" thickBot="1" x14ac:dyDescent="0.3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22"/>
    </row>
    <row r="79" spans="1:12" ht="16.5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customHeight="1" thickBot="1" x14ac:dyDescent="0.3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/>
      <c r="F86" s="60">
        <v>0.81</v>
      </c>
      <c r="G86" s="23">
        <f t="shared" si="9"/>
        <v>0</v>
      </c>
      <c r="H86" s="61">
        <v>4.8600000000000003</v>
      </c>
      <c r="I86" s="61">
        <v>45</v>
      </c>
      <c r="J86" s="61"/>
      <c r="L86" s="122"/>
    </row>
    <row r="87" spans="1:12" ht="16.5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/>
      <c r="F88" s="60">
        <v>0.63</v>
      </c>
      <c r="G88" s="23">
        <f t="shared" ref="G88:G89" si="10">E88</f>
        <v>0</v>
      </c>
      <c r="H88" s="61">
        <v>5.04</v>
      </c>
      <c r="I88" s="61">
        <v>50</v>
      </c>
      <c r="J88" s="61"/>
      <c r="L88" s="122"/>
    </row>
    <row r="89" spans="1:12" ht="16.5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/>
      <c r="F89" s="60">
        <v>0.7</v>
      </c>
      <c r="G89" s="23">
        <f t="shared" si="10"/>
        <v>0</v>
      </c>
      <c r="H89" s="61">
        <v>5.6</v>
      </c>
      <c r="I89" s="61">
        <v>50</v>
      </c>
      <c r="J89" s="61"/>
      <c r="L89" s="122"/>
    </row>
    <row r="90" spans="1:12" ht="16.5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  <c r="L90" s="122"/>
    </row>
    <row r="91" spans="1:12" ht="16.5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151</v>
      </c>
      <c r="F94" s="23">
        <v>0.35</v>
      </c>
      <c r="G94" s="23">
        <f t="shared" si="11"/>
        <v>52.849999999999994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117</v>
      </c>
      <c r="F95" s="23">
        <v>0.35</v>
      </c>
      <c r="G95" s="23">
        <f t="shared" si="11"/>
        <v>40.949999999999996</v>
      </c>
      <c r="H95" s="14">
        <v>2.8</v>
      </c>
      <c r="I95" s="14">
        <v>50</v>
      </c>
      <c r="J95" s="29"/>
      <c r="L95" s="122"/>
    </row>
    <row r="96" spans="1:12" ht="15.75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104</v>
      </c>
      <c r="F97" s="23">
        <v>0.28000000000000003</v>
      </c>
      <c r="G97" s="23">
        <f t="shared" si="11"/>
        <v>29.120000000000005</v>
      </c>
      <c r="H97" s="14">
        <v>2.2400000000000002</v>
      </c>
      <c r="I97" s="14">
        <v>45</v>
      </c>
      <c r="J97" s="50"/>
      <c r="L97" s="122"/>
    </row>
    <row r="98" spans="1:67" ht="15.75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>
        <v>108</v>
      </c>
      <c r="F98" s="23">
        <v>0.35</v>
      </c>
      <c r="G98" s="23">
        <f t="shared" si="11"/>
        <v>37.799999999999997</v>
      </c>
      <c r="H98" s="14">
        <v>2.8</v>
      </c>
      <c r="I98" s="14">
        <v>50</v>
      </c>
      <c r="J98" s="50"/>
      <c r="L98" s="122"/>
    </row>
    <row r="99" spans="1:67" ht="15.75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11"/>
        <v>0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110</v>
      </c>
      <c r="F100" s="23">
        <v>0.35</v>
      </c>
      <c r="G100" s="23">
        <f t="shared" si="11"/>
        <v>38.5</v>
      </c>
      <c r="H100" s="14">
        <v>2.8</v>
      </c>
      <c r="I100" s="14">
        <v>50</v>
      </c>
      <c r="J100" s="50"/>
      <c r="L100" s="122"/>
    </row>
    <row r="101" spans="1:67" ht="15.75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>
        <v>86</v>
      </c>
      <c r="F103" s="23">
        <v>0.28000000000000003</v>
      </c>
      <c r="G103" s="23">
        <f t="shared" si="11"/>
        <v>24.080000000000002</v>
      </c>
      <c r="H103" s="14">
        <v>2.2400000000000002</v>
      </c>
      <c r="I103" s="14">
        <v>45</v>
      </c>
      <c r="J103" s="50"/>
      <c r="L103" s="122"/>
    </row>
    <row r="104" spans="1:67" ht="15.75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customHeight="1" thickBot="1" x14ac:dyDescent="0.3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  <c r="L116" s="122"/>
    </row>
    <row r="117" spans="1:12" ht="16.5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>
        <v>2</v>
      </c>
      <c r="F119" s="23">
        <v>0.25</v>
      </c>
      <c r="G119" s="23">
        <f t="shared" si="13"/>
        <v>0.5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>
        <v>28</v>
      </c>
      <c r="F122" s="23">
        <v>0.25</v>
      </c>
      <c r="G122" s="23">
        <f t="shared" si="13"/>
        <v>7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>
        <v>40</v>
      </c>
      <c r="F123" s="23">
        <v>0.25</v>
      </c>
      <c r="G123" s="23">
        <f t="shared" si="13"/>
        <v>10</v>
      </c>
      <c r="H123" s="14">
        <v>2</v>
      </c>
      <c r="I123" s="14">
        <v>120</v>
      </c>
      <c r="J123" s="29"/>
      <c r="L123" s="122"/>
    </row>
    <row r="124" spans="1:12" ht="16.5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>
        <v>40</v>
      </c>
      <c r="F124" s="23">
        <v>0.25</v>
      </c>
      <c r="G124" s="23">
        <f t="shared" si="13"/>
        <v>10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>
        <v>193</v>
      </c>
      <c r="F125" s="23">
        <v>0.25</v>
      </c>
      <c r="G125" s="23">
        <f t="shared" si="13"/>
        <v>48.25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>
        <v>222</v>
      </c>
      <c r="F126" s="23">
        <v>0.22</v>
      </c>
      <c r="G126" s="23">
        <f t="shared" si="13"/>
        <v>48.84</v>
      </c>
      <c r="H126" s="14">
        <v>1.76</v>
      </c>
      <c r="I126" s="14">
        <v>120</v>
      </c>
      <c r="J126" s="29"/>
      <c r="L126" s="122"/>
    </row>
    <row r="127" spans="1:12" ht="16.5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>
        <v>200</v>
      </c>
      <c r="F130" s="23">
        <v>0.15</v>
      </c>
      <c r="G130" s="23">
        <f t="shared" si="15"/>
        <v>30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174</v>
      </c>
      <c r="F131" s="23">
        <v>0.12</v>
      </c>
      <c r="G131" s="23">
        <f t="shared" si="15"/>
        <v>20.88</v>
      </c>
      <c r="H131" s="14">
        <v>0.96</v>
      </c>
      <c r="I131" s="14">
        <v>60</v>
      </c>
      <c r="J131" s="29"/>
      <c r="L131" s="122"/>
    </row>
    <row r="132" spans="1:67" ht="16.5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>
        <v>89</v>
      </c>
      <c r="F133" s="23">
        <v>0.1</v>
      </c>
      <c r="G133" s="23">
        <f t="shared" si="15"/>
        <v>8.9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124</v>
      </c>
      <c r="F134" s="23">
        <v>0.09</v>
      </c>
      <c r="G134" s="23">
        <f t="shared" si="15"/>
        <v>11.16</v>
      </c>
      <c r="H134" s="14">
        <v>0.9</v>
      </c>
      <c r="I134" s="14">
        <v>60</v>
      </c>
      <c r="J134" s="29"/>
      <c r="L134" s="122"/>
    </row>
    <row r="135" spans="1:67" ht="16.5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>
        <v>76</v>
      </c>
      <c r="F135" s="23">
        <v>0.09</v>
      </c>
      <c r="G135" s="23">
        <f t="shared" si="15"/>
        <v>6.84</v>
      </c>
      <c r="H135" s="14">
        <v>0.9</v>
      </c>
      <c r="I135" s="14">
        <v>60</v>
      </c>
      <c r="J135" s="29"/>
      <c r="L135" s="122"/>
    </row>
    <row r="136" spans="1:67" ht="16.5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customHeight="1" thickBot="1" x14ac:dyDescent="0.3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>
        <v>8</v>
      </c>
      <c r="F147" s="60">
        <v>0.4</v>
      </c>
      <c r="G147" s="23">
        <f t="shared" ref="G147:G150" si="17">E147*F147</f>
        <v>3.2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32</v>
      </c>
      <c r="F148" s="60">
        <v>0.4</v>
      </c>
      <c r="G148" s="23">
        <f t="shared" si="17"/>
        <v>12.8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>
        <v>150</v>
      </c>
      <c r="F151" s="60">
        <v>0.1</v>
      </c>
      <c r="G151" s="23">
        <f>E151*F151</f>
        <v>15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customHeight="1" thickBot="1" x14ac:dyDescent="0.3">
      <c r="A152" s="145">
        <v>7651</v>
      </c>
      <c r="B152" s="56" t="s">
        <v>197</v>
      </c>
      <c r="C152" s="57" t="s">
        <v>20</v>
      </c>
      <c r="D152" s="112">
        <v>1001097767651</v>
      </c>
      <c r="E152" s="24">
        <v>150</v>
      </c>
      <c r="F152" s="60">
        <v>0.1</v>
      </c>
      <c r="G152" s="23">
        <f>E152*F152</f>
        <v>15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customHeight="1" thickTop="1" thickBot="1" x14ac:dyDescent="0.3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  <c r="L157" s="122"/>
    </row>
    <row r="158" spans="1:67" ht="16.5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>
        <v>127</v>
      </c>
      <c r="F159" s="23">
        <v>0.3</v>
      </c>
      <c r="G159" s="23">
        <f t="shared" si="18"/>
        <v>38.1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4</v>
      </c>
      <c r="F160" s="23">
        <v>0.18</v>
      </c>
      <c r="G160" s="23">
        <f t="shared" si="18"/>
        <v>0.72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>
        <v>166</v>
      </c>
      <c r="F161" s="23">
        <v>0.15</v>
      </c>
      <c r="G161" s="23">
        <f t="shared" si="18"/>
        <v>24.9</v>
      </c>
      <c r="H161" s="14">
        <v>1.2</v>
      </c>
      <c r="I161" s="14">
        <v>45</v>
      </c>
      <c r="J161" s="29"/>
      <c r="L161" s="122"/>
    </row>
    <row r="162" spans="1:12" ht="16.5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>
        <v>126</v>
      </c>
      <c r="F163" s="23">
        <v>0.1</v>
      </c>
      <c r="G163" s="23">
        <f t="shared" si="18"/>
        <v>12.600000000000001</v>
      </c>
      <c r="H163" s="14">
        <v>1</v>
      </c>
      <c r="I163" s="14">
        <v>45</v>
      </c>
      <c r="J163" s="29"/>
      <c r="L163" s="122"/>
    </row>
    <row r="164" spans="1:12" ht="16.5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>
        <v>20</v>
      </c>
      <c r="F164" s="23">
        <v>0.09</v>
      </c>
      <c r="G164" s="23">
        <f t="shared" si="18"/>
        <v>1.7999999999999998</v>
      </c>
      <c r="H164" s="14">
        <v>0.72</v>
      </c>
      <c r="I164" s="14">
        <v>60</v>
      </c>
      <c r="J164" s="29"/>
      <c r="L164" s="122"/>
    </row>
    <row r="165" spans="1:12" ht="16.5" customHeight="1" x14ac:dyDescent="0.25">
      <c r="A165" s="58">
        <v>6208</v>
      </c>
      <c r="B165" s="35" t="s">
        <v>99</v>
      </c>
      <c r="C165" s="51" t="s">
        <v>20</v>
      </c>
      <c r="D165" s="52">
        <v>1001220226208</v>
      </c>
      <c r="E165" s="24">
        <v>25</v>
      </c>
      <c r="F165" s="23">
        <v>0.15</v>
      </c>
      <c r="G165" s="23">
        <f t="shared" si="18"/>
        <v>3.75</v>
      </c>
      <c r="H165" s="14">
        <v>1.5</v>
      </c>
      <c r="I165" s="14">
        <v>45</v>
      </c>
      <c r="J165" s="29"/>
      <c r="L165" s="122"/>
    </row>
    <row r="166" spans="1:12" ht="16.5" customHeight="1" x14ac:dyDescent="0.25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4268</v>
      </c>
      <c r="F168" s="17"/>
      <c r="G168" s="17">
        <f>SUM(G11:G167)</f>
        <v>1156.2699999999998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/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2026-08-19T11:02:58Z</dcterms:modified>
</cp:coreProperties>
</file>