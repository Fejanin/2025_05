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31,08,26 Останкино КИ и ЗПФ\машина САП 06,09 Донецк_КарловаБаранова_Малахутин_ПРС КИ\"/>
    </mc:Choice>
  </mc:AlternateContent>
  <xr:revisionPtr revIDLastSave="0" documentId="13_ncr:1_{B1FF8A1B-C231-492D-9048-2E2784AC70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<sst xmlns="http://schemas.openxmlformats.org/spreadsheetml/2006/main" count="677" uniqueCount="221">
  <si>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</si>
  <si>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</si>
  <si>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</si>
  <si>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</si>
  <si>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</si>
  <si>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</si>
  <si>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</si>
  <si>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</si>
  <si>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</si>
  <si>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</si>
  <si>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</si>
  <si>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</si>
  <si>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</si>
  <si>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</si>
  <si>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</si>
  <si>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</si>
  <si>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</si>
  <si>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</si>
  <si>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</si>
  <si>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</si>
  <si>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</si>
  <si>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</si>
  <si>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</si>
  <si>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</si>
  <si>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</si>
  <si>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</si>
  <si>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</si>
  <si>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</si>
  <si>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</si>
  <si>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</si>
  <si>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</si>
  <si>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</si>
  <si>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</si>
  <si>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</si>
  <si>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</si>
  <si>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</si>
  <si>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</si>
  <si>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</si>
  <si>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</si>
  <si>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</si>
  <si>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</si>
  <si>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</si>
  <si>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</si>
  <si>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</si>
  <si>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</si>
  <si>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</si>
  <si>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</si>
  <si>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</si>
  <si>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</si>
  <si>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</si>
  <si>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</si>
  <si>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</si>
  <si>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</si>
  <si>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</si>
  <si>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</si>
  <si>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</si>
  <si>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</si>
  <si>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</si>
  <si>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</si>
  <si>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</si>
  <si>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</si>
  <si>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</si>
  <si>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</si>
  <si>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</si>
  <si>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</si>
  <si>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</si>
  <si>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</si>
  <si>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</si>
  <si>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</si>
  <si>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</si>
  <si>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</si>
  <si>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</si>
  <si>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</si>
  <si>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</si>
  <si>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</si>
  <si>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</si>
  <si>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</si>
  <si>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</si>
  <si>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</si>
  <si>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</si>
  <si>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</si>
  <si>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</si>
  <si>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</si>
  <si>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</si>
  <si>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</si>
  <si>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</si>
  <si>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</si>
  <si>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</si>
  <si>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</si>
  <si>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</si>
  <si>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</si>
  <si>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</si>
  <si>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</si>
  <si>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</si>
  <si>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</si>
  <si>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</si>
  <si>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</si>
  <si>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</si>
  <si>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</si>
  <si>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</si>
  <si>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</si>
  <si>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</si>
  <si>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</si>
  <si>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</si>
  <si>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</si>
  <si>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</si>
  <si>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</si>
  <si>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</si>
  <si>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</si>
  <si>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</si>
  <si>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</si>
  <si>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</si>
  <si>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</si>
  <si>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</si>
  <si>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</si>
  <si>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</si>
  <si>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</si>
  <si>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</si>
  <si>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</si>
  <si>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</si>
  <si>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</si>
  <si>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</si>
  <si>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</si>
  <si>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</si>
  <si>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</si>
  <si>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</si>
  <si>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</si>
  <si>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</si>
  <si>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</si>
  <si>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</si>
  <si>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</si>
  <si>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</si>
  <si>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</si>
  <si>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</si>
  <si>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</si>
  <si>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</si>
  <si>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</si>
  <si>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</si>
  <si>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</si>
  <si>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</si>
  <si>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</si>
  <si>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</si>
  <si>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</si>
  <si>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</si>
  <si>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</si>
  <si>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</si>
  <si>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</si>
  <si>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</si>
  <si>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</si>
  <si>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</si>
  <si>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</si>
  <si>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</si>
  <si>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</si>
  <si>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</si>
  <si>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</si>
  <si>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</si>
  <si>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</si>
  <si>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</si>
  <si>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</si>
  <si>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</si>
  <si>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</si>
  <si>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</si>
  <si>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</si>
  <si>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</si>
  <si>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</si>
  <si>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</si>
  <si>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</si>
  <si>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</si>
  <si>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</si>
  <si>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</si>
  <si>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</si>
  <si>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</si>
  <si>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</si>
  <si>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</si>
  <si>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</si>
  <si>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</si>
  <si>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</si>
  <si>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</si>
  <si>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</si>
  <si>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</si>
  <si>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</si>
  <si>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</si>
  <si>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</si>
  <si>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</si>
  <si>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</si>
  <si>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</si>
  <si>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</si>
  <si>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</si>
  <si>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</si>
  <si>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</si>
  <si>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</si>
  <si>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</si>
  <si>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</si>
  <si>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</si>
  <si>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</si>
  <si>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</si>
  <si>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</si>
  <si>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</si>
  <si>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</si>
  <si>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</si>
  <si>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</si>
  <si>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</si>
  <si>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</si>
  <si>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</si>
  <si>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</si>
  <si>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</si>
  <si>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</si>
  <si>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</si>
  <si>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</si>
  <si>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</si>
  <si>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</si>
  <si>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</si>
  <si>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</si>
  <si>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</si>
  <si>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</si>
  <si>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</si>
  <si>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</si>
  <si>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</si>
  <si>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</si>
  <si>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</si>
  <si>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 ( опт Карлова, Баранова)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</si>
</sst>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70" zoomScaleNormal="70" workbookViewId="0">
      <pane ySplit="9" topLeftCell="A13" activePane="bottomLeft" state="frozen"/>
      <selection pane="bottomLeft" activeCell="E13" sqref="E1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46271</v>
      </c>
      <c r="E3" s="7" t="s">
        <v>2</v>
      </c>
      <c r="F3" s="55"/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150</v>
      </c>
      <c r="F13" s="23">
        <v>1.35</v>
      </c>
      <c r="G13" s="23">
        <f t="shared" ref="G13:G20" si="1">E13</f>
        <v>150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150</v>
      </c>
      <c r="F14" s="23">
        <v>1.35</v>
      </c>
      <c r="G14" s="23">
        <f t="shared" si="1"/>
        <v>150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250</v>
      </c>
      <c r="F16" s="23">
        <v>1.35</v>
      </c>
      <c r="G16" s="23">
        <f t="shared" si="1"/>
        <v>250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250</v>
      </c>
      <c r="F17" s="23">
        <v>1.35</v>
      </c>
      <c r="G17" s="23">
        <f t="shared" si="1"/>
        <v>250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150</v>
      </c>
      <c r="F18" s="23">
        <v>1</v>
      </c>
      <c r="G18" s="23">
        <f t="shared" si="1"/>
        <v>150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hidden="1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80</v>
      </c>
      <c r="F29" s="23">
        <v>0.4</v>
      </c>
      <c r="G29" s="23">
        <f t="shared" si="4"/>
        <v>32</v>
      </c>
      <c r="H29" s="14">
        <v>3.2</v>
      </c>
      <c r="I29" s="14">
        <v>60</v>
      </c>
      <c r="J29" s="61"/>
      <c r="L29" s="122"/>
    </row>
    <row r="30" spans="1:67" ht="16.5" hidden="1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150</v>
      </c>
      <c r="F41" s="60">
        <v>2.1</v>
      </c>
      <c r="G41" s="23">
        <f t="shared" si="5"/>
        <v>150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80</v>
      </c>
      <c r="F42" s="60">
        <v>1.5</v>
      </c>
      <c r="G42" s="23">
        <f t="shared" si="5"/>
        <v>80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250</v>
      </c>
      <c r="F45" s="60">
        <v>1.5</v>
      </c>
      <c r="G45" s="23">
        <f t="shared" si="5"/>
        <v>250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30</v>
      </c>
      <c r="F55" s="60">
        <v>0.33</v>
      </c>
      <c r="G55" s="23">
        <f>E55*F55</f>
        <v>9.9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50</v>
      </c>
      <c r="F59" s="23">
        <v>0.41</v>
      </c>
      <c r="G59" s="23">
        <f t="shared" si="6"/>
        <v>20.5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80</v>
      </c>
      <c r="F61" s="23">
        <v>0.41</v>
      </c>
      <c r="G61" s="23">
        <f t="shared" si="6"/>
        <v>32.799999999999997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100</v>
      </c>
      <c r="F63" s="23">
        <v>0.4</v>
      </c>
      <c r="G63" s="23">
        <f t="shared" si="6"/>
        <v>40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hidden="1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50</v>
      </c>
      <c r="F78" s="23">
        <v>1</v>
      </c>
      <c r="G78" s="23">
        <f t="shared" si="7"/>
        <v>50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80</v>
      </c>
      <c r="F86" s="60">
        <v>0.81</v>
      </c>
      <c r="G86" s="23">
        <f t="shared" si="9"/>
        <v>80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70</v>
      </c>
      <c r="F89" s="60">
        <v>0.7</v>
      </c>
      <c r="G89" s="23">
        <f t="shared" si="10"/>
        <v>70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80</v>
      </c>
      <c r="F94" s="23">
        <v>0.35</v>
      </c>
      <c r="G94" s="23">
        <f t="shared" si="11"/>
        <v>28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80</v>
      </c>
      <c r="F95" s="23">
        <v>0.35</v>
      </c>
      <c r="G95" s="23">
        <f t="shared" si="11"/>
        <v>28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hidden="1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/>
      <c r="F97" s="23">
        <v>0.28000000000000003</v>
      </c>
      <c r="G97" s="23">
        <f t="shared" si="11"/>
        <v>0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50</v>
      </c>
      <c r="F100" s="23">
        <v>0.35</v>
      </c>
      <c r="G100" s="23">
        <f t="shared" si="11"/>
        <v>17.5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hidden="1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hidden="1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hidden="1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hidden="1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thickBot="1" x14ac:dyDescent="0.3">
      <c r="A128" s="58">
        <v>7299</v>
      </c>
      <c r="B128" s="54" t="s">
        <v>82</v>
      </c>
      <c r="C128" s="51" t="s">
        <v>22</v>
      </c>
      <c r="D128" s="52">
        <v>1001060677299</v>
      </c>
      <c r="E128" s="24">
        <v>70</v>
      </c>
      <c r="F128" s="23">
        <v>0.215</v>
      </c>
      <c r="G128" s="23">
        <f t="shared" si="14"/>
        <v>70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3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3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hidden="1" customHeight="1" x14ac:dyDescent="0.3">
      <c r="A131" s="58">
        <v>7382</v>
      </c>
      <c r="B131" s="54" t="s">
        <v>84</v>
      </c>
      <c r="C131" s="51" t="s">
        <v>20</v>
      </c>
      <c r="D131" s="52">
        <v>1001203117382</v>
      </c>
      <c r="E131" s="24"/>
      <c r="F131" s="23">
        <v>0.12</v>
      </c>
      <c r="G131" s="23">
        <f t="shared" si="15"/>
        <v>0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3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hidden="1" customHeight="1" x14ac:dyDescent="0.3">
      <c r="A133" s="145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  <c r="L133" s="122"/>
    </row>
    <row r="134" spans="1:67" ht="16.5" hidden="1" customHeight="1" x14ac:dyDescent="0.3">
      <c r="A134" s="58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3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3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3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3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3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3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3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3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3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3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hidden="1" customHeight="1" x14ac:dyDescent="0.3">
      <c r="A147" s="58">
        <v>3215</v>
      </c>
      <c r="B147" s="56" t="s">
        <v>175</v>
      </c>
      <c r="C147" s="57" t="s">
        <v>20</v>
      </c>
      <c r="D147" s="112">
        <v>1001094053215</v>
      </c>
      <c r="E147" s="24"/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hidden="1" customHeight="1" x14ac:dyDescent="0.3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17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3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3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3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3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3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3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hidden="1" customHeight="1" x14ac:dyDescent="0.3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  <c r="L159" s="122"/>
    </row>
    <row r="160" spans="1:67" ht="16.5" hidden="1" customHeight="1" x14ac:dyDescent="0.3">
      <c r="A160" s="58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  <c r="L160" s="122"/>
    </row>
    <row r="161" spans="1:12" ht="16.5" hidden="1" customHeight="1" x14ac:dyDescent="0.3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3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3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hidden="1" customHeight="1" x14ac:dyDescent="0.3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2250</v>
      </c>
      <c r="F168" s="17"/>
      <c r="G168" s="17">
        <f>SUM(G11:G167)</f>
        <v>1908.7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2026-09-07T12:09:11Z</dcterms:modified>
</cp:coreProperties>
</file>