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31,08,26 Останкино КИ и ЗПФ\машина САП 06,09 Донецк_КарловаБаранова_Малахутин_ПРС КИ\"/>
    </mc:Choice>
  </mc:AlternateContent>
  <xr:revisionPtr revIDLastSave="0" documentId="13_ncr:1_{D1AD4E4D-D360-4D8F-89A0-A56174EDB6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64" i="1"/>
  <c r="G132" i="1"/>
  <c r="G136" i="1"/>
  <c r="G139" i="1"/>
  <c r="G167" i="1"/>
  <c r="G158" i="1"/>
  <c r="G165" i="1"/>
  <c r="G151" i="1"/>
  <c r="G166" i="1" l="1"/>
  <c r="G58" i="1"/>
  <c r="G103" i="1"/>
  <c r="G97" i="1"/>
  <c r="G162" i="1"/>
  <c r="G63" i="1"/>
  <c r="G130" i="1"/>
  <c r="G126" i="1"/>
  <c r="G157" i="1"/>
  <c r="G150" i="1"/>
  <c r="G149" i="1"/>
  <c r="G33" i="1"/>
  <c r="G23" i="1"/>
  <c r="G142" i="1"/>
  <c r="G138" i="1"/>
  <c r="G137" i="1"/>
  <c r="G62" i="1"/>
  <c r="G61" i="1"/>
  <c r="G161" i="1"/>
  <c r="G49" i="1"/>
  <c r="G129" i="1"/>
  <c r="G55" i="1"/>
  <c r="G31" i="1"/>
  <c r="G123" i="1"/>
  <c r="G30" i="1"/>
  <c r="G124" i="1"/>
  <c r="G121" i="1"/>
  <c r="G120" i="1"/>
  <c r="G29" i="1"/>
  <c r="G118" i="1"/>
  <c r="G117" i="1"/>
  <c r="G116" i="1"/>
  <c r="G115" i="1"/>
  <c r="G114" i="1"/>
  <c r="G113" i="1"/>
  <c r="G105" i="1"/>
  <c r="G104" i="1"/>
  <c r="G148" i="1"/>
  <c r="G102" i="1"/>
  <c r="G101" i="1"/>
  <c r="G131" i="1"/>
  <c r="G99" i="1"/>
  <c r="G134" i="1"/>
  <c r="G147" i="1"/>
  <c r="G96" i="1"/>
  <c r="G133" i="1"/>
  <c r="G94" i="1"/>
  <c r="G93" i="1"/>
  <c r="G92" i="1"/>
  <c r="G90" i="1"/>
  <c r="G87" i="1"/>
  <c r="G80" i="1"/>
  <c r="G79" i="1"/>
  <c r="G72" i="1"/>
  <c r="G70" i="1"/>
  <c r="G71" i="1"/>
  <c r="G98" i="1"/>
  <c r="G159" i="1"/>
  <c r="G67" i="1"/>
  <c r="G64" i="1"/>
  <c r="G152" i="1"/>
  <c r="G100" i="1"/>
  <c r="G125" i="1"/>
  <c r="G60" i="1"/>
  <c r="G59" i="1"/>
  <c r="G122" i="1"/>
  <c r="G57" i="1"/>
  <c r="G163" i="1"/>
  <c r="G56" i="1"/>
  <c r="G54" i="1"/>
  <c r="G53" i="1"/>
  <c r="G52" i="1"/>
  <c r="G51" i="1"/>
  <c r="G50" i="1"/>
  <c r="G119" i="1"/>
  <c r="G48" i="1"/>
  <c r="G47" i="1"/>
  <c r="G135" i="1"/>
  <c r="G32" i="1"/>
  <c r="G160" i="1"/>
  <c r="G95" i="1"/>
  <c r="G69" i="1"/>
  <c r="G28" i="1"/>
  <c r="G27" i="1"/>
  <c r="G26" i="1"/>
  <c r="G25" i="1"/>
  <c r="G68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<sst xmlns="http://schemas.openxmlformats.org/spreadsheetml/2006/main" count="677" uniqueCount="221">
  <si>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</si>
  <si>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</si>
  <si>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</si>
  <si>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</si>
  <si>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</si>
  <si>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</si>
  <si>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</si>
  <si>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</si>
  <si>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</si>
  <si>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</si>
  <si>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</si>
  <si>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</si>
  <si>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</si>
  <si>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</si>
  <si>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</si>
  <si>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</si>
  <si>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</si>
  <si>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</si>
  <si>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</si>
  <si>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</si>
  <si>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</si>
  <si>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</si>
  <si>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</si>
  <si>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</si>
  <si>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</si>
  <si>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</si>
  <si>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</si>
  <si>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</si>
  <si>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</si>
  <si>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</si>
  <si>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</si>
  <si>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</si>
  <si>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</si>
  <si>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</si>
  <si>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</si>
  <si>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</si>
  <si>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</si>
  <si>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</si>
  <si>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</si>
  <si>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</si>
  <si>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</si>
  <si>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</si>
  <si>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</si>
  <si>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</si>
  <si>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</si>
  <si>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</si>
  <si>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</si>
  <si>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</si>
  <si>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</si>
  <si>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</si>
  <si>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</si>
  <si>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</si>
  <si>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</si>
  <si>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</si>
  <si>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</si>
  <si>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</si>
  <si>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</si>
  <si>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</si>
  <si>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</si>
  <si>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</si>
  <si>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</si>
  <si>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</si>
  <si>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</si>
  <si>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</si>
  <si>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</si>
  <si>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</si>
  <si>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</si>
  <si>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</si>
  <si>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</si>
  <si>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</si>
  <si>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</si>
  <si>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</si>
  <si>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</si>
  <si>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</si>
  <si>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</si>
  <si>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</si>
  <si>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</si>
  <si>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</si>
  <si>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</si>
  <si>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</si>
  <si>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</si>
  <si>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</si>
  <si>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</si>
  <si>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</si>
  <si>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</si>
  <si>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</si>
  <si>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</si>
  <si>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</si>
  <si>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</si>
  <si>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</si>
  <si>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</si>
  <si>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</si>
  <si>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</si>
  <si>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</si>
  <si>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</si>
  <si>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</si>
  <si>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</si>
  <si>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</si>
  <si>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</si>
  <si>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</si>
  <si>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</si>
  <si>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</si>
  <si>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</si>
  <si>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</si>
  <si>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</si>
  <si>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</si>
  <si>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</si>
  <si>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</si>
  <si>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</si>
  <si>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</si>
  <si>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</si>
  <si>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</si>
  <si>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</si>
  <si>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</si>
  <si>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</si>
  <si>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</si>
  <si>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</si>
  <si>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</si>
  <si>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</si>
  <si>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</si>
  <si>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</si>
  <si>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</si>
  <si>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</si>
  <si>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</si>
  <si>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</si>
  <si>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</si>
  <si>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</si>
  <si>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</si>
  <si>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</si>
  <si>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</si>
  <si>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</si>
  <si>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</si>
  <si>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</si>
  <si>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</si>
  <si>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</si>
  <si>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</si>
  <si>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</si>
  <si>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</si>
  <si>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</si>
  <si>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</si>
  <si>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</si>
  <si>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</si>
  <si>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</si>
  <si>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</si>
  <si>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</si>
  <si>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</si>
  <si>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</si>
  <si>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</si>
  <si>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</si>
  <si>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</si>
  <si>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</si>
  <si>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</si>
  <si>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</si>
  <si>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</si>
  <si>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</si>
  <si>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</si>
  <si>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</si>
  <si>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</si>
  <si>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</si>
  <si>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</si>
  <si>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</si>
  <si>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</si>
  <si>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</si>
  <si>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</si>
  <si>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</si>
  <si>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</si>
  <si>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</si>
  <si>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</si>
  <si>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</si>
  <si>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</si>
  <si>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</si>
  <si>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</si>
  <si>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</si>
  <si>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</si>
  <si>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</si>
  <si>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</si>
  <si>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</si>
  <si>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</si>
  <si>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</si>
  <si>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</si>
  <si>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</si>
  <si>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</si>
  <si>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</si>
  <si>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</si>
  <si>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</si>
  <si>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</si>
  <si>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</si>
  <si>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</si>
  <si>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</si>
  <si>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</si>
  <si>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</si>
  <si>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</si>
  <si>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</si>
  <si>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</si>
  <si>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</si>
  <si>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</si>
  <si>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</si>
  <si>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</si>
  <si>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</si>
  <si>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</si>
  <si>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</si>
  <si>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</si>
  <si>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</si>
  <si>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</si>
  <si>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</si>
  <si>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</si>
  <si>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</si>
  <si>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</si>
  <si>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</si>
  <si>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</si>
  <si>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</si>
  <si>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</si>
  <si>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</si>
  <si>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</si>
  <si>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</si>
  <si>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</si>
  <si>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</si>
  <si>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</si>
  <si>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</si>
  <si>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</si>
  <si>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 xml:space="preserve">г. Донцк ул. Чаадаева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</si>
</sst>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60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70" zoomScaleNormal="70" workbookViewId="0">
      <pane ySplit="9" topLeftCell="A10" activePane="bottomLeft" state="frozen"/>
      <selection pane="bottomLeft" activeCell="L17" sqref="L1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130438384</v>
      </c>
      <c r="E1" s="156" t="s">
        <v>219</v>
      </c>
      <c r="F1" s="157"/>
      <c r="G1" s="157"/>
      <c r="H1" s="157"/>
      <c r="I1" s="157"/>
      <c r="J1" s="158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46271</v>
      </c>
      <c r="E3" s="7" t="s">
        <v>2</v>
      </c>
      <c r="F3" s="55"/>
      <c r="G3" s="159" t="s">
        <v>220</v>
      </c>
      <c r="H3" s="157"/>
      <c r="I3" s="157"/>
      <c r="J3" s="158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hidden="1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hidden="1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hidden="1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hidden="1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22"/>
    </row>
    <row r="18" spans="1:67" ht="16.5" hidden="1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" si="2">E22*F22</f>
        <v>0</v>
      </c>
      <c r="H22" s="14">
        <v>3.2</v>
      </c>
      <c r="I22" s="14">
        <v>60</v>
      </c>
      <c r="J22" s="29"/>
      <c r="L22" s="122"/>
    </row>
    <row r="23" spans="1:67" ht="16.5" customHeight="1" thickTop="1" x14ac:dyDescent="0.25">
      <c r="A23" s="58">
        <v>3215</v>
      </c>
      <c r="B23" s="56" t="s">
        <v>175</v>
      </c>
      <c r="C23" s="57" t="s">
        <v>20</v>
      </c>
      <c r="D23" s="72">
        <v>1001094053215</v>
      </c>
      <c r="E23" s="24">
        <v>60</v>
      </c>
      <c r="F23" s="60">
        <v>0.4</v>
      </c>
      <c r="G23" s="23">
        <f>E23*F23</f>
        <v>24</v>
      </c>
      <c r="H23" s="61">
        <v>3.2</v>
      </c>
      <c r="I23" s="61">
        <v>60</v>
      </c>
      <c r="J23" s="61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hidden="1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3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3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3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3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3986</v>
      </c>
      <c r="B29" s="54" t="s">
        <v>79</v>
      </c>
      <c r="C29" s="51" t="s">
        <v>20</v>
      </c>
      <c r="D29" s="52">
        <v>1001061973986</v>
      </c>
      <c r="E29" s="24">
        <v>70</v>
      </c>
      <c r="F29" s="23">
        <v>0.25</v>
      </c>
      <c r="G29" s="23">
        <f t="shared" si="3"/>
        <v>17.5</v>
      </c>
      <c r="H29" s="14">
        <v>2</v>
      </c>
      <c r="I29" s="14">
        <v>120</v>
      </c>
      <c r="J29" s="29"/>
      <c r="L29" s="122"/>
    </row>
    <row r="30" spans="1:67" ht="16.5" customHeight="1" x14ac:dyDescent="0.25">
      <c r="A30" s="58">
        <v>4993</v>
      </c>
      <c r="B30" s="54" t="s">
        <v>139</v>
      </c>
      <c r="C30" s="51" t="s">
        <v>20</v>
      </c>
      <c r="D30" s="52">
        <v>1001060764993</v>
      </c>
      <c r="E30" s="24">
        <v>90</v>
      </c>
      <c r="F30" s="23">
        <v>0.25</v>
      </c>
      <c r="G30" s="23">
        <f t="shared" si="3"/>
        <v>22.5</v>
      </c>
      <c r="H30" s="14">
        <v>2</v>
      </c>
      <c r="I30" s="14">
        <v>120</v>
      </c>
      <c r="J30" s="29"/>
      <c r="L30" s="122"/>
    </row>
    <row r="31" spans="1:67" ht="16.5" customHeight="1" x14ac:dyDescent="0.25">
      <c r="A31" s="58">
        <v>5483</v>
      </c>
      <c r="B31" s="54" t="s">
        <v>88</v>
      </c>
      <c r="C31" s="51" t="s">
        <v>20</v>
      </c>
      <c r="D31" s="52">
        <v>1001062505483</v>
      </c>
      <c r="E31" s="24">
        <v>200</v>
      </c>
      <c r="F31" s="23">
        <v>0.25</v>
      </c>
      <c r="G31" s="23">
        <f t="shared" si="3"/>
        <v>50</v>
      </c>
      <c r="H31" s="14">
        <v>2</v>
      </c>
      <c r="I31" s="14">
        <v>120</v>
      </c>
      <c r="J31" s="29"/>
      <c r="L31" s="122"/>
    </row>
    <row r="32" spans="1:67" s="63" customFormat="1" ht="16.5" hidden="1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3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x14ac:dyDescent="0.25">
      <c r="A33" s="58">
        <v>5495</v>
      </c>
      <c r="B33" s="56" t="s">
        <v>94</v>
      </c>
      <c r="C33" s="57" t="s">
        <v>20</v>
      </c>
      <c r="D33" s="72">
        <v>1001093345495</v>
      </c>
      <c r="E33" s="24">
        <v>120</v>
      </c>
      <c r="F33" s="60">
        <v>0.4</v>
      </c>
      <c r="G33" s="23">
        <f t="shared" si="3"/>
        <v>48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4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4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4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4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4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4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hidden="1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4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hidden="1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4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4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4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hidden="1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4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4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5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5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5679</v>
      </c>
      <c r="B49" s="54" t="s">
        <v>136</v>
      </c>
      <c r="C49" s="51" t="s">
        <v>20</v>
      </c>
      <c r="D49" s="52">
        <v>1001190765679</v>
      </c>
      <c r="E49" s="24">
        <v>200</v>
      </c>
      <c r="F49" s="23">
        <v>0.15</v>
      </c>
      <c r="G49" s="23">
        <f t="shared" si="5"/>
        <v>30</v>
      </c>
      <c r="H49" s="14">
        <v>1.2</v>
      </c>
      <c r="I49" s="14">
        <v>60</v>
      </c>
      <c r="J49" s="29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5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5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>
        <v>180</v>
      </c>
      <c r="F52" s="60">
        <v>0.4</v>
      </c>
      <c r="G52" s="23">
        <f t="shared" si="5"/>
        <v>72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5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>
        <v>0</v>
      </c>
      <c r="F54" s="152">
        <v>0.33</v>
      </c>
      <c r="G54" s="152">
        <f t="shared" si="5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5931</v>
      </c>
      <c r="B55" s="54" t="s">
        <v>77</v>
      </c>
      <c r="C55" s="51" t="s">
        <v>20</v>
      </c>
      <c r="D55" s="52">
        <v>1001060755931</v>
      </c>
      <c r="E55" s="24">
        <v>350</v>
      </c>
      <c r="F55" s="23">
        <v>0.22</v>
      </c>
      <c r="G55" s="23">
        <f t="shared" si="5"/>
        <v>77</v>
      </c>
      <c r="H55" s="14">
        <v>1.76</v>
      </c>
      <c r="I55" s="14">
        <v>120</v>
      </c>
      <c r="J55" s="29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5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5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6208</v>
      </c>
      <c r="B58" s="35" t="s">
        <v>99</v>
      </c>
      <c r="C58" s="51" t="s">
        <v>20</v>
      </c>
      <c r="D58" s="52">
        <v>1001220226208</v>
      </c>
      <c r="E58" s="24">
        <v>45</v>
      </c>
      <c r="F58" s="23">
        <v>0.15</v>
      </c>
      <c r="G58" s="23">
        <f t="shared" si="5"/>
        <v>6.75</v>
      </c>
      <c r="H58" s="14">
        <v>1.5</v>
      </c>
      <c r="I58" s="14">
        <v>45</v>
      </c>
      <c r="J58" s="29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>
        <v>0</v>
      </c>
      <c r="F59" s="23">
        <v>0.41</v>
      </c>
      <c r="G59" s="23">
        <f t="shared" si="5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5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6221</v>
      </c>
      <c r="B61" s="54" t="s">
        <v>86</v>
      </c>
      <c r="C61" s="51" t="s">
        <v>20</v>
      </c>
      <c r="D61" s="52">
        <v>1001205376221</v>
      </c>
      <c r="E61" s="24">
        <v>100</v>
      </c>
      <c r="F61" s="23">
        <v>0.09</v>
      </c>
      <c r="G61" s="23">
        <f t="shared" si="5"/>
        <v>9</v>
      </c>
      <c r="H61" s="14">
        <v>0.9</v>
      </c>
      <c r="I61" s="14">
        <v>60</v>
      </c>
      <c r="J61" s="29"/>
      <c r="L61" s="122"/>
    </row>
    <row r="62" spans="1:67" ht="16.5" customHeight="1" x14ac:dyDescent="0.25">
      <c r="A62" s="58">
        <v>6222</v>
      </c>
      <c r="B62" s="54" t="s">
        <v>133</v>
      </c>
      <c r="C62" s="51" t="s">
        <v>20</v>
      </c>
      <c r="D62" s="52">
        <v>1001205386222</v>
      </c>
      <c r="E62" s="24">
        <v>120</v>
      </c>
      <c r="F62" s="23">
        <v>0.09</v>
      </c>
      <c r="G62" s="23">
        <f t="shared" si="5"/>
        <v>10.799999999999999</v>
      </c>
      <c r="H62" s="14">
        <v>0.9</v>
      </c>
      <c r="I62" s="14">
        <v>60</v>
      </c>
      <c r="J62" s="29"/>
      <c r="L62" s="122"/>
    </row>
    <row r="63" spans="1:67" ht="16.5" customHeight="1" x14ac:dyDescent="0.25">
      <c r="A63" s="58">
        <v>6279</v>
      </c>
      <c r="B63" s="35" t="s">
        <v>98</v>
      </c>
      <c r="C63" s="51" t="s">
        <v>20</v>
      </c>
      <c r="D63" s="52">
        <v>1001220286279</v>
      </c>
      <c r="E63" s="24">
        <v>250</v>
      </c>
      <c r="F63" s="23">
        <v>0.15</v>
      </c>
      <c r="G63" s="23">
        <f t="shared" si="5"/>
        <v>37.5</v>
      </c>
      <c r="H63" s="14">
        <v>1.2</v>
      </c>
      <c r="I63" s="14">
        <v>45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5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 t="shared" si="5"/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 t="shared" si="5"/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5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6325</v>
      </c>
      <c r="B68" s="54" t="s">
        <v>32</v>
      </c>
      <c r="C68" s="51" t="s">
        <v>20</v>
      </c>
      <c r="D68" s="52">
        <v>1001010106325</v>
      </c>
      <c r="E68" s="24">
        <v>240</v>
      </c>
      <c r="F68" s="23">
        <v>0.4</v>
      </c>
      <c r="G68" s="23">
        <f t="shared" si="5"/>
        <v>96</v>
      </c>
      <c r="H68" s="14">
        <v>3.2</v>
      </c>
      <c r="I68" s="14">
        <v>60</v>
      </c>
      <c r="J68" s="29"/>
      <c r="L68" s="122"/>
    </row>
    <row r="69" spans="1:12" ht="16.5" customHeight="1" x14ac:dyDescent="0.25">
      <c r="A69" s="58">
        <v>6333</v>
      </c>
      <c r="B69" s="54" t="s">
        <v>23</v>
      </c>
      <c r="C69" s="51" t="s">
        <v>20</v>
      </c>
      <c r="D69" s="52">
        <v>1001012486333</v>
      </c>
      <c r="E69" s="24">
        <v>150</v>
      </c>
      <c r="F69" s="23">
        <v>0.4</v>
      </c>
      <c r="G69" s="23">
        <f t="shared" si="5"/>
        <v>60</v>
      </c>
      <c r="H69" s="14">
        <v>3.2</v>
      </c>
      <c r="I69" s="14">
        <v>60</v>
      </c>
      <c r="J69" s="61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 t="shared" si="5"/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5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25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5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>E74</f>
        <v>0</v>
      </c>
      <c r="H74" s="61">
        <v>3</v>
      </c>
      <c r="I74" s="61">
        <v>45</v>
      </c>
      <c r="J74" s="61"/>
      <c r="L74" s="122"/>
    </row>
    <row r="75" spans="1:12" ht="16.5" hidden="1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>E75</f>
        <v>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>E76</f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>E77</f>
        <v>0</v>
      </c>
      <c r="H77" s="14">
        <v>3</v>
      </c>
      <c r="I77" s="14">
        <v>45</v>
      </c>
      <c r="J77" s="29"/>
      <c r="L77" s="122"/>
    </row>
    <row r="78" spans="1:12" ht="16.5" hidden="1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/>
      <c r="F78" s="23">
        <v>1</v>
      </c>
      <c r="G78" s="23">
        <f>E78</f>
        <v>0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>E79*F79</f>
        <v>0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25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>E80*F80</f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>E83</f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>E84</f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>E85</f>
        <v>0</v>
      </c>
      <c r="H85" s="61">
        <v>5.04</v>
      </c>
      <c r="I85" s="61">
        <v>45</v>
      </c>
      <c r="J85" s="61"/>
      <c r="L85" s="122"/>
    </row>
    <row r="86" spans="1:12" ht="16.5" hidden="1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/>
      <c r="F86" s="60">
        <v>0.81</v>
      </c>
      <c r="G86" s="23">
        <f>E86</f>
        <v>0</v>
      </c>
      <c r="H86" s="61">
        <v>4.8600000000000003</v>
      </c>
      <c r="I86" s="61">
        <v>45</v>
      </c>
      <c r="J86" s="61"/>
      <c r="L86" s="122"/>
    </row>
    <row r="87" spans="1:12" ht="16.5" hidden="1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hidden="1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>E88</f>
        <v>0</v>
      </c>
      <c r="H88" s="61">
        <v>5.04</v>
      </c>
      <c r="I88" s="61">
        <v>50</v>
      </c>
      <c r="J88" s="61"/>
      <c r="L88" s="122"/>
    </row>
    <row r="89" spans="1:12" ht="16.5" hidden="1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/>
      <c r="F89" s="60">
        <v>0.7</v>
      </c>
      <c r="G89" s="23">
        <f>E89</f>
        <v>0</v>
      </c>
      <c r="H89" s="61">
        <v>5.6</v>
      </c>
      <c r="I89" s="61">
        <v>50</v>
      </c>
      <c r="J89" s="61"/>
      <c r="L89" s="122"/>
    </row>
    <row r="90" spans="1:12" ht="16.5" hidden="1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6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hidden="1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 t="shared" si="6"/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6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6"/>
        <v>0</v>
      </c>
      <c r="H93" s="14">
        <v>2.64</v>
      </c>
      <c r="I93" s="14">
        <v>45</v>
      </c>
      <c r="J93" s="29"/>
      <c r="L93" s="122"/>
    </row>
    <row r="94" spans="1:12" ht="16.5" hidden="1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0</v>
      </c>
      <c r="F94" s="23">
        <v>0.35</v>
      </c>
      <c r="G94" s="23">
        <f t="shared" si="6"/>
        <v>0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6392</v>
      </c>
      <c r="B95" s="54" t="s">
        <v>109</v>
      </c>
      <c r="C95" s="51" t="s">
        <v>20</v>
      </c>
      <c r="D95" s="52">
        <v>1001012566392</v>
      </c>
      <c r="E95" s="24">
        <v>300</v>
      </c>
      <c r="F95" s="23">
        <v>0.4</v>
      </c>
      <c r="G95" s="23">
        <f t="shared" si="6"/>
        <v>120</v>
      </c>
      <c r="H95" s="14">
        <v>3.2</v>
      </c>
      <c r="I95" s="14">
        <v>60</v>
      </c>
      <c r="J95" s="61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6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6448</v>
      </c>
      <c r="B97" s="35" t="s">
        <v>128</v>
      </c>
      <c r="C97" s="51" t="s">
        <v>20</v>
      </c>
      <c r="D97" s="52">
        <v>1001234146448</v>
      </c>
      <c r="E97" s="24">
        <v>126</v>
      </c>
      <c r="F97" s="23">
        <v>0.1</v>
      </c>
      <c r="G97" s="23">
        <f t="shared" si="6"/>
        <v>12.600000000000001</v>
      </c>
      <c r="H97" s="14">
        <v>1</v>
      </c>
      <c r="I97" s="14">
        <v>45</v>
      </c>
      <c r="J97" s="50"/>
      <c r="L97" s="122"/>
    </row>
    <row r="98" spans="1:67" ht="15.75" customHeight="1" x14ac:dyDescent="0.25">
      <c r="A98" s="58">
        <v>6616</v>
      </c>
      <c r="B98" s="56" t="s">
        <v>42</v>
      </c>
      <c r="C98" s="57" t="s">
        <v>20</v>
      </c>
      <c r="D98" s="72">
        <v>1001024976616</v>
      </c>
      <c r="E98" s="24">
        <v>150</v>
      </c>
      <c r="F98" s="23">
        <v>0.3</v>
      </c>
      <c r="G98" s="23">
        <f t="shared" si="6"/>
        <v>45</v>
      </c>
      <c r="H98" s="14">
        <v>2.4</v>
      </c>
      <c r="I98" s="14">
        <v>45</v>
      </c>
      <c r="J98" s="50"/>
      <c r="L98" s="122"/>
    </row>
    <row r="99" spans="1:67" ht="15.75" hidden="1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6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6713</v>
      </c>
      <c r="B100" s="56" t="s">
        <v>46</v>
      </c>
      <c r="C100" s="57" t="s">
        <v>20</v>
      </c>
      <c r="D100" s="72">
        <v>1001022246713</v>
      </c>
      <c r="E100" s="24">
        <v>50</v>
      </c>
      <c r="F100" s="23">
        <v>0.41</v>
      </c>
      <c r="G100" s="23">
        <f t="shared" si="6"/>
        <v>20.5</v>
      </c>
      <c r="H100" s="14">
        <v>3.28</v>
      </c>
      <c r="I100" s="14">
        <v>45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6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6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6754</v>
      </c>
      <c r="B103" s="35" t="s">
        <v>177</v>
      </c>
      <c r="C103" s="51" t="s">
        <v>20</v>
      </c>
      <c r="D103" s="52">
        <v>1001225406754</v>
      </c>
      <c r="E103" s="24">
        <v>60</v>
      </c>
      <c r="F103" s="23">
        <v>0.09</v>
      </c>
      <c r="G103" s="23">
        <f t="shared" si="6"/>
        <v>5.3999999999999995</v>
      </c>
      <c r="H103" s="14">
        <v>0.72</v>
      </c>
      <c r="I103" s="14">
        <v>60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6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6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6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25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6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>E110</f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>E111</f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>E112</f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7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7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7"/>
        <v>0</v>
      </c>
      <c r="H115" s="14">
        <v>1.76</v>
      </c>
      <c r="I115" s="14">
        <v>120</v>
      </c>
      <c r="J115" s="29"/>
      <c r="L115" s="122"/>
    </row>
    <row r="116" spans="1:12" ht="16.5" hidden="1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7"/>
        <v>0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7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7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6765</v>
      </c>
      <c r="B119" s="56" t="s">
        <v>40</v>
      </c>
      <c r="C119" s="57" t="s">
        <v>20</v>
      </c>
      <c r="D119" s="72">
        <v>1001023696765</v>
      </c>
      <c r="E119" s="24">
        <v>150</v>
      </c>
      <c r="F119" s="60">
        <v>0.36</v>
      </c>
      <c r="G119" s="23">
        <f t="shared" si="7"/>
        <v>54</v>
      </c>
      <c r="H119" s="61">
        <v>2.16</v>
      </c>
      <c r="I119" s="61">
        <v>45</v>
      </c>
      <c r="J119" s="61"/>
      <c r="L119" s="122"/>
    </row>
    <row r="120" spans="1:12" ht="16.5" hidden="1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7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7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6837</v>
      </c>
      <c r="B122" s="56" t="s">
        <v>47</v>
      </c>
      <c r="C122" s="57" t="s">
        <v>20</v>
      </c>
      <c r="D122" s="72">
        <v>1001022556837</v>
      </c>
      <c r="E122" s="24">
        <v>200</v>
      </c>
      <c r="F122" s="60">
        <v>0.4</v>
      </c>
      <c r="G122" s="23">
        <f t="shared" si="7"/>
        <v>80</v>
      </c>
      <c r="H122" s="61">
        <v>2.4</v>
      </c>
      <c r="I122" s="61">
        <v>45</v>
      </c>
      <c r="J122" s="61"/>
      <c r="L122" s="122"/>
    </row>
    <row r="123" spans="1:12" ht="16.5" customHeight="1" x14ac:dyDescent="0.25">
      <c r="A123" s="58">
        <v>6937</v>
      </c>
      <c r="B123" s="54" t="s">
        <v>141</v>
      </c>
      <c r="C123" s="51" t="s">
        <v>20</v>
      </c>
      <c r="D123" s="52">
        <v>1001063106937</v>
      </c>
      <c r="E123" s="24">
        <v>100</v>
      </c>
      <c r="F123" s="23">
        <v>0.25</v>
      </c>
      <c r="G123" s="23">
        <f t="shared" si="7"/>
        <v>25</v>
      </c>
      <c r="H123" s="14">
        <v>2</v>
      </c>
      <c r="I123" s="14">
        <v>120</v>
      </c>
      <c r="J123" s="29"/>
      <c r="L123" s="122"/>
    </row>
    <row r="124" spans="1:12" ht="16.5" customHeight="1" x14ac:dyDescent="0.25">
      <c r="A124" s="58">
        <v>6967</v>
      </c>
      <c r="B124" s="54" t="s">
        <v>83</v>
      </c>
      <c r="C124" s="51" t="s">
        <v>20</v>
      </c>
      <c r="D124" s="52">
        <v>1001063656967</v>
      </c>
      <c r="E124" s="24">
        <v>50</v>
      </c>
      <c r="F124" s="23">
        <v>0.25</v>
      </c>
      <c r="G124" s="23">
        <f t="shared" si="7"/>
        <v>12.5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7066</v>
      </c>
      <c r="B125" s="56" t="s">
        <v>55</v>
      </c>
      <c r="C125" s="57" t="s">
        <v>20</v>
      </c>
      <c r="D125" s="72">
        <v>1001022377066</v>
      </c>
      <c r="E125" s="24">
        <v>300</v>
      </c>
      <c r="F125" s="23">
        <v>0.41</v>
      </c>
      <c r="G125" s="23">
        <f t="shared" si="7"/>
        <v>122.99999999999999</v>
      </c>
      <c r="H125" s="14">
        <v>4.0999999999999996</v>
      </c>
      <c r="I125" s="14">
        <v>50</v>
      </c>
      <c r="J125" s="29"/>
      <c r="L125" s="122"/>
    </row>
    <row r="126" spans="1:12" ht="16.5" customHeight="1" x14ac:dyDescent="0.25">
      <c r="A126" s="58">
        <v>7090</v>
      </c>
      <c r="B126" s="35" t="s">
        <v>100</v>
      </c>
      <c r="C126" s="51" t="s">
        <v>20</v>
      </c>
      <c r="D126" s="52">
        <v>1001084217090</v>
      </c>
      <c r="E126" s="24">
        <v>200</v>
      </c>
      <c r="F126" s="23">
        <v>0.3</v>
      </c>
      <c r="G126" s="23">
        <f t="shared" si="7"/>
        <v>60</v>
      </c>
      <c r="H126" s="14">
        <v>1.8</v>
      </c>
      <c r="I126" s="14">
        <v>50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>E128</f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8"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7103</v>
      </c>
      <c r="B130" s="35" t="s">
        <v>176</v>
      </c>
      <c r="C130" s="51" t="s">
        <v>20</v>
      </c>
      <c r="D130" s="52">
        <v>1001223297103</v>
      </c>
      <c r="E130" s="24">
        <v>100</v>
      </c>
      <c r="F130" s="23">
        <v>0.18</v>
      </c>
      <c r="G130" s="23">
        <f t="shared" si="8"/>
        <v>18</v>
      </c>
      <c r="H130" s="14">
        <v>1.8</v>
      </c>
      <c r="I130" s="14">
        <v>50</v>
      </c>
      <c r="J130" s="29"/>
      <c r="L130" s="122"/>
    </row>
    <row r="131" spans="1:67" ht="16.5" customHeight="1" x14ac:dyDescent="0.25">
      <c r="A131" s="58">
        <v>7154</v>
      </c>
      <c r="B131" s="54" t="s">
        <v>64</v>
      </c>
      <c r="C131" s="51" t="s">
        <v>20</v>
      </c>
      <c r="D131" s="52">
        <v>1001300387154</v>
      </c>
      <c r="E131" s="24">
        <v>150</v>
      </c>
      <c r="F131" s="23">
        <v>0.35</v>
      </c>
      <c r="G131" s="23">
        <f t="shared" si="8"/>
        <v>52.5</v>
      </c>
      <c r="H131" s="14">
        <v>2.8</v>
      </c>
      <c r="I131" s="14">
        <v>50</v>
      </c>
      <c r="J131" s="29"/>
      <c r="L131" s="122"/>
    </row>
    <row r="132" spans="1:67" ht="16.5" hidden="1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8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58">
        <v>7169</v>
      </c>
      <c r="B133" s="116" t="s">
        <v>70</v>
      </c>
      <c r="C133" s="57" t="s">
        <v>20</v>
      </c>
      <c r="D133" s="59">
        <v>1001303987169</v>
      </c>
      <c r="E133" s="24">
        <v>200</v>
      </c>
      <c r="F133" s="23">
        <v>0.35</v>
      </c>
      <c r="G133" s="23">
        <f t="shared" si="8"/>
        <v>70</v>
      </c>
      <c r="H133" s="14">
        <v>2.8</v>
      </c>
      <c r="I133" s="14">
        <v>50</v>
      </c>
      <c r="J133" s="29"/>
      <c r="L133" s="122"/>
    </row>
    <row r="134" spans="1:67" ht="16.5" customHeight="1" x14ac:dyDescent="0.25">
      <c r="A134" s="58">
        <v>7177</v>
      </c>
      <c r="B134" s="54" t="s">
        <v>124</v>
      </c>
      <c r="C134" s="51" t="s">
        <v>20</v>
      </c>
      <c r="D134" s="52">
        <v>1001302347177</v>
      </c>
      <c r="E134" s="24">
        <v>200</v>
      </c>
      <c r="F134" s="23">
        <v>0.35</v>
      </c>
      <c r="G134" s="23">
        <f t="shared" si="8"/>
        <v>70</v>
      </c>
      <c r="H134" s="14">
        <v>2.8</v>
      </c>
      <c r="I134" s="14">
        <v>50</v>
      </c>
      <c r="J134" s="29"/>
      <c r="L134" s="122"/>
    </row>
    <row r="135" spans="1:67" ht="16.5" customHeight="1" x14ac:dyDescent="0.25">
      <c r="A135" s="58">
        <v>7231</v>
      </c>
      <c r="B135" s="56" t="s">
        <v>33</v>
      </c>
      <c r="C135" s="57" t="s">
        <v>20</v>
      </c>
      <c r="D135" s="72">
        <v>1001013957231</v>
      </c>
      <c r="E135" s="24">
        <v>250</v>
      </c>
      <c r="F135" s="60">
        <v>0.3</v>
      </c>
      <c r="G135" s="23">
        <f t="shared" si="8"/>
        <v>75</v>
      </c>
      <c r="H135" s="61">
        <v>2.4</v>
      </c>
      <c r="I135" s="61">
        <v>60</v>
      </c>
      <c r="J135" s="61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8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8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8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hidden="1" customHeight="1" thickBot="1" x14ac:dyDescent="0.25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8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>E144</f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>E145</f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>E146</f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7236</v>
      </c>
      <c r="B147" s="54" t="s">
        <v>68</v>
      </c>
      <c r="C147" s="51" t="s">
        <v>20</v>
      </c>
      <c r="D147" s="155">
        <v>1001304507236</v>
      </c>
      <c r="E147" s="24">
        <v>100</v>
      </c>
      <c r="F147" s="23">
        <v>0.28000000000000003</v>
      </c>
      <c r="G147" s="23">
        <f t="shared" ref="G147:G152" si="9">E147*F147</f>
        <v>28.000000000000004</v>
      </c>
      <c r="H147" s="14">
        <v>2.2400000000000002</v>
      </c>
      <c r="I147" s="14">
        <v>45</v>
      </c>
      <c r="J147" s="29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7241</v>
      </c>
      <c r="B148" s="54" t="s">
        <v>63</v>
      </c>
      <c r="C148" s="51" t="s">
        <v>20</v>
      </c>
      <c r="D148" s="155">
        <v>1001303107241</v>
      </c>
      <c r="E148" s="24">
        <v>200</v>
      </c>
      <c r="F148" s="23">
        <v>0.28000000000000003</v>
      </c>
      <c r="G148" s="23">
        <f t="shared" si="9"/>
        <v>56.000000000000007</v>
      </c>
      <c r="H148" s="14">
        <v>2.2400000000000002</v>
      </c>
      <c r="I148" s="14">
        <v>45</v>
      </c>
      <c r="J148" s="29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9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9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hidden="1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 t="shared" si="9"/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customHeight="1" x14ac:dyDescent="0.25">
      <c r="A152" s="58">
        <v>7255</v>
      </c>
      <c r="B152" s="56" t="s">
        <v>37</v>
      </c>
      <c r="C152" s="57" t="s">
        <v>20</v>
      </c>
      <c r="D152" s="112">
        <v>1001025507255</v>
      </c>
      <c r="E152" s="24">
        <v>240</v>
      </c>
      <c r="F152" s="23">
        <v>0.4</v>
      </c>
      <c r="G152" s="23">
        <f t="shared" si="9"/>
        <v>96</v>
      </c>
      <c r="H152" s="14">
        <v>2.4</v>
      </c>
      <c r="I152" s="14">
        <v>50</v>
      </c>
      <c r="J152" s="29"/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25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hidden="1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hidden="1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5" si="10">E157*F157</f>
        <v>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0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7276</v>
      </c>
      <c r="B159" s="56" t="s">
        <v>54</v>
      </c>
      <c r="C159" s="57" t="s">
        <v>20</v>
      </c>
      <c r="D159" s="72">
        <v>1001022467276</v>
      </c>
      <c r="E159" s="24">
        <v>120</v>
      </c>
      <c r="F159" s="23">
        <v>0.3</v>
      </c>
      <c r="G159" s="23">
        <f t="shared" si="10"/>
        <v>36</v>
      </c>
      <c r="H159" s="14">
        <v>2.1</v>
      </c>
      <c r="I159" s="14">
        <v>50</v>
      </c>
      <c r="J159" s="29"/>
      <c r="L159" s="122"/>
    </row>
    <row r="160" spans="1:67" ht="16.5" customHeight="1" x14ac:dyDescent="0.25">
      <c r="A160" s="58">
        <v>7343</v>
      </c>
      <c r="B160" s="54" t="s">
        <v>31</v>
      </c>
      <c r="C160" s="51" t="s">
        <v>20</v>
      </c>
      <c r="D160" s="106">
        <v>1001016747343</v>
      </c>
      <c r="E160" s="24">
        <v>122</v>
      </c>
      <c r="F160" s="23">
        <v>0.4</v>
      </c>
      <c r="G160" s="23">
        <f t="shared" si="10"/>
        <v>48.800000000000004</v>
      </c>
      <c r="H160" s="14">
        <v>3.2</v>
      </c>
      <c r="I160" s="14">
        <v>60</v>
      </c>
      <c r="J160" s="29"/>
      <c r="L160" s="122"/>
    </row>
    <row r="161" spans="1:12" ht="16.5" customHeight="1" x14ac:dyDescent="0.25">
      <c r="A161" s="58">
        <v>7382</v>
      </c>
      <c r="B161" s="54" t="s">
        <v>84</v>
      </c>
      <c r="C161" s="51" t="s">
        <v>20</v>
      </c>
      <c r="D161" s="52">
        <v>1001203117382</v>
      </c>
      <c r="E161" s="24">
        <v>260</v>
      </c>
      <c r="F161" s="23">
        <v>0.12</v>
      </c>
      <c r="G161" s="23">
        <f t="shared" si="10"/>
        <v>31.2</v>
      </c>
      <c r="H161" s="14">
        <v>0.96</v>
      </c>
      <c r="I161" s="14">
        <v>60</v>
      </c>
      <c r="J161" s="29"/>
      <c r="L161" s="122"/>
    </row>
    <row r="162" spans="1:12" ht="16.5" hidden="1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0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7461</v>
      </c>
      <c r="B163" s="56" t="s">
        <v>189</v>
      </c>
      <c r="C163" s="57" t="s">
        <v>20</v>
      </c>
      <c r="D163" s="72">
        <v>1001025767461</v>
      </c>
      <c r="E163" s="24">
        <v>100</v>
      </c>
      <c r="F163" s="60">
        <v>0.33</v>
      </c>
      <c r="G163" s="23">
        <f t="shared" si="10"/>
        <v>33</v>
      </c>
      <c r="H163" s="61">
        <v>1.98</v>
      </c>
      <c r="I163" s="61">
        <v>30</v>
      </c>
      <c r="J163" s="53" t="s">
        <v>213</v>
      </c>
      <c r="L163" s="122"/>
    </row>
    <row r="164" spans="1:12" ht="16.5" customHeight="1" x14ac:dyDescent="0.25">
      <c r="A164" s="145">
        <v>7616</v>
      </c>
      <c r="B164" s="54" t="s">
        <v>206</v>
      </c>
      <c r="C164" s="51" t="s">
        <v>20</v>
      </c>
      <c r="D164" s="52">
        <v>1001062507616</v>
      </c>
      <c r="E164" s="24">
        <v>200</v>
      </c>
      <c r="F164" s="23">
        <v>0.1</v>
      </c>
      <c r="G164" s="23">
        <f t="shared" si="10"/>
        <v>20</v>
      </c>
      <c r="H164" s="14">
        <v>1.4</v>
      </c>
      <c r="I164" s="14">
        <v>60</v>
      </c>
      <c r="J164" s="53" t="s">
        <v>207</v>
      </c>
      <c r="L164" s="122"/>
    </row>
    <row r="165" spans="1:12" ht="16.5" customHeight="1" thickBot="1" x14ac:dyDescent="0.3">
      <c r="A165" s="145">
        <v>7651</v>
      </c>
      <c r="B165" s="56" t="s">
        <v>197</v>
      </c>
      <c r="C165" s="57" t="s">
        <v>20</v>
      </c>
      <c r="D165" s="72">
        <v>1001097767651</v>
      </c>
      <c r="E165" s="24">
        <v>20</v>
      </c>
      <c r="F165" s="60">
        <v>0.1</v>
      </c>
      <c r="G165" s="23">
        <f t="shared" si="10"/>
        <v>2</v>
      </c>
      <c r="H165" s="61">
        <v>1</v>
      </c>
      <c r="I165" s="61">
        <v>30</v>
      </c>
      <c r="J165" s="146" t="s">
        <v>196</v>
      </c>
      <c r="L165" s="122"/>
    </row>
    <row r="166" spans="1:12" ht="16.5" hidden="1" customHeight="1" x14ac:dyDescent="0.3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ref="G166:G167" si="11">E166*F166</f>
        <v>0</v>
      </c>
      <c r="H166" s="14">
        <v>0.9</v>
      </c>
      <c r="I166" s="14">
        <v>45</v>
      </c>
      <c r="J166" s="29"/>
      <c r="L166" s="122"/>
    </row>
    <row r="167" spans="1:12" ht="16.5" hidden="1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1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6123</v>
      </c>
      <c r="F168" s="17"/>
      <c r="G168" s="17">
        <f>SUM(G11:G167)</f>
        <v>1755.55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filters>
        <filter val="100"/>
        <filter val="120"/>
        <filter val="122"/>
        <filter val="126"/>
        <filter val="150"/>
        <filter val="180"/>
        <filter val="20"/>
        <filter val="200"/>
        <filter val="240"/>
        <filter val="250"/>
        <filter val="260"/>
        <filter val="300"/>
        <filter val="350"/>
        <filter val="45"/>
        <filter val="50"/>
        <filter val="6 123,00"/>
        <filter val="60"/>
        <filter val="70"/>
        <filter val="90"/>
      </filters>
    </filterColumn>
    <sortState xmlns:xlrd2="http://schemas.microsoft.com/office/spreadsheetml/2017/richdata2" ref="A23:J165">
      <sortCondition ref="A9:A168"/>
    </sortState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2026-09-07T12:09:48Z</dcterms:modified>
</cp:coreProperties>
</file>