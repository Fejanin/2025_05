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31,08,26 Останкино КИ и ЗПФ\машина САП 06,09 Донецк_КарловаБаранова_Малахутин_ПРС КИ\"/>
    </mc:Choice>
  </mc:AlternateContent>
  <xr:revisionPtr revIDLastSave="0" documentId="13_ncr:1_{A0C87268-8EC0-4200-A354-E55E1C9DC5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<sst xmlns="http://schemas.openxmlformats.org/spreadsheetml/2006/main" count="677" uniqueCount="221">
  <si>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</si>
  <si>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</si>
  <si>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</si>
  <si>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</si>
  <si>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</si>
  <si>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</si>
  <si>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</si>
  <si>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</si>
  <si>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</si>
  <si>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</si>
  <si>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</si>
  <si>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</si>
  <si>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</si>
  <si>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</si>
  <si>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</si>
  <si>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</si>
  <si>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</si>
  <si>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</si>
  <si>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</si>
  <si>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</si>
  <si>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</si>
  <si>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</si>
  <si>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</si>
  <si>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</si>
  <si>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</si>
  <si>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</si>
  <si>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</si>
  <si>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</si>
  <si>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</si>
  <si>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</si>
  <si>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</si>
  <si>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</si>
  <si>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</si>
  <si>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</si>
  <si>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</si>
  <si>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</si>
  <si>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</si>
  <si>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</si>
  <si>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</si>
  <si>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</si>
  <si>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</si>
  <si>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</si>
  <si>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</si>
  <si>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</si>
  <si>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</si>
  <si>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</si>
  <si>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</si>
  <si>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</si>
  <si>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</si>
  <si>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</si>
  <si>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</si>
  <si>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</si>
  <si>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</si>
  <si>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</si>
  <si>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</si>
  <si>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</si>
  <si>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</si>
  <si>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</si>
  <si>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</si>
  <si>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</si>
  <si>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</si>
  <si>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</si>
  <si>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</si>
  <si>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</si>
  <si>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</si>
  <si>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</si>
  <si>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</si>
  <si>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</si>
  <si>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</si>
  <si>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</si>
  <si>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</si>
  <si>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</si>
  <si>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</si>
  <si>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</si>
  <si>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</si>
  <si>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</si>
  <si>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</si>
  <si>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</si>
  <si>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</si>
  <si>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</si>
  <si>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</si>
  <si>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</si>
  <si>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</si>
  <si>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</si>
  <si>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</si>
  <si>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</si>
  <si>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</si>
  <si>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</si>
  <si>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</si>
  <si>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</si>
  <si>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</si>
  <si>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</si>
  <si>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</si>
  <si>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</si>
  <si>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</si>
  <si>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</si>
  <si>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</si>
  <si>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</si>
  <si>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</si>
  <si>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</si>
  <si>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</si>
  <si>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</si>
  <si>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</si>
  <si>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</si>
  <si>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</si>
  <si>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</si>
  <si>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</si>
  <si>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</si>
  <si>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</si>
  <si>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</si>
  <si>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</si>
  <si>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</si>
  <si>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</si>
  <si>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</si>
  <si>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</si>
  <si>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</si>
  <si>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</si>
  <si>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</si>
  <si>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</si>
  <si>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</si>
  <si>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</si>
  <si>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</si>
  <si>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</si>
  <si>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</si>
  <si>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</si>
  <si>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</si>
  <si>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</si>
  <si>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</si>
  <si>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</si>
  <si>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</si>
  <si>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</si>
  <si>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</si>
  <si>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</si>
  <si>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</si>
  <si>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</si>
  <si>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</si>
  <si>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</si>
  <si>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</si>
  <si>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</si>
  <si>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</si>
  <si>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</si>
  <si>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</si>
  <si>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</si>
  <si>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</si>
  <si>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</si>
  <si>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</si>
  <si>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</si>
  <si>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</si>
  <si>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</si>
  <si>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</si>
  <si>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</si>
  <si>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</si>
  <si>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</si>
  <si>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</si>
  <si>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</si>
  <si>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</si>
  <si>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</si>
  <si>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</si>
  <si>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</si>
  <si>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</si>
  <si>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</si>
  <si>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</si>
  <si>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</si>
  <si>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</si>
  <si>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</si>
  <si>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</si>
  <si>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</si>
  <si>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</si>
  <si>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</si>
  <si>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</si>
  <si>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</si>
  <si>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</si>
  <si>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</si>
  <si>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</si>
  <si>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</si>
  <si>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</si>
  <si>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</si>
  <si>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</si>
  <si>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</si>
  <si>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</si>
  <si>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</si>
  <si>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</si>
  <si>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</si>
  <si>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</si>
  <si>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</si>
  <si>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</si>
  <si>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</si>
  <si>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</si>
  <si>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</si>
  <si>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</si>
  <si>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</si>
  <si>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</si>
  <si>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</si>
  <si>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</si>
  <si>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</si>
  <si>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</si>
  <si>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</si>
  <si>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</si>
  <si>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</si>
  <si>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</si>
  <si>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</si>
  <si>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</si>
  <si>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</si>
  <si>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</si>
  <si>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</si>
  <si>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</si>
  <si>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</si>
  <si>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</si>
  <si>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</si>
  <si>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</si>
  <si>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</si>
  <si>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</si>
  <si>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</si>
  <si>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</si>
  <si>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</si>
  <si>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</si>
  <si>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</si>
  <si>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</si>
  <si>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</si>
  <si>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г. Донецк ул. Чаадаева 1</t>
  </si>
  <si>
    <t>ООО "Логистический партнер" опт Малахутин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</si>
</sst>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14" activePane="bottomLeft" state="frozen"/>
      <selection pane="bottomLeft" activeCell="E14" sqref="E1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5" t="s">
        <v>220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46271</v>
      </c>
      <c r="E3" s="7" t="s">
        <v>2</v>
      </c>
      <c r="F3" s="55"/>
      <c r="G3" s="158" t="s">
        <v>219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thickTop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>
        <v>30</v>
      </c>
      <c r="F14" s="23">
        <v>1.35</v>
      </c>
      <c r="G14" s="23">
        <f t="shared" si="1"/>
        <v>30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>
        <v>150</v>
      </c>
      <c r="F16" s="23">
        <v>1.35</v>
      </c>
      <c r="G16" s="23">
        <f t="shared" si="1"/>
        <v>150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>
        <v>30</v>
      </c>
      <c r="F17" s="23">
        <v>1.35</v>
      </c>
      <c r="G17" s="23">
        <f t="shared" si="1"/>
        <v>30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>
        <v>20</v>
      </c>
      <c r="F18" s="23">
        <v>1</v>
      </c>
      <c r="G18" s="23">
        <f t="shared" si="1"/>
        <v>20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36</v>
      </c>
      <c r="F23" s="23">
        <v>0.4</v>
      </c>
      <c r="G23" s="23">
        <f t="shared" si="2"/>
        <v>14.4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42</v>
      </c>
      <c r="F25" s="60">
        <v>0.4</v>
      </c>
      <c r="G25" s="23">
        <f t="shared" ref="G25:G33" si="4">E25*F25</f>
        <v>16.8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>
        <v>48</v>
      </c>
      <c r="F26" s="60">
        <v>0.4</v>
      </c>
      <c r="G26" s="23">
        <f t="shared" si="4"/>
        <v>19.200000000000003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hidden="1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36</v>
      </c>
      <c r="F30" s="23">
        <v>0.4</v>
      </c>
      <c r="G30" s="23">
        <f t="shared" si="4"/>
        <v>14.4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>
        <v>32</v>
      </c>
      <c r="F32" s="60">
        <v>0.4</v>
      </c>
      <c r="G32" s="23">
        <f t="shared" si="4"/>
        <v>12.8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>
        <v>25</v>
      </c>
      <c r="F40" s="60">
        <v>1.5</v>
      </c>
      <c r="G40" s="23">
        <f t="shared" si="5"/>
        <v>25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>
        <v>100</v>
      </c>
      <c r="F41" s="60">
        <v>2.1</v>
      </c>
      <c r="G41" s="23">
        <f t="shared" si="5"/>
        <v>100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>
        <v>100</v>
      </c>
      <c r="F42" s="60">
        <v>1.5</v>
      </c>
      <c r="G42" s="23">
        <f t="shared" si="5"/>
        <v>100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>
        <v>60</v>
      </c>
      <c r="F44" s="60">
        <v>1.5</v>
      </c>
      <c r="G44" s="23">
        <f t="shared" si="5"/>
        <v>60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>
        <v>70</v>
      </c>
      <c r="F45" s="60">
        <v>1.5</v>
      </c>
      <c r="G45" s="23">
        <f t="shared" si="5"/>
        <v>70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>
        <v>32</v>
      </c>
      <c r="F46" s="60">
        <v>1.5</v>
      </c>
      <c r="G46" s="23">
        <f t="shared" si="5"/>
        <v>32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>
        <v>16</v>
      </c>
      <c r="F48" s="60">
        <v>0.41</v>
      </c>
      <c r="G48" s="23">
        <f t="shared" si="6"/>
        <v>6.56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hidden="1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6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hidden="1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6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36</v>
      </c>
      <c r="F55" s="60">
        <v>0.33</v>
      </c>
      <c r="G55" s="23">
        <f>E55*F55</f>
        <v>11.88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hidden="1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6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hidden="1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30</v>
      </c>
      <c r="F63" s="23">
        <v>0.4</v>
      </c>
      <c r="G63" s="23">
        <f t="shared" si="6"/>
        <v>12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hidden="1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hidden="1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/>
      <c r="F69" s="23">
        <v>0.3</v>
      </c>
      <c r="G69" s="23">
        <f t="shared" si="6"/>
        <v>0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>
        <v>40</v>
      </c>
      <c r="F76" s="23">
        <v>1</v>
      </c>
      <c r="G76" s="23">
        <f t="shared" si="7"/>
        <v>40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>
        <v>40</v>
      </c>
      <c r="F78" s="23">
        <v>1</v>
      </c>
      <c r="G78" s="23">
        <f t="shared" si="7"/>
        <v>40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customHeigh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>
        <v>36</v>
      </c>
      <c r="F80" s="23">
        <v>0.4</v>
      </c>
      <c r="G80" s="23">
        <f t="shared" si="8"/>
        <v>14.4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>
        <v>40</v>
      </c>
      <c r="F86" s="60">
        <v>0.81</v>
      </c>
      <c r="G86" s="23">
        <f t="shared" si="9"/>
        <v>40</v>
      </c>
      <c r="H86" s="61">
        <v>4.8600000000000003</v>
      </c>
      <c r="I86" s="61">
        <v>45</v>
      </c>
      <c r="J86" s="61"/>
      <c r="L86" s="122"/>
    </row>
    <row r="87" spans="1:12" ht="16.5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>
        <v>30</v>
      </c>
      <c r="F87" s="60">
        <v>0.84</v>
      </c>
      <c r="G87" s="23">
        <f>E87*F87</f>
        <v>25.2</v>
      </c>
      <c r="H87" s="61">
        <v>5.04</v>
      </c>
      <c r="I87" s="61">
        <v>50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>
        <v>40</v>
      </c>
      <c r="F88" s="60">
        <v>0.63</v>
      </c>
      <c r="G88" s="23">
        <f t="shared" ref="G88:G89" si="10">E88</f>
        <v>40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50</v>
      </c>
      <c r="F89" s="60">
        <v>0.7</v>
      </c>
      <c r="G89" s="23">
        <f t="shared" si="10"/>
        <v>50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>
        <v>60</v>
      </c>
      <c r="F90" s="23">
        <v>0.33</v>
      </c>
      <c r="G90" s="23">
        <f t="shared" ref="G90:G107" si="11">E90*F90</f>
        <v>19.8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60</v>
      </c>
      <c r="F94" s="23">
        <v>0.35</v>
      </c>
      <c r="G94" s="23">
        <f t="shared" si="11"/>
        <v>21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40</v>
      </c>
      <c r="F95" s="23">
        <v>0.35</v>
      </c>
      <c r="G95" s="23">
        <f t="shared" si="11"/>
        <v>14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60</v>
      </c>
      <c r="F97" s="23">
        <v>0.28000000000000003</v>
      </c>
      <c r="G97" s="23">
        <f t="shared" si="11"/>
        <v>16.8</v>
      </c>
      <c r="H97" s="14">
        <v>2.2400000000000002</v>
      </c>
      <c r="I97" s="14">
        <v>45</v>
      </c>
      <c r="J97" s="50"/>
      <c r="L97" s="122"/>
    </row>
    <row r="98" spans="1:67" ht="15.75" hidden="1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>
        <v>36</v>
      </c>
      <c r="F99" s="23">
        <v>0.28000000000000003</v>
      </c>
      <c r="G99" s="23">
        <f t="shared" si="11"/>
        <v>10.080000000000002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80</v>
      </c>
      <c r="F100" s="23">
        <v>0.35</v>
      </c>
      <c r="G100" s="23">
        <f t="shared" si="11"/>
        <v>28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hidden="1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>
        <v>32</v>
      </c>
      <c r="F116" s="23">
        <v>0.22</v>
      </c>
      <c r="G116" s="23">
        <f t="shared" si="13"/>
        <v>7.04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16</v>
      </c>
      <c r="F119" s="23">
        <v>0.25</v>
      </c>
      <c r="G119" s="23">
        <f t="shared" si="13"/>
        <v>4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>
        <v>16</v>
      </c>
      <c r="F120" s="23">
        <v>0.22</v>
      </c>
      <c r="G120" s="23">
        <f t="shared" si="13"/>
        <v>3.52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16</v>
      </c>
      <c r="F122" s="23">
        <v>0.25</v>
      </c>
      <c r="G122" s="23">
        <f t="shared" si="13"/>
        <v>4</v>
      </c>
      <c r="H122" s="14">
        <v>2</v>
      </c>
      <c r="I122" s="14">
        <v>120</v>
      </c>
      <c r="J122" s="29"/>
      <c r="L122" s="122"/>
    </row>
    <row r="123" spans="1:12" ht="16.5" hidden="1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>
        <v>60</v>
      </c>
      <c r="F124" s="23">
        <v>0.25</v>
      </c>
      <c r="G124" s="23">
        <f t="shared" si="13"/>
        <v>15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40</v>
      </c>
      <c r="F125" s="23">
        <v>0.25</v>
      </c>
      <c r="G125" s="23">
        <f t="shared" si="13"/>
        <v>10</v>
      </c>
      <c r="H125" s="14">
        <v>2</v>
      </c>
      <c r="I125" s="14">
        <v>120</v>
      </c>
      <c r="J125" s="29"/>
      <c r="L125" s="122"/>
    </row>
    <row r="126" spans="1:12" ht="16.5" hidden="1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/>
      <c r="F126" s="23">
        <v>0.22</v>
      </c>
      <c r="G126" s="23">
        <f t="shared" si="13"/>
        <v>0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hidden="1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20</v>
      </c>
      <c r="F131" s="23">
        <v>0.12</v>
      </c>
      <c r="G131" s="23">
        <f t="shared" si="15"/>
        <v>2.4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>
        <v>40</v>
      </c>
      <c r="F132" s="23">
        <v>0.1</v>
      </c>
      <c r="G132" s="23">
        <f t="shared" si="15"/>
        <v>4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40</v>
      </c>
      <c r="F133" s="23">
        <v>0.1</v>
      </c>
      <c r="G133" s="23">
        <f t="shared" si="15"/>
        <v>4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10</v>
      </c>
      <c r="F134" s="23">
        <v>0.09</v>
      </c>
      <c r="G134" s="23">
        <f t="shared" si="15"/>
        <v>0.89999999999999991</v>
      </c>
      <c r="H134" s="14">
        <v>0.9</v>
      </c>
      <c r="I134" s="14">
        <v>60</v>
      </c>
      <c r="J134" s="29"/>
      <c r="L134" s="122"/>
    </row>
    <row r="135" spans="1:67" ht="16.5" hidden="1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>
        <v>10</v>
      </c>
      <c r="F139" s="23">
        <v>0.1</v>
      </c>
      <c r="G139" s="23">
        <f t="shared" si="15"/>
        <v>1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16</v>
      </c>
      <c r="F147" s="60">
        <v>0.4</v>
      </c>
      <c r="G147" s="23">
        <f t="shared" ref="G147:G150" si="17">E147*F147</f>
        <v>6.4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60</v>
      </c>
      <c r="F148" s="60">
        <v>0.4</v>
      </c>
      <c r="G148" s="23">
        <f t="shared" si="17"/>
        <v>24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hidden="1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>
        <v>60</v>
      </c>
      <c r="F157" s="23">
        <v>0.3</v>
      </c>
      <c r="G157" s="23">
        <f t="shared" ref="G157:G167" si="18">E157*F157</f>
        <v>18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50</v>
      </c>
      <c r="F159" s="23">
        <v>0.3</v>
      </c>
      <c r="G159" s="23">
        <f t="shared" si="18"/>
        <v>15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40</v>
      </c>
      <c r="F160" s="23">
        <v>0.18</v>
      </c>
      <c r="G160" s="23">
        <f t="shared" si="18"/>
        <v>7.1999999999999993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30</v>
      </c>
      <c r="F161" s="23">
        <v>0.15</v>
      </c>
      <c r="G161" s="23">
        <f t="shared" si="18"/>
        <v>4.5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hidden="1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10</v>
      </c>
      <c r="F164" s="23">
        <v>0.09</v>
      </c>
      <c r="G164" s="23">
        <f t="shared" si="18"/>
        <v>0.89999999999999991</v>
      </c>
      <c r="H164" s="14">
        <v>0.72</v>
      </c>
      <c r="I164" s="14">
        <v>60</v>
      </c>
      <c r="J164" s="29"/>
      <c r="L164" s="122"/>
    </row>
    <row r="165" spans="1:12" ht="16.5" hidden="1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>
        <v>40</v>
      </c>
      <c r="F167" s="23">
        <v>0.1</v>
      </c>
      <c r="G167" s="23">
        <f t="shared" si="18"/>
        <v>4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2111</v>
      </c>
      <c r="F168" s="17"/>
      <c r="G168" s="17">
        <f>SUM(G11:G167)</f>
        <v>1220.18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2026-09-07T12:08:25Z</dcterms:modified>
</cp:coreProperties>
</file>