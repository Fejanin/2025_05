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 и ЗПФ\"/>
    </mc:Choice>
  </mc:AlternateContent>
  <xr:revisionPtr revIDLastSave="0" documentId="13_ncr:1_{B497ECBF-DEC5-42CF-B63C-FE5D164EEA0F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овинки" sheetId="2" r:id="rId2"/>
    <sheet name="вывод" sheetId="3" r:id="rId3"/>
  </sheets>
  <externalReferences>
    <externalReference r:id="rId4"/>
  </externalReferences>
  <definedNames>
    <definedName name="_xlnm._FilterDatabase" localSheetId="0" hidden="1">Sheet!$A$3:$AG$103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7" i="1" l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G31" i="1"/>
  <c r="AG32" i="1"/>
  <c r="AG33" i="1"/>
  <c r="AG34" i="1"/>
  <c r="AG35" i="1"/>
  <c r="AG36" i="1"/>
  <c r="AG37" i="1"/>
  <c r="AG38" i="1"/>
  <c r="AG39" i="1"/>
  <c r="AG40" i="1"/>
  <c r="AG41" i="1"/>
  <c r="AG42" i="1"/>
  <c r="AG43" i="1"/>
  <c r="AG44" i="1"/>
  <c r="AG45" i="1"/>
  <c r="AG46" i="1"/>
  <c r="AG47" i="1"/>
  <c r="AG48" i="1"/>
  <c r="AG49" i="1"/>
  <c r="AG50" i="1"/>
  <c r="AG51" i="1"/>
  <c r="AG52" i="1"/>
  <c r="AG53" i="1"/>
  <c r="AG54" i="1"/>
  <c r="AG55" i="1"/>
  <c r="AG56" i="1"/>
  <c r="AG57" i="1"/>
  <c r="AG58" i="1"/>
  <c r="AG59" i="1"/>
  <c r="AG60" i="1"/>
  <c r="AG61" i="1"/>
  <c r="AG62" i="1"/>
  <c r="AG63" i="1"/>
  <c r="AG64" i="1"/>
  <c r="AG65" i="1"/>
  <c r="AG66" i="1"/>
  <c r="AG67" i="1"/>
  <c r="AG68" i="1"/>
  <c r="AG69" i="1"/>
  <c r="AG70" i="1"/>
  <c r="AG71" i="1"/>
  <c r="AG72" i="1"/>
  <c r="AG73" i="1"/>
  <c r="AG74" i="1"/>
  <c r="AG75" i="1"/>
  <c r="AG76" i="1"/>
  <c r="AG77" i="1"/>
  <c r="AG78" i="1"/>
  <c r="AG79" i="1"/>
  <c r="AG80" i="1"/>
  <c r="AG81" i="1"/>
  <c r="AG82" i="1"/>
  <c r="AG83" i="1"/>
  <c r="AG84" i="1"/>
  <c r="AG85" i="1"/>
  <c r="AG86" i="1"/>
  <c r="AG87" i="1"/>
  <c r="AG88" i="1"/>
  <c r="AG89" i="1"/>
  <c r="AG90" i="1"/>
  <c r="AG91" i="1"/>
  <c r="AG92" i="1"/>
  <c r="AG93" i="1"/>
  <c r="AG94" i="1"/>
  <c r="AG95" i="1"/>
  <c r="AG96" i="1"/>
  <c r="AG97" i="1"/>
  <c r="AG98" i="1"/>
  <c r="AG99" i="1"/>
  <c r="AG100" i="1"/>
  <c r="AG101" i="1"/>
  <c r="AG102" i="1"/>
  <c r="AG103" i="1"/>
  <c r="AG6" i="1"/>
  <c r="R7" i="1" l="1"/>
  <c r="R10" i="1"/>
  <c r="R11" i="1"/>
  <c r="R17" i="1"/>
  <c r="R19" i="1"/>
  <c r="R28" i="1"/>
  <c r="R31" i="1"/>
  <c r="R33" i="1"/>
  <c r="R34" i="1"/>
  <c r="R35" i="1"/>
  <c r="R37" i="1"/>
  <c r="R39" i="1"/>
  <c r="R43" i="1"/>
  <c r="R44" i="1"/>
  <c r="R45" i="1"/>
  <c r="R46" i="1"/>
  <c r="R48" i="1"/>
  <c r="R49" i="1"/>
  <c r="R50" i="1"/>
  <c r="R54" i="1"/>
  <c r="R55" i="1"/>
  <c r="R57" i="1"/>
  <c r="R66" i="1"/>
  <c r="R67" i="1"/>
  <c r="R79" i="1"/>
  <c r="R80" i="1"/>
  <c r="R82" i="1"/>
  <c r="R83" i="1"/>
  <c r="R84" i="1"/>
  <c r="R85" i="1"/>
  <c r="R86" i="1"/>
  <c r="R87" i="1"/>
  <c r="R93" i="1"/>
  <c r="R94" i="1"/>
  <c r="R95" i="1"/>
  <c r="R96" i="1"/>
  <c r="R97" i="1"/>
  <c r="R98" i="1"/>
  <c r="R99" i="1"/>
  <c r="R100" i="1"/>
  <c r="R101" i="1"/>
  <c r="R102" i="1"/>
  <c r="R103" i="1"/>
  <c r="S8" i="1" l="1"/>
  <c r="S15" i="1"/>
  <c r="S75" i="1"/>
  <c r="S76" i="1"/>
  <c r="S78" i="1"/>
  <c r="S90" i="1"/>
  <c r="S5" i="1" l="1"/>
  <c r="P55" i="1" l="1"/>
  <c r="T55" i="1" s="1"/>
  <c r="P94" i="1"/>
  <c r="T94" i="1" s="1"/>
  <c r="P95" i="1"/>
  <c r="T95" i="1" s="1"/>
  <c r="P96" i="1"/>
  <c r="T96" i="1" s="1"/>
  <c r="P97" i="1"/>
  <c r="T97" i="1" s="1"/>
  <c r="P98" i="1"/>
  <c r="T98" i="1" s="1"/>
  <c r="P99" i="1"/>
  <c r="T99" i="1" s="1"/>
  <c r="P100" i="1"/>
  <c r="T100" i="1" s="1"/>
  <c r="P101" i="1"/>
  <c r="T101" i="1" s="1"/>
  <c r="P102" i="1"/>
  <c r="T102" i="1" s="1"/>
  <c r="P103" i="1"/>
  <c r="T103" i="1" s="1"/>
  <c r="J2" i="2"/>
  <c r="J3" i="2"/>
  <c r="J4" i="2"/>
  <c r="J5" i="2"/>
  <c r="J6" i="2"/>
  <c r="J7" i="2"/>
  <c r="J8" i="2"/>
  <c r="J9" i="2"/>
  <c r="J10" i="2"/>
  <c r="J1" i="2"/>
  <c r="U98" i="1" l="1"/>
  <c r="U100" i="1"/>
  <c r="U97" i="1"/>
  <c r="U102" i="1"/>
  <c r="U101" i="1"/>
  <c r="U96" i="1"/>
  <c r="U94" i="1"/>
  <c r="U103" i="1"/>
  <c r="U99" i="1"/>
  <c r="U95" i="1"/>
  <c r="P7" i="1"/>
  <c r="T7" i="1" s="1"/>
  <c r="P8" i="1"/>
  <c r="T8" i="1" s="1"/>
  <c r="P9" i="1"/>
  <c r="P10" i="1"/>
  <c r="T10" i="1" s="1"/>
  <c r="P11" i="1"/>
  <c r="T11" i="1" s="1"/>
  <c r="P12" i="1"/>
  <c r="P13" i="1"/>
  <c r="P14" i="1"/>
  <c r="P15" i="1"/>
  <c r="P16" i="1"/>
  <c r="P17" i="1"/>
  <c r="T17" i="1" s="1"/>
  <c r="P18" i="1"/>
  <c r="P19" i="1"/>
  <c r="T19" i="1" s="1"/>
  <c r="P20" i="1"/>
  <c r="P21" i="1"/>
  <c r="P22" i="1"/>
  <c r="P23" i="1"/>
  <c r="P24" i="1"/>
  <c r="P25" i="1"/>
  <c r="P26" i="1"/>
  <c r="P27" i="1"/>
  <c r="P28" i="1"/>
  <c r="T28" i="1" s="1"/>
  <c r="P29" i="1"/>
  <c r="P30" i="1"/>
  <c r="P31" i="1"/>
  <c r="T31" i="1" s="1"/>
  <c r="P32" i="1"/>
  <c r="P33" i="1"/>
  <c r="T33" i="1" s="1"/>
  <c r="P34" i="1"/>
  <c r="T34" i="1" s="1"/>
  <c r="P35" i="1"/>
  <c r="T35" i="1" s="1"/>
  <c r="P36" i="1"/>
  <c r="P37" i="1"/>
  <c r="T37" i="1" s="1"/>
  <c r="P38" i="1"/>
  <c r="P39" i="1"/>
  <c r="T39" i="1" s="1"/>
  <c r="P40" i="1"/>
  <c r="P41" i="1"/>
  <c r="P42" i="1"/>
  <c r="P43" i="1"/>
  <c r="T43" i="1" s="1"/>
  <c r="P44" i="1"/>
  <c r="T44" i="1" s="1"/>
  <c r="P45" i="1"/>
  <c r="T45" i="1" s="1"/>
  <c r="P46" i="1"/>
  <c r="T46" i="1" s="1"/>
  <c r="P47" i="1"/>
  <c r="P48" i="1"/>
  <c r="T48" i="1" s="1"/>
  <c r="P49" i="1"/>
  <c r="T49" i="1" s="1"/>
  <c r="P50" i="1"/>
  <c r="T50" i="1" s="1"/>
  <c r="P51" i="1"/>
  <c r="P52" i="1"/>
  <c r="P53" i="1"/>
  <c r="P54" i="1"/>
  <c r="T54" i="1" s="1"/>
  <c r="P56" i="1"/>
  <c r="P57" i="1"/>
  <c r="T57" i="1" s="1"/>
  <c r="P58" i="1"/>
  <c r="P59" i="1"/>
  <c r="P60" i="1"/>
  <c r="P61" i="1"/>
  <c r="P62" i="1"/>
  <c r="P63" i="1"/>
  <c r="Q63" i="1" s="1"/>
  <c r="R63" i="1" s="1"/>
  <c r="T63" i="1" s="1"/>
  <c r="P64" i="1"/>
  <c r="P65" i="1"/>
  <c r="Q65" i="1" s="1"/>
  <c r="R65" i="1" s="1"/>
  <c r="T65" i="1" s="1"/>
  <c r="P66" i="1"/>
  <c r="T66" i="1" s="1"/>
  <c r="P67" i="1"/>
  <c r="T67" i="1" s="1"/>
  <c r="P68" i="1"/>
  <c r="P69" i="1"/>
  <c r="P70" i="1"/>
  <c r="P71" i="1"/>
  <c r="P72" i="1"/>
  <c r="P73" i="1"/>
  <c r="P74" i="1"/>
  <c r="P75" i="1"/>
  <c r="P76" i="1"/>
  <c r="P77" i="1"/>
  <c r="P78" i="1"/>
  <c r="P79" i="1"/>
  <c r="T79" i="1" s="1"/>
  <c r="P80" i="1"/>
  <c r="T80" i="1" s="1"/>
  <c r="P81" i="1"/>
  <c r="P82" i="1"/>
  <c r="T82" i="1" s="1"/>
  <c r="P83" i="1"/>
  <c r="T83" i="1" s="1"/>
  <c r="P84" i="1"/>
  <c r="T84" i="1" s="1"/>
  <c r="P85" i="1"/>
  <c r="T85" i="1" s="1"/>
  <c r="P86" i="1"/>
  <c r="T86" i="1" s="1"/>
  <c r="P87" i="1"/>
  <c r="T87" i="1" s="1"/>
  <c r="P88" i="1"/>
  <c r="P89" i="1"/>
  <c r="Q89" i="1" s="1"/>
  <c r="R89" i="1" s="1"/>
  <c r="T89" i="1" s="1"/>
  <c r="P90" i="1"/>
  <c r="T90" i="1" s="1"/>
  <c r="P91" i="1"/>
  <c r="Q91" i="1" s="1"/>
  <c r="R91" i="1" s="1"/>
  <c r="T91" i="1" s="1"/>
  <c r="P92" i="1"/>
  <c r="P93" i="1"/>
  <c r="T93" i="1" s="1"/>
  <c r="P6" i="1"/>
  <c r="Q6" i="1" s="1"/>
  <c r="R6" i="1" s="1"/>
  <c r="T6" i="1" s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E5" i="1"/>
  <c r="AD5" i="1"/>
  <c r="AC5" i="1"/>
  <c r="AB5" i="1"/>
  <c r="AA5" i="1"/>
  <c r="Z5" i="1"/>
  <c r="Y5" i="1"/>
  <c r="X5" i="1"/>
  <c r="W5" i="1"/>
  <c r="V5" i="1"/>
  <c r="O5" i="1"/>
  <c r="N5" i="1"/>
  <c r="M5" i="1"/>
  <c r="K5" i="1"/>
  <c r="F5" i="1"/>
  <c r="E5" i="1"/>
  <c r="Q81" i="1" l="1"/>
  <c r="Q77" i="1"/>
  <c r="Q75" i="1"/>
  <c r="Q73" i="1"/>
  <c r="Q71" i="1"/>
  <c r="Q69" i="1"/>
  <c r="Q61" i="1"/>
  <c r="Q59" i="1"/>
  <c r="Q53" i="1"/>
  <c r="Q51" i="1"/>
  <c r="Q47" i="1"/>
  <c r="Q41" i="1"/>
  <c r="Q29" i="1"/>
  <c r="Q27" i="1"/>
  <c r="Q25" i="1"/>
  <c r="Q23" i="1"/>
  <c r="Q21" i="1"/>
  <c r="Q15" i="1"/>
  <c r="Q13" i="1"/>
  <c r="Q9" i="1"/>
  <c r="U6" i="1"/>
  <c r="Q92" i="1"/>
  <c r="Q90" i="1"/>
  <c r="Q88" i="1"/>
  <c r="Q78" i="1"/>
  <c r="Q76" i="1"/>
  <c r="Q74" i="1"/>
  <c r="Q72" i="1"/>
  <c r="Q70" i="1"/>
  <c r="Q68" i="1"/>
  <c r="Q64" i="1"/>
  <c r="Q62" i="1"/>
  <c r="Q60" i="1"/>
  <c r="Q58" i="1"/>
  <c r="Q56" i="1"/>
  <c r="Q52" i="1"/>
  <c r="Q42" i="1"/>
  <c r="Q40" i="1"/>
  <c r="Q38" i="1"/>
  <c r="Q36" i="1"/>
  <c r="Q32" i="1"/>
  <c r="Q30" i="1"/>
  <c r="Q26" i="1"/>
  <c r="Q24" i="1"/>
  <c r="Q22" i="1"/>
  <c r="Q20" i="1"/>
  <c r="Q18" i="1"/>
  <c r="Q16" i="1"/>
  <c r="Q14" i="1"/>
  <c r="Q12" i="1"/>
  <c r="U84" i="1"/>
  <c r="U69" i="1"/>
  <c r="U92" i="1"/>
  <c r="U76" i="1"/>
  <c r="U61" i="1"/>
  <c r="U88" i="1"/>
  <c r="U80" i="1"/>
  <c r="U73" i="1"/>
  <c r="U65" i="1"/>
  <c r="U57" i="1"/>
  <c r="U52" i="1"/>
  <c r="U49" i="1"/>
  <c r="U45" i="1"/>
  <c r="U41" i="1"/>
  <c r="U37" i="1"/>
  <c r="U33" i="1"/>
  <c r="U29" i="1"/>
  <c r="U25" i="1"/>
  <c r="U21" i="1"/>
  <c r="U17" i="1"/>
  <c r="U13" i="1"/>
  <c r="U9" i="1"/>
  <c r="P5" i="1"/>
  <c r="U90" i="1"/>
  <c r="U86" i="1"/>
  <c r="U82" i="1"/>
  <c r="U78" i="1"/>
  <c r="U75" i="1"/>
  <c r="U71" i="1"/>
  <c r="U67" i="1"/>
  <c r="U63" i="1"/>
  <c r="U59" i="1"/>
  <c r="U54" i="1"/>
  <c r="U47" i="1"/>
  <c r="U43" i="1"/>
  <c r="U39" i="1"/>
  <c r="U35" i="1"/>
  <c r="U31" i="1"/>
  <c r="U30" i="1"/>
  <c r="U27" i="1"/>
  <c r="U23" i="1"/>
  <c r="U19" i="1"/>
  <c r="U15" i="1"/>
  <c r="U11" i="1"/>
  <c r="U7" i="1"/>
  <c r="U93" i="1"/>
  <c r="U91" i="1"/>
  <c r="U89" i="1"/>
  <c r="U87" i="1"/>
  <c r="U85" i="1"/>
  <c r="U83" i="1"/>
  <c r="U81" i="1"/>
  <c r="U79" i="1"/>
  <c r="U77" i="1"/>
  <c r="U74" i="1"/>
  <c r="U72" i="1"/>
  <c r="U70" i="1"/>
  <c r="U68" i="1"/>
  <c r="U66" i="1"/>
  <c r="U64" i="1"/>
  <c r="U62" i="1"/>
  <c r="U60" i="1"/>
  <c r="U58" i="1"/>
  <c r="U56" i="1"/>
  <c r="U55" i="1"/>
  <c r="U53" i="1"/>
  <c r="U51" i="1"/>
  <c r="U50" i="1"/>
  <c r="U48" i="1"/>
  <c r="U46" i="1"/>
  <c r="U44" i="1"/>
  <c r="U42" i="1"/>
  <c r="U40" i="1"/>
  <c r="U38" i="1"/>
  <c r="U36" i="1"/>
  <c r="U34" i="1"/>
  <c r="U32" i="1"/>
  <c r="U28" i="1"/>
  <c r="U26" i="1"/>
  <c r="U24" i="1"/>
  <c r="U22" i="1"/>
  <c r="U20" i="1"/>
  <c r="U18" i="1"/>
  <c r="U16" i="1"/>
  <c r="U14" i="1"/>
  <c r="U12" i="1"/>
  <c r="U10" i="1"/>
  <c r="U8" i="1"/>
  <c r="L5" i="1"/>
  <c r="R14" i="1" l="1"/>
  <c r="T14" i="1" s="1"/>
  <c r="R18" i="1"/>
  <c r="T18" i="1" s="1"/>
  <c r="R22" i="1"/>
  <c r="T22" i="1" s="1"/>
  <c r="R26" i="1"/>
  <c r="T26" i="1" s="1"/>
  <c r="R30" i="1"/>
  <c r="T30" i="1" s="1"/>
  <c r="R38" i="1"/>
  <c r="T38" i="1" s="1"/>
  <c r="R42" i="1"/>
  <c r="T42" i="1" s="1"/>
  <c r="R58" i="1"/>
  <c r="T58" i="1" s="1"/>
  <c r="R62" i="1"/>
  <c r="T62" i="1" s="1"/>
  <c r="R70" i="1"/>
  <c r="T70" i="1" s="1"/>
  <c r="R74" i="1"/>
  <c r="T74" i="1" s="1"/>
  <c r="T78" i="1"/>
  <c r="T15" i="1"/>
  <c r="R23" i="1"/>
  <c r="T23" i="1" s="1"/>
  <c r="R27" i="1"/>
  <c r="T27" i="1" s="1"/>
  <c r="R41" i="1"/>
  <c r="T41" i="1" s="1"/>
  <c r="R53" i="1"/>
  <c r="T53" i="1" s="1"/>
  <c r="R61" i="1"/>
  <c r="T61" i="1" s="1"/>
  <c r="R69" i="1"/>
  <c r="T69" i="1" s="1"/>
  <c r="R73" i="1"/>
  <c r="T73" i="1" s="1"/>
  <c r="R77" i="1"/>
  <c r="T77" i="1" s="1"/>
  <c r="R12" i="1"/>
  <c r="T12" i="1" s="1"/>
  <c r="R16" i="1"/>
  <c r="T16" i="1" s="1"/>
  <c r="R20" i="1"/>
  <c r="T20" i="1" s="1"/>
  <c r="R24" i="1"/>
  <c r="T24" i="1" s="1"/>
  <c r="R32" i="1"/>
  <c r="T32" i="1" s="1"/>
  <c r="R36" i="1"/>
  <c r="T36" i="1" s="1"/>
  <c r="R40" i="1"/>
  <c r="T40" i="1" s="1"/>
  <c r="R52" i="1"/>
  <c r="T52" i="1" s="1"/>
  <c r="R56" i="1"/>
  <c r="T56" i="1" s="1"/>
  <c r="R60" i="1"/>
  <c r="T60" i="1" s="1"/>
  <c r="R64" i="1"/>
  <c r="T64" i="1" s="1"/>
  <c r="R68" i="1"/>
  <c r="T68" i="1" s="1"/>
  <c r="R72" i="1"/>
  <c r="T72" i="1" s="1"/>
  <c r="T76" i="1"/>
  <c r="R88" i="1"/>
  <c r="T88" i="1" s="1"/>
  <c r="R92" i="1"/>
  <c r="T92" i="1" s="1"/>
  <c r="R9" i="1"/>
  <c r="T9" i="1" s="1"/>
  <c r="R13" i="1"/>
  <c r="T13" i="1" s="1"/>
  <c r="R21" i="1"/>
  <c r="T21" i="1" s="1"/>
  <c r="R25" i="1"/>
  <c r="T25" i="1" s="1"/>
  <c r="R29" i="1"/>
  <c r="T29" i="1" s="1"/>
  <c r="R47" i="1"/>
  <c r="T47" i="1" s="1"/>
  <c r="R51" i="1"/>
  <c r="T51" i="1" s="1"/>
  <c r="R59" i="1"/>
  <c r="T59" i="1" s="1"/>
  <c r="R71" i="1"/>
  <c r="T71" i="1" s="1"/>
  <c r="T75" i="1"/>
  <c r="R81" i="1"/>
  <c r="T81" i="1" s="1"/>
  <c r="AG5" i="1"/>
  <c r="Q5" i="1"/>
  <c r="R5" i="1" l="1"/>
</calcChain>
</file>

<file path=xl/sharedStrings.xml><?xml version="1.0" encoding="utf-8"?>
<sst xmlns="http://schemas.openxmlformats.org/spreadsheetml/2006/main" count="448" uniqueCount="173">
  <si>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</si>
  <si>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</si>
  <si>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</si>
  <si>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</si>
  <si>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</si>
  <si>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</si>
  <si>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</si>
  <si>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</si>
  <si>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</si>
  <si>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</si>
  <si>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</si>
  <si>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</si>
  <si>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</si>
  <si>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</si>
  <si>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</si>
  <si>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</si>
  <si>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</si>
  <si>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</si>
  <si>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</si>
  <si>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</si>
  <si>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</si>
  <si>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</si>
  <si>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24,08,</t>
  </si>
  <si>
    <t>31,08,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</si>
  <si>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</si>
  <si>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</si>
  <si>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</si>
  <si>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</si>
  <si>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</si>
  <si>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</si>
  <si>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</si>
  <si>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</si>
  <si>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</si>
  <si>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</si>
  <si>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</si>
  <si>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</si>
  <si>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</si>
  <si>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</si>
  <si>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плюсом 5 дней</t>
  </si>
  <si>
    <t>3986 Ароматная с/к в/у 1/250 ОСТАНКИНО</t>
  </si>
  <si>
    <t>4063 МЯСНАЯ Папа может вар п/о_Л   ОСТАНКИНО</t>
  </si>
  <si>
    <t>4117 ЭКСТРА Папа может с/к в/у_Л   ОСТАНКИНО</t>
  </si>
  <si>
    <t>нужно увеличить продажи / плюсом 5 дней</t>
  </si>
  <si>
    <t>4574 Мясная со шпиком Папа может вар п/о ОСТАНКИНО</t>
  </si>
  <si>
    <t>ВНИМАНИЕ / матрица</t>
  </si>
  <si>
    <t>Главторг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</si>
  <si>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</si>
  <si>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</si>
  <si>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</si>
  <si>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</si>
  <si>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плюсом 5 дней / Главторг</t>
  </si>
  <si>
    <t>5495 ВЕТЧ.С ИНДЕЙКОЙ Папа может п/о 400*6  Останкино</t>
  </si>
  <si>
    <t>5544 Сервелат Финский в/к в/у_45с НОВАЯ ОСТАНКИНО</t>
  </si>
  <si>
    <t>7613 АРОМАТНАЯ с/к с/н в/у 1/100 10шт_Л10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</si>
  <si>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</si>
  <si>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</si>
  <si>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</si>
  <si>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</si>
  <si>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</si>
  <si>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90кг в уценку (21,07,26)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</si>
  <si>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</si>
  <si>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</si>
  <si>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</si>
  <si>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</si>
  <si>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</si>
  <si>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</si>
  <si>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</si>
  <si>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7632 ЭКСТРА Папа может вар п/о 0.4кг 8шт_195к  ОСТАНКИНО</t>
  </si>
  <si>
    <t>6392 ФИЛЕЙНАЯ Папа может вар п/о 0,4кг  ОСТАНКИНО</t>
  </si>
  <si>
    <t>нет потребности</t>
  </si>
  <si>
    <t>7616 ЭКСТРА Папа может с/к с/н в/у 1/100_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</si>
  <si>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</si>
  <si>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</si>
  <si>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</si>
  <si>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</si>
  <si>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0.35кг 8шт.</t>
  </si>
  <si>
    <t>РАЗОВО</t>
  </si>
  <si>
    <t>Главторг (1001021966602)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</si>
  <si>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</si>
  <si>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</si>
  <si>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</si>
  <si>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</si>
  <si>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</si>
  <si>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</si>
  <si>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</si>
  <si>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</si>
  <si>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</si>
  <si>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</si>
  <si>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</si>
  <si>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</si>
  <si>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6837 ФИЛЕЙНЫЕ Папа Может сос ц/о мгс 0,4кг  Останкино</t>
  </si>
  <si>
    <t>6861 ДОМАШНИЙ РЕЦЕПТ Коровино вар п/о  Останкино</t>
  </si>
  <si>
    <t>90 кг в уценку 30,06,26</t>
  </si>
  <si>
    <t>6866 ВЕТЧ.НЕЖНАЯ Коровино п/о_Маяк  Останкино</t>
  </si>
  <si>
    <t>6925 ВЕТЧ.КЛАССИЧЕСКАЯ в/у 0,6кг 8шт.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</si>
  <si>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</si>
  <si>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</si>
  <si>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</si>
  <si>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новинка</t>
  </si>
  <si>
    <t>7059 ШПИКАЧКИ СОЧНЫЕ С БЕК. п/о мгс 0,3кг 60с ОСТАНКИНО</t>
  </si>
  <si>
    <t>7066 СОЧНЫЕ ПМ сос п/о мгс 0,41кг 10шт 50с  Останкино</t>
  </si>
  <si>
    <t>нужно увеличить продажи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</si>
  <si>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</si>
  <si>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</si>
  <si>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</si>
  <si>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</si>
  <si>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</si>
  <si>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</si>
  <si>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</si>
  <si>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</si>
  <si>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</si>
  <si>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</si>
  <si>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</si>
  <si>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</si>
  <si>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</si>
  <si>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</si>
  <si>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</si>
  <si>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</si>
  <si>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</si>
  <si>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</si>
  <si>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</si>
  <si>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7612 БАЛЫК с/к с/н в/у 1/100 10шт_  ОСТАНКИНО</t>
  </si>
  <si>
    <t>7299 НАБОР ДЛЯ ПИЦЦЫ Папа Может с/к в/у  ОСТАНКИНО</t>
  </si>
  <si>
    <t>7332 БОЯРСКАЯ ПМ п/к в/у 0,28кг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</si>
  <si>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</si>
  <si>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</si>
  <si>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7485 РИЕТ МЯСНОЙ С ГРИБАМИ ПМ п/о 1/150  ОСТАНКИНО</t>
  </si>
  <si>
    <t>вывод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</si>
  <si>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</si>
  <si>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</si>
  <si>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</si>
  <si>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</si>
  <si>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</si>
  <si>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</si>
  <si>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</si>
  <si>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7608 СЕРВЕЛАТ ШВЕЙЦАРСК.в/к с/н в/у 1/100_Л11  ОСТАНКИНО</t>
  </si>
  <si>
    <t>вместо 6459</t>
  </si>
  <si>
    <t>вместо 7288</t>
  </si>
  <si>
    <t>вместо 6454</t>
  </si>
  <si>
    <t>вместо 6453</t>
  </si>
  <si>
    <t>7647 ХОЧУ ВЕТЧ.ИЗ СВ.ОТРУБА с/н мгс 1/100_Л11  ОСТАНКИНО</t>
  </si>
  <si>
    <t>7651 ХОЧУ ВЕТЧ.МРАМОР. ПМ с/н мгс 1/100_Л11  ОСТАНКИНО</t>
  </si>
  <si>
    <t>8014 ДОКТОРСКАЯ ПРЕМИУМ вар п/о(п)    ОСТАНКИНО</t>
  </si>
  <si>
    <t>ЛЮБИТЕЛЬСКАЯ ОСТАНКИНСКАЯ вар ц/о в/у</t>
  </si>
  <si>
    <t>7514 ЛЮБИТЕЛЬСКАЯ ОСТАНКИНСКАЯ вар п/о в/у  ОСТАНКИНО</t>
  </si>
  <si>
    <t>ТЕЛЯЧЬЯ ГОСТ Останкино вар н/о в/у</t>
  </si>
  <si>
    <t>7518 ТЕЛЯЧЬЯ ГОСТ Останкино вар п/о в/у  ОСТАНКИНО</t>
  </si>
  <si>
    <t>КАРБОНAД ДОМАШНИЙ ПМ к/в кр/к в/у</t>
  </si>
  <si>
    <t>6929 КАРБОНАД ДОМАШНИЙ ПМ к/в кр/к в/у  ОСТАНКИНО</t>
  </si>
  <si>
    <t>ПРАЗДНИЧНАЯ с/к в/с дек.спец.мгс</t>
  </si>
  <si>
    <t>0614 ПРАЗДНИЧНАЯ с/к в/с дек.спец.мгс  Останкино</t>
  </si>
  <si>
    <t>БРАУНШВЕЙГСКАЯ ГОСТ с/к в/у 1/220 8шт.</t>
  </si>
  <si>
    <t>7143 БРАУНШВЕЙГСКАЯ ГОСТ с/к в/у 1/220 8шт.</t>
  </si>
  <si>
    <t>КРАКОВСКАЯ ГОСТ п/к н/о мгс 0.3кг</t>
  </si>
  <si>
    <t>7710 КРАКОВСКАЯ ГОСТ п/к н/о мгс 0.3кг</t>
  </si>
  <si>
    <t>САЛЯМИ ФИНСКАЯ Папа может с/к в/у 1/150</t>
  </si>
  <si>
    <t>7456 САЛЯМИ ФИНСКАЯ Папа может с/к в/у 1/150</t>
  </si>
  <si>
    <t>БАРСЕЛОНА ПМ с/к в/у 1/150</t>
  </si>
  <si>
    <t>7386 БАРСЕЛОНА ПМ с/к в/у 1/150  ОСТАНКИНО</t>
  </si>
  <si>
    <t>КОНСЕРВЫ МЯС.ГОВЯДИНА ТУШ. В/С 338г_ЧЗ</t>
  </si>
  <si>
    <t>7344 КОНСЕРВЫ МЯС.ГОВЯДИНА ТУШ. В/С 338г_ЧЗ</t>
  </si>
  <si>
    <t>3 года</t>
  </si>
  <si>
    <t>КОНСЕРВЫ МЯС.СВИНИНА ТУШ. В/С 325г_ЧЗ</t>
  </si>
  <si>
    <t>7345 КОНСЕРВЫ МЯС.СВИНИНА ТУШ. В/С 325г_ЧЗ</t>
  </si>
  <si>
    <t>6411 ВЕТЧ.РУБЛЕНАЯ ПМ в/у срез 0.3кг 6шт.  ОСТАНКИНО</t>
  </si>
  <si>
    <t>нужно увеличить продажи!!!</t>
  </si>
  <si>
    <t>нужно увеличить продажи / Главторг</t>
  </si>
  <si>
    <t>новинка / Главторг</t>
  </si>
  <si>
    <t>заказ</t>
  </si>
  <si>
    <t>07,09,</t>
  </si>
  <si>
    <t>ТК</t>
  </si>
  <si>
    <t>Чепрасова</t>
  </si>
  <si>
    <t xml:space="preserve">Главторг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</si>
</sst>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2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0"/>
      <color rgb="FFFF0000"/>
      <name val="Arial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4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1" fillId="0" borderId="1" xfId="1" applyNumberFormat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0" fontId="4" fillId="0" borderId="3" xfId="0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0" fillId="6" borderId="1" xfId="0" applyFill="1"/>
    <xf numFmtId="0" fontId="0" fillId="0" borderId="1" xfId="0"/>
    <xf numFmtId="0" fontId="4" fillId="0" borderId="5" xfId="0" applyFont="1" applyBorder="1" applyAlignment="1">
      <alignment horizontal="right" vertical="center"/>
    </xf>
    <xf numFmtId="1" fontId="4" fillId="0" borderId="6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vertical="center"/>
    </xf>
    <xf numFmtId="0" fontId="4" fillId="7" borderId="5" xfId="0" applyFont="1" applyFill="1" applyBorder="1" applyAlignment="1">
      <alignment horizontal="right" vertical="center"/>
    </xf>
    <xf numFmtId="1" fontId="4" fillId="7" borderId="6" xfId="0" applyNumberFormat="1" applyFont="1" applyFill="1" applyBorder="1" applyAlignment="1">
      <alignment horizontal="right" vertical="center"/>
    </xf>
    <xf numFmtId="0" fontId="4" fillId="7" borderId="6" xfId="0" applyFont="1" applyFill="1" applyBorder="1" applyAlignment="1">
      <alignment vertical="center"/>
    </xf>
    <xf numFmtId="0" fontId="4" fillId="4" borderId="5" xfId="0" applyFont="1" applyFill="1" applyBorder="1" applyAlignment="1">
      <alignment horizontal="right" vertical="center"/>
    </xf>
    <xf numFmtId="1" fontId="4" fillId="4" borderId="6" xfId="0" applyNumberFormat="1" applyFont="1" applyFill="1" applyBorder="1" applyAlignment="1">
      <alignment horizontal="right" vertical="center"/>
    </xf>
    <xf numFmtId="0" fontId="4" fillId="4" borderId="6" xfId="0" applyFont="1" applyFill="1" applyBorder="1" applyAlignment="1">
      <alignment vertical="center"/>
    </xf>
    <xf numFmtId="1" fontId="0" fillId="0" borderId="1" xfId="0" applyNumberFormat="1"/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164" fontId="5" fillId="5" borderId="1" xfId="1" applyNumberFormat="1" applyFont="1" applyFill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4" borderId="1" xfId="1" applyNumberFormat="1" applyFont="1" applyFill="1"/>
    <xf numFmtId="164" fontId="5" fillId="0" borderId="1" xfId="1" applyNumberFormat="1" applyFont="1"/>
    <xf numFmtId="164" fontId="6" fillId="4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164" fontId="1" fillId="0" borderId="1" xfId="1" applyNumberFormat="1" applyBorder="1"/>
    <xf numFmtId="0" fontId="0" fillId="0" borderId="1" xfId="0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_&#1076;&#1074;%20310826%20&#1083;&#1075;&#1088;&#1089;&#1095;%20&#1086;&#1089;&#1090;%20&#1082;&#1080;%20&#1063;&#1077;&#1087;&#1088;&#1072;&#1089;&#1086;&#1074;&#107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новинки"/>
      <sheetName val="вывод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  <cell r="J3" t="str">
            <v>метка2</v>
          </cell>
          <cell r="K3" t="str">
            <v>заяв</v>
          </cell>
          <cell r="L3" t="str">
            <v>разн</v>
          </cell>
          <cell r="M3" t="str">
            <v>без опта</v>
          </cell>
          <cell r="N3" t="str">
            <v>опт</v>
          </cell>
          <cell r="O3" t="str">
            <v>заказ в пути</v>
          </cell>
          <cell r="P3" t="str">
            <v>ср нов</v>
          </cell>
          <cell r="Q3" t="str">
            <v>расчет</v>
          </cell>
        </row>
        <row r="4">
          <cell r="O4" t="str">
            <v>31,08,</v>
          </cell>
          <cell r="P4" t="str">
            <v>31,08,</v>
          </cell>
        </row>
        <row r="5">
          <cell r="E5">
            <v>13326.727999999999</v>
          </cell>
          <cell r="F5">
            <v>22297.967000000004</v>
          </cell>
          <cell r="K5">
            <v>14533.974</v>
          </cell>
          <cell r="L5">
            <v>-1207.2459999999999</v>
          </cell>
          <cell r="M5">
            <v>0</v>
          </cell>
          <cell r="N5">
            <v>0</v>
          </cell>
          <cell r="O5">
            <v>9806</v>
          </cell>
          <cell r="P5">
            <v>2665.3456000000001</v>
          </cell>
          <cell r="Q5">
            <v>10438.171</v>
          </cell>
          <cell r="R5">
            <v>1450</v>
          </cell>
        </row>
        <row r="6">
          <cell r="A6" t="str">
            <v>3215 ВЕТЧ.МЯСНАЯ Папа может п/о 0.4кг 8шт.    ОСТАНКИНО</v>
          </cell>
          <cell r="B6" t="str">
            <v>шт</v>
          </cell>
          <cell r="C6">
            <v>135</v>
          </cell>
          <cell r="D6">
            <v>181</v>
          </cell>
          <cell r="E6">
            <v>162</v>
          </cell>
          <cell r="F6">
            <v>106</v>
          </cell>
          <cell r="G6">
            <v>0.4</v>
          </cell>
          <cell r="H6">
            <v>60</v>
          </cell>
          <cell r="I6" t="str">
            <v>матрица</v>
          </cell>
          <cell r="K6">
            <v>162</v>
          </cell>
          <cell r="L6">
            <v>0</v>
          </cell>
          <cell r="O6">
            <v>33</v>
          </cell>
          <cell r="P6">
            <v>32.4</v>
          </cell>
          <cell r="Q6">
            <v>249.79999999999995</v>
          </cell>
        </row>
        <row r="7">
          <cell r="A7" t="str">
            <v>3287 САЛЯМИ ИТАЛЬЯНСКАЯ с/к в/у ОСТАНКИНО</v>
          </cell>
          <cell r="B7" t="str">
            <v>кг</v>
          </cell>
          <cell r="C7">
            <v>14.849</v>
          </cell>
          <cell r="D7">
            <v>38.008000000000003</v>
          </cell>
          <cell r="E7">
            <v>4.97</v>
          </cell>
          <cell r="F7">
            <v>46.28</v>
          </cell>
          <cell r="G7">
            <v>1</v>
          </cell>
          <cell r="H7">
            <v>120</v>
          </cell>
          <cell r="I7" t="str">
            <v>матрица</v>
          </cell>
          <cell r="K7">
            <v>5</v>
          </cell>
          <cell r="L7">
            <v>-3.0000000000000249E-2</v>
          </cell>
          <cell r="O7">
            <v>30</v>
          </cell>
          <cell r="P7">
            <v>0.99399999999999999</v>
          </cell>
        </row>
        <row r="8">
          <cell r="A8" t="str">
            <v>3986 Ароматная с/к в/у 1/250 ОСТАНКИНО</v>
          </cell>
          <cell r="B8" t="str">
            <v>шт</v>
          </cell>
          <cell r="C8">
            <v>68</v>
          </cell>
          <cell r="D8">
            <v>78</v>
          </cell>
          <cell r="E8">
            <v>36</v>
          </cell>
          <cell r="F8">
            <v>99</v>
          </cell>
          <cell r="G8">
            <v>0.25</v>
          </cell>
          <cell r="H8">
            <v>120</v>
          </cell>
          <cell r="I8" t="str">
            <v>матрица</v>
          </cell>
          <cell r="K8">
            <v>36</v>
          </cell>
          <cell r="L8">
            <v>0</v>
          </cell>
          <cell r="O8">
            <v>10</v>
          </cell>
          <cell r="P8">
            <v>7.2</v>
          </cell>
          <cell r="R8">
            <v>300</v>
          </cell>
        </row>
        <row r="9">
          <cell r="A9" t="str">
            <v>4063 МЯСНАЯ Папа может вар п/о_Л   ОСТАНКИНО</v>
          </cell>
          <cell r="B9" t="str">
            <v>кг</v>
          </cell>
          <cell r="C9">
            <v>638.96500000000003</v>
          </cell>
          <cell r="D9">
            <v>1974.3050000000001</v>
          </cell>
          <cell r="E9">
            <v>942.87699999999995</v>
          </cell>
          <cell r="F9">
            <v>1528.1030000000001</v>
          </cell>
          <cell r="G9">
            <v>1</v>
          </cell>
          <cell r="H9">
            <v>60</v>
          </cell>
          <cell r="I9" t="str">
            <v>матрица</v>
          </cell>
          <cell r="K9">
            <v>1052.0999999999999</v>
          </cell>
          <cell r="L9">
            <v>-109.22299999999996</v>
          </cell>
          <cell r="O9">
            <v>0</v>
          </cell>
          <cell r="P9">
            <v>188.5754</v>
          </cell>
          <cell r="Q9">
            <v>1300.5279999999998</v>
          </cell>
        </row>
        <row r="10">
          <cell r="A10" t="str">
            <v>4117 ЭКСТРА Папа может с/к в/у_Л   ОСТАНКИНО</v>
          </cell>
          <cell r="B10" t="str">
            <v>кг</v>
          </cell>
          <cell r="C10">
            <v>38.613</v>
          </cell>
          <cell r="D10">
            <v>138.83699999999999</v>
          </cell>
          <cell r="E10">
            <v>21.442</v>
          </cell>
          <cell r="F10">
            <v>136.68</v>
          </cell>
          <cell r="G10">
            <v>1</v>
          </cell>
          <cell r="H10">
            <v>120</v>
          </cell>
          <cell r="I10" t="str">
            <v>матрица</v>
          </cell>
          <cell r="K10">
            <v>21.484000000000002</v>
          </cell>
          <cell r="L10">
            <v>-4.2000000000001592E-2</v>
          </cell>
          <cell r="O10">
            <v>0</v>
          </cell>
          <cell r="P10">
            <v>4.2884000000000002</v>
          </cell>
        </row>
        <row r="11">
          <cell r="A11" t="str">
            <v>4574 Мясная со шпиком Папа может вар п/о ОСТАНКИНО</v>
          </cell>
          <cell r="B11" t="str">
            <v>кг</v>
          </cell>
          <cell r="C11">
            <v>143.947</v>
          </cell>
          <cell r="D11">
            <v>450.80900000000003</v>
          </cell>
          <cell r="E11">
            <v>145.267</v>
          </cell>
          <cell r="F11">
            <v>382.46899999999999</v>
          </cell>
          <cell r="G11">
            <v>1</v>
          </cell>
          <cell r="H11">
            <v>60</v>
          </cell>
          <cell r="I11" t="str">
            <v>ВНИМАНИЕ / матрица</v>
          </cell>
          <cell r="K11">
            <v>141.9</v>
          </cell>
          <cell r="L11">
            <v>3.3669999999999902</v>
          </cell>
          <cell r="O11">
            <v>182</v>
          </cell>
          <cell r="P11">
            <v>29.0534</v>
          </cell>
        </row>
        <row r="12">
          <cell r="A12" t="str">
            <v>4813 ФИЛЕЙНАЯ Папа может вар п/о_Л   ОСТАНКИНО</v>
          </cell>
          <cell r="B12" t="str">
            <v>кг</v>
          </cell>
          <cell r="C12">
            <v>298.73200000000003</v>
          </cell>
          <cell r="D12">
            <v>401.62400000000002</v>
          </cell>
          <cell r="E12">
            <v>249.65899999999999</v>
          </cell>
          <cell r="F12">
            <v>361.32299999999998</v>
          </cell>
          <cell r="G12">
            <v>1</v>
          </cell>
          <cell r="H12">
            <v>60</v>
          </cell>
          <cell r="I12" t="str">
            <v>матрица</v>
          </cell>
          <cell r="K12">
            <v>239.75</v>
          </cell>
          <cell r="L12">
            <v>9.9089999999999918</v>
          </cell>
          <cell r="O12">
            <v>307</v>
          </cell>
          <cell r="P12">
            <v>49.931799999999996</v>
          </cell>
          <cell r="Q12">
            <v>80.653999999999996</v>
          </cell>
        </row>
        <row r="13">
          <cell r="A13" t="str">
            <v>4993 САЛЯМИ ИТАЛЬЯНСКАЯ с/к в/у 1/250*8_120c ОСТАНКИНО</v>
          </cell>
          <cell r="B13" t="str">
            <v>шт</v>
          </cell>
          <cell r="C13">
            <v>69</v>
          </cell>
          <cell r="D13">
            <v>81</v>
          </cell>
          <cell r="E13">
            <v>46</v>
          </cell>
          <cell r="F13">
            <v>88</v>
          </cell>
          <cell r="G13">
            <v>0.25</v>
          </cell>
          <cell r="H13">
            <v>120</v>
          </cell>
          <cell r="I13" t="str">
            <v>матрица</v>
          </cell>
          <cell r="K13">
            <v>46</v>
          </cell>
          <cell r="L13">
            <v>0</v>
          </cell>
          <cell r="O13">
            <v>0</v>
          </cell>
          <cell r="P13">
            <v>9.1999999999999993</v>
          </cell>
          <cell r="Q13">
            <v>50</v>
          </cell>
        </row>
        <row r="14">
          <cell r="A14" t="str">
            <v>5452 ВЕТЧ.МЯСНАЯ Папа может п/о    ОСТАНКИНО</v>
          </cell>
          <cell r="B14" t="str">
            <v>кг</v>
          </cell>
          <cell r="C14">
            <v>85.707999999999998</v>
          </cell>
          <cell r="D14">
            <v>177.40199999999999</v>
          </cell>
          <cell r="E14">
            <v>80.61</v>
          </cell>
          <cell r="F14">
            <v>133.16200000000001</v>
          </cell>
          <cell r="G14">
            <v>1</v>
          </cell>
          <cell r="H14">
            <v>60</v>
          </cell>
          <cell r="I14" t="str">
            <v>матрица</v>
          </cell>
          <cell r="K14">
            <v>99.15</v>
          </cell>
          <cell r="L14">
            <v>-18.540000000000006</v>
          </cell>
          <cell r="O14">
            <v>50</v>
          </cell>
          <cell r="P14">
            <v>16.122</v>
          </cell>
          <cell r="Q14">
            <v>58.667999999999978</v>
          </cell>
        </row>
        <row r="15">
          <cell r="A15" t="str">
            <v>5483 ЭКСТРА Папа может с/к в/у 1/250 8шт.   ОСТАНКИНО</v>
          </cell>
          <cell r="B15" t="str">
            <v>шт</v>
          </cell>
          <cell r="C15">
            <v>470</v>
          </cell>
          <cell r="D15">
            <v>35</v>
          </cell>
          <cell r="E15">
            <v>165</v>
          </cell>
          <cell r="F15">
            <v>287</v>
          </cell>
          <cell r="G15">
            <v>0.25</v>
          </cell>
          <cell r="H15">
            <v>120</v>
          </cell>
          <cell r="I15" t="str">
            <v>ВНИМАНИЕ / матрица</v>
          </cell>
          <cell r="K15">
            <v>160</v>
          </cell>
          <cell r="L15">
            <v>5</v>
          </cell>
          <cell r="O15">
            <v>76</v>
          </cell>
          <cell r="P15">
            <v>33</v>
          </cell>
          <cell r="Q15">
            <v>132</v>
          </cell>
          <cell r="R15">
            <v>300</v>
          </cell>
        </row>
        <row r="16">
          <cell r="A16" t="str">
            <v>5495 ВЕТЧ.С ИНДЕЙКОЙ Папа может п/о 400*6  Останкино</v>
          </cell>
          <cell r="B16" t="str">
            <v>шт</v>
          </cell>
          <cell r="C16">
            <v>193</v>
          </cell>
          <cell r="D16">
            <v>89</v>
          </cell>
          <cell r="E16">
            <v>98</v>
          </cell>
          <cell r="F16">
            <v>157</v>
          </cell>
          <cell r="G16">
            <v>0.4</v>
          </cell>
          <cell r="H16">
            <v>60</v>
          </cell>
          <cell r="I16" t="str">
            <v>матрица</v>
          </cell>
          <cell r="K16">
            <v>103</v>
          </cell>
          <cell r="L16">
            <v>-5</v>
          </cell>
          <cell r="O16">
            <v>27</v>
          </cell>
          <cell r="P16">
            <v>19.600000000000001</v>
          </cell>
          <cell r="Q16">
            <v>110</v>
          </cell>
        </row>
        <row r="17">
          <cell r="A17" t="str">
            <v>5544 Сервелат Финский в/к в/у_45с НОВАЯ ОСТАНКИНО</v>
          </cell>
          <cell r="B17" t="str">
            <v>кг</v>
          </cell>
          <cell r="C17">
            <v>159.53100000000001</v>
          </cell>
          <cell r="D17">
            <v>856.96400000000006</v>
          </cell>
          <cell r="E17">
            <v>202.66900000000001</v>
          </cell>
          <cell r="F17">
            <v>677.17600000000004</v>
          </cell>
          <cell r="G17">
            <v>1</v>
          </cell>
          <cell r="H17">
            <v>45</v>
          </cell>
          <cell r="I17" t="str">
            <v>матрица</v>
          </cell>
          <cell r="K17">
            <v>196.4</v>
          </cell>
          <cell r="L17">
            <v>6.2690000000000055</v>
          </cell>
          <cell r="O17">
            <v>150</v>
          </cell>
          <cell r="P17">
            <v>40.533799999999999</v>
          </cell>
        </row>
        <row r="18">
          <cell r="A18" t="str">
            <v>5708 ПОСОЛЬСКАЯ Папа может с/к в/у ОСТАНКИНО</v>
          </cell>
          <cell r="B18" t="str">
            <v>кг</v>
          </cell>
          <cell r="C18">
            <v>57.878999999999998</v>
          </cell>
          <cell r="D18">
            <v>116.02800000000001</v>
          </cell>
          <cell r="E18">
            <v>42.738</v>
          </cell>
          <cell r="F18">
            <v>103.31</v>
          </cell>
          <cell r="G18">
            <v>1</v>
          </cell>
          <cell r="H18">
            <v>120</v>
          </cell>
          <cell r="I18" t="str">
            <v>матрица</v>
          </cell>
          <cell r="K18">
            <v>58.4</v>
          </cell>
          <cell r="L18">
            <v>-15.661999999999999</v>
          </cell>
          <cell r="O18">
            <v>0</v>
          </cell>
          <cell r="P18">
            <v>8.5475999999999992</v>
          </cell>
          <cell r="Q18">
            <v>24.903999999999996</v>
          </cell>
        </row>
        <row r="19">
          <cell r="A19" t="str">
            <v>5819 Сосиски Папа может 400г Мясные  ОСТАНКИНО</v>
          </cell>
          <cell r="B19" t="str">
            <v>шт</v>
          </cell>
          <cell r="C19">
            <v>75</v>
          </cell>
          <cell r="D19">
            <v>141</v>
          </cell>
          <cell r="E19">
            <v>42</v>
          </cell>
          <cell r="F19">
            <v>139</v>
          </cell>
          <cell r="G19">
            <v>0.4</v>
          </cell>
          <cell r="H19">
            <v>45</v>
          </cell>
          <cell r="I19" t="str">
            <v>матрица</v>
          </cell>
          <cell r="K19">
            <v>44</v>
          </cell>
          <cell r="L19">
            <v>-2</v>
          </cell>
          <cell r="O19">
            <v>0</v>
          </cell>
          <cell r="P19">
            <v>8.4</v>
          </cell>
        </row>
        <row r="20">
          <cell r="A20" t="str">
            <v>5851 ЭКСТРА Папа может вар п/о   ОСТАНКИНО</v>
          </cell>
          <cell r="B20" t="str">
            <v>кг</v>
          </cell>
          <cell r="C20">
            <v>2.2450000000000001</v>
          </cell>
          <cell r="D20">
            <v>533.26599999999996</v>
          </cell>
          <cell r="E20">
            <v>204.779</v>
          </cell>
          <cell r="F20">
            <v>255.15199999999999</v>
          </cell>
          <cell r="G20">
            <v>1</v>
          </cell>
          <cell r="H20">
            <v>60</v>
          </cell>
          <cell r="I20" t="str">
            <v>матрица</v>
          </cell>
          <cell r="K20">
            <v>399.4</v>
          </cell>
          <cell r="L20">
            <v>-194.62099999999998</v>
          </cell>
          <cell r="O20">
            <v>250</v>
          </cell>
          <cell r="P20">
            <v>40.955799999999996</v>
          </cell>
          <cell r="Q20">
            <v>109.185</v>
          </cell>
        </row>
        <row r="21">
          <cell r="A21" t="str">
            <v>5931 ОХОТНИЧЬЯ Папа может с/к в/у 1/220 8шт.   ОСТАНКИНО</v>
          </cell>
          <cell r="B21" t="str">
            <v>шт</v>
          </cell>
          <cell r="C21">
            <v>401</v>
          </cell>
          <cell r="D21">
            <v>689</v>
          </cell>
          <cell r="E21">
            <v>519</v>
          </cell>
          <cell r="F21">
            <v>451</v>
          </cell>
          <cell r="G21">
            <v>0.22</v>
          </cell>
          <cell r="H21">
            <v>120</v>
          </cell>
          <cell r="I21" t="str">
            <v>матрица</v>
          </cell>
          <cell r="K21">
            <v>536</v>
          </cell>
          <cell r="L21">
            <v>-17</v>
          </cell>
          <cell r="O21">
            <v>600</v>
          </cell>
          <cell r="P21">
            <v>103.8</v>
          </cell>
          <cell r="Q21">
            <v>506</v>
          </cell>
        </row>
        <row r="22">
          <cell r="A22" t="str">
            <v>6008 САЛО СОЛЕНОЕ С ЧЕРНЫМ ПЕРЦЕМ мл/к в/у ОСТАНКИНО</v>
          </cell>
          <cell r="B22" t="str">
            <v>кг</v>
          </cell>
          <cell r="C22">
            <v>8.75</v>
          </cell>
          <cell r="D22">
            <v>72.105999999999995</v>
          </cell>
          <cell r="E22">
            <v>34.171999999999997</v>
          </cell>
          <cell r="F22">
            <v>37.926000000000002</v>
          </cell>
          <cell r="G22">
            <v>1</v>
          </cell>
          <cell r="H22">
            <v>40</v>
          </cell>
          <cell r="I22" t="str">
            <v>матрица</v>
          </cell>
          <cell r="K22">
            <v>34.049999999999997</v>
          </cell>
          <cell r="L22">
            <v>0.12199999999999989</v>
          </cell>
          <cell r="O22">
            <v>40</v>
          </cell>
          <cell r="P22">
            <v>6.8343999999999996</v>
          </cell>
          <cell r="Q22">
            <v>24.589999999999989</v>
          </cell>
        </row>
        <row r="23">
          <cell r="A23" t="str">
            <v>6220 ГОВЯЖЬЯ папа может вар п/о  Останкино</v>
          </cell>
          <cell r="B23" t="str">
            <v>кг</v>
          </cell>
          <cell r="C23">
            <v>177.82300000000001</v>
          </cell>
          <cell r="D23">
            <v>197.06899999999999</v>
          </cell>
          <cell r="E23">
            <v>135.15299999999999</v>
          </cell>
          <cell r="F23">
            <v>229.42599999999999</v>
          </cell>
          <cell r="G23">
            <v>1</v>
          </cell>
          <cell r="H23">
            <v>60</v>
          </cell>
          <cell r="I23" t="str">
            <v>матрица</v>
          </cell>
          <cell r="K23">
            <v>131.19999999999999</v>
          </cell>
          <cell r="L23">
            <v>3.953000000000003</v>
          </cell>
          <cell r="O23">
            <v>60</v>
          </cell>
          <cell r="P23">
            <v>27.0306</v>
          </cell>
          <cell r="Q23">
            <v>116.03300000000002</v>
          </cell>
        </row>
        <row r="24">
          <cell r="A24" t="str">
            <v>6221 НЕОПОЛИТАНСКИЙ ДУЭТ с/к с/н мгс 1/90  Останкино</v>
          </cell>
          <cell r="B24" t="str">
            <v>шт</v>
          </cell>
          <cell r="C24">
            <v>517</v>
          </cell>
          <cell r="D24">
            <v>373</v>
          </cell>
          <cell r="E24">
            <v>234</v>
          </cell>
          <cell r="F24">
            <v>569</v>
          </cell>
          <cell r="G24">
            <v>0.09</v>
          </cell>
          <cell r="H24">
            <v>60</v>
          </cell>
          <cell r="I24" t="str">
            <v>матрица</v>
          </cell>
          <cell r="K24">
            <v>242</v>
          </cell>
          <cell r="L24">
            <v>-8</v>
          </cell>
          <cell r="O24">
            <v>0</v>
          </cell>
          <cell r="P24">
            <v>46.8</v>
          </cell>
          <cell r="Q24">
            <v>133</v>
          </cell>
        </row>
        <row r="25">
          <cell r="A25" t="str">
            <v>6228 МЯСНОЕ АССОРТИ к/з с/н мгс 1/90 10шт  Останкино</v>
          </cell>
          <cell r="B25" t="str">
            <v>шт</v>
          </cell>
          <cell r="C25">
            <v>212</v>
          </cell>
          <cell r="D25">
            <v>235</v>
          </cell>
          <cell r="E25">
            <v>174</v>
          </cell>
          <cell r="F25">
            <v>198</v>
          </cell>
          <cell r="G25">
            <v>0.09</v>
          </cell>
          <cell r="H25">
            <v>45</v>
          </cell>
          <cell r="I25" t="str">
            <v>ВНИМАНИЕ / матрица</v>
          </cell>
          <cell r="K25">
            <v>180</v>
          </cell>
          <cell r="L25">
            <v>-6</v>
          </cell>
          <cell r="O25">
            <v>224</v>
          </cell>
          <cell r="P25">
            <v>34.799999999999997</v>
          </cell>
          <cell r="Q25">
            <v>100</v>
          </cell>
        </row>
        <row r="26">
          <cell r="A26" t="str">
            <v>6279 КОРЕЙКА ПО-ОСТ.к/в в/с с/н в/у 1/150_45с  Останкино</v>
          </cell>
          <cell r="B26" t="str">
            <v>шт</v>
          </cell>
          <cell r="C26">
            <v>111</v>
          </cell>
          <cell r="D26">
            <v>233</v>
          </cell>
          <cell r="E26">
            <v>177</v>
          </cell>
          <cell r="F26">
            <v>85</v>
          </cell>
          <cell r="G26">
            <v>0.15</v>
          </cell>
          <cell r="H26">
            <v>45</v>
          </cell>
          <cell r="I26" t="str">
            <v>матрица</v>
          </cell>
          <cell r="K26">
            <v>180</v>
          </cell>
          <cell r="L26">
            <v>-3</v>
          </cell>
          <cell r="O26">
            <v>207</v>
          </cell>
          <cell r="P26">
            <v>35.4</v>
          </cell>
          <cell r="Q26">
            <v>239</v>
          </cell>
        </row>
        <row r="27">
          <cell r="A27" t="str">
            <v>6303 Мясные Папа может сос п/о мгс 1,5*3  Останкино</v>
          </cell>
          <cell r="B27" t="str">
            <v>кг</v>
          </cell>
          <cell r="C27">
            <v>327.55799999999999</v>
          </cell>
          <cell r="D27">
            <v>961.99599999999998</v>
          </cell>
          <cell r="E27">
            <v>425.48599999999999</v>
          </cell>
          <cell r="F27">
            <v>823.47900000000004</v>
          </cell>
          <cell r="G27">
            <v>1</v>
          </cell>
          <cell r="H27">
            <v>45</v>
          </cell>
          <cell r="I27" t="str">
            <v>матрица</v>
          </cell>
          <cell r="K27">
            <v>413.6</v>
          </cell>
          <cell r="L27">
            <v>11.885999999999967</v>
          </cell>
          <cell r="O27">
            <v>232</v>
          </cell>
          <cell r="P27">
            <v>85.097200000000001</v>
          </cell>
          <cell r="Q27">
            <v>220.97900000000004</v>
          </cell>
        </row>
        <row r="28">
          <cell r="A28" t="str">
            <v>6325 ДОКТОРСКАЯ ПРЕМИУМ вар п/о 0.4кг 8шт.  ОСТАНКИНО</v>
          </cell>
          <cell r="B28" t="str">
            <v>шт</v>
          </cell>
          <cell r="C28">
            <v>201</v>
          </cell>
          <cell r="D28">
            <v>474</v>
          </cell>
          <cell r="E28">
            <v>167</v>
          </cell>
          <cell r="F28">
            <v>471</v>
          </cell>
          <cell r="G28">
            <v>0.4</v>
          </cell>
          <cell r="H28">
            <v>60</v>
          </cell>
          <cell r="I28" t="str">
            <v>матрица</v>
          </cell>
          <cell r="K28">
            <v>167</v>
          </cell>
          <cell r="L28">
            <v>0</v>
          </cell>
          <cell r="O28">
            <v>56</v>
          </cell>
          <cell r="P28">
            <v>33.4</v>
          </cell>
        </row>
        <row r="29">
          <cell r="A29" t="str">
            <v>6333 МЯСНАЯ Папа может вар п/о 0.4кг 8шт.  ОСТАНКИНО</v>
          </cell>
          <cell r="B29" t="str">
            <v>шт</v>
          </cell>
          <cell r="C29">
            <v>583</v>
          </cell>
          <cell r="D29">
            <v>235</v>
          </cell>
          <cell r="E29">
            <v>244</v>
          </cell>
          <cell r="F29">
            <v>504</v>
          </cell>
          <cell r="G29">
            <v>0.4</v>
          </cell>
          <cell r="H29">
            <v>60</v>
          </cell>
          <cell r="I29" t="str">
            <v>ВНИМАНИЕ / матрица</v>
          </cell>
          <cell r="K29">
            <v>279</v>
          </cell>
          <cell r="L29">
            <v>-35</v>
          </cell>
          <cell r="O29">
            <v>0</v>
          </cell>
          <cell r="P29">
            <v>48.8</v>
          </cell>
          <cell r="Q29">
            <v>228</v>
          </cell>
        </row>
        <row r="30">
          <cell r="A30" t="str">
            <v>6392 ФИЛЕЙНАЯ Папа может вар п/о 0,4кг  ОСТАНКИНО</v>
          </cell>
          <cell r="B30" t="str">
            <v>шт</v>
          </cell>
          <cell r="C30">
            <v>138</v>
          </cell>
          <cell r="D30">
            <v>200</v>
          </cell>
          <cell r="E30">
            <v>189</v>
          </cell>
          <cell r="F30">
            <v>80</v>
          </cell>
          <cell r="G30">
            <v>0.4</v>
          </cell>
          <cell r="H30">
            <v>60</v>
          </cell>
          <cell r="I30" t="str">
            <v>ВНИМАНИЕ / матрица</v>
          </cell>
          <cell r="K30">
            <v>189</v>
          </cell>
          <cell r="L30">
            <v>0</v>
          </cell>
          <cell r="O30">
            <v>321</v>
          </cell>
          <cell r="P30">
            <v>37.799999999999997</v>
          </cell>
          <cell r="Q30">
            <v>166</v>
          </cell>
        </row>
        <row r="31">
          <cell r="A31" t="str">
            <v>6495 ВЕТЧ.МРАМОРНАЯ в/у срез 0,3кг 6шт_45с  Останкино</v>
          </cell>
          <cell r="B31" t="str">
            <v>шт</v>
          </cell>
          <cell r="C31">
            <v>94</v>
          </cell>
          <cell r="D31">
            <v>346</v>
          </cell>
          <cell r="E31">
            <v>82</v>
          </cell>
          <cell r="F31">
            <v>323</v>
          </cell>
          <cell r="G31">
            <v>0.3</v>
          </cell>
          <cell r="H31">
            <v>45</v>
          </cell>
          <cell r="I31" t="str">
            <v>матрица</v>
          </cell>
          <cell r="K31">
            <v>95</v>
          </cell>
          <cell r="L31">
            <v>-13</v>
          </cell>
          <cell r="O31">
            <v>0</v>
          </cell>
          <cell r="P31">
            <v>16.399999999999999</v>
          </cell>
        </row>
        <row r="32">
          <cell r="A32" t="str">
            <v>6498 МОЛОЧНАЯ Папа может вар п/о  ОСТАНКИНО</v>
          </cell>
          <cell r="B32" t="str">
            <v>кг</v>
          </cell>
          <cell r="C32">
            <v>45.198</v>
          </cell>
          <cell r="D32">
            <v>204.26599999999999</v>
          </cell>
          <cell r="E32">
            <v>84.308000000000007</v>
          </cell>
          <cell r="F32">
            <v>140.40600000000001</v>
          </cell>
          <cell r="G32">
            <v>1</v>
          </cell>
          <cell r="H32">
            <v>60</v>
          </cell>
          <cell r="I32" t="str">
            <v>матрица</v>
          </cell>
          <cell r="K32">
            <v>84.4</v>
          </cell>
          <cell r="L32">
            <v>-9.1999999999998749E-2</v>
          </cell>
          <cell r="O32">
            <v>88</v>
          </cell>
          <cell r="P32">
            <v>16.861600000000003</v>
          </cell>
          <cell r="Q32">
            <v>24.518000000000029</v>
          </cell>
        </row>
        <row r="33">
          <cell r="A33" t="str">
            <v>6527 ШПИКАЧКИ СОЧНЫЕ ПМ сар б/о мгс 1*3 45с ОСТАНКИНО</v>
          </cell>
          <cell r="B33" t="str">
            <v>кг</v>
          </cell>
          <cell r="C33">
            <v>60.017000000000003</v>
          </cell>
          <cell r="D33">
            <v>168.72200000000001</v>
          </cell>
          <cell r="E33">
            <v>48.082000000000001</v>
          </cell>
          <cell r="F33">
            <v>159.13499999999999</v>
          </cell>
          <cell r="G33">
            <v>1</v>
          </cell>
          <cell r="H33">
            <v>45</v>
          </cell>
          <cell r="I33" t="str">
            <v>матрица</v>
          </cell>
          <cell r="K33">
            <v>51.2</v>
          </cell>
          <cell r="L33">
            <v>-3.1180000000000021</v>
          </cell>
          <cell r="O33">
            <v>33</v>
          </cell>
          <cell r="P33">
            <v>9.6164000000000005</v>
          </cell>
        </row>
        <row r="34">
          <cell r="A34" t="str">
            <v>6550 МЯСНЫЕ Папа может сар б/о мгс 1*3 О 45с  Останкино</v>
          </cell>
          <cell r="B34" t="str">
            <v>кг</v>
          </cell>
          <cell r="C34">
            <v>41.41</v>
          </cell>
          <cell r="D34">
            <v>261.245</v>
          </cell>
          <cell r="E34">
            <v>58.374000000000002</v>
          </cell>
          <cell r="F34">
            <v>222.923</v>
          </cell>
          <cell r="G34">
            <v>1</v>
          </cell>
          <cell r="H34">
            <v>45</v>
          </cell>
          <cell r="I34" t="str">
            <v>матрица</v>
          </cell>
          <cell r="K34">
            <v>62.5</v>
          </cell>
          <cell r="L34">
            <v>-4.1259999999999977</v>
          </cell>
          <cell r="O34">
            <v>40</v>
          </cell>
          <cell r="P34">
            <v>11.674800000000001</v>
          </cell>
        </row>
        <row r="35">
          <cell r="A35" t="str">
            <v>6602 БАВАРСКИЕ ПМ сос ц/о мгс 0.35кг 8шт.</v>
          </cell>
          <cell r="B35" t="str">
            <v>шт</v>
          </cell>
          <cell r="G35">
            <v>0</v>
          </cell>
          <cell r="I35" t="str">
            <v>РАЗОВО</v>
          </cell>
          <cell r="L35">
            <v>0</v>
          </cell>
          <cell r="O35">
            <v>300</v>
          </cell>
          <cell r="P35">
            <v>0</v>
          </cell>
        </row>
        <row r="36">
          <cell r="A36" t="str">
            <v>6608 С ГОВЯДИНОЙ ОРИГИН. сар б/о мгс 1*3_45с  ОСТАНКИНО</v>
          </cell>
          <cell r="B36" t="str">
            <v>кг</v>
          </cell>
          <cell r="C36">
            <v>134.15899999999999</v>
          </cell>
          <cell r="D36">
            <v>386.22300000000001</v>
          </cell>
          <cell r="E36">
            <v>127.35899999999999</v>
          </cell>
          <cell r="F36">
            <v>364.23200000000003</v>
          </cell>
          <cell r="G36">
            <v>1</v>
          </cell>
          <cell r="H36">
            <v>45</v>
          </cell>
          <cell r="I36" t="str">
            <v>матрица</v>
          </cell>
          <cell r="K36">
            <v>130.4</v>
          </cell>
          <cell r="L36">
            <v>-3.041000000000011</v>
          </cell>
          <cell r="O36">
            <v>0</v>
          </cell>
          <cell r="P36">
            <v>25.471799999999998</v>
          </cell>
          <cell r="Q36">
            <v>17.84499999999997</v>
          </cell>
        </row>
        <row r="37">
          <cell r="A37" t="str">
            <v>6616 МОЛОЧНЫЕ КЛАССИЧЕСКИЕ сос п/о в/у 0,3 кг  Останкино</v>
          </cell>
          <cell r="B37" t="str">
            <v>шт</v>
          </cell>
          <cell r="C37">
            <v>466</v>
          </cell>
          <cell r="D37">
            <v>708</v>
          </cell>
          <cell r="E37">
            <v>178</v>
          </cell>
          <cell r="F37">
            <v>938</v>
          </cell>
          <cell r="G37">
            <v>0.3</v>
          </cell>
          <cell r="H37">
            <v>45</v>
          </cell>
          <cell r="I37" t="str">
            <v>матрица</v>
          </cell>
          <cell r="K37">
            <v>176</v>
          </cell>
          <cell r="L37">
            <v>2</v>
          </cell>
          <cell r="O37">
            <v>0</v>
          </cell>
          <cell r="P37">
            <v>35.6</v>
          </cell>
        </row>
        <row r="38">
          <cell r="A38" t="str">
            <v>6620 РЕБРЫШКИ к/в в/у_30с  Останкино</v>
          </cell>
          <cell r="B38" t="str">
            <v>кг</v>
          </cell>
          <cell r="C38">
            <v>-10.231999999999999</v>
          </cell>
          <cell r="D38">
            <v>390.5</v>
          </cell>
          <cell r="E38">
            <v>117.31</v>
          </cell>
          <cell r="F38">
            <v>160.54</v>
          </cell>
          <cell r="G38">
            <v>1</v>
          </cell>
          <cell r="H38">
            <v>30</v>
          </cell>
          <cell r="I38" t="str">
            <v>матрица</v>
          </cell>
          <cell r="K38">
            <v>124.7</v>
          </cell>
          <cell r="L38">
            <v>-7.3900000000000006</v>
          </cell>
          <cell r="O38">
            <v>139</v>
          </cell>
          <cell r="P38">
            <v>23.462</v>
          </cell>
          <cell r="Q38">
            <v>52.390000000000015</v>
          </cell>
        </row>
        <row r="39">
          <cell r="A39" t="str">
            <v>6661 СОЧНЫЙ ГРИЛЬ ПМ сос п/о мгс 1,5*4_Маяк Останкино</v>
          </cell>
          <cell r="B39" t="str">
            <v>кг</v>
          </cell>
          <cell r="C39">
            <v>47.682000000000002</v>
          </cell>
          <cell r="D39">
            <v>565.16999999999996</v>
          </cell>
          <cell r="E39">
            <v>244.946</v>
          </cell>
          <cell r="F39">
            <v>285.11799999999999</v>
          </cell>
          <cell r="G39">
            <v>1</v>
          </cell>
          <cell r="H39">
            <v>45</v>
          </cell>
          <cell r="I39" t="str">
            <v>матрица</v>
          </cell>
          <cell r="K39">
            <v>309.7</v>
          </cell>
          <cell r="L39">
            <v>-64.753999999999991</v>
          </cell>
          <cell r="O39">
            <v>523</v>
          </cell>
          <cell r="P39">
            <v>48.989199999999997</v>
          </cell>
        </row>
        <row r="40">
          <cell r="A40" t="str">
            <v>6697 СЕРВЕЛАТ ФИНСКИЙ ПМ в/к в/у 0,35кг 8шт  ОСТАНКИНО</v>
          </cell>
          <cell r="B40" t="str">
            <v>шт</v>
          </cell>
          <cell r="C40">
            <v>7</v>
          </cell>
          <cell r="D40">
            <v>949</v>
          </cell>
          <cell r="E40">
            <v>231</v>
          </cell>
          <cell r="F40">
            <v>605</v>
          </cell>
          <cell r="G40">
            <v>0.35</v>
          </cell>
          <cell r="H40">
            <v>45</v>
          </cell>
          <cell r="I40" t="str">
            <v>матрица</v>
          </cell>
          <cell r="K40">
            <v>281</v>
          </cell>
          <cell r="L40">
            <v>-50</v>
          </cell>
          <cell r="O40">
            <v>78</v>
          </cell>
          <cell r="P40">
            <v>46.2</v>
          </cell>
          <cell r="Q40">
            <v>10</v>
          </cell>
        </row>
        <row r="41">
          <cell r="A41" t="str">
            <v>6713 СОЧНЫЙ ГРИЛЬ ПМ сос п/о мгс 0,41кг 8 шт.  ОСТАНКИНО</v>
          </cell>
          <cell r="B41" t="str">
            <v>шт</v>
          </cell>
          <cell r="C41">
            <v>225</v>
          </cell>
          <cell r="D41">
            <v>361</v>
          </cell>
          <cell r="E41">
            <v>330</v>
          </cell>
          <cell r="F41">
            <v>196</v>
          </cell>
          <cell r="G41">
            <v>0.41</v>
          </cell>
          <cell r="H41">
            <v>45</v>
          </cell>
          <cell r="I41" t="str">
            <v>матрица</v>
          </cell>
          <cell r="K41">
            <v>352</v>
          </cell>
          <cell r="L41">
            <v>-22</v>
          </cell>
          <cell r="O41">
            <v>341</v>
          </cell>
          <cell r="P41">
            <v>66</v>
          </cell>
          <cell r="Q41">
            <v>453</v>
          </cell>
        </row>
        <row r="42">
          <cell r="A42" t="str">
            <v>6724 МОЛОЧНЫЕ ПМ сос п/о мгс 0,41кг 10шт  Останкино</v>
          </cell>
          <cell r="B42" t="str">
            <v>шт</v>
          </cell>
          <cell r="C42">
            <v>87</v>
          </cell>
          <cell r="D42">
            <v>389</v>
          </cell>
          <cell r="E42">
            <v>178</v>
          </cell>
          <cell r="F42">
            <v>249</v>
          </cell>
          <cell r="G42">
            <v>0.41</v>
          </cell>
          <cell r="H42">
            <v>45</v>
          </cell>
          <cell r="I42" t="str">
            <v>матрица</v>
          </cell>
          <cell r="K42">
            <v>181</v>
          </cell>
          <cell r="L42">
            <v>-3</v>
          </cell>
          <cell r="O42">
            <v>105</v>
          </cell>
          <cell r="P42">
            <v>35.6</v>
          </cell>
          <cell r="Q42">
            <v>180</v>
          </cell>
        </row>
        <row r="43">
          <cell r="A43" t="str">
            <v>6765 РУБЛЕНЫЕ сос ц/о мгс 0,36кг 6шт  Останкино</v>
          </cell>
          <cell r="B43" t="str">
            <v>шт</v>
          </cell>
          <cell r="C43">
            <v>354</v>
          </cell>
          <cell r="D43">
            <v>664</v>
          </cell>
          <cell r="E43">
            <v>175</v>
          </cell>
          <cell r="F43">
            <v>775</v>
          </cell>
          <cell r="G43">
            <v>0.36</v>
          </cell>
          <cell r="H43">
            <v>45</v>
          </cell>
          <cell r="I43" t="str">
            <v>матрица</v>
          </cell>
          <cell r="K43">
            <v>182</v>
          </cell>
          <cell r="L43">
            <v>-7</v>
          </cell>
          <cell r="O43">
            <v>0</v>
          </cell>
          <cell r="P43">
            <v>35</v>
          </cell>
        </row>
        <row r="44">
          <cell r="A44" t="str">
            <v>6787 СЕРВЕЛАТ КРЕМЛЕВСКИЙ в/к в/у 0,33кг 8шт  Останкино</v>
          </cell>
          <cell r="B44" t="str">
            <v>шт</v>
          </cell>
          <cell r="C44">
            <v>7</v>
          </cell>
          <cell r="D44">
            <v>76</v>
          </cell>
          <cell r="E44">
            <v>36</v>
          </cell>
          <cell r="F44">
            <v>37</v>
          </cell>
          <cell r="G44">
            <v>0.33</v>
          </cell>
          <cell r="H44">
            <v>45</v>
          </cell>
          <cell r="I44" t="str">
            <v>матрица</v>
          </cell>
          <cell r="K44">
            <v>40</v>
          </cell>
          <cell r="L44">
            <v>-4</v>
          </cell>
          <cell r="O44">
            <v>109</v>
          </cell>
          <cell r="P44">
            <v>7.2</v>
          </cell>
        </row>
        <row r="45">
          <cell r="A45" t="str">
            <v>6797 С ИНДЕЙКОЙ Папа может вар п/о 0,4кг 8шт. ОСТАНКИНО</v>
          </cell>
          <cell r="B45" t="str">
            <v>шт</v>
          </cell>
          <cell r="C45">
            <v>-1</v>
          </cell>
          <cell r="D45">
            <v>143</v>
          </cell>
          <cell r="E45">
            <v>69</v>
          </cell>
          <cell r="F45">
            <v>54</v>
          </cell>
          <cell r="G45">
            <v>0.4</v>
          </cell>
          <cell r="H45">
            <v>60</v>
          </cell>
          <cell r="I45" t="str">
            <v>матрица</v>
          </cell>
          <cell r="K45">
            <v>171</v>
          </cell>
          <cell r="L45">
            <v>-102</v>
          </cell>
          <cell r="O45">
            <v>186</v>
          </cell>
          <cell r="P45">
            <v>13.8</v>
          </cell>
        </row>
        <row r="46">
          <cell r="A46" t="str">
            <v>6807 СЕРВЕЛАТ ЕВРОПЕЙСКИЙ в/к в/у 0,33кг 8шт  Останкино</v>
          </cell>
          <cell r="B46" t="str">
            <v>шт</v>
          </cell>
          <cell r="D46">
            <v>70</v>
          </cell>
          <cell r="E46">
            <v>19</v>
          </cell>
          <cell r="F46">
            <v>42</v>
          </cell>
          <cell r="G46">
            <v>0.33</v>
          </cell>
          <cell r="H46">
            <v>45</v>
          </cell>
          <cell r="I46" t="str">
            <v>матрица</v>
          </cell>
          <cell r="K46">
            <v>22</v>
          </cell>
          <cell r="L46">
            <v>-3</v>
          </cell>
          <cell r="O46">
            <v>18</v>
          </cell>
          <cell r="P46">
            <v>3.8</v>
          </cell>
        </row>
        <row r="47">
          <cell r="A47" t="str">
            <v>6829  МОЛОЧНЫЕ КЛАССИЧЕСКИЕ сос п/о мгс 2*4 С  Останккино</v>
          </cell>
          <cell r="B47" t="str">
            <v>кг</v>
          </cell>
          <cell r="C47">
            <v>87.215999999999994</v>
          </cell>
          <cell r="D47">
            <v>895.37199999999996</v>
          </cell>
          <cell r="E47">
            <v>313.69</v>
          </cell>
          <cell r="F47">
            <v>471.10399999999998</v>
          </cell>
          <cell r="G47">
            <v>1</v>
          </cell>
          <cell r="H47">
            <v>45</v>
          </cell>
          <cell r="I47" t="str">
            <v>матрица</v>
          </cell>
          <cell r="K47">
            <v>372.7</v>
          </cell>
          <cell r="L47">
            <v>-59.009999999999991</v>
          </cell>
          <cell r="O47">
            <v>408</v>
          </cell>
          <cell r="P47">
            <v>62.738</v>
          </cell>
          <cell r="Q47">
            <v>61.965999999999951</v>
          </cell>
        </row>
        <row r="48">
          <cell r="A48" t="str">
            <v>6837 ФИЛЕЙНЫЕ Папа Может сос ц/о мгс 0,4кг  Останкино</v>
          </cell>
          <cell r="B48" t="str">
            <v>шт</v>
          </cell>
          <cell r="C48">
            <v>79</v>
          </cell>
          <cell r="D48">
            <v>266</v>
          </cell>
          <cell r="E48">
            <v>33</v>
          </cell>
          <cell r="F48">
            <v>276</v>
          </cell>
          <cell r="G48">
            <v>0.4</v>
          </cell>
          <cell r="H48">
            <v>45</v>
          </cell>
          <cell r="I48" t="str">
            <v>матрица</v>
          </cell>
          <cell r="K48">
            <v>43</v>
          </cell>
          <cell r="L48">
            <v>-10</v>
          </cell>
          <cell r="O48">
            <v>0</v>
          </cell>
          <cell r="P48">
            <v>6.6</v>
          </cell>
        </row>
        <row r="49">
          <cell r="A49" t="str">
            <v>6861 ДОМАШНИЙ РЕЦЕПТ Коровино вар п/о  Останкино</v>
          </cell>
          <cell r="B49" t="str">
            <v>кг</v>
          </cell>
          <cell r="C49">
            <v>31.577000000000002</v>
          </cell>
          <cell r="D49">
            <v>1.835</v>
          </cell>
          <cell r="E49">
            <v>17.678999999999998</v>
          </cell>
          <cell r="F49">
            <v>13.782999999999999</v>
          </cell>
          <cell r="G49">
            <v>1</v>
          </cell>
          <cell r="H49">
            <v>60</v>
          </cell>
          <cell r="I49" t="str">
            <v>матрица</v>
          </cell>
          <cell r="K49">
            <v>14.9</v>
          </cell>
          <cell r="L49">
            <v>2.7789999999999981</v>
          </cell>
          <cell r="O49">
            <v>45</v>
          </cell>
          <cell r="P49">
            <v>3.5357999999999996</v>
          </cell>
        </row>
        <row r="50">
          <cell r="A50" t="str">
            <v>6866 ВЕТЧ.НЕЖНАЯ Коровино п/о_Маяк  Останкино</v>
          </cell>
          <cell r="B50" t="str">
            <v>кг</v>
          </cell>
          <cell r="C50">
            <v>25.46</v>
          </cell>
          <cell r="D50">
            <v>71.484999999999999</v>
          </cell>
          <cell r="E50">
            <v>21.145</v>
          </cell>
          <cell r="F50">
            <v>65.77</v>
          </cell>
          <cell r="G50">
            <v>1</v>
          </cell>
          <cell r="H50">
            <v>60</v>
          </cell>
          <cell r="I50" t="str">
            <v>матрица</v>
          </cell>
          <cell r="K50">
            <v>21.1</v>
          </cell>
          <cell r="L50">
            <v>4.4999999999998153E-2</v>
          </cell>
          <cell r="O50">
            <v>0</v>
          </cell>
          <cell r="P50">
            <v>4.2290000000000001</v>
          </cell>
        </row>
        <row r="51">
          <cell r="A51" t="str">
            <v>6967 БУРГУНДИЯ Папа может с/к в/у 1/250 8шт  Останкино</v>
          </cell>
          <cell r="B51" t="str">
            <v>шт</v>
          </cell>
          <cell r="C51">
            <v>58</v>
          </cell>
          <cell r="D51">
            <v>26</v>
          </cell>
          <cell r="E51">
            <v>41</v>
          </cell>
          <cell r="F51">
            <v>27</v>
          </cell>
          <cell r="G51">
            <v>0.25</v>
          </cell>
          <cell r="H51">
            <v>120</v>
          </cell>
          <cell r="I51" t="str">
            <v>матрица</v>
          </cell>
          <cell r="K51">
            <v>41</v>
          </cell>
          <cell r="L51">
            <v>0</v>
          </cell>
          <cell r="O51">
            <v>29</v>
          </cell>
          <cell r="P51">
            <v>8.1999999999999993</v>
          </cell>
          <cell r="Q51">
            <v>66.999999999999986</v>
          </cell>
        </row>
        <row r="52">
          <cell r="A52" t="str">
            <v>7001 КЛАССИЧЕСКИЕ Папа может сар б/о мгс 1*3  Останкино</v>
          </cell>
          <cell r="B52" t="str">
            <v>кг</v>
          </cell>
          <cell r="C52">
            <v>43.335000000000001</v>
          </cell>
          <cell r="D52">
            <v>59.648000000000003</v>
          </cell>
          <cell r="E52">
            <v>42.353999999999999</v>
          </cell>
          <cell r="F52">
            <v>50.994999999999997</v>
          </cell>
          <cell r="G52">
            <v>1</v>
          </cell>
          <cell r="H52">
            <v>45</v>
          </cell>
          <cell r="I52" t="str">
            <v>матрица</v>
          </cell>
          <cell r="K52">
            <v>47.2</v>
          </cell>
          <cell r="L52">
            <v>-4.8460000000000036</v>
          </cell>
          <cell r="O52">
            <v>34</v>
          </cell>
          <cell r="P52">
            <v>8.4708000000000006</v>
          </cell>
          <cell r="Q52">
            <v>42.067000000000014</v>
          </cell>
        </row>
        <row r="53">
          <cell r="A53" t="str">
            <v>7040 С ИНДЕЙКОЙ ПМ сос ц/о в/у 1/270 8шт.  ОСТАНКИНО</v>
          </cell>
          <cell r="B53" t="str">
            <v>шт</v>
          </cell>
          <cell r="C53">
            <v>1</v>
          </cell>
          <cell r="D53">
            <v>176</v>
          </cell>
          <cell r="E53">
            <v>81</v>
          </cell>
          <cell r="F53">
            <v>89</v>
          </cell>
          <cell r="G53">
            <v>0.27</v>
          </cell>
          <cell r="I53" t="str">
            <v>матрица</v>
          </cell>
          <cell r="K53">
            <v>121</v>
          </cell>
          <cell r="L53">
            <v>-40</v>
          </cell>
          <cell r="O53">
            <v>80</v>
          </cell>
          <cell r="P53">
            <v>16.2</v>
          </cell>
          <cell r="Q53">
            <v>74</v>
          </cell>
        </row>
        <row r="54">
          <cell r="A54" t="str">
            <v>7059 ШПИКАЧКИ СОЧНЫЕ С БЕК. п/о мгс 0,3кг 60с ОСТАНКИНО</v>
          </cell>
          <cell r="B54" t="str">
            <v>шт</v>
          </cell>
          <cell r="D54">
            <v>86</v>
          </cell>
          <cell r="E54">
            <v>-1</v>
          </cell>
          <cell r="G54">
            <v>0.3</v>
          </cell>
          <cell r="H54">
            <v>60</v>
          </cell>
          <cell r="I54" t="str">
            <v>матрица</v>
          </cell>
          <cell r="K54">
            <v>250</v>
          </cell>
          <cell r="L54">
            <v>-251</v>
          </cell>
          <cell r="O54">
            <v>300</v>
          </cell>
          <cell r="P54">
            <v>-0.2</v>
          </cell>
        </row>
        <row r="55">
          <cell r="A55" t="str">
            <v>7066 СОЧНЫЕ ПМ сос п/о мгс 0,41кг 10шт 50с  Останкино</v>
          </cell>
          <cell r="B55" t="str">
            <v>шт</v>
          </cell>
          <cell r="C55">
            <v>442</v>
          </cell>
          <cell r="D55">
            <v>935</v>
          </cell>
          <cell r="E55">
            <v>649</v>
          </cell>
          <cell r="F55">
            <v>484</v>
          </cell>
          <cell r="G55">
            <v>0.41</v>
          </cell>
          <cell r="H55">
            <v>50</v>
          </cell>
          <cell r="I55" t="str">
            <v>ВНИМАНИЕ / матрица</v>
          </cell>
          <cell r="K55">
            <v>649</v>
          </cell>
          <cell r="L55">
            <v>0</v>
          </cell>
          <cell r="O55">
            <v>616</v>
          </cell>
          <cell r="P55">
            <v>129.80000000000001</v>
          </cell>
          <cell r="Q55">
            <v>400</v>
          </cell>
        </row>
        <row r="56">
          <cell r="A56" t="str">
            <v>7070 СОЧНЫЕ ПМ сос п/о 1,5*4_А_50с  Останкино</v>
          </cell>
          <cell r="B56" t="str">
            <v>кг</v>
          </cell>
          <cell r="C56">
            <v>806.702</v>
          </cell>
          <cell r="D56">
            <v>895.95899999999995</v>
          </cell>
          <cell r="E56">
            <v>564.125</v>
          </cell>
          <cell r="F56">
            <v>747.89099999999996</v>
          </cell>
          <cell r="G56">
            <v>1</v>
          </cell>
          <cell r="H56">
            <v>50</v>
          </cell>
          <cell r="I56" t="str">
            <v>матрица</v>
          </cell>
          <cell r="K56">
            <v>544.4</v>
          </cell>
          <cell r="L56">
            <v>19.725000000000023</v>
          </cell>
          <cell r="O56">
            <v>553</v>
          </cell>
          <cell r="P56">
            <v>112.825</v>
          </cell>
          <cell r="Q56">
            <v>391.48400000000004</v>
          </cell>
        </row>
        <row r="57">
          <cell r="A57" t="str">
            <v>7073 МОЛОЧ.ПРЕМИУМ ПМ сос п/о в/у 1/350_50с  Останкино</v>
          </cell>
          <cell r="B57" t="str">
            <v>шт</v>
          </cell>
          <cell r="C57">
            <v>18</v>
          </cell>
          <cell r="D57">
            <v>47</v>
          </cell>
          <cell r="E57">
            <v>23</v>
          </cell>
          <cell r="F57">
            <v>22</v>
          </cell>
          <cell r="G57">
            <v>0.35</v>
          </cell>
          <cell r="H57">
            <v>50</v>
          </cell>
          <cell r="I57" t="str">
            <v>матрица</v>
          </cell>
          <cell r="K57">
            <v>27</v>
          </cell>
          <cell r="L57">
            <v>-4</v>
          </cell>
          <cell r="O57">
            <v>77</v>
          </cell>
          <cell r="P57">
            <v>4.5999999999999996</v>
          </cell>
        </row>
        <row r="58">
          <cell r="A58" t="str">
            <v>7075 МОЛОЧ.ПРЕМИУМ ПМ сос п/о мгс 1,5*4_О_50с  Останкино</v>
          </cell>
          <cell r="B58" t="str">
            <v>кг</v>
          </cell>
          <cell r="C58">
            <v>68.265000000000001</v>
          </cell>
          <cell r="D58">
            <v>112.605</v>
          </cell>
          <cell r="E58">
            <v>67.988</v>
          </cell>
          <cell r="F58">
            <v>67.87</v>
          </cell>
          <cell r="G58">
            <v>1</v>
          </cell>
          <cell r="H58">
            <v>50</v>
          </cell>
          <cell r="I58" t="str">
            <v>матрица</v>
          </cell>
          <cell r="K58">
            <v>66</v>
          </cell>
          <cell r="L58">
            <v>1.9879999999999995</v>
          </cell>
          <cell r="O58">
            <v>68</v>
          </cell>
          <cell r="P58">
            <v>13.5976</v>
          </cell>
          <cell r="Q58">
            <v>68.093999999999994</v>
          </cell>
        </row>
        <row r="59">
          <cell r="A59" t="str">
            <v>7080 СЛИВОЧНЫЕ ПМ сос п/о мгс 0,41кг 10шт 50с  Останкино</v>
          </cell>
          <cell r="B59" t="str">
            <v>шт</v>
          </cell>
          <cell r="C59">
            <v>540</v>
          </cell>
          <cell r="D59">
            <v>262</v>
          </cell>
          <cell r="E59">
            <v>369</v>
          </cell>
          <cell r="F59">
            <v>357</v>
          </cell>
          <cell r="G59">
            <v>0.41</v>
          </cell>
          <cell r="H59">
            <v>50</v>
          </cell>
          <cell r="I59" t="str">
            <v>ВНИМАНИЕ / матрица</v>
          </cell>
          <cell r="K59">
            <v>370</v>
          </cell>
          <cell r="L59">
            <v>-1</v>
          </cell>
          <cell r="O59">
            <v>352</v>
          </cell>
          <cell r="P59">
            <v>73.8</v>
          </cell>
          <cell r="Q59">
            <v>398</v>
          </cell>
        </row>
        <row r="60">
          <cell r="A60" t="str">
            <v>7083 СЛИВОЧНЫЕ ПМ сос п/о мгс 1.5*4_А_50с  ОСТАНКИНО</v>
          </cell>
          <cell r="B60" t="str">
            <v>кг</v>
          </cell>
          <cell r="C60">
            <v>197.03399999999999</v>
          </cell>
          <cell r="D60">
            <v>378.35300000000001</v>
          </cell>
          <cell r="E60">
            <v>157.69499999999999</v>
          </cell>
          <cell r="F60">
            <v>375.69900000000001</v>
          </cell>
          <cell r="G60">
            <v>1</v>
          </cell>
          <cell r="H60">
            <v>50</v>
          </cell>
          <cell r="I60" t="str">
            <v>матрица</v>
          </cell>
          <cell r="K60">
            <v>150.80000000000001</v>
          </cell>
          <cell r="L60">
            <v>6.8949999999999818</v>
          </cell>
          <cell r="O60">
            <v>46</v>
          </cell>
          <cell r="P60">
            <v>31.538999999999998</v>
          </cell>
          <cell r="Q60">
            <v>51.385999999999967</v>
          </cell>
        </row>
        <row r="61">
          <cell r="A61" t="str">
            <v>7090 СВИНИНА ПО-ДОМ.к/в мл/к в/у 0,3кг_50с  Останкино</v>
          </cell>
          <cell r="B61" t="str">
            <v>шт</v>
          </cell>
          <cell r="D61">
            <v>240</v>
          </cell>
          <cell r="E61">
            <v>94</v>
          </cell>
          <cell r="F61">
            <v>62</v>
          </cell>
          <cell r="G61">
            <v>0.3</v>
          </cell>
          <cell r="H61">
            <v>50</v>
          </cell>
          <cell r="I61" t="str">
            <v>матрица</v>
          </cell>
          <cell r="K61">
            <v>129</v>
          </cell>
          <cell r="L61">
            <v>-35</v>
          </cell>
          <cell r="O61">
            <v>66</v>
          </cell>
          <cell r="P61">
            <v>18.8</v>
          </cell>
          <cell r="Q61">
            <v>154</v>
          </cell>
        </row>
        <row r="62">
          <cell r="A62" t="str">
            <v>7103 БЕКОН Останкино с/к с/н в/у 1/180_50с  Останкино</v>
          </cell>
          <cell r="B62" t="str">
            <v>шт</v>
          </cell>
          <cell r="C62">
            <v>458</v>
          </cell>
          <cell r="D62">
            <v>383</v>
          </cell>
          <cell r="E62">
            <v>232</v>
          </cell>
          <cell r="F62">
            <v>530</v>
          </cell>
          <cell r="G62">
            <v>0.18</v>
          </cell>
          <cell r="H62">
            <v>50</v>
          </cell>
          <cell r="I62" t="str">
            <v>матрица</v>
          </cell>
          <cell r="K62">
            <v>235</v>
          </cell>
          <cell r="L62">
            <v>-3</v>
          </cell>
          <cell r="O62">
            <v>0</v>
          </cell>
          <cell r="P62">
            <v>46.4</v>
          </cell>
          <cell r="Q62">
            <v>166</v>
          </cell>
        </row>
        <row r="63">
          <cell r="A63" t="str">
            <v>7149 БАЛЫКОВАЯ Коровино п/к в/у 0,84кг_50с  Останкино</v>
          </cell>
          <cell r="B63" t="str">
            <v>шт</v>
          </cell>
          <cell r="C63">
            <v>54</v>
          </cell>
          <cell r="D63">
            <v>15</v>
          </cell>
          <cell r="E63">
            <v>50</v>
          </cell>
          <cell r="G63">
            <v>0.84</v>
          </cell>
          <cell r="H63">
            <v>50</v>
          </cell>
          <cell r="I63" t="str">
            <v>матрица</v>
          </cell>
          <cell r="K63">
            <v>77</v>
          </cell>
          <cell r="L63">
            <v>-27</v>
          </cell>
          <cell r="O63">
            <v>50</v>
          </cell>
          <cell r="P63">
            <v>10</v>
          </cell>
          <cell r="Q63">
            <v>80</v>
          </cell>
        </row>
        <row r="64">
          <cell r="A64" t="str">
            <v>7154 СЕРВЕЛАТ ЗЕРНИСТЫЙ ПМ в/к в/у 0,35кг_50с  Останкино</v>
          </cell>
          <cell r="B64" t="str">
            <v>шт</v>
          </cell>
          <cell r="C64">
            <v>284</v>
          </cell>
          <cell r="D64">
            <v>1112</v>
          </cell>
          <cell r="E64">
            <v>411</v>
          </cell>
          <cell r="F64">
            <v>766</v>
          </cell>
          <cell r="G64">
            <v>0.35</v>
          </cell>
          <cell r="H64">
            <v>50</v>
          </cell>
          <cell r="I64" t="str">
            <v>матрица</v>
          </cell>
          <cell r="K64">
            <v>412</v>
          </cell>
          <cell r="L64">
            <v>-1</v>
          </cell>
          <cell r="O64">
            <v>160</v>
          </cell>
          <cell r="P64">
            <v>82.2</v>
          </cell>
          <cell r="Q64">
            <v>307</v>
          </cell>
        </row>
        <row r="65">
          <cell r="A65" t="str">
            <v>7156 СЕРВЕЛАТ КОПЧ.НА БУКЕ в/к в/у 0.35кг_50с  ОСТАНКИНО</v>
          </cell>
          <cell r="B65" t="str">
            <v>шт</v>
          </cell>
          <cell r="D65">
            <v>299</v>
          </cell>
          <cell r="E65">
            <v>175</v>
          </cell>
          <cell r="F65">
            <v>106</v>
          </cell>
          <cell r="G65">
            <v>0.35</v>
          </cell>
          <cell r="I65" t="str">
            <v>матрица</v>
          </cell>
          <cell r="K65">
            <v>181</v>
          </cell>
          <cell r="L65">
            <v>-6</v>
          </cell>
          <cell r="O65">
            <v>100</v>
          </cell>
          <cell r="P65">
            <v>35</v>
          </cell>
          <cell r="Q65">
            <v>284</v>
          </cell>
        </row>
        <row r="66">
          <cell r="A66" t="str">
            <v>7157 СЕРВЕЛАТ ЗЕРНИСТЫЙ ПМ в/к в/у_50с  Останкино</v>
          </cell>
          <cell r="B66" t="str">
            <v>кг</v>
          </cell>
          <cell r="C66">
            <v>156.67099999999999</v>
          </cell>
          <cell r="D66">
            <v>709.25099999999998</v>
          </cell>
          <cell r="E66">
            <v>146.95599999999999</v>
          </cell>
          <cell r="F66">
            <v>642.87599999999998</v>
          </cell>
          <cell r="G66">
            <v>1</v>
          </cell>
          <cell r="H66">
            <v>50</v>
          </cell>
          <cell r="I66" t="str">
            <v>матрица</v>
          </cell>
          <cell r="K66">
            <v>140.19999999999999</v>
          </cell>
          <cell r="L66">
            <v>6.7560000000000002</v>
          </cell>
          <cell r="O66">
            <v>0</v>
          </cell>
          <cell r="P66">
            <v>29.391199999999998</v>
          </cell>
        </row>
        <row r="67">
          <cell r="A67" t="str">
            <v>7166 СЕРВЕЛАТ ОХОТНИЧИЙ ПМ в/к в/у_50с  Останкино</v>
          </cell>
          <cell r="B67" t="str">
            <v>кг</v>
          </cell>
          <cell r="C67">
            <v>52.264000000000003</v>
          </cell>
          <cell r="D67">
            <v>752.12099999999998</v>
          </cell>
          <cell r="E67">
            <v>133.87299999999999</v>
          </cell>
          <cell r="F67">
            <v>613.92100000000005</v>
          </cell>
          <cell r="G67">
            <v>1</v>
          </cell>
          <cell r="H67">
            <v>50</v>
          </cell>
          <cell r="I67" t="str">
            <v>матрица</v>
          </cell>
          <cell r="K67">
            <v>140.69999999999999</v>
          </cell>
          <cell r="L67">
            <v>-6.8269999999999982</v>
          </cell>
          <cell r="O67">
            <v>112</v>
          </cell>
          <cell r="P67">
            <v>26.7746</v>
          </cell>
        </row>
        <row r="68">
          <cell r="A68" t="str">
            <v>7169 СЕРВЕЛАТ ОХОТНИЧИЙ ПМ в/к в/у 0,35кг_50с  Останкино</v>
          </cell>
          <cell r="B68" t="str">
            <v>шт</v>
          </cell>
          <cell r="C68">
            <v>63</v>
          </cell>
          <cell r="D68">
            <v>633</v>
          </cell>
          <cell r="E68">
            <v>200</v>
          </cell>
          <cell r="F68">
            <v>409</v>
          </cell>
          <cell r="G68">
            <v>0.35</v>
          </cell>
          <cell r="H68">
            <v>50</v>
          </cell>
          <cell r="I68" t="str">
            <v>матрица</v>
          </cell>
          <cell r="K68">
            <v>211</v>
          </cell>
          <cell r="L68">
            <v>-11</v>
          </cell>
          <cell r="O68">
            <v>21</v>
          </cell>
          <cell r="P68">
            <v>40</v>
          </cell>
          <cell r="Q68">
            <v>170</v>
          </cell>
        </row>
        <row r="69">
          <cell r="A69" t="str">
            <v>7187 ГРУДИНКА ПРЕМИУМ к/в мл/к в/у 0,3кг_50с  Останкино</v>
          </cell>
          <cell r="B69" t="str">
            <v>шт</v>
          </cell>
          <cell r="C69">
            <v>60</v>
          </cell>
          <cell r="D69">
            <v>106</v>
          </cell>
          <cell r="E69">
            <v>74</v>
          </cell>
          <cell r="F69">
            <v>69</v>
          </cell>
          <cell r="G69">
            <v>0.3</v>
          </cell>
          <cell r="H69">
            <v>50</v>
          </cell>
          <cell r="I69" t="str">
            <v>матрица</v>
          </cell>
          <cell r="K69">
            <v>79</v>
          </cell>
          <cell r="L69">
            <v>-5</v>
          </cell>
          <cell r="O69">
            <v>71</v>
          </cell>
          <cell r="P69">
            <v>14.8</v>
          </cell>
          <cell r="Q69">
            <v>82</v>
          </cell>
        </row>
        <row r="70">
          <cell r="A70" t="str">
            <v>7231 КЛАССИЧЕСКАЯ ПМ вар п/о 0,3кг 8 шт_209к  Останкино</v>
          </cell>
          <cell r="B70" t="str">
            <v>шт</v>
          </cell>
          <cell r="C70">
            <v>75</v>
          </cell>
          <cell r="D70">
            <v>122</v>
          </cell>
          <cell r="E70">
            <v>78</v>
          </cell>
          <cell r="F70">
            <v>100</v>
          </cell>
          <cell r="G70">
            <v>0.3</v>
          </cell>
          <cell r="H70">
            <v>60</v>
          </cell>
          <cell r="I70" t="str">
            <v>матрица</v>
          </cell>
          <cell r="K70">
            <v>81</v>
          </cell>
          <cell r="L70">
            <v>-3</v>
          </cell>
          <cell r="O70">
            <v>66</v>
          </cell>
          <cell r="P70">
            <v>15.6</v>
          </cell>
          <cell r="Q70">
            <v>68</v>
          </cell>
        </row>
        <row r="71">
          <cell r="A71" t="str">
            <v>7232 БОЯNСКАЯ ПМ п/к в/у 0,28кг 8шт_209к  Останкино</v>
          </cell>
          <cell r="B71" t="str">
            <v>шт</v>
          </cell>
          <cell r="C71">
            <v>176</v>
          </cell>
          <cell r="D71">
            <v>155</v>
          </cell>
          <cell r="E71">
            <v>121</v>
          </cell>
          <cell r="F71">
            <v>186</v>
          </cell>
          <cell r="G71">
            <v>0.28000000000000003</v>
          </cell>
          <cell r="H71">
            <v>50</v>
          </cell>
          <cell r="I71" t="str">
            <v>матрица</v>
          </cell>
          <cell r="K71">
            <v>124</v>
          </cell>
          <cell r="L71">
            <v>-3</v>
          </cell>
          <cell r="O71">
            <v>113</v>
          </cell>
          <cell r="P71">
            <v>24.2</v>
          </cell>
          <cell r="Q71">
            <v>64</v>
          </cell>
        </row>
        <row r="72">
          <cell r="A72" t="str">
            <v>7236 СЕРВЕЛАТ КАРЕЛЬСКИЙ в/к в/у 0,28кг_209к  Останкино</v>
          </cell>
          <cell r="B72" t="str">
            <v>шт</v>
          </cell>
          <cell r="C72">
            <v>87</v>
          </cell>
          <cell r="D72">
            <v>393</v>
          </cell>
          <cell r="E72">
            <v>202</v>
          </cell>
          <cell r="F72">
            <v>234</v>
          </cell>
          <cell r="G72">
            <v>0.28000000000000003</v>
          </cell>
          <cell r="H72">
            <v>45</v>
          </cell>
          <cell r="I72" t="str">
            <v>матрица</v>
          </cell>
          <cell r="K72">
            <v>209</v>
          </cell>
          <cell r="L72">
            <v>-7</v>
          </cell>
          <cell r="O72">
            <v>57</v>
          </cell>
          <cell r="P72">
            <v>40.4</v>
          </cell>
          <cell r="Q72">
            <v>315</v>
          </cell>
        </row>
        <row r="73">
          <cell r="A73" t="str">
            <v>7241 САЛЯМИ Папа может п/к в/у 0,28кг ОСТАНКИНО</v>
          </cell>
          <cell r="B73" t="str">
            <v>шт</v>
          </cell>
          <cell r="C73">
            <v>482</v>
          </cell>
          <cell r="D73">
            <v>524</v>
          </cell>
          <cell r="E73">
            <v>506</v>
          </cell>
          <cell r="F73">
            <v>438</v>
          </cell>
          <cell r="G73">
            <v>0.28000000000000003</v>
          </cell>
          <cell r="H73">
            <v>45</v>
          </cell>
          <cell r="I73" t="str">
            <v>матрица</v>
          </cell>
          <cell r="K73">
            <v>512</v>
          </cell>
          <cell r="L73">
            <v>-6</v>
          </cell>
          <cell r="O73">
            <v>493</v>
          </cell>
          <cell r="P73">
            <v>101.2</v>
          </cell>
          <cell r="Q73">
            <v>587</v>
          </cell>
        </row>
        <row r="74">
          <cell r="A74" t="str">
            <v>7255 МЯСНЫЕ С ГОВЯД.ПМ сос п/о мгс 0.4кг 6шт.  ОСТАНКИНО</v>
          </cell>
          <cell r="B74" t="str">
            <v>шт</v>
          </cell>
          <cell r="C74">
            <v>185</v>
          </cell>
          <cell r="D74">
            <v>294</v>
          </cell>
          <cell r="E74">
            <v>162</v>
          </cell>
          <cell r="F74">
            <v>215</v>
          </cell>
          <cell r="G74">
            <v>0.4</v>
          </cell>
          <cell r="H74">
            <v>50</v>
          </cell>
          <cell r="I74" t="str">
            <v>матрица</v>
          </cell>
          <cell r="K74">
            <v>165</v>
          </cell>
          <cell r="L74">
            <v>-3</v>
          </cell>
          <cell r="O74">
            <v>207</v>
          </cell>
          <cell r="P74">
            <v>32.4</v>
          </cell>
          <cell r="Q74">
            <v>64</v>
          </cell>
        </row>
        <row r="75">
          <cell r="A75" t="str">
            <v>7299 НАБОР ДЛЯ ПИЦЦЫ Папа Может с/к в/у  ОСТАНКИНО</v>
          </cell>
          <cell r="B75" t="str">
            <v>кг</v>
          </cell>
          <cell r="C75">
            <v>0.78600000000000003</v>
          </cell>
          <cell r="D75">
            <v>152.494</v>
          </cell>
          <cell r="E75">
            <v>95.382000000000005</v>
          </cell>
          <cell r="F75">
            <v>22.466000000000001</v>
          </cell>
          <cell r="G75">
            <v>1</v>
          </cell>
          <cell r="H75">
            <v>30</v>
          </cell>
          <cell r="I75" t="str">
            <v>матрица</v>
          </cell>
          <cell r="K75">
            <v>98.44</v>
          </cell>
          <cell r="L75">
            <v>-3.0579999999999927</v>
          </cell>
          <cell r="O75">
            <v>110</v>
          </cell>
          <cell r="P75">
            <v>19.0764</v>
          </cell>
          <cell r="Q75">
            <v>153.68</v>
          </cell>
          <cell r="R75">
            <v>300</v>
          </cell>
        </row>
        <row r="76">
          <cell r="A76" t="str">
            <v>7382  САЛЯМИ МЕЛКОЗЕРНЕНАЯ с/к в/у1/120 8шт.  ОСТАНКИНО</v>
          </cell>
          <cell r="B76" t="str">
            <v>шт</v>
          </cell>
          <cell r="C76">
            <v>69</v>
          </cell>
          <cell r="D76">
            <v>281</v>
          </cell>
          <cell r="E76">
            <v>119</v>
          </cell>
          <cell r="F76">
            <v>208</v>
          </cell>
          <cell r="G76">
            <v>0.12</v>
          </cell>
          <cell r="H76">
            <v>60</v>
          </cell>
          <cell r="I76" t="str">
            <v>матрица</v>
          </cell>
          <cell r="K76">
            <v>125</v>
          </cell>
          <cell r="L76">
            <v>-6</v>
          </cell>
          <cell r="O76">
            <v>101</v>
          </cell>
          <cell r="P76">
            <v>23.8</v>
          </cell>
          <cell r="Q76">
            <v>48</v>
          </cell>
          <cell r="R76">
            <v>100</v>
          </cell>
        </row>
        <row r="77">
          <cell r="A77" t="str">
            <v>7461 ДЛЯ ДЕТЕЙ Папа Может сос п/о мгс 0,33кг ОСТАНКИНО</v>
          </cell>
          <cell r="B77" t="str">
            <v>шт</v>
          </cell>
          <cell r="D77">
            <v>181</v>
          </cell>
          <cell r="E77">
            <v>88</v>
          </cell>
          <cell r="F77">
            <v>63</v>
          </cell>
          <cell r="G77">
            <v>0.33</v>
          </cell>
          <cell r="H77">
            <v>30</v>
          </cell>
          <cell r="I77" t="str">
            <v>матрица</v>
          </cell>
          <cell r="K77">
            <v>139</v>
          </cell>
          <cell r="L77">
            <v>-51</v>
          </cell>
          <cell r="O77">
            <v>120</v>
          </cell>
          <cell r="P77">
            <v>17.600000000000001</v>
          </cell>
          <cell r="Q77">
            <v>81</v>
          </cell>
        </row>
        <row r="78">
          <cell r="A78" t="str">
            <v>7485 РИЕТ МЯСНОЙ С ГРИБАМИ ПМ п/о 1/150  ОСТАНКИНО</v>
          </cell>
          <cell r="B78" t="str">
            <v>шт</v>
          </cell>
          <cell r="C78">
            <v>-1</v>
          </cell>
          <cell r="D78">
            <v>456</v>
          </cell>
          <cell r="E78">
            <v>196</v>
          </cell>
          <cell r="F78">
            <v>212</v>
          </cell>
          <cell r="G78">
            <v>0.15</v>
          </cell>
          <cell r="H78">
            <v>60</v>
          </cell>
          <cell r="I78" t="str">
            <v>матрица</v>
          </cell>
          <cell r="K78">
            <v>219</v>
          </cell>
          <cell r="L78">
            <v>-23</v>
          </cell>
          <cell r="O78">
            <v>250</v>
          </cell>
          <cell r="P78">
            <v>39.200000000000003</v>
          </cell>
          <cell r="Q78">
            <v>126</v>
          </cell>
          <cell r="R78">
            <v>250</v>
          </cell>
        </row>
        <row r="79">
          <cell r="A79" t="str">
            <v>7513 ВОСКРЕСЕНСКАЯ ВЯЛЕНАЯ в/к в/у срез 1/260</v>
          </cell>
          <cell r="B79" t="str">
            <v>шт</v>
          </cell>
          <cell r="G79">
            <v>0</v>
          </cell>
          <cell r="H79">
            <v>45</v>
          </cell>
          <cell r="I79" t="str">
            <v>матрица</v>
          </cell>
          <cell r="L79">
            <v>0</v>
          </cell>
          <cell r="O79">
            <v>0</v>
          </cell>
          <cell r="P79">
            <v>0</v>
          </cell>
        </row>
        <row r="80">
          <cell r="A80" t="str">
            <v>7516 НОВОМОСКОВСКАЯ в/к в/у срез 0.31кг</v>
          </cell>
          <cell r="B80" t="str">
            <v>шт</v>
          </cell>
          <cell r="G80">
            <v>0</v>
          </cell>
          <cell r="H80">
            <v>45</v>
          </cell>
          <cell r="I80" t="str">
            <v>матрица</v>
          </cell>
          <cell r="L80">
            <v>0</v>
          </cell>
          <cell r="O80">
            <v>0</v>
          </cell>
          <cell r="P80">
            <v>0</v>
          </cell>
        </row>
        <row r="81">
          <cell r="A81" t="str">
            <v>7523 ГОВЯЖЬЯ Папа Может вар п/о 0,4кг 6шт. ОСТАНКИНО</v>
          </cell>
          <cell r="B81" t="str">
            <v>шт</v>
          </cell>
          <cell r="C81">
            <v>200</v>
          </cell>
          <cell r="D81">
            <v>134</v>
          </cell>
          <cell r="E81">
            <v>139</v>
          </cell>
          <cell r="F81">
            <v>145</v>
          </cell>
          <cell r="G81">
            <v>0.4</v>
          </cell>
          <cell r="H81">
            <v>60</v>
          </cell>
          <cell r="I81" t="str">
            <v>матрица</v>
          </cell>
          <cell r="K81">
            <v>126</v>
          </cell>
          <cell r="L81">
            <v>13</v>
          </cell>
          <cell r="O81">
            <v>87</v>
          </cell>
          <cell r="P81">
            <v>27.8</v>
          </cell>
          <cell r="Q81">
            <v>185</v>
          </cell>
        </row>
        <row r="82">
          <cell r="A82" t="str">
            <v>7539 ДОКТОРСКАЯ ГОСТ вар п/о 0,35кг ОСТАНКИНО</v>
          </cell>
          <cell r="B82" t="str">
            <v>шт</v>
          </cell>
          <cell r="C82">
            <v>8</v>
          </cell>
          <cell r="E82">
            <v>2</v>
          </cell>
          <cell r="F82">
            <v>6</v>
          </cell>
          <cell r="G82">
            <v>0</v>
          </cell>
          <cell r="H82">
            <v>60</v>
          </cell>
          <cell r="I82" t="str">
            <v>матрица</v>
          </cell>
          <cell r="K82">
            <v>2</v>
          </cell>
          <cell r="L82">
            <v>0</v>
          </cell>
          <cell r="O82">
            <v>0</v>
          </cell>
          <cell r="P82">
            <v>0.4</v>
          </cell>
        </row>
        <row r="83">
          <cell r="A83" t="str">
            <v>7562 КРАКОВСКАЯ ГОСТ Останкино п/к н/о мгс</v>
          </cell>
          <cell r="B83" t="str">
            <v>кг</v>
          </cell>
          <cell r="G83">
            <v>0</v>
          </cell>
          <cell r="H83">
            <v>45</v>
          </cell>
          <cell r="I83" t="str">
            <v>матрица</v>
          </cell>
          <cell r="L83">
            <v>0</v>
          </cell>
          <cell r="O83">
            <v>0</v>
          </cell>
          <cell r="P83">
            <v>0</v>
          </cell>
        </row>
        <row r="84">
          <cell r="A84" t="str">
            <v>7564 Балыковая в/к в/у Останкино Вес  ОСТАНКИНО</v>
          </cell>
          <cell r="B84" t="str">
            <v>кг</v>
          </cell>
          <cell r="G84">
            <v>0</v>
          </cell>
          <cell r="I84" t="str">
            <v>матрица</v>
          </cell>
          <cell r="L84">
            <v>0</v>
          </cell>
          <cell r="O84">
            <v>0</v>
          </cell>
          <cell r="P84">
            <v>0</v>
          </cell>
        </row>
        <row r="85">
          <cell r="A85" t="str">
            <v>7603 БАЛЫКОВАЯ в/к в/у 0.33кг 8шт. ОСТАНКИНО</v>
          </cell>
          <cell r="B85" t="str">
            <v>шт</v>
          </cell>
          <cell r="C85">
            <v>18</v>
          </cell>
          <cell r="D85">
            <v>202</v>
          </cell>
          <cell r="E85">
            <v>52</v>
          </cell>
          <cell r="F85">
            <v>130</v>
          </cell>
          <cell r="G85">
            <v>0.33</v>
          </cell>
          <cell r="H85">
            <v>45</v>
          </cell>
          <cell r="I85" t="str">
            <v>матрица</v>
          </cell>
          <cell r="K85">
            <v>52</v>
          </cell>
          <cell r="L85">
            <v>0</v>
          </cell>
          <cell r="O85">
            <v>117</v>
          </cell>
          <cell r="P85">
            <v>10.4</v>
          </cell>
        </row>
        <row r="86">
          <cell r="A86" t="str">
            <v>7608 СЕРВЕЛАТ ШВЕЙЦАРСК.в/к с/н в/у 1/100_Л11  ОСТАНКИНО</v>
          </cell>
          <cell r="B86" t="str">
            <v>шт</v>
          </cell>
          <cell r="C86">
            <v>5</v>
          </cell>
          <cell r="D86">
            <v>13</v>
          </cell>
          <cell r="E86">
            <v>15</v>
          </cell>
          <cell r="G86">
            <v>0</v>
          </cell>
          <cell r="H86">
            <v>45</v>
          </cell>
          <cell r="I86" t="str">
            <v>вывод</v>
          </cell>
          <cell r="K86">
            <v>37</v>
          </cell>
          <cell r="L86">
            <v>-22</v>
          </cell>
          <cell r="O86">
            <v>0</v>
          </cell>
          <cell r="P86">
            <v>3</v>
          </cell>
        </row>
        <row r="87">
          <cell r="A87" t="str">
            <v>7612 БАЛЫК с/к с/н в/у 1/100 10шт_  ОСТАНКИНО</v>
          </cell>
          <cell r="B87" t="str">
            <v>шт</v>
          </cell>
          <cell r="C87">
            <v>69</v>
          </cell>
          <cell r="E87">
            <v>24</v>
          </cell>
          <cell r="F87">
            <v>42</v>
          </cell>
          <cell r="G87">
            <v>0</v>
          </cell>
          <cell r="H87">
            <v>60</v>
          </cell>
          <cell r="I87" t="str">
            <v>вывод</v>
          </cell>
          <cell r="K87">
            <v>24</v>
          </cell>
          <cell r="L87">
            <v>0</v>
          </cell>
          <cell r="O87">
            <v>52</v>
          </cell>
          <cell r="P87">
            <v>4.8</v>
          </cell>
        </row>
        <row r="88">
          <cell r="A88" t="str">
            <v>7613 АРОМАТНАЯ с/к с/н в/у 1/100 10шт_Л10  ОСТАНКИНО</v>
          </cell>
          <cell r="B88" t="str">
            <v>шт</v>
          </cell>
          <cell r="C88">
            <v>273</v>
          </cell>
          <cell r="D88">
            <v>452</v>
          </cell>
          <cell r="E88">
            <v>228</v>
          </cell>
          <cell r="F88">
            <v>481</v>
          </cell>
          <cell r="G88">
            <v>0.1</v>
          </cell>
          <cell r="H88">
            <v>60</v>
          </cell>
          <cell r="I88" t="str">
            <v>матрица</v>
          </cell>
          <cell r="K88">
            <v>233</v>
          </cell>
          <cell r="L88">
            <v>-5</v>
          </cell>
          <cell r="O88">
            <v>0</v>
          </cell>
          <cell r="P88">
            <v>45.6</v>
          </cell>
          <cell r="Q88">
            <v>203</v>
          </cell>
        </row>
        <row r="89">
          <cell r="A89" t="str">
            <v>7616 ЭКСТРА Папа может с/к с/н в/у 1/100_  ОСТАНКИНО</v>
          </cell>
          <cell r="B89" t="str">
            <v>шт</v>
          </cell>
          <cell r="C89">
            <v>681</v>
          </cell>
          <cell r="D89">
            <v>249</v>
          </cell>
          <cell r="E89">
            <v>371</v>
          </cell>
          <cell r="F89">
            <v>423</v>
          </cell>
          <cell r="G89">
            <v>0.1</v>
          </cell>
          <cell r="H89">
            <v>60</v>
          </cell>
          <cell r="I89" t="str">
            <v>матрица</v>
          </cell>
          <cell r="K89">
            <v>359</v>
          </cell>
          <cell r="L89">
            <v>12</v>
          </cell>
          <cell r="O89">
            <v>0</v>
          </cell>
          <cell r="P89">
            <v>74.2</v>
          </cell>
          <cell r="Q89">
            <v>615.79999999999995</v>
          </cell>
        </row>
        <row r="90">
          <cell r="A90" t="str">
            <v>7632 ЭКСТРА Папа может вар п/о 0.4кг 8шт_195к  ОСТАНКИНО</v>
          </cell>
          <cell r="B90" t="str">
            <v>шт</v>
          </cell>
          <cell r="C90">
            <v>315</v>
          </cell>
          <cell r="D90">
            <v>258</v>
          </cell>
          <cell r="E90">
            <v>142</v>
          </cell>
          <cell r="F90">
            <v>301</v>
          </cell>
          <cell r="G90">
            <v>0.4</v>
          </cell>
          <cell r="H90">
            <v>60</v>
          </cell>
          <cell r="I90" t="str">
            <v>матрица</v>
          </cell>
          <cell r="K90">
            <v>138</v>
          </cell>
          <cell r="L90">
            <v>4</v>
          </cell>
          <cell r="O90">
            <v>16</v>
          </cell>
          <cell r="P90">
            <v>28.4</v>
          </cell>
          <cell r="Q90">
            <v>109</v>
          </cell>
          <cell r="R90">
            <v>200</v>
          </cell>
        </row>
        <row r="91">
          <cell r="A91" t="str">
            <v>7647 ХОЧУ ВЕТЧ.ИЗ СВ.ОТРУБА с/н мгс 1/100_Л11  ОСТАНКИНО</v>
          </cell>
          <cell r="B91" t="str">
            <v>шт</v>
          </cell>
          <cell r="C91">
            <v>135</v>
          </cell>
          <cell r="D91">
            <v>83</v>
          </cell>
          <cell r="E91">
            <v>92</v>
          </cell>
          <cell r="F91">
            <v>104</v>
          </cell>
          <cell r="G91">
            <v>0.1</v>
          </cell>
          <cell r="I91" t="str">
            <v>матрица</v>
          </cell>
          <cell r="K91">
            <v>107</v>
          </cell>
          <cell r="L91">
            <v>-15</v>
          </cell>
          <cell r="O91">
            <v>14</v>
          </cell>
          <cell r="P91">
            <v>18.399999999999999</v>
          </cell>
          <cell r="Q91">
            <v>139.59999999999997</v>
          </cell>
        </row>
        <row r="92">
          <cell r="A92" t="str">
            <v>7651 ХОЧУ ВЕТЧ.МРАМОР. ПМ с/н мгс 1/100_Л11  ОСТАНКИНО</v>
          </cell>
          <cell r="B92" t="str">
            <v>шт</v>
          </cell>
          <cell r="C92">
            <v>115</v>
          </cell>
          <cell r="D92">
            <v>136</v>
          </cell>
          <cell r="E92">
            <v>70</v>
          </cell>
          <cell r="F92">
            <v>155</v>
          </cell>
          <cell r="G92">
            <v>0.1</v>
          </cell>
          <cell r="I92" t="str">
            <v>матрица</v>
          </cell>
          <cell r="K92">
            <v>75</v>
          </cell>
          <cell r="L92">
            <v>-5</v>
          </cell>
          <cell r="O92">
            <v>0</v>
          </cell>
          <cell r="P92">
            <v>14</v>
          </cell>
          <cell r="Q92">
            <v>55</v>
          </cell>
        </row>
        <row r="93">
          <cell r="A93" t="str">
            <v>8014 ДОКТОРСКАЯ ПРЕМИУМ вар п/о(п)    ОСТАНКИНО</v>
          </cell>
          <cell r="B93" t="str">
            <v>кг</v>
          </cell>
          <cell r="D93">
            <v>95.260999999999996</v>
          </cell>
          <cell r="E93">
            <v>6.64</v>
          </cell>
          <cell r="F93">
            <v>85.751999999999995</v>
          </cell>
          <cell r="G93">
            <v>1</v>
          </cell>
          <cell r="I93" t="str">
            <v>матрица</v>
          </cell>
          <cell r="K93">
            <v>6.2</v>
          </cell>
          <cell r="L93">
            <v>0.4399999999999995</v>
          </cell>
          <cell r="O93">
            <v>0</v>
          </cell>
          <cell r="P93">
            <v>1.3279999999999998</v>
          </cell>
        </row>
        <row r="94">
          <cell r="A94" t="str">
            <v>7514 ЛЮБИТЕЛЬСКАЯ ОСТАНКИНСКАЯ вар п/о в/у  ОСТАНКИНО</v>
          </cell>
          <cell r="B94" t="str">
            <v>кг</v>
          </cell>
          <cell r="G94">
            <v>1</v>
          </cell>
          <cell r="H94">
            <v>30</v>
          </cell>
          <cell r="I94" t="str">
            <v>матрица</v>
          </cell>
          <cell r="P94">
            <v>0</v>
          </cell>
        </row>
        <row r="95">
          <cell r="A95" t="str">
            <v>7518 ТЕЛЯЧЬЯ ГОСТ Останкино вар п/о в/у  ОСТАНКИНО</v>
          </cell>
          <cell r="B95" t="str">
            <v>кг</v>
          </cell>
          <cell r="G95">
            <v>1</v>
          </cell>
          <cell r="H95">
            <v>30</v>
          </cell>
          <cell r="I95" t="str">
            <v>матрица</v>
          </cell>
          <cell r="P95">
            <v>0</v>
          </cell>
        </row>
        <row r="96">
          <cell r="A96" t="str">
            <v>6929 КАРБОНАД ДОМАШНИЙ ПМ к/в кр/к в/у  ОСТАНКИНО</v>
          </cell>
          <cell r="B96" t="str">
            <v>кг</v>
          </cell>
          <cell r="G96">
            <v>1</v>
          </cell>
          <cell r="H96">
            <v>45</v>
          </cell>
          <cell r="I96" t="str">
            <v>матрица</v>
          </cell>
          <cell r="P96">
            <v>0</v>
          </cell>
          <cell r="Q96">
            <v>10</v>
          </cell>
        </row>
        <row r="97">
          <cell r="A97" t="str">
            <v>0614 ПРАЗДНИЧНАЯ с/к в/с дек.спец.мгс  Останкино</v>
          </cell>
          <cell r="B97" t="str">
            <v>кг</v>
          </cell>
          <cell r="G97">
            <v>1</v>
          </cell>
          <cell r="H97">
            <v>120</v>
          </cell>
          <cell r="I97" t="str">
            <v>матрица</v>
          </cell>
          <cell r="P97">
            <v>0</v>
          </cell>
          <cell r="Q97">
            <v>10</v>
          </cell>
        </row>
        <row r="98">
          <cell r="A98" t="str">
            <v>7143 БРАУНШВЕЙГСКАЯ ГОСТ с/к в/у 1/220 8шт.</v>
          </cell>
          <cell r="B98" t="str">
            <v>шт</v>
          </cell>
          <cell r="G98">
            <v>0.22</v>
          </cell>
          <cell r="H98">
            <v>120</v>
          </cell>
          <cell r="I98" t="str">
            <v>матрица</v>
          </cell>
          <cell r="P98">
            <v>0</v>
          </cell>
          <cell r="Q98">
            <v>40</v>
          </cell>
        </row>
        <row r="99">
          <cell r="A99" t="str">
            <v>7710 КРАКОВСКАЯ ГОСТ п/к н/о мгс 0.3кг</v>
          </cell>
          <cell r="B99" t="str">
            <v>шт</v>
          </cell>
          <cell r="G99">
            <v>0.3</v>
          </cell>
          <cell r="H99">
            <v>45</v>
          </cell>
          <cell r="I99" t="str">
            <v>матрица</v>
          </cell>
          <cell r="P99">
            <v>0</v>
          </cell>
        </row>
        <row r="100">
          <cell r="A100" t="str">
            <v>7456 САЛЯМИ ФИНСКАЯ Папа может с/к в/у 1/150</v>
          </cell>
          <cell r="B100" t="str">
            <v>шт</v>
          </cell>
          <cell r="G100">
            <v>0.15</v>
          </cell>
          <cell r="H100">
            <v>90</v>
          </cell>
          <cell r="I100" t="str">
            <v>матрица</v>
          </cell>
          <cell r="P100">
            <v>0</v>
          </cell>
          <cell r="Q100">
            <v>40</v>
          </cell>
        </row>
        <row r="101">
          <cell r="A101" t="str">
            <v>7386 БАРСЕЛОНА ПМ с/к в/у 1/150  ОСТАНКИНО</v>
          </cell>
          <cell r="B101" t="str">
            <v>шт</v>
          </cell>
          <cell r="G101">
            <v>0.15</v>
          </cell>
          <cell r="H101">
            <v>90</v>
          </cell>
          <cell r="I101" t="str">
            <v>матрица</v>
          </cell>
          <cell r="P101">
            <v>0</v>
          </cell>
          <cell r="Q101">
            <v>40</v>
          </cell>
        </row>
        <row r="102">
          <cell r="A102" t="str">
            <v>7344 КОНСЕРВЫ МЯС.ГОВЯДИНА ТУШ. В/С 338г_ЧЗ</v>
          </cell>
          <cell r="B102" t="str">
            <v>шт</v>
          </cell>
          <cell r="G102">
            <v>0.33800000000000002</v>
          </cell>
          <cell r="H102" t="str">
            <v>3 года</v>
          </cell>
          <cell r="I102" t="str">
            <v>матрица</v>
          </cell>
          <cell r="P102">
            <v>0</v>
          </cell>
          <cell r="Q102">
            <v>50</v>
          </cell>
        </row>
        <row r="103">
          <cell r="A103" t="str">
            <v>7345 КОНСЕРВЫ МЯС.СВИНИНА ТУШ. В/С 325г_ЧЗ</v>
          </cell>
          <cell r="B103" t="str">
            <v>шт</v>
          </cell>
          <cell r="G103">
            <v>0.32500000000000001</v>
          </cell>
          <cell r="H103" t="str">
            <v>3 года</v>
          </cell>
          <cell r="I103" t="str">
            <v>матрица</v>
          </cell>
          <cell r="P103">
            <v>0</v>
          </cell>
          <cell r="Q103">
            <v>50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84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F6" sqref="AF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7" customWidth="1"/>
    <col min="9" max="9" width="12" customWidth="1"/>
    <col min="10" max="10" width="1" customWidth="1"/>
    <col min="11" max="12" width="7" customWidth="1"/>
    <col min="13" max="14" width="0.28515625" customWidth="1"/>
    <col min="15" max="18" width="7" customWidth="1"/>
    <col min="19" max="19" width="7" style="42" customWidth="1"/>
    <col min="20" max="21" width="5" customWidth="1"/>
    <col min="22" max="31" width="6" customWidth="1"/>
    <col min="32" max="32" width="41.28515625" customWidth="1"/>
    <col min="33" max="33" width="7" customWidth="1"/>
    <col min="34" max="49" width="3" customWidth="1"/>
  </cols>
  <sheetData>
    <row r="1" spans="1:49" x14ac:dyDescent="0.25">
      <c r="A1" s="5"/>
      <c r="B1" s="5"/>
      <c r="C1" s="5"/>
      <c r="D1" s="5"/>
      <c r="E1" s="5"/>
      <c r="F1" s="5"/>
      <c r="G1" s="7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</row>
    <row r="2" spans="1:49" x14ac:dyDescent="0.25">
      <c r="A2" s="5"/>
      <c r="B2" s="5"/>
      <c r="C2" s="5"/>
      <c r="D2" s="5"/>
      <c r="E2" s="5"/>
      <c r="F2" s="5"/>
      <c r="G2" s="7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168</v>
      </c>
      <c r="S3" s="2" t="s">
        <v>170</v>
      </c>
      <c r="T3" s="1" t="s">
        <v>17</v>
      </c>
      <c r="U3" s="1" t="s">
        <v>18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19</v>
      </c>
      <c r="AE3" s="1" t="s">
        <v>19</v>
      </c>
      <c r="AF3" s="1" t="s">
        <v>20</v>
      </c>
      <c r="AG3" s="1" t="s">
        <v>21</v>
      </c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</row>
    <row r="4" spans="1:49" x14ac:dyDescent="0.25">
      <c r="A4" s="5"/>
      <c r="B4" s="5"/>
      <c r="C4" s="5"/>
      <c r="D4" s="5"/>
      <c r="E4" s="5"/>
      <c r="F4" s="5"/>
      <c r="G4" s="7"/>
      <c r="H4" s="5"/>
      <c r="I4" s="5"/>
      <c r="J4" s="5"/>
      <c r="K4" s="5"/>
      <c r="L4" s="5"/>
      <c r="M4" s="5"/>
      <c r="N4" s="5"/>
      <c r="O4" s="5" t="s">
        <v>23</v>
      </c>
      <c r="P4" s="5" t="s">
        <v>23</v>
      </c>
      <c r="Q4" s="5"/>
      <c r="R4" s="5" t="s">
        <v>169</v>
      </c>
      <c r="S4" s="5" t="s">
        <v>171</v>
      </c>
      <c r="T4" s="5"/>
      <c r="U4" s="5"/>
      <c r="V4" s="5" t="s">
        <v>22</v>
      </c>
      <c r="W4" s="5" t="s">
        <v>24</v>
      </c>
      <c r="X4" s="5" t="s">
        <v>25</v>
      </c>
      <c r="Y4" s="5" t="s">
        <v>26</v>
      </c>
      <c r="Z4" s="5" t="s">
        <v>27</v>
      </c>
      <c r="AA4" s="5" t="s">
        <v>28</v>
      </c>
      <c r="AB4" s="5" t="s">
        <v>29</v>
      </c>
      <c r="AC4" s="5" t="s">
        <v>30</v>
      </c>
      <c r="AD4" s="5" t="s">
        <v>31</v>
      </c>
      <c r="AE4" s="5" t="s">
        <v>32</v>
      </c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</row>
    <row r="5" spans="1:49" x14ac:dyDescent="0.25">
      <c r="A5" s="5"/>
      <c r="B5" s="5"/>
      <c r="C5" s="5"/>
      <c r="D5" s="5"/>
      <c r="E5" s="3">
        <f>SUM(E6:E484)</f>
        <v>13326.727999999999</v>
      </c>
      <c r="F5" s="3">
        <f>SUM(F6:F484)</f>
        <v>22297.967000000004</v>
      </c>
      <c r="G5" s="7"/>
      <c r="H5" s="5"/>
      <c r="I5" s="5"/>
      <c r="J5" s="5"/>
      <c r="K5" s="3">
        <f t="shared" ref="K5:S5" si="0">SUM(K6:K484)</f>
        <v>14533.974</v>
      </c>
      <c r="L5" s="3">
        <f t="shared" si="0"/>
        <v>-1207.2459999999999</v>
      </c>
      <c r="M5" s="3">
        <f t="shared" si="0"/>
        <v>0</v>
      </c>
      <c r="N5" s="3">
        <f t="shared" si="0"/>
        <v>0</v>
      </c>
      <c r="O5" s="3">
        <f t="shared" si="0"/>
        <v>9806</v>
      </c>
      <c r="P5" s="3">
        <f t="shared" si="0"/>
        <v>2665.3456000000001</v>
      </c>
      <c r="Q5" s="3">
        <f t="shared" si="0"/>
        <v>10498.171</v>
      </c>
      <c r="R5" s="3">
        <f t="shared" si="0"/>
        <v>11061</v>
      </c>
      <c r="S5" s="3">
        <f t="shared" si="0"/>
        <v>1450</v>
      </c>
      <c r="T5" s="5"/>
      <c r="U5" s="5"/>
      <c r="V5" s="3">
        <f t="shared" ref="V5:AE5" si="1">SUM(V6:V484)</f>
        <v>2675.4276</v>
      </c>
      <c r="W5" s="3">
        <f t="shared" si="1"/>
        <v>3087.9252000000001</v>
      </c>
      <c r="X5" s="3">
        <f t="shared" si="1"/>
        <v>2393.9494000000004</v>
      </c>
      <c r="Y5" s="3">
        <f t="shared" si="1"/>
        <v>2434.1146000000003</v>
      </c>
      <c r="Z5" s="3">
        <f t="shared" si="1"/>
        <v>2654.1073999999999</v>
      </c>
      <c r="AA5" s="3">
        <f t="shared" si="1"/>
        <v>2195.3986</v>
      </c>
      <c r="AB5" s="3">
        <f t="shared" si="1"/>
        <v>2190.4328</v>
      </c>
      <c r="AC5" s="3">
        <f t="shared" si="1"/>
        <v>2309.525200000001</v>
      </c>
      <c r="AD5" s="3">
        <f t="shared" si="1"/>
        <v>2261.4038</v>
      </c>
      <c r="AE5" s="3">
        <f t="shared" si="1"/>
        <v>2228.9381999999991</v>
      </c>
      <c r="AF5" s="5"/>
      <c r="AG5" s="3">
        <f>SUM(AG6:AG484)</f>
        <v>5260.9699999999984</v>
      </c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</row>
    <row r="6" spans="1:49" x14ac:dyDescent="0.25">
      <c r="A6" s="5" t="s">
        <v>33</v>
      </c>
      <c r="B6" s="5" t="s">
        <v>34</v>
      </c>
      <c r="C6" s="5">
        <v>135</v>
      </c>
      <c r="D6" s="5">
        <v>181</v>
      </c>
      <c r="E6" s="5">
        <v>162</v>
      </c>
      <c r="F6" s="5">
        <v>106</v>
      </c>
      <c r="G6" s="7">
        <v>0.4</v>
      </c>
      <c r="H6" s="5">
        <v>60</v>
      </c>
      <c r="I6" s="5" t="s">
        <v>35</v>
      </c>
      <c r="J6" s="5"/>
      <c r="K6" s="5">
        <v>162</v>
      </c>
      <c r="L6" s="5">
        <f t="shared" ref="L6:L32" si="2">E6-K6</f>
        <v>0</v>
      </c>
      <c r="M6" s="5"/>
      <c r="N6" s="5"/>
      <c r="O6" s="5">
        <v>33</v>
      </c>
      <c r="P6" s="5">
        <f>E6/5</f>
        <v>32.4</v>
      </c>
      <c r="Q6" s="4">
        <f>12*P6-O6-F6</f>
        <v>249.79999999999995</v>
      </c>
      <c r="R6" s="4">
        <f>ROUND(Q6,0)</f>
        <v>250</v>
      </c>
      <c r="S6" s="41"/>
      <c r="T6" s="5">
        <f>(F6+O6+R6)/P6</f>
        <v>12.006172839506174</v>
      </c>
      <c r="U6" s="5">
        <f>(F6+O6)/P6</f>
        <v>4.2901234567901234</v>
      </c>
      <c r="V6" s="5">
        <v>20.2</v>
      </c>
      <c r="W6" s="5">
        <v>22.6</v>
      </c>
      <c r="X6" s="5">
        <v>23.2</v>
      </c>
      <c r="Y6" s="5">
        <v>21.8</v>
      </c>
      <c r="Z6" s="5">
        <v>34.4</v>
      </c>
      <c r="AA6" s="5">
        <v>33.4</v>
      </c>
      <c r="AB6" s="5">
        <v>17.2</v>
      </c>
      <c r="AC6" s="5">
        <v>43.6</v>
      </c>
      <c r="AD6" s="5">
        <v>24.8</v>
      </c>
      <c r="AE6" s="5">
        <v>43.4</v>
      </c>
      <c r="AF6" s="5"/>
      <c r="AG6" s="5">
        <f>G6*R6</f>
        <v>100</v>
      </c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</row>
    <row r="7" spans="1:49" x14ac:dyDescent="0.25">
      <c r="A7" s="5" t="s">
        <v>36</v>
      </c>
      <c r="B7" s="5" t="s">
        <v>37</v>
      </c>
      <c r="C7" s="5">
        <v>14.849</v>
      </c>
      <c r="D7" s="5">
        <v>38.008000000000003</v>
      </c>
      <c r="E7" s="5">
        <v>4.97</v>
      </c>
      <c r="F7" s="5">
        <v>46.28</v>
      </c>
      <c r="G7" s="7">
        <v>1</v>
      </c>
      <c r="H7" s="5">
        <v>120</v>
      </c>
      <c r="I7" s="5" t="s">
        <v>35</v>
      </c>
      <c r="J7" s="5"/>
      <c r="K7" s="5">
        <v>5</v>
      </c>
      <c r="L7" s="5">
        <f t="shared" si="2"/>
        <v>-3.0000000000000249E-2</v>
      </c>
      <c r="M7" s="5"/>
      <c r="N7" s="5"/>
      <c r="O7" s="5">
        <v>30</v>
      </c>
      <c r="P7" s="5">
        <f t="shared" ref="P7:P64" si="3">E7/5</f>
        <v>0.99399999999999999</v>
      </c>
      <c r="Q7" s="4"/>
      <c r="R7" s="4">
        <f t="shared" ref="R7:R70" si="4">ROUND(Q7,0)</f>
        <v>0</v>
      </c>
      <c r="S7" s="41"/>
      <c r="T7" s="5">
        <f t="shared" ref="T7:T70" si="5">(F7+O7+R7)/P7</f>
        <v>76.74044265593561</v>
      </c>
      <c r="U7" s="5">
        <f t="shared" ref="U7:U64" si="6">(F7+O7)/P7</f>
        <v>76.74044265593561</v>
      </c>
      <c r="V7" s="5">
        <v>2.5045999999999999</v>
      </c>
      <c r="W7" s="5">
        <v>4.4005999999999998</v>
      </c>
      <c r="X7" s="5">
        <v>1.4883999999999999</v>
      </c>
      <c r="Y7" s="5">
        <v>3.4176000000000002</v>
      </c>
      <c r="Z7" s="5">
        <v>1.4923999999999999</v>
      </c>
      <c r="AA7" s="5">
        <v>1.8888</v>
      </c>
      <c r="AB7" s="5">
        <v>1.8835999999999999</v>
      </c>
      <c r="AC7" s="5">
        <v>1.478</v>
      </c>
      <c r="AD7" s="5">
        <v>0.86699999999999999</v>
      </c>
      <c r="AE7" s="5">
        <v>1.7609999999999999</v>
      </c>
      <c r="AF7" s="9" t="s">
        <v>42</v>
      </c>
      <c r="AG7" s="5">
        <f t="shared" ref="AG7:AG70" si="7">G7*R7</f>
        <v>0</v>
      </c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</row>
    <row r="8" spans="1:49" x14ac:dyDescent="0.25">
      <c r="A8" s="5" t="s">
        <v>39</v>
      </c>
      <c r="B8" s="5" t="s">
        <v>34</v>
      </c>
      <c r="C8" s="5">
        <v>68</v>
      </c>
      <c r="D8" s="5">
        <v>78</v>
      </c>
      <c r="E8" s="5">
        <v>36</v>
      </c>
      <c r="F8" s="5">
        <v>99</v>
      </c>
      <c r="G8" s="7">
        <v>0.25</v>
      </c>
      <c r="H8" s="5">
        <v>120</v>
      </c>
      <c r="I8" s="5" t="s">
        <v>35</v>
      </c>
      <c r="J8" s="5"/>
      <c r="K8" s="5">
        <v>36</v>
      </c>
      <c r="L8" s="5">
        <f t="shared" si="2"/>
        <v>0</v>
      </c>
      <c r="M8" s="5"/>
      <c r="N8" s="5"/>
      <c r="O8" s="5">
        <v>10</v>
      </c>
      <c r="P8" s="5">
        <f t="shared" si="3"/>
        <v>7.2</v>
      </c>
      <c r="Q8" s="4"/>
      <c r="R8" s="4">
        <v>50</v>
      </c>
      <c r="S8" s="41">
        <f>VLOOKUP(A8,[1]Sheet!$A:$R,18,0)</f>
        <v>300</v>
      </c>
      <c r="T8" s="5">
        <f t="shared" si="5"/>
        <v>22.083333333333332</v>
      </c>
      <c r="U8" s="5">
        <f t="shared" si="6"/>
        <v>15.138888888888889</v>
      </c>
      <c r="V8" s="5">
        <v>10.4</v>
      </c>
      <c r="W8" s="5">
        <v>12.6</v>
      </c>
      <c r="X8" s="5">
        <v>8.4</v>
      </c>
      <c r="Y8" s="5">
        <v>11.4</v>
      </c>
      <c r="Z8" s="5">
        <v>13.6</v>
      </c>
      <c r="AA8" s="5">
        <v>8.1999999999999993</v>
      </c>
      <c r="AB8" s="5">
        <v>10.199999999999999</v>
      </c>
      <c r="AC8" s="5">
        <v>7</v>
      </c>
      <c r="AD8" s="5">
        <v>11.4</v>
      </c>
      <c r="AE8" s="5">
        <v>10.199999999999999</v>
      </c>
      <c r="AF8" s="5" t="s">
        <v>38</v>
      </c>
      <c r="AG8" s="5">
        <f t="shared" si="7"/>
        <v>12.5</v>
      </c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</row>
    <row r="9" spans="1:49" x14ac:dyDescent="0.25">
      <c r="A9" s="5" t="s">
        <v>40</v>
      </c>
      <c r="B9" s="5" t="s">
        <v>37</v>
      </c>
      <c r="C9" s="5">
        <v>638.96500000000003</v>
      </c>
      <c r="D9" s="5">
        <v>1974.3050000000001</v>
      </c>
      <c r="E9" s="5">
        <v>942.87699999999995</v>
      </c>
      <c r="F9" s="5">
        <v>1528.1030000000001</v>
      </c>
      <c r="G9" s="7">
        <v>1</v>
      </c>
      <c r="H9" s="5">
        <v>60</v>
      </c>
      <c r="I9" s="5" t="s">
        <v>35</v>
      </c>
      <c r="J9" s="5"/>
      <c r="K9" s="5">
        <v>1052.0999999999999</v>
      </c>
      <c r="L9" s="5">
        <f t="shared" si="2"/>
        <v>-109.22299999999996</v>
      </c>
      <c r="M9" s="5"/>
      <c r="N9" s="5"/>
      <c r="O9" s="5">
        <v>0</v>
      </c>
      <c r="P9" s="5">
        <f t="shared" si="3"/>
        <v>188.5754</v>
      </c>
      <c r="Q9" s="4">
        <f t="shared" ref="Q9:Q70" si="8">15*P9-O9-F9</f>
        <v>1300.5279999999998</v>
      </c>
      <c r="R9" s="4">
        <f t="shared" si="4"/>
        <v>1301</v>
      </c>
      <c r="S9" s="41"/>
      <c r="T9" s="5">
        <f t="shared" si="5"/>
        <v>15.002502977588806</v>
      </c>
      <c r="U9" s="5">
        <f t="shared" si="6"/>
        <v>8.1034058525131059</v>
      </c>
      <c r="V9" s="5">
        <v>112.44499999999999</v>
      </c>
      <c r="W9" s="5">
        <v>197.815</v>
      </c>
      <c r="X9" s="5">
        <v>137.0042</v>
      </c>
      <c r="Y9" s="5">
        <v>134.93719999999999</v>
      </c>
      <c r="Z9" s="5">
        <v>131.2398</v>
      </c>
      <c r="AA9" s="5">
        <v>130.73500000000001</v>
      </c>
      <c r="AB9" s="5">
        <v>106.291</v>
      </c>
      <c r="AC9" s="5">
        <v>127.9742</v>
      </c>
      <c r="AD9" s="5">
        <v>158.0384</v>
      </c>
      <c r="AE9" s="5">
        <v>114.2396</v>
      </c>
      <c r="AF9" s="5"/>
      <c r="AG9" s="5">
        <f t="shared" si="7"/>
        <v>1301</v>
      </c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</row>
    <row r="10" spans="1:49" x14ac:dyDescent="0.25">
      <c r="A10" s="5" t="s">
        <v>41</v>
      </c>
      <c r="B10" s="5" t="s">
        <v>37</v>
      </c>
      <c r="C10" s="5">
        <v>38.613</v>
      </c>
      <c r="D10" s="5">
        <v>138.83699999999999</v>
      </c>
      <c r="E10" s="5">
        <v>21.442</v>
      </c>
      <c r="F10" s="5">
        <v>136.68</v>
      </c>
      <c r="G10" s="7">
        <v>1</v>
      </c>
      <c r="H10" s="5">
        <v>120</v>
      </c>
      <c r="I10" s="5" t="s">
        <v>35</v>
      </c>
      <c r="J10" s="5"/>
      <c r="K10" s="5">
        <v>21.484000000000002</v>
      </c>
      <c r="L10" s="5">
        <f t="shared" si="2"/>
        <v>-4.2000000000001592E-2</v>
      </c>
      <c r="M10" s="5"/>
      <c r="N10" s="5"/>
      <c r="O10" s="5">
        <v>0</v>
      </c>
      <c r="P10" s="5">
        <f t="shared" si="3"/>
        <v>4.2884000000000002</v>
      </c>
      <c r="Q10" s="4"/>
      <c r="R10" s="4">
        <f t="shared" si="4"/>
        <v>0</v>
      </c>
      <c r="S10" s="41"/>
      <c r="T10" s="5">
        <f t="shared" si="5"/>
        <v>31.87202686316575</v>
      </c>
      <c r="U10" s="5">
        <f t="shared" si="6"/>
        <v>31.87202686316575</v>
      </c>
      <c r="V10" s="5">
        <v>2.2122000000000002</v>
      </c>
      <c r="W10" s="5">
        <v>12.5686</v>
      </c>
      <c r="X10" s="5">
        <v>1.1908000000000001</v>
      </c>
      <c r="Y10" s="5">
        <v>6.0011999999999999</v>
      </c>
      <c r="Z10" s="5">
        <v>5.9808000000000003</v>
      </c>
      <c r="AA10" s="5">
        <v>1.9032</v>
      </c>
      <c r="AB10" s="5">
        <v>4.1360000000000001</v>
      </c>
      <c r="AC10" s="5">
        <v>5.2065999999999999</v>
      </c>
      <c r="AD10" s="5">
        <v>5.0554000000000006</v>
      </c>
      <c r="AE10" s="5">
        <v>3.4813999999999998</v>
      </c>
      <c r="AF10" s="34" t="s">
        <v>42</v>
      </c>
      <c r="AG10" s="5">
        <f t="shared" si="7"/>
        <v>0</v>
      </c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</row>
    <row r="11" spans="1:49" x14ac:dyDescent="0.25">
      <c r="A11" s="5" t="s">
        <v>43</v>
      </c>
      <c r="B11" s="5" t="s">
        <v>37</v>
      </c>
      <c r="C11" s="5">
        <v>143.947</v>
      </c>
      <c r="D11" s="5">
        <v>450.80900000000003</v>
      </c>
      <c r="E11" s="5">
        <v>145.267</v>
      </c>
      <c r="F11" s="5">
        <v>382.46899999999999</v>
      </c>
      <c r="G11" s="7">
        <v>1</v>
      </c>
      <c r="H11" s="5">
        <v>60</v>
      </c>
      <c r="I11" s="40" t="s">
        <v>44</v>
      </c>
      <c r="J11" s="5"/>
      <c r="K11" s="5">
        <v>141.9</v>
      </c>
      <c r="L11" s="5">
        <f t="shared" si="2"/>
        <v>3.3669999999999902</v>
      </c>
      <c r="M11" s="5"/>
      <c r="N11" s="5"/>
      <c r="O11" s="5">
        <v>182</v>
      </c>
      <c r="P11" s="5">
        <f t="shared" si="3"/>
        <v>29.0534</v>
      </c>
      <c r="Q11" s="4"/>
      <c r="R11" s="4">
        <f t="shared" si="4"/>
        <v>0</v>
      </c>
      <c r="S11" s="41"/>
      <c r="T11" s="5">
        <f t="shared" si="5"/>
        <v>19.428672719888208</v>
      </c>
      <c r="U11" s="5">
        <f t="shared" si="6"/>
        <v>19.428672719888208</v>
      </c>
      <c r="V11" s="5">
        <v>45.863799999999998</v>
      </c>
      <c r="W11" s="5">
        <v>58.744199999999999</v>
      </c>
      <c r="X11" s="5">
        <v>34.620800000000003</v>
      </c>
      <c r="Y11" s="5">
        <v>39.8292</v>
      </c>
      <c r="Z11" s="5">
        <v>35.140799999999999</v>
      </c>
      <c r="AA11" s="5">
        <v>33.511200000000002</v>
      </c>
      <c r="AB11" s="5">
        <v>35.875999999999998</v>
      </c>
      <c r="AC11" s="5">
        <v>29.587199999999999</v>
      </c>
      <c r="AD11" s="5">
        <v>41.221200000000003</v>
      </c>
      <c r="AE11" s="5">
        <v>41.714599999999997</v>
      </c>
      <c r="AF11" s="5" t="s">
        <v>45</v>
      </c>
      <c r="AG11" s="5">
        <f t="shared" si="7"/>
        <v>0</v>
      </c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</row>
    <row r="12" spans="1:49" x14ac:dyDescent="0.25">
      <c r="A12" s="5" t="s">
        <v>46</v>
      </c>
      <c r="B12" s="5" t="s">
        <v>37</v>
      </c>
      <c r="C12" s="5">
        <v>298.73200000000003</v>
      </c>
      <c r="D12" s="5">
        <v>401.62400000000002</v>
      </c>
      <c r="E12" s="5">
        <v>249.65899999999999</v>
      </c>
      <c r="F12" s="5">
        <v>361.32299999999998</v>
      </c>
      <c r="G12" s="7">
        <v>1</v>
      </c>
      <c r="H12" s="5">
        <v>60</v>
      </c>
      <c r="I12" s="5" t="s">
        <v>35</v>
      </c>
      <c r="J12" s="5"/>
      <c r="K12" s="5">
        <v>239.75</v>
      </c>
      <c r="L12" s="5">
        <f t="shared" si="2"/>
        <v>9.9089999999999918</v>
      </c>
      <c r="M12" s="5"/>
      <c r="N12" s="5"/>
      <c r="O12" s="5">
        <v>307</v>
      </c>
      <c r="P12" s="5">
        <f t="shared" si="3"/>
        <v>49.931799999999996</v>
      </c>
      <c r="Q12" s="4">
        <f t="shared" si="8"/>
        <v>80.653999999999996</v>
      </c>
      <c r="R12" s="4">
        <f t="shared" si="4"/>
        <v>81</v>
      </c>
      <c r="S12" s="41"/>
      <c r="T12" s="5">
        <f t="shared" si="5"/>
        <v>15.006929451772217</v>
      </c>
      <c r="U12" s="5">
        <f t="shared" si="6"/>
        <v>13.384716753651983</v>
      </c>
      <c r="V12" s="5">
        <v>53.7774</v>
      </c>
      <c r="W12" s="5">
        <v>54.776000000000003</v>
      </c>
      <c r="X12" s="5">
        <v>52.153200000000012</v>
      </c>
      <c r="Y12" s="5">
        <v>61.439399999999999</v>
      </c>
      <c r="Z12" s="5">
        <v>52.1158</v>
      </c>
      <c r="AA12" s="5">
        <v>47.906799999999997</v>
      </c>
      <c r="AB12" s="5">
        <v>52.508600000000001</v>
      </c>
      <c r="AC12" s="5">
        <v>44.505399999999987</v>
      </c>
      <c r="AD12" s="5">
        <v>67.460999999999999</v>
      </c>
      <c r="AE12" s="5">
        <v>68.896199999999993</v>
      </c>
      <c r="AF12" s="5"/>
      <c r="AG12" s="5">
        <f t="shared" si="7"/>
        <v>81</v>
      </c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</row>
    <row r="13" spans="1:49" x14ac:dyDescent="0.25">
      <c r="A13" s="5" t="s">
        <v>47</v>
      </c>
      <c r="B13" s="5" t="s">
        <v>34</v>
      </c>
      <c r="C13" s="5">
        <v>69</v>
      </c>
      <c r="D13" s="5">
        <v>81</v>
      </c>
      <c r="E13" s="5">
        <v>46</v>
      </c>
      <c r="F13" s="5">
        <v>88</v>
      </c>
      <c r="G13" s="7">
        <v>0.25</v>
      </c>
      <c r="H13" s="5">
        <v>120</v>
      </c>
      <c r="I13" s="5" t="s">
        <v>35</v>
      </c>
      <c r="J13" s="5"/>
      <c r="K13" s="5">
        <v>46</v>
      </c>
      <c r="L13" s="5">
        <f t="shared" si="2"/>
        <v>0</v>
      </c>
      <c r="M13" s="5"/>
      <c r="N13" s="5"/>
      <c r="O13" s="5">
        <v>0</v>
      </c>
      <c r="P13" s="5">
        <f t="shared" si="3"/>
        <v>9.1999999999999993</v>
      </c>
      <c r="Q13" s="4">
        <f t="shared" si="8"/>
        <v>50</v>
      </c>
      <c r="R13" s="4">
        <f t="shared" si="4"/>
        <v>50</v>
      </c>
      <c r="S13" s="41"/>
      <c r="T13" s="5">
        <f t="shared" si="5"/>
        <v>15.000000000000002</v>
      </c>
      <c r="U13" s="5">
        <f t="shared" si="6"/>
        <v>9.5652173913043494</v>
      </c>
      <c r="V13" s="5">
        <v>7.2</v>
      </c>
      <c r="W13" s="5">
        <v>11.8</v>
      </c>
      <c r="X13" s="5">
        <v>8.6</v>
      </c>
      <c r="Y13" s="5">
        <v>10.6</v>
      </c>
      <c r="Z13" s="5">
        <v>12.4</v>
      </c>
      <c r="AA13" s="5">
        <v>14.4</v>
      </c>
      <c r="AB13" s="5">
        <v>15.4</v>
      </c>
      <c r="AC13" s="5">
        <v>17.399999999999999</v>
      </c>
      <c r="AD13" s="5">
        <v>15.8</v>
      </c>
      <c r="AE13" s="5">
        <v>8.8000000000000007</v>
      </c>
      <c r="AF13" s="5" t="s">
        <v>38</v>
      </c>
      <c r="AG13" s="5">
        <f t="shared" si="7"/>
        <v>12.5</v>
      </c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</row>
    <row r="14" spans="1:49" x14ac:dyDescent="0.25">
      <c r="A14" s="5" t="s">
        <v>48</v>
      </c>
      <c r="B14" s="5" t="s">
        <v>37</v>
      </c>
      <c r="C14" s="5">
        <v>85.707999999999998</v>
      </c>
      <c r="D14" s="5">
        <v>177.40199999999999</v>
      </c>
      <c r="E14" s="5">
        <v>80.61</v>
      </c>
      <c r="F14" s="5">
        <v>133.16200000000001</v>
      </c>
      <c r="G14" s="7">
        <v>1</v>
      </c>
      <c r="H14" s="5">
        <v>60</v>
      </c>
      <c r="I14" s="5" t="s">
        <v>35</v>
      </c>
      <c r="J14" s="5"/>
      <c r="K14" s="5">
        <v>99.15</v>
      </c>
      <c r="L14" s="5">
        <f t="shared" si="2"/>
        <v>-18.540000000000006</v>
      </c>
      <c r="M14" s="5"/>
      <c r="N14" s="5"/>
      <c r="O14" s="5">
        <v>50</v>
      </c>
      <c r="P14" s="5">
        <f t="shared" si="3"/>
        <v>16.122</v>
      </c>
      <c r="Q14" s="4">
        <f t="shared" si="8"/>
        <v>58.667999999999978</v>
      </c>
      <c r="R14" s="4">
        <f t="shared" si="4"/>
        <v>59</v>
      </c>
      <c r="S14" s="41"/>
      <c r="T14" s="5">
        <f t="shared" si="5"/>
        <v>15.020592978538643</v>
      </c>
      <c r="U14" s="5">
        <f t="shared" si="6"/>
        <v>11.360997394864162</v>
      </c>
      <c r="V14" s="5">
        <v>7.6433999999999997</v>
      </c>
      <c r="W14" s="5">
        <v>14.446</v>
      </c>
      <c r="X14" s="5">
        <v>12.6616</v>
      </c>
      <c r="Y14" s="5">
        <v>8.7745999999999995</v>
      </c>
      <c r="Z14" s="5">
        <v>7.3464</v>
      </c>
      <c r="AA14" s="5">
        <v>9.1446000000000005</v>
      </c>
      <c r="AB14" s="5">
        <v>6.1369999999999996</v>
      </c>
      <c r="AC14" s="5">
        <v>15.6576</v>
      </c>
      <c r="AD14" s="5">
        <v>16.722799999999999</v>
      </c>
      <c r="AE14" s="5">
        <v>16.991</v>
      </c>
      <c r="AF14" s="5"/>
      <c r="AG14" s="5">
        <f t="shared" si="7"/>
        <v>59</v>
      </c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</row>
    <row r="15" spans="1:49" x14ac:dyDescent="0.25">
      <c r="A15" s="5" t="s">
        <v>49</v>
      </c>
      <c r="B15" s="5" t="s">
        <v>34</v>
      </c>
      <c r="C15" s="5">
        <v>470</v>
      </c>
      <c r="D15" s="5">
        <v>35</v>
      </c>
      <c r="E15" s="5">
        <v>165</v>
      </c>
      <c r="F15" s="5">
        <v>287</v>
      </c>
      <c r="G15" s="7">
        <v>0.25</v>
      </c>
      <c r="H15" s="5">
        <v>120</v>
      </c>
      <c r="I15" s="40" t="s">
        <v>44</v>
      </c>
      <c r="J15" s="5"/>
      <c r="K15" s="5">
        <v>160</v>
      </c>
      <c r="L15" s="5">
        <f t="shared" si="2"/>
        <v>5</v>
      </c>
      <c r="M15" s="5"/>
      <c r="N15" s="5"/>
      <c r="O15" s="5">
        <v>76</v>
      </c>
      <c r="P15" s="5">
        <f t="shared" si="3"/>
        <v>33</v>
      </c>
      <c r="Q15" s="4">
        <f t="shared" si="8"/>
        <v>132</v>
      </c>
      <c r="R15" s="4">
        <v>300</v>
      </c>
      <c r="S15" s="41">
        <f>VLOOKUP(A15,[1]Sheet!$A:$R,18,0)</f>
        <v>300</v>
      </c>
      <c r="T15" s="5">
        <f t="shared" si="5"/>
        <v>20.09090909090909</v>
      </c>
      <c r="U15" s="5">
        <f t="shared" si="6"/>
        <v>11</v>
      </c>
      <c r="V15" s="5">
        <v>38.4</v>
      </c>
      <c r="W15" s="5">
        <v>24.2</v>
      </c>
      <c r="X15" s="5">
        <v>15.6</v>
      </c>
      <c r="Y15" s="5">
        <v>29.6</v>
      </c>
      <c r="Z15" s="5">
        <v>22.2</v>
      </c>
      <c r="AA15" s="5">
        <v>26.8</v>
      </c>
      <c r="AB15" s="5">
        <v>19.600000000000001</v>
      </c>
      <c r="AC15" s="5">
        <v>19.8</v>
      </c>
      <c r="AD15" s="5">
        <v>15.4</v>
      </c>
      <c r="AE15" s="5">
        <v>22.2</v>
      </c>
      <c r="AF15" s="5" t="s">
        <v>50</v>
      </c>
      <c r="AG15" s="5">
        <f t="shared" si="7"/>
        <v>75</v>
      </c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</row>
    <row r="16" spans="1:49" x14ac:dyDescent="0.25">
      <c r="A16" s="5" t="s">
        <v>51</v>
      </c>
      <c r="B16" s="5" t="s">
        <v>34</v>
      </c>
      <c r="C16" s="5">
        <v>193</v>
      </c>
      <c r="D16" s="5">
        <v>89</v>
      </c>
      <c r="E16" s="5">
        <v>98</v>
      </c>
      <c r="F16" s="5">
        <v>157</v>
      </c>
      <c r="G16" s="7">
        <v>0.4</v>
      </c>
      <c r="H16" s="5">
        <v>60</v>
      </c>
      <c r="I16" s="5" t="s">
        <v>35</v>
      </c>
      <c r="J16" s="5"/>
      <c r="K16" s="5">
        <v>103</v>
      </c>
      <c r="L16" s="5">
        <f t="shared" si="2"/>
        <v>-5</v>
      </c>
      <c r="M16" s="5"/>
      <c r="N16" s="5"/>
      <c r="O16" s="5">
        <v>27</v>
      </c>
      <c r="P16" s="5">
        <f t="shared" si="3"/>
        <v>19.600000000000001</v>
      </c>
      <c r="Q16" s="4">
        <f t="shared" si="8"/>
        <v>110</v>
      </c>
      <c r="R16" s="4">
        <f t="shared" si="4"/>
        <v>110</v>
      </c>
      <c r="S16" s="41"/>
      <c r="T16" s="5">
        <f t="shared" si="5"/>
        <v>14.999999999999998</v>
      </c>
      <c r="U16" s="5">
        <f t="shared" si="6"/>
        <v>9.3877551020408152</v>
      </c>
      <c r="V16" s="5">
        <v>18.600000000000001</v>
      </c>
      <c r="W16" s="5">
        <v>22.4</v>
      </c>
      <c r="X16" s="5">
        <v>16.399999999999999</v>
      </c>
      <c r="Y16" s="5">
        <v>31.4</v>
      </c>
      <c r="Z16" s="5">
        <v>28.8</v>
      </c>
      <c r="AA16" s="5">
        <v>21</v>
      </c>
      <c r="AB16" s="5">
        <v>22.2</v>
      </c>
      <c r="AC16" s="5">
        <v>24.8</v>
      </c>
      <c r="AD16" s="5">
        <v>28.4</v>
      </c>
      <c r="AE16" s="5">
        <v>25.2</v>
      </c>
      <c r="AF16" s="5"/>
      <c r="AG16" s="5">
        <f t="shared" si="7"/>
        <v>44</v>
      </c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</row>
    <row r="17" spans="1:49" x14ac:dyDescent="0.25">
      <c r="A17" s="5" t="s">
        <v>52</v>
      </c>
      <c r="B17" s="5" t="s">
        <v>37</v>
      </c>
      <c r="C17" s="5">
        <v>159.53100000000001</v>
      </c>
      <c r="D17" s="5">
        <v>856.96400000000006</v>
      </c>
      <c r="E17" s="5">
        <v>202.66900000000001</v>
      </c>
      <c r="F17" s="5">
        <v>677.17600000000004</v>
      </c>
      <c r="G17" s="7">
        <v>1</v>
      </c>
      <c r="H17" s="5">
        <v>45</v>
      </c>
      <c r="I17" s="5" t="s">
        <v>35</v>
      </c>
      <c r="J17" s="5"/>
      <c r="K17" s="5">
        <v>196.4</v>
      </c>
      <c r="L17" s="5">
        <f t="shared" si="2"/>
        <v>6.2690000000000055</v>
      </c>
      <c r="M17" s="5"/>
      <c r="N17" s="5"/>
      <c r="O17" s="5">
        <v>150</v>
      </c>
      <c r="P17" s="5">
        <f t="shared" si="3"/>
        <v>40.533799999999999</v>
      </c>
      <c r="Q17" s="4"/>
      <c r="R17" s="4">
        <f t="shared" si="4"/>
        <v>0</v>
      </c>
      <c r="S17" s="41"/>
      <c r="T17" s="5">
        <f t="shared" si="5"/>
        <v>20.407067681786561</v>
      </c>
      <c r="U17" s="5">
        <f t="shared" si="6"/>
        <v>20.407067681786561</v>
      </c>
      <c r="V17" s="5">
        <v>50.552799999999998</v>
      </c>
      <c r="W17" s="5">
        <v>79.149000000000001</v>
      </c>
      <c r="X17" s="5">
        <v>31.593</v>
      </c>
      <c r="Y17" s="5">
        <v>57.8962</v>
      </c>
      <c r="Z17" s="5">
        <v>45.760599999999997</v>
      </c>
      <c r="AA17" s="5">
        <v>39.785200000000003</v>
      </c>
      <c r="AB17" s="5">
        <v>38.865600000000001</v>
      </c>
      <c r="AC17" s="5">
        <v>68.392799999999994</v>
      </c>
      <c r="AD17" s="5">
        <v>51.933999999999997</v>
      </c>
      <c r="AE17" s="5">
        <v>60.9788</v>
      </c>
      <c r="AF17" s="5"/>
      <c r="AG17" s="5">
        <f t="shared" si="7"/>
        <v>0</v>
      </c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</row>
    <row r="18" spans="1:49" x14ac:dyDescent="0.25">
      <c r="A18" s="5" t="s">
        <v>54</v>
      </c>
      <c r="B18" s="5" t="s">
        <v>37</v>
      </c>
      <c r="C18" s="5">
        <v>57.878999999999998</v>
      </c>
      <c r="D18" s="5">
        <v>116.02800000000001</v>
      </c>
      <c r="E18" s="5">
        <v>42.738</v>
      </c>
      <c r="F18" s="5">
        <v>103.31</v>
      </c>
      <c r="G18" s="7">
        <v>1</v>
      </c>
      <c r="H18" s="5">
        <v>120</v>
      </c>
      <c r="I18" s="5" t="s">
        <v>35</v>
      </c>
      <c r="J18" s="5"/>
      <c r="K18" s="5">
        <v>58.4</v>
      </c>
      <c r="L18" s="5">
        <f t="shared" si="2"/>
        <v>-15.661999999999999</v>
      </c>
      <c r="M18" s="5"/>
      <c r="N18" s="5"/>
      <c r="O18" s="5">
        <v>0</v>
      </c>
      <c r="P18" s="5">
        <f t="shared" si="3"/>
        <v>8.5475999999999992</v>
      </c>
      <c r="Q18" s="4">
        <f t="shared" si="8"/>
        <v>24.903999999999996</v>
      </c>
      <c r="R18" s="4">
        <f t="shared" si="4"/>
        <v>25</v>
      </c>
      <c r="S18" s="41"/>
      <c r="T18" s="5">
        <f t="shared" si="5"/>
        <v>15.011231222799385</v>
      </c>
      <c r="U18" s="5">
        <f t="shared" si="6"/>
        <v>12.086433618793581</v>
      </c>
      <c r="V18" s="5">
        <v>6.8586</v>
      </c>
      <c r="W18" s="5">
        <v>10.388</v>
      </c>
      <c r="X18" s="5">
        <v>6.5549999999999997</v>
      </c>
      <c r="Y18" s="5">
        <v>6.0965999999999996</v>
      </c>
      <c r="Z18" s="5">
        <v>6.2720000000000002</v>
      </c>
      <c r="AA18" s="5">
        <v>2.3835999999999999</v>
      </c>
      <c r="AB18" s="5">
        <v>3.8856000000000002</v>
      </c>
      <c r="AC18" s="5">
        <v>5.7060000000000004</v>
      </c>
      <c r="AD18" s="5">
        <v>6.0518000000000001</v>
      </c>
      <c r="AE18" s="5">
        <v>3.9136000000000002</v>
      </c>
      <c r="AF18" s="5" t="s">
        <v>38</v>
      </c>
      <c r="AG18" s="5">
        <f t="shared" si="7"/>
        <v>25</v>
      </c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</row>
    <row r="19" spans="1:49" x14ac:dyDescent="0.25">
      <c r="A19" s="5" t="s">
        <v>55</v>
      </c>
      <c r="B19" s="5" t="s">
        <v>34</v>
      </c>
      <c r="C19" s="5">
        <v>75</v>
      </c>
      <c r="D19" s="5">
        <v>141</v>
      </c>
      <c r="E19" s="5">
        <v>42</v>
      </c>
      <c r="F19" s="5">
        <v>139</v>
      </c>
      <c r="G19" s="7">
        <v>0.4</v>
      </c>
      <c r="H19" s="5">
        <v>45</v>
      </c>
      <c r="I19" s="5" t="s">
        <v>35</v>
      </c>
      <c r="J19" s="5"/>
      <c r="K19" s="5">
        <v>44</v>
      </c>
      <c r="L19" s="5">
        <f t="shared" si="2"/>
        <v>-2</v>
      </c>
      <c r="M19" s="5"/>
      <c r="N19" s="5"/>
      <c r="O19" s="5">
        <v>0</v>
      </c>
      <c r="P19" s="5">
        <f t="shared" si="3"/>
        <v>8.4</v>
      </c>
      <c r="Q19" s="4"/>
      <c r="R19" s="4">
        <f t="shared" si="4"/>
        <v>0</v>
      </c>
      <c r="S19" s="41"/>
      <c r="T19" s="5">
        <f t="shared" si="5"/>
        <v>16.547619047619047</v>
      </c>
      <c r="U19" s="5">
        <f t="shared" si="6"/>
        <v>16.547619047619047</v>
      </c>
      <c r="V19" s="5">
        <v>10.4</v>
      </c>
      <c r="W19" s="5">
        <v>12</v>
      </c>
      <c r="X19" s="5">
        <v>13.4</v>
      </c>
      <c r="Y19" s="5">
        <v>8.4</v>
      </c>
      <c r="Z19" s="5">
        <v>10.8</v>
      </c>
      <c r="AA19" s="5">
        <v>9.1999999999999993</v>
      </c>
      <c r="AB19" s="5">
        <v>16.600000000000001</v>
      </c>
      <c r="AC19" s="5">
        <v>12.8</v>
      </c>
      <c r="AD19" s="5">
        <v>17.600000000000001</v>
      </c>
      <c r="AE19" s="5">
        <v>10.8</v>
      </c>
      <c r="AF19" s="5"/>
      <c r="AG19" s="5">
        <f t="shared" si="7"/>
        <v>0</v>
      </c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</row>
    <row r="20" spans="1:49" x14ac:dyDescent="0.25">
      <c r="A20" s="5" t="s">
        <v>56</v>
      </c>
      <c r="B20" s="5" t="s">
        <v>37</v>
      </c>
      <c r="C20" s="5">
        <v>2.2450000000000001</v>
      </c>
      <c r="D20" s="5">
        <v>533.26599999999996</v>
      </c>
      <c r="E20" s="5">
        <v>204.779</v>
      </c>
      <c r="F20" s="5">
        <v>255.15199999999999</v>
      </c>
      <c r="G20" s="7">
        <v>1</v>
      </c>
      <c r="H20" s="5">
        <v>60</v>
      </c>
      <c r="I20" s="5" t="s">
        <v>35</v>
      </c>
      <c r="J20" s="5"/>
      <c r="K20" s="5">
        <v>399.4</v>
      </c>
      <c r="L20" s="5">
        <f t="shared" si="2"/>
        <v>-194.62099999999998</v>
      </c>
      <c r="M20" s="5"/>
      <c r="N20" s="5"/>
      <c r="O20" s="5">
        <v>250</v>
      </c>
      <c r="P20" s="5">
        <f t="shared" si="3"/>
        <v>40.955799999999996</v>
      </c>
      <c r="Q20" s="4">
        <f t="shared" si="8"/>
        <v>109.185</v>
      </c>
      <c r="R20" s="4">
        <f t="shared" si="4"/>
        <v>109</v>
      </c>
      <c r="S20" s="41"/>
      <c r="T20" s="5">
        <f t="shared" si="5"/>
        <v>14.995482935261919</v>
      </c>
      <c r="U20" s="5">
        <f t="shared" si="6"/>
        <v>12.334077224715426</v>
      </c>
      <c r="V20" s="5">
        <v>44.343600000000002</v>
      </c>
      <c r="W20" s="5">
        <v>53.409799999999997</v>
      </c>
      <c r="X20" s="5">
        <v>29.607600000000001</v>
      </c>
      <c r="Y20" s="5">
        <v>39.871600000000001</v>
      </c>
      <c r="Z20" s="5">
        <v>43.782400000000003</v>
      </c>
      <c r="AA20" s="5">
        <v>35.393999999999998</v>
      </c>
      <c r="AB20" s="5">
        <v>51.526599999999988</v>
      </c>
      <c r="AC20" s="5">
        <v>31.503599999999999</v>
      </c>
      <c r="AD20" s="5">
        <v>52.622599999999998</v>
      </c>
      <c r="AE20" s="5">
        <v>44.615600000000001</v>
      </c>
      <c r="AF20" s="5"/>
      <c r="AG20" s="5">
        <f t="shared" si="7"/>
        <v>109</v>
      </c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</row>
    <row r="21" spans="1:49" x14ac:dyDescent="0.25">
      <c r="A21" s="5" t="s">
        <v>57</v>
      </c>
      <c r="B21" s="5" t="s">
        <v>34</v>
      </c>
      <c r="C21" s="5">
        <v>401</v>
      </c>
      <c r="D21" s="5">
        <v>689</v>
      </c>
      <c r="E21" s="5">
        <v>519</v>
      </c>
      <c r="F21" s="5">
        <v>451</v>
      </c>
      <c r="G21" s="7">
        <v>0.22</v>
      </c>
      <c r="H21" s="5">
        <v>120</v>
      </c>
      <c r="I21" s="5" t="s">
        <v>35</v>
      </c>
      <c r="J21" s="5"/>
      <c r="K21" s="5">
        <v>536</v>
      </c>
      <c r="L21" s="5">
        <f t="shared" si="2"/>
        <v>-17</v>
      </c>
      <c r="M21" s="5"/>
      <c r="N21" s="5"/>
      <c r="O21" s="5">
        <v>600</v>
      </c>
      <c r="P21" s="5">
        <f t="shared" si="3"/>
        <v>103.8</v>
      </c>
      <c r="Q21" s="4">
        <f t="shared" si="8"/>
        <v>506</v>
      </c>
      <c r="R21" s="4">
        <f t="shared" si="4"/>
        <v>506</v>
      </c>
      <c r="S21" s="41"/>
      <c r="T21" s="5">
        <f t="shared" si="5"/>
        <v>15</v>
      </c>
      <c r="U21" s="5">
        <f t="shared" si="6"/>
        <v>10.1252408477842</v>
      </c>
      <c r="V21" s="5">
        <v>95.4</v>
      </c>
      <c r="W21" s="5">
        <v>97.4</v>
      </c>
      <c r="X21" s="5">
        <v>81.8</v>
      </c>
      <c r="Y21" s="5">
        <v>78.400000000000006</v>
      </c>
      <c r="Z21" s="5">
        <v>92.2</v>
      </c>
      <c r="AA21" s="5">
        <v>66.2</v>
      </c>
      <c r="AB21" s="5">
        <v>109.8</v>
      </c>
      <c r="AC21" s="5">
        <v>89.8</v>
      </c>
      <c r="AD21" s="5">
        <v>30.6</v>
      </c>
      <c r="AE21" s="5">
        <v>80.599999999999994</v>
      </c>
      <c r="AF21" s="5" t="s">
        <v>38</v>
      </c>
      <c r="AG21" s="5">
        <f t="shared" si="7"/>
        <v>111.32000000000001</v>
      </c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</row>
    <row r="22" spans="1:49" x14ac:dyDescent="0.25">
      <c r="A22" s="5" t="s">
        <v>58</v>
      </c>
      <c r="B22" s="5" t="s">
        <v>37</v>
      </c>
      <c r="C22" s="5">
        <v>8.75</v>
      </c>
      <c r="D22" s="5">
        <v>72.105999999999995</v>
      </c>
      <c r="E22" s="5">
        <v>34.171999999999997</v>
      </c>
      <c r="F22" s="5">
        <v>37.926000000000002</v>
      </c>
      <c r="G22" s="7">
        <v>1</v>
      </c>
      <c r="H22" s="5">
        <v>40</v>
      </c>
      <c r="I22" s="5" t="s">
        <v>35</v>
      </c>
      <c r="J22" s="5"/>
      <c r="K22" s="5">
        <v>34.049999999999997</v>
      </c>
      <c r="L22" s="5">
        <f t="shared" si="2"/>
        <v>0.12199999999999989</v>
      </c>
      <c r="M22" s="5"/>
      <c r="N22" s="5"/>
      <c r="O22" s="5">
        <v>40</v>
      </c>
      <c r="P22" s="5">
        <f t="shared" si="3"/>
        <v>6.8343999999999996</v>
      </c>
      <c r="Q22" s="4">
        <f t="shared" si="8"/>
        <v>24.589999999999989</v>
      </c>
      <c r="R22" s="4">
        <f t="shared" si="4"/>
        <v>25</v>
      </c>
      <c r="S22" s="41"/>
      <c r="T22" s="5">
        <f t="shared" si="5"/>
        <v>15.059990635608102</v>
      </c>
      <c r="U22" s="5">
        <f t="shared" si="6"/>
        <v>11.402025049748334</v>
      </c>
      <c r="V22" s="5">
        <v>6.0042</v>
      </c>
      <c r="W22" s="5">
        <v>7.3087999999999997</v>
      </c>
      <c r="X22" s="5">
        <v>5.0584000000000007</v>
      </c>
      <c r="Y22" s="5">
        <v>-0.33040000000000003</v>
      </c>
      <c r="Z22" s="5">
        <v>8.4344000000000001</v>
      </c>
      <c r="AA22" s="5">
        <v>6.0996000000000006</v>
      </c>
      <c r="AB22" s="5">
        <v>4.2107999999999999</v>
      </c>
      <c r="AC22" s="5">
        <v>8.4651999999999994</v>
      </c>
      <c r="AD22" s="5">
        <v>2.464</v>
      </c>
      <c r="AE22" s="5">
        <v>0</v>
      </c>
      <c r="AF22" s="5" t="s">
        <v>59</v>
      </c>
      <c r="AG22" s="5">
        <f t="shared" si="7"/>
        <v>25</v>
      </c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</row>
    <row r="23" spans="1:49" x14ac:dyDescent="0.25">
      <c r="A23" s="5" t="s">
        <v>60</v>
      </c>
      <c r="B23" s="5" t="s">
        <v>37</v>
      </c>
      <c r="C23" s="5">
        <v>177.82300000000001</v>
      </c>
      <c r="D23" s="5">
        <v>197.06899999999999</v>
      </c>
      <c r="E23" s="5">
        <v>135.15299999999999</v>
      </c>
      <c r="F23" s="5">
        <v>229.42599999999999</v>
      </c>
      <c r="G23" s="7">
        <v>1</v>
      </c>
      <c r="H23" s="5">
        <v>60</v>
      </c>
      <c r="I23" s="5" t="s">
        <v>35</v>
      </c>
      <c r="J23" s="5"/>
      <c r="K23" s="5">
        <v>131.19999999999999</v>
      </c>
      <c r="L23" s="5">
        <f t="shared" si="2"/>
        <v>3.953000000000003</v>
      </c>
      <c r="M23" s="5"/>
      <c r="N23" s="5"/>
      <c r="O23" s="5">
        <v>60</v>
      </c>
      <c r="P23" s="5">
        <f t="shared" si="3"/>
        <v>27.0306</v>
      </c>
      <c r="Q23" s="4">
        <f t="shared" si="8"/>
        <v>116.03300000000002</v>
      </c>
      <c r="R23" s="4">
        <f t="shared" si="4"/>
        <v>116</v>
      </c>
      <c r="S23" s="41"/>
      <c r="T23" s="5">
        <f t="shared" si="5"/>
        <v>14.998779161394863</v>
      </c>
      <c r="U23" s="5">
        <f t="shared" si="6"/>
        <v>10.707346488794181</v>
      </c>
      <c r="V23" s="5">
        <v>24.778199999999998</v>
      </c>
      <c r="W23" s="5">
        <v>30.382400000000001</v>
      </c>
      <c r="X23" s="5">
        <v>12.019399999999999</v>
      </c>
      <c r="Y23" s="5">
        <v>32.415799999999997</v>
      </c>
      <c r="Z23" s="5">
        <v>26.765599999999999</v>
      </c>
      <c r="AA23" s="5">
        <v>20.123799999999999</v>
      </c>
      <c r="AB23" s="5">
        <v>23.693999999999999</v>
      </c>
      <c r="AC23" s="5">
        <v>38.83</v>
      </c>
      <c r="AD23" s="5">
        <v>48.142600000000002</v>
      </c>
      <c r="AE23" s="5">
        <v>29.606400000000001</v>
      </c>
      <c r="AF23" s="5"/>
      <c r="AG23" s="5">
        <f t="shared" si="7"/>
        <v>116</v>
      </c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</row>
    <row r="24" spans="1:49" x14ac:dyDescent="0.25">
      <c r="A24" s="5" t="s">
        <v>61</v>
      </c>
      <c r="B24" s="5" t="s">
        <v>34</v>
      </c>
      <c r="C24" s="5">
        <v>517</v>
      </c>
      <c r="D24" s="5">
        <v>373</v>
      </c>
      <c r="E24" s="5">
        <v>234</v>
      </c>
      <c r="F24" s="5">
        <v>569</v>
      </c>
      <c r="G24" s="7">
        <v>0.09</v>
      </c>
      <c r="H24" s="5">
        <v>60</v>
      </c>
      <c r="I24" s="5" t="s">
        <v>35</v>
      </c>
      <c r="J24" s="5"/>
      <c r="K24" s="5">
        <v>242</v>
      </c>
      <c r="L24" s="5">
        <f t="shared" si="2"/>
        <v>-8</v>
      </c>
      <c r="M24" s="5"/>
      <c r="N24" s="5"/>
      <c r="O24" s="5">
        <v>0</v>
      </c>
      <c r="P24" s="5">
        <f t="shared" si="3"/>
        <v>46.8</v>
      </c>
      <c r="Q24" s="4">
        <f t="shared" si="8"/>
        <v>133</v>
      </c>
      <c r="R24" s="4">
        <f t="shared" si="4"/>
        <v>133</v>
      </c>
      <c r="S24" s="41"/>
      <c r="T24" s="5">
        <f t="shared" si="5"/>
        <v>15.000000000000002</v>
      </c>
      <c r="U24" s="5">
        <f t="shared" si="6"/>
        <v>12.158119658119659</v>
      </c>
      <c r="V24" s="5">
        <v>44.8</v>
      </c>
      <c r="W24" s="5">
        <v>65.599999999999994</v>
      </c>
      <c r="X24" s="5">
        <v>69</v>
      </c>
      <c r="Y24" s="5">
        <v>42.2</v>
      </c>
      <c r="Z24" s="5">
        <v>62</v>
      </c>
      <c r="AA24" s="5">
        <v>41.8</v>
      </c>
      <c r="AB24" s="5">
        <v>53.6</v>
      </c>
      <c r="AC24" s="5">
        <v>55.6</v>
      </c>
      <c r="AD24" s="5">
        <v>39.799999999999997</v>
      </c>
      <c r="AE24" s="5">
        <v>53.8</v>
      </c>
      <c r="AF24" s="5"/>
      <c r="AG24" s="5">
        <f t="shared" si="7"/>
        <v>11.969999999999999</v>
      </c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</row>
    <row r="25" spans="1:49" x14ac:dyDescent="0.25">
      <c r="A25" s="5" t="s">
        <v>62</v>
      </c>
      <c r="B25" s="5" t="s">
        <v>34</v>
      </c>
      <c r="C25" s="5">
        <v>212</v>
      </c>
      <c r="D25" s="5">
        <v>235</v>
      </c>
      <c r="E25" s="5">
        <v>174</v>
      </c>
      <c r="F25" s="5">
        <v>198</v>
      </c>
      <c r="G25" s="7">
        <v>0.09</v>
      </c>
      <c r="H25" s="5">
        <v>45</v>
      </c>
      <c r="I25" s="40" t="s">
        <v>44</v>
      </c>
      <c r="J25" s="5"/>
      <c r="K25" s="5">
        <v>180</v>
      </c>
      <c r="L25" s="5">
        <f t="shared" si="2"/>
        <v>-6</v>
      </c>
      <c r="M25" s="5"/>
      <c r="N25" s="5"/>
      <c r="O25" s="5">
        <v>224</v>
      </c>
      <c r="P25" s="5">
        <f t="shared" si="3"/>
        <v>34.799999999999997</v>
      </c>
      <c r="Q25" s="4">
        <f t="shared" si="8"/>
        <v>100</v>
      </c>
      <c r="R25" s="4">
        <f t="shared" si="4"/>
        <v>100</v>
      </c>
      <c r="S25" s="41"/>
      <c r="T25" s="5">
        <f t="shared" si="5"/>
        <v>15.000000000000002</v>
      </c>
      <c r="U25" s="5">
        <f t="shared" si="6"/>
        <v>12.126436781609197</v>
      </c>
      <c r="V25" s="5">
        <v>39.200000000000003</v>
      </c>
      <c r="W25" s="5">
        <v>30.8</v>
      </c>
      <c r="X25" s="5">
        <v>20.6</v>
      </c>
      <c r="Y25" s="5">
        <v>27.4</v>
      </c>
      <c r="Z25" s="5">
        <v>31.8</v>
      </c>
      <c r="AA25" s="5">
        <v>26.2</v>
      </c>
      <c r="AB25" s="5">
        <v>23.6</v>
      </c>
      <c r="AC25" s="5">
        <v>24.4</v>
      </c>
      <c r="AD25" s="5">
        <v>24.8</v>
      </c>
      <c r="AE25" s="5">
        <v>20</v>
      </c>
      <c r="AF25" s="5" t="s">
        <v>45</v>
      </c>
      <c r="AG25" s="5">
        <f t="shared" si="7"/>
        <v>9</v>
      </c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</row>
    <row r="26" spans="1:49" x14ac:dyDescent="0.25">
      <c r="A26" s="5" t="s">
        <v>63</v>
      </c>
      <c r="B26" s="5" t="s">
        <v>34</v>
      </c>
      <c r="C26" s="5">
        <v>111</v>
      </c>
      <c r="D26" s="5">
        <v>233</v>
      </c>
      <c r="E26" s="5">
        <v>177</v>
      </c>
      <c r="F26" s="5">
        <v>85</v>
      </c>
      <c r="G26" s="7">
        <v>0.15</v>
      </c>
      <c r="H26" s="5">
        <v>45</v>
      </c>
      <c r="I26" s="5" t="s">
        <v>35</v>
      </c>
      <c r="J26" s="5"/>
      <c r="K26" s="5">
        <v>180</v>
      </c>
      <c r="L26" s="5">
        <f t="shared" si="2"/>
        <v>-3</v>
      </c>
      <c r="M26" s="5"/>
      <c r="N26" s="5"/>
      <c r="O26" s="5">
        <v>207</v>
      </c>
      <c r="P26" s="5">
        <f t="shared" si="3"/>
        <v>35.4</v>
      </c>
      <c r="Q26" s="4">
        <f t="shared" si="8"/>
        <v>239</v>
      </c>
      <c r="R26" s="4">
        <f t="shared" si="4"/>
        <v>239</v>
      </c>
      <c r="S26" s="41"/>
      <c r="T26" s="5">
        <f t="shared" si="5"/>
        <v>15</v>
      </c>
      <c r="U26" s="5">
        <f t="shared" si="6"/>
        <v>8.2485875706214689</v>
      </c>
      <c r="V26" s="5">
        <v>32.200000000000003</v>
      </c>
      <c r="W26" s="5">
        <v>24.6</v>
      </c>
      <c r="X26" s="5">
        <v>26.2</v>
      </c>
      <c r="Y26" s="5">
        <v>19.600000000000001</v>
      </c>
      <c r="Z26" s="5">
        <v>27.4</v>
      </c>
      <c r="AA26" s="5">
        <v>33.6</v>
      </c>
      <c r="AB26" s="5">
        <v>20.399999999999999</v>
      </c>
      <c r="AC26" s="5">
        <v>21.2</v>
      </c>
      <c r="AD26" s="5">
        <v>31.4</v>
      </c>
      <c r="AE26" s="5">
        <v>18.600000000000001</v>
      </c>
      <c r="AF26" s="5"/>
      <c r="AG26" s="5">
        <f t="shared" si="7"/>
        <v>35.85</v>
      </c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</row>
    <row r="27" spans="1:49" x14ac:dyDescent="0.25">
      <c r="A27" s="5" t="s">
        <v>64</v>
      </c>
      <c r="B27" s="5" t="s">
        <v>37</v>
      </c>
      <c r="C27" s="5">
        <v>327.55799999999999</v>
      </c>
      <c r="D27" s="5">
        <v>961.99599999999998</v>
      </c>
      <c r="E27" s="5">
        <v>425.48599999999999</v>
      </c>
      <c r="F27" s="5">
        <v>823.47900000000004</v>
      </c>
      <c r="G27" s="7">
        <v>1</v>
      </c>
      <c r="H27" s="5">
        <v>45</v>
      </c>
      <c r="I27" s="5" t="s">
        <v>35</v>
      </c>
      <c r="J27" s="5"/>
      <c r="K27" s="5">
        <v>413.6</v>
      </c>
      <c r="L27" s="5">
        <f t="shared" si="2"/>
        <v>11.885999999999967</v>
      </c>
      <c r="M27" s="5"/>
      <c r="N27" s="5"/>
      <c r="O27" s="5">
        <v>232</v>
      </c>
      <c r="P27" s="5">
        <f t="shared" si="3"/>
        <v>85.097200000000001</v>
      </c>
      <c r="Q27" s="4">
        <f t="shared" si="8"/>
        <v>220.97900000000004</v>
      </c>
      <c r="R27" s="4">
        <f t="shared" si="4"/>
        <v>221</v>
      </c>
      <c r="S27" s="41"/>
      <c r="T27" s="5">
        <f t="shared" si="5"/>
        <v>15.000246776627199</v>
      </c>
      <c r="U27" s="5">
        <f t="shared" si="6"/>
        <v>12.403216557066507</v>
      </c>
      <c r="V27" s="5">
        <v>86.089399999999998</v>
      </c>
      <c r="W27" s="5">
        <v>101.1476</v>
      </c>
      <c r="X27" s="5">
        <v>72.8874</v>
      </c>
      <c r="Y27" s="5">
        <v>74.640999999999991</v>
      </c>
      <c r="Z27" s="5">
        <v>69.128200000000007</v>
      </c>
      <c r="AA27" s="5">
        <v>44.8872</v>
      </c>
      <c r="AB27" s="5">
        <v>61.028599999999997</v>
      </c>
      <c r="AC27" s="5">
        <v>80.06280000000001</v>
      </c>
      <c r="AD27" s="5">
        <v>71.776199999999989</v>
      </c>
      <c r="AE27" s="5">
        <v>53.404999999999987</v>
      </c>
      <c r="AF27" s="5"/>
      <c r="AG27" s="5">
        <f t="shared" si="7"/>
        <v>221</v>
      </c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</row>
    <row r="28" spans="1:49" x14ac:dyDescent="0.25">
      <c r="A28" s="5" t="s">
        <v>65</v>
      </c>
      <c r="B28" s="5" t="s">
        <v>34</v>
      </c>
      <c r="C28" s="5">
        <v>201</v>
      </c>
      <c r="D28" s="5">
        <v>474</v>
      </c>
      <c r="E28" s="5">
        <v>167</v>
      </c>
      <c r="F28" s="5">
        <v>471</v>
      </c>
      <c r="G28" s="7">
        <v>0.4</v>
      </c>
      <c r="H28" s="5">
        <v>60</v>
      </c>
      <c r="I28" s="5" t="s">
        <v>35</v>
      </c>
      <c r="J28" s="5"/>
      <c r="K28" s="5">
        <v>167</v>
      </c>
      <c r="L28" s="5">
        <f t="shared" si="2"/>
        <v>0</v>
      </c>
      <c r="M28" s="5"/>
      <c r="N28" s="5"/>
      <c r="O28" s="5">
        <v>56</v>
      </c>
      <c r="P28" s="5">
        <f t="shared" si="3"/>
        <v>33.4</v>
      </c>
      <c r="Q28" s="4"/>
      <c r="R28" s="4">
        <f t="shared" si="4"/>
        <v>0</v>
      </c>
      <c r="S28" s="41"/>
      <c r="T28" s="5">
        <f t="shared" si="5"/>
        <v>15.778443113772456</v>
      </c>
      <c r="U28" s="5">
        <f t="shared" si="6"/>
        <v>15.778443113772456</v>
      </c>
      <c r="V28" s="5">
        <v>46.4</v>
      </c>
      <c r="W28" s="5">
        <v>43.2</v>
      </c>
      <c r="X28" s="5">
        <v>44.2</v>
      </c>
      <c r="Y28" s="5">
        <v>37.4</v>
      </c>
      <c r="Z28" s="5">
        <v>47.6</v>
      </c>
      <c r="AA28" s="5">
        <v>25.8</v>
      </c>
      <c r="AB28" s="5">
        <v>56.8</v>
      </c>
      <c r="AC28" s="5">
        <v>29.8</v>
      </c>
      <c r="AD28" s="5">
        <v>17.2</v>
      </c>
      <c r="AE28" s="5">
        <v>27</v>
      </c>
      <c r="AF28" s="5" t="s">
        <v>45</v>
      </c>
      <c r="AG28" s="5">
        <f t="shared" si="7"/>
        <v>0</v>
      </c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</row>
    <row r="29" spans="1:49" x14ac:dyDescent="0.25">
      <c r="A29" s="5" t="s">
        <v>66</v>
      </c>
      <c r="B29" s="5" t="s">
        <v>34</v>
      </c>
      <c r="C29" s="5">
        <v>583</v>
      </c>
      <c r="D29" s="5">
        <v>235</v>
      </c>
      <c r="E29" s="5">
        <v>244</v>
      </c>
      <c r="F29" s="5">
        <v>504</v>
      </c>
      <c r="G29" s="7">
        <v>0.4</v>
      </c>
      <c r="H29" s="5">
        <v>60</v>
      </c>
      <c r="I29" s="40" t="s">
        <v>44</v>
      </c>
      <c r="J29" s="5"/>
      <c r="K29" s="5">
        <v>279</v>
      </c>
      <c r="L29" s="5">
        <f t="shared" si="2"/>
        <v>-35</v>
      </c>
      <c r="M29" s="5"/>
      <c r="N29" s="5"/>
      <c r="O29" s="5">
        <v>0</v>
      </c>
      <c r="P29" s="5">
        <f t="shared" si="3"/>
        <v>48.8</v>
      </c>
      <c r="Q29" s="4">
        <f t="shared" si="8"/>
        <v>228</v>
      </c>
      <c r="R29" s="4">
        <f t="shared" si="4"/>
        <v>228</v>
      </c>
      <c r="S29" s="41"/>
      <c r="T29" s="5">
        <f t="shared" si="5"/>
        <v>15</v>
      </c>
      <c r="U29" s="5">
        <f t="shared" si="6"/>
        <v>10.327868852459018</v>
      </c>
      <c r="V29" s="5">
        <v>45</v>
      </c>
      <c r="W29" s="5">
        <v>32</v>
      </c>
      <c r="X29" s="5">
        <v>37.200000000000003</v>
      </c>
      <c r="Y29" s="5">
        <v>30.4</v>
      </c>
      <c r="Z29" s="5">
        <v>43</v>
      </c>
      <c r="AA29" s="5">
        <v>48</v>
      </c>
      <c r="AB29" s="5">
        <v>44.6</v>
      </c>
      <c r="AC29" s="5">
        <v>38.799999999999997</v>
      </c>
      <c r="AD29" s="5">
        <v>49.6</v>
      </c>
      <c r="AE29" s="5">
        <v>47.6</v>
      </c>
      <c r="AF29" s="5" t="s">
        <v>45</v>
      </c>
      <c r="AG29" s="5">
        <f t="shared" si="7"/>
        <v>91.2</v>
      </c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</row>
    <row r="30" spans="1:49" x14ac:dyDescent="0.25">
      <c r="A30" s="5" t="s">
        <v>68</v>
      </c>
      <c r="B30" s="5" t="s">
        <v>34</v>
      </c>
      <c r="C30" s="5">
        <v>138</v>
      </c>
      <c r="D30" s="5">
        <v>200</v>
      </c>
      <c r="E30" s="5">
        <v>189</v>
      </c>
      <c r="F30" s="5">
        <v>80</v>
      </c>
      <c r="G30" s="7">
        <v>0.4</v>
      </c>
      <c r="H30" s="5">
        <v>60</v>
      </c>
      <c r="I30" s="40" t="s">
        <v>44</v>
      </c>
      <c r="J30" s="5"/>
      <c r="K30" s="5">
        <v>189</v>
      </c>
      <c r="L30" s="5">
        <f t="shared" si="2"/>
        <v>0</v>
      </c>
      <c r="M30" s="5"/>
      <c r="N30" s="5"/>
      <c r="O30" s="5">
        <v>321</v>
      </c>
      <c r="P30" s="5">
        <f t="shared" si="3"/>
        <v>37.799999999999997</v>
      </c>
      <c r="Q30" s="4">
        <f t="shared" si="8"/>
        <v>166</v>
      </c>
      <c r="R30" s="4">
        <f t="shared" si="4"/>
        <v>166</v>
      </c>
      <c r="S30" s="41"/>
      <c r="T30" s="5">
        <f t="shared" si="5"/>
        <v>15.000000000000002</v>
      </c>
      <c r="U30" s="5">
        <f t="shared" si="6"/>
        <v>10.608465608465609</v>
      </c>
      <c r="V30" s="5">
        <v>42.8</v>
      </c>
      <c r="W30" s="5">
        <v>27.4</v>
      </c>
      <c r="X30" s="5">
        <v>24.2</v>
      </c>
      <c r="Y30" s="5">
        <v>34.799999999999997</v>
      </c>
      <c r="Z30" s="5">
        <v>44.6</v>
      </c>
      <c r="AA30" s="5">
        <v>41.4</v>
      </c>
      <c r="AB30" s="5">
        <v>37.799999999999997</v>
      </c>
      <c r="AC30" s="5">
        <v>59.2</v>
      </c>
      <c r="AD30" s="5">
        <v>34.6</v>
      </c>
      <c r="AE30" s="5">
        <v>46.2</v>
      </c>
      <c r="AF30" s="5" t="s">
        <v>45</v>
      </c>
      <c r="AG30" s="5">
        <f t="shared" si="7"/>
        <v>66.400000000000006</v>
      </c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</row>
    <row r="31" spans="1:49" x14ac:dyDescent="0.25">
      <c r="A31" s="5" t="s">
        <v>71</v>
      </c>
      <c r="B31" s="5" t="s">
        <v>34</v>
      </c>
      <c r="C31" s="5">
        <v>94</v>
      </c>
      <c r="D31" s="5">
        <v>346</v>
      </c>
      <c r="E31" s="5">
        <v>82</v>
      </c>
      <c r="F31" s="5">
        <v>323</v>
      </c>
      <c r="G31" s="7">
        <v>0.3</v>
      </c>
      <c r="H31" s="5">
        <v>45</v>
      </c>
      <c r="I31" s="5" t="s">
        <v>35</v>
      </c>
      <c r="J31" s="5"/>
      <c r="K31" s="5">
        <v>95</v>
      </c>
      <c r="L31" s="5">
        <f t="shared" si="2"/>
        <v>-13</v>
      </c>
      <c r="M31" s="5"/>
      <c r="N31" s="5"/>
      <c r="O31" s="5">
        <v>0</v>
      </c>
      <c r="P31" s="5">
        <f t="shared" si="3"/>
        <v>16.399999999999999</v>
      </c>
      <c r="Q31" s="4"/>
      <c r="R31" s="4">
        <f t="shared" si="4"/>
        <v>0</v>
      </c>
      <c r="S31" s="41"/>
      <c r="T31" s="5">
        <f t="shared" si="5"/>
        <v>19.695121951219512</v>
      </c>
      <c r="U31" s="5">
        <f t="shared" si="6"/>
        <v>19.695121951219512</v>
      </c>
      <c r="V31" s="5">
        <v>22.4</v>
      </c>
      <c r="W31" s="5">
        <v>36</v>
      </c>
      <c r="X31" s="5">
        <v>27.2</v>
      </c>
      <c r="Y31" s="5">
        <v>20.2</v>
      </c>
      <c r="Z31" s="5">
        <v>26.8</v>
      </c>
      <c r="AA31" s="5">
        <v>20.399999999999999</v>
      </c>
      <c r="AB31" s="5">
        <v>27</v>
      </c>
      <c r="AC31" s="5">
        <v>11.8</v>
      </c>
      <c r="AD31" s="5">
        <v>16</v>
      </c>
      <c r="AE31" s="5">
        <v>33.200000000000003</v>
      </c>
      <c r="AF31" s="5"/>
      <c r="AG31" s="5">
        <f t="shared" si="7"/>
        <v>0</v>
      </c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</row>
    <row r="32" spans="1:49" x14ac:dyDescent="0.25">
      <c r="A32" s="5" t="s">
        <v>72</v>
      </c>
      <c r="B32" s="5" t="s">
        <v>37</v>
      </c>
      <c r="C32" s="5">
        <v>45.198</v>
      </c>
      <c r="D32" s="5">
        <v>204.26599999999999</v>
      </c>
      <c r="E32" s="5">
        <v>84.308000000000007</v>
      </c>
      <c r="F32" s="5">
        <v>140.40600000000001</v>
      </c>
      <c r="G32" s="7">
        <v>1</v>
      </c>
      <c r="H32" s="5">
        <v>60</v>
      </c>
      <c r="I32" s="5" t="s">
        <v>35</v>
      </c>
      <c r="J32" s="5"/>
      <c r="K32" s="5">
        <v>84.4</v>
      </c>
      <c r="L32" s="5">
        <f t="shared" si="2"/>
        <v>-9.1999999999998749E-2</v>
      </c>
      <c r="M32" s="5"/>
      <c r="N32" s="5"/>
      <c r="O32" s="5">
        <v>88</v>
      </c>
      <c r="P32" s="5">
        <f t="shared" si="3"/>
        <v>16.861600000000003</v>
      </c>
      <c r="Q32" s="4">
        <f t="shared" si="8"/>
        <v>24.518000000000029</v>
      </c>
      <c r="R32" s="4">
        <f t="shared" si="4"/>
        <v>25</v>
      </c>
      <c r="S32" s="41"/>
      <c r="T32" s="5">
        <f t="shared" si="5"/>
        <v>15.028585662096122</v>
      </c>
      <c r="U32" s="5">
        <f t="shared" si="6"/>
        <v>13.545926839683064</v>
      </c>
      <c r="V32" s="5">
        <v>19.841200000000001</v>
      </c>
      <c r="W32" s="5">
        <v>21.473199999999999</v>
      </c>
      <c r="X32" s="5">
        <v>16.648800000000001</v>
      </c>
      <c r="Y32" s="5">
        <v>18.3598</v>
      </c>
      <c r="Z32" s="5">
        <v>19.619599999999998</v>
      </c>
      <c r="AA32" s="5">
        <v>17.6358</v>
      </c>
      <c r="AB32" s="5">
        <v>18.295000000000002</v>
      </c>
      <c r="AC32" s="5">
        <v>17.577000000000002</v>
      </c>
      <c r="AD32" s="5">
        <v>25.6296</v>
      </c>
      <c r="AE32" s="5">
        <v>19.367000000000001</v>
      </c>
      <c r="AF32" s="5"/>
      <c r="AG32" s="5">
        <f t="shared" si="7"/>
        <v>25</v>
      </c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</row>
    <row r="33" spans="1:49" x14ac:dyDescent="0.25">
      <c r="A33" s="5" t="s">
        <v>73</v>
      </c>
      <c r="B33" s="5" t="s">
        <v>37</v>
      </c>
      <c r="C33" s="5">
        <v>60.017000000000003</v>
      </c>
      <c r="D33" s="5">
        <v>168.72200000000001</v>
      </c>
      <c r="E33" s="5">
        <v>48.082000000000001</v>
      </c>
      <c r="F33" s="5">
        <v>159.13499999999999</v>
      </c>
      <c r="G33" s="7">
        <v>1</v>
      </c>
      <c r="H33" s="5">
        <v>45</v>
      </c>
      <c r="I33" s="5" t="s">
        <v>35</v>
      </c>
      <c r="J33" s="5"/>
      <c r="K33" s="5">
        <v>51.2</v>
      </c>
      <c r="L33" s="5">
        <f t="shared" ref="L33:L61" si="9">E33-K33</f>
        <v>-3.1180000000000021</v>
      </c>
      <c r="M33" s="5"/>
      <c r="N33" s="5"/>
      <c r="O33" s="5">
        <v>33</v>
      </c>
      <c r="P33" s="5">
        <f t="shared" si="3"/>
        <v>9.6164000000000005</v>
      </c>
      <c r="Q33" s="4"/>
      <c r="R33" s="4">
        <f t="shared" si="4"/>
        <v>0</v>
      </c>
      <c r="S33" s="41"/>
      <c r="T33" s="5">
        <f t="shared" si="5"/>
        <v>19.979930119379393</v>
      </c>
      <c r="U33" s="5">
        <f t="shared" si="6"/>
        <v>19.979930119379393</v>
      </c>
      <c r="V33" s="5">
        <v>15.4948</v>
      </c>
      <c r="W33" s="5">
        <v>17.491800000000001</v>
      </c>
      <c r="X33" s="5">
        <v>8.7322000000000006</v>
      </c>
      <c r="Y33" s="5">
        <v>19.025200000000002</v>
      </c>
      <c r="Z33" s="5">
        <v>11.681800000000001</v>
      </c>
      <c r="AA33" s="5">
        <v>9.6796000000000006</v>
      </c>
      <c r="AB33" s="5">
        <v>10.3604</v>
      </c>
      <c r="AC33" s="5">
        <v>23.97</v>
      </c>
      <c r="AD33" s="5">
        <v>23.713999999999999</v>
      </c>
      <c r="AE33" s="5">
        <v>19.515799999999999</v>
      </c>
      <c r="AF33" s="5"/>
      <c r="AG33" s="5">
        <f t="shared" si="7"/>
        <v>0</v>
      </c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</row>
    <row r="34" spans="1:49" x14ac:dyDescent="0.25">
      <c r="A34" s="5" t="s">
        <v>74</v>
      </c>
      <c r="B34" s="5" t="s">
        <v>37</v>
      </c>
      <c r="C34" s="5">
        <v>41.41</v>
      </c>
      <c r="D34" s="5">
        <v>261.245</v>
      </c>
      <c r="E34" s="5">
        <v>58.374000000000002</v>
      </c>
      <c r="F34" s="5">
        <v>222.923</v>
      </c>
      <c r="G34" s="7">
        <v>1</v>
      </c>
      <c r="H34" s="5">
        <v>45</v>
      </c>
      <c r="I34" s="5" t="s">
        <v>35</v>
      </c>
      <c r="J34" s="5"/>
      <c r="K34" s="5">
        <v>62.5</v>
      </c>
      <c r="L34" s="5">
        <f t="shared" si="9"/>
        <v>-4.1259999999999977</v>
      </c>
      <c r="M34" s="5"/>
      <c r="N34" s="5"/>
      <c r="O34" s="5">
        <v>40</v>
      </c>
      <c r="P34" s="5">
        <f t="shared" si="3"/>
        <v>11.674800000000001</v>
      </c>
      <c r="Q34" s="4"/>
      <c r="R34" s="4">
        <f t="shared" si="4"/>
        <v>0</v>
      </c>
      <c r="S34" s="41"/>
      <c r="T34" s="5">
        <f t="shared" si="5"/>
        <v>22.520557097337853</v>
      </c>
      <c r="U34" s="5">
        <f t="shared" si="6"/>
        <v>22.520557097337853</v>
      </c>
      <c r="V34" s="5">
        <v>20.364000000000001</v>
      </c>
      <c r="W34" s="5">
        <v>26.2212</v>
      </c>
      <c r="X34" s="5">
        <v>18.284400000000002</v>
      </c>
      <c r="Y34" s="5">
        <v>23.627800000000001</v>
      </c>
      <c r="Z34" s="5">
        <v>16.767800000000001</v>
      </c>
      <c r="AA34" s="5">
        <v>13.041600000000001</v>
      </c>
      <c r="AB34" s="5">
        <v>26.402999999999999</v>
      </c>
      <c r="AC34" s="5">
        <v>21.489599999999999</v>
      </c>
      <c r="AD34" s="5">
        <v>29.615600000000001</v>
      </c>
      <c r="AE34" s="5">
        <v>34.425600000000003</v>
      </c>
      <c r="AF34" s="5"/>
      <c r="AG34" s="5">
        <f t="shared" si="7"/>
        <v>0</v>
      </c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</row>
    <row r="35" spans="1:49" x14ac:dyDescent="0.25">
      <c r="A35" s="37" t="s">
        <v>75</v>
      </c>
      <c r="B35" s="37" t="s">
        <v>34</v>
      </c>
      <c r="C35" s="37"/>
      <c r="D35" s="37"/>
      <c r="E35" s="37"/>
      <c r="F35" s="37"/>
      <c r="G35" s="38">
        <v>0</v>
      </c>
      <c r="H35" s="37"/>
      <c r="I35" s="37" t="s">
        <v>76</v>
      </c>
      <c r="J35" s="37"/>
      <c r="K35" s="37"/>
      <c r="L35" s="37">
        <f t="shared" si="9"/>
        <v>0</v>
      </c>
      <c r="M35" s="37"/>
      <c r="N35" s="37"/>
      <c r="O35" s="37">
        <v>300</v>
      </c>
      <c r="P35" s="37">
        <f t="shared" si="3"/>
        <v>0</v>
      </c>
      <c r="Q35" s="39"/>
      <c r="R35" s="4">
        <f t="shared" si="4"/>
        <v>0</v>
      </c>
      <c r="S35" s="41"/>
      <c r="T35" s="5" t="e">
        <f t="shared" si="5"/>
        <v>#DIV/0!</v>
      </c>
      <c r="U35" s="37" t="e">
        <f t="shared" si="6"/>
        <v>#DIV/0!</v>
      </c>
      <c r="V35" s="37">
        <v>0</v>
      </c>
      <c r="W35" s="37">
        <v>0</v>
      </c>
      <c r="X35" s="37">
        <v>0</v>
      </c>
      <c r="Y35" s="37">
        <v>0</v>
      </c>
      <c r="Z35" s="37">
        <v>0</v>
      </c>
      <c r="AA35" s="37">
        <v>0</v>
      </c>
      <c r="AB35" s="37">
        <v>0</v>
      </c>
      <c r="AC35" s="37">
        <v>0</v>
      </c>
      <c r="AD35" s="37">
        <v>0</v>
      </c>
      <c r="AE35" s="37">
        <v>0</v>
      </c>
      <c r="AF35" s="37" t="s">
        <v>77</v>
      </c>
      <c r="AG35" s="5">
        <f t="shared" si="7"/>
        <v>0</v>
      </c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</row>
    <row r="36" spans="1:49" x14ac:dyDescent="0.25">
      <c r="A36" s="5" t="s">
        <v>78</v>
      </c>
      <c r="B36" s="5" t="s">
        <v>37</v>
      </c>
      <c r="C36" s="5">
        <v>134.15899999999999</v>
      </c>
      <c r="D36" s="5">
        <v>386.22300000000001</v>
      </c>
      <c r="E36" s="5">
        <v>127.35899999999999</v>
      </c>
      <c r="F36" s="5">
        <v>364.23200000000003</v>
      </c>
      <c r="G36" s="7">
        <v>1</v>
      </c>
      <c r="H36" s="5">
        <v>45</v>
      </c>
      <c r="I36" s="5" t="s">
        <v>35</v>
      </c>
      <c r="J36" s="5"/>
      <c r="K36" s="5">
        <v>130.4</v>
      </c>
      <c r="L36" s="5">
        <f t="shared" si="9"/>
        <v>-3.041000000000011</v>
      </c>
      <c r="M36" s="5"/>
      <c r="N36" s="5"/>
      <c r="O36" s="5">
        <v>0</v>
      </c>
      <c r="P36" s="5">
        <f t="shared" si="3"/>
        <v>25.471799999999998</v>
      </c>
      <c r="Q36" s="4">
        <f t="shared" si="8"/>
        <v>17.84499999999997</v>
      </c>
      <c r="R36" s="4">
        <f t="shared" si="4"/>
        <v>18</v>
      </c>
      <c r="S36" s="41"/>
      <c r="T36" s="5">
        <f t="shared" si="5"/>
        <v>15.006085160844544</v>
      </c>
      <c r="U36" s="5">
        <f t="shared" si="6"/>
        <v>14.299421320833238</v>
      </c>
      <c r="V36" s="5">
        <v>27.164400000000001</v>
      </c>
      <c r="W36" s="5">
        <v>49.6982</v>
      </c>
      <c r="X36" s="5">
        <v>26.753799999999998</v>
      </c>
      <c r="Y36" s="5">
        <v>42.905999999999999</v>
      </c>
      <c r="Z36" s="5">
        <v>40.457599999999999</v>
      </c>
      <c r="AA36" s="5">
        <v>38.383400000000002</v>
      </c>
      <c r="AB36" s="5">
        <v>37.244999999999997</v>
      </c>
      <c r="AC36" s="5">
        <v>34.216999999999999</v>
      </c>
      <c r="AD36" s="5">
        <v>44.957999999999998</v>
      </c>
      <c r="AE36" s="5">
        <v>38.369199999999999</v>
      </c>
      <c r="AF36" s="5"/>
      <c r="AG36" s="5">
        <f t="shared" si="7"/>
        <v>18</v>
      </c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</row>
    <row r="37" spans="1:49" x14ac:dyDescent="0.25">
      <c r="A37" s="5" t="s">
        <v>79</v>
      </c>
      <c r="B37" s="5" t="s">
        <v>34</v>
      </c>
      <c r="C37" s="5">
        <v>466</v>
      </c>
      <c r="D37" s="5">
        <v>708</v>
      </c>
      <c r="E37" s="5">
        <v>178</v>
      </c>
      <c r="F37" s="5">
        <v>938</v>
      </c>
      <c r="G37" s="7">
        <v>0.3</v>
      </c>
      <c r="H37" s="5">
        <v>45</v>
      </c>
      <c r="I37" s="5" t="s">
        <v>35</v>
      </c>
      <c r="J37" s="5"/>
      <c r="K37" s="5">
        <v>176</v>
      </c>
      <c r="L37" s="5">
        <f t="shared" si="9"/>
        <v>2</v>
      </c>
      <c r="M37" s="5"/>
      <c r="N37" s="5"/>
      <c r="O37" s="5">
        <v>0</v>
      </c>
      <c r="P37" s="5">
        <f t="shared" si="3"/>
        <v>35.6</v>
      </c>
      <c r="Q37" s="4"/>
      <c r="R37" s="4">
        <f t="shared" si="4"/>
        <v>0</v>
      </c>
      <c r="S37" s="41"/>
      <c r="T37" s="5">
        <f t="shared" si="5"/>
        <v>26.348314606741571</v>
      </c>
      <c r="U37" s="5">
        <f t="shared" si="6"/>
        <v>26.348314606741571</v>
      </c>
      <c r="V37" s="5">
        <v>48.4</v>
      </c>
      <c r="W37" s="5">
        <v>70.2</v>
      </c>
      <c r="X37" s="5">
        <v>69.8</v>
      </c>
      <c r="Y37" s="5">
        <v>41.6</v>
      </c>
      <c r="Z37" s="5">
        <v>43.2</v>
      </c>
      <c r="AA37" s="5">
        <v>18.8</v>
      </c>
      <c r="AB37" s="5">
        <v>58</v>
      </c>
      <c r="AC37" s="5">
        <v>42.8</v>
      </c>
      <c r="AD37" s="5">
        <v>21.2</v>
      </c>
      <c r="AE37" s="5">
        <v>22.8</v>
      </c>
      <c r="AF37" s="36" t="s">
        <v>165</v>
      </c>
      <c r="AG37" s="5">
        <f t="shared" si="7"/>
        <v>0</v>
      </c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</row>
    <row r="38" spans="1:49" x14ac:dyDescent="0.25">
      <c r="A38" s="5" t="s">
        <v>80</v>
      </c>
      <c r="B38" s="5" t="s">
        <v>37</v>
      </c>
      <c r="C38" s="5">
        <v>-10.231999999999999</v>
      </c>
      <c r="D38" s="5">
        <v>390.5</v>
      </c>
      <c r="E38" s="5">
        <v>117.31</v>
      </c>
      <c r="F38" s="5">
        <v>160.54</v>
      </c>
      <c r="G38" s="7">
        <v>1</v>
      </c>
      <c r="H38" s="5">
        <v>30</v>
      </c>
      <c r="I38" s="5" t="s">
        <v>35</v>
      </c>
      <c r="J38" s="5"/>
      <c r="K38" s="5">
        <v>124.7</v>
      </c>
      <c r="L38" s="5">
        <f t="shared" si="9"/>
        <v>-7.3900000000000006</v>
      </c>
      <c r="M38" s="5"/>
      <c r="N38" s="5"/>
      <c r="O38" s="5">
        <v>139</v>
      </c>
      <c r="P38" s="5">
        <f t="shared" si="3"/>
        <v>23.462</v>
      </c>
      <c r="Q38" s="4">
        <f t="shared" si="8"/>
        <v>52.390000000000015</v>
      </c>
      <c r="R38" s="4">
        <f t="shared" si="4"/>
        <v>52</v>
      </c>
      <c r="S38" s="41"/>
      <c r="T38" s="5">
        <f t="shared" si="5"/>
        <v>14.983377376182762</v>
      </c>
      <c r="U38" s="5">
        <f t="shared" si="6"/>
        <v>12.767027533884578</v>
      </c>
      <c r="V38" s="5">
        <v>26.2592</v>
      </c>
      <c r="W38" s="5">
        <v>36.895600000000002</v>
      </c>
      <c r="X38" s="5">
        <v>16.045200000000001</v>
      </c>
      <c r="Y38" s="5">
        <v>14.3528</v>
      </c>
      <c r="Z38" s="5">
        <v>22.1236</v>
      </c>
      <c r="AA38" s="5">
        <v>20.263999999999999</v>
      </c>
      <c r="AB38" s="5">
        <v>18.549600000000002</v>
      </c>
      <c r="AC38" s="5">
        <v>16.238800000000001</v>
      </c>
      <c r="AD38" s="5">
        <v>13.000400000000001</v>
      </c>
      <c r="AE38" s="5">
        <v>23.759599999999999</v>
      </c>
      <c r="AF38" s="5"/>
      <c r="AG38" s="5">
        <f t="shared" si="7"/>
        <v>52</v>
      </c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</row>
    <row r="39" spans="1:49" x14ac:dyDescent="0.25">
      <c r="A39" s="5" t="s">
        <v>81</v>
      </c>
      <c r="B39" s="5" t="s">
        <v>37</v>
      </c>
      <c r="C39" s="5">
        <v>47.682000000000002</v>
      </c>
      <c r="D39" s="5">
        <v>565.16999999999996</v>
      </c>
      <c r="E39" s="5">
        <v>244.946</v>
      </c>
      <c r="F39" s="5">
        <v>285.11799999999999</v>
      </c>
      <c r="G39" s="7">
        <v>1</v>
      </c>
      <c r="H39" s="5">
        <v>45</v>
      </c>
      <c r="I39" s="5" t="s">
        <v>35</v>
      </c>
      <c r="J39" s="5"/>
      <c r="K39" s="5">
        <v>309.7</v>
      </c>
      <c r="L39" s="5">
        <f t="shared" si="9"/>
        <v>-64.753999999999991</v>
      </c>
      <c r="M39" s="5"/>
      <c r="N39" s="5"/>
      <c r="O39" s="5">
        <v>523</v>
      </c>
      <c r="P39" s="5">
        <f t="shared" si="3"/>
        <v>48.989199999999997</v>
      </c>
      <c r="Q39" s="4"/>
      <c r="R39" s="4">
        <f t="shared" si="4"/>
        <v>0</v>
      </c>
      <c r="S39" s="41"/>
      <c r="T39" s="5">
        <f t="shared" si="5"/>
        <v>16.495839899406398</v>
      </c>
      <c r="U39" s="5">
        <f t="shared" si="6"/>
        <v>16.495839899406398</v>
      </c>
      <c r="V39" s="5">
        <v>66.378</v>
      </c>
      <c r="W39" s="5">
        <v>55.039200000000008</v>
      </c>
      <c r="X39" s="5">
        <v>42.236199999999997</v>
      </c>
      <c r="Y39" s="5">
        <v>44.667000000000002</v>
      </c>
      <c r="Z39" s="5">
        <v>51.484200000000001</v>
      </c>
      <c r="AA39" s="5">
        <v>34.043199999999999</v>
      </c>
      <c r="AB39" s="5">
        <v>46.182600000000001</v>
      </c>
      <c r="AC39" s="5">
        <v>36.746600000000001</v>
      </c>
      <c r="AD39" s="5">
        <v>52.787799999999997</v>
      </c>
      <c r="AE39" s="5">
        <v>34.78</v>
      </c>
      <c r="AF39" s="5"/>
      <c r="AG39" s="5">
        <f t="shared" si="7"/>
        <v>0</v>
      </c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</row>
    <row r="40" spans="1:49" x14ac:dyDescent="0.25">
      <c r="A40" s="5" t="s">
        <v>82</v>
      </c>
      <c r="B40" s="5" t="s">
        <v>34</v>
      </c>
      <c r="C40" s="5">
        <v>7</v>
      </c>
      <c r="D40" s="5">
        <v>949</v>
      </c>
      <c r="E40" s="5">
        <v>231</v>
      </c>
      <c r="F40" s="5">
        <v>605</v>
      </c>
      <c r="G40" s="7">
        <v>0.35</v>
      </c>
      <c r="H40" s="5">
        <v>45</v>
      </c>
      <c r="I40" s="5" t="s">
        <v>35</v>
      </c>
      <c r="J40" s="5"/>
      <c r="K40" s="5">
        <v>281</v>
      </c>
      <c r="L40" s="5">
        <f t="shared" si="9"/>
        <v>-50</v>
      </c>
      <c r="M40" s="5"/>
      <c r="N40" s="5"/>
      <c r="O40" s="5">
        <v>78</v>
      </c>
      <c r="P40" s="5">
        <f t="shared" si="3"/>
        <v>46.2</v>
      </c>
      <c r="Q40" s="4">
        <f t="shared" si="8"/>
        <v>10</v>
      </c>
      <c r="R40" s="4">
        <f t="shared" si="4"/>
        <v>10</v>
      </c>
      <c r="S40" s="41"/>
      <c r="T40" s="5">
        <f t="shared" si="5"/>
        <v>14.999999999999998</v>
      </c>
      <c r="U40" s="5">
        <f t="shared" si="6"/>
        <v>14.783549783549782</v>
      </c>
      <c r="V40" s="5">
        <v>63</v>
      </c>
      <c r="W40" s="5">
        <v>93.8</v>
      </c>
      <c r="X40" s="5">
        <v>49.2</v>
      </c>
      <c r="Y40" s="5">
        <v>60.4</v>
      </c>
      <c r="Z40" s="5">
        <v>73</v>
      </c>
      <c r="AA40" s="5">
        <v>57.2</v>
      </c>
      <c r="AB40" s="5">
        <v>63.4</v>
      </c>
      <c r="AC40" s="5">
        <v>62.2</v>
      </c>
      <c r="AD40" s="5">
        <v>65.8</v>
      </c>
      <c r="AE40" s="5">
        <v>59.4</v>
      </c>
      <c r="AF40" s="5"/>
      <c r="AG40" s="5">
        <f t="shared" si="7"/>
        <v>3.5</v>
      </c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</row>
    <row r="41" spans="1:49" x14ac:dyDescent="0.25">
      <c r="A41" s="5" t="s">
        <v>83</v>
      </c>
      <c r="B41" s="5" t="s">
        <v>34</v>
      </c>
      <c r="C41" s="5">
        <v>225</v>
      </c>
      <c r="D41" s="5">
        <v>361</v>
      </c>
      <c r="E41" s="5">
        <v>330</v>
      </c>
      <c r="F41" s="5">
        <v>196</v>
      </c>
      <c r="G41" s="7">
        <v>0.41</v>
      </c>
      <c r="H41" s="5">
        <v>45</v>
      </c>
      <c r="I41" s="5" t="s">
        <v>35</v>
      </c>
      <c r="J41" s="5"/>
      <c r="K41" s="5">
        <v>352</v>
      </c>
      <c r="L41" s="5">
        <f t="shared" si="9"/>
        <v>-22</v>
      </c>
      <c r="M41" s="5"/>
      <c r="N41" s="5"/>
      <c r="O41" s="5">
        <v>341</v>
      </c>
      <c r="P41" s="5">
        <f t="shared" si="3"/>
        <v>66</v>
      </c>
      <c r="Q41" s="4">
        <f t="shared" si="8"/>
        <v>453</v>
      </c>
      <c r="R41" s="4">
        <f t="shared" si="4"/>
        <v>453</v>
      </c>
      <c r="S41" s="41"/>
      <c r="T41" s="5">
        <f t="shared" si="5"/>
        <v>15</v>
      </c>
      <c r="U41" s="5">
        <f t="shared" si="6"/>
        <v>8.1363636363636367</v>
      </c>
      <c r="V41" s="5">
        <v>59.4</v>
      </c>
      <c r="W41" s="5">
        <v>44.8</v>
      </c>
      <c r="X41" s="5">
        <v>56</v>
      </c>
      <c r="Y41" s="5">
        <v>48.8</v>
      </c>
      <c r="Z41" s="5">
        <v>61</v>
      </c>
      <c r="AA41" s="5">
        <v>55.8</v>
      </c>
      <c r="AB41" s="5">
        <v>52.6</v>
      </c>
      <c r="AC41" s="5">
        <v>57.2</v>
      </c>
      <c r="AD41" s="5">
        <v>41.4</v>
      </c>
      <c r="AE41" s="5">
        <v>37.6</v>
      </c>
      <c r="AF41" s="5"/>
      <c r="AG41" s="5">
        <f t="shared" si="7"/>
        <v>185.73</v>
      </c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</row>
    <row r="42" spans="1:49" x14ac:dyDescent="0.25">
      <c r="A42" s="5" t="s">
        <v>84</v>
      </c>
      <c r="B42" s="5" t="s">
        <v>34</v>
      </c>
      <c r="C42" s="5">
        <v>87</v>
      </c>
      <c r="D42" s="5">
        <v>389</v>
      </c>
      <c r="E42" s="5">
        <v>178</v>
      </c>
      <c r="F42" s="5">
        <v>249</v>
      </c>
      <c r="G42" s="7">
        <v>0.41</v>
      </c>
      <c r="H42" s="5">
        <v>45</v>
      </c>
      <c r="I42" s="5" t="s">
        <v>35</v>
      </c>
      <c r="J42" s="5"/>
      <c r="K42" s="5">
        <v>181</v>
      </c>
      <c r="L42" s="5">
        <f t="shared" si="9"/>
        <v>-3</v>
      </c>
      <c r="M42" s="5"/>
      <c r="N42" s="5"/>
      <c r="O42" s="5">
        <v>105</v>
      </c>
      <c r="P42" s="5">
        <f t="shared" si="3"/>
        <v>35.6</v>
      </c>
      <c r="Q42" s="4">
        <f t="shared" si="8"/>
        <v>180</v>
      </c>
      <c r="R42" s="4">
        <f t="shared" si="4"/>
        <v>180</v>
      </c>
      <c r="S42" s="41"/>
      <c r="T42" s="5">
        <f t="shared" si="5"/>
        <v>15</v>
      </c>
      <c r="U42" s="5">
        <f t="shared" si="6"/>
        <v>9.9438202247191008</v>
      </c>
      <c r="V42" s="5">
        <v>34.200000000000003</v>
      </c>
      <c r="W42" s="5">
        <v>40.6</v>
      </c>
      <c r="X42" s="5">
        <v>30.6</v>
      </c>
      <c r="Y42" s="5">
        <v>36.200000000000003</v>
      </c>
      <c r="Z42" s="5">
        <v>42.6</v>
      </c>
      <c r="AA42" s="5">
        <v>41.4</v>
      </c>
      <c r="AB42" s="5">
        <v>27.4</v>
      </c>
      <c r="AC42" s="5">
        <v>42.4</v>
      </c>
      <c r="AD42" s="5">
        <v>35.799999999999997</v>
      </c>
      <c r="AE42" s="5">
        <v>25.4</v>
      </c>
      <c r="AF42" s="5"/>
      <c r="AG42" s="5">
        <f t="shared" si="7"/>
        <v>73.8</v>
      </c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</row>
    <row r="43" spans="1:49" x14ac:dyDescent="0.25">
      <c r="A43" s="5" t="s">
        <v>85</v>
      </c>
      <c r="B43" s="5" t="s">
        <v>34</v>
      </c>
      <c r="C43" s="5">
        <v>354</v>
      </c>
      <c r="D43" s="5">
        <v>664</v>
      </c>
      <c r="E43" s="5">
        <v>175</v>
      </c>
      <c r="F43" s="5">
        <v>775</v>
      </c>
      <c r="G43" s="7">
        <v>0.36</v>
      </c>
      <c r="H43" s="5">
        <v>45</v>
      </c>
      <c r="I43" s="5" t="s">
        <v>35</v>
      </c>
      <c r="J43" s="5"/>
      <c r="K43" s="5">
        <v>182</v>
      </c>
      <c r="L43" s="5">
        <f t="shared" si="9"/>
        <v>-7</v>
      </c>
      <c r="M43" s="5"/>
      <c r="N43" s="5"/>
      <c r="O43" s="5">
        <v>0</v>
      </c>
      <c r="P43" s="5">
        <f t="shared" si="3"/>
        <v>35</v>
      </c>
      <c r="Q43" s="4"/>
      <c r="R43" s="4">
        <f t="shared" si="4"/>
        <v>0</v>
      </c>
      <c r="S43" s="41"/>
      <c r="T43" s="5">
        <f t="shared" si="5"/>
        <v>22.142857142857142</v>
      </c>
      <c r="U43" s="5">
        <f t="shared" si="6"/>
        <v>22.142857142857142</v>
      </c>
      <c r="V43" s="5">
        <v>23.2</v>
      </c>
      <c r="W43" s="5">
        <v>54.2</v>
      </c>
      <c r="X43" s="5">
        <v>49</v>
      </c>
      <c r="Y43" s="5">
        <v>25.4</v>
      </c>
      <c r="Z43" s="5">
        <v>43.4</v>
      </c>
      <c r="AA43" s="5">
        <v>59</v>
      </c>
      <c r="AB43" s="5">
        <v>28.8</v>
      </c>
      <c r="AC43" s="5">
        <v>43.8</v>
      </c>
      <c r="AD43" s="5">
        <v>41.6</v>
      </c>
      <c r="AE43" s="5">
        <v>39.200000000000003</v>
      </c>
      <c r="AF43" s="34" t="s">
        <v>166</v>
      </c>
      <c r="AG43" s="5">
        <f t="shared" si="7"/>
        <v>0</v>
      </c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</row>
    <row r="44" spans="1:49" x14ac:dyDescent="0.25">
      <c r="A44" s="5" t="s">
        <v>86</v>
      </c>
      <c r="B44" s="5" t="s">
        <v>34</v>
      </c>
      <c r="C44" s="5">
        <v>7</v>
      </c>
      <c r="D44" s="5">
        <v>76</v>
      </c>
      <c r="E44" s="5">
        <v>36</v>
      </c>
      <c r="F44" s="5">
        <v>37</v>
      </c>
      <c r="G44" s="7">
        <v>0.33</v>
      </c>
      <c r="H44" s="5">
        <v>45</v>
      </c>
      <c r="I44" s="5" t="s">
        <v>35</v>
      </c>
      <c r="J44" s="5"/>
      <c r="K44" s="5">
        <v>40</v>
      </c>
      <c r="L44" s="5">
        <f t="shared" si="9"/>
        <v>-4</v>
      </c>
      <c r="M44" s="5"/>
      <c r="N44" s="5"/>
      <c r="O44" s="5">
        <v>109</v>
      </c>
      <c r="P44" s="5">
        <f t="shared" si="3"/>
        <v>7.2</v>
      </c>
      <c r="Q44" s="4"/>
      <c r="R44" s="4">
        <f t="shared" si="4"/>
        <v>0</v>
      </c>
      <c r="S44" s="41"/>
      <c r="T44" s="5">
        <f t="shared" si="5"/>
        <v>20.277777777777779</v>
      </c>
      <c r="U44" s="5">
        <f t="shared" si="6"/>
        <v>20.277777777777779</v>
      </c>
      <c r="V44" s="5">
        <v>14.4</v>
      </c>
      <c r="W44" s="5">
        <v>9</v>
      </c>
      <c r="X44" s="5">
        <v>5.4</v>
      </c>
      <c r="Y44" s="5">
        <v>11.4</v>
      </c>
      <c r="Z44" s="5">
        <v>12.8</v>
      </c>
      <c r="AA44" s="5">
        <v>17.2</v>
      </c>
      <c r="AB44" s="5">
        <v>11.2</v>
      </c>
      <c r="AC44" s="5">
        <v>12.8</v>
      </c>
      <c r="AD44" s="5">
        <v>16</v>
      </c>
      <c r="AE44" s="5">
        <v>12.6</v>
      </c>
      <c r="AF44" s="5"/>
      <c r="AG44" s="5">
        <f t="shared" si="7"/>
        <v>0</v>
      </c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</row>
    <row r="45" spans="1:49" x14ac:dyDescent="0.25">
      <c r="A45" s="5" t="s">
        <v>87</v>
      </c>
      <c r="B45" s="5" t="s">
        <v>34</v>
      </c>
      <c r="C45" s="5">
        <v>-1</v>
      </c>
      <c r="D45" s="5">
        <v>143</v>
      </c>
      <c r="E45" s="5">
        <v>69</v>
      </c>
      <c r="F45" s="5">
        <v>54</v>
      </c>
      <c r="G45" s="7">
        <v>0.4</v>
      </c>
      <c r="H45" s="5">
        <v>60</v>
      </c>
      <c r="I45" s="5" t="s">
        <v>35</v>
      </c>
      <c r="J45" s="5"/>
      <c r="K45" s="5">
        <v>171</v>
      </c>
      <c r="L45" s="5">
        <f t="shared" si="9"/>
        <v>-102</v>
      </c>
      <c r="M45" s="5"/>
      <c r="N45" s="5"/>
      <c r="O45" s="5">
        <v>186</v>
      </c>
      <c r="P45" s="5">
        <f t="shared" si="3"/>
        <v>13.8</v>
      </c>
      <c r="Q45" s="4"/>
      <c r="R45" s="4">
        <f t="shared" si="4"/>
        <v>0</v>
      </c>
      <c r="S45" s="41"/>
      <c r="T45" s="5">
        <f t="shared" si="5"/>
        <v>17.391304347826086</v>
      </c>
      <c r="U45" s="5">
        <f t="shared" si="6"/>
        <v>17.391304347826086</v>
      </c>
      <c r="V45" s="5">
        <v>24.4</v>
      </c>
      <c r="W45" s="5">
        <v>15.2</v>
      </c>
      <c r="X45" s="5">
        <v>13.2</v>
      </c>
      <c r="Y45" s="5">
        <v>14.6</v>
      </c>
      <c r="Z45" s="5">
        <v>18.399999999999999</v>
      </c>
      <c r="AA45" s="5">
        <v>13.4</v>
      </c>
      <c r="AB45" s="5">
        <v>21.4</v>
      </c>
      <c r="AC45" s="5">
        <v>21.6</v>
      </c>
      <c r="AD45" s="5">
        <v>10</v>
      </c>
      <c r="AE45" s="5">
        <v>25</v>
      </c>
      <c r="AF45" s="5"/>
      <c r="AG45" s="5">
        <f t="shared" si="7"/>
        <v>0</v>
      </c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</row>
    <row r="46" spans="1:49" x14ac:dyDescent="0.25">
      <c r="A46" s="5" t="s">
        <v>88</v>
      </c>
      <c r="B46" s="5" t="s">
        <v>34</v>
      </c>
      <c r="C46" s="5"/>
      <c r="D46" s="5">
        <v>70</v>
      </c>
      <c r="E46" s="5">
        <v>19</v>
      </c>
      <c r="F46" s="5">
        <v>42</v>
      </c>
      <c r="G46" s="7">
        <v>0.33</v>
      </c>
      <c r="H46" s="5">
        <v>45</v>
      </c>
      <c r="I46" s="5" t="s">
        <v>35</v>
      </c>
      <c r="J46" s="5"/>
      <c r="K46" s="5">
        <v>22</v>
      </c>
      <c r="L46" s="5">
        <f t="shared" si="9"/>
        <v>-3</v>
      </c>
      <c r="M46" s="5"/>
      <c r="N46" s="5"/>
      <c r="O46" s="5">
        <v>18</v>
      </c>
      <c r="P46" s="5">
        <f t="shared" si="3"/>
        <v>3.8</v>
      </c>
      <c r="Q46" s="4"/>
      <c r="R46" s="4">
        <f t="shared" si="4"/>
        <v>0</v>
      </c>
      <c r="S46" s="41"/>
      <c r="T46" s="5">
        <f t="shared" si="5"/>
        <v>15.789473684210527</v>
      </c>
      <c r="U46" s="5">
        <f t="shared" si="6"/>
        <v>15.789473684210527</v>
      </c>
      <c r="V46" s="5">
        <v>5.6</v>
      </c>
      <c r="W46" s="5">
        <v>7</v>
      </c>
      <c r="X46" s="5">
        <v>4.4000000000000004</v>
      </c>
      <c r="Y46" s="5">
        <v>3.2</v>
      </c>
      <c r="Z46" s="5">
        <v>6.8</v>
      </c>
      <c r="AA46" s="5">
        <v>4.5999999999999996</v>
      </c>
      <c r="AB46" s="5">
        <v>5.4</v>
      </c>
      <c r="AC46" s="5">
        <v>8</v>
      </c>
      <c r="AD46" s="5">
        <v>4.5999999999999996</v>
      </c>
      <c r="AE46" s="5">
        <v>8.1999999999999993</v>
      </c>
      <c r="AF46" s="5"/>
      <c r="AG46" s="5">
        <f t="shared" si="7"/>
        <v>0</v>
      </c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</row>
    <row r="47" spans="1:49" x14ac:dyDescent="0.25">
      <c r="A47" s="5" t="s">
        <v>89</v>
      </c>
      <c r="B47" s="5" t="s">
        <v>37</v>
      </c>
      <c r="C47" s="5">
        <v>87.215999999999994</v>
      </c>
      <c r="D47" s="5">
        <v>895.37199999999996</v>
      </c>
      <c r="E47" s="5">
        <v>313.69</v>
      </c>
      <c r="F47" s="5">
        <v>471.10399999999998</v>
      </c>
      <c r="G47" s="7">
        <v>1</v>
      </c>
      <c r="H47" s="5">
        <v>45</v>
      </c>
      <c r="I47" s="5" t="s">
        <v>35</v>
      </c>
      <c r="J47" s="5"/>
      <c r="K47" s="5">
        <v>372.7</v>
      </c>
      <c r="L47" s="5">
        <f t="shared" si="9"/>
        <v>-59.009999999999991</v>
      </c>
      <c r="M47" s="5"/>
      <c r="N47" s="5"/>
      <c r="O47" s="5">
        <v>408</v>
      </c>
      <c r="P47" s="5">
        <f t="shared" si="3"/>
        <v>62.738</v>
      </c>
      <c r="Q47" s="4">
        <f t="shared" si="8"/>
        <v>61.965999999999951</v>
      </c>
      <c r="R47" s="4">
        <f t="shared" si="4"/>
        <v>62</v>
      </c>
      <c r="S47" s="41"/>
      <c r="T47" s="5">
        <f t="shared" si="5"/>
        <v>15.000541936306545</v>
      </c>
      <c r="U47" s="5">
        <f t="shared" si="6"/>
        <v>14.012305142019192</v>
      </c>
      <c r="V47" s="5">
        <v>79.360399999999998</v>
      </c>
      <c r="W47" s="5">
        <v>76.403599999999997</v>
      </c>
      <c r="X47" s="5">
        <v>34.4542</v>
      </c>
      <c r="Y47" s="5">
        <v>59.198400000000007</v>
      </c>
      <c r="Z47" s="5">
        <v>63.107399999999998</v>
      </c>
      <c r="AA47" s="5">
        <v>32.2164</v>
      </c>
      <c r="AB47" s="5">
        <v>50.428199999999997</v>
      </c>
      <c r="AC47" s="5">
        <v>56.484000000000002</v>
      </c>
      <c r="AD47" s="5">
        <v>47.937399999999997</v>
      </c>
      <c r="AE47" s="5">
        <v>73.170199999999994</v>
      </c>
      <c r="AF47" s="5"/>
      <c r="AG47" s="5">
        <f t="shared" si="7"/>
        <v>62</v>
      </c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</row>
    <row r="48" spans="1:49" x14ac:dyDescent="0.25">
      <c r="A48" s="5" t="s">
        <v>90</v>
      </c>
      <c r="B48" s="5" t="s">
        <v>34</v>
      </c>
      <c r="C48" s="5">
        <v>79</v>
      </c>
      <c r="D48" s="5">
        <v>266</v>
      </c>
      <c r="E48" s="5">
        <v>33</v>
      </c>
      <c r="F48" s="5">
        <v>276</v>
      </c>
      <c r="G48" s="7">
        <v>0.4</v>
      </c>
      <c r="H48" s="5">
        <v>45</v>
      </c>
      <c r="I48" s="5" t="s">
        <v>35</v>
      </c>
      <c r="J48" s="5"/>
      <c r="K48" s="5">
        <v>43</v>
      </c>
      <c r="L48" s="5">
        <f t="shared" si="9"/>
        <v>-10</v>
      </c>
      <c r="M48" s="5"/>
      <c r="N48" s="5"/>
      <c r="O48" s="5">
        <v>0</v>
      </c>
      <c r="P48" s="5">
        <f t="shared" si="3"/>
        <v>6.6</v>
      </c>
      <c r="Q48" s="4"/>
      <c r="R48" s="4">
        <f t="shared" si="4"/>
        <v>0</v>
      </c>
      <c r="S48" s="41"/>
      <c r="T48" s="5">
        <f t="shared" si="5"/>
        <v>41.81818181818182</v>
      </c>
      <c r="U48" s="5">
        <f t="shared" si="6"/>
        <v>41.81818181818182</v>
      </c>
      <c r="V48" s="5">
        <v>13.6</v>
      </c>
      <c r="W48" s="5">
        <v>25.4</v>
      </c>
      <c r="X48" s="5">
        <v>20.6</v>
      </c>
      <c r="Y48" s="5">
        <v>20.6</v>
      </c>
      <c r="Z48" s="5">
        <v>20.6</v>
      </c>
      <c r="AA48" s="5">
        <v>11</v>
      </c>
      <c r="AB48" s="5">
        <v>34.4</v>
      </c>
      <c r="AC48" s="5">
        <v>7.2</v>
      </c>
      <c r="AD48" s="5">
        <v>21.4</v>
      </c>
      <c r="AE48" s="5">
        <v>20.2</v>
      </c>
      <c r="AF48" s="36" t="s">
        <v>165</v>
      </c>
      <c r="AG48" s="5">
        <f t="shared" si="7"/>
        <v>0</v>
      </c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</row>
    <row r="49" spans="1:49" x14ac:dyDescent="0.25">
      <c r="A49" s="5" t="s">
        <v>91</v>
      </c>
      <c r="B49" s="5" t="s">
        <v>37</v>
      </c>
      <c r="C49" s="5">
        <v>31.577000000000002</v>
      </c>
      <c r="D49" s="5">
        <v>1.835</v>
      </c>
      <c r="E49" s="5">
        <v>17.678999999999998</v>
      </c>
      <c r="F49" s="5">
        <v>13.782999999999999</v>
      </c>
      <c r="G49" s="7">
        <v>1</v>
      </c>
      <c r="H49" s="5">
        <v>60</v>
      </c>
      <c r="I49" s="5" t="s">
        <v>35</v>
      </c>
      <c r="J49" s="5"/>
      <c r="K49" s="5">
        <v>14.9</v>
      </c>
      <c r="L49" s="5">
        <f t="shared" si="9"/>
        <v>2.7789999999999981</v>
      </c>
      <c r="M49" s="5"/>
      <c r="N49" s="5"/>
      <c r="O49" s="5">
        <v>45</v>
      </c>
      <c r="P49" s="5">
        <f t="shared" si="3"/>
        <v>3.5357999999999996</v>
      </c>
      <c r="Q49" s="4"/>
      <c r="R49" s="4">
        <f t="shared" si="4"/>
        <v>0</v>
      </c>
      <c r="S49" s="41"/>
      <c r="T49" s="5">
        <f t="shared" si="5"/>
        <v>16.62509191696363</v>
      </c>
      <c r="U49" s="5">
        <f t="shared" si="6"/>
        <v>16.62509191696363</v>
      </c>
      <c r="V49" s="5">
        <v>5.3479999999999999</v>
      </c>
      <c r="W49" s="5">
        <v>2.3647999999999998</v>
      </c>
      <c r="X49" s="5">
        <v>4.6563999999999997</v>
      </c>
      <c r="Y49" s="5">
        <v>0.64419999999999999</v>
      </c>
      <c r="Z49" s="5">
        <v>4.7759999999999998</v>
      </c>
      <c r="AA49" s="5">
        <v>3.1307999999999998</v>
      </c>
      <c r="AB49" s="5">
        <v>0.29899999999999999</v>
      </c>
      <c r="AC49" s="5">
        <v>4.3317999999999994</v>
      </c>
      <c r="AD49" s="5">
        <v>6.2573999999999996</v>
      </c>
      <c r="AE49" s="5">
        <v>3.1316000000000002</v>
      </c>
      <c r="AF49" s="5" t="s">
        <v>92</v>
      </c>
      <c r="AG49" s="5">
        <f t="shared" si="7"/>
        <v>0</v>
      </c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</row>
    <row r="50" spans="1:49" x14ac:dyDescent="0.25">
      <c r="A50" s="5" t="s">
        <v>93</v>
      </c>
      <c r="B50" s="5" t="s">
        <v>37</v>
      </c>
      <c r="C50" s="5">
        <v>25.46</v>
      </c>
      <c r="D50" s="5">
        <v>71.484999999999999</v>
      </c>
      <c r="E50" s="5">
        <v>21.145</v>
      </c>
      <c r="F50" s="5">
        <v>65.77</v>
      </c>
      <c r="G50" s="7">
        <v>1</v>
      </c>
      <c r="H50" s="5">
        <v>60</v>
      </c>
      <c r="I50" s="5" t="s">
        <v>35</v>
      </c>
      <c r="J50" s="5"/>
      <c r="K50" s="5">
        <v>21.1</v>
      </c>
      <c r="L50" s="5">
        <f t="shared" si="9"/>
        <v>4.4999999999998153E-2</v>
      </c>
      <c r="M50" s="5"/>
      <c r="N50" s="5"/>
      <c r="O50" s="5">
        <v>0</v>
      </c>
      <c r="P50" s="5">
        <f t="shared" si="3"/>
        <v>4.2290000000000001</v>
      </c>
      <c r="Q50" s="4"/>
      <c r="R50" s="4">
        <f t="shared" si="4"/>
        <v>0</v>
      </c>
      <c r="S50" s="41"/>
      <c r="T50" s="5">
        <f t="shared" si="5"/>
        <v>15.552139985812248</v>
      </c>
      <c r="U50" s="5">
        <f t="shared" si="6"/>
        <v>15.552139985812248</v>
      </c>
      <c r="V50" s="5">
        <v>4.1909999999999998</v>
      </c>
      <c r="W50" s="5">
        <v>3.3281999999999998</v>
      </c>
      <c r="X50" s="5">
        <v>5.4710000000000001</v>
      </c>
      <c r="Y50" s="5">
        <v>2.6920000000000002</v>
      </c>
      <c r="Z50" s="5">
        <v>3.8879999999999999</v>
      </c>
      <c r="AA50" s="5">
        <v>3.302</v>
      </c>
      <c r="AB50" s="5">
        <v>1.486</v>
      </c>
      <c r="AC50" s="5">
        <v>0</v>
      </c>
      <c r="AD50" s="5">
        <v>6.0140000000000002</v>
      </c>
      <c r="AE50" s="5">
        <v>2.7010000000000001</v>
      </c>
      <c r="AF50" s="5"/>
      <c r="AG50" s="5">
        <f t="shared" si="7"/>
        <v>0</v>
      </c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</row>
    <row r="51" spans="1:49" x14ac:dyDescent="0.25">
      <c r="A51" s="5" t="s">
        <v>95</v>
      </c>
      <c r="B51" s="5" t="s">
        <v>34</v>
      </c>
      <c r="C51" s="5">
        <v>58</v>
      </c>
      <c r="D51" s="5">
        <v>26</v>
      </c>
      <c r="E51" s="5">
        <v>41</v>
      </c>
      <c r="F51" s="5">
        <v>27</v>
      </c>
      <c r="G51" s="7">
        <v>0.25</v>
      </c>
      <c r="H51" s="5">
        <v>120</v>
      </c>
      <c r="I51" s="5" t="s">
        <v>35</v>
      </c>
      <c r="J51" s="5"/>
      <c r="K51" s="5">
        <v>41</v>
      </c>
      <c r="L51" s="5">
        <f t="shared" si="9"/>
        <v>0</v>
      </c>
      <c r="M51" s="5"/>
      <c r="N51" s="5"/>
      <c r="O51" s="5">
        <v>29</v>
      </c>
      <c r="P51" s="5">
        <f t="shared" si="3"/>
        <v>8.1999999999999993</v>
      </c>
      <c r="Q51" s="4">
        <f t="shared" si="8"/>
        <v>66.999999999999986</v>
      </c>
      <c r="R51" s="4">
        <f t="shared" si="4"/>
        <v>67</v>
      </c>
      <c r="S51" s="41"/>
      <c r="T51" s="5">
        <f t="shared" si="5"/>
        <v>15.000000000000002</v>
      </c>
      <c r="U51" s="5">
        <f t="shared" si="6"/>
        <v>6.8292682926829276</v>
      </c>
      <c r="V51" s="5">
        <v>6.8</v>
      </c>
      <c r="W51" s="5">
        <v>7</v>
      </c>
      <c r="X51" s="5">
        <v>5.8</v>
      </c>
      <c r="Y51" s="5">
        <v>8.1999999999999993</v>
      </c>
      <c r="Z51" s="5">
        <v>4.8</v>
      </c>
      <c r="AA51" s="5">
        <v>4.5999999999999996</v>
      </c>
      <c r="AB51" s="5">
        <v>7.8</v>
      </c>
      <c r="AC51" s="5">
        <v>5.6</v>
      </c>
      <c r="AD51" s="5">
        <v>6.2</v>
      </c>
      <c r="AE51" s="5">
        <v>3.8</v>
      </c>
      <c r="AF51" s="5" t="s">
        <v>38</v>
      </c>
      <c r="AG51" s="5">
        <f t="shared" si="7"/>
        <v>16.75</v>
      </c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</row>
    <row r="52" spans="1:49" x14ac:dyDescent="0.25">
      <c r="A52" s="5" t="s">
        <v>96</v>
      </c>
      <c r="B52" s="5" t="s">
        <v>37</v>
      </c>
      <c r="C52" s="5">
        <v>43.335000000000001</v>
      </c>
      <c r="D52" s="5">
        <v>59.648000000000003</v>
      </c>
      <c r="E52" s="5">
        <v>42.353999999999999</v>
      </c>
      <c r="F52" s="5">
        <v>50.994999999999997</v>
      </c>
      <c r="G52" s="7">
        <v>1</v>
      </c>
      <c r="H52" s="5">
        <v>45</v>
      </c>
      <c r="I52" s="5" t="s">
        <v>35</v>
      </c>
      <c r="J52" s="5"/>
      <c r="K52" s="5">
        <v>47.2</v>
      </c>
      <c r="L52" s="5">
        <f t="shared" si="9"/>
        <v>-4.8460000000000036</v>
      </c>
      <c r="M52" s="5"/>
      <c r="N52" s="5"/>
      <c r="O52" s="5">
        <v>34</v>
      </c>
      <c r="P52" s="5">
        <f t="shared" si="3"/>
        <v>8.4708000000000006</v>
      </c>
      <c r="Q52" s="4">
        <f t="shared" si="8"/>
        <v>42.067000000000014</v>
      </c>
      <c r="R52" s="4">
        <f t="shared" si="4"/>
        <v>42</v>
      </c>
      <c r="S52" s="41"/>
      <c r="T52" s="5">
        <f t="shared" si="5"/>
        <v>14.992090475515889</v>
      </c>
      <c r="U52" s="5">
        <f t="shared" si="6"/>
        <v>10.033881097417009</v>
      </c>
      <c r="V52" s="5">
        <v>8.6494</v>
      </c>
      <c r="W52" s="5">
        <v>8.8480000000000008</v>
      </c>
      <c r="X52" s="5">
        <v>9.2843999999999998</v>
      </c>
      <c r="Y52" s="5">
        <v>10.0526</v>
      </c>
      <c r="Z52" s="5">
        <v>9.6641999999999992</v>
      </c>
      <c r="AA52" s="5">
        <v>9.517199999999999</v>
      </c>
      <c r="AB52" s="5">
        <v>8.8352000000000004</v>
      </c>
      <c r="AC52" s="5">
        <v>8.5221999999999998</v>
      </c>
      <c r="AD52" s="5">
        <v>10.96</v>
      </c>
      <c r="AE52" s="5">
        <v>7.5292000000000003</v>
      </c>
      <c r="AF52" s="5"/>
      <c r="AG52" s="5">
        <f t="shared" si="7"/>
        <v>42</v>
      </c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</row>
    <row r="53" spans="1:49" x14ac:dyDescent="0.25">
      <c r="A53" s="5" t="s">
        <v>97</v>
      </c>
      <c r="B53" s="5" t="s">
        <v>34</v>
      </c>
      <c r="C53" s="5">
        <v>1</v>
      </c>
      <c r="D53" s="5">
        <v>176</v>
      </c>
      <c r="E53" s="5">
        <v>81</v>
      </c>
      <c r="F53" s="5">
        <v>89</v>
      </c>
      <c r="G53" s="7">
        <v>0.27</v>
      </c>
      <c r="H53" s="5"/>
      <c r="I53" s="5" t="s">
        <v>35</v>
      </c>
      <c r="J53" s="5"/>
      <c r="K53" s="5">
        <v>121</v>
      </c>
      <c r="L53" s="5">
        <f t="shared" si="9"/>
        <v>-40</v>
      </c>
      <c r="M53" s="5"/>
      <c r="N53" s="5"/>
      <c r="O53" s="5">
        <v>80</v>
      </c>
      <c r="P53" s="5">
        <f t="shared" si="3"/>
        <v>16.2</v>
      </c>
      <c r="Q53" s="4">
        <f t="shared" si="8"/>
        <v>74</v>
      </c>
      <c r="R53" s="4">
        <f t="shared" si="4"/>
        <v>74</v>
      </c>
      <c r="S53" s="41"/>
      <c r="T53" s="5">
        <f t="shared" si="5"/>
        <v>15</v>
      </c>
      <c r="U53" s="5">
        <f t="shared" si="6"/>
        <v>10.4320987654321</v>
      </c>
      <c r="V53" s="5">
        <v>17.399999999999999</v>
      </c>
      <c r="W53" s="5">
        <v>20.2</v>
      </c>
      <c r="X53" s="5">
        <v>-0.2</v>
      </c>
      <c r="Y53" s="5">
        <v>19.2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 t="s">
        <v>98</v>
      </c>
      <c r="AG53" s="5">
        <f t="shared" si="7"/>
        <v>19.98</v>
      </c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</row>
    <row r="54" spans="1:49" x14ac:dyDescent="0.25">
      <c r="A54" s="5" t="s">
        <v>99</v>
      </c>
      <c r="B54" s="5" t="s">
        <v>34</v>
      </c>
      <c r="C54" s="5"/>
      <c r="D54" s="5">
        <v>86</v>
      </c>
      <c r="E54" s="5">
        <v>-1</v>
      </c>
      <c r="F54" s="5"/>
      <c r="G54" s="7">
        <v>0.3</v>
      </c>
      <c r="H54" s="5">
        <v>60</v>
      </c>
      <c r="I54" s="5" t="s">
        <v>35</v>
      </c>
      <c r="J54" s="5"/>
      <c r="K54" s="5">
        <v>250</v>
      </c>
      <c r="L54" s="5">
        <f t="shared" si="9"/>
        <v>-251</v>
      </c>
      <c r="M54" s="5"/>
      <c r="N54" s="5"/>
      <c r="O54" s="5">
        <v>300</v>
      </c>
      <c r="P54" s="5">
        <f t="shared" si="3"/>
        <v>-0.2</v>
      </c>
      <c r="Q54" s="4"/>
      <c r="R54" s="4">
        <f t="shared" si="4"/>
        <v>0</v>
      </c>
      <c r="S54" s="41"/>
      <c r="T54" s="5">
        <f t="shared" si="5"/>
        <v>-1500</v>
      </c>
      <c r="U54" s="5">
        <f t="shared" si="6"/>
        <v>-1500</v>
      </c>
      <c r="V54" s="5">
        <v>15.4</v>
      </c>
      <c r="W54" s="5">
        <v>43.2</v>
      </c>
      <c r="X54" s="5">
        <v>52.8</v>
      </c>
      <c r="Y54" s="5">
        <v>25.6</v>
      </c>
      <c r="Z54" s="5">
        <v>31</v>
      </c>
      <c r="AA54" s="5">
        <v>31.8</v>
      </c>
      <c r="AB54" s="5">
        <v>25.4</v>
      </c>
      <c r="AC54" s="5">
        <v>38.799999999999997</v>
      </c>
      <c r="AD54" s="5">
        <v>37.200000000000003</v>
      </c>
      <c r="AE54" s="5">
        <v>39.799999999999997</v>
      </c>
      <c r="AF54" s="5" t="s">
        <v>45</v>
      </c>
      <c r="AG54" s="5">
        <f t="shared" si="7"/>
        <v>0</v>
      </c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</row>
    <row r="55" spans="1:49" x14ac:dyDescent="0.25">
      <c r="A55" s="5" t="s">
        <v>100</v>
      </c>
      <c r="B55" s="5" t="s">
        <v>34</v>
      </c>
      <c r="C55" s="5">
        <v>442</v>
      </c>
      <c r="D55" s="5">
        <v>935</v>
      </c>
      <c r="E55" s="5">
        <v>649</v>
      </c>
      <c r="F55" s="5">
        <v>484</v>
      </c>
      <c r="G55" s="7">
        <v>0.41</v>
      </c>
      <c r="H55" s="5">
        <v>50</v>
      </c>
      <c r="I55" s="40" t="s">
        <v>44</v>
      </c>
      <c r="J55" s="5"/>
      <c r="K55" s="5">
        <v>649</v>
      </c>
      <c r="L55" s="5">
        <f t="shared" si="9"/>
        <v>0</v>
      </c>
      <c r="M55" s="5"/>
      <c r="N55" s="5"/>
      <c r="O55" s="5">
        <v>616</v>
      </c>
      <c r="P55" s="5">
        <f t="shared" si="3"/>
        <v>129.80000000000001</v>
      </c>
      <c r="Q55" s="4">
        <v>400</v>
      </c>
      <c r="R55" s="4">
        <f t="shared" si="4"/>
        <v>400</v>
      </c>
      <c r="S55" s="41"/>
      <c r="T55" s="5">
        <f t="shared" si="5"/>
        <v>11.55624036979969</v>
      </c>
      <c r="U55" s="5">
        <f t="shared" si="6"/>
        <v>8.4745762711864394</v>
      </c>
      <c r="V55" s="5">
        <v>117.6</v>
      </c>
      <c r="W55" s="5">
        <v>103</v>
      </c>
      <c r="X55" s="5">
        <v>73</v>
      </c>
      <c r="Y55" s="5">
        <v>87.4</v>
      </c>
      <c r="Z55" s="5">
        <v>83.2</v>
      </c>
      <c r="AA55" s="5">
        <v>100.8</v>
      </c>
      <c r="AB55" s="5">
        <v>87</v>
      </c>
      <c r="AC55" s="5">
        <v>90.4</v>
      </c>
      <c r="AD55" s="5">
        <v>84</v>
      </c>
      <c r="AE55" s="5">
        <v>77.2</v>
      </c>
      <c r="AF55" s="5" t="s">
        <v>45</v>
      </c>
      <c r="AG55" s="5">
        <f t="shared" si="7"/>
        <v>164</v>
      </c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</row>
    <row r="56" spans="1:49" x14ac:dyDescent="0.25">
      <c r="A56" s="5" t="s">
        <v>102</v>
      </c>
      <c r="B56" s="5" t="s">
        <v>37</v>
      </c>
      <c r="C56" s="5">
        <v>806.702</v>
      </c>
      <c r="D56" s="5">
        <v>895.95899999999995</v>
      </c>
      <c r="E56" s="5">
        <v>564.125</v>
      </c>
      <c r="F56" s="5">
        <v>747.89099999999996</v>
      </c>
      <c r="G56" s="7">
        <v>1</v>
      </c>
      <c r="H56" s="5">
        <v>50</v>
      </c>
      <c r="I56" s="5" t="s">
        <v>35</v>
      </c>
      <c r="J56" s="5"/>
      <c r="K56" s="5">
        <v>544.4</v>
      </c>
      <c r="L56" s="5">
        <f t="shared" si="9"/>
        <v>19.725000000000023</v>
      </c>
      <c r="M56" s="5"/>
      <c r="N56" s="5"/>
      <c r="O56" s="5">
        <v>553</v>
      </c>
      <c r="P56" s="5">
        <f t="shared" si="3"/>
        <v>112.825</v>
      </c>
      <c r="Q56" s="4">
        <f t="shared" si="8"/>
        <v>391.48400000000004</v>
      </c>
      <c r="R56" s="4">
        <f t="shared" si="4"/>
        <v>391</v>
      </c>
      <c r="S56" s="41"/>
      <c r="T56" s="5">
        <f t="shared" si="5"/>
        <v>14.995710170618214</v>
      </c>
      <c r="U56" s="5">
        <f t="shared" si="6"/>
        <v>11.530166186572126</v>
      </c>
      <c r="V56" s="5">
        <v>123.32</v>
      </c>
      <c r="W56" s="5">
        <v>98.82820000000001</v>
      </c>
      <c r="X56" s="5">
        <v>121.4474</v>
      </c>
      <c r="Y56" s="5">
        <v>124.7012</v>
      </c>
      <c r="Z56" s="5">
        <v>114.2328</v>
      </c>
      <c r="AA56" s="5">
        <v>69.064999999999998</v>
      </c>
      <c r="AB56" s="5">
        <v>43.75</v>
      </c>
      <c r="AC56" s="5">
        <v>103.5904</v>
      </c>
      <c r="AD56" s="5">
        <v>84.347999999999999</v>
      </c>
      <c r="AE56" s="5">
        <v>76.303599999999989</v>
      </c>
      <c r="AF56" s="5"/>
      <c r="AG56" s="5">
        <f t="shared" si="7"/>
        <v>391</v>
      </c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</row>
    <row r="57" spans="1:49" x14ac:dyDescent="0.25">
      <c r="A57" s="5" t="s">
        <v>103</v>
      </c>
      <c r="B57" s="5" t="s">
        <v>34</v>
      </c>
      <c r="C57" s="5">
        <v>18</v>
      </c>
      <c r="D57" s="5">
        <v>47</v>
      </c>
      <c r="E57" s="5">
        <v>23</v>
      </c>
      <c r="F57" s="5">
        <v>22</v>
      </c>
      <c r="G57" s="7">
        <v>0.35</v>
      </c>
      <c r="H57" s="5">
        <v>50</v>
      </c>
      <c r="I57" s="5" t="s">
        <v>35</v>
      </c>
      <c r="J57" s="5"/>
      <c r="K57" s="5">
        <v>27</v>
      </c>
      <c r="L57" s="5">
        <f t="shared" si="9"/>
        <v>-4</v>
      </c>
      <c r="M57" s="5"/>
      <c r="N57" s="5"/>
      <c r="O57" s="5">
        <v>77</v>
      </c>
      <c r="P57" s="5">
        <f t="shared" si="3"/>
        <v>4.5999999999999996</v>
      </c>
      <c r="Q57" s="4"/>
      <c r="R57" s="4">
        <f t="shared" si="4"/>
        <v>0</v>
      </c>
      <c r="S57" s="41"/>
      <c r="T57" s="5">
        <f t="shared" si="5"/>
        <v>21.521739130434785</v>
      </c>
      <c r="U57" s="5">
        <f t="shared" si="6"/>
        <v>21.521739130434785</v>
      </c>
      <c r="V57" s="5">
        <v>9.1999999999999993</v>
      </c>
      <c r="W57" s="5">
        <v>6</v>
      </c>
      <c r="X57" s="5">
        <v>8.1999999999999993</v>
      </c>
      <c r="Y57" s="5">
        <v>4.2</v>
      </c>
      <c r="Z57" s="5">
        <v>7.8</v>
      </c>
      <c r="AA57" s="5">
        <v>5.6</v>
      </c>
      <c r="AB57" s="5">
        <v>10.199999999999999</v>
      </c>
      <c r="AC57" s="5">
        <v>9.6</v>
      </c>
      <c r="AD57" s="5">
        <v>12.6</v>
      </c>
      <c r="AE57" s="5">
        <v>10.6</v>
      </c>
      <c r="AF57" s="5"/>
      <c r="AG57" s="5">
        <f t="shared" si="7"/>
        <v>0</v>
      </c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</row>
    <row r="58" spans="1:49" x14ac:dyDescent="0.25">
      <c r="A58" s="5" t="s">
        <v>104</v>
      </c>
      <c r="B58" s="5" t="s">
        <v>37</v>
      </c>
      <c r="C58" s="5">
        <v>68.265000000000001</v>
      </c>
      <c r="D58" s="5">
        <v>112.605</v>
      </c>
      <c r="E58" s="5">
        <v>67.988</v>
      </c>
      <c r="F58" s="5">
        <v>67.87</v>
      </c>
      <c r="G58" s="7">
        <v>1</v>
      </c>
      <c r="H58" s="5">
        <v>50</v>
      </c>
      <c r="I58" s="5" t="s">
        <v>35</v>
      </c>
      <c r="J58" s="5"/>
      <c r="K58" s="5">
        <v>66</v>
      </c>
      <c r="L58" s="5">
        <f t="shared" si="9"/>
        <v>1.9879999999999995</v>
      </c>
      <c r="M58" s="5"/>
      <c r="N58" s="5"/>
      <c r="O58" s="5">
        <v>68</v>
      </c>
      <c r="P58" s="5">
        <f t="shared" si="3"/>
        <v>13.5976</v>
      </c>
      <c r="Q58" s="4">
        <f t="shared" si="8"/>
        <v>68.093999999999994</v>
      </c>
      <c r="R58" s="4">
        <f t="shared" si="4"/>
        <v>68</v>
      </c>
      <c r="S58" s="41"/>
      <c r="T58" s="5">
        <f t="shared" si="5"/>
        <v>14.993087015355652</v>
      </c>
      <c r="U58" s="5">
        <f t="shared" si="6"/>
        <v>9.9922045066776501</v>
      </c>
      <c r="V58" s="5">
        <v>13.354799999999999</v>
      </c>
      <c r="W58" s="5">
        <v>11.995200000000001</v>
      </c>
      <c r="X58" s="5">
        <v>12.410600000000001</v>
      </c>
      <c r="Y58" s="5">
        <v>8.0703999999999994</v>
      </c>
      <c r="Z58" s="5">
        <v>14.8842</v>
      </c>
      <c r="AA58" s="5">
        <v>5.8064</v>
      </c>
      <c r="AB58" s="5">
        <v>5.6052</v>
      </c>
      <c r="AC58" s="5">
        <v>12.7126</v>
      </c>
      <c r="AD58" s="5">
        <v>15.461600000000001</v>
      </c>
      <c r="AE58" s="5">
        <v>11.281599999999999</v>
      </c>
      <c r="AF58" s="5"/>
      <c r="AG58" s="5">
        <f t="shared" si="7"/>
        <v>68</v>
      </c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</row>
    <row r="59" spans="1:49" x14ac:dyDescent="0.25">
      <c r="A59" s="5" t="s">
        <v>105</v>
      </c>
      <c r="B59" s="5" t="s">
        <v>34</v>
      </c>
      <c r="C59" s="5">
        <v>540</v>
      </c>
      <c r="D59" s="5">
        <v>262</v>
      </c>
      <c r="E59" s="5">
        <v>369</v>
      </c>
      <c r="F59" s="5">
        <v>357</v>
      </c>
      <c r="G59" s="7">
        <v>0.41</v>
      </c>
      <c r="H59" s="5">
        <v>50</v>
      </c>
      <c r="I59" s="40" t="s">
        <v>44</v>
      </c>
      <c r="J59" s="5"/>
      <c r="K59" s="5">
        <v>370</v>
      </c>
      <c r="L59" s="5">
        <f t="shared" si="9"/>
        <v>-1</v>
      </c>
      <c r="M59" s="5"/>
      <c r="N59" s="5"/>
      <c r="O59" s="5">
        <v>352</v>
      </c>
      <c r="P59" s="5">
        <f t="shared" si="3"/>
        <v>73.8</v>
      </c>
      <c r="Q59" s="4">
        <f t="shared" si="8"/>
        <v>398</v>
      </c>
      <c r="R59" s="4">
        <f t="shared" si="4"/>
        <v>398</v>
      </c>
      <c r="S59" s="41"/>
      <c r="T59" s="5">
        <f t="shared" si="5"/>
        <v>15</v>
      </c>
      <c r="U59" s="5">
        <f t="shared" si="6"/>
        <v>9.6070460704607044</v>
      </c>
      <c r="V59" s="5">
        <v>71.400000000000006</v>
      </c>
      <c r="W59" s="5">
        <v>52.4</v>
      </c>
      <c r="X59" s="5">
        <v>50.2</v>
      </c>
      <c r="Y59" s="5">
        <v>55</v>
      </c>
      <c r="Z59" s="5">
        <v>45.2</v>
      </c>
      <c r="AA59" s="5">
        <v>48.8</v>
      </c>
      <c r="AB59" s="5">
        <v>35.200000000000003</v>
      </c>
      <c r="AC59" s="5">
        <v>51.4</v>
      </c>
      <c r="AD59" s="5">
        <v>56.6</v>
      </c>
      <c r="AE59" s="5">
        <v>45.8</v>
      </c>
      <c r="AF59" s="5" t="s">
        <v>45</v>
      </c>
      <c r="AG59" s="5">
        <f t="shared" si="7"/>
        <v>163.17999999999998</v>
      </c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</row>
    <row r="60" spans="1:49" x14ac:dyDescent="0.25">
      <c r="A60" s="5" t="s">
        <v>106</v>
      </c>
      <c r="B60" s="5" t="s">
        <v>37</v>
      </c>
      <c r="C60" s="5">
        <v>197.03399999999999</v>
      </c>
      <c r="D60" s="5">
        <v>378.35300000000001</v>
      </c>
      <c r="E60" s="5">
        <v>157.69499999999999</v>
      </c>
      <c r="F60" s="5">
        <v>375.69900000000001</v>
      </c>
      <c r="G60" s="7">
        <v>1</v>
      </c>
      <c r="H60" s="5">
        <v>50</v>
      </c>
      <c r="I60" s="5" t="s">
        <v>35</v>
      </c>
      <c r="J60" s="5"/>
      <c r="K60" s="5">
        <v>150.80000000000001</v>
      </c>
      <c r="L60" s="5">
        <f t="shared" si="9"/>
        <v>6.8949999999999818</v>
      </c>
      <c r="M60" s="5"/>
      <c r="N60" s="5"/>
      <c r="O60" s="5">
        <v>46</v>
      </c>
      <c r="P60" s="5">
        <f t="shared" si="3"/>
        <v>31.538999999999998</v>
      </c>
      <c r="Q60" s="4">
        <f t="shared" si="8"/>
        <v>51.385999999999967</v>
      </c>
      <c r="R60" s="4">
        <f t="shared" si="4"/>
        <v>51</v>
      </c>
      <c r="S60" s="41"/>
      <c r="T60" s="5">
        <f t="shared" si="5"/>
        <v>14.987761184565143</v>
      </c>
      <c r="U60" s="5">
        <f t="shared" si="6"/>
        <v>13.370715621928408</v>
      </c>
      <c r="V60" s="5">
        <v>37.269799999999996</v>
      </c>
      <c r="W60" s="5">
        <v>44.215200000000003</v>
      </c>
      <c r="X60" s="5">
        <v>23.197399999999998</v>
      </c>
      <c r="Y60" s="5">
        <v>44.723799999999997</v>
      </c>
      <c r="Z60" s="5">
        <v>29.232600000000001</v>
      </c>
      <c r="AA60" s="5">
        <v>14.500999999999999</v>
      </c>
      <c r="AB60" s="5">
        <v>26.771000000000001</v>
      </c>
      <c r="AC60" s="5">
        <v>37.538600000000002</v>
      </c>
      <c r="AD60" s="5">
        <v>40.284599999999998</v>
      </c>
      <c r="AE60" s="5">
        <v>27.845199999999998</v>
      </c>
      <c r="AF60" s="5"/>
      <c r="AG60" s="5">
        <f t="shared" si="7"/>
        <v>51</v>
      </c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</row>
    <row r="61" spans="1:49" x14ac:dyDescent="0.25">
      <c r="A61" s="5" t="s">
        <v>107</v>
      </c>
      <c r="B61" s="5" t="s">
        <v>34</v>
      </c>
      <c r="C61" s="5"/>
      <c r="D61" s="5">
        <v>240</v>
      </c>
      <c r="E61" s="5">
        <v>94</v>
      </c>
      <c r="F61" s="5">
        <v>62</v>
      </c>
      <c r="G61" s="7">
        <v>0.3</v>
      </c>
      <c r="H61" s="5">
        <v>50</v>
      </c>
      <c r="I61" s="5" t="s">
        <v>35</v>
      </c>
      <c r="J61" s="5"/>
      <c r="K61" s="5">
        <v>129</v>
      </c>
      <c r="L61" s="5">
        <f t="shared" si="9"/>
        <v>-35</v>
      </c>
      <c r="M61" s="5"/>
      <c r="N61" s="5"/>
      <c r="O61" s="5">
        <v>66</v>
      </c>
      <c r="P61" s="5">
        <f t="shared" si="3"/>
        <v>18.8</v>
      </c>
      <c r="Q61" s="4">
        <f t="shared" si="8"/>
        <v>154</v>
      </c>
      <c r="R61" s="4">
        <f t="shared" si="4"/>
        <v>154</v>
      </c>
      <c r="S61" s="41"/>
      <c r="T61" s="5">
        <f t="shared" si="5"/>
        <v>15</v>
      </c>
      <c r="U61" s="5">
        <f t="shared" si="6"/>
        <v>6.8085106382978724</v>
      </c>
      <c r="V61" s="5">
        <v>15.6</v>
      </c>
      <c r="W61" s="5">
        <v>18.600000000000001</v>
      </c>
      <c r="X61" s="5">
        <v>11.2</v>
      </c>
      <c r="Y61" s="5">
        <v>10.199999999999999</v>
      </c>
      <c r="Z61" s="5">
        <v>19.600000000000001</v>
      </c>
      <c r="AA61" s="5">
        <v>12.6</v>
      </c>
      <c r="AB61" s="5">
        <v>11.4</v>
      </c>
      <c r="AC61" s="5">
        <v>12.4</v>
      </c>
      <c r="AD61" s="5">
        <v>19.2</v>
      </c>
      <c r="AE61" s="5">
        <v>19.600000000000001</v>
      </c>
      <c r="AF61" s="5"/>
      <c r="AG61" s="5">
        <f t="shared" si="7"/>
        <v>46.199999999999996</v>
      </c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</row>
    <row r="62" spans="1:49" x14ac:dyDescent="0.25">
      <c r="A62" s="5" t="s">
        <v>108</v>
      </c>
      <c r="B62" s="5" t="s">
        <v>34</v>
      </c>
      <c r="C62" s="5">
        <v>458</v>
      </c>
      <c r="D62" s="5">
        <v>383</v>
      </c>
      <c r="E62" s="5">
        <v>232</v>
      </c>
      <c r="F62" s="5">
        <v>530</v>
      </c>
      <c r="G62" s="7">
        <v>0.18</v>
      </c>
      <c r="H62" s="5">
        <v>50</v>
      </c>
      <c r="I62" s="5" t="s">
        <v>35</v>
      </c>
      <c r="J62" s="5"/>
      <c r="K62" s="5">
        <v>235</v>
      </c>
      <c r="L62" s="5">
        <f t="shared" ref="L62:L89" si="10">E62-K62</f>
        <v>-3</v>
      </c>
      <c r="M62" s="5"/>
      <c r="N62" s="5"/>
      <c r="O62" s="5">
        <v>0</v>
      </c>
      <c r="P62" s="5">
        <f t="shared" si="3"/>
        <v>46.4</v>
      </c>
      <c r="Q62" s="4">
        <f t="shared" si="8"/>
        <v>166</v>
      </c>
      <c r="R62" s="4">
        <f t="shared" si="4"/>
        <v>166</v>
      </c>
      <c r="S62" s="41"/>
      <c r="T62" s="5">
        <f t="shared" si="5"/>
        <v>15</v>
      </c>
      <c r="U62" s="5">
        <f t="shared" si="6"/>
        <v>11.422413793103448</v>
      </c>
      <c r="V62" s="5">
        <v>48.6</v>
      </c>
      <c r="W62" s="5">
        <v>62</v>
      </c>
      <c r="X62" s="5">
        <v>67.8</v>
      </c>
      <c r="Y62" s="5">
        <v>38.6</v>
      </c>
      <c r="Z62" s="5">
        <v>70</v>
      </c>
      <c r="AA62" s="5">
        <v>55.8</v>
      </c>
      <c r="AB62" s="5">
        <v>40.6</v>
      </c>
      <c r="AC62" s="5">
        <v>79.400000000000006</v>
      </c>
      <c r="AD62" s="5">
        <v>54.4</v>
      </c>
      <c r="AE62" s="5">
        <v>59.4</v>
      </c>
      <c r="AF62" s="5"/>
      <c r="AG62" s="5">
        <f t="shared" si="7"/>
        <v>29.88</v>
      </c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</row>
    <row r="63" spans="1:49" x14ac:dyDescent="0.25">
      <c r="A63" s="5" t="s">
        <v>109</v>
      </c>
      <c r="B63" s="5" t="s">
        <v>34</v>
      </c>
      <c r="C63" s="5">
        <v>54</v>
      </c>
      <c r="D63" s="5">
        <v>15</v>
      </c>
      <c r="E63" s="5">
        <v>50</v>
      </c>
      <c r="F63" s="5"/>
      <c r="G63" s="7">
        <v>0.84</v>
      </c>
      <c r="H63" s="5">
        <v>50</v>
      </c>
      <c r="I63" s="5" t="s">
        <v>35</v>
      </c>
      <c r="J63" s="5"/>
      <c r="K63" s="5">
        <v>77</v>
      </c>
      <c r="L63" s="5">
        <f t="shared" si="10"/>
        <v>-27</v>
      </c>
      <c r="M63" s="5"/>
      <c r="N63" s="5"/>
      <c r="O63" s="5">
        <v>50</v>
      </c>
      <c r="P63" s="5">
        <f t="shared" si="3"/>
        <v>10</v>
      </c>
      <c r="Q63" s="4">
        <f>13*P63-O63-F63</f>
        <v>80</v>
      </c>
      <c r="R63" s="4">
        <f t="shared" si="4"/>
        <v>80</v>
      </c>
      <c r="S63" s="41"/>
      <c r="T63" s="5">
        <f t="shared" si="5"/>
        <v>13</v>
      </c>
      <c r="U63" s="5">
        <f t="shared" si="6"/>
        <v>5</v>
      </c>
      <c r="V63" s="5">
        <v>14.2</v>
      </c>
      <c r="W63" s="5">
        <v>4.5999999999999996</v>
      </c>
      <c r="X63" s="5">
        <v>1.6</v>
      </c>
      <c r="Y63" s="5">
        <v>11.4</v>
      </c>
      <c r="Z63" s="5">
        <v>7</v>
      </c>
      <c r="AA63" s="5">
        <v>7.4</v>
      </c>
      <c r="AB63" s="5">
        <v>9.6</v>
      </c>
      <c r="AC63" s="5">
        <v>11.6</v>
      </c>
      <c r="AD63" s="5">
        <v>12.2</v>
      </c>
      <c r="AE63" s="5">
        <v>16</v>
      </c>
      <c r="AF63" s="5"/>
      <c r="AG63" s="5">
        <f t="shared" si="7"/>
        <v>67.2</v>
      </c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</row>
    <row r="64" spans="1:49" x14ac:dyDescent="0.25">
      <c r="A64" s="5" t="s">
        <v>110</v>
      </c>
      <c r="B64" s="5" t="s">
        <v>34</v>
      </c>
      <c r="C64" s="5">
        <v>284</v>
      </c>
      <c r="D64" s="5">
        <v>1112</v>
      </c>
      <c r="E64" s="5">
        <v>411</v>
      </c>
      <c r="F64" s="5">
        <v>766</v>
      </c>
      <c r="G64" s="7">
        <v>0.35</v>
      </c>
      <c r="H64" s="5">
        <v>50</v>
      </c>
      <c r="I64" s="5" t="s">
        <v>35</v>
      </c>
      <c r="J64" s="5"/>
      <c r="K64" s="5">
        <v>412</v>
      </c>
      <c r="L64" s="5">
        <f t="shared" si="10"/>
        <v>-1</v>
      </c>
      <c r="M64" s="5"/>
      <c r="N64" s="5"/>
      <c r="O64" s="5">
        <v>160</v>
      </c>
      <c r="P64" s="5">
        <f t="shared" si="3"/>
        <v>82.2</v>
      </c>
      <c r="Q64" s="4">
        <f t="shared" si="8"/>
        <v>307</v>
      </c>
      <c r="R64" s="4">
        <f t="shared" si="4"/>
        <v>307</v>
      </c>
      <c r="S64" s="41"/>
      <c r="T64" s="5">
        <f t="shared" si="5"/>
        <v>15</v>
      </c>
      <c r="U64" s="5">
        <f t="shared" si="6"/>
        <v>11.265206812652067</v>
      </c>
      <c r="V64" s="5">
        <v>90.6</v>
      </c>
      <c r="W64" s="5">
        <v>105.6</v>
      </c>
      <c r="X64" s="5">
        <v>81.599999999999994</v>
      </c>
      <c r="Y64" s="5">
        <v>96</v>
      </c>
      <c r="Z64" s="5">
        <v>93</v>
      </c>
      <c r="AA64" s="5">
        <v>73.400000000000006</v>
      </c>
      <c r="AB64" s="5">
        <v>90</v>
      </c>
      <c r="AC64" s="5">
        <v>64.8</v>
      </c>
      <c r="AD64" s="5">
        <v>43.8</v>
      </c>
      <c r="AE64" s="5">
        <v>96</v>
      </c>
      <c r="AF64" s="5"/>
      <c r="AG64" s="5">
        <f t="shared" si="7"/>
        <v>107.44999999999999</v>
      </c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</row>
    <row r="65" spans="1:49" x14ac:dyDescent="0.25">
      <c r="A65" s="5" t="s">
        <v>111</v>
      </c>
      <c r="B65" s="5" t="s">
        <v>34</v>
      </c>
      <c r="C65" s="5"/>
      <c r="D65" s="5">
        <v>299</v>
      </c>
      <c r="E65" s="5">
        <v>175</v>
      </c>
      <c r="F65" s="5">
        <v>106</v>
      </c>
      <c r="G65" s="7">
        <v>0.35</v>
      </c>
      <c r="H65" s="5"/>
      <c r="I65" s="5" t="s">
        <v>35</v>
      </c>
      <c r="J65" s="5"/>
      <c r="K65" s="5">
        <v>181</v>
      </c>
      <c r="L65" s="5">
        <f t="shared" si="10"/>
        <v>-6</v>
      </c>
      <c r="M65" s="5"/>
      <c r="N65" s="5"/>
      <c r="O65" s="5">
        <v>100</v>
      </c>
      <c r="P65" s="5">
        <f t="shared" ref="P65:P93" si="11">E65/5</f>
        <v>35</v>
      </c>
      <c r="Q65" s="4">
        <f>14*P65-O65-F65</f>
        <v>284</v>
      </c>
      <c r="R65" s="4">
        <f t="shared" si="4"/>
        <v>284</v>
      </c>
      <c r="S65" s="41"/>
      <c r="T65" s="5">
        <f t="shared" si="5"/>
        <v>14</v>
      </c>
      <c r="U65" s="5">
        <f t="shared" ref="U65:U93" si="12">(F65+O65)/P65</f>
        <v>5.8857142857142861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35" t="s">
        <v>167</v>
      </c>
      <c r="AG65" s="5">
        <f t="shared" si="7"/>
        <v>99.399999999999991</v>
      </c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</row>
    <row r="66" spans="1:49" x14ac:dyDescent="0.25">
      <c r="A66" s="5" t="s">
        <v>112</v>
      </c>
      <c r="B66" s="5" t="s">
        <v>37</v>
      </c>
      <c r="C66" s="5">
        <v>156.67099999999999</v>
      </c>
      <c r="D66" s="5">
        <v>709.25099999999998</v>
      </c>
      <c r="E66" s="5">
        <v>146.95599999999999</v>
      </c>
      <c r="F66" s="5">
        <v>642.87599999999998</v>
      </c>
      <c r="G66" s="7">
        <v>1</v>
      </c>
      <c r="H66" s="5">
        <v>50</v>
      </c>
      <c r="I66" s="5" t="s">
        <v>35</v>
      </c>
      <c r="J66" s="5"/>
      <c r="K66" s="5">
        <v>140.19999999999999</v>
      </c>
      <c r="L66" s="5">
        <f t="shared" si="10"/>
        <v>6.7560000000000002</v>
      </c>
      <c r="M66" s="5"/>
      <c r="N66" s="5"/>
      <c r="O66" s="5">
        <v>0</v>
      </c>
      <c r="P66" s="5">
        <f t="shared" si="11"/>
        <v>29.391199999999998</v>
      </c>
      <c r="Q66" s="4"/>
      <c r="R66" s="4">
        <f t="shared" si="4"/>
        <v>0</v>
      </c>
      <c r="S66" s="41"/>
      <c r="T66" s="5">
        <f t="shared" si="5"/>
        <v>21.873077655897003</v>
      </c>
      <c r="U66" s="5">
        <f t="shared" si="12"/>
        <v>21.873077655897003</v>
      </c>
      <c r="V66" s="5">
        <v>35.189399999999999</v>
      </c>
      <c r="W66" s="5">
        <v>67.367999999999995</v>
      </c>
      <c r="X66" s="5">
        <v>35.150799999999997</v>
      </c>
      <c r="Y66" s="5">
        <v>52.886000000000003</v>
      </c>
      <c r="Z66" s="5">
        <v>31.279</v>
      </c>
      <c r="AA66" s="5">
        <v>28.452000000000002</v>
      </c>
      <c r="AB66" s="5">
        <v>33.644199999999998</v>
      </c>
      <c r="AC66" s="5">
        <v>35.037400000000012</v>
      </c>
      <c r="AD66" s="5">
        <v>33.808399999999999</v>
      </c>
      <c r="AE66" s="5">
        <v>32.193199999999997</v>
      </c>
      <c r="AF66" s="9" t="s">
        <v>101</v>
      </c>
      <c r="AG66" s="5">
        <f t="shared" si="7"/>
        <v>0</v>
      </c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</row>
    <row r="67" spans="1:49" x14ac:dyDescent="0.25">
      <c r="A67" s="5" t="s">
        <v>113</v>
      </c>
      <c r="B67" s="5" t="s">
        <v>37</v>
      </c>
      <c r="C67" s="5">
        <v>52.264000000000003</v>
      </c>
      <c r="D67" s="5">
        <v>752.12099999999998</v>
      </c>
      <c r="E67" s="5">
        <v>133.87299999999999</v>
      </c>
      <c r="F67" s="5">
        <v>613.92100000000005</v>
      </c>
      <c r="G67" s="7">
        <v>1</v>
      </c>
      <c r="H67" s="5">
        <v>50</v>
      </c>
      <c r="I67" s="5" t="s">
        <v>35</v>
      </c>
      <c r="J67" s="5"/>
      <c r="K67" s="5">
        <v>140.69999999999999</v>
      </c>
      <c r="L67" s="5">
        <f t="shared" si="10"/>
        <v>-6.8269999999999982</v>
      </c>
      <c r="M67" s="5"/>
      <c r="N67" s="5"/>
      <c r="O67" s="5">
        <v>112</v>
      </c>
      <c r="P67" s="5">
        <f t="shared" si="11"/>
        <v>26.7746</v>
      </c>
      <c r="Q67" s="4"/>
      <c r="R67" s="4">
        <f t="shared" si="4"/>
        <v>0</v>
      </c>
      <c r="S67" s="41"/>
      <c r="T67" s="5">
        <f t="shared" si="5"/>
        <v>27.112300463872479</v>
      </c>
      <c r="U67" s="5">
        <f t="shared" si="12"/>
        <v>27.112300463872479</v>
      </c>
      <c r="V67" s="5">
        <v>56.224200000000003</v>
      </c>
      <c r="W67" s="5">
        <v>77.818399999999997</v>
      </c>
      <c r="X67" s="5">
        <v>32.770200000000003</v>
      </c>
      <c r="Y67" s="5">
        <v>55.198</v>
      </c>
      <c r="Z67" s="5">
        <v>53.136600000000001</v>
      </c>
      <c r="AA67" s="5">
        <v>30.6296</v>
      </c>
      <c r="AB67" s="5">
        <v>26.934999999999999</v>
      </c>
      <c r="AC67" s="5">
        <v>48.299799999999998</v>
      </c>
      <c r="AD67" s="5">
        <v>57.070000000000007</v>
      </c>
      <c r="AE67" s="5">
        <v>45.7622</v>
      </c>
      <c r="AF67" s="9" t="s">
        <v>101</v>
      </c>
      <c r="AG67" s="5">
        <f t="shared" si="7"/>
        <v>0</v>
      </c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</row>
    <row r="68" spans="1:49" x14ac:dyDescent="0.25">
      <c r="A68" s="5" t="s">
        <v>114</v>
      </c>
      <c r="B68" s="5" t="s">
        <v>34</v>
      </c>
      <c r="C68" s="5">
        <v>63</v>
      </c>
      <c r="D68" s="5">
        <v>633</v>
      </c>
      <c r="E68" s="5">
        <v>200</v>
      </c>
      <c r="F68" s="5">
        <v>409</v>
      </c>
      <c r="G68" s="7">
        <v>0.35</v>
      </c>
      <c r="H68" s="5">
        <v>50</v>
      </c>
      <c r="I68" s="5" t="s">
        <v>35</v>
      </c>
      <c r="J68" s="5"/>
      <c r="K68" s="5">
        <v>211</v>
      </c>
      <c r="L68" s="5">
        <f t="shared" si="10"/>
        <v>-11</v>
      </c>
      <c r="M68" s="5"/>
      <c r="N68" s="5"/>
      <c r="O68" s="5">
        <v>21</v>
      </c>
      <c r="P68" s="5">
        <f t="shared" si="11"/>
        <v>40</v>
      </c>
      <c r="Q68" s="4">
        <f t="shared" si="8"/>
        <v>170</v>
      </c>
      <c r="R68" s="4">
        <f t="shared" si="4"/>
        <v>170</v>
      </c>
      <c r="S68" s="41"/>
      <c r="T68" s="5">
        <f t="shared" si="5"/>
        <v>15</v>
      </c>
      <c r="U68" s="5">
        <f t="shared" si="12"/>
        <v>10.75</v>
      </c>
      <c r="V68" s="5">
        <v>41.8</v>
      </c>
      <c r="W68" s="5">
        <v>65.599999999999994</v>
      </c>
      <c r="X68" s="5">
        <v>34.200000000000003</v>
      </c>
      <c r="Y68" s="5">
        <v>34.4</v>
      </c>
      <c r="Z68" s="5">
        <v>63.8</v>
      </c>
      <c r="AA68" s="5">
        <v>44.2</v>
      </c>
      <c r="AB68" s="5">
        <v>39.200000000000003</v>
      </c>
      <c r="AC68" s="5">
        <v>50.6</v>
      </c>
      <c r="AD68" s="5">
        <v>56.2</v>
      </c>
      <c r="AE68" s="5">
        <v>35.6</v>
      </c>
      <c r="AF68" s="5"/>
      <c r="AG68" s="5">
        <f t="shared" si="7"/>
        <v>59.499999999999993</v>
      </c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</row>
    <row r="69" spans="1:49" x14ac:dyDescent="0.25">
      <c r="A69" s="5" t="s">
        <v>115</v>
      </c>
      <c r="B69" s="5" t="s">
        <v>34</v>
      </c>
      <c r="C69" s="5">
        <v>60</v>
      </c>
      <c r="D69" s="5">
        <v>106</v>
      </c>
      <c r="E69" s="5">
        <v>74</v>
      </c>
      <c r="F69" s="5">
        <v>69</v>
      </c>
      <c r="G69" s="7">
        <v>0.3</v>
      </c>
      <c r="H69" s="5">
        <v>50</v>
      </c>
      <c r="I69" s="5" t="s">
        <v>35</v>
      </c>
      <c r="J69" s="5"/>
      <c r="K69" s="5">
        <v>79</v>
      </c>
      <c r="L69" s="5">
        <f t="shared" si="10"/>
        <v>-5</v>
      </c>
      <c r="M69" s="5"/>
      <c r="N69" s="5"/>
      <c r="O69" s="5">
        <v>71</v>
      </c>
      <c r="P69" s="5">
        <f t="shared" si="11"/>
        <v>14.8</v>
      </c>
      <c r="Q69" s="4">
        <f t="shared" si="8"/>
        <v>82</v>
      </c>
      <c r="R69" s="4">
        <f t="shared" si="4"/>
        <v>82</v>
      </c>
      <c r="S69" s="41"/>
      <c r="T69" s="5">
        <f t="shared" si="5"/>
        <v>15</v>
      </c>
      <c r="U69" s="5">
        <f t="shared" si="12"/>
        <v>9.4594594594594597</v>
      </c>
      <c r="V69" s="5">
        <v>13.2</v>
      </c>
      <c r="W69" s="5">
        <v>13.4</v>
      </c>
      <c r="X69" s="5">
        <v>12.4</v>
      </c>
      <c r="Y69" s="5">
        <v>9</v>
      </c>
      <c r="Z69" s="5">
        <v>14.2</v>
      </c>
      <c r="AA69" s="5">
        <v>17.600000000000001</v>
      </c>
      <c r="AB69" s="5">
        <v>9.6</v>
      </c>
      <c r="AC69" s="5">
        <v>13.8</v>
      </c>
      <c r="AD69" s="5">
        <v>7.4</v>
      </c>
      <c r="AE69" s="5">
        <v>16.8</v>
      </c>
      <c r="AF69" s="5"/>
      <c r="AG69" s="5">
        <f t="shared" si="7"/>
        <v>24.599999999999998</v>
      </c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</row>
    <row r="70" spans="1:49" x14ac:dyDescent="0.25">
      <c r="A70" s="5" t="s">
        <v>116</v>
      </c>
      <c r="B70" s="5" t="s">
        <v>34</v>
      </c>
      <c r="C70" s="5">
        <v>75</v>
      </c>
      <c r="D70" s="5">
        <v>122</v>
      </c>
      <c r="E70" s="5">
        <v>78</v>
      </c>
      <c r="F70" s="5">
        <v>100</v>
      </c>
      <c r="G70" s="7">
        <v>0.3</v>
      </c>
      <c r="H70" s="5">
        <v>60</v>
      </c>
      <c r="I70" s="5" t="s">
        <v>35</v>
      </c>
      <c r="J70" s="5"/>
      <c r="K70" s="5">
        <v>81</v>
      </c>
      <c r="L70" s="5">
        <f t="shared" si="10"/>
        <v>-3</v>
      </c>
      <c r="M70" s="5"/>
      <c r="N70" s="5"/>
      <c r="O70" s="5">
        <v>66</v>
      </c>
      <c r="P70" s="5">
        <f t="shared" si="11"/>
        <v>15.6</v>
      </c>
      <c r="Q70" s="4">
        <f t="shared" si="8"/>
        <v>68</v>
      </c>
      <c r="R70" s="4">
        <f t="shared" si="4"/>
        <v>68</v>
      </c>
      <c r="S70" s="41"/>
      <c r="T70" s="5">
        <f t="shared" si="5"/>
        <v>15</v>
      </c>
      <c r="U70" s="5">
        <f t="shared" si="12"/>
        <v>10.641025641025641</v>
      </c>
      <c r="V70" s="5">
        <v>16.2</v>
      </c>
      <c r="W70" s="5">
        <v>17.2</v>
      </c>
      <c r="X70" s="5">
        <v>16.600000000000001</v>
      </c>
      <c r="Y70" s="5">
        <v>17</v>
      </c>
      <c r="Z70" s="5">
        <v>19.600000000000001</v>
      </c>
      <c r="AA70" s="5">
        <v>15.6</v>
      </c>
      <c r="AB70" s="5">
        <v>14.8</v>
      </c>
      <c r="AC70" s="5">
        <v>13.4</v>
      </c>
      <c r="AD70" s="5">
        <v>6.6</v>
      </c>
      <c r="AE70" s="5">
        <v>13.6</v>
      </c>
      <c r="AF70" s="5"/>
      <c r="AG70" s="5">
        <f t="shared" si="7"/>
        <v>20.399999999999999</v>
      </c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</row>
    <row r="71" spans="1:49" x14ac:dyDescent="0.25">
      <c r="A71" s="5" t="s">
        <v>117</v>
      </c>
      <c r="B71" s="5" t="s">
        <v>34</v>
      </c>
      <c r="C71" s="5">
        <v>176</v>
      </c>
      <c r="D71" s="5">
        <v>155</v>
      </c>
      <c r="E71" s="5">
        <v>121</v>
      </c>
      <c r="F71" s="5">
        <v>186</v>
      </c>
      <c r="G71" s="7">
        <v>0.28000000000000003</v>
      </c>
      <c r="H71" s="5">
        <v>50</v>
      </c>
      <c r="I71" s="5" t="s">
        <v>35</v>
      </c>
      <c r="J71" s="5"/>
      <c r="K71" s="5">
        <v>124</v>
      </c>
      <c r="L71" s="5">
        <f t="shared" si="10"/>
        <v>-3</v>
      </c>
      <c r="M71" s="5"/>
      <c r="N71" s="5"/>
      <c r="O71" s="5">
        <v>113</v>
      </c>
      <c r="P71" s="5">
        <f t="shared" si="11"/>
        <v>24.2</v>
      </c>
      <c r="Q71" s="4">
        <f t="shared" ref="Q71:Q78" si="13">15*P71-O71-F71</f>
        <v>64</v>
      </c>
      <c r="R71" s="4">
        <f t="shared" ref="R71:R103" si="14">ROUND(Q71,0)</f>
        <v>64</v>
      </c>
      <c r="S71" s="41"/>
      <c r="T71" s="5">
        <f t="shared" ref="T71:T103" si="15">(F71+O71+R71)/P71</f>
        <v>15</v>
      </c>
      <c r="U71" s="5">
        <f t="shared" si="12"/>
        <v>12.355371900826446</v>
      </c>
      <c r="V71" s="5">
        <v>27.8</v>
      </c>
      <c r="W71" s="5">
        <v>28.6</v>
      </c>
      <c r="X71" s="5">
        <v>31</v>
      </c>
      <c r="Y71" s="5">
        <v>33.799999999999997</v>
      </c>
      <c r="Z71" s="5">
        <v>38.6</v>
      </c>
      <c r="AA71" s="5">
        <v>27.8</v>
      </c>
      <c r="AB71" s="5">
        <v>31.2</v>
      </c>
      <c r="AC71" s="5">
        <v>27.4</v>
      </c>
      <c r="AD71" s="5">
        <v>42.8</v>
      </c>
      <c r="AE71" s="5">
        <v>29.6</v>
      </c>
      <c r="AF71" s="5"/>
      <c r="AG71" s="5">
        <f t="shared" ref="AG71:AG103" si="16">G71*R71</f>
        <v>17.920000000000002</v>
      </c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</row>
    <row r="72" spans="1:49" x14ac:dyDescent="0.25">
      <c r="A72" s="5" t="s">
        <v>118</v>
      </c>
      <c r="B72" s="5" t="s">
        <v>34</v>
      </c>
      <c r="C72" s="5">
        <v>87</v>
      </c>
      <c r="D72" s="5">
        <v>393</v>
      </c>
      <c r="E72" s="5">
        <v>202</v>
      </c>
      <c r="F72" s="5">
        <v>234</v>
      </c>
      <c r="G72" s="7">
        <v>0.28000000000000003</v>
      </c>
      <c r="H72" s="5">
        <v>45</v>
      </c>
      <c r="I72" s="5" t="s">
        <v>35</v>
      </c>
      <c r="J72" s="5"/>
      <c r="K72" s="5">
        <v>209</v>
      </c>
      <c r="L72" s="5">
        <f t="shared" si="10"/>
        <v>-7</v>
      </c>
      <c r="M72" s="5"/>
      <c r="N72" s="5"/>
      <c r="O72" s="5">
        <v>57</v>
      </c>
      <c r="P72" s="5">
        <f t="shared" si="11"/>
        <v>40.4</v>
      </c>
      <c r="Q72" s="4">
        <f t="shared" si="13"/>
        <v>315</v>
      </c>
      <c r="R72" s="4">
        <f t="shared" si="14"/>
        <v>315</v>
      </c>
      <c r="S72" s="41"/>
      <c r="T72" s="5">
        <f t="shared" si="15"/>
        <v>15</v>
      </c>
      <c r="U72" s="5">
        <f t="shared" si="12"/>
        <v>7.2029702970297036</v>
      </c>
      <c r="V72" s="5">
        <v>33.4</v>
      </c>
      <c r="W72" s="5">
        <v>42.8</v>
      </c>
      <c r="X72" s="5">
        <v>31.2</v>
      </c>
      <c r="Y72" s="5">
        <v>33.6</v>
      </c>
      <c r="Z72" s="5">
        <v>43.8</v>
      </c>
      <c r="AA72" s="5">
        <v>38</v>
      </c>
      <c r="AB72" s="5">
        <v>34.4</v>
      </c>
      <c r="AC72" s="5">
        <v>35.6</v>
      </c>
      <c r="AD72" s="5">
        <v>30.2</v>
      </c>
      <c r="AE72" s="5">
        <v>39.799999999999997</v>
      </c>
      <c r="AF72" s="5"/>
      <c r="AG72" s="5">
        <f t="shared" si="16"/>
        <v>88.2</v>
      </c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</row>
    <row r="73" spans="1:49" x14ac:dyDescent="0.25">
      <c r="A73" s="5" t="s">
        <v>119</v>
      </c>
      <c r="B73" s="5" t="s">
        <v>34</v>
      </c>
      <c r="C73" s="5">
        <v>482</v>
      </c>
      <c r="D73" s="5">
        <v>524</v>
      </c>
      <c r="E73" s="5">
        <v>506</v>
      </c>
      <c r="F73" s="5">
        <v>438</v>
      </c>
      <c r="G73" s="7">
        <v>0.28000000000000003</v>
      </c>
      <c r="H73" s="5">
        <v>45</v>
      </c>
      <c r="I73" s="5" t="s">
        <v>35</v>
      </c>
      <c r="J73" s="5"/>
      <c r="K73" s="5">
        <v>512</v>
      </c>
      <c r="L73" s="5">
        <f t="shared" si="10"/>
        <v>-6</v>
      </c>
      <c r="M73" s="5"/>
      <c r="N73" s="5"/>
      <c r="O73" s="5">
        <v>493</v>
      </c>
      <c r="P73" s="5">
        <f t="shared" si="11"/>
        <v>101.2</v>
      </c>
      <c r="Q73" s="4">
        <f t="shared" si="13"/>
        <v>587</v>
      </c>
      <c r="R73" s="4">
        <f t="shared" si="14"/>
        <v>587</v>
      </c>
      <c r="S73" s="41"/>
      <c r="T73" s="5">
        <f t="shared" si="15"/>
        <v>15</v>
      </c>
      <c r="U73" s="5">
        <f t="shared" si="12"/>
        <v>9.1996047430830039</v>
      </c>
      <c r="V73" s="5">
        <v>97.2</v>
      </c>
      <c r="W73" s="5">
        <v>82.4</v>
      </c>
      <c r="X73" s="5">
        <v>91.8</v>
      </c>
      <c r="Y73" s="5">
        <v>89.8</v>
      </c>
      <c r="Z73" s="5">
        <v>101</v>
      </c>
      <c r="AA73" s="5">
        <v>72.400000000000006</v>
      </c>
      <c r="AB73" s="5">
        <v>66.8</v>
      </c>
      <c r="AC73" s="5">
        <v>49.4</v>
      </c>
      <c r="AD73" s="5">
        <v>83</v>
      </c>
      <c r="AE73" s="5">
        <v>47.2</v>
      </c>
      <c r="AF73" s="5"/>
      <c r="AG73" s="5">
        <f t="shared" si="16"/>
        <v>164.36</v>
      </c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</row>
    <row r="74" spans="1:49" x14ac:dyDescent="0.25">
      <c r="A74" s="5" t="s">
        <v>120</v>
      </c>
      <c r="B74" s="5" t="s">
        <v>34</v>
      </c>
      <c r="C74" s="5">
        <v>185</v>
      </c>
      <c r="D74" s="5">
        <v>294</v>
      </c>
      <c r="E74" s="5">
        <v>162</v>
      </c>
      <c r="F74" s="5">
        <v>215</v>
      </c>
      <c r="G74" s="7">
        <v>0.4</v>
      </c>
      <c r="H74" s="5">
        <v>50</v>
      </c>
      <c r="I74" s="5" t="s">
        <v>35</v>
      </c>
      <c r="J74" s="5"/>
      <c r="K74" s="5">
        <v>165</v>
      </c>
      <c r="L74" s="5">
        <f t="shared" si="10"/>
        <v>-3</v>
      </c>
      <c r="M74" s="5"/>
      <c r="N74" s="5"/>
      <c r="O74" s="5">
        <v>207</v>
      </c>
      <c r="P74" s="5">
        <f t="shared" si="11"/>
        <v>32.4</v>
      </c>
      <c r="Q74" s="4">
        <f t="shared" si="13"/>
        <v>64</v>
      </c>
      <c r="R74" s="4">
        <f t="shared" si="14"/>
        <v>64</v>
      </c>
      <c r="S74" s="41"/>
      <c r="T74" s="5">
        <f t="shared" si="15"/>
        <v>15</v>
      </c>
      <c r="U74" s="5">
        <f t="shared" si="12"/>
        <v>13.024691358024691</v>
      </c>
      <c r="V74" s="5">
        <v>40.200000000000003</v>
      </c>
      <c r="W74" s="5">
        <v>36.200000000000003</v>
      </c>
      <c r="X74" s="5">
        <v>36.799999999999997</v>
      </c>
      <c r="Y74" s="5">
        <v>26.6</v>
      </c>
      <c r="Z74" s="5">
        <v>27.8</v>
      </c>
      <c r="AA74" s="5">
        <v>37.4</v>
      </c>
      <c r="AB74" s="5">
        <v>28.2</v>
      </c>
      <c r="AC74" s="5">
        <v>30.4</v>
      </c>
      <c r="AD74" s="5">
        <v>43.6</v>
      </c>
      <c r="AE74" s="5">
        <v>34.200000000000003</v>
      </c>
      <c r="AF74" s="5"/>
      <c r="AG74" s="5">
        <f t="shared" si="16"/>
        <v>25.6</v>
      </c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</row>
    <row r="75" spans="1:49" x14ac:dyDescent="0.25">
      <c r="A75" s="5" t="s">
        <v>122</v>
      </c>
      <c r="B75" s="5" t="s">
        <v>37</v>
      </c>
      <c r="C75" s="5">
        <v>0.78600000000000003</v>
      </c>
      <c r="D75" s="5">
        <v>152.494</v>
      </c>
      <c r="E75" s="5">
        <v>95.382000000000005</v>
      </c>
      <c r="F75" s="5">
        <v>22.466000000000001</v>
      </c>
      <c r="G75" s="7">
        <v>1</v>
      </c>
      <c r="H75" s="5">
        <v>30</v>
      </c>
      <c r="I75" s="5" t="s">
        <v>35</v>
      </c>
      <c r="J75" s="5"/>
      <c r="K75" s="5">
        <v>98.44</v>
      </c>
      <c r="L75" s="5">
        <f t="shared" si="10"/>
        <v>-3.0579999999999927</v>
      </c>
      <c r="M75" s="5"/>
      <c r="N75" s="5"/>
      <c r="O75" s="5">
        <v>110</v>
      </c>
      <c r="P75" s="5">
        <f t="shared" si="11"/>
        <v>19.0764</v>
      </c>
      <c r="Q75" s="4">
        <f t="shared" si="13"/>
        <v>153.68</v>
      </c>
      <c r="R75" s="4">
        <v>230</v>
      </c>
      <c r="S75" s="41">
        <f>VLOOKUP(A75,[1]Sheet!$A:$R,18,0)</f>
        <v>300</v>
      </c>
      <c r="T75" s="5">
        <f t="shared" si="15"/>
        <v>19.000754859407436</v>
      </c>
      <c r="U75" s="5">
        <f t="shared" si="12"/>
        <v>6.9439726573147977</v>
      </c>
      <c r="V75" s="5">
        <v>11.9458</v>
      </c>
      <c r="W75" s="5">
        <v>14.8004</v>
      </c>
      <c r="X75" s="5">
        <v>8.9665999999999997</v>
      </c>
      <c r="Y75" s="5">
        <v>8.8193999999999999</v>
      </c>
      <c r="Z75" s="5">
        <v>10.5128</v>
      </c>
      <c r="AA75" s="5">
        <v>9.5676000000000005</v>
      </c>
      <c r="AB75" s="5">
        <v>0</v>
      </c>
      <c r="AC75" s="5">
        <v>0</v>
      </c>
      <c r="AD75" s="5">
        <v>0</v>
      </c>
      <c r="AE75" s="5">
        <v>0</v>
      </c>
      <c r="AF75" s="5" t="s">
        <v>98</v>
      </c>
      <c r="AG75" s="5">
        <f t="shared" si="16"/>
        <v>230</v>
      </c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</row>
    <row r="76" spans="1:49" x14ac:dyDescent="0.25">
      <c r="A76" s="5" t="s">
        <v>124</v>
      </c>
      <c r="B76" s="5" t="s">
        <v>34</v>
      </c>
      <c r="C76" s="5">
        <v>69</v>
      </c>
      <c r="D76" s="5">
        <v>281</v>
      </c>
      <c r="E76" s="5">
        <v>119</v>
      </c>
      <c r="F76" s="5">
        <v>208</v>
      </c>
      <c r="G76" s="7">
        <v>0.12</v>
      </c>
      <c r="H76" s="5">
        <v>60</v>
      </c>
      <c r="I76" s="5" t="s">
        <v>35</v>
      </c>
      <c r="J76" s="5"/>
      <c r="K76" s="5">
        <v>125</v>
      </c>
      <c r="L76" s="5">
        <f t="shared" si="10"/>
        <v>-6</v>
      </c>
      <c r="M76" s="5"/>
      <c r="N76" s="5"/>
      <c r="O76" s="5">
        <v>101</v>
      </c>
      <c r="P76" s="5">
        <f t="shared" si="11"/>
        <v>23.8</v>
      </c>
      <c r="Q76" s="4">
        <f t="shared" si="13"/>
        <v>48</v>
      </c>
      <c r="R76" s="4">
        <v>100</v>
      </c>
      <c r="S76" s="41">
        <f>VLOOKUP(A76,[1]Sheet!$A:$R,18,0)</f>
        <v>100</v>
      </c>
      <c r="T76" s="5">
        <f t="shared" si="15"/>
        <v>17.184873949579831</v>
      </c>
      <c r="U76" s="5">
        <f t="shared" si="12"/>
        <v>12.983193277310924</v>
      </c>
      <c r="V76" s="5">
        <v>27.4</v>
      </c>
      <c r="W76" s="5">
        <v>28.2</v>
      </c>
      <c r="X76" s="5">
        <v>22.2</v>
      </c>
      <c r="Y76" s="5">
        <v>25</v>
      </c>
      <c r="Z76" s="5">
        <v>29</v>
      </c>
      <c r="AA76" s="5">
        <v>27.4</v>
      </c>
      <c r="AB76" s="5">
        <v>27</v>
      </c>
      <c r="AC76" s="5">
        <v>17.399999999999999</v>
      </c>
      <c r="AD76" s="5">
        <v>24.4</v>
      </c>
      <c r="AE76" s="5">
        <v>19.2</v>
      </c>
      <c r="AF76" s="5"/>
      <c r="AG76" s="5">
        <f t="shared" si="16"/>
        <v>12</v>
      </c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</row>
    <row r="77" spans="1:49" x14ac:dyDescent="0.25">
      <c r="A77" s="5" t="s">
        <v>125</v>
      </c>
      <c r="B77" s="5" t="s">
        <v>34</v>
      </c>
      <c r="C77" s="5"/>
      <c r="D77" s="5">
        <v>181</v>
      </c>
      <c r="E77" s="5">
        <v>88</v>
      </c>
      <c r="F77" s="5">
        <v>63</v>
      </c>
      <c r="G77" s="7">
        <v>0.33</v>
      </c>
      <c r="H77" s="5">
        <v>30</v>
      </c>
      <c r="I77" s="5" t="s">
        <v>35</v>
      </c>
      <c r="J77" s="5"/>
      <c r="K77" s="5">
        <v>139</v>
      </c>
      <c r="L77" s="5">
        <f t="shared" si="10"/>
        <v>-51</v>
      </c>
      <c r="M77" s="5"/>
      <c r="N77" s="5"/>
      <c r="O77" s="5">
        <v>120</v>
      </c>
      <c r="P77" s="5">
        <f t="shared" si="11"/>
        <v>17.600000000000001</v>
      </c>
      <c r="Q77" s="4">
        <f t="shared" si="13"/>
        <v>81</v>
      </c>
      <c r="R77" s="4">
        <f t="shared" si="14"/>
        <v>81</v>
      </c>
      <c r="S77" s="41"/>
      <c r="T77" s="5">
        <f t="shared" si="15"/>
        <v>14.999999999999998</v>
      </c>
      <c r="U77" s="5">
        <f t="shared" si="12"/>
        <v>10.397727272727272</v>
      </c>
      <c r="V77" s="5">
        <v>15</v>
      </c>
      <c r="W77" s="5">
        <v>17</v>
      </c>
      <c r="X77" s="5">
        <v>9.8000000000000007</v>
      </c>
      <c r="Y77" s="5">
        <v>5</v>
      </c>
      <c r="Z77" s="5">
        <v>13</v>
      </c>
      <c r="AA77" s="5">
        <v>9.4</v>
      </c>
      <c r="AB77" s="5">
        <v>-1</v>
      </c>
      <c r="AC77" s="5">
        <v>-0.8</v>
      </c>
      <c r="AD77" s="5">
        <v>2</v>
      </c>
      <c r="AE77" s="5">
        <v>15.6</v>
      </c>
      <c r="AF77" s="5"/>
      <c r="AG77" s="5">
        <f t="shared" si="16"/>
        <v>26.73</v>
      </c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</row>
    <row r="78" spans="1:49" x14ac:dyDescent="0.25">
      <c r="A78" s="5" t="s">
        <v>126</v>
      </c>
      <c r="B78" s="5" t="s">
        <v>34</v>
      </c>
      <c r="C78" s="5">
        <v>-1</v>
      </c>
      <c r="D78" s="5">
        <v>456</v>
      </c>
      <c r="E78" s="5">
        <v>196</v>
      </c>
      <c r="F78" s="5">
        <v>212</v>
      </c>
      <c r="G78" s="7">
        <v>0.15</v>
      </c>
      <c r="H78" s="5">
        <v>60</v>
      </c>
      <c r="I78" s="5" t="s">
        <v>35</v>
      </c>
      <c r="J78" s="5"/>
      <c r="K78" s="5">
        <v>219</v>
      </c>
      <c r="L78" s="5">
        <f t="shared" si="10"/>
        <v>-23</v>
      </c>
      <c r="M78" s="5"/>
      <c r="N78" s="5"/>
      <c r="O78" s="5">
        <v>250</v>
      </c>
      <c r="P78" s="5">
        <f t="shared" si="11"/>
        <v>39.200000000000003</v>
      </c>
      <c r="Q78" s="4">
        <f t="shared" si="13"/>
        <v>126</v>
      </c>
      <c r="R78" s="4">
        <v>250</v>
      </c>
      <c r="S78" s="41">
        <f>VLOOKUP(A78,[1]Sheet!$A:$R,18,0)</f>
        <v>250</v>
      </c>
      <c r="T78" s="5">
        <f t="shared" si="15"/>
        <v>18.163265306122447</v>
      </c>
      <c r="U78" s="5">
        <f t="shared" si="12"/>
        <v>11.785714285714285</v>
      </c>
      <c r="V78" s="5">
        <v>18</v>
      </c>
      <c r="W78" s="5">
        <v>47.4</v>
      </c>
      <c r="X78" s="5">
        <v>0</v>
      </c>
      <c r="Y78" s="5">
        <v>0</v>
      </c>
      <c r="Z78" s="5">
        <v>0</v>
      </c>
      <c r="AA78" s="5">
        <v>0</v>
      </c>
      <c r="AB78" s="5">
        <v>0</v>
      </c>
      <c r="AC78" s="5">
        <v>0</v>
      </c>
      <c r="AD78" s="5">
        <v>0</v>
      </c>
      <c r="AE78" s="5">
        <v>0</v>
      </c>
      <c r="AF78" s="5" t="s">
        <v>98</v>
      </c>
      <c r="AG78" s="5">
        <f t="shared" si="16"/>
        <v>37.5</v>
      </c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</row>
    <row r="79" spans="1:49" x14ac:dyDescent="0.25">
      <c r="A79" s="10" t="s">
        <v>128</v>
      </c>
      <c r="B79" s="10" t="s">
        <v>34</v>
      </c>
      <c r="C79" s="10"/>
      <c r="D79" s="10"/>
      <c r="E79" s="10"/>
      <c r="F79" s="10"/>
      <c r="G79" s="11">
        <v>0</v>
      </c>
      <c r="H79" s="10">
        <v>45</v>
      </c>
      <c r="I79" s="10" t="s">
        <v>35</v>
      </c>
      <c r="J79" s="10"/>
      <c r="K79" s="10"/>
      <c r="L79" s="10">
        <f t="shared" si="10"/>
        <v>0</v>
      </c>
      <c r="M79" s="10"/>
      <c r="N79" s="10"/>
      <c r="O79" s="10">
        <v>0</v>
      </c>
      <c r="P79" s="10">
        <f t="shared" si="11"/>
        <v>0</v>
      </c>
      <c r="Q79" s="12"/>
      <c r="R79" s="4">
        <f t="shared" si="14"/>
        <v>0</v>
      </c>
      <c r="S79" s="41"/>
      <c r="T79" s="5" t="e">
        <f t="shared" si="15"/>
        <v>#DIV/0!</v>
      </c>
      <c r="U79" s="10" t="e">
        <f t="shared" si="12"/>
        <v>#DIV/0!</v>
      </c>
      <c r="V79" s="10">
        <v>0</v>
      </c>
      <c r="W79" s="10">
        <v>0</v>
      </c>
      <c r="X79" s="10">
        <v>0</v>
      </c>
      <c r="Y79" s="10">
        <v>0</v>
      </c>
      <c r="Z79" s="10">
        <v>0</v>
      </c>
      <c r="AA79" s="10">
        <v>0</v>
      </c>
      <c r="AB79" s="10">
        <v>0</v>
      </c>
      <c r="AC79" s="10">
        <v>0</v>
      </c>
      <c r="AD79" s="10">
        <v>0</v>
      </c>
      <c r="AE79" s="10">
        <v>0</v>
      </c>
      <c r="AF79" s="10" t="s">
        <v>69</v>
      </c>
      <c r="AG79" s="5">
        <f t="shared" si="16"/>
        <v>0</v>
      </c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</row>
    <row r="80" spans="1:49" x14ac:dyDescent="0.25">
      <c r="A80" s="10" t="s">
        <v>129</v>
      </c>
      <c r="B80" s="10" t="s">
        <v>34</v>
      </c>
      <c r="C80" s="10"/>
      <c r="D80" s="10"/>
      <c r="E80" s="10"/>
      <c r="F80" s="10"/>
      <c r="G80" s="11">
        <v>0</v>
      </c>
      <c r="H80" s="10">
        <v>45</v>
      </c>
      <c r="I80" s="10" t="s">
        <v>35</v>
      </c>
      <c r="J80" s="10"/>
      <c r="K80" s="10"/>
      <c r="L80" s="10">
        <f t="shared" si="10"/>
        <v>0</v>
      </c>
      <c r="M80" s="10"/>
      <c r="N80" s="10"/>
      <c r="O80" s="10">
        <v>0</v>
      </c>
      <c r="P80" s="10">
        <f t="shared" si="11"/>
        <v>0</v>
      </c>
      <c r="Q80" s="12"/>
      <c r="R80" s="4">
        <f t="shared" si="14"/>
        <v>0</v>
      </c>
      <c r="S80" s="41"/>
      <c r="T80" s="5" t="e">
        <f t="shared" si="15"/>
        <v>#DIV/0!</v>
      </c>
      <c r="U80" s="10" t="e">
        <f t="shared" si="12"/>
        <v>#DIV/0!</v>
      </c>
      <c r="V80" s="10">
        <v>0</v>
      </c>
      <c r="W80" s="10">
        <v>0</v>
      </c>
      <c r="X80" s="10">
        <v>0</v>
      </c>
      <c r="Y80" s="10">
        <v>0</v>
      </c>
      <c r="Z80" s="10">
        <v>0</v>
      </c>
      <c r="AA80" s="10">
        <v>0</v>
      </c>
      <c r="AB80" s="10">
        <v>0</v>
      </c>
      <c r="AC80" s="10">
        <v>0</v>
      </c>
      <c r="AD80" s="10">
        <v>0</v>
      </c>
      <c r="AE80" s="10">
        <v>0</v>
      </c>
      <c r="AF80" s="10" t="s">
        <v>69</v>
      </c>
      <c r="AG80" s="5">
        <f t="shared" si="16"/>
        <v>0</v>
      </c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</row>
    <row r="81" spans="1:49" x14ac:dyDescent="0.25">
      <c r="A81" s="5" t="s">
        <v>130</v>
      </c>
      <c r="B81" s="5" t="s">
        <v>34</v>
      </c>
      <c r="C81" s="5">
        <v>200</v>
      </c>
      <c r="D81" s="5">
        <v>134</v>
      </c>
      <c r="E81" s="5">
        <v>139</v>
      </c>
      <c r="F81" s="5">
        <v>145</v>
      </c>
      <c r="G81" s="7">
        <v>0.4</v>
      </c>
      <c r="H81" s="5">
        <v>60</v>
      </c>
      <c r="I81" s="5" t="s">
        <v>35</v>
      </c>
      <c r="J81" s="5"/>
      <c r="K81" s="5">
        <v>126</v>
      </c>
      <c r="L81" s="5">
        <f t="shared" si="10"/>
        <v>13</v>
      </c>
      <c r="M81" s="5"/>
      <c r="N81" s="5"/>
      <c r="O81" s="5">
        <v>87</v>
      </c>
      <c r="P81" s="5">
        <f t="shared" si="11"/>
        <v>27.8</v>
      </c>
      <c r="Q81" s="4">
        <f>15*P81-O81-F81</f>
        <v>185</v>
      </c>
      <c r="R81" s="4">
        <f t="shared" si="14"/>
        <v>185</v>
      </c>
      <c r="S81" s="41"/>
      <c r="T81" s="5">
        <f t="shared" si="15"/>
        <v>15</v>
      </c>
      <c r="U81" s="5">
        <f t="shared" si="12"/>
        <v>8.3453237410071939</v>
      </c>
      <c r="V81" s="5">
        <v>25.6</v>
      </c>
      <c r="W81" s="5">
        <v>19.8</v>
      </c>
      <c r="X81" s="5">
        <v>28.6</v>
      </c>
      <c r="Y81" s="5">
        <v>18.600000000000001</v>
      </c>
      <c r="Z81" s="5">
        <v>18.8</v>
      </c>
      <c r="AA81" s="5">
        <v>19.600000000000001</v>
      </c>
      <c r="AB81" s="5">
        <v>23.8</v>
      </c>
      <c r="AC81" s="5">
        <v>19.399999999999999</v>
      </c>
      <c r="AD81" s="5">
        <v>2.4</v>
      </c>
      <c r="AE81" s="5">
        <v>16.8</v>
      </c>
      <c r="AF81" s="5" t="s">
        <v>45</v>
      </c>
      <c r="AG81" s="5">
        <f t="shared" si="16"/>
        <v>74</v>
      </c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</row>
    <row r="82" spans="1:49" x14ac:dyDescent="0.25">
      <c r="A82" s="10" t="s">
        <v>131</v>
      </c>
      <c r="B82" s="10" t="s">
        <v>34</v>
      </c>
      <c r="C82" s="10">
        <v>8</v>
      </c>
      <c r="D82" s="10"/>
      <c r="E82" s="10">
        <v>2</v>
      </c>
      <c r="F82" s="10">
        <v>6</v>
      </c>
      <c r="G82" s="11">
        <v>0</v>
      </c>
      <c r="H82" s="10">
        <v>60</v>
      </c>
      <c r="I82" s="10" t="s">
        <v>35</v>
      </c>
      <c r="J82" s="10"/>
      <c r="K82" s="10">
        <v>2</v>
      </c>
      <c r="L82" s="10">
        <f t="shared" si="10"/>
        <v>0</v>
      </c>
      <c r="M82" s="10"/>
      <c r="N82" s="10"/>
      <c r="O82" s="10">
        <v>0</v>
      </c>
      <c r="P82" s="10">
        <f t="shared" si="11"/>
        <v>0.4</v>
      </c>
      <c r="Q82" s="12"/>
      <c r="R82" s="4">
        <f t="shared" si="14"/>
        <v>0</v>
      </c>
      <c r="S82" s="41"/>
      <c r="T82" s="5">
        <f t="shared" si="15"/>
        <v>15</v>
      </c>
      <c r="U82" s="10">
        <f t="shared" si="12"/>
        <v>15</v>
      </c>
      <c r="V82" s="10">
        <v>1.6</v>
      </c>
      <c r="W82" s="10">
        <v>2.4</v>
      </c>
      <c r="X82" s="10">
        <v>2.8</v>
      </c>
      <c r="Y82" s="10">
        <v>2</v>
      </c>
      <c r="Z82" s="10">
        <v>3.8</v>
      </c>
      <c r="AA82" s="10">
        <v>4.2</v>
      </c>
      <c r="AB82" s="10">
        <v>8.6</v>
      </c>
      <c r="AC82" s="10">
        <v>8.8000000000000007</v>
      </c>
      <c r="AD82" s="10">
        <v>3.8</v>
      </c>
      <c r="AE82" s="10">
        <v>3</v>
      </c>
      <c r="AF82" s="10" t="s">
        <v>69</v>
      </c>
      <c r="AG82" s="5">
        <f t="shared" si="16"/>
        <v>0</v>
      </c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</row>
    <row r="83" spans="1:49" x14ac:dyDescent="0.25">
      <c r="A83" s="10" t="s">
        <v>132</v>
      </c>
      <c r="B83" s="10" t="s">
        <v>37</v>
      </c>
      <c r="C83" s="10"/>
      <c r="D83" s="10"/>
      <c r="E83" s="10"/>
      <c r="F83" s="10"/>
      <c r="G83" s="11">
        <v>0</v>
      </c>
      <c r="H83" s="10">
        <v>45</v>
      </c>
      <c r="I83" s="10" t="s">
        <v>35</v>
      </c>
      <c r="J83" s="10"/>
      <c r="K83" s="10"/>
      <c r="L83" s="10">
        <f t="shared" si="10"/>
        <v>0</v>
      </c>
      <c r="M83" s="10"/>
      <c r="N83" s="10"/>
      <c r="O83" s="10">
        <v>0</v>
      </c>
      <c r="P83" s="10">
        <f t="shared" si="11"/>
        <v>0</v>
      </c>
      <c r="Q83" s="12"/>
      <c r="R83" s="4">
        <f t="shared" si="14"/>
        <v>0</v>
      </c>
      <c r="S83" s="41"/>
      <c r="T83" s="5" t="e">
        <f t="shared" si="15"/>
        <v>#DIV/0!</v>
      </c>
      <c r="U83" s="10" t="e">
        <f t="shared" si="12"/>
        <v>#DIV/0!</v>
      </c>
      <c r="V83" s="10">
        <v>0</v>
      </c>
      <c r="W83" s="10">
        <v>0</v>
      </c>
      <c r="X83" s="10">
        <v>0</v>
      </c>
      <c r="Y83" s="10">
        <v>0</v>
      </c>
      <c r="Z83" s="10">
        <v>0</v>
      </c>
      <c r="AA83" s="10">
        <v>0</v>
      </c>
      <c r="AB83" s="10">
        <v>0</v>
      </c>
      <c r="AC83" s="10">
        <v>0</v>
      </c>
      <c r="AD83" s="10">
        <v>0</v>
      </c>
      <c r="AE83" s="10">
        <v>0</v>
      </c>
      <c r="AF83" s="10" t="s">
        <v>69</v>
      </c>
      <c r="AG83" s="5">
        <f t="shared" si="16"/>
        <v>0</v>
      </c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</row>
    <row r="84" spans="1:49" x14ac:dyDescent="0.25">
      <c r="A84" s="10" t="s">
        <v>133</v>
      </c>
      <c r="B84" s="10" t="s">
        <v>37</v>
      </c>
      <c r="C84" s="10"/>
      <c r="D84" s="10"/>
      <c r="E84" s="10"/>
      <c r="F84" s="10"/>
      <c r="G84" s="11">
        <v>0</v>
      </c>
      <c r="H84" s="10"/>
      <c r="I84" s="10" t="s">
        <v>35</v>
      </c>
      <c r="J84" s="10"/>
      <c r="K84" s="10"/>
      <c r="L84" s="10">
        <f t="shared" si="10"/>
        <v>0</v>
      </c>
      <c r="M84" s="10"/>
      <c r="N84" s="10"/>
      <c r="O84" s="10">
        <v>0</v>
      </c>
      <c r="P84" s="10">
        <f t="shared" si="11"/>
        <v>0</v>
      </c>
      <c r="Q84" s="12"/>
      <c r="R84" s="4">
        <f t="shared" si="14"/>
        <v>0</v>
      </c>
      <c r="S84" s="41"/>
      <c r="T84" s="5" t="e">
        <f t="shared" si="15"/>
        <v>#DIV/0!</v>
      </c>
      <c r="U84" s="10" t="e">
        <f t="shared" si="12"/>
        <v>#DIV/0!</v>
      </c>
      <c r="V84" s="10">
        <v>0</v>
      </c>
      <c r="W84" s="10">
        <v>0</v>
      </c>
      <c r="X84" s="10">
        <v>0</v>
      </c>
      <c r="Y84" s="10">
        <v>0</v>
      </c>
      <c r="Z84" s="10">
        <v>0</v>
      </c>
      <c r="AA84" s="10">
        <v>0</v>
      </c>
      <c r="AB84" s="10">
        <v>0</v>
      </c>
      <c r="AC84" s="10">
        <v>0</v>
      </c>
      <c r="AD84" s="10">
        <v>0</v>
      </c>
      <c r="AE84" s="10">
        <v>0</v>
      </c>
      <c r="AF84" s="10" t="s">
        <v>69</v>
      </c>
      <c r="AG84" s="5">
        <f t="shared" si="16"/>
        <v>0</v>
      </c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</row>
    <row r="85" spans="1:49" x14ac:dyDescent="0.25">
      <c r="A85" s="5" t="s">
        <v>134</v>
      </c>
      <c r="B85" s="5" t="s">
        <v>34</v>
      </c>
      <c r="C85" s="5">
        <v>18</v>
      </c>
      <c r="D85" s="5">
        <v>202</v>
      </c>
      <c r="E85" s="5">
        <v>52</v>
      </c>
      <c r="F85" s="5">
        <v>130</v>
      </c>
      <c r="G85" s="7">
        <v>0.33</v>
      </c>
      <c r="H85" s="5">
        <v>45</v>
      </c>
      <c r="I85" s="5" t="s">
        <v>35</v>
      </c>
      <c r="J85" s="5"/>
      <c r="K85" s="5">
        <v>52</v>
      </c>
      <c r="L85" s="5">
        <f t="shared" si="10"/>
        <v>0</v>
      </c>
      <c r="M85" s="5"/>
      <c r="N85" s="5"/>
      <c r="O85" s="5">
        <v>117</v>
      </c>
      <c r="P85" s="5">
        <f t="shared" si="11"/>
        <v>10.4</v>
      </c>
      <c r="Q85" s="4"/>
      <c r="R85" s="4">
        <f t="shared" si="14"/>
        <v>0</v>
      </c>
      <c r="S85" s="41"/>
      <c r="T85" s="5">
        <f t="shared" si="15"/>
        <v>23.75</v>
      </c>
      <c r="U85" s="5">
        <f t="shared" si="12"/>
        <v>23.75</v>
      </c>
      <c r="V85" s="5">
        <v>19.8</v>
      </c>
      <c r="W85" s="5">
        <v>18</v>
      </c>
      <c r="X85" s="5">
        <v>14.6</v>
      </c>
      <c r="Y85" s="5">
        <v>12</v>
      </c>
      <c r="Z85" s="5">
        <v>15.6</v>
      </c>
      <c r="AA85" s="5">
        <v>10.8</v>
      </c>
      <c r="AB85" s="5">
        <v>2</v>
      </c>
      <c r="AC85" s="5">
        <v>12</v>
      </c>
      <c r="AD85" s="5">
        <v>3.4</v>
      </c>
      <c r="AE85" s="5">
        <v>1.6</v>
      </c>
      <c r="AF85" s="9" t="s">
        <v>101</v>
      </c>
      <c r="AG85" s="5">
        <f t="shared" si="16"/>
        <v>0</v>
      </c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</row>
    <row r="86" spans="1:49" x14ac:dyDescent="0.25">
      <c r="A86" s="10" t="s">
        <v>135</v>
      </c>
      <c r="B86" s="10" t="s">
        <v>34</v>
      </c>
      <c r="C86" s="10">
        <v>5</v>
      </c>
      <c r="D86" s="10">
        <v>13</v>
      </c>
      <c r="E86" s="10">
        <v>15</v>
      </c>
      <c r="F86" s="10"/>
      <c r="G86" s="11">
        <v>0</v>
      </c>
      <c r="H86" s="10">
        <v>45</v>
      </c>
      <c r="I86" s="30" t="s">
        <v>127</v>
      </c>
      <c r="J86" s="10"/>
      <c r="K86" s="10">
        <v>37</v>
      </c>
      <c r="L86" s="10">
        <f t="shared" si="10"/>
        <v>-22</v>
      </c>
      <c r="M86" s="10"/>
      <c r="N86" s="10"/>
      <c r="O86" s="10">
        <v>0</v>
      </c>
      <c r="P86" s="10">
        <f t="shared" si="11"/>
        <v>3</v>
      </c>
      <c r="Q86" s="12"/>
      <c r="R86" s="4">
        <f t="shared" si="14"/>
        <v>0</v>
      </c>
      <c r="S86" s="41"/>
      <c r="T86" s="5">
        <f t="shared" si="15"/>
        <v>0</v>
      </c>
      <c r="U86" s="10">
        <f t="shared" si="12"/>
        <v>0</v>
      </c>
      <c r="V86" s="10">
        <v>5.2</v>
      </c>
      <c r="W86" s="10">
        <v>3.2</v>
      </c>
      <c r="X86" s="10">
        <v>3.6</v>
      </c>
      <c r="Y86" s="10">
        <v>0.4</v>
      </c>
      <c r="Z86" s="10">
        <v>3.4</v>
      </c>
      <c r="AA86" s="10">
        <v>7.2</v>
      </c>
      <c r="AB86" s="10">
        <v>0</v>
      </c>
      <c r="AC86" s="10">
        <v>0</v>
      </c>
      <c r="AD86" s="10">
        <v>0</v>
      </c>
      <c r="AE86" s="10">
        <v>0</v>
      </c>
      <c r="AF86" s="10" t="s">
        <v>136</v>
      </c>
      <c r="AG86" s="5">
        <f t="shared" si="16"/>
        <v>0</v>
      </c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</row>
    <row r="87" spans="1:49" x14ac:dyDescent="0.25">
      <c r="A87" s="10" t="s">
        <v>121</v>
      </c>
      <c r="B87" s="10" t="s">
        <v>34</v>
      </c>
      <c r="C87" s="10">
        <v>69</v>
      </c>
      <c r="D87" s="10"/>
      <c r="E87" s="10">
        <v>24</v>
      </c>
      <c r="F87" s="10">
        <v>42</v>
      </c>
      <c r="G87" s="11">
        <v>0</v>
      </c>
      <c r="H87" s="10">
        <v>60</v>
      </c>
      <c r="I87" s="30" t="s">
        <v>127</v>
      </c>
      <c r="J87" s="10"/>
      <c r="K87" s="10">
        <v>24</v>
      </c>
      <c r="L87" s="10">
        <f t="shared" si="10"/>
        <v>0</v>
      </c>
      <c r="M87" s="10"/>
      <c r="N87" s="10"/>
      <c r="O87" s="10">
        <v>52</v>
      </c>
      <c r="P87" s="10">
        <f t="shared" si="11"/>
        <v>4.8</v>
      </c>
      <c r="Q87" s="12"/>
      <c r="R87" s="4">
        <f t="shared" si="14"/>
        <v>0</v>
      </c>
      <c r="S87" s="41"/>
      <c r="T87" s="5">
        <f t="shared" si="15"/>
        <v>19.583333333333336</v>
      </c>
      <c r="U87" s="10">
        <f t="shared" si="12"/>
        <v>19.583333333333336</v>
      </c>
      <c r="V87" s="10">
        <v>7.4</v>
      </c>
      <c r="W87" s="10">
        <v>1.4</v>
      </c>
      <c r="X87" s="10">
        <v>8.4</v>
      </c>
      <c r="Y87" s="10">
        <v>3.6</v>
      </c>
      <c r="Z87" s="10">
        <v>6.4</v>
      </c>
      <c r="AA87" s="10">
        <v>6.4</v>
      </c>
      <c r="AB87" s="10">
        <v>5.2</v>
      </c>
      <c r="AC87" s="10">
        <v>0</v>
      </c>
      <c r="AD87" s="10">
        <v>0</v>
      </c>
      <c r="AE87" s="10">
        <v>0</v>
      </c>
      <c r="AF87" s="10" t="s">
        <v>137</v>
      </c>
      <c r="AG87" s="5">
        <f t="shared" si="16"/>
        <v>0</v>
      </c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</row>
    <row r="88" spans="1:49" x14ac:dyDescent="0.25">
      <c r="A88" s="5" t="s">
        <v>53</v>
      </c>
      <c r="B88" s="5" t="s">
        <v>34</v>
      </c>
      <c r="C88" s="5">
        <v>273</v>
      </c>
      <c r="D88" s="5">
        <v>452</v>
      </c>
      <c r="E88" s="5">
        <v>228</v>
      </c>
      <c r="F88" s="5">
        <v>481</v>
      </c>
      <c r="G88" s="7">
        <v>0.1</v>
      </c>
      <c r="H88" s="5">
        <v>60</v>
      </c>
      <c r="I88" s="5" t="s">
        <v>35</v>
      </c>
      <c r="J88" s="5"/>
      <c r="K88" s="5">
        <v>233</v>
      </c>
      <c r="L88" s="5">
        <f t="shared" si="10"/>
        <v>-5</v>
      </c>
      <c r="M88" s="5"/>
      <c r="N88" s="5"/>
      <c r="O88" s="5">
        <v>0</v>
      </c>
      <c r="P88" s="5">
        <f t="shared" si="11"/>
        <v>45.6</v>
      </c>
      <c r="Q88" s="4">
        <f t="shared" ref="Q88:Q92" si="17">15*P88-O88-F88</f>
        <v>203</v>
      </c>
      <c r="R88" s="4">
        <f t="shared" si="14"/>
        <v>203</v>
      </c>
      <c r="S88" s="41"/>
      <c r="T88" s="5">
        <f t="shared" si="15"/>
        <v>15</v>
      </c>
      <c r="U88" s="5">
        <f t="shared" si="12"/>
        <v>10.548245614035087</v>
      </c>
      <c r="V88" s="5">
        <v>34.799999999999997</v>
      </c>
      <c r="W88" s="5">
        <v>53.8</v>
      </c>
      <c r="X88" s="5">
        <v>47</v>
      </c>
      <c r="Y88" s="5">
        <v>28.2</v>
      </c>
      <c r="Z88" s="5">
        <v>64</v>
      </c>
      <c r="AA88" s="5">
        <v>40.200000000000003</v>
      </c>
      <c r="AB88" s="5">
        <v>0</v>
      </c>
      <c r="AC88" s="5">
        <v>0</v>
      </c>
      <c r="AD88" s="5">
        <v>0</v>
      </c>
      <c r="AE88" s="5">
        <v>0</v>
      </c>
      <c r="AF88" s="5" t="s">
        <v>138</v>
      </c>
      <c r="AG88" s="5">
        <f t="shared" si="16"/>
        <v>20.3</v>
      </c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</row>
    <row r="89" spans="1:49" x14ac:dyDescent="0.25">
      <c r="A89" s="5" t="s">
        <v>70</v>
      </c>
      <c r="B89" s="5" t="s">
        <v>34</v>
      </c>
      <c r="C89" s="5">
        <v>681</v>
      </c>
      <c r="D89" s="5">
        <v>249</v>
      </c>
      <c r="E89" s="5">
        <v>371</v>
      </c>
      <c r="F89" s="5">
        <v>423</v>
      </c>
      <c r="G89" s="7">
        <v>0.1</v>
      </c>
      <c r="H89" s="5">
        <v>60</v>
      </c>
      <c r="I89" s="5" t="s">
        <v>35</v>
      </c>
      <c r="J89" s="5"/>
      <c r="K89" s="5">
        <v>359</v>
      </c>
      <c r="L89" s="5">
        <f t="shared" si="10"/>
        <v>12</v>
      </c>
      <c r="M89" s="5"/>
      <c r="N89" s="5"/>
      <c r="O89" s="5">
        <v>0</v>
      </c>
      <c r="P89" s="5">
        <f t="shared" si="11"/>
        <v>74.2</v>
      </c>
      <c r="Q89" s="4">
        <f>14*P89-O89-F89</f>
        <v>615.79999999999995</v>
      </c>
      <c r="R89" s="4">
        <f t="shared" si="14"/>
        <v>616</v>
      </c>
      <c r="S89" s="41"/>
      <c r="T89" s="5">
        <f t="shared" si="15"/>
        <v>14.002695417789758</v>
      </c>
      <c r="U89" s="5">
        <f t="shared" si="12"/>
        <v>5.7008086253369274</v>
      </c>
      <c r="V89" s="5">
        <v>30.6</v>
      </c>
      <c r="W89" s="5">
        <v>63.6</v>
      </c>
      <c r="X89" s="5">
        <v>73.599999999999994</v>
      </c>
      <c r="Y89" s="5">
        <v>36.200000000000003</v>
      </c>
      <c r="Z89" s="5">
        <v>50</v>
      </c>
      <c r="AA89" s="5">
        <v>47.8</v>
      </c>
      <c r="AB89" s="5">
        <v>36</v>
      </c>
      <c r="AC89" s="5">
        <v>0</v>
      </c>
      <c r="AD89" s="5">
        <v>0</v>
      </c>
      <c r="AE89" s="5">
        <v>0</v>
      </c>
      <c r="AF89" s="5" t="s">
        <v>139</v>
      </c>
      <c r="AG89" s="5">
        <f t="shared" si="16"/>
        <v>61.6</v>
      </c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</row>
    <row r="90" spans="1:49" x14ac:dyDescent="0.25">
      <c r="A90" s="5" t="s">
        <v>67</v>
      </c>
      <c r="B90" s="5" t="s">
        <v>34</v>
      </c>
      <c r="C90" s="5">
        <v>315</v>
      </c>
      <c r="D90" s="5">
        <v>258</v>
      </c>
      <c r="E90" s="5">
        <v>142</v>
      </c>
      <c r="F90" s="5">
        <v>301</v>
      </c>
      <c r="G90" s="7">
        <v>0.4</v>
      </c>
      <c r="H90" s="5">
        <v>60</v>
      </c>
      <c r="I90" s="5" t="s">
        <v>35</v>
      </c>
      <c r="J90" s="5"/>
      <c r="K90" s="5">
        <v>138</v>
      </c>
      <c r="L90" s="5">
        <f t="shared" ref="L90:L93" si="18">E90-K90</f>
        <v>4</v>
      </c>
      <c r="M90" s="5"/>
      <c r="N90" s="5"/>
      <c r="O90" s="5">
        <v>16</v>
      </c>
      <c r="P90" s="5">
        <f t="shared" si="11"/>
        <v>28.4</v>
      </c>
      <c r="Q90" s="4">
        <f t="shared" si="17"/>
        <v>109</v>
      </c>
      <c r="R90" s="4">
        <v>200</v>
      </c>
      <c r="S90" s="41">
        <f>VLOOKUP(A90,[1]Sheet!$A:$R,18,0)</f>
        <v>200</v>
      </c>
      <c r="T90" s="5">
        <f t="shared" si="15"/>
        <v>18.204225352112676</v>
      </c>
      <c r="U90" s="5">
        <f t="shared" si="12"/>
        <v>11.161971830985916</v>
      </c>
      <c r="V90" s="5">
        <v>30.2</v>
      </c>
      <c r="W90" s="5">
        <v>28.8</v>
      </c>
      <c r="X90" s="5">
        <v>34.4</v>
      </c>
      <c r="Y90" s="5">
        <v>19.8</v>
      </c>
      <c r="Z90" s="5">
        <v>30</v>
      </c>
      <c r="AA90" s="5">
        <v>20.8</v>
      </c>
      <c r="AB90" s="5">
        <v>25.2</v>
      </c>
      <c r="AC90" s="5">
        <v>0</v>
      </c>
      <c r="AD90" s="5">
        <v>0</v>
      </c>
      <c r="AE90" s="5">
        <v>0</v>
      </c>
      <c r="AF90" s="5" t="s">
        <v>172</v>
      </c>
      <c r="AG90" s="5">
        <f t="shared" si="16"/>
        <v>80</v>
      </c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</row>
    <row r="91" spans="1:49" x14ac:dyDescent="0.25">
      <c r="A91" s="5" t="s">
        <v>140</v>
      </c>
      <c r="B91" s="5" t="s">
        <v>34</v>
      </c>
      <c r="C91" s="5">
        <v>135</v>
      </c>
      <c r="D91" s="5">
        <v>83</v>
      </c>
      <c r="E91" s="5">
        <v>92</v>
      </c>
      <c r="F91" s="5">
        <v>104</v>
      </c>
      <c r="G91" s="7">
        <v>0.1</v>
      </c>
      <c r="H91" s="5"/>
      <c r="I91" s="5" t="s">
        <v>35</v>
      </c>
      <c r="J91" s="5"/>
      <c r="K91" s="5">
        <v>107</v>
      </c>
      <c r="L91" s="5">
        <f t="shared" si="18"/>
        <v>-15</v>
      </c>
      <c r="M91" s="5"/>
      <c r="N91" s="5"/>
      <c r="O91" s="5">
        <v>14</v>
      </c>
      <c r="P91" s="5">
        <f t="shared" si="11"/>
        <v>18.399999999999999</v>
      </c>
      <c r="Q91" s="4">
        <f>14*P91-O91-F91</f>
        <v>139.59999999999997</v>
      </c>
      <c r="R91" s="4">
        <f t="shared" si="14"/>
        <v>140</v>
      </c>
      <c r="S91" s="41"/>
      <c r="T91" s="5">
        <f t="shared" si="15"/>
        <v>14.021739130434783</v>
      </c>
      <c r="U91" s="5">
        <f t="shared" si="12"/>
        <v>6.4130434782608701</v>
      </c>
      <c r="V91" s="5">
        <v>14.6</v>
      </c>
      <c r="W91" s="5">
        <v>15.4</v>
      </c>
      <c r="X91" s="5">
        <v>8.4</v>
      </c>
      <c r="Y91" s="5">
        <v>10.8</v>
      </c>
      <c r="Z91" s="5">
        <v>0</v>
      </c>
      <c r="AA91" s="5">
        <v>0</v>
      </c>
      <c r="AB91" s="5">
        <v>0</v>
      </c>
      <c r="AC91" s="5">
        <v>0</v>
      </c>
      <c r="AD91" s="5">
        <v>0</v>
      </c>
      <c r="AE91" s="5">
        <v>0</v>
      </c>
      <c r="AF91" s="5" t="s">
        <v>98</v>
      </c>
      <c r="AG91" s="5">
        <f t="shared" si="16"/>
        <v>14</v>
      </c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</row>
    <row r="92" spans="1:49" x14ac:dyDescent="0.25">
      <c r="A92" s="5" t="s">
        <v>141</v>
      </c>
      <c r="B92" s="5" t="s">
        <v>34</v>
      </c>
      <c r="C92" s="5">
        <v>115</v>
      </c>
      <c r="D92" s="5">
        <v>136</v>
      </c>
      <c r="E92" s="5">
        <v>70</v>
      </c>
      <c r="F92" s="5">
        <v>155</v>
      </c>
      <c r="G92" s="7">
        <v>0.1</v>
      </c>
      <c r="H92" s="5"/>
      <c r="I92" s="5" t="s">
        <v>35</v>
      </c>
      <c r="J92" s="5"/>
      <c r="K92" s="5">
        <v>75</v>
      </c>
      <c r="L92" s="5">
        <f t="shared" si="18"/>
        <v>-5</v>
      </c>
      <c r="M92" s="5"/>
      <c r="N92" s="5"/>
      <c r="O92" s="5">
        <v>0</v>
      </c>
      <c r="P92" s="5">
        <f t="shared" si="11"/>
        <v>14</v>
      </c>
      <c r="Q92" s="4">
        <f t="shared" si="17"/>
        <v>55</v>
      </c>
      <c r="R92" s="4">
        <f t="shared" si="14"/>
        <v>55</v>
      </c>
      <c r="S92" s="41"/>
      <c r="T92" s="5">
        <f t="shared" si="15"/>
        <v>15</v>
      </c>
      <c r="U92" s="5">
        <f t="shared" si="12"/>
        <v>11.071428571428571</v>
      </c>
      <c r="V92" s="5">
        <v>15.6</v>
      </c>
      <c r="W92" s="5">
        <v>20</v>
      </c>
      <c r="X92" s="5">
        <v>7</v>
      </c>
      <c r="Y92" s="5">
        <v>11.8</v>
      </c>
      <c r="Z92" s="5">
        <v>0</v>
      </c>
      <c r="AA92" s="5">
        <v>0</v>
      </c>
      <c r="AB92" s="5">
        <v>0</v>
      </c>
      <c r="AC92" s="5">
        <v>0</v>
      </c>
      <c r="AD92" s="5">
        <v>0</v>
      </c>
      <c r="AE92" s="5">
        <v>0</v>
      </c>
      <c r="AF92" s="5" t="s">
        <v>98</v>
      </c>
      <c r="AG92" s="5">
        <f t="shared" si="16"/>
        <v>5.5</v>
      </c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</row>
    <row r="93" spans="1:49" x14ac:dyDescent="0.25">
      <c r="A93" s="5" t="s">
        <v>142</v>
      </c>
      <c r="B93" s="5" t="s">
        <v>37</v>
      </c>
      <c r="C93" s="5"/>
      <c r="D93" s="5">
        <v>95.260999999999996</v>
      </c>
      <c r="E93" s="5">
        <v>6.64</v>
      </c>
      <c r="F93" s="5">
        <v>85.751999999999995</v>
      </c>
      <c r="G93" s="7">
        <v>1</v>
      </c>
      <c r="H93" s="5"/>
      <c r="I93" s="5" t="s">
        <v>35</v>
      </c>
      <c r="J93" s="5"/>
      <c r="K93" s="5">
        <v>6.2</v>
      </c>
      <c r="L93" s="5">
        <f t="shared" si="18"/>
        <v>0.4399999999999995</v>
      </c>
      <c r="M93" s="5"/>
      <c r="N93" s="5"/>
      <c r="O93" s="5">
        <v>0</v>
      </c>
      <c r="P93" s="5">
        <f t="shared" si="11"/>
        <v>1.3279999999999998</v>
      </c>
      <c r="Q93" s="4"/>
      <c r="R93" s="4">
        <f t="shared" si="14"/>
        <v>0</v>
      </c>
      <c r="S93" s="41"/>
      <c r="T93" s="5">
        <f t="shared" si="15"/>
        <v>64.57228915662651</v>
      </c>
      <c r="U93" s="5">
        <f t="shared" si="12"/>
        <v>64.57228915662651</v>
      </c>
      <c r="V93" s="5">
        <v>0</v>
      </c>
      <c r="W93" s="5">
        <v>0</v>
      </c>
      <c r="X93" s="5">
        <v>0</v>
      </c>
      <c r="Y93" s="5">
        <v>0</v>
      </c>
      <c r="Z93" s="5">
        <v>0</v>
      </c>
      <c r="AA93" s="5">
        <v>0</v>
      </c>
      <c r="AB93" s="5">
        <v>0</v>
      </c>
      <c r="AC93" s="5">
        <v>0</v>
      </c>
      <c r="AD93" s="5">
        <v>0</v>
      </c>
      <c r="AE93" s="5">
        <v>0</v>
      </c>
      <c r="AF93" s="35" t="s">
        <v>167</v>
      </c>
      <c r="AG93" s="5">
        <f t="shared" si="16"/>
        <v>0</v>
      </c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</row>
    <row r="94" spans="1:49" x14ac:dyDescent="0.25">
      <c r="A94" s="31" t="s">
        <v>144</v>
      </c>
      <c r="B94" s="31" t="s">
        <v>37</v>
      </c>
      <c r="C94" s="31"/>
      <c r="D94" s="31"/>
      <c r="E94" s="31"/>
      <c r="F94" s="31"/>
      <c r="G94" s="32">
        <v>1</v>
      </c>
      <c r="H94" s="31">
        <v>30</v>
      </c>
      <c r="I94" s="31" t="s">
        <v>35</v>
      </c>
      <c r="J94" s="31"/>
      <c r="K94" s="31"/>
      <c r="L94" s="31"/>
      <c r="M94" s="31"/>
      <c r="N94" s="31"/>
      <c r="O94" s="31"/>
      <c r="P94" s="31">
        <f t="shared" ref="P94:P103" si="19">E94/5</f>
        <v>0</v>
      </c>
      <c r="Q94" s="33">
        <v>10</v>
      </c>
      <c r="R94" s="4">
        <f t="shared" si="14"/>
        <v>10</v>
      </c>
      <c r="S94" s="41"/>
      <c r="T94" s="5" t="e">
        <f t="shared" si="15"/>
        <v>#DIV/0!</v>
      </c>
      <c r="U94" s="31" t="e">
        <f t="shared" ref="U94:U103" si="20">(F94+O94)/P94</f>
        <v>#DIV/0!</v>
      </c>
      <c r="V94" s="31">
        <v>0</v>
      </c>
      <c r="W94" s="31">
        <v>0</v>
      </c>
      <c r="X94" s="31">
        <v>0</v>
      </c>
      <c r="Y94" s="31">
        <v>0</v>
      </c>
      <c r="Z94" s="31">
        <v>0</v>
      </c>
      <c r="AA94" s="31">
        <v>0</v>
      </c>
      <c r="AB94" s="31">
        <v>0</v>
      </c>
      <c r="AC94" s="31">
        <v>0</v>
      </c>
      <c r="AD94" s="31">
        <v>0</v>
      </c>
      <c r="AE94" s="31">
        <v>0</v>
      </c>
      <c r="AF94" s="31" t="s">
        <v>98</v>
      </c>
      <c r="AG94" s="5">
        <f t="shared" si="16"/>
        <v>10</v>
      </c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</row>
    <row r="95" spans="1:49" x14ac:dyDescent="0.25">
      <c r="A95" s="31" t="s">
        <v>146</v>
      </c>
      <c r="B95" s="31" t="s">
        <v>37</v>
      </c>
      <c r="C95" s="31"/>
      <c r="D95" s="31"/>
      <c r="E95" s="31"/>
      <c r="F95" s="31"/>
      <c r="G95" s="32">
        <v>1</v>
      </c>
      <c r="H95" s="31">
        <v>30</v>
      </c>
      <c r="I95" s="31" t="s">
        <v>35</v>
      </c>
      <c r="J95" s="31"/>
      <c r="K95" s="31"/>
      <c r="L95" s="31"/>
      <c r="M95" s="31"/>
      <c r="N95" s="31"/>
      <c r="O95" s="31"/>
      <c r="P95" s="31">
        <f t="shared" si="19"/>
        <v>0</v>
      </c>
      <c r="Q95" s="33">
        <v>10</v>
      </c>
      <c r="R95" s="4">
        <f t="shared" si="14"/>
        <v>10</v>
      </c>
      <c r="S95" s="41"/>
      <c r="T95" s="5" t="e">
        <f t="shared" si="15"/>
        <v>#DIV/0!</v>
      </c>
      <c r="U95" s="31" t="e">
        <f t="shared" si="20"/>
        <v>#DIV/0!</v>
      </c>
      <c r="V95" s="31">
        <v>0</v>
      </c>
      <c r="W95" s="31">
        <v>0</v>
      </c>
      <c r="X95" s="31">
        <v>0</v>
      </c>
      <c r="Y95" s="31">
        <v>0</v>
      </c>
      <c r="Z95" s="31">
        <v>0</v>
      </c>
      <c r="AA95" s="31">
        <v>0</v>
      </c>
      <c r="AB95" s="31">
        <v>0</v>
      </c>
      <c r="AC95" s="31">
        <v>0</v>
      </c>
      <c r="AD95" s="31">
        <v>0</v>
      </c>
      <c r="AE95" s="31">
        <v>0</v>
      </c>
      <c r="AF95" s="31" t="s">
        <v>98</v>
      </c>
      <c r="AG95" s="5">
        <f t="shared" si="16"/>
        <v>10</v>
      </c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</row>
    <row r="96" spans="1:49" x14ac:dyDescent="0.25">
      <c r="A96" s="31" t="s">
        <v>148</v>
      </c>
      <c r="B96" s="31" t="s">
        <v>37</v>
      </c>
      <c r="C96" s="31"/>
      <c r="D96" s="31"/>
      <c r="E96" s="31"/>
      <c r="F96" s="31"/>
      <c r="G96" s="32">
        <v>1</v>
      </c>
      <c r="H96" s="31">
        <v>45</v>
      </c>
      <c r="I96" s="31" t="s">
        <v>35</v>
      </c>
      <c r="J96" s="31"/>
      <c r="K96" s="31"/>
      <c r="L96" s="31"/>
      <c r="M96" s="31"/>
      <c r="N96" s="31"/>
      <c r="O96" s="31"/>
      <c r="P96" s="31">
        <f t="shared" si="19"/>
        <v>0</v>
      </c>
      <c r="Q96" s="33">
        <v>10</v>
      </c>
      <c r="R96" s="4">
        <f t="shared" si="14"/>
        <v>10</v>
      </c>
      <c r="S96" s="41"/>
      <c r="T96" s="5" t="e">
        <f t="shared" si="15"/>
        <v>#DIV/0!</v>
      </c>
      <c r="U96" s="31" t="e">
        <f t="shared" si="20"/>
        <v>#DIV/0!</v>
      </c>
      <c r="V96" s="31">
        <v>0</v>
      </c>
      <c r="W96" s="31">
        <v>0</v>
      </c>
      <c r="X96" s="31">
        <v>0</v>
      </c>
      <c r="Y96" s="31">
        <v>0</v>
      </c>
      <c r="Z96" s="31">
        <v>0</v>
      </c>
      <c r="AA96" s="31">
        <v>0</v>
      </c>
      <c r="AB96" s="31">
        <v>0</v>
      </c>
      <c r="AC96" s="31">
        <v>0</v>
      </c>
      <c r="AD96" s="31">
        <v>0</v>
      </c>
      <c r="AE96" s="31">
        <v>0</v>
      </c>
      <c r="AF96" s="31" t="s">
        <v>98</v>
      </c>
      <c r="AG96" s="5">
        <f t="shared" si="16"/>
        <v>10</v>
      </c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</row>
    <row r="97" spans="1:49" x14ac:dyDescent="0.25">
      <c r="A97" s="31" t="s">
        <v>150</v>
      </c>
      <c r="B97" s="31" t="s">
        <v>37</v>
      </c>
      <c r="C97" s="31"/>
      <c r="D97" s="31"/>
      <c r="E97" s="31"/>
      <c r="F97" s="31"/>
      <c r="G97" s="32">
        <v>1</v>
      </c>
      <c r="H97" s="31">
        <v>120</v>
      </c>
      <c r="I97" s="31" t="s">
        <v>35</v>
      </c>
      <c r="J97" s="31"/>
      <c r="K97" s="31"/>
      <c r="L97" s="31"/>
      <c r="M97" s="31"/>
      <c r="N97" s="31"/>
      <c r="O97" s="31"/>
      <c r="P97" s="31">
        <f t="shared" si="19"/>
        <v>0</v>
      </c>
      <c r="Q97" s="33">
        <v>10</v>
      </c>
      <c r="R97" s="4">
        <f t="shared" si="14"/>
        <v>10</v>
      </c>
      <c r="S97" s="41"/>
      <c r="T97" s="5" t="e">
        <f t="shared" si="15"/>
        <v>#DIV/0!</v>
      </c>
      <c r="U97" s="31" t="e">
        <f t="shared" si="20"/>
        <v>#DIV/0!</v>
      </c>
      <c r="V97" s="31">
        <v>0</v>
      </c>
      <c r="W97" s="31">
        <v>0</v>
      </c>
      <c r="X97" s="31">
        <v>0</v>
      </c>
      <c r="Y97" s="31">
        <v>0</v>
      </c>
      <c r="Z97" s="31">
        <v>0</v>
      </c>
      <c r="AA97" s="31">
        <v>0</v>
      </c>
      <c r="AB97" s="31">
        <v>0</v>
      </c>
      <c r="AC97" s="31">
        <v>0</v>
      </c>
      <c r="AD97" s="31">
        <v>0</v>
      </c>
      <c r="AE97" s="31">
        <v>0</v>
      </c>
      <c r="AF97" s="31" t="s">
        <v>98</v>
      </c>
      <c r="AG97" s="5">
        <f t="shared" si="16"/>
        <v>10</v>
      </c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</row>
    <row r="98" spans="1:49" x14ac:dyDescent="0.25">
      <c r="A98" s="31" t="s">
        <v>152</v>
      </c>
      <c r="B98" s="31" t="s">
        <v>34</v>
      </c>
      <c r="C98" s="31"/>
      <c r="D98" s="31"/>
      <c r="E98" s="31"/>
      <c r="F98" s="31"/>
      <c r="G98" s="32">
        <v>0.22</v>
      </c>
      <c r="H98" s="31">
        <v>120</v>
      </c>
      <c r="I98" s="31" t="s">
        <v>35</v>
      </c>
      <c r="J98" s="31"/>
      <c r="K98" s="31"/>
      <c r="L98" s="31"/>
      <c r="M98" s="31"/>
      <c r="N98" s="31"/>
      <c r="O98" s="31"/>
      <c r="P98" s="31">
        <f t="shared" si="19"/>
        <v>0</v>
      </c>
      <c r="Q98" s="33">
        <v>40</v>
      </c>
      <c r="R98" s="4">
        <f t="shared" si="14"/>
        <v>40</v>
      </c>
      <c r="S98" s="41"/>
      <c r="T98" s="5" t="e">
        <f t="shared" si="15"/>
        <v>#DIV/0!</v>
      </c>
      <c r="U98" s="31" t="e">
        <f t="shared" si="20"/>
        <v>#DIV/0!</v>
      </c>
      <c r="V98" s="31">
        <v>0</v>
      </c>
      <c r="W98" s="31">
        <v>0</v>
      </c>
      <c r="X98" s="31">
        <v>0</v>
      </c>
      <c r="Y98" s="31">
        <v>0</v>
      </c>
      <c r="Z98" s="31">
        <v>0</v>
      </c>
      <c r="AA98" s="31">
        <v>0</v>
      </c>
      <c r="AB98" s="31">
        <v>0</v>
      </c>
      <c r="AC98" s="31">
        <v>0</v>
      </c>
      <c r="AD98" s="31">
        <v>0</v>
      </c>
      <c r="AE98" s="31">
        <v>0</v>
      </c>
      <c r="AF98" s="31" t="s">
        <v>98</v>
      </c>
      <c r="AG98" s="5">
        <f t="shared" si="16"/>
        <v>8.8000000000000007</v>
      </c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</row>
    <row r="99" spans="1:49" x14ac:dyDescent="0.25">
      <c r="A99" s="31" t="s">
        <v>154</v>
      </c>
      <c r="B99" s="31" t="s">
        <v>34</v>
      </c>
      <c r="C99" s="31"/>
      <c r="D99" s="31"/>
      <c r="E99" s="31"/>
      <c r="F99" s="31"/>
      <c r="G99" s="32">
        <v>0.3</v>
      </c>
      <c r="H99" s="31">
        <v>45</v>
      </c>
      <c r="I99" s="31" t="s">
        <v>35</v>
      </c>
      <c r="J99" s="31"/>
      <c r="K99" s="31"/>
      <c r="L99" s="31"/>
      <c r="M99" s="31"/>
      <c r="N99" s="31"/>
      <c r="O99" s="31"/>
      <c r="P99" s="31">
        <f t="shared" si="19"/>
        <v>0</v>
      </c>
      <c r="Q99" s="33">
        <v>40</v>
      </c>
      <c r="R99" s="4">
        <f t="shared" si="14"/>
        <v>40</v>
      </c>
      <c r="S99" s="41"/>
      <c r="T99" s="5" t="e">
        <f t="shared" si="15"/>
        <v>#DIV/0!</v>
      </c>
      <c r="U99" s="31" t="e">
        <f t="shared" si="20"/>
        <v>#DIV/0!</v>
      </c>
      <c r="V99" s="31">
        <v>0</v>
      </c>
      <c r="W99" s="31">
        <v>0</v>
      </c>
      <c r="X99" s="31">
        <v>0</v>
      </c>
      <c r="Y99" s="31">
        <v>0</v>
      </c>
      <c r="Z99" s="31">
        <v>0</v>
      </c>
      <c r="AA99" s="31">
        <v>0</v>
      </c>
      <c r="AB99" s="31">
        <v>0</v>
      </c>
      <c r="AC99" s="31">
        <v>0</v>
      </c>
      <c r="AD99" s="31">
        <v>0</v>
      </c>
      <c r="AE99" s="31">
        <v>0</v>
      </c>
      <c r="AF99" s="31" t="s">
        <v>98</v>
      </c>
      <c r="AG99" s="5">
        <f t="shared" si="16"/>
        <v>12</v>
      </c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</row>
    <row r="100" spans="1:49" x14ac:dyDescent="0.25">
      <c r="A100" s="31" t="s">
        <v>156</v>
      </c>
      <c r="B100" s="31" t="s">
        <v>34</v>
      </c>
      <c r="C100" s="31"/>
      <c r="D100" s="31"/>
      <c r="E100" s="31"/>
      <c r="F100" s="31"/>
      <c r="G100" s="32">
        <v>0.15</v>
      </c>
      <c r="H100" s="31">
        <v>90</v>
      </c>
      <c r="I100" s="31" t="s">
        <v>35</v>
      </c>
      <c r="J100" s="31"/>
      <c r="K100" s="31"/>
      <c r="L100" s="31"/>
      <c r="M100" s="31"/>
      <c r="N100" s="31"/>
      <c r="O100" s="31"/>
      <c r="P100" s="31">
        <f t="shared" si="19"/>
        <v>0</v>
      </c>
      <c r="Q100" s="33">
        <v>40</v>
      </c>
      <c r="R100" s="4">
        <f t="shared" si="14"/>
        <v>40</v>
      </c>
      <c r="S100" s="41"/>
      <c r="T100" s="5" t="e">
        <f t="shared" si="15"/>
        <v>#DIV/0!</v>
      </c>
      <c r="U100" s="31" t="e">
        <f t="shared" si="20"/>
        <v>#DIV/0!</v>
      </c>
      <c r="V100" s="31">
        <v>0</v>
      </c>
      <c r="W100" s="31">
        <v>0</v>
      </c>
      <c r="X100" s="31">
        <v>0</v>
      </c>
      <c r="Y100" s="31">
        <v>0</v>
      </c>
      <c r="Z100" s="31">
        <v>0</v>
      </c>
      <c r="AA100" s="31">
        <v>0</v>
      </c>
      <c r="AB100" s="31">
        <v>0</v>
      </c>
      <c r="AC100" s="31">
        <v>0</v>
      </c>
      <c r="AD100" s="31">
        <v>0</v>
      </c>
      <c r="AE100" s="31">
        <v>0</v>
      </c>
      <c r="AF100" s="31" t="s">
        <v>98</v>
      </c>
      <c r="AG100" s="5">
        <f t="shared" si="16"/>
        <v>6</v>
      </c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</row>
    <row r="101" spans="1:49" x14ac:dyDescent="0.25">
      <c r="A101" s="31" t="s">
        <v>158</v>
      </c>
      <c r="B101" s="31" t="s">
        <v>34</v>
      </c>
      <c r="C101" s="31"/>
      <c r="D101" s="31"/>
      <c r="E101" s="31"/>
      <c r="F101" s="31"/>
      <c r="G101" s="32">
        <v>0.15</v>
      </c>
      <c r="H101" s="31">
        <v>90</v>
      </c>
      <c r="I101" s="31" t="s">
        <v>35</v>
      </c>
      <c r="J101" s="31"/>
      <c r="K101" s="31"/>
      <c r="L101" s="31"/>
      <c r="M101" s="31"/>
      <c r="N101" s="31"/>
      <c r="O101" s="31"/>
      <c r="P101" s="31">
        <f t="shared" si="19"/>
        <v>0</v>
      </c>
      <c r="Q101" s="33">
        <v>40</v>
      </c>
      <c r="R101" s="4">
        <f t="shared" si="14"/>
        <v>40</v>
      </c>
      <c r="S101" s="41"/>
      <c r="T101" s="5" t="e">
        <f t="shared" si="15"/>
        <v>#DIV/0!</v>
      </c>
      <c r="U101" s="31" t="e">
        <f t="shared" si="20"/>
        <v>#DIV/0!</v>
      </c>
      <c r="V101" s="31">
        <v>0</v>
      </c>
      <c r="W101" s="31">
        <v>0</v>
      </c>
      <c r="X101" s="31">
        <v>0</v>
      </c>
      <c r="Y101" s="31">
        <v>0</v>
      </c>
      <c r="Z101" s="31">
        <v>0</v>
      </c>
      <c r="AA101" s="31">
        <v>0</v>
      </c>
      <c r="AB101" s="31">
        <v>0</v>
      </c>
      <c r="AC101" s="31">
        <v>0</v>
      </c>
      <c r="AD101" s="31">
        <v>0</v>
      </c>
      <c r="AE101" s="31">
        <v>0</v>
      </c>
      <c r="AF101" s="31" t="s">
        <v>98</v>
      </c>
      <c r="AG101" s="5">
        <f t="shared" si="16"/>
        <v>6</v>
      </c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</row>
    <row r="102" spans="1:49" x14ac:dyDescent="0.25">
      <c r="A102" s="31" t="s">
        <v>160</v>
      </c>
      <c r="B102" s="31" t="s">
        <v>34</v>
      </c>
      <c r="C102" s="31"/>
      <c r="D102" s="31"/>
      <c r="E102" s="31"/>
      <c r="F102" s="31"/>
      <c r="G102" s="32">
        <v>0.33800000000000002</v>
      </c>
      <c r="H102" s="31" t="s">
        <v>161</v>
      </c>
      <c r="I102" s="31" t="s">
        <v>35</v>
      </c>
      <c r="J102" s="31"/>
      <c r="K102" s="31"/>
      <c r="L102" s="31"/>
      <c r="M102" s="31"/>
      <c r="N102" s="31"/>
      <c r="O102" s="31"/>
      <c r="P102" s="31">
        <f t="shared" si="19"/>
        <v>0</v>
      </c>
      <c r="Q102" s="33">
        <v>50</v>
      </c>
      <c r="R102" s="4">
        <f t="shared" si="14"/>
        <v>50</v>
      </c>
      <c r="S102" s="41"/>
      <c r="T102" s="5" t="e">
        <f t="shared" si="15"/>
        <v>#DIV/0!</v>
      </c>
      <c r="U102" s="31" t="e">
        <f t="shared" si="20"/>
        <v>#DIV/0!</v>
      </c>
      <c r="V102" s="31">
        <v>0</v>
      </c>
      <c r="W102" s="31">
        <v>0</v>
      </c>
      <c r="X102" s="31">
        <v>0</v>
      </c>
      <c r="Y102" s="31">
        <v>0</v>
      </c>
      <c r="Z102" s="31">
        <v>0</v>
      </c>
      <c r="AA102" s="31">
        <v>0</v>
      </c>
      <c r="AB102" s="31">
        <v>0</v>
      </c>
      <c r="AC102" s="31">
        <v>0</v>
      </c>
      <c r="AD102" s="31">
        <v>0</v>
      </c>
      <c r="AE102" s="31">
        <v>0</v>
      </c>
      <c r="AF102" s="31" t="s">
        <v>98</v>
      </c>
      <c r="AG102" s="5">
        <f t="shared" si="16"/>
        <v>16.900000000000002</v>
      </c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</row>
    <row r="103" spans="1:49" x14ac:dyDescent="0.25">
      <c r="A103" s="31" t="s">
        <v>163</v>
      </c>
      <c r="B103" s="31" t="s">
        <v>34</v>
      </c>
      <c r="C103" s="31"/>
      <c r="D103" s="31"/>
      <c r="E103" s="31"/>
      <c r="F103" s="31"/>
      <c r="G103" s="32">
        <v>0.32500000000000001</v>
      </c>
      <c r="H103" s="31" t="s">
        <v>161</v>
      </c>
      <c r="I103" s="31" t="s">
        <v>35</v>
      </c>
      <c r="J103" s="31"/>
      <c r="K103" s="31"/>
      <c r="L103" s="31"/>
      <c r="M103" s="31"/>
      <c r="N103" s="31"/>
      <c r="O103" s="31"/>
      <c r="P103" s="31">
        <f t="shared" si="19"/>
        <v>0</v>
      </c>
      <c r="Q103" s="33">
        <v>50</v>
      </c>
      <c r="R103" s="4">
        <f t="shared" si="14"/>
        <v>50</v>
      </c>
      <c r="S103" s="41"/>
      <c r="T103" s="5" t="e">
        <f t="shared" si="15"/>
        <v>#DIV/0!</v>
      </c>
      <c r="U103" s="31" t="e">
        <f t="shared" si="20"/>
        <v>#DIV/0!</v>
      </c>
      <c r="V103" s="31">
        <v>0</v>
      </c>
      <c r="W103" s="31">
        <v>0</v>
      </c>
      <c r="X103" s="31">
        <v>0</v>
      </c>
      <c r="Y103" s="31">
        <v>0</v>
      </c>
      <c r="Z103" s="31">
        <v>0</v>
      </c>
      <c r="AA103" s="31">
        <v>0</v>
      </c>
      <c r="AB103" s="31">
        <v>0</v>
      </c>
      <c r="AC103" s="31">
        <v>0</v>
      </c>
      <c r="AD103" s="31">
        <v>0</v>
      </c>
      <c r="AE103" s="31">
        <v>0</v>
      </c>
      <c r="AF103" s="31" t="s">
        <v>98</v>
      </c>
      <c r="AG103" s="5">
        <f t="shared" si="16"/>
        <v>16.25</v>
      </c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</row>
    <row r="104" spans="1:49" x14ac:dyDescent="0.25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</row>
    <row r="105" spans="1:49" x14ac:dyDescent="0.25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</row>
    <row r="106" spans="1:49" x14ac:dyDescent="0.25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</row>
    <row r="107" spans="1:49" x14ac:dyDescent="0.25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</row>
    <row r="108" spans="1:49" x14ac:dyDescent="0.25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</row>
    <row r="109" spans="1:49" x14ac:dyDescent="0.25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</row>
    <row r="110" spans="1:49" x14ac:dyDescent="0.25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</row>
    <row r="111" spans="1:49" x14ac:dyDescent="0.25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</row>
    <row r="112" spans="1:49" x14ac:dyDescent="0.25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</row>
    <row r="113" spans="1:49" x14ac:dyDescent="0.25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</row>
    <row r="114" spans="1:49" x14ac:dyDescent="0.25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</row>
    <row r="115" spans="1:49" x14ac:dyDescent="0.25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</row>
    <row r="116" spans="1:49" x14ac:dyDescent="0.25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</row>
    <row r="117" spans="1:49" x14ac:dyDescent="0.25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</row>
    <row r="118" spans="1:49" x14ac:dyDescent="0.25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</row>
    <row r="119" spans="1:49" x14ac:dyDescent="0.25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</row>
    <row r="120" spans="1:49" x14ac:dyDescent="0.25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</row>
    <row r="121" spans="1:49" x14ac:dyDescent="0.25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</row>
    <row r="122" spans="1:49" x14ac:dyDescent="0.25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</row>
    <row r="123" spans="1:49" x14ac:dyDescent="0.25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</row>
    <row r="124" spans="1:49" x14ac:dyDescent="0.25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</row>
    <row r="125" spans="1:49" x14ac:dyDescent="0.25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</row>
    <row r="126" spans="1:49" x14ac:dyDescent="0.25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</row>
    <row r="127" spans="1:49" x14ac:dyDescent="0.25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</row>
    <row r="128" spans="1:49" x14ac:dyDescent="0.25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</row>
    <row r="129" spans="1:49" x14ac:dyDescent="0.25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</row>
    <row r="130" spans="1:49" x14ac:dyDescent="0.25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</row>
    <row r="131" spans="1:49" x14ac:dyDescent="0.25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</row>
    <row r="132" spans="1:49" x14ac:dyDescent="0.25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</row>
    <row r="133" spans="1:49" x14ac:dyDescent="0.25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</row>
    <row r="134" spans="1:49" x14ac:dyDescent="0.25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</row>
    <row r="135" spans="1:49" x14ac:dyDescent="0.25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</row>
    <row r="136" spans="1:49" x14ac:dyDescent="0.25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</row>
    <row r="137" spans="1:49" x14ac:dyDescent="0.25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</row>
    <row r="138" spans="1:49" x14ac:dyDescent="0.25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</row>
    <row r="139" spans="1:49" x14ac:dyDescent="0.25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</row>
    <row r="140" spans="1:49" x14ac:dyDescent="0.25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</row>
    <row r="141" spans="1:49" x14ac:dyDescent="0.25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</row>
    <row r="142" spans="1:49" x14ac:dyDescent="0.25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</row>
    <row r="143" spans="1:49" x14ac:dyDescent="0.25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</row>
    <row r="144" spans="1:49" x14ac:dyDescent="0.25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</row>
    <row r="145" spans="1:49" x14ac:dyDescent="0.25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</row>
    <row r="146" spans="1:49" x14ac:dyDescent="0.25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</row>
    <row r="147" spans="1:49" x14ac:dyDescent="0.25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</row>
    <row r="148" spans="1:49" x14ac:dyDescent="0.25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</row>
    <row r="149" spans="1:49" x14ac:dyDescent="0.25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</row>
    <row r="150" spans="1:49" x14ac:dyDescent="0.25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</row>
    <row r="151" spans="1:49" x14ac:dyDescent="0.25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</row>
    <row r="152" spans="1:49" x14ac:dyDescent="0.25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</row>
    <row r="153" spans="1:49" x14ac:dyDescent="0.25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</row>
    <row r="154" spans="1:49" x14ac:dyDescent="0.25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</row>
    <row r="155" spans="1:49" x14ac:dyDescent="0.25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</row>
    <row r="156" spans="1:49" x14ac:dyDescent="0.25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</row>
    <row r="157" spans="1:49" x14ac:dyDescent="0.25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</row>
    <row r="158" spans="1:49" x14ac:dyDescent="0.25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</row>
    <row r="159" spans="1:49" x14ac:dyDescent="0.25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</row>
    <row r="160" spans="1:49" x14ac:dyDescent="0.25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</row>
    <row r="161" spans="1:49" x14ac:dyDescent="0.25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</row>
    <row r="162" spans="1:49" x14ac:dyDescent="0.25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</row>
    <row r="163" spans="1:49" x14ac:dyDescent="0.25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</row>
    <row r="164" spans="1:49" x14ac:dyDescent="0.25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</row>
    <row r="165" spans="1:49" x14ac:dyDescent="0.25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</row>
    <row r="166" spans="1:49" x14ac:dyDescent="0.25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</row>
    <row r="167" spans="1:49" x14ac:dyDescent="0.25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</row>
    <row r="168" spans="1:49" x14ac:dyDescent="0.25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</row>
    <row r="169" spans="1:49" x14ac:dyDescent="0.25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</row>
    <row r="170" spans="1:49" x14ac:dyDescent="0.25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</row>
    <row r="171" spans="1:49" x14ac:dyDescent="0.25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</row>
    <row r="172" spans="1:49" x14ac:dyDescent="0.25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</row>
    <row r="173" spans="1:49" x14ac:dyDescent="0.25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</row>
    <row r="174" spans="1:49" x14ac:dyDescent="0.25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</row>
    <row r="175" spans="1:49" x14ac:dyDescent="0.25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</row>
    <row r="176" spans="1:49" x14ac:dyDescent="0.25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</row>
    <row r="177" spans="1:49" x14ac:dyDescent="0.25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</row>
    <row r="178" spans="1:49" x14ac:dyDescent="0.25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</row>
    <row r="179" spans="1:49" x14ac:dyDescent="0.25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</row>
    <row r="180" spans="1:49" x14ac:dyDescent="0.25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</row>
    <row r="181" spans="1:49" x14ac:dyDescent="0.25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</row>
    <row r="182" spans="1:49" x14ac:dyDescent="0.25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</row>
    <row r="183" spans="1:49" x14ac:dyDescent="0.25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</row>
    <row r="184" spans="1:49" x14ac:dyDescent="0.25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</row>
    <row r="185" spans="1:49" x14ac:dyDescent="0.25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</row>
    <row r="186" spans="1:49" x14ac:dyDescent="0.25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</row>
    <row r="187" spans="1:49" x14ac:dyDescent="0.25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</row>
    <row r="188" spans="1:49" x14ac:dyDescent="0.25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</row>
    <row r="189" spans="1:49" x14ac:dyDescent="0.25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</row>
    <row r="190" spans="1:49" x14ac:dyDescent="0.25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  <c r="AJ190" s="5"/>
      <c r="AK190" s="5"/>
      <c r="AL190" s="5"/>
      <c r="AM190" s="5"/>
      <c r="AN190" s="5"/>
      <c r="AO190" s="5"/>
      <c r="AP190" s="5"/>
      <c r="AQ190" s="5"/>
      <c r="AR190" s="5"/>
      <c r="AS190" s="5"/>
      <c r="AT190" s="5"/>
      <c r="AU190" s="5"/>
      <c r="AV190" s="5"/>
      <c r="AW190" s="5"/>
    </row>
    <row r="191" spans="1:49" x14ac:dyDescent="0.25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  <c r="AJ191" s="5"/>
      <c r="AK191" s="5"/>
      <c r="AL191" s="5"/>
      <c r="AM191" s="5"/>
      <c r="AN191" s="5"/>
      <c r="AO191" s="5"/>
      <c r="AP191" s="5"/>
      <c r="AQ191" s="5"/>
      <c r="AR191" s="5"/>
      <c r="AS191" s="5"/>
      <c r="AT191" s="5"/>
      <c r="AU191" s="5"/>
      <c r="AV191" s="5"/>
      <c r="AW191" s="5"/>
    </row>
    <row r="192" spans="1:49" x14ac:dyDescent="0.25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  <c r="AJ192" s="5"/>
      <c r="AK192" s="5"/>
      <c r="AL192" s="5"/>
      <c r="AM192" s="5"/>
      <c r="AN192" s="5"/>
      <c r="AO192" s="5"/>
      <c r="AP192" s="5"/>
      <c r="AQ192" s="5"/>
      <c r="AR192" s="5"/>
      <c r="AS192" s="5"/>
      <c r="AT192" s="5"/>
      <c r="AU192" s="5"/>
      <c r="AV192" s="5"/>
      <c r="AW192" s="5"/>
    </row>
    <row r="193" spans="1:49" x14ac:dyDescent="0.25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</row>
    <row r="194" spans="1:49" x14ac:dyDescent="0.25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</row>
    <row r="195" spans="1:49" x14ac:dyDescent="0.25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</row>
    <row r="196" spans="1:49" x14ac:dyDescent="0.25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</row>
    <row r="197" spans="1:49" x14ac:dyDescent="0.25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</row>
    <row r="198" spans="1:49" x14ac:dyDescent="0.25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</row>
    <row r="199" spans="1:49" x14ac:dyDescent="0.25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</row>
    <row r="200" spans="1:49" x14ac:dyDescent="0.25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</row>
    <row r="201" spans="1:49" x14ac:dyDescent="0.25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</row>
    <row r="202" spans="1:49" x14ac:dyDescent="0.25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</row>
    <row r="203" spans="1:49" x14ac:dyDescent="0.25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  <c r="AJ203" s="5"/>
      <c r="AK203" s="5"/>
      <c r="AL203" s="5"/>
      <c r="AM203" s="5"/>
      <c r="AN203" s="5"/>
      <c r="AO203" s="5"/>
      <c r="AP203" s="5"/>
      <c r="AQ203" s="5"/>
      <c r="AR203" s="5"/>
      <c r="AS203" s="5"/>
      <c r="AT203" s="5"/>
      <c r="AU203" s="5"/>
      <c r="AV203" s="5"/>
      <c r="AW203" s="5"/>
    </row>
    <row r="204" spans="1:49" x14ac:dyDescent="0.25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  <c r="AJ204" s="5"/>
      <c r="AK204" s="5"/>
      <c r="AL204" s="5"/>
      <c r="AM204" s="5"/>
      <c r="AN204" s="5"/>
      <c r="AO204" s="5"/>
      <c r="AP204" s="5"/>
      <c r="AQ204" s="5"/>
      <c r="AR204" s="5"/>
      <c r="AS204" s="5"/>
      <c r="AT204" s="5"/>
      <c r="AU204" s="5"/>
      <c r="AV204" s="5"/>
      <c r="AW204" s="5"/>
    </row>
    <row r="205" spans="1:49" x14ac:dyDescent="0.25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  <c r="AJ205" s="5"/>
      <c r="AK205" s="5"/>
      <c r="AL205" s="5"/>
      <c r="AM205" s="5"/>
      <c r="AN205" s="5"/>
      <c r="AO205" s="5"/>
      <c r="AP205" s="5"/>
      <c r="AQ205" s="5"/>
      <c r="AR205" s="5"/>
      <c r="AS205" s="5"/>
      <c r="AT205" s="5"/>
      <c r="AU205" s="5"/>
      <c r="AV205" s="5"/>
      <c r="AW205" s="5"/>
    </row>
    <row r="206" spans="1:49" x14ac:dyDescent="0.25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  <c r="AJ206" s="5"/>
      <c r="AK206" s="5"/>
      <c r="AL206" s="5"/>
      <c r="AM206" s="5"/>
      <c r="AN206" s="5"/>
      <c r="AO206" s="5"/>
      <c r="AP206" s="5"/>
      <c r="AQ206" s="5"/>
      <c r="AR206" s="5"/>
      <c r="AS206" s="5"/>
      <c r="AT206" s="5"/>
      <c r="AU206" s="5"/>
      <c r="AV206" s="5"/>
      <c r="AW206" s="5"/>
    </row>
    <row r="207" spans="1:49" x14ac:dyDescent="0.25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  <c r="AJ207" s="5"/>
      <c r="AK207" s="5"/>
      <c r="AL207" s="5"/>
      <c r="AM207" s="5"/>
      <c r="AN207" s="5"/>
      <c r="AO207" s="5"/>
      <c r="AP207" s="5"/>
      <c r="AQ207" s="5"/>
      <c r="AR207" s="5"/>
      <c r="AS207" s="5"/>
      <c r="AT207" s="5"/>
      <c r="AU207" s="5"/>
      <c r="AV207" s="5"/>
      <c r="AW207" s="5"/>
    </row>
    <row r="208" spans="1:49" x14ac:dyDescent="0.25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  <c r="AJ208" s="5"/>
      <c r="AK208" s="5"/>
      <c r="AL208" s="5"/>
      <c r="AM208" s="5"/>
      <c r="AN208" s="5"/>
      <c r="AO208" s="5"/>
      <c r="AP208" s="5"/>
      <c r="AQ208" s="5"/>
      <c r="AR208" s="5"/>
      <c r="AS208" s="5"/>
      <c r="AT208" s="5"/>
      <c r="AU208" s="5"/>
      <c r="AV208" s="5"/>
      <c r="AW208" s="5"/>
    </row>
    <row r="209" spans="1:49" x14ac:dyDescent="0.25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  <c r="AJ209" s="5"/>
      <c r="AK209" s="5"/>
      <c r="AL209" s="5"/>
      <c r="AM209" s="5"/>
      <c r="AN209" s="5"/>
      <c r="AO209" s="5"/>
      <c r="AP209" s="5"/>
      <c r="AQ209" s="5"/>
      <c r="AR209" s="5"/>
      <c r="AS209" s="5"/>
      <c r="AT209" s="5"/>
      <c r="AU209" s="5"/>
      <c r="AV209" s="5"/>
      <c r="AW209" s="5"/>
    </row>
    <row r="210" spans="1:49" x14ac:dyDescent="0.25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  <c r="AJ210" s="5"/>
      <c r="AK210" s="5"/>
      <c r="AL210" s="5"/>
      <c r="AM210" s="5"/>
      <c r="AN210" s="5"/>
      <c r="AO210" s="5"/>
      <c r="AP210" s="5"/>
      <c r="AQ210" s="5"/>
      <c r="AR210" s="5"/>
      <c r="AS210" s="5"/>
      <c r="AT210" s="5"/>
      <c r="AU210" s="5"/>
      <c r="AV210" s="5"/>
      <c r="AW210" s="5"/>
    </row>
    <row r="211" spans="1:49" x14ac:dyDescent="0.25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  <c r="AJ211" s="5"/>
      <c r="AK211" s="5"/>
      <c r="AL211" s="5"/>
      <c r="AM211" s="5"/>
      <c r="AN211" s="5"/>
      <c r="AO211" s="5"/>
      <c r="AP211" s="5"/>
      <c r="AQ211" s="5"/>
      <c r="AR211" s="5"/>
      <c r="AS211" s="5"/>
      <c r="AT211" s="5"/>
      <c r="AU211" s="5"/>
      <c r="AV211" s="5"/>
      <c r="AW211" s="5"/>
    </row>
    <row r="212" spans="1:49" x14ac:dyDescent="0.25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  <c r="AJ212" s="5"/>
      <c r="AK212" s="5"/>
      <c r="AL212" s="5"/>
      <c r="AM212" s="5"/>
      <c r="AN212" s="5"/>
      <c r="AO212" s="5"/>
      <c r="AP212" s="5"/>
      <c r="AQ212" s="5"/>
      <c r="AR212" s="5"/>
      <c r="AS212" s="5"/>
      <c r="AT212" s="5"/>
      <c r="AU212" s="5"/>
      <c r="AV212" s="5"/>
      <c r="AW212" s="5"/>
    </row>
    <row r="213" spans="1:49" x14ac:dyDescent="0.25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  <c r="AJ213" s="5"/>
      <c r="AK213" s="5"/>
      <c r="AL213" s="5"/>
      <c r="AM213" s="5"/>
      <c r="AN213" s="5"/>
      <c r="AO213" s="5"/>
      <c r="AP213" s="5"/>
      <c r="AQ213" s="5"/>
      <c r="AR213" s="5"/>
      <c r="AS213" s="5"/>
      <c r="AT213" s="5"/>
      <c r="AU213" s="5"/>
      <c r="AV213" s="5"/>
      <c r="AW213" s="5"/>
    </row>
    <row r="214" spans="1:49" x14ac:dyDescent="0.25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  <c r="AJ214" s="5"/>
      <c r="AK214" s="5"/>
      <c r="AL214" s="5"/>
      <c r="AM214" s="5"/>
      <c r="AN214" s="5"/>
      <c r="AO214" s="5"/>
      <c r="AP214" s="5"/>
      <c r="AQ214" s="5"/>
      <c r="AR214" s="5"/>
      <c r="AS214" s="5"/>
      <c r="AT214" s="5"/>
      <c r="AU214" s="5"/>
      <c r="AV214" s="5"/>
      <c r="AW214" s="5"/>
    </row>
    <row r="215" spans="1:49" x14ac:dyDescent="0.25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  <c r="AJ215" s="5"/>
      <c r="AK215" s="5"/>
      <c r="AL215" s="5"/>
      <c r="AM215" s="5"/>
      <c r="AN215" s="5"/>
      <c r="AO215" s="5"/>
      <c r="AP215" s="5"/>
      <c r="AQ215" s="5"/>
      <c r="AR215" s="5"/>
      <c r="AS215" s="5"/>
      <c r="AT215" s="5"/>
      <c r="AU215" s="5"/>
      <c r="AV215" s="5"/>
      <c r="AW215" s="5"/>
    </row>
    <row r="216" spans="1:49" x14ac:dyDescent="0.25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  <c r="AJ216" s="5"/>
      <c r="AK216" s="5"/>
      <c r="AL216" s="5"/>
      <c r="AM216" s="5"/>
      <c r="AN216" s="5"/>
      <c r="AO216" s="5"/>
      <c r="AP216" s="5"/>
      <c r="AQ216" s="5"/>
      <c r="AR216" s="5"/>
      <c r="AS216" s="5"/>
      <c r="AT216" s="5"/>
      <c r="AU216" s="5"/>
      <c r="AV216" s="5"/>
      <c r="AW216" s="5"/>
    </row>
    <row r="217" spans="1:49" x14ac:dyDescent="0.25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  <c r="AJ217" s="5"/>
      <c r="AK217" s="5"/>
      <c r="AL217" s="5"/>
      <c r="AM217" s="5"/>
      <c r="AN217" s="5"/>
      <c r="AO217" s="5"/>
      <c r="AP217" s="5"/>
      <c r="AQ217" s="5"/>
      <c r="AR217" s="5"/>
      <c r="AS217" s="5"/>
      <c r="AT217" s="5"/>
      <c r="AU217" s="5"/>
      <c r="AV217" s="5"/>
      <c r="AW217" s="5"/>
    </row>
    <row r="218" spans="1:49" x14ac:dyDescent="0.25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  <c r="AJ218" s="5"/>
      <c r="AK218" s="5"/>
      <c r="AL218" s="5"/>
      <c r="AM218" s="5"/>
      <c r="AN218" s="5"/>
      <c r="AO218" s="5"/>
      <c r="AP218" s="5"/>
      <c r="AQ218" s="5"/>
      <c r="AR218" s="5"/>
      <c r="AS218" s="5"/>
      <c r="AT218" s="5"/>
      <c r="AU218" s="5"/>
      <c r="AV218" s="5"/>
      <c r="AW218" s="5"/>
    </row>
    <row r="219" spans="1:49" x14ac:dyDescent="0.25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  <c r="AJ219" s="5"/>
      <c r="AK219" s="5"/>
      <c r="AL219" s="5"/>
      <c r="AM219" s="5"/>
      <c r="AN219" s="5"/>
      <c r="AO219" s="5"/>
      <c r="AP219" s="5"/>
      <c r="AQ219" s="5"/>
      <c r="AR219" s="5"/>
      <c r="AS219" s="5"/>
      <c r="AT219" s="5"/>
      <c r="AU219" s="5"/>
      <c r="AV219" s="5"/>
      <c r="AW219" s="5"/>
    </row>
    <row r="220" spans="1:49" x14ac:dyDescent="0.25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  <c r="AJ220" s="5"/>
      <c r="AK220" s="5"/>
      <c r="AL220" s="5"/>
      <c r="AM220" s="5"/>
      <c r="AN220" s="5"/>
      <c r="AO220" s="5"/>
      <c r="AP220" s="5"/>
      <c r="AQ220" s="5"/>
      <c r="AR220" s="5"/>
      <c r="AS220" s="5"/>
      <c r="AT220" s="5"/>
      <c r="AU220" s="5"/>
      <c r="AV220" s="5"/>
      <c r="AW220" s="5"/>
    </row>
    <row r="221" spans="1:49" x14ac:dyDescent="0.25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  <c r="AJ221" s="5"/>
      <c r="AK221" s="5"/>
      <c r="AL221" s="5"/>
      <c r="AM221" s="5"/>
      <c r="AN221" s="5"/>
      <c r="AO221" s="5"/>
      <c r="AP221" s="5"/>
      <c r="AQ221" s="5"/>
      <c r="AR221" s="5"/>
      <c r="AS221" s="5"/>
      <c r="AT221" s="5"/>
      <c r="AU221" s="5"/>
      <c r="AV221" s="5"/>
      <c r="AW221" s="5"/>
    </row>
    <row r="222" spans="1:49" x14ac:dyDescent="0.25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  <c r="AJ222" s="5"/>
      <c r="AK222" s="5"/>
      <c r="AL222" s="5"/>
      <c r="AM222" s="5"/>
      <c r="AN222" s="5"/>
      <c r="AO222" s="5"/>
      <c r="AP222" s="5"/>
      <c r="AQ222" s="5"/>
      <c r="AR222" s="5"/>
      <c r="AS222" s="5"/>
      <c r="AT222" s="5"/>
      <c r="AU222" s="5"/>
      <c r="AV222" s="5"/>
      <c r="AW222" s="5"/>
    </row>
    <row r="223" spans="1:49" x14ac:dyDescent="0.25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  <c r="AJ223" s="5"/>
      <c r="AK223" s="5"/>
      <c r="AL223" s="5"/>
      <c r="AM223" s="5"/>
      <c r="AN223" s="5"/>
      <c r="AO223" s="5"/>
      <c r="AP223" s="5"/>
      <c r="AQ223" s="5"/>
      <c r="AR223" s="5"/>
      <c r="AS223" s="5"/>
      <c r="AT223" s="5"/>
      <c r="AU223" s="5"/>
      <c r="AV223" s="5"/>
      <c r="AW223" s="5"/>
    </row>
    <row r="224" spans="1:49" x14ac:dyDescent="0.25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  <c r="AJ224" s="5"/>
      <c r="AK224" s="5"/>
      <c r="AL224" s="5"/>
      <c r="AM224" s="5"/>
      <c r="AN224" s="5"/>
      <c r="AO224" s="5"/>
      <c r="AP224" s="5"/>
      <c r="AQ224" s="5"/>
      <c r="AR224" s="5"/>
      <c r="AS224" s="5"/>
      <c r="AT224" s="5"/>
      <c r="AU224" s="5"/>
      <c r="AV224" s="5"/>
      <c r="AW224" s="5"/>
    </row>
    <row r="225" spans="1:49" x14ac:dyDescent="0.25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  <c r="AJ225" s="5"/>
      <c r="AK225" s="5"/>
      <c r="AL225" s="5"/>
      <c r="AM225" s="5"/>
      <c r="AN225" s="5"/>
      <c r="AO225" s="5"/>
      <c r="AP225" s="5"/>
      <c r="AQ225" s="5"/>
      <c r="AR225" s="5"/>
      <c r="AS225" s="5"/>
      <c r="AT225" s="5"/>
      <c r="AU225" s="5"/>
      <c r="AV225" s="5"/>
      <c r="AW225" s="5"/>
    </row>
    <row r="226" spans="1:49" x14ac:dyDescent="0.25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  <c r="AJ226" s="5"/>
      <c r="AK226" s="5"/>
      <c r="AL226" s="5"/>
      <c r="AM226" s="5"/>
      <c r="AN226" s="5"/>
      <c r="AO226" s="5"/>
      <c r="AP226" s="5"/>
      <c r="AQ226" s="5"/>
      <c r="AR226" s="5"/>
      <c r="AS226" s="5"/>
      <c r="AT226" s="5"/>
      <c r="AU226" s="5"/>
      <c r="AV226" s="5"/>
      <c r="AW226" s="5"/>
    </row>
    <row r="227" spans="1:49" x14ac:dyDescent="0.25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  <c r="AJ227" s="5"/>
      <c r="AK227" s="5"/>
      <c r="AL227" s="5"/>
      <c r="AM227" s="5"/>
      <c r="AN227" s="5"/>
      <c r="AO227" s="5"/>
      <c r="AP227" s="5"/>
      <c r="AQ227" s="5"/>
      <c r="AR227" s="5"/>
      <c r="AS227" s="5"/>
      <c r="AT227" s="5"/>
      <c r="AU227" s="5"/>
      <c r="AV227" s="5"/>
      <c r="AW227" s="5"/>
    </row>
    <row r="228" spans="1:49" x14ac:dyDescent="0.25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  <c r="AJ228" s="5"/>
      <c r="AK228" s="5"/>
      <c r="AL228" s="5"/>
      <c r="AM228" s="5"/>
      <c r="AN228" s="5"/>
      <c r="AO228" s="5"/>
      <c r="AP228" s="5"/>
      <c r="AQ228" s="5"/>
      <c r="AR228" s="5"/>
      <c r="AS228" s="5"/>
      <c r="AT228" s="5"/>
      <c r="AU228" s="5"/>
      <c r="AV228" s="5"/>
      <c r="AW228" s="5"/>
    </row>
    <row r="229" spans="1:49" x14ac:dyDescent="0.25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  <c r="AJ229" s="5"/>
      <c r="AK229" s="5"/>
      <c r="AL229" s="5"/>
      <c r="AM229" s="5"/>
      <c r="AN229" s="5"/>
      <c r="AO229" s="5"/>
      <c r="AP229" s="5"/>
      <c r="AQ229" s="5"/>
      <c r="AR229" s="5"/>
      <c r="AS229" s="5"/>
      <c r="AT229" s="5"/>
      <c r="AU229" s="5"/>
      <c r="AV229" s="5"/>
      <c r="AW229" s="5"/>
    </row>
    <row r="230" spans="1:49" x14ac:dyDescent="0.25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  <c r="AJ230" s="5"/>
      <c r="AK230" s="5"/>
      <c r="AL230" s="5"/>
      <c r="AM230" s="5"/>
      <c r="AN230" s="5"/>
      <c r="AO230" s="5"/>
      <c r="AP230" s="5"/>
      <c r="AQ230" s="5"/>
      <c r="AR230" s="5"/>
      <c r="AS230" s="5"/>
      <c r="AT230" s="5"/>
      <c r="AU230" s="5"/>
      <c r="AV230" s="5"/>
      <c r="AW230" s="5"/>
    </row>
    <row r="231" spans="1:49" x14ac:dyDescent="0.25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  <c r="AJ231" s="5"/>
      <c r="AK231" s="5"/>
      <c r="AL231" s="5"/>
      <c r="AM231" s="5"/>
      <c r="AN231" s="5"/>
      <c r="AO231" s="5"/>
      <c r="AP231" s="5"/>
      <c r="AQ231" s="5"/>
      <c r="AR231" s="5"/>
      <c r="AS231" s="5"/>
      <c r="AT231" s="5"/>
      <c r="AU231" s="5"/>
      <c r="AV231" s="5"/>
      <c r="AW231" s="5"/>
    </row>
    <row r="232" spans="1:49" x14ac:dyDescent="0.25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  <c r="AJ232" s="5"/>
      <c r="AK232" s="5"/>
      <c r="AL232" s="5"/>
      <c r="AM232" s="5"/>
      <c r="AN232" s="5"/>
      <c r="AO232" s="5"/>
      <c r="AP232" s="5"/>
      <c r="AQ232" s="5"/>
      <c r="AR232" s="5"/>
      <c r="AS232" s="5"/>
      <c r="AT232" s="5"/>
      <c r="AU232" s="5"/>
      <c r="AV232" s="5"/>
      <c r="AW232" s="5"/>
    </row>
    <row r="233" spans="1:49" x14ac:dyDescent="0.25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  <c r="AJ233" s="5"/>
      <c r="AK233" s="5"/>
      <c r="AL233" s="5"/>
      <c r="AM233" s="5"/>
      <c r="AN233" s="5"/>
      <c r="AO233" s="5"/>
      <c r="AP233" s="5"/>
      <c r="AQ233" s="5"/>
      <c r="AR233" s="5"/>
      <c r="AS233" s="5"/>
      <c r="AT233" s="5"/>
      <c r="AU233" s="5"/>
      <c r="AV233" s="5"/>
      <c r="AW233" s="5"/>
    </row>
    <row r="234" spans="1:49" x14ac:dyDescent="0.25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  <c r="AJ234" s="5"/>
      <c r="AK234" s="5"/>
      <c r="AL234" s="5"/>
      <c r="AM234" s="5"/>
      <c r="AN234" s="5"/>
      <c r="AO234" s="5"/>
      <c r="AP234" s="5"/>
      <c r="AQ234" s="5"/>
      <c r="AR234" s="5"/>
      <c r="AS234" s="5"/>
      <c r="AT234" s="5"/>
      <c r="AU234" s="5"/>
      <c r="AV234" s="5"/>
      <c r="AW234" s="5"/>
    </row>
    <row r="235" spans="1:49" x14ac:dyDescent="0.25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  <c r="AJ235" s="5"/>
      <c r="AK235" s="5"/>
      <c r="AL235" s="5"/>
      <c r="AM235" s="5"/>
      <c r="AN235" s="5"/>
      <c r="AO235" s="5"/>
      <c r="AP235" s="5"/>
      <c r="AQ235" s="5"/>
      <c r="AR235" s="5"/>
      <c r="AS235" s="5"/>
      <c r="AT235" s="5"/>
      <c r="AU235" s="5"/>
      <c r="AV235" s="5"/>
      <c r="AW235" s="5"/>
    </row>
    <row r="236" spans="1:49" x14ac:dyDescent="0.25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  <c r="AJ236" s="5"/>
      <c r="AK236" s="5"/>
      <c r="AL236" s="5"/>
      <c r="AM236" s="5"/>
      <c r="AN236" s="5"/>
      <c r="AO236" s="5"/>
      <c r="AP236" s="5"/>
      <c r="AQ236" s="5"/>
      <c r="AR236" s="5"/>
      <c r="AS236" s="5"/>
      <c r="AT236" s="5"/>
      <c r="AU236" s="5"/>
      <c r="AV236" s="5"/>
      <c r="AW236" s="5"/>
    </row>
    <row r="237" spans="1:49" x14ac:dyDescent="0.25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  <c r="AJ237" s="5"/>
      <c r="AK237" s="5"/>
      <c r="AL237" s="5"/>
      <c r="AM237" s="5"/>
      <c r="AN237" s="5"/>
      <c r="AO237" s="5"/>
      <c r="AP237" s="5"/>
      <c r="AQ237" s="5"/>
      <c r="AR237" s="5"/>
      <c r="AS237" s="5"/>
      <c r="AT237" s="5"/>
      <c r="AU237" s="5"/>
      <c r="AV237" s="5"/>
      <c r="AW237" s="5"/>
    </row>
    <row r="238" spans="1:49" x14ac:dyDescent="0.25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  <c r="AJ238" s="5"/>
      <c r="AK238" s="5"/>
      <c r="AL238" s="5"/>
      <c r="AM238" s="5"/>
      <c r="AN238" s="5"/>
      <c r="AO238" s="5"/>
      <c r="AP238" s="5"/>
      <c r="AQ238" s="5"/>
      <c r="AR238" s="5"/>
      <c r="AS238" s="5"/>
      <c r="AT238" s="5"/>
      <c r="AU238" s="5"/>
      <c r="AV238" s="5"/>
      <c r="AW238" s="5"/>
    </row>
    <row r="239" spans="1:49" x14ac:dyDescent="0.25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  <c r="AJ239" s="5"/>
      <c r="AK239" s="5"/>
      <c r="AL239" s="5"/>
      <c r="AM239" s="5"/>
      <c r="AN239" s="5"/>
      <c r="AO239" s="5"/>
      <c r="AP239" s="5"/>
      <c r="AQ239" s="5"/>
      <c r="AR239" s="5"/>
      <c r="AS239" s="5"/>
      <c r="AT239" s="5"/>
      <c r="AU239" s="5"/>
      <c r="AV239" s="5"/>
      <c r="AW239" s="5"/>
    </row>
    <row r="240" spans="1:49" x14ac:dyDescent="0.25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  <c r="AJ240" s="5"/>
      <c r="AK240" s="5"/>
      <c r="AL240" s="5"/>
      <c r="AM240" s="5"/>
      <c r="AN240" s="5"/>
      <c r="AO240" s="5"/>
      <c r="AP240" s="5"/>
      <c r="AQ240" s="5"/>
      <c r="AR240" s="5"/>
      <c r="AS240" s="5"/>
      <c r="AT240" s="5"/>
      <c r="AU240" s="5"/>
      <c r="AV240" s="5"/>
      <c r="AW240" s="5"/>
    </row>
    <row r="241" spans="1:49" x14ac:dyDescent="0.25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  <c r="AJ241" s="5"/>
      <c r="AK241" s="5"/>
      <c r="AL241" s="5"/>
      <c r="AM241" s="5"/>
      <c r="AN241" s="5"/>
      <c r="AO241" s="5"/>
      <c r="AP241" s="5"/>
      <c r="AQ241" s="5"/>
      <c r="AR241" s="5"/>
      <c r="AS241" s="5"/>
      <c r="AT241" s="5"/>
      <c r="AU241" s="5"/>
      <c r="AV241" s="5"/>
      <c r="AW241" s="5"/>
    </row>
    <row r="242" spans="1:49" x14ac:dyDescent="0.25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  <c r="AJ242" s="5"/>
      <c r="AK242" s="5"/>
      <c r="AL242" s="5"/>
      <c r="AM242" s="5"/>
      <c r="AN242" s="5"/>
      <c r="AO242" s="5"/>
      <c r="AP242" s="5"/>
      <c r="AQ242" s="5"/>
      <c r="AR242" s="5"/>
      <c r="AS242" s="5"/>
      <c r="AT242" s="5"/>
      <c r="AU242" s="5"/>
      <c r="AV242" s="5"/>
      <c r="AW242" s="5"/>
    </row>
    <row r="243" spans="1:49" x14ac:dyDescent="0.25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  <c r="AJ243" s="5"/>
      <c r="AK243" s="5"/>
      <c r="AL243" s="5"/>
      <c r="AM243" s="5"/>
      <c r="AN243" s="5"/>
      <c r="AO243" s="5"/>
      <c r="AP243" s="5"/>
      <c r="AQ243" s="5"/>
      <c r="AR243" s="5"/>
      <c r="AS243" s="5"/>
      <c r="AT243" s="5"/>
      <c r="AU243" s="5"/>
      <c r="AV243" s="5"/>
      <c r="AW243" s="5"/>
    </row>
    <row r="244" spans="1:49" x14ac:dyDescent="0.25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  <c r="AJ244" s="5"/>
      <c r="AK244" s="5"/>
      <c r="AL244" s="5"/>
      <c r="AM244" s="5"/>
      <c r="AN244" s="5"/>
      <c r="AO244" s="5"/>
      <c r="AP244" s="5"/>
      <c r="AQ244" s="5"/>
      <c r="AR244" s="5"/>
      <c r="AS244" s="5"/>
      <c r="AT244" s="5"/>
      <c r="AU244" s="5"/>
      <c r="AV244" s="5"/>
      <c r="AW244" s="5"/>
    </row>
    <row r="245" spans="1:49" x14ac:dyDescent="0.25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  <c r="AJ245" s="5"/>
      <c r="AK245" s="5"/>
      <c r="AL245" s="5"/>
      <c r="AM245" s="5"/>
      <c r="AN245" s="5"/>
      <c r="AO245" s="5"/>
      <c r="AP245" s="5"/>
      <c r="AQ245" s="5"/>
      <c r="AR245" s="5"/>
      <c r="AS245" s="5"/>
      <c r="AT245" s="5"/>
      <c r="AU245" s="5"/>
      <c r="AV245" s="5"/>
      <c r="AW245" s="5"/>
    </row>
    <row r="246" spans="1:49" x14ac:dyDescent="0.25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  <c r="AJ246" s="5"/>
      <c r="AK246" s="5"/>
      <c r="AL246" s="5"/>
      <c r="AM246" s="5"/>
      <c r="AN246" s="5"/>
      <c r="AO246" s="5"/>
      <c r="AP246" s="5"/>
      <c r="AQ246" s="5"/>
      <c r="AR246" s="5"/>
      <c r="AS246" s="5"/>
      <c r="AT246" s="5"/>
      <c r="AU246" s="5"/>
      <c r="AV246" s="5"/>
      <c r="AW246" s="5"/>
    </row>
    <row r="247" spans="1:49" x14ac:dyDescent="0.25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  <c r="AJ247" s="5"/>
      <c r="AK247" s="5"/>
      <c r="AL247" s="5"/>
      <c r="AM247" s="5"/>
      <c r="AN247" s="5"/>
      <c r="AO247" s="5"/>
      <c r="AP247" s="5"/>
      <c r="AQ247" s="5"/>
      <c r="AR247" s="5"/>
      <c r="AS247" s="5"/>
      <c r="AT247" s="5"/>
      <c r="AU247" s="5"/>
      <c r="AV247" s="5"/>
      <c r="AW247" s="5"/>
    </row>
    <row r="248" spans="1:49" x14ac:dyDescent="0.25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  <c r="AJ248" s="5"/>
      <c r="AK248" s="5"/>
      <c r="AL248" s="5"/>
      <c r="AM248" s="5"/>
      <c r="AN248" s="5"/>
      <c r="AO248" s="5"/>
      <c r="AP248" s="5"/>
      <c r="AQ248" s="5"/>
      <c r="AR248" s="5"/>
      <c r="AS248" s="5"/>
      <c r="AT248" s="5"/>
      <c r="AU248" s="5"/>
      <c r="AV248" s="5"/>
      <c r="AW248" s="5"/>
    </row>
    <row r="249" spans="1:49" x14ac:dyDescent="0.25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  <c r="AJ249" s="5"/>
      <c r="AK249" s="5"/>
      <c r="AL249" s="5"/>
      <c r="AM249" s="5"/>
      <c r="AN249" s="5"/>
      <c r="AO249" s="5"/>
      <c r="AP249" s="5"/>
      <c r="AQ249" s="5"/>
      <c r="AR249" s="5"/>
      <c r="AS249" s="5"/>
      <c r="AT249" s="5"/>
      <c r="AU249" s="5"/>
      <c r="AV249" s="5"/>
      <c r="AW249" s="5"/>
    </row>
    <row r="250" spans="1:49" x14ac:dyDescent="0.25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  <c r="AJ250" s="5"/>
      <c r="AK250" s="5"/>
      <c r="AL250" s="5"/>
      <c r="AM250" s="5"/>
      <c r="AN250" s="5"/>
      <c r="AO250" s="5"/>
      <c r="AP250" s="5"/>
      <c r="AQ250" s="5"/>
      <c r="AR250" s="5"/>
      <c r="AS250" s="5"/>
      <c r="AT250" s="5"/>
      <c r="AU250" s="5"/>
      <c r="AV250" s="5"/>
      <c r="AW250" s="5"/>
    </row>
    <row r="251" spans="1:49" x14ac:dyDescent="0.25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  <c r="AJ251" s="5"/>
      <c r="AK251" s="5"/>
      <c r="AL251" s="5"/>
      <c r="AM251" s="5"/>
      <c r="AN251" s="5"/>
      <c r="AO251" s="5"/>
      <c r="AP251" s="5"/>
      <c r="AQ251" s="5"/>
      <c r="AR251" s="5"/>
      <c r="AS251" s="5"/>
      <c r="AT251" s="5"/>
      <c r="AU251" s="5"/>
      <c r="AV251" s="5"/>
      <c r="AW251" s="5"/>
    </row>
    <row r="252" spans="1:49" x14ac:dyDescent="0.25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  <c r="AJ252" s="5"/>
      <c r="AK252" s="5"/>
      <c r="AL252" s="5"/>
      <c r="AM252" s="5"/>
      <c r="AN252" s="5"/>
      <c r="AO252" s="5"/>
      <c r="AP252" s="5"/>
      <c r="AQ252" s="5"/>
      <c r="AR252" s="5"/>
      <c r="AS252" s="5"/>
      <c r="AT252" s="5"/>
      <c r="AU252" s="5"/>
      <c r="AV252" s="5"/>
      <c r="AW252" s="5"/>
    </row>
    <row r="253" spans="1:49" x14ac:dyDescent="0.25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  <c r="AJ253" s="5"/>
      <c r="AK253" s="5"/>
      <c r="AL253" s="5"/>
      <c r="AM253" s="5"/>
      <c r="AN253" s="5"/>
      <c r="AO253" s="5"/>
      <c r="AP253" s="5"/>
      <c r="AQ253" s="5"/>
      <c r="AR253" s="5"/>
      <c r="AS253" s="5"/>
      <c r="AT253" s="5"/>
      <c r="AU253" s="5"/>
      <c r="AV253" s="5"/>
      <c r="AW253" s="5"/>
    </row>
    <row r="254" spans="1:49" x14ac:dyDescent="0.25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  <c r="AJ254" s="5"/>
      <c r="AK254" s="5"/>
      <c r="AL254" s="5"/>
      <c r="AM254" s="5"/>
      <c r="AN254" s="5"/>
      <c r="AO254" s="5"/>
      <c r="AP254" s="5"/>
      <c r="AQ254" s="5"/>
      <c r="AR254" s="5"/>
      <c r="AS254" s="5"/>
      <c r="AT254" s="5"/>
      <c r="AU254" s="5"/>
      <c r="AV254" s="5"/>
      <c r="AW254" s="5"/>
    </row>
    <row r="255" spans="1:49" x14ac:dyDescent="0.25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  <c r="AJ255" s="5"/>
      <c r="AK255" s="5"/>
      <c r="AL255" s="5"/>
      <c r="AM255" s="5"/>
      <c r="AN255" s="5"/>
      <c r="AO255" s="5"/>
      <c r="AP255" s="5"/>
      <c r="AQ255" s="5"/>
      <c r="AR255" s="5"/>
      <c r="AS255" s="5"/>
      <c r="AT255" s="5"/>
      <c r="AU255" s="5"/>
      <c r="AV255" s="5"/>
      <c r="AW255" s="5"/>
    </row>
    <row r="256" spans="1:49" x14ac:dyDescent="0.25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  <c r="AJ256" s="5"/>
      <c r="AK256" s="5"/>
      <c r="AL256" s="5"/>
      <c r="AM256" s="5"/>
      <c r="AN256" s="5"/>
      <c r="AO256" s="5"/>
      <c r="AP256" s="5"/>
      <c r="AQ256" s="5"/>
      <c r="AR256" s="5"/>
      <c r="AS256" s="5"/>
      <c r="AT256" s="5"/>
      <c r="AU256" s="5"/>
      <c r="AV256" s="5"/>
      <c r="AW256" s="5"/>
    </row>
    <row r="257" spans="1:49" x14ac:dyDescent="0.25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  <c r="AJ257" s="5"/>
      <c r="AK257" s="5"/>
      <c r="AL257" s="5"/>
      <c r="AM257" s="5"/>
      <c r="AN257" s="5"/>
      <c r="AO257" s="5"/>
      <c r="AP257" s="5"/>
      <c r="AQ257" s="5"/>
      <c r="AR257" s="5"/>
      <c r="AS257" s="5"/>
      <c r="AT257" s="5"/>
      <c r="AU257" s="5"/>
      <c r="AV257" s="5"/>
      <c r="AW257" s="5"/>
    </row>
    <row r="258" spans="1:49" x14ac:dyDescent="0.25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  <c r="AJ258" s="5"/>
      <c r="AK258" s="5"/>
      <c r="AL258" s="5"/>
      <c r="AM258" s="5"/>
      <c r="AN258" s="5"/>
      <c r="AO258" s="5"/>
      <c r="AP258" s="5"/>
      <c r="AQ258" s="5"/>
      <c r="AR258" s="5"/>
      <c r="AS258" s="5"/>
      <c r="AT258" s="5"/>
      <c r="AU258" s="5"/>
      <c r="AV258" s="5"/>
      <c r="AW258" s="5"/>
    </row>
    <row r="259" spans="1:49" x14ac:dyDescent="0.25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  <c r="AJ259" s="5"/>
      <c r="AK259" s="5"/>
      <c r="AL259" s="5"/>
      <c r="AM259" s="5"/>
      <c r="AN259" s="5"/>
      <c r="AO259" s="5"/>
      <c r="AP259" s="5"/>
      <c r="AQ259" s="5"/>
      <c r="AR259" s="5"/>
      <c r="AS259" s="5"/>
      <c r="AT259" s="5"/>
      <c r="AU259" s="5"/>
      <c r="AV259" s="5"/>
      <c r="AW259" s="5"/>
    </row>
    <row r="260" spans="1:49" x14ac:dyDescent="0.25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  <c r="AJ260" s="5"/>
      <c r="AK260" s="5"/>
      <c r="AL260" s="5"/>
      <c r="AM260" s="5"/>
      <c r="AN260" s="5"/>
      <c r="AO260" s="5"/>
      <c r="AP260" s="5"/>
      <c r="AQ260" s="5"/>
      <c r="AR260" s="5"/>
      <c r="AS260" s="5"/>
      <c r="AT260" s="5"/>
      <c r="AU260" s="5"/>
      <c r="AV260" s="5"/>
      <c r="AW260" s="5"/>
    </row>
    <row r="261" spans="1:49" x14ac:dyDescent="0.25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  <c r="AJ261" s="5"/>
      <c r="AK261" s="5"/>
      <c r="AL261" s="5"/>
      <c r="AM261" s="5"/>
      <c r="AN261" s="5"/>
      <c r="AO261" s="5"/>
      <c r="AP261" s="5"/>
      <c r="AQ261" s="5"/>
      <c r="AR261" s="5"/>
      <c r="AS261" s="5"/>
      <c r="AT261" s="5"/>
      <c r="AU261" s="5"/>
      <c r="AV261" s="5"/>
      <c r="AW261" s="5"/>
    </row>
    <row r="262" spans="1:49" x14ac:dyDescent="0.25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  <c r="AJ262" s="5"/>
      <c r="AK262" s="5"/>
      <c r="AL262" s="5"/>
      <c r="AM262" s="5"/>
      <c r="AN262" s="5"/>
      <c r="AO262" s="5"/>
      <c r="AP262" s="5"/>
      <c r="AQ262" s="5"/>
      <c r="AR262" s="5"/>
      <c r="AS262" s="5"/>
      <c r="AT262" s="5"/>
      <c r="AU262" s="5"/>
      <c r="AV262" s="5"/>
      <c r="AW262" s="5"/>
    </row>
    <row r="263" spans="1:49" x14ac:dyDescent="0.25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  <c r="AJ263" s="5"/>
      <c r="AK263" s="5"/>
      <c r="AL263" s="5"/>
      <c r="AM263" s="5"/>
      <c r="AN263" s="5"/>
      <c r="AO263" s="5"/>
      <c r="AP263" s="5"/>
      <c r="AQ263" s="5"/>
      <c r="AR263" s="5"/>
      <c r="AS263" s="5"/>
      <c r="AT263" s="5"/>
      <c r="AU263" s="5"/>
      <c r="AV263" s="5"/>
      <c r="AW263" s="5"/>
    </row>
    <row r="264" spans="1:49" x14ac:dyDescent="0.25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  <c r="AJ264" s="5"/>
      <c r="AK264" s="5"/>
      <c r="AL264" s="5"/>
      <c r="AM264" s="5"/>
      <c r="AN264" s="5"/>
      <c r="AO264" s="5"/>
      <c r="AP264" s="5"/>
      <c r="AQ264" s="5"/>
      <c r="AR264" s="5"/>
      <c r="AS264" s="5"/>
      <c r="AT264" s="5"/>
      <c r="AU264" s="5"/>
      <c r="AV264" s="5"/>
      <c r="AW264" s="5"/>
    </row>
    <row r="265" spans="1:49" x14ac:dyDescent="0.25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  <c r="AJ265" s="5"/>
      <c r="AK265" s="5"/>
      <c r="AL265" s="5"/>
      <c r="AM265" s="5"/>
      <c r="AN265" s="5"/>
      <c r="AO265" s="5"/>
      <c r="AP265" s="5"/>
      <c r="AQ265" s="5"/>
      <c r="AR265" s="5"/>
      <c r="AS265" s="5"/>
      <c r="AT265" s="5"/>
      <c r="AU265" s="5"/>
      <c r="AV265" s="5"/>
      <c r="AW265" s="5"/>
    </row>
    <row r="266" spans="1:49" x14ac:dyDescent="0.25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  <c r="AJ266" s="5"/>
      <c r="AK266" s="5"/>
      <c r="AL266" s="5"/>
      <c r="AM266" s="5"/>
      <c r="AN266" s="5"/>
      <c r="AO266" s="5"/>
      <c r="AP266" s="5"/>
      <c r="AQ266" s="5"/>
      <c r="AR266" s="5"/>
      <c r="AS266" s="5"/>
      <c r="AT266" s="5"/>
      <c r="AU266" s="5"/>
      <c r="AV266" s="5"/>
      <c r="AW266" s="5"/>
    </row>
    <row r="267" spans="1:49" x14ac:dyDescent="0.25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  <c r="AJ267" s="5"/>
      <c r="AK267" s="5"/>
      <c r="AL267" s="5"/>
      <c r="AM267" s="5"/>
      <c r="AN267" s="5"/>
      <c r="AO267" s="5"/>
      <c r="AP267" s="5"/>
      <c r="AQ267" s="5"/>
      <c r="AR267" s="5"/>
      <c r="AS267" s="5"/>
      <c r="AT267" s="5"/>
      <c r="AU267" s="5"/>
      <c r="AV267" s="5"/>
      <c r="AW267" s="5"/>
    </row>
    <row r="268" spans="1:49" x14ac:dyDescent="0.25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  <c r="AJ268" s="5"/>
      <c r="AK268" s="5"/>
      <c r="AL268" s="5"/>
      <c r="AM268" s="5"/>
      <c r="AN268" s="5"/>
      <c r="AO268" s="5"/>
      <c r="AP268" s="5"/>
      <c r="AQ268" s="5"/>
      <c r="AR268" s="5"/>
      <c r="AS268" s="5"/>
      <c r="AT268" s="5"/>
      <c r="AU268" s="5"/>
      <c r="AV268" s="5"/>
      <c r="AW268" s="5"/>
    </row>
    <row r="269" spans="1:49" x14ac:dyDescent="0.25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  <c r="AJ269" s="5"/>
      <c r="AK269" s="5"/>
      <c r="AL269" s="5"/>
      <c r="AM269" s="5"/>
      <c r="AN269" s="5"/>
      <c r="AO269" s="5"/>
      <c r="AP269" s="5"/>
      <c r="AQ269" s="5"/>
      <c r="AR269" s="5"/>
      <c r="AS269" s="5"/>
      <c r="AT269" s="5"/>
      <c r="AU269" s="5"/>
      <c r="AV269" s="5"/>
      <c r="AW269" s="5"/>
    </row>
    <row r="270" spans="1:49" x14ac:dyDescent="0.25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  <c r="AJ270" s="5"/>
      <c r="AK270" s="5"/>
      <c r="AL270" s="5"/>
      <c r="AM270" s="5"/>
      <c r="AN270" s="5"/>
      <c r="AO270" s="5"/>
      <c r="AP270" s="5"/>
      <c r="AQ270" s="5"/>
      <c r="AR270" s="5"/>
      <c r="AS270" s="5"/>
      <c r="AT270" s="5"/>
      <c r="AU270" s="5"/>
      <c r="AV270" s="5"/>
      <c r="AW270" s="5"/>
    </row>
    <row r="271" spans="1:49" x14ac:dyDescent="0.25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  <c r="AJ271" s="5"/>
      <c r="AK271" s="5"/>
      <c r="AL271" s="5"/>
      <c r="AM271" s="5"/>
      <c r="AN271" s="5"/>
      <c r="AO271" s="5"/>
      <c r="AP271" s="5"/>
      <c r="AQ271" s="5"/>
      <c r="AR271" s="5"/>
      <c r="AS271" s="5"/>
      <c r="AT271" s="5"/>
      <c r="AU271" s="5"/>
      <c r="AV271" s="5"/>
      <c r="AW271" s="5"/>
    </row>
    <row r="272" spans="1:49" x14ac:dyDescent="0.25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  <c r="AJ272" s="5"/>
      <c r="AK272" s="5"/>
      <c r="AL272" s="5"/>
      <c r="AM272" s="5"/>
      <c r="AN272" s="5"/>
      <c r="AO272" s="5"/>
      <c r="AP272" s="5"/>
      <c r="AQ272" s="5"/>
      <c r="AR272" s="5"/>
      <c r="AS272" s="5"/>
      <c r="AT272" s="5"/>
      <c r="AU272" s="5"/>
      <c r="AV272" s="5"/>
      <c r="AW272" s="5"/>
    </row>
    <row r="273" spans="1:49" x14ac:dyDescent="0.25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  <c r="AJ273" s="5"/>
      <c r="AK273" s="5"/>
      <c r="AL273" s="5"/>
      <c r="AM273" s="5"/>
      <c r="AN273" s="5"/>
      <c r="AO273" s="5"/>
      <c r="AP273" s="5"/>
      <c r="AQ273" s="5"/>
      <c r="AR273" s="5"/>
      <c r="AS273" s="5"/>
      <c r="AT273" s="5"/>
      <c r="AU273" s="5"/>
      <c r="AV273" s="5"/>
      <c r="AW273" s="5"/>
    </row>
    <row r="274" spans="1:49" x14ac:dyDescent="0.25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  <c r="AJ274" s="5"/>
      <c r="AK274" s="5"/>
      <c r="AL274" s="5"/>
      <c r="AM274" s="5"/>
      <c r="AN274" s="5"/>
      <c r="AO274" s="5"/>
      <c r="AP274" s="5"/>
      <c r="AQ274" s="5"/>
      <c r="AR274" s="5"/>
      <c r="AS274" s="5"/>
      <c r="AT274" s="5"/>
      <c r="AU274" s="5"/>
      <c r="AV274" s="5"/>
      <c r="AW274" s="5"/>
    </row>
    <row r="275" spans="1:49" x14ac:dyDescent="0.25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  <c r="AJ275" s="5"/>
      <c r="AK275" s="5"/>
      <c r="AL275" s="5"/>
      <c r="AM275" s="5"/>
      <c r="AN275" s="5"/>
      <c r="AO275" s="5"/>
      <c r="AP275" s="5"/>
      <c r="AQ275" s="5"/>
      <c r="AR275" s="5"/>
      <c r="AS275" s="5"/>
      <c r="AT275" s="5"/>
      <c r="AU275" s="5"/>
      <c r="AV275" s="5"/>
      <c r="AW275" s="5"/>
    </row>
    <row r="276" spans="1:49" x14ac:dyDescent="0.25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  <c r="AJ276" s="5"/>
      <c r="AK276" s="5"/>
      <c r="AL276" s="5"/>
      <c r="AM276" s="5"/>
      <c r="AN276" s="5"/>
      <c r="AO276" s="5"/>
      <c r="AP276" s="5"/>
      <c r="AQ276" s="5"/>
      <c r="AR276" s="5"/>
      <c r="AS276" s="5"/>
      <c r="AT276" s="5"/>
      <c r="AU276" s="5"/>
      <c r="AV276" s="5"/>
      <c r="AW276" s="5"/>
    </row>
    <row r="277" spans="1:49" x14ac:dyDescent="0.25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  <c r="AJ277" s="5"/>
      <c r="AK277" s="5"/>
      <c r="AL277" s="5"/>
      <c r="AM277" s="5"/>
      <c r="AN277" s="5"/>
      <c r="AO277" s="5"/>
      <c r="AP277" s="5"/>
      <c r="AQ277" s="5"/>
      <c r="AR277" s="5"/>
      <c r="AS277" s="5"/>
      <c r="AT277" s="5"/>
      <c r="AU277" s="5"/>
      <c r="AV277" s="5"/>
      <c r="AW277" s="5"/>
    </row>
    <row r="278" spans="1:49" x14ac:dyDescent="0.25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  <c r="AJ278" s="5"/>
      <c r="AK278" s="5"/>
      <c r="AL278" s="5"/>
      <c r="AM278" s="5"/>
      <c r="AN278" s="5"/>
      <c r="AO278" s="5"/>
      <c r="AP278" s="5"/>
      <c r="AQ278" s="5"/>
      <c r="AR278" s="5"/>
      <c r="AS278" s="5"/>
      <c r="AT278" s="5"/>
      <c r="AU278" s="5"/>
      <c r="AV278" s="5"/>
      <c r="AW278" s="5"/>
    </row>
    <row r="279" spans="1:49" x14ac:dyDescent="0.25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  <c r="AJ279" s="5"/>
      <c r="AK279" s="5"/>
      <c r="AL279" s="5"/>
      <c r="AM279" s="5"/>
      <c r="AN279" s="5"/>
      <c r="AO279" s="5"/>
      <c r="AP279" s="5"/>
      <c r="AQ279" s="5"/>
      <c r="AR279" s="5"/>
      <c r="AS279" s="5"/>
      <c r="AT279" s="5"/>
      <c r="AU279" s="5"/>
      <c r="AV279" s="5"/>
      <c r="AW279" s="5"/>
    </row>
    <row r="280" spans="1:49" x14ac:dyDescent="0.25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  <c r="AJ280" s="5"/>
      <c r="AK280" s="5"/>
      <c r="AL280" s="5"/>
      <c r="AM280" s="5"/>
      <c r="AN280" s="5"/>
      <c r="AO280" s="5"/>
      <c r="AP280" s="5"/>
      <c r="AQ280" s="5"/>
      <c r="AR280" s="5"/>
      <c r="AS280" s="5"/>
      <c r="AT280" s="5"/>
      <c r="AU280" s="5"/>
      <c r="AV280" s="5"/>
      <c r="AW280" s="5"/>
    </row>
    <row r="281" spans="1:49" x14ac:dyDescent="0.25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  <c r="AJ281" s="5"/>
      <c r="AK281" s="5"/>
      <c r="AL281" s="5"/>
      <c r="AM281" s="5"/>
      <c r="AN281" s="5"/>
      <c r="AO281" s="5"/>
      <c r="AP281" s="5"/>
      <c r="AQ281" s="5"/>
      <c r="AR281" s="5"/>
      <c r="AS281" s="5"/>
      <c r="AT281" s="5"/>
      <c r="AU281" s="5"/>
      <c r="AV281" s="5"/>
      <c r="AW281" s="5"/>
    </row>
    <row r="282" spans="1:49" x14ac:dyDescent="0.25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  <c r="AJ282" s="5"/>
      <c r="AK282" s="5"/>
      <c r="AL282" s="5"/>
      <c r="AM282" s="5"/>
      <c r="AN282" s="5"/>
      <c r="AO282" s="5"/>
      <c r="AP282" s="5"/>
      <c r="AQ282" s="5"/>
      <c r="AR282" s="5"/>
      <c r="AS282" s="5"/>
      <c r="AT282" s="5"/>
      <c r="AU282" s="5"/>
      <c r="AV282" s="5"/>
      <c r="AW282" s="5"/>
    </row>
    <row r="283" spans="1:49" x14ac:dyDescent="0.25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  <c r="AJ283" s="5"/>
      <c r="AK283" s="5"/>
      <c r="AL283" s="5"/>
      <c r="AM283" s="5"/>
      <c r="AN283" s="5"/>
      <c r="AO283" s="5"/>
      <c r="AP283" s="5"/>
      <c r="AQ283" s="5"/>
      <c r="AR283" s="5"/>
      <c r="AS283" s="5"/>
      <c r="AT283" s="5"/>
      <c r="AU283" s="5"/>
      <c r="AV283" s="5"/>
      <c r="AW283" s="5"/>
    </row>
    <row r="284" spans="1:49" x14ac:dyDescent="0.25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  <c r="AJ284" s="5"/>
      <c r="AK284" s="5"/>
      <c r="AL284" s="5"/>
      <c r="AM284" s="5"/>
      <c r="AN284" s="5"/>
      <c r="AO284" s="5"/>
      <c r="AP284" s="5"/>
      <c r="AQ284" s="5"/>
      <c r="AR284" s="5"/>
      <c r="AS284" s="5"/>
      <c r="AT284" s="5"/>
      <c r="AU284" s="5"/>
      <c r="AV284" s="5"/>
      <c r="AW284" s="5"/>
    </row>
    <row r="285" spans="1:49" x14ac:dyDescent="0.25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  <c r="AJ285" s="5"/>
      <c r="AK285" s="5"/>
      <c r="AL285" s="5"/>
      <c r="AM285" s="5"/>
      <c r="AN285" s="5"/>
      <c r="AO285" s="5"/>
      <c r="AP285" s="5"/>
      <c r="AQ285" s="5"/>
      <c r="AR285" s="5"/>
      <c r="AS285" s="5"/>
      <c r="AT285" s="5"/>
      <c r="AU285" s="5"/>
      <c r="AV285" s="5"/>
      <c r="AW285" s="5"/>
    </row>
    <row r="286" spans="1:49" x14ac:dyDescent="0.25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  <c r="AJ286" s="5"/>
      <c r="AK286" s="5"/>
      <c r="AL286" s="5"/>
      <c r="AM286" s="5"/>
      <c r="AN286" s="5"/>
      <c r="AO286" s="5"/>
      <c r="AP286" s="5"/>
      <c r="AQ286" s="5"/>
      <c r="AR286" s="5"/>
      <c r="AS286" s="5"/>
      <c r="AT286" s="5"/>
      <c r="AU286" s="5"/>
      <c r="AV286" s="5"/>
      <c r="AW286" s="5"/>
    </row>
    <row r="287" spans="1:49" x14ac:dyDescent="0.25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  <c r="AJ287" s="5"/>
      <c r="AK287" s="5"/>
      <c r="AL287" s="5"/>
      <c r="AM287" s="5"/>
      <c r="AN287" s="5"/>
      <c r="AO287" s="5"/>
      <c r="AP287" s="5"/>
      <c r="AQ287" s="5"/>
      <c r="AR287" s="5"/>
      <c r="AS287" s="5"/>
      <c r="AT287" s="5"/>
      <c r="AU287" s="5"/>
      <c r="AV287" s="5"/>
      <c r="AW287" s="5"/>
    </row>
    <row r="288" spans="1:49" x14ac:dyDescent="0.25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  <c r="AJ288" s="5"/>
      <c r="AK288" s="5"/>
      <c r="AL288" s="5"/>
      <c r="AM288" s="5"/>
      <c r="AN288" s="5"/>
      <c r="AO288" s="5"/>
      <c r="AP288" s="5"/>
      <c r="AQ288" s="5"/>
      <c r="AR288" s="5"/>
      <c r="AS288" s="5"/>
      <c r="AT288" s="5"/>
      <c r="AU288" s="5"/>
      <c r="AV288" s="5"/>
      <c r="AW288" s="5"/>
    </row>
    <row r="289" spans="1:49" x14ac:dyDescent="0.25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  <c r="AJ289" s="5"/>
      <c r="AK289" s="5"/>
      <c r="AL289" s="5"/>
      <c r="AM289" s="5"/>
      <c r="AN289" s="5"/>
      <c r="AO289" s="5"/>
      <c r="AP289" s="5"/>
      <c r="AQ289" s="5"/>
      <c r="AR289" s="5"/>
      <c r="AS289" s="5"/>
      <c r="AT289" s="5"/>
      <c r="AU289" s="5"/>
      <c r="AV289" s="5"/>
      <c r="AW289" s="5"/>
    </row>
    <row r="290" spans="1:49" x14ac:dyDescent="0.25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  <c r="AJ290" s="5"/>
      <c r="AK290" s="5"/>
      <c r="AL290" s="5"/>
      <c r="AM290" s="5"/>
      <c r="AN290" s="5"/>
      <c r="AO290" s="5"/>
      <c r="AP290" s="5"/>
      <c r="AQ290" s="5"/>
      <c r="AR290" s="5"/>
      <c r="AS290" s="5"/>
      <c r="AT290" s="5"/>
      <c r="AU290" s="5"/>
      <c r="AV290" s="5"/>
      <c r="AW290" s="5"/>
    </row>
    <row r="291" spans="1:49" x14ac:dyDescent="0.25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  <c r="AJ291" s="5"/>
      <c r="AK291" s="5"/>
      <c r="AL291" s="5"/>
      <c r="AM291" s="5"/>
      <c r="AN291" s="5"/>
      <c r="AO291" s="5"/>
      <c r="AP291" s="5"/>
      <c r="AQ291" s="5"/>
      <c r="AR291" s="5"/>
      <c r="AS291" s="5"/>
      <c r="AT291" s="5"/>
      <c r="AU291" s="5"/>
      <c r="AV291" s="5"/>
      <c r="AW291" s="5"/>
    </row>
    <row r="292" spans="1:49" x14ac:dyDescent="0.25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  <c r="AJ292" s="5"/>
      <c r="AK292" s="5"/>
      <c r="AL292" s="5"/>
      <c r="AM292" s="5"/>
      <c r="AN292" s="5"/>
      <c r="AO292" s="5"/>
      <c r="AP292" s="5"/>
      <c r="AQ292" s="5"/>
      <c r="AR292" s="5"/>
      <c r="AS292" s="5"/>
      <c r="AT292" s="5"/>
      <c r="AU292" s="5"/>
      <c r="AV292" s="5"/>
      <c r="AW292" s="5"/>
    </row>
    <row r="293" spans="1:49" x14ac:dyDescent="0.25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  <c r="AJ293" s="5"/>
      <c r="AK293" s="5"/>
      <c r="AL293" s="5"/>
      <c r="AM293" s="5"/>
      <c r="AN293" s="5"/>
      <c r="AO293" s="5"/>
      <c r="AP293" s="5"/>
      <c r="AQ293" s="5"/>
      <c r="AR293" s="5"/>
      <c r="AS293" s="5"/>
      <c r="AT293" s="5"/>
      <c r="AU293" s="5"/>
      <c r="AV293" s="5"/>
      <c r="AW293" s="5"/>
    </row>
    <row r="294" spans="1:49" x14ac:dyDescent="0.25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  <c r="AJ294" s="5"/>
      <c r="AK294" s="5"/>
      <c r="AL294" s="5"/>
      <c r="AM294" s="5"/>
      <c r="AN294" s="5"/>
      <c r="AO294" s="5"/>
      <c r="AP294" s="5"/>
      <c r="AQ294" s="5"/>
      <c r="AR294" s="5"/>
      <c r="AS294" s="5"/>
      <c r="AT294" s="5"/>
      <c r="AU294" s="5"/>
      <c r="AV294" s="5"/>
      <c r="AW294" s="5"/>
    </row>
    <row r="295" spans="1:49" x14ac:dyDescent="0.25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  <c r="AJ295" s="5"/>
      <c r="AK295" s="5"/>
      <c r="AL295" s="5"/>
      <c r="AM295" s="5"/>
      <c r="AN295" s="5"/>
      <c r="AO295" s="5"/>
      <c r="AP295" s="5"/>
      <c r="AQ295" s="5"/>
      <c r="AR295" s="5"/>
      <c r="AS295" s="5"/>
      <c r="AT295" s="5"/>
      <c r="AU295" s="5"/>
      <c r="AV295" s="5"/>
      <c r="AW295" s="5"/>
    </row>
    <row r="296" spans="1:49" x14ac:dyDescent="0.25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  <c r="AJ296" s="5"/>
      <c r="AK296" s="5"/>
      <c r="AL296" s="5"/>
      <c r="AM296" s="5"/>
      <c r="AN296" s="5"/>
      <c r="AO296" s="5"/>
      <c r="AP296" s="5"/>
      <c r="AQ296" s="5"/>
      <c r="AR296" s="5"/>
      <c r="AS296" s="5"/>
      <c r="AT296" s="5"/>
      <c r="AU296" s="5"/>
      <c r="AV296" s="5"/>
      <c r="AW296" s="5"/>
    </row>
    <row r="297" spans="1:49" x14ac:dyDescent="0.25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  <c r="AJ297" s="5"/>
      <c r="AK297" s="5"/>
      <c r="AL297" s="5"/>
      <c r="AM297" s="5"/>
      <c r="AN297" s="5"/>
      <c r="AO297" s="5"/>
      <c r="AP297" s="5"/>
      <c r="AQ297" s="5"/>
      <c r="AR297" s="5"/>
      <c r="AS297" s="5"/>
      <c r="AT297" s="5"/>
      <c r="AU297" s="5"/>
      <c r="AV297" s="5"/>
      <c r="AW297" s="5"/>
    </row>
    <row r="298" spans="1:49" x14ac:dyDescent="0.25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  <c r="AJ298" s="5"/>
      <c r="AK298" s="5"/>
      <c r="AL298" s="5"/>
      <c r="AM298" s="5"/>
      <c r="AN298" s="5"/>
      <c r="AO298" s="5"/>
      <c r="AP298" s="5"/>
      <c r="AQ298" s="5"/>
      <c r="AR298" s="5"/>
      <c r="AS298" s="5"/>
      <c r="AT298" s="5"/>
      <c r="AU298" s="5"/>
      <c r="AV298" s="5"/>
      <c r="AW298" s="5"/>
    </row>
    <row r="299" spans="1:49" x14ac:dyDescent="0.25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  <c r="AJ299" s="5"/>
      <c r="AK299" s="5"/>
      <c r="AL299" s="5"/>
      <c r="AM299" s="5"/>
      <c r="AN299" s="5"/>
      <c r="AO299" s="5"/>
      <c r="AP299" s="5"/>
      <c r="AQ299" s="5"/>
      <c r="AR299" s="5"/>
      <c r="AS299" s="5"/>
      <c r="AT299" s="5"/>
      <c r="AU299" s="5"/>
      <c r="AV299" s="5"/>
      <c r="AW299" s="5"/>
    </row>
    <row r="300" spans="1:49" x14ac:dyDescent="0.25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  <c r="AJ300" s="5"/>
      <c r="AK300" s="5"/>
      <c r="AL300" s="5"/>
      <c r="AM300" s="5"/>
      <c r="AN300" s="5"/>
      <c r="AO300" s="5"/>
      <c r="AP300" s="5"/>
      <c r="AQ300" s="5"/>
      <c r="AR300" s="5"/>
      <c r="AS300" s="5"/>
      <c r="AT300" s="5"/>
      <c r="AU300" s="5"/>
      <c r="AV300" s="5"/>
      <c r="AW300" s="5"/>
    </row>
    <row r="301" spans="1:49" x14ac:dyDescent="0.25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  <c r="AJ301" s="5"/>
      <c r="AK301" s="5"/>
      <c r="AL301" s="5"/>
      <c r="AM301" s="5"/>
      <c r="AN301" s="5"/>
      <c r="AO301" s="5"/>
      <c r="AP301" s="5"/>
      <c r="AQ301" s="5"/>
      <c r="AR301" s="5"/>
      <c r="AS301" s="5"/>
      <c r="AT301" s="5"/>
      <c r="AU301" s="5"/>
      <c r="AV301" s="5"/>
      <c r="AW301" s="5"/>
    </row>
    <row r="302" spans="1:49" x14ac:dyDescent="0.25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  <c r="AJ302" s="5"/>
      <c r="AK302" s="5"/>
      <c r="AL302" s="5"/>
      <c r="AM302" s="5"/>
      <c r="AN302" s="5"/>
      <c r="AO302" s="5"/>
      <c r="AP302" s="5"/>
      <c r="AQ302" s="5"/>
      <c r="AR302" s="5"/>
      <c r="AS302" s="5"/>
      <c r="AT302" s="5"/>
      <c r="AU302" s="5"/>
      <c r="AV302" s="5"/>
      <c r="AW302" s="5"/>
    </row>
    <row r="303" spans="1:49" x14ac:dyDescent="0.25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</row>
    <row r="304" spans="1:49" x14ac:dyDescent="0.25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</row>
    <row r="305" spans="1:49" x14ac:dyDescent="0.25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</row>
    <row r="306" spans="1:49" x14ac:dyDescent="0.25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</row>
    <row r="307" spans="1:49" x14ac:dyDescent="0.25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</row>
    <row r="308" spans="1:49" x14ac:dyDescent="0.25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</row>
    <row r="309" spans="1:49" x14ac:dyDescent="0.25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</row>
    <row r="310" spans="1:49" x14ac:dyDescent="0.25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</row>
    <row r="311" spans="1:49" x14ac:dyDescent="0.25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</row>
    <row r="312" spans="1:49" x14ac:dyDescent="0.25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</row>
    <row r="313" spans="1:49" x14ac:dyDescent="0.25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</row>
    <row r="314" spans="1:49" x14ac:dyDescent="0.25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</row>
    <row r="315" spans="1:49" x14ac:dyDescent="0.25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</row>
    <row r="316" spans="1:49" x14ac:dyDescent="0.25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</row>
    <row r="317" spans="1:49" x14ac:dyDescent="0.25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</row>
    <row r="318" spans="1:49" x14ac:dyDescent="0.25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</row>
    <row r="319" spans="1:49" x14ac:dyDescent="0.25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</row>
    <row r="320" spans="1:49" x14ac:dyDescent="0.25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</row>
    <row r="321" spans="1:49" x14ac:dyDescent="0.25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</row>
    <row r="322" spans="1:49" x14ac:dyDescent="0.25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</row>
    <row r="323" spans="1:49" x14ac:dyDescent="0.25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</row>
    <row r="324" spans="1:49" x14ac:dyDescent="0.25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</row>
    <row r="325" spans="1:49" x14ac:dyDescent="0.25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</row>
    <row r="326" spans="1:49" x14ac:dyDescent="0.25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</row>
    <row r="327" spans="1:49" x14ac:dyDescent="0.25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</row>
    <row r="328" spans="1:49" x14ac:dyDescent="0.25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</row>
    <row r="329" spans="1:49" x14ac:dyDescent="0.25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</row>
    <row r="330" spans="1:49" x14ac:dyDescent="0.25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</row>
    <row r="331" spans="1:49" x14ac:dyDescent="0.25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</row>
    <row r="332" spans="1:49" x14ac:dyDescent="0.25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</row>
    <row r="333" spans="1:49" x14ac:dyDescent="0.25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</row>
    <row r="334" spans="1:49" x14ac:dyDescent="0.25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</row>
    <row r="335" spans="1:49" x14ac:dyDescent="0.25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</row>
    <row r="336" spans="1:49" x14ac:dyDescent="0.25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</row>
    <row r="337" spans="1:49" x14ac:dyDescent="0.25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</row>
    <row r="338" spans="1:49" x14ac:dyDescent="0.25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</row>
    <row r="339" spans="1:49" x14ac:dyDescent="0.25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</row>
    <row r="340" spans="1:49" x14ac:dyDescent="0.25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</row>
    <row r="341" spans="1:49" x14ac:dyDescent="0.25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</row>
    <row r="342" spans="1:49" x14ac:dyDescent="0.25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</row>
    <row r="343" spans="1:49" x14ac:dyDescent="0.25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</row>
    <row r="344" spans="1:49" x14ac:dyDescent="0.25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</row>
    <row r="345" spans="1:49" x14ac:dyDescent="0.25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</row>
    <row r="346" spans="1:49" x14ac:dyDescent="0.25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</row>
    <row r="347" spans="1:49" x14ac:dyDescent="0.25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</row>
    <row r="348" spans="1:49" x14ac:dyDescent="0.25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</row>
    <row r="349" spans="1:49" x14ac:dyDescent="0.25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</row>
    <row r="350" spans="1:49" x14ac:dyDescent="0.25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</row>
    <row r="351" spans="1:49" x14ac:dyDescent="0.25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</row>
    <row r="352" spans="1:49" x14ac:dyDescent="0.25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</row>
    <row r="353" spans="1:49" x14ac:dyDescent="0.25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</row>
    <row r="354" spans="1:49" x14ac:dyDescent="0.25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</row>
    <row r="355" spans="1:49" x14ac:dyDescent="0.25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</row>
    <row r="356" spans="1:49" x14ac:dyDescent="0.25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</row>
    <row r="357" spans="1:49" x14ac:dyDescent="0.25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</row>
    <row r="358" spans="1:49" x14ac:dyDescent="0.25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</row>
    <row r="359" spans="1:49" x14ac:dyDescent="0.25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</row>
    <row r="360" spans="1:49" x14ac:dyDescent="0.25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</row>
    <row r="361" spans="1:49" x14ac:dyDescent="0.25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</row>
    <row r="362" spans="1:49" x14ac:dyDescent="0.25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</row>
    <row r="363" spans="1:49" x14ac:dyDescent="0.25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</row>
    <row r="364" spans="1:49" x14ac:dyDescent="0.25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</row>
    <row r="365" spans="1:49" x14ac:dyDescent="0.25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</row>
    <row r="366" spans="1:49" x14ac:dyDescent="0.25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</row>
    <row r="367" spans="1:49" x14ac:dyDescent="0.25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</row>
    <row r="368" spans="1:49" x14ac:dyDescent="0.25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</row>
    <row r="369" spans="1:49" x14ac:dyDescent="0.25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</row>
    <row r="370" spans="1:49" x14ac:dyDescent="0.25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</row>
    <row r="371" spans="1:49" x14ac:dyDescent="0.25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</row>
    <row r="372" spans="1:49" x14ac:dyDescent="0.25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</row>
    <row r="373" spans="1:49" x14ac:dyDescent="0.25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</row>
    <row r="374" spans="1:49" x14ac:dyDescent="0.25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</row>
    <row r="375" spans="1:49" x14ac:dyDescent="0.25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</row>
    <row r="376" spans="1:49" x14ac:dyDescent="0.25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  <c r="AJ376" s="5"/>
      <c r="AK376" s="5"/>
      <c r="AL376" s="5"/>
      <c r="AM376" s="5"/>
      <c r="AN376" s="5"/>
      <c r="AO376" s="5"/>
      <c r="AP376" s="5"/>
      <c r="AQ376" s="5"/>
      <c r="AR376" s="5"/>
      <c r="AS376" s="5"/>
      <c r="AT376" s="5"/>
      <c r="AU376" s="5"/>
      <c r="AV376" s="5"/>
      <c r="AW376" s="5"/>
    </row>
    <row r="377" spans="1:49" x14ac:dyDescent="0.25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  <c r="AJ377" s="5"/>
      <c r="AK377" s="5"/>
      <c r="AL377" s="5"/>
      <c r="AM377" s="5"/>
      <c r="AN377" s="5"/>
      <c r="AO377" s="5"/>
      <c r="AP377" s="5"/>
      <c r="AQ377" s="5"/>
      <c r="AR377" s="5"/>
      <c r="AS377" s="5"/>
      <c r="AT377" s="5"/>
      <c r="AU377" s="5"/>
      <c r="AV377" s="5"/>
      <c r="AW377" s="5"/>
    </row>
    <row r="378" spans="1:49" x14ac:dyDescent="0.25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  <c r="AJ378" s="5"/>
      <c r="AK378" s="5"/>
      <c r="AL378" s="5"/>
      <c r="AM378" s="5"/>
      <c r="AN378" s="5"/>
      <c r="AO378" s="5"/>
      <c r="AP378" s="5"/>
      <c r="AQ378" s="5"/>
      <c r="AR378" s="5"/>
      <c r="AS378" s="5"/>
      <c r="AT378" s="5"/>
      <c r="AU378" s="5"/>
      <c r="AV378" s="5"/>
      <c r="AW378" s="5"/>
    </row>
    <row r="379" spans="1:49" x14ac:dyDescent="0.25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  <c r="AJ379" s="5"/>
      <c r="AK379" s="5"/>
      <c r="AL379" s="5"/>
      <c r="AM379" s="5"/>
      <c r="AN379" s="5"/>
      <c r="AO379" s="5"/>
      <c r="AP379" s="5"/>
      <c r="AQ379" s="5"/>
      <c r="AR379" s="5"/>
      <c r="AS379" s="5"/>
      <c r="AT379" s="5"/>
      <c r="AU379" s="5"/>
      <c r="AV379" s="5"/>
      <c r="AW379" s="5"/>
    </row>
    <row r="380" spans="1:49" x14ac:dyDescent="0.25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  <c r="AJ380" s="5"/>
      <c r="AK380" s="5"/>
      <c r="AL380" s="5"/>
      <c r="AM380" s="5"/>
      <c r="AN380" s="5"/>
      <c r="AO380" s="5"/>
      <c r="AP380" s="5"/>
      <c r="AQ380" s="5"/>
      <c r="AR380" s="5"/>
      <c r="AS380" s="5"/>
      <c r="AT380" s="5"/>
      <c r="AU380" s="5"/>
      <c r="AV380" s="5"/>
      <c r="AW380" s="5"/>
    </row>
    <row r="381" spans="1:49" x14ac:dyDescent="0.25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  <c r="AJ381" s="5"/>
      <c r="AK381" s="5"/>
      <c r="AL381" s="5"/>
      <c r="AM381" s="5"/>
      <c r="AN381" s="5"/>
      <c r="AO381" s="5"/>
      <c r="AP381" s="5"/>
      <c r="AQ381" s="5"/>
      <c r="AR381" s="5"/>
      <c r="AS381" s="5"/>
      <c r="AT381" s="5"/>
      <c r="AU381" s="5"/>
      <c r="AV381" s="5"/>
      <c r="AW381" s="5"/>
    </row>
    <row r="382" spans="1:49" x14ac:dyDescent="0.25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  <c r="AJ382" s="5"/>
      <c r="AK382" s="5"/>
      <c r="AL382" s="5"/>
      <c r="AM382" s="5"/>
      <c r="AN382" s="5"/>
      <c r="AO382" s="5"/>
      <c r="AP382" s="5"/>
      <c r="AQ382" s="5"/>
      <c r="AR382" s="5"/>
      <c r="AS382" s="5"/>
      <c r="AT382" s="5"/>
      <c r="AU382" s="5"/>
      <c r="AV382" s="5"/>
      <c r="AW382" s="5"/>
    </row>
    <row r="383" spans="1:49" x14ac:dyDescent="0.25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  <c r="AJ383" s="5"/>
      <c r="AK383" s="5"/>
      <c r="AL383" s="5"/>
      <c r="AM383" s="5"/>
      <c r="AN383" s="5"/>
      <c r="AO383" s="5"/>
      <c r="AP383" s="5"/>
      <c r="AQ383" s="5"/>
      <c r="AR383" s="5"/>
      <c r="AS383" s="5"/>
      <c r="AT383" s="5"/>
      <c r="AU383" s="5"/>
      <c r="AV383" s="5"/>
      <c r="AW383" s="5"/>
    </row>
    <row r="384" spans="1:49" x14ac:dyDescent="0.25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  <c r="AJ384" s="5"/>
      <c r="AK384" s="5"/>
      <c r="AL384" s="5"/>
      <c r="AM384" s="5"/>
      <c r="AN384" s="5"/>
      <c r="AO384" s="5"/>
      <c r="AP384" s="5"/>
      <c r="AQ384" s="5"/>
      <c r="AR384" s="5"/>
      <c r="AS384" s="5"/>
      <c r="AT384" s="5"/>
      <c r="AU384" s="5"/>
      <c r="AV384" s="5"/>
      <c r="AW384" s="5"/>
    </row>
    <row r="385" spans="1:49" x14ac:dyDescent="0.25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  <c r="AJ385" s="5"/>
      <c r="AK385" s="5"/>
      <c r="AL385" s="5"/>
      <c r="AM385" s="5"/>
      <c r="AN385" s="5"/>
      <c r="AO385" s="5"/>
      <c r="AP385" s="5"/>
      <c r="AQ385" s="5"/>
      <c r="AR385" s="5"/>
      <c r="AS385" s="5"/>
      <c r="AT385" s="5"/>
      <c r="AU385" s="5"/>
      <c r="AV385" s="5"/>
      <c r="AW385" s="5"/>
    </row>
    <row r="386" spans="1:49" x14ac:dyDescent="0.25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  <c r="AJ386" s="5"/>
      <c r="AK386" s="5"/>
      <c r="AL386" s="5"/>
      <c r="AM386" s="5"/>
      <c r="AN386" s="5"/>
      <c r="AO386" s="5"/>
      <c r="AP386" s="5"/>
      <c r="AQ386" s="5"/>
      <c r="AR386" s="5"/>
      <c r="AS386" s="5"/>
      <c r="AT386" s="5"/>
      <c r="AU386" s="5"/>
      <c r="AV386" s="5"/>
      <c r="AW386" s="5"/>
    </row>
    <row r="387" spans="1:49" x14ac:dyDescent="0.25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  <c r="AJ387" s="5"/>
      <c r="AK387" s="5"/>
      <c r="AL387" s="5"/>
      <c r="AM387" s="5"/>
      <c r="AN387" s="5"/>
      <c r="AO387" s="5"/>
      <c r="AP387" s="5"/>
      <c r="AQ387" s="5"/>
      <c r="AR387" s="5"/>
      <c r="AS387" s="5"/>
      <c r="AT387" s="5"/>
      <c r="AU387" s="5"/>
      <c r="AV387" s="5"/>
      <c r="AW387" s="5"/>
    </row>
    <row r="388" spans="1:49" x14ac:dyDescent="0.25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  <c r="AJ388" s="5"/>
      <c r="AK388" s="5"/>
      <c r="AL388" s="5"/>
      <c r="AM388" s="5"/>
      <c r="AN388" s="5"/>
      <c r="AO388" s="5"/>
      <c r="AP388" s="5"/>
      <c r="AQ388" s="5"/>
      <c r="AR388" s="5"/>
      <c r="AS388" s="5"/>
      <c r="AT388" s="5"/>
      <c r="AU388" s="5"/>
      <c r="AV388" s="5"/>
      <c r="AW388" s="5"/>
    </row>
    <row r="389" spans="1:49" x14ac:dyDescent="0.25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  <c r="AJ389" s="5"/>
      <c r="AK389" s="5"/>
      <c r="AL389" s="5"/>
      <c r="AM389" s="5"/>
      <c r="AN389" s="5"/>
      <c r="AO389" s="5"/>
      <c r="AP389" s="5"/>
      <c r="AQ389" s="5"/>
      <c r="AR389" s="5"/>
      <c r="AS389" s="5"/>
      <c r="AT389" s="5"/>
      <c r="AU389" s="5"/>
      <c r="AV389" s="5"/>
      <c r="AW389" s="5"/>
    </row>
    <row r="390" spans="1:49" x14ac:dyDescent="0.25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  <c r="AJ390" s="5"/>
      <c r="AK390" s="5"/>
      <c r="AL390" s="5"/>
      <c r="AM390" s="5"/>
      <c r="AN390" s="5"/>
      <c r="AO390" s="5"/>
      <c r="AP390" s="5"/>
      <c r="AQ390" s="5"/>
      <c r="AR390" s="5"/>
      <c r="AS390" s="5"/>
      <c r="AT390" s="5"/>
      <c r="AU390" s="5"/>
      <c r="AV390" s="5"/>
      <c r="AW390" s="5"/>
    </row>
    <row r="391" spans="1:49" x14ac:dyDescent="0.25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  <c r="AJ391" s="5"/>
      <c r="AK391" s="5"/>
      <c r="AL391" s="5"/>
      <c r="AM391" s="5"/>
      <c r="AN391" s="5"/>
      <c r="AO391" s="5"/>
      <c r="AP391" s="5"/>
      <c r="AQ391" s="5"/>
      <c r="AR391" s="5"/>
      <c r="AS391" s="5"/>
      <c r="AT391" s="5"/>
      <c r="AU391" s="5"/>
      <c r="AV391" s="5"/>
      <c r="AW391" s="5"/>
    </row>
    <row r="392" spans="1:49" x14ac:dyDescent="0.25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  <c r="AJ392" s="5"/>
      <c r="AK392" s="5"/>
      <c r="AL392" s="5"/>
      <c r="AM392" s="5"/>
      <c r="AN392" s="5"/>
      <c r="AO392" s="5"/>
      <c r="AP392" s="5"/>
      <c r="AQ392" s="5"/>
      <c r="AR392" s="5"/>
      <c r="AS392" s="5"/>
      <c r="AT392" s="5"/>
      <c r="AU392" s="5"/>
      <c r="AV392" s="5"/>
      <c r="AW392" s="5"/>
    </row>
    <row r="393" spans="1:49" x14ac:dyDescent="0.25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  <c r="AJ393" s="5"/>
      <c r="AK393" s="5"/>
      <c r="AL393" s="5"/>
      <c r="AM393" s="5"/>
      <c r="AN393" s="5"/>
      <c r="AO393" s="5"/>
      <c r="AP393" s="5"/>
      <c r="AQ393" s="5"/>
      <c r="AR393" s="5"/>
      <c r="AS393" s="5"/>
      <c r="AT393" s="5"/>
      <c r="AU393" s="5"/>
      <c r="AV393" s="5"/>
      <c r="AW393" s="5"/>
    </row>
    <row r="394" spans="1:49" x14ac:dyDescent="0.25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  <c r="AJ394" s="5"/>
      <c r="AK394" s="5"/>
      <c r="AL394" s="5"/>
      <c r="AM394" s="5"/>
      <c r="AN394" s="5"/>
      <c r="AO394" s="5"/>
      <c r="AP394" s="5"/>
      <c r="AQ394" s="5"/>
      <c r="AR394" s="5"/>
      <c r="AS394" s="5"/>
      <c r="AT394" s="5"/>
      <c r="AU394" s="5"/>
      <c r="AV394" s="5"/>
      <c r="AW394" s="5"/>
    </row>
    <row r="395" spans="1:49" x14ac:dyDescent="0.25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  <c r="AJ395" s="5"/>
      <c r="AK395" s="5"/>
      <c r="AL395" s="5"/>
      <c r="AM395" s="5"/>
      <c r="AN395" s="5"/>
      <c r="AO395" s="5"/>
      <c r="AP395" s="5"/>
      <c r="AQ395" s="5"/>
      <c r="AR395" s="5"/>
      <c r="AS395" s="5"/>
      <c r="AT395" s="5"/>
      <c r="AU395" s="5"/>
      <c r="AV395" s="5"/>
      <c r="AW395" s="5"/>
    </row>
    <row r="396" spans="1:49" x14ac:dyDescent="0.25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  <c r="AJ396" s="5"/>
      <c r="AK396" s="5"/>
      <c r="AL396" s="5"/>
      <c r="AM396" s="5"/>
      <c r="AN396" s="5"/>
      <c r="AO396" s="5"/>
      <c r="AP396" s="5"/>
      <c r="AQ396" s="5"/>
      <c r="AR396" s="5"/>
      <c r="AS396" s="5"/>
      <c r="AT396" s="5"/>
      <c r="AU396" s="5"/>
      <c r="AV396" s="5"/>
      <c r="AW396" s="5"/>
    </row>
    <row r="397" spans="1:49" x14ac:dyDescent="0.25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  <c r="AJ397" s="5"/>
      <c r="AK397" s="5"/>
      <c r="AL397" s="5"/>
      <c r="AM397" s="5"/>
      <c r="AN397" s="5"/>
      <c r="AO397" s="5"/>
      <c r="AP397" s="5"/>
      <c r="AQ397" s="5"/>
      <c r="AR397" s="5"/>
      <c r="AS397" s="5"/>
      <c r="AT397" s="5"/>
      <c r="AU397" s="5"/>
      <c r="AV397" s="5"/>
      <c r="AW397" s="5"/>
    </row>
    <row r="398" spans="1:49" x14ac:dyDescent="0.25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  <c r="AJ398" s="5"/>
      <c r="AK398" s="5"/>
      <c r="AL398" s="5"/>
      <c r="AM398" s="5"/>
      <c r="AN398" s="5"/>
      <c r="AO398" s="5"/>
      <c r="AP398" s="5"/>
      <c r="AQ398" s="5"/>
      <c r="AR398" s="5"/>
      <c r="AS398" s="5"/>
      <c r="AT398" s="5"/>
      <c r="AU398" s="5"/>
      <c r="AV398" s="5"/>
      <c r="AW398" s="5"/>
    </row>
    <row r="399" spans="1:49" x14ac:dyDescent="0.25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  <c r="AJ399" s="5"/>
      <c r="AK399" s="5"/>
      <c r="AL399" s="5"/>
      <c r="AM399" s="5"/>
      <c r="AN399" s="5"/>
      <c r="AO399" s="5"/>
      <c r="AP399" s="5"/>
      <c r="AQ399" s="5"/>
      <c r="AR399" s="5"/>
      <c r="AS399" s="5"/>
      <c r="AT399" s="5"/>
      <c r="AU399" s="5"/>
      <c r="AV399" s="5"/>
      <c r="AW399" s="5"/>
    </row>
    <row r="400" spans="1:49" x14ac:dyDescent="0.25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  <c r="AJ400" s="5"/>
      <c r="AK400" s="5"/>
      <c r="AL400" s="5"/>
      <c r="AM400" s="5"/>
      <c r="AN400" s="5"/>
      <c r="AO400" s="5"/>
      <c r="AP400" s="5"/>
      <c r="AQ400" s="5"/>
      <c r="AR400" s="5"/>
      <c r="AS400" s="5"/>
      <c r="AT400" s="5"/>
      <c r="AU400" s="5"/>
      <c r="AV400" s="5"/>
      <c r="AW400" s="5"/>
    </row>
    <row r="401" spans="1:49" x14ac:dyDescent="0.25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  <c r="AJ401" s="5"/>
      <c r="AK401" s="5"/>
      <c r="AL401" s="5"/>
      <c r="AM401" s="5"/>
      <c r="AN401" s="5"/>
      <c r="AO401" s="5"/>
      <c r="AP401" s="5"/>
      <c r="AQ401" s="5"/>
      <c r="AR401" s="5"/>
      <c r="AS401" s="5"/>
      <c r="AT401" s="5"/>
      <c r="AU401" s="5"/>
      <c r="AV401" s="5"/>
      <c r="AW401" s="5"/>
    </row>
    <row r="402" spans="1:49" x14ac:dyDescent="0.25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  <c r="AJ402" s="5"/>
      <c r="AK402" s="5"/>
      <c r="AL402" s="5"/>
      <c r="AM402" s="5"/>
      <c r="AN402" s="5"/>
      <c r="AO402" s="5"/>
      <c r="AP402" s="5"/>
      <c r="AQ402" s="5"/>
      <c r="AR402" s="5"/>
      <c r="AS402" s="5"/>
      <c r="AT402" s="5"/>
      <c r="AU402" s="5"/>
      <c r="AV402" s="5"/>
      <c r="AW402" s="5"/>
    </row>
    <row r="403" spans="1:49" x14ac:dyDescent="0.25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  <c r="AJ403" s="5"/>
      <c r="AK403" s="5"/>
      <c r="AL403" s="5"/>
      <c r="AM403" s="5"/>
      <c r="AN403" s="5"/>
      <c r="AO403" s="5"/>
      <c r="AP403" s="5"/>
      <c r="AQ403" s="5"/>
      <c r="AR403" s="5"/>
      <c r="AS403" s="5"/>
      <c r="AT403" s="5"/>
      <c r="AU403" s="5"/>
      <c r="AV403" s="5"/>
      <c r="AW403" s="5"/>
    </row>
    <row r="404" spans="1:49" x14ac:dyDescent="0.25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  <c r="AJ404" s="5"/>
      <c r="AK404" s="5"/>
      <c r="AL404" s="5"/>
      <c r="AM404" s="5"/>
      <c r="AN404" s="5"/>
      <c r="AO404" s="5"/>
      <c r="AP404" s="5"/>
      <c r="AQ404" s="5"/>
      <c r="AR404" s="5"/>
      <c r="AS404" s="5"/>
      <c r="AT404" s="5"/>
      <c r="AU404" s="5"/>
      <c r="AV404" s="5"/>
      <c r="AW404" s="5"/>
    </row>
    <row r="405" spans="1:49" x14ac:dyDescent="0.25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  <c r="AJ405" s="5"/>
      <c r="AK405" s="5"/>
      <c r="AL405" s="5"/>
      <c r="AM405" s="5"/>
      <c r="AN405" s="5"/>
      <c r="AO405" s="5"/>
      <c r="AP405" s="5"/>
      <c r="AQ405" s="5"/>
      <c r="AR405" s="5"/>
      <c r="AS405" s="5"/>
      <c r="AT405" s="5"/>
      <c r="AU405" s="5"/>
      <c r="AV405" s="5"/>
      <c r="AW405" s="5"/>
    </row>
    <row r="406" spans="1:49" x14ac:dyDescent="0.25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  <c r="AJ406" s="5"/>
      <c r="AK406" s="5"/>
      <c r="AL406" s="5"/>
      <c r="AM406" s="5"/>
      <c r="AN406" s="5"/>
      <c r="AO406" s="5"/>
      <c r="AP406" s="5"/>
      <c r="AQ406" s="5"/>
      <c r="AR406" s="5"/>
      <c r="AS406" s="5"/>
      <c r="AT406" s="5"/>
      <c r="AU406" s="5"/>
      <c r="AV406" s="5"/>
      <c r="AW406" s="5"/>
    </row>
    <row r="407" spans="1:49" x14ac:dyDescent="0.25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  <c r="AJ407" s="5"/>
      <c r="AK407" s="5"/>
      <c r="AL407" s="5"/>
      <c r="AM407" s="5"/>
      <c r="AN407" s="5"/>
      <c r="AO407" s="5"/>
      <c r="AP407" s="5"/>
      <c r="AQ407" s="5"/>
      <c r="AR407" s="5"/>
      <c r="AS407" s="5"/>
      <c r="AT407" s="5"/>
      <c r="AU407" s="5"/>
      <c r="AV407" s="5"/>
      <c r="AW407" s="5"/>
    </row>
    <row r="408" spans="1:49" x14ac:dyDescent="0.25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  <c r="AJ408" s="5"/>
      <c r="AK408" s="5"/>
      <c r="AL408" s="5"/>
      <c r="AM408" s="5"/>
      <c r="AN408" s="5"/>
      <c r="AO408" s="5"/>
      <c r="AP408" s="5"/>
      <c r="AQ408" s="5"/>
      <c r="AR408" s="5"/>
      <c r="AS408" s="5"/>
      <c r="AT408" s="5"/>
      <c r="AU408" s="5"/>
      <c r="AV408" s="5"/>
      <c r="AW408" s="5"/>
    </row>
    <row r="409" spans="1:49" x14ac:dyDescent="0.25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  <c r="AJ409" s="5"/>
      <c r="AK409" s="5"/>
      <c r="AL409" s="5"/>
      <c r="AM409" s="5"/>
      <c r="AN409" s="5"/>
      <c r="AO409" s="5"/>
      <c r="AP409" s="5"/>
      <c r="AQ409" s="5"/>
      <c r="AR409" s="5"/>
      <c r="AS409" s="5"/>
      <c r="AT409" s="5"/>
      <c r="AU409" s="5"/>
      <c r="AV409" s="5"/>
      <c r="AW409" s="5"/>
    </row>
    <row r="410" spans="1:49" x14ac:dyDescent="0.25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  <c r="AJ410" s="5"/>
      <c r="AK410" s="5"/>
      <c r="AL410" s="5"/>
      <c r="AM410" s="5"/>
      <c r="AN410" s="5"/>
      <c r="AO410" s="5"/>
      <c r="AP410" s="5"/>
      <c r="AQ410" s="5"/>
      <c r="AR410" s="5"/>
      <c r="AS410" s="5"/>
      <c r="AT410" s="5"/>
      <c r="AU410" s="5"/>
      <c r="AV410" s="5"/>
      <c r="AW410" s="5"/>
    </row>
    <row r="411" spans="1:49" x14ac:dyDescent="0.25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  <c r="AJ411" s="5"/>
      <c r="AK411" s="5"/>
      <c r="AL411" s="5"/>
      <c r="AM411" s="5"/>
      <c r="AN411" s="5"/>
      <c r="AO411" s="5"/>
      <c r="AP411" s="5"/>
      <c r="AQ411" s="5"/>
      <c r="AR411" s="5"/>
      <c r="AS411" s="5"/>
      <c r="AT411" s="5"/>
      <c r="AU411" s="5"/>
      <c r="AV411" s="5"/>
      <c r="AW411" s="5"/>
    </row>
    <row r="412" spans="1:49" x14ac:dyDescent="0.25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  <c r="AJ412" s="5"/>
      <c r="AK412" s="5"/>
      <c r="AL412" s="5"/>
      <c r="AM412" s="5"/>
      <c r="AN412" s="5"/>
      <c r="AO412" s="5"/>
      <c r="AP412" s="5"/>
      <c r="AQ412" s="5"/>
      <c r="AR412" s="5"/>
      <c r="AS412" s="5"/>
      <c r="AT412" s="5"/>
      <c r="AU412" s="5"/>
      <c r="AV412" s="5"/>
      <c r="AW412" s="5"/>
    </row>
    <row r="413" spans="1:49" x14ac:dyDescent="0.25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  <c r="AJ413" s="5"/>
      <c r="AK413" s="5"/>
      <c r="AL413" s="5"/>
      <c r="AM413" s="5"/>
      <c r="AN413" s="5"/>
      <c r="AO413" s="5"/>
      <c r="AP413" s="5"/>
      <c r="AQ413" s="5"/>
      <c r="AR413" s="5"/>
      <c r="AS413" s="5"/>
      <c r="AT413" s="5"/>
      <c r="AU413" s="5"/>
      <c r="AV413" s="5"/>
      <c r="AW413" s="5"/>
    </row>
    <row r="414" spans="1:49" x14ac:dyDescent="0.25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  <c r="AJ414" s="5"/>
      <c r="AK414" s="5"/>
      <c r="AL414" s="5"/>
      <c r="AM414" s="5"/>
      <c r="AN414" s="5"/>
      <c r="AO414" s="5"/>
      <c r="AP414" s="5"/>
      <c r="AQ414" s="5"/>
      <c r="AR414" s="5"/>
      <c r="AS414" s="5"/>
      <c r="AT414" s="5"/>
      <c r="AU414" s="5"/>
      <c r="AV414" s="5"/>
      <c r="AW414" s="5"/>
    </row>
    <row r="415" spans="1:49" x14ac:dyDescent="0.25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  <c r="AJ415" s="5"/>
      <c r="AK415" s="5"/>
      <c r="AL415" s="5"/>
      <c r="AM415" s="5"/>
      <c r="AN415" s="5"/>
      <c r="AO415" s="5"/>
      <c r="AP415" s="5"/>
      <c r="AQ415" s="5"/>
      <c r="AR415" s="5"/>
      <c r="AS415" s="5"/>
      <c r="AT415" s="5"/>
      <c r="AU415" s="5"/>
      <c r="AV415" s="5"/>
      <c r="AW415" s="5"/>
    </row>
    <row r="416" spans="1:49" x14ac:dyDescent="0.25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  <c r="AJ416" s="5"/>
      <c r="AK416" s="5"/>
      <c r="AL416" s="5"/>
      <c r="AM416" s="5"/>
      <c r="AN416" s="5"/>
      <c r="AO416" s="5"/>
      <c r="AP416" s="5"/>
      <c r="AQ416" s="5"/>
      <c r="AR416" s="5"/>
      <c r="AS416" s="5"/>
      <c r="AT416" s="5"/>
      <c r="AU416" s="5"/>
      <c r="AV416" s="5"/>
      <c r="AW416" s="5"/>
    </row>
    <row r="417" spans="1:49" x14ac:dyDescent="0.25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  <c r="AJ417" s="5"/>
      <c r="AK417" s="5"/>
      <c r="AL417" s="5"/>
      <c r="AM417" s="5"/>
      <c r="AN417" s="5"/>
      <c r="AO417" s="5"/>
      <c r="AP417" s="5"/>
      <c r="AQ417" s="5"/>
      <c r="AR417" s="5"/>
      <c r="AS417" s="5"/>
      <c r="AT417" s="5"/>
      <c r="AU417" s="5"/>
      <c r="AV417" s="5"/>
      <c r="AW417" s="5"/>
    </row>
    <row r="418" spans="1:49" x14ac:dyDescent="0.25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  <c r="AJ418" s="5"/>
      <c r="AK418" s="5"/>
      <c r="AL418" s="5"/>
      <c r="AM418" s="5"/>
      <c r="AN418" s="5"/>
      <c r="AO418" s="5"/>
      <c r="AP418" s="5"/>
      <c r="AQ418" s="5"/>
      <c r="AR418" s="5"/>
      <c r="AS418" s="5"/>
      <c r="AT418" s="5"/>
      <c r="AU418" s="5"/>
      <c r="AV418" s="5"/>
      <c r="AW418" s="5"/>
    </row>
    <row r="419" spans="1:49" x14ac:dyDescent="0.25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  <c r="AJ419" s="5"/>
      <c r="AK419" s="5"/>
      <c r="AL419" s="5"/>
      <c r="AM419" s="5"/>
      <c r="AN419" s="5"/>
      <c r="AO419" s="5"/>
      <c r="AP419" s="5"/>
      <c r="AQ419" s="5"/>
      <c r="AR419" s="5"/>
      <c r="AS419" s="5"/>
      <c r="AT419" s="5"/>
      <c r="AU419" s="5"/>
      <c r="AV419" s="5"/>
      <c r="AW419" s="5"/>
    </row>
    <row r="420" spans="1:49" x14ac:dyDescent="0.25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  <c r="AJ420" s="5"/>
      <c r="AK420" s="5"/>
      <c r="AL420" s="5"/>
      <c r="AM420" s="5"/>
      <c r="AN420" s="5"/>
      <c r="AO420" s="5"/>
      <c r="AP420" s="5"/>
      <c r="AQ420" s="5"/>
      <c r="AR420" s="5"/>
      <c r="AS420" s="5"/>
      <c r="AT420" s="5"/>
      <c r="AU420" s="5"/>
      <c r="AV420" s="5"/>
      <c r="AW420" s="5"/>
    </row>
    <row r="421" spans="1:49" x14ac:dyDescent="0.25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  <c r="AJ421" s="5"/>
      <c r="AK421" s="5"/>
      <c r="AL421" s="5"/>
      <c r="AM421" s="5"/>
      <c r="AN421" s="5"/>
      <c r="AO421" s="5"/>
      <c r="AP421" s="5"/>
      <c r="AQ421" s="5"/>
      <c r="AR421" s="5"/>
      <c r="AS421" s="5"/>
      <c r="AT421" s="5"/>
      <c r="AU421" s="5"/>
      <c r="AV421" s="5"/>
      <c r="AW421" s="5"/>
    </row>
    <row r="422" spans="1:49" x14ac:dyDescent="0.25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  <c r="AJ422" s="5"/>
      <c r="AK422" s="5"/>
      <c r="AL422" s="5"/>
      <c r="AM422" s="5"/>
      <c r="AN422" s="5"/>
      <c r="AO422" s="5"/>
      <c r="AP422" s="5"/>
      <c r="AQ422" s="5"/>
      <c r="AR422" s="5"/>
      <c r="AS422" s="5"/>
      <c r="AT422" s="5"/>
      <c r="AU422" s="5"/>
      <c r="AV422" s="5"/>
      <c r="AW422" s="5"/>
    </row>
    <row r="423" spans="1:49" x14ac:dyDescent="0.25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  <c r="AJ423" s="5"/>
      <c r="AK423" s="5"/>
      <c r="AL423" s="5"/>
      <c r="AM423" s="5"/>
      <c r="AN423" s="5"/>
      <c r="AO423" s="5"/>
      <c r="AP423" s="5"/>
      <c r="AQ423" s="5"/>
      <c r="AR423" s="5"/>
      <c r="AS423" s="5"/>
      <c r="AT423" s="5"/>
      <c r="AU423" s="5"/>
      <c r="AV423" s="5"/>
      <c r="AW423" s="5"/>
    </row>
    <row r="424" spans="1:49" x14ac:dyDescent="0.25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  <c r="AJ424" s="5"/>
      <c r="AK424" s="5"/>
      <c r="AL424" s="5"/>
      <c r="AM424" s="5"/>
      <c r="AN424" s="5"/>
      <c r="AO424" s="5"/>
      <c r="AP424" s="5"/>
      <c r="AQ424" s="5"/>
      <c r="AR424" s="5"/>
      <c r="AS424" s="5"/>
      <c r="AT424" s="5"/>
      <c r="AU424" s="5"/>
      <c r="AV424" s="5"/>
      <c r="AW424" s="5"/>
    </row>
    <row r="425" spans="1:49" x14ac:dyDescent="0.25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  <c r="AJ425" s="5"/>
      <c r="AK425" s="5"/>
      <c r="AL425" s="5"/>
      <c r="AM425" s="5"/>
      <c r="AN425" s="5"/>
      <c r="AO425" s="5"/>
      <c r="AP425" s="5"/>
      <c r="AQ425" s="5"/>
      <c r="AR425" s="5"/>
      <c r="AS425" s="5"/>
      <c r="AT425" s="5"/>
      <c r="AU425" s="5"/>
      <c r="AV425" s="5"/>
      <c r="AW425" s="5"/>
    </row>
    <row r="426" spans="1:49" x14ac:dyDescent="0.25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  <c r="AJ426" s="5"/>
      <c r="AK426" s="5"/>
      <c r="AL426" s="5"/>
      <c r="AM426" s="5"/>
      <c r="AN426" s="5"/>
      <c r="AO426" s="5"/>
      <c r="AP426" s="5"/>
      <c r="AQ426" s="5"/>
      <c r="AR426" s="5"/>
      <c r="AS426" s="5"/>
      <c r="AT426" s="5"/>
      <c r="AU426" s="5"/>
      <c r="AV426" s="5"/>
      <c r="AW426" s="5"/>
    </row>
    <row r="427" spans="1:49" x14ac:dyDescent="0.25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  <c r="AJ427" s="5"/>
      <c r="AK427" s="5"/>
      <c r="AL427" s="5"/>
      <c r="AM427" s="5"/>
      <c r="AN427" s="5"/>
      <c r="AO427" s="5"/>
      <c r="AP427" s="5"/>
      <c r="AQ427" s="5"/>
      <c r="AR427" s="5"/>
      <c r="AS427" s="5"/>
      <c r="AT427" s="5"/>
      <c r="AU427" s="5"/>
      <c r="AV427" s="5"/>
      <c r="AW427" s="5"/>
    </row>
    <row r="428" spans="1:49" x14ac:dyDescent="0.25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  <c r="AJ428" s="5"/>
      <c r="AK428" s="5"/>
      <c r="AL428" s="5"/>
      <c r="AM428" s="5"/>
      <c r="AN428" s="5"/>
      <c r="AO428" s="5"/>
      <c r="AP428" s="5"/>
      <c r="AQ428" s="5"/>
      <c r="AR428" s="5"/>
      <c r="AS428" s="5"/>
      <c r="AT428" s="5"/>
      <c r="AU428" s="5"/>
      <c r="AV428" s="5"/>
      <c r="AW428" s="5"/>
    </row>
    <row r="429" spans="1:49" x14ac:dyDescent="0.25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  <c r="AJ429" s="5"/>
      <c r="AK429" s="5"/>
      <c r="AL429" s="5"/>
      <c r="AM429" s="5"/>
      <c r="AN429" s="5"/>
      <c r="AO429" s="5"/>
      <c r="AP429" s="5"/>
      <c r="AQ429" s="5"/>
      <c r="AR429" s="5"/>
      <c r="AS429" s="5"/>
      <c r="AT429" s="5"/>
      <c r="AU429" s="5"/>
      <c r="AV429" s="5"/>
      <c r="AW429" s="5"/>
    </row>
    <row r="430" spans="1:49" x14ac:dyDescent="0.25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  <c r="AJ430" s="5"/>
      <c r="AK430" s="5"/>
      <c r="AL430" s="5"/>
      <c r="AM430" s="5"/>
      <c r="AN430" s="5"/>
      <c r="AO430" s="5"/>
      <c r="AP430" s="5"/>
      <c r="AQ430" s="5"/>
      <c r="AR430" s="5"/>
      <c r="AS430" s="5"/>
      <c r="AT430" s="5"/>
      <c r="AU430" s="5"/>
      <c r="AV430" s="5"/>
      <c r="AW430" s="5"/>
    </row>
    <row r="431" spans="1:49" x14ac:dyDescent="0.25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  <c r="AJ431" s="5"/>
      <c r="AK431" s="5"/>
      <c r="AL431" s="5"/>
      <c r="AM431" s="5"/>
      <c r="AN431" s="5"/>
      <c r="AO431" s="5"/>
      <c r="AP431" s="5"/>
      <c r="AQ431" s="5"/>
      <c r="AR431" s="5"/>
      <c r="AS431" s="5"/>
      <c r="AT431" s="5"/>
      <c r="AU431" s="5"/>
      <c r="AV431" s="5"/>
      <c r="AW431" s="5"/>
    </row>
    <row r="432" spans="1:49" x14ac:dyDescent="0.25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  <c r="AJ432" s="5"/>
      <c r="AK432" s="5"/>
      <c r="AL432" s="5"/>
      <c r="AM432" s="5"/>
      <c r="AN432" s="5"/>
      <c r="AO432" s="5"/>
      <c r="AP432" s="5"/>
      <c r="AQ432" s="5"/>
      <c r="AR432" s="5"/>
      <c r="AS432" s="5"/>
      <c r="AT432" s="5"/>
      <c r="AU432" s="5"/>
      <c r="AV432" s="5"/>
      <c r="AW432" s="5"/>
    </row>
    <row r="433" spans="1:49" x14ac:dyDescent="0.25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  <c r="AJ433" s="5"/>
      <c r="AK433" s="5"/>
      <c r="AL433" s="5"/>
      <c r="AM433" s="5"/>
      <c r="AN433" s="5"/>
      <c r="AO433" s="5"/>
      <c r="AP433" s="5"/>
      <c r="AQ433" s="5"/>
      <c r="AR433" s="5"/>
      <c r="AS433" s="5"/>
      <c r="AT433" s="5"/>
      <c r="AU433" s="5"/>
      <c r="AV433" s="5"/>
      <c r="AW433" s="5"/>
    </row>
    <row r="434" spans="1:49" x14ac:dyDescent="0.25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  <c r="AJ434" s="5"/>
      <c r="AK434" s="5"/>
      <c r="AL434" s="5"/>
      <c r="AM434" s="5"/>
      <c r="AN434" s="5"/>
      <c r="AO434" s="5"/>
      <c r="AP434" s="5"/>
      <c r="AQ434" s="5"/>
      <c r="AR434" s="5"/>
      <c r="AS434" s="5"/>
      <c r="AT434" s="5"/>
      <c r="AU434" s="5"/>
      <c r="AV434" s="5"/>
      <c r="AW434" s="5"/>
    </row>
    <row r="435" spans="1:49" x14ac:dyDescent="0.25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  <c r="AJ435" s="5"/>
      <c r="AK435" s="5"/>
      <c r="AL435" s="5"/>
      <c r="AM435" s="5"/>
      <c r="AN435" s="5"/>
      <c r="AO435" s="5"/>
      <c r="AP435" s="5"/>
      <c r="AQ435" s="5"/>
      <c r="AR435" s="5"/>
      <c r="AS435" s="5"/>
      <c r="AT435" s="5"/>
      <c r="AU435" s="5"/>
      <c r="AV435" s="5"/>
      <c r="AW435" s="5"/>
    </row>
    <row r="436" spans="1:49" x14ac:dyDescent="0.25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  <c r="AJ436" s="5"/>
      <c r="AK436" s="5"/>
      <c r="AL436" s="5"/>
      <c r="AM436" s="5"/>
      <c r="AN436" s="5"/>
      <c r="AO436" s="5"/>
      <c r="AP436" s="5"/>
      <c r="AQ436" s="5"/>
      <c r="AR436" s="5"/>
      <c r="AS436" s="5"/>
      <c r="AT436" s="5"/>
      <c r="AU436" s="5"/>
      <c r="AV436" s="5"/>
      <c r="AW436" s="5"/>
    </row>
    <row r="437" spans="1:49" x14ac:dyDescent="0.25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  <c r="AJ437" s="5"/>
      <c r="AK437" s="5"/>
      <c r="AL437" s="5"/>
      <c r="AM437" s="5"/>
      <c r="AN437" s="5"/>
      <c r="AO437" s="5"/>
      <c r="AP437" s="5"/>
      <c r="AQ437" s="5"/>
      <c r="AR437" s="5"/>
      <c r="AS437" s="5"/>
      <c r="AT437" s="5"/>
      <c r="AU437" s="5"/>
      <c r="AV437" s="5"/>
      <c r="AW437" s="5"/>
    </row>
    <row r="438" spans="1:49" x14ac:dyDescent="0.25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  <c r="AJ438" s="5"/>
      <c r="AK438" s="5"/>
      <c r="AL438" s="5"/>
      <c r="AM438" s="5"/>
      <c r="AN438" s="5"/>
      <c r="AO438" s="5"/>
      <c r="AP438" s="5"/>
      <c r="AQ438" s="5"/>
      <c r="AR438" s="5"/>
      <c r="AS438" s="5"/>
      <c r="AT438" s="5"/>
      <c r="AU438" s="5"/>
      <c r="AV438" s="5"/>
      <c r="AW438" s="5"/>
    </row>
    <row r="439" spans="1:49" x14ac:dyDescent="0.25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  <c r="AJ439" s="5"/>
      <c r="AK439" s="5"/>
      <c r="AL439" s="5"/>
      <c r="AM439" s="5"/>
      <c r="AN439" s="5"/>
      <c r="AO439" s="5"/>
      <c r="AP439" s="5"/>
      <c r="AQ439" s="5"/>
      <c r="AR439" s="5"/>
      <c r="AS439" s="5"/>
      <c r="AT439" s="5"/>
      <c r="AU439" s="5"/>
      <c r="AV439" s="5"/>
      <c r="AW439" s="5"/>
    </row>
    <row r="440" spans="1:49" x14ac:dyDescent="0.25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  <c r="AJ440" s="5"/>
      <c r="AK440" s="5"/>
      <c r="AL440" s="5"/>
      <c r="AM440" s="5"/>
      <c r="AN440" s="5"/>
      <c r="AO440" s="5"/>
      <c r="AP440" s="5"/>
      <c r="AQ440" s="5"/>
      <c r="AR440" s="5"/>
      <c r="AS440" s="5"/>
      <c r="AT440" s="5"/>
      <c r="AU440" s="5"/>
      <c r="AV440" s="5"/>
      <c r="AW440" s="5"/>
    </row>
    <row r="441" spans="1:49" x14ac:dyDescent="0.25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  <c r="AJ441" s="5"/>
      <c r="AK441" s="5"/>
      <c r="AL441" s="5"/>
      <c r="AM441" s="5"/>
      <c r="AN441" s="5"/>
      <c r="AO441" s="5"/>
      <c r="AP441" s="5"/>
      <c r="AQ441" s="5"/>
      <c r="AR441" s="5"/>
      <c r="AS441" s="5"/>
      <c r="AT441" s="5"/>
      <c r="AU441" s="5"/>
      <c r="AV441" s="5"/>
      <c r="AW441" s="5"/>
    </row>
    <row r="442" spans="1:49" x14ac:dyDescent="0.25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  <c r="AJ442" s="5"/>
      <c r="AK442" s="5"/>
      <c r="AL442" s="5"/>
      <c r="AM442" s="5"/>
      <c r="AN442" s="5"/>
      <c r="AO442" s="5"/>
      <c r="AP442" s="5"/>
      <c r="AQ442" s="5"/>
      <c r="AR442" s="5"/>
      <c r="AS442" s="5"/>
      <c r="AT442" s="5"/>
      <c r="AU442" s="5"/>
      <c r="AV442" s="5"/>
      <c r="AW442" s="5"/>
    </row>
    <row r="443" spans="1:49" x14ac:dyDescent="0.25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  <c r="AJ443" s="5"/>
      <c r="AK443" s="5"/>
      <c r="AL443" s="5"/>
      <c r="AM443" s="5"/>
      <c r="AN443" s="5"/>
      <c r="AO443" s="5"/>
      <c r="AP443" s="5"/>
      <c r="AQ443" s="5"/>
      <c r="AR443" s="5"/>
      <c r="AS443" s="5"/>
      <c r="AT443" s="5"/>
      <c r="AU443" s="5"/>
      <c r="AV443" s="5"/>
      <c r="AW443" s="5"/>
    </row>
    <row r="444" spans="1:49" x14ac:dyDescent="0.25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  <c r="AJ444" s="5"/>
      <c r="AK444" s="5"/>
      <c r="AL444" s="5"/>
      <c r="AM444" s="5"/>
      <c r="AN444" s="5"/>
      <c r="AO444" s="5"/>
      <c r="AP444" s="5"/>
      <c r="AQ444" s="5"/>
      <c r="AR444" s="5"/>
      <c r="AS444" s="5"/>
      <c r="AT444" s="5"/>
      <c r="AU444" s="5"/>
      <c r="AV444" s="5"/>
      <c r="AW444" s="5"/>
    </row>
    <row r="445" spans="1:49" x14ac:dyDescent="0.25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  <c r="AJ445" s="5"/>
      <c r="AK445" s="5"/>
      <c r="AL445" s="5"/>
      <c r="AM445" s="5"/>
      <c r="AN445" s="5"/>
      <c r="AO445" s="5"/>
      <c r="AP445" s="5"/>
      <c r="AQ445" s="5"/>
      <c r="AR445" s="5"/>
      <c r="AS445" s="5"/>
      <c r="AT445" s="5"/>
      <c r="AU445" s="5"/>
      <c r="AV445" s="5"/>
      <c r="AW445" s="5"/>
    </row>
    <row r="446" spans="1:49" x14ac:dyDescent="0.25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  <c r="AJ446" s="5"/>
      <c r="AK446" s="5"/>
      <c r="AL446" s="5"/>
      <c r="AM446" s="5"/>
      <c r="AN446" s="5"/>
      <c r="AO446" s="5"/>
      <c r="AP446" s="5"/>
      <c r="AQ446" s="5"/>
      <c r="AR446" s="5"/>
      <c r="AS446" s="5"/>
      <c r="AT446" s="5"/>
      <c r="AU446" s="5"/>
      <c r="AV446" s="5"/>
      <c r="AW446" s="5"/>
    </row>
    <row r="447" spans="1:49" x14ac:dyDescent="0.25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  <c r="AJ447" s="5"/>
      <c r="AK447" s="5"/>
      <c r="AL447" s="5"/>
      <c r="AM447" s="5"/>
      <c r="AN447" s="5"/>
      <c r="AO447" s="5"/>
      <c r="AP447" s="5"/>
      <c r="AQ447" s="5"/>
      <c r="AR447" s="5"/>
      <c r="AS447" s="5"/>
      <c r="AT447" s="5"/>
      <c r="AU447" s="5"/>
      <c r="AV447" s="5"/>
      <c r="AW447" s="5"/>
    </row>
    <row r="448" spans="1:49" x14ac:dyDescent="0.25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  <c r="AJ448" s="5"/>
      <c r="AK448" s="5"/>
      <c r="AL448" s="5"/>
      <c r="AM448" s="5"/>
      <c r="AN448" s="5"/>
      <c r="AO448" s="5"/>
      <c r="AP448" s="5"/>
      <c r="AQ448" s="5"/>
      <c r="AR448" s="5"/>
      <c r="AS448" s="5"/>
      <c r="AT448" s="5"/>
      <c r="AU448" s="5"/>
      <c r="AV448" s="5"/>
      <c r="AW448" s="5"/>
    </row>
    <row r="449" spans="1:49" x14ac:dyDescent="0.25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  <c r="AJ449" s="5"/>
      <c r="AK449" s="5"/>
      <c r="AL449" s="5"/>
      <c r="AM449" s="5"/>
      <c r="AN449" s="5"/>
      <c r="AO449" s="5"/>
      <c r="AP449" s="5"/>
      <c r="AQ449" s="5"/>
      <c r="AR449" s="5"/>
      <c r="AS449" s="5"/>
      <c r="AT449" s="5"/>
      <c r="AU449" s="5"/>
      <c r="AV449" s="5"/>
      <c r="AW449" s="5"/>
    </row>
    <row r="450" spans="1:49" x14ac:dyDescent="0.25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  <c r="AJ450" s="5"/>
      <c r="AK450" s="5"/>
      <c r="AL450" s="5"/>
      <c r="AM450" s="5"/>
      <c r="AN450" s="5"/>
      <c r="AO450" s="5"/>
      <c r="AP450" s="5"/>
      <c r="AQ450" s="5"/>
      <c r="AR450" s="5"/>
      <c r="AS450" s="5"/>
      <c r="AT450" s="5"/>
      <c r="AU450" s="5"/>
      <c r="AV450" s="5"/>
      <c r="AW450" s="5"/>
    </row>
    <row r="451" spans="1:49" x14ac:dyDescent="0.25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  <c r="AJ451" s="5"/>
      <c r="AK451" s="5"/>
      <c r="AL451" s="5"/>
      <c r="AM451" s="5"/>
      <c r="AN451" s="5"/>
      <c r="AO451" s="5"/>
      <c r="AP451" s="5"/>
      <c r="AQ451" s="5"/>
      <c r="AR451" s="5"/>
      <c r="AS451" s="5"/>
      <c r="AT451" s="5"/>
      <c r="AU451" s="5"/>
      <c r="AV451" s="5"/>
      <c r="AW451" s="5"/>
    </row>
    <row r="452" spans="1:49" x14ac:dyDescent="0.25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  <c r="AJ452" s="5"/>
      <c r="AK452" s="5"/>
      <c r="AL452" s="5"/>
      <c r="AM452" s="5"/>
      <c r="AN452" s="5"/>
      <c r="AO452" s="5"/>
      <c r="AP452" s="5"/>
      <c r="AQ452" s="5"/>
      <c r="AR452" s="5"/>
      <c r="AS452" s="5"/>
      <c r="AT452" s="5"/>
      <c r="AU452" s="5"/>
      <c r="AV452" s="5"/>
      <c r="AW452" s="5"/>
    </row>
    <row r="453" spans="1:49" x14ac:dyDescent="0.25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  <c r="AJ453" s="5"/>
      <c r="AK453" s="5"/>
      <c r="AL453" s="5"/>
      <c r="AM453" s="5"/>
      <c r="AN453" s="5"/>
      <c r="AO453" s="5"/>
      <c r="AP453" s="5"/>
      <c r="AQ453" s="5"/>
      <c r="AR453" s="5"/>
      <c r="AS453" s="5"/>
      <c r="AT453" s="5"/>
      <c r="AU453" s="5"/>
      <c r="AV453" s="5"/>
      <c r="AW453" s="5"/>
    </row>
    <row r="454" spans="1:49" x14ac:dyDescent="0.25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  <c r="AJ454" s="5"/>
      <c r="AK454" s="5"/>
      <c r="AL454" s="5"/>
      <c r="AM454" s="5"/>
      <c r="AN454" s="5"/>
      <c r="AO454" s="5"/>
      <c r="AP454" s="5"/>
      <c r="AQ454" s="5"/>
      <c r="AR454" s="5"/>
      <c r="AS454" s="5"/>
      <c r="AT454" s="5"/>
      <c r="AU454" s="5"/>
      <c r="AV454" s="5"/>
      <c r="AW454" s="5"/>
    </row>
    <row r="455" spans="1:49" x14ac:dyDescent="0.25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  <c r="AJ455" s="5"/>
      <c r="AK455" s="5"/>
      <c r="AL455" s="5"/>
      <c r="AM455" s="5"/>
      <c r="AN455" s="5"/>
      <c r="AO455" s="5"/>
      <c r="AP455" s="5"/>
      <c r="AQ455" s="5"/>
      <c r="AR455" s="5"/>
      <c r="AS455" s="5"/>
      <c r="AT455" s="5"/>
      <c r="AU455" s="5"/>
      <c r="AV455" s="5"/>
      <c r="AW455" s="5"/>
    </row>
    <row r="456" spans="1:49" x14ac:dyDescent="0.25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  <c r="AJ456" s="5"/>
      <c r="AK456" s="5"/>
      <c r="AL456" s="5"/>
      <c r="AM456" s="5"/>
      <c r="AN456" s="5"/>
      <c r="AO456" s="5"/>
      <c r="AP456" s="5"/>
      <c r="AQ456" s="5"/>
      <c r="AR456" s="5"/>
      <c r="AS456" s="5"/>
      <c r="AT456" s="5"/>
      <c r="AU456" s="5"/>
      <c r="AV456" s="5"/>
      <c r="AW456" s="5"/>
    </row>
    <row r="457" spans="1:49" x14ac:dyDescent="0.25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  <c r="AJ457" s="5"/>
      <c r="AK457" s="5"/>
      <c r="AL457" s="5"/>
      <c r="AM457" s="5"/>
      <c r="AN457" s="5"/>
      <c r="AO457" s="5"/>
      <c r="AP457" s="5"/>
      <c r="AQ457" s="5"/>
      <c r="AR457" s="5"/>
      <c r="AS457" s="5"/>
      <c r="AT457" s="5"/>
      <c r="AU457" s="5"/>
      <c r="AV457" s="5"/>
      <c r="AW457" s="5"/>
    </row>
    <row r="458" spans="1:49" x14ac:dyDescent="0.25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  <c r="AJ458" s="5"/>
      <c r="AK458" s="5"/>
      <c r="AL458" s="5"/>
      <c r="AM458" s="5"/>
      <c r="AN458" s="5"/>
      <c r="AO458" s="5"/>
      <c r="AP458" s="5"/>
      <c r="AQ458" s="5"/>
      <c r="AR458" s="5"/>
      <c r="AS458" s="5"/>
      <c r="AT458" s="5"/>
      <c r="AU458" s="5"/>
      <c r="AV458" s="5"/>
      <c r="AW458" s="5"/>
    </row>
    <row r="459" spans="1:49" x14ac:dyDescent="0.25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  <c r="AJ459" s="5"/>
      <c r="AK459" s="5"/>
      <c r="AL459" s="5"/>
      <c r="AM459" s="5"/>
      <c r="AN459" s="5"/>
      <c r="AO459" s="5"/>
      <c r="AP459" s="5"/>
      <c r="AQ459" s="5"/>
      <c r="AR459" s="5"/>
      <c r="AS459" s="5"/>
      <c r="AT459" s="5"/>
      <c r="AU459" s="5"/>
      <c r="AV459" s="5"/>
      <c r="AW459" s="5"/>
    </row>
    <row r="460" spans="1:49" x14ac:dyDescent="0.25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  <c r="AJ460" s="5"/>
      <c r="AK460" s="5"/>
      <c r="AL460" s="5"/>
      <c r="AM460" s="5"/>
      <c r="AN460" s="5"/>
      <c r="AO460" s="5"/>
      <c r="AP460" s="5"/>
      <c r="AQ460" s="5"/>
      <c r="AR460" s="5"/>
      <c r="AS460" s="5"/>
      <c r="AT460" s="5"/>
      <c r="AU460" s="5"/>
      <c r="AV460" s="5"/>
      <c r="AW460" s="5"/>
    </row>
    <row r="461" spans="1:49" x14ac:dyDescent="0.25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  <c r="AJ461" s="5"/>
      <c r="AK461" s="5"/>
      <c r="AL461" s="5"/>
      <c r="AM461" s="5"/>
      <c r="AN461" s="5"/>
      <c r="AO461" s="5"/>
      <c r="AP461" s="5"/>
      <c r="AQ461" s="5"/>
      <c r="AR461" s="5"/>
      <c r="AS461" s="5"/>
      <c r="AT461" s="5"/>
      <c r="AU461" s="5"/>
      <c r="AV461" s="5"/>
      <c r="AW461" s="5"/>
    </row>
    <row r="462" spans="1:49" x14ac:dyDescent="0.25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  <c r="AJ462" s="5"/>
      <c r="AK462" s="5"/>
      <c r="AL462" s="5"/>
      <c r="AM462" s="5"/>
      <c r="AN462" s="5"/>
      <c r="AO462" s="5"/>
      <c r="AP462" s="5"/>
      <c r="AQ462" s="5"/>
      <c r="AR462" s="5"/>
      <c r="AS462" s="5"/>
      <c r="AT462" s="5"/>
      <c r="AU462" s="5"/>
      <c r="AV462" s="5"/>
      <c r="AW462" s="5"/>
    </row>
    <row r="463" spans="1:49" x14ac:dyDescent="0.25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  <c r="AJ463" s="5"/>
      <c r="AK463" s="5"/>
      <c r="AL463" s="5"/>
      <c r="AM463" s="5"/>
      <c r="AN463" s="5"/>
      <c r="AO463" s="5"/>
      <c r="AP463" s="5"/>
      <c r="AQ463" s="5"/>
      <c r="AR463" s="5"/>
      <c r="AS463" s="5"/>
      <c r="AT463" s="5"/>
      <c r="AU463" s="5"/>
      <c r="AV463" s="5"/>
      <c r="AW463" s="5"/>
    </row>
    <row r="464" spans="1:49" x14ac:dyDescent="0.25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  <c r="AJ464" s="5"/>
      <c r="AK464" s="5"/>
      <c r="AL464" s="5"/>
      <c r="AM464" s="5"/>
      <c r="AN464" s="5"/>
      <c r="AO464" s="5"/>
      <c r="AP464" s="5"/>
      <c r="AQ464" s="5"/>
      <c r="AR464" s="5"/>
      <c r="AS464" s="5"/>
      <c r="AT464" s="5"/>
      <c r="AU464" s="5"/>
      <c r="AV464" s="5"/>
      <c r="AW464" s="5"/>
    </row>
    <row r="465" spans="1:49" x14ac:dyDescent="0.25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  <c r="AJ465" s="5"/>
      <c r="AK465" s="5"/>
      <c r="AL465" s="5"/>
      <c r="AM465" s="5"/>
      <c r="AN465" s="5"/>
      <c r="AO465" s="5"/>
      <c r="AP465" s="5"/>
      <c r="AQ465" s="5"/>
      <c r="AR465" s="5"/>
      <c r="AS465" s="5"/>
      <c r="AT465" s="5"/>
      <c r="AU465" s="5"/>
      <c r="AV465" s="5"/>
      <c r="AW465" s="5"/>
    </row>
    <row r="466" spans="1:49" x14ac:dyDescent="0.25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  <c r="AJ466" s="5"/>
      <c r="AK466" s="5"/>
      <c r="AL466" s="5"/>
      <c r="AM466" s="5"/>
      <c r="AN466" s="5"/>
      <c r="AO466" s="5"/>
      <c r="AP466" s="5"/>
      <c r="AQ466" s="5"/>
      <c r="AR466" s="5"/>
      <c r="AS466" s="5"/>
      <c r="AT466" s="5"/>
      <c r="AU466" s="5"/>
      <c r="AV466" s="5"/>
      <c r="AW466" s="5"/>
    </row>
    <row r="467" spans="1:49" x14ac:dyDescent="0.25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  <c r="AJ467" s="5"/>
      <c r="AK467" s="5"/>
      <c r="AL467" s="5"/>
      <c r="AM467" s="5"/>
      <c r="AN467" s="5"/>
      <c r="AO467" s="5"/>
      <c r="AP467" s="5"/>
      <c r="AQ467" s="5"/>
      <c r="AR467" s="5"/>
      <c r="AS467" s="5"/>
      <c r="AT467" s="5"/>
      <c r="AU467" s="5"/>
      <c r="AV467" s="5"/>
      <c r="AW467" s="5"/>
    </row>
    <row r="468" spans="1:49" x14ac:dyDescent="0.25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  <c r="AJ468" s="5"/>
      <c r="AK468" s="5"/>
      <c r="AL468" s="5"/>
      <c r="AM468" s="5"/>
      <c r="AN468" s="5"/>
      <c r="AO468" s="5"/>
      <c r="AP468" s="5"/>
      <c r="AQ468" s="5"/>
      <c r="AR468" s="5"/>
      <c r="AS468" s="5"/>
      <c r="AT468" s="5"/>
      <c r="AU468" s="5"/>
      <c r="AV468" s="5"/>
      <c r="AW468" s="5"/>
    </row>
    <row r="469" spans="1:49" x14ac:dyDescent="0.25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  <c r="AJ469" s="5"/>
      <c r="AK469" s="5"/>
      <c r="AL469" s="5"/>
      <c r="AM469" s="5"/>
      <c r="AN469" s="5"/>
      <c r="AO469" s="5"/>
      <c r="AP469" s="5"/>
      <c r="AQ469" s="5"/>
      <c r="AR469" s="5"/>
      <c r="AS469" s="5"/>
      <c r="AT469" s="5"/>
      <c r="AU469" s="5"/>
      <c r="AV469" s="5"/>
      <c r="AW469" s="5"/>
    </row>
    <row r="470" spans="1:49" x14ac:dyDescent="0.25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  <c r="AJ470" s="5"/>
      <c r="AK470" s="5"/>
      <c r="AL470" s="5"/>
      <c r="AM470" s="5"/>
      <c r="AN470" s="5"/>
      <c r="AO470" s="5"/>
      <c r="AP470" s="5"/>
      <c r="AQ470" s="5"/>
      <c r="AR470" s="5"/>
      <c r="AS470" s="5"/>
      <c r="AT470" s="5"/>
      <c r="AU470" s="5"/>
      <c r="AV470" s="5"/>
      <c r="AW470" s="5"/>
    </row>
    <row r="471" spans="1:49" x14ac:dyDescent="0.25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  <c r="AJ471" s="5"/>
      <c r="AK471" s="5"/>
      <c r="AL471" s="5"/>
      <c r="AM471" s="5"/>
      <c r="AN471" s="5"/>
      <c r="AO471" s="5"/>
      <c r="AP471" s="5"/>
      <c r="AQ471" s="5"/>
      <c r="AR471" s="5"/>
      <c r="AS471" s="5"/>
      <c r="AT471" s="5"/>
      <c r="AU471" s="5"/>
      <c r="AV471" s="5"/>
      <c r="AW471" s="5"/>
    </row>
    <row r="472" spans="1:49" x14ac:dyDescent="0.25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  <c r="AJ472" s="5"/>
      <c r="AK472" s="5"/>
      <c r="AL472" s="5"/>
      <c r="AM472" s="5"/>
      <c r="AN472" s="5"/>
      <c r="AO472" s="5"/>
      <c r="AP472" s="5"/>
      <c r="AQ472" s="5"/>
      <c r="AR472" s="5"/>
      <c r="AS472" s="5"/>
      <c r="AT472" s="5"/>
      <c r="AU472" s="5"/>
      <c r="AV472" s="5"/>
      <c r="AW472" s="5"/>
    </row>
    <row r="473" spans="1:49" x14ac:dyDescent="0.25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  <c r="AJ473" s="5"/>
      <c r="AK473" s="5"/>
      <c r="AL473" s="5"/>
      <c r="AM473" s="5"/>
      <c r="AN473" s="5"/>
      <c r="AO473" s="5"/>
      <c r="AP473" s="5"/>
      <c r="AQ473" s="5"/>
      <c r="AR473" s="5"/>
      <c r="AS473" s="5"/>
      <c r="AT473" s="5"/>
      <c r="AU473" s="5"/>
      <c r="AV473" s="5"/>
      <c r="AW473" s="5"/>
    </row>
    <row r="474" spans="1:49" x14ac:dyDescent="0.25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  <c r="AJ474" s="5"/>
      <c r="AK474" s="5"/>
      <c r="AL474" s="5"/>
      <c r="AM474" s="5"/>
      <c r="AN474" s="5"/>
      <c r="AO474" s="5"/>
      <c r="AP474" s="5"/>
      <c r="AQ474" s="5"/>
      <c r="AR474" s="5"/>
      <c r="AS474" s="5"/>
      <c r="AT474" s="5"/>
      <c r="AU474" s="5"/>
      <c r="AV474" s="5"/>
      <c r="AW474" s="5"/>
    </row>
    <row r="475" spans="1:49" x14ac:dyDescent="0.25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  <c r="AJ475" s="5"/>
      <c r="AK475" s="5"/>
      <c r="AL475" s="5"/>
      <c r="AM475" s="5"/>
      <c r="AN475" s="5"/>
      <c r="AO475" s="5"/>
      <c r="AP475" s="5"/>
      <c r="AQ475" s="5"/>
      <c r="AR475" s="5"/>
      <c r="AS475" s="5"/>
      <c r="AT475" s="5"/>
      <c r="AU475" s="5"/>
      <c r="AV475" s="5"/>
      <c r="AW475" s="5"/>
    </row>
    <row r="476" spans="1:49" x14ac:dyDescent="0.25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  <c r="AJ476" s="5"/>
      <c r="AK476" s="5"/>
      <c r="AL476" s="5"/>
      <c r="AM476" s="5"/>
      <c r="AN476" s="5"/>
      <c r="AO476" s="5"/>
      <c r="AP476" s="5"/>
      <c r="AQ476" s="5"/>
      <c r="AR476" s="5"/>
      <c r="AS476" s="5"/>
      <c r="AT476" s="5"/>
      <c r="AU476" s="5"/>
      <c r="AV476" s="5"/>
      <c r="AW476" s="5"/>
    </row>
    <row r="477" spans="1:49" x14ac:dyDescent="0.25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  <c r="AJ477" s="5"/>
      <c r="AK477" s="5"/>
      <c r="AL477" s="5"/>
      <c r="AM477" s="5"/>
      <c r="AN477" s="5"/>
      <c r="AO477" s="5"/>
      <c r="AP477" s="5"/>
      <c r="AQ477" s="5"/>
      <c r="AR477" s="5"/>
      <c r="AS477" s="5"/>
      <c r="AT477" s="5"/>
      <c r="AU477" s="5"/>
      <c r="AV477" s="5"/>
      <c r="AW477" s="5"/>
    </row>
    <row r="478" spans="1:49" x14ac:dyDescent="0.25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  <c r="AJ478" s="5"/>
      <c r="AK478" s="5"/>
      <c r="AL478" s="5"/>
      <c r="AM478" s="5"/>
      <c r="AN478" s="5"/>
      <c r="AO478" s="5"/>
      <c r="AP478" s="5"/>
      <c r="AQ478" s="5"/>
      <c r="AR478" s="5"/>
      <c r="AS478" s="5"/>
      <c r="AT478" s="5"/>
      <c r="AU478" s="5"/>
      <c r="AV478" s="5"/>
      <c r="AW478" s="5"/>
    </row>
    <row r="479" spans="1:49" x14ac:dyDescent="0.25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  <c r="AJ479" s="5"/>
      <c r="AK479" s="5"/>
      <c r="AL479" s="5"/>
      <c r="AM479" s="5"/>
      <c r="AN479" s="5"/>
      <c r="AO479" s="5"/>
      <c r="AP479" s="5"/>
      <c r="AQ479" s="5"/>
      <c r="AR479" s="5"/>
      <c r="AS479" s="5"/>
      <c r="AT479" s="5"/>
      <c r="AU479" s="5"/>
      <c r="AV479" s="5"/>
      <c r="AW479" s="5"/>
    </row>
    <row r="480" spans="1:49" x14ac:dyDescent="0.25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  <c r="AJ480" s="5"/>
      <c r="AK480" s="5"/>
      <c r="AL480" s="5"/>
      <c r="AM480" s="5"/>
      <c r="AN480" s="5"/>
      <c r="AO480" s="5"/>
      <c r="AP480" s="5"/>
      <c r="AQ480" s="5"/>
      <c r="AR480" s="5"/>
      <c r="AS480" s="5"/>
      <c r="AT480" s="5"/>
      <c r="AU480" s="5"/>
      <c r="AV480" s="5"/>
      <c r="AW480" s="5"/>
    </row>
    <row r="481" spans="1:49" x14ac:dyDescent="0.25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  <c r="AJ481" s="5"/>
      <c r="AK481" s="5"/>
      <c r="AL481" s="5"/>
      <c r="AM481" s="5"/>
      <c r="AN481" s="5"/>
      <c r="AO481" s="5"/>
      <c r="AP481" s="5"/>
      <c r="AQ481" s="5"/>
      <c r="AR481" s="5"/>
      <c r="AS481" s="5"/>
      <c r="AT481" s="5"/>
      <c r="AU481" s="5"/>
      <c r="AV481" s="5"/>
      <c r="AW481" s="5"/>
    </row>
    <row r="482" spans="1:49" x14ac:dyDescent="0.25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  <c r="AJ482" s="5"/>
      <c r="AK482" s="5"/>
      <c r="AL482" s="5"/>
      <c r="AM482" s="5"/>
      <c r="AN482" s="5"/>
      <c r="AO482" s="5"/>
      <c r="AP482" s="5"/>
      <c r="AQ482" s="5"/>
      <c r="AR482" s="5"/>
      <c r="AS482" s="5"/>
      <c r="AT482" s="5"/>
      <c r="AU482" s="5"/>
      <c r="AV482" s="5"/>
      <c r="AW482" s="5"/>
    </row>
    <row r="483" spans="1:49" x14ac:dyDescent="0.25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  <c r="AJ483" s="5"/>
      <c r="AK483" s="5"/>
      <c r="AL483" s="5"/>
      <c r="AM483" s="5"/>
      <c r="AN483" s="5"/>
      <c r="AO483" s="5"/>
      <c r="AP483" s="5"/>
      <c r="AQ483" s="5"/>
      <c r="AR483" s="5"/>
      <c r="AS483" s="5"/>
      <c r="AT483" s="5"/>
      <c r="AU483" s="5"/>
      <c r="AV483" s="5"/>
      <c r="AW483" s="5"/>
    </row>
    <row r="484" spans="1:49" x14ac:dyDescent="0.25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  <c r="AJ484" s="5"/>
      <c r="AK484" s="5"/>
      <c r="AL484" s="5"/>
      <c r="AM484" s="5"/>
      <c r="AN484" s="5"/>
      <c r="AO484" s="5"/>
      <c r="AP484" s="5"/>
      <c r="AQ484" s="5"/>
      <c r="AR484" s="5"/>
      <c r="AS484" s="5"/>
      <c r="AT484" s="5"/>
      <c r="AU484" s="5"/>
      <c r="AV484" s="5"/>
      <c r="AW484" s="5"/>
    </row>
  </sheetData>
  <autoFilter ref="A3:AG103" xr:uid="{7A170B53-25EF-4166-A169-67618A5B6C5F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3CC08-8DEB-4A7F-A028-8E05BF0A78B4}">
  <dimension ref="A1:J10"/>
  <sheetViews>
    <sheetView workbookViewId="0">
      <selection activeCell="H1" sqref="H1:H10"/>
    </sheetView>
  </sheetViews>
  <sheetFormatPr defaultRowHeight="15" x14ac:dyDescent="0.25"/>
  <cols>
    <col min="1" max="1" width="9.140625" style="17"/>
    <col min="2" max="2" width="16" style="27" bestFit="1" customWidth="1"/>
    <col min="3" max="3" width="52.28515625" style="17" bestFit="1" customWidth="1"/>
    <col min="4" max="4" width="61.28515625" style="17" customWidth="1"/>
    <col min="5" max="6" width="9.140625" style="17"/>
    <col min="7" max="7" width="47.85546875" style="17" customWidth="1"/>
    <col min="8" max="8" width="9.140625" style="17"/>
  </cols>
  <sheetData>
    <row r="1" spans="1:10" ht="16.5" thickBot="1" x14ac:dyDescent="0.3">
      <c r="A1" s="13">
        <v>7514</v>
      </c>
      <c r="B1" s="14">
        <v>1001017557514</v>
      </c>
      <c r="C1" s="15" t="s">
        <v>143</v>
      </c>
      <c r="D1" s="16" t="s">
        <v>144</v>
      </c>
      <c r="E1" s="17" t="s">
        <v>37</v>
      </c>
      <c r="F1" s="17">
        <v>30</v>
      </c>
      <c r="G1" s="17" t="s">
        <v>143</v>
      </c>
      <c r="H1" s="17">
        <v>1</v>
      </c>
      <c r="J1" t="str">
        <f>VLOOKUP(D1,Sheet!A:I,9,0)</f>
        <v>матрица</v>
      </c>
    </row>
    <row r="2" spans="1:10" ht="16.5" thickBot="1" x14ac:dyDescent="0.3">
      <c r="A2" s="18">
        <v>7518</v>
      </c>
      <c r="B2" s="19">
        <v>1001017567518</v>
      </c>
      <c r="C2" s="20" t="s">
        <v>145</v>
      </c>
      <c r="D2" s="16" t="s">
        <v>146</v>
      </c>
      <c r="E2" s="17" t="s">
        <v>37</v>
      </c>
      <c r="F2" s="17">
        <v>30</v>
      </c>
      <c r="G2" s="17" t="s">
        <v>145</v>
      </c>
      <c r="H2" s="17">
        <v>1</v>
      </c>
      <c r="J2" t="str">
        <f>VLOOKUP(D2,Sheet!A:I,9,0)</f>
        <v>матрица</v>
      </c>
    </row>
    <row r="3" spans="1:10" ht="16.5" thickBot="1" x14ac:dyDescent="0.3">
      <c r="A3" s="18">
        <v>6929</v>
      </c>
      <c r="B3" s="19">
        <v>1001085476929</v>
      </c>
      <c r="C3" s="20" t="s">
        <v>147</v>
      </c>
      <c r="D3" s="16" t="s">
        <v>148</v>
      </c>
      <c r="E3" s="17" t="s">
        <v>37</v>
      </c>
      <c r="F3" s="17">
        <v>45</v>
      </c>
      <c r="G3" s="17" t="s">
        <v>147</v>
      </c>
      <c r="H3" s="17">
        <v>1</v>
      </c>
      <c r="J3" t="str">
        <f>VLOOKUP(D3,Sheet!A:I,9,0)</f>
        <v>матрица</v>
      </c>
    </row>
    <row r="4" spans="1:10" ht="16.5" thickBot="1" x14ac:dyDescent="0.3">
      <c r="A4" s="21">
        <v>614</v>
      </c>
      <c r="B4" s="22">
        <v>1001060720614</v>
      </c>
      <c r="C4" s="23" t="s">
        <v>149</v>
      </c>
      <c r="D4" s="16" t="s">
        <v>150</v>
      </c>
      <c r="E4" s="17" t="s">
        <v>37</v>
      </c>
      <c r="F4" s="17">
        <v>120</v>
      </c>
      <c r="G4" s="17" t="s">
        <v>149</v>
      </c>
      <c r="H4" s="17">
        <v>1</v>
      </c>
      <c r="J4" t="str">
        <f>VLOOKUP(D4,Sheet!A:I,9,0)</f>
        <v>матрица</v>
      </c>
    </row>
    <row r="5" spans="1:10" ht="16.5" thickBot="1" x14ac:dyDescent="0.3">
      <c r="A5" s="18">
        <v>7143</v>
      </c>
      <c r="B5" s="19">
        <v>1001060717143</v>
      </c>
      <c r="C5" s="20" t="s">
        <v>151</v>
      </c>
      <c r="D5" s="17" t="s">
        <v>152</v>
      </c>
      <c r="E5" s="17" t="s">
        <v>34</v>
      </c>
      <c r="F5" s="17">
        <v>120</v>
      </c>
      <c r="G5" s="17" t="s">
        <v>151</v>
      </c>
      <c r="H5" s="17">
        <v>0.22</v>
      </c>
      <c r="J5" t="str">
        <f>VLOOKUP(D5,Sheet!A:I,9,0)</f>
        <v>матрица</v>
      </c>
    </row>
    <row r="6" spans="1:10" ht="16.5" thickBot="1" x14ac:dyDescent="0.3">
      <c r="A6" s="13">
        <v>7710</v>
      </c>
      <c r="B6" s="14">
        <v>1001307587710</v>
      </c>
      <c r="C6" s="15" t="s">
        <v>153</v>
      </c>
      <c r="D6" s="17" t="s">
        <v>154</v>
      </c>
      <c r="E6" s="17" t="s">
        <v>34</v>
      </c>
      <c r="F6" s="17">
        <v>45</v>
      </c>
      <c r="G6" s="17" t="s">
        <v>153</v>
      </c>
      <c r="H6" s="17">
        <v>0.3</v>
      </c>
      <c r="J6" t="str">
        <f>VLOOKUP(D6,Sheet!A:I,9,0)</f>
        <v>матрица</v>
      </c>
    </row>
    <row r="7" spans="1:10" ht="16.5" thickBot="1" x14ac:dyDescent="0.3">
      <c r="A7" s="18">
        <v>7456</v>
      </c>
      <c r="B7" s="19">
        <v>1001063097456</v>
      </c>
      <c r="C7" s="20" t="s">
        <v>155</v>
      </c>
      <c r="D7" s="17" t="s">
        <v>156</v>
      </c>
      <c r="E7" s="17" t="s">
        <v>34</v>
      </c>
      <c r="F7" s="17">
        <v>90</v>
      </c>
      <c r="G7" s="17" t="s">
        <v>155</v>
      </c>
      <c r="H7" s="17">
        <v>0.15</v>
      </c>
      <c r="J7" t="str">
        <f>VLOOKUP(D7,Sheet!A:I,9,0)</f>
        <v>матрица</v>
      </c>
    </row>
    <row r="8" spans="1:10" ht="16.5" thickBot="1" x14ac:dyDescent="0.3">
      <c r="A8" s="24">
        <v>7386</v>
      </c>
      <c r="B8" s="25">
        <v>1001067017386</v>
      </c>
      <c r="C8" s="26" t="s">
        <v>157</v>
      </c>
      <c r="D8" s="17" t="s">
        <v>158</v>
      </c>
      <c r="E8" s="17" t="s">
        <v>34</v>
      </c>
      <c r="F8" s="17">
        <v>90</v>
      </c>
      <c r="G8" s="17" t="s">
        <v>157</v>
      </c>
      <c r="H8" s="17">
        <v>0.15</v>
      </c>
      <c r="J8" t="str">
        <f>VLOOKUP(D8,Sheet!A:I,9,0)</f>
        <v>матрица</v>
      </c>
    </row>
    <row r="9" spans="1:10" ht="16.5" thickBot="1" x14ac:dyDescent="0.3">
      <c r="A9" s="18">
        <v>7344</v>
      </c>
      <c r="B9" s="19">
        <v>1001122287344</v>
      </c>
      <c r="C9" s="20" t="s">
        <v>159</v>
      </c>
      <c r="D9" s="17" t="s">
        <v>160</v>
      </c>
      <c r="E9" s="17" t="s">
        <v>34</v>
      </c>
      <c r="F9" s="17" t="s">
        <v>161</v>
      </c>
      <c r="G9" s="17" t="s">
        <v>159</v>
      </c>
      <c r="H9" s="17">
        <v>0.33800000000000002</v>
      </c>
      <c r="J9" t="str">
        <f>VLOOKUP(D9,Sheet!A:I,9,0)</f>
        <v>матрица</v>
      </c>
    </row>
    <row r="10" spans="1:10" ht="16.5" thickBot="1" x14ac:dyDescent="0.3">
      <c r="A10" s="18">
        <v>7345</v>
      </c>
      <c r="B10" s="19">
        <v>1001123677345</v>
      </c>
      <c r="C10" s="20" t="s">
        <v>162</v>
      </c>
      <c r="D10" s="17" t="s">
        <v>163</v>
      </c>
      <c r="E10" s="17" t="s">
        <v>34</v>
      </c>
      <c r="F10" s="17" t="s">
        <v>161</v>
      </c>
      <c r="G10" s="17" t="s">
        <v>162</v>
      </c>
      <c r="H10" s="17">
        <v>0.32500000000000001</v>
      </c>
      <c r="J10" t="str">
        <f>VLOOKUP(D10,Sheet!A:I,9,0)</f>
        <v>матрица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705D4-1B04-4AC7-9C71-711447B1921D}">
  <dimension ref="A1:B5"/>
  <sheetViews>
    <sheetView workbookViewId="0">
      <selection activeCell="E8" sqref="E8"/>
    </sheetView>
  </sheetViews>
  <sheetFormatPr defaultRowHeight="15" x14ac:dyDescent="0.25"/>
  <cols>
    <col min="1" max="1" width="70" style="17" bestFit="1" customWidth="1"/>
    <col min="2" max="2" width="9.140625" style="17"/>
  </cols>
  <sheetData>
    <row r="1" spans="1:2" ht="16.5" thickBot="1" x14ac:dyDescent="0.3">
      <c r="A1" s="28" t="s">
        <v>164</v>
      </c>
      <c r="B1" s="15" t="s">
        <v>127</v>
      </c>
    </row>
    <row r="2" spans="1:2" ht="16.5" thickBot="1" x14ac:dyDescent="0.3">
      <c r="A2" s="29" t="s">
        <v>94</v>
      </c>
      <c r="B2" s="15" t="s">
        <v>127</v>
      </c>
    </row>
    <row r="3" spans="1:2" ht="16.5" thickBot="1" x14ac:dyDescent="0.3">
      <c r="A3" s="29" t="s">
        <v>123</v>
      </c>
      <c r="B3" s="15" t="s">
        <v>127</v>
      </c>
    </row>
    <row r="4" spans="1:2" ht="16.5" thickBot="1" x14ac:dyDescent="0.3">
      <c r="A4" s="29" t="s">
        <v>135</v>
      </c>
      <c r="B4" s="15" t="s">
        <v>127</v>
      </c>
    </row>
    <row r="5" spans="1:2" ht="16.5" thickBot="1" x14ac:dyDescent="0.3">
      <c r="A5" s="29" t="s">
        <v>121</v>
      </c>
      <c r="B5" s="15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новинки</vt:lpstr>
      <vt:lpstr>вывод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2026-08-31T11:33:30Z</dcterms:created>
  <dcterms:modified xsi:type="dcterms:W3CDTF">2026-09-02T13:32:53Z</dcterms:modified>
</cp:coreProperties>
</file>